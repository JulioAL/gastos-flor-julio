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8-02" sheetId="1" r:id="rId5"/>
    <sheet state="hidden" name="09-03" sheetId="2" r:id="rId6"/>
    <sheet state="hidden" name="11-03" sheetId="3" r:id="rId7"/>
    <sheet state="hidden" name="18-03" sheetId="4" r:id="rId8"/>
    <sheet state="hidden" name="25-03" sheetId="5" r:id="rId9"/>
    <sheet state="hidden" name="30-03" sheetId="6" r:id="rId10"/>
    <sheet state="hidden" name="04-04" sheetId="7" r:id="rId11"/>
    <sheet state="hidden" name="17-04" sheetId="8" r:id="rId12"/>
    <sheet state="hidden" name="27-04" sheetId="9" r:id="rId13"/>
    <sheet state="hidden" name="04-05" sheetId="10" r:id="rId14"/>
    <sheet state="hidden" name="18-05" sheetId="11" r:id="rId15"/>
    <sheet state="hidden" name="27-05" sheetId="12" r:id="rId16"/>
    <sheet state="hidden" name="Hoja 16" sheetId="13" r:id="rId17"/>
    <sheet state="hidden" name="28-06" sheetId="14" r:id="rId18"/>
    <sheet state="hidden" name="06-07" sheetId="15" r:id="rId19"/>
    <sheet state="hidden" name="23-07" sheetId="16" r:id="rId20"/>
    <sheet state="hidden" name="27-07" sheetId="17" r:id="rId21"/>
    <sheet state="hidden" name="10-08" sheetId="18" r:id="rId22"/>
    <sheet state="hidden" name="18-08" sheetId="19" r:id="rId23"/>
    <sheet state="hidden" name="25-08" sheetId="20" r:id="rId24"/>
    <sheet state="hidden" name="02-09" sheetId="21" r:id="rId25"/>
    <sheet state="hidden" name="15-09" sheetId="22" r:id="rId26"/>
    <sheet state="hidden" name="27-09" sheetId="23" r:id="rId27"/>
    <sheet state="hidden" name="14-10" sheetId="24" r:id="rId28"/>
    <sheet state="hidden" name="29-10" sheetId="25" r:id="rId29"/>
    <sheet state="hidden" name="12-1117-1119-11" sheetId="26" r:id="rId30"/>
    <sheet state="hidden" name="1-12" sheetId="27" r:id="rId31"/>
    <sheet state="hidden" name="16-12" sheetId="28" r:id="rId32"/>
    <sheet state="hidden" name="22-12" sheetId="29" r:id="rId33"/>
    <sheet state="hidden" name="28-12" sheetId="30" r:id="rId34"/>
    <sheet state="hidden" name="18-01-25" sheetId="31" r:id="rId35"/>
    <sheet state="hidden" name="27-01-25" sheetId="32" r:id="rId36"/>
    <sheet state="hidden" name="05-02-2025" sheetId="33" r:id="rId37"/>
    <sheet state="hidden" name="feb" sheetId="34" r:id="rId38"/>
    <sheet state="hidden" name="viajeFamilia" sheetId="35" r:id="rId39"/>
    <sheet state="hidden" name="02-03" sheetId="36" r:id="rId40"/>
    <sheet state="hidden" name="12-03" sheetId="37" r:id="rId41"/>
    <sheet state="hidden" name="30-03-25" sheetId="38" r:id="rId42"/>
    <sheet state="hidden" name="CuentasconStewart" sheetId="39" r:id="rId43"/>
    <sheet state="hidden" name="17-04-25" sheetId="40" r:id="rId44"/>
    <sheet state="hidden" name="27-04-25" sheetId="41" r:id="rId45"/>
    <sheet state="hidden" name="02-06-25" sheetId="42" r:id="rId46"/>
    <sheet state="hidden" name="ViajeUSA Tarjeta Julio" sheetId="43" r:id="rId47"/>
    <sheet state="hidden" name="ViajeUSA TOTALES detalle" sheetId="44" r:id="rId48"/>
    <sheet state="hidden" name="20-06-25" sheetId="45" r:id="rId49"/>
    <sheet state="hidden" name="29-06-25" sheetId="46" r:id="rId50"/>
    <sheet state="hidden" name="04-07-2025" sheetId="47" r:id="rId51"/>
    <sheet state="hidden" name="09-07-2025" sheetId="48" r:id="rId52"/>
    <sheet state="hidden" name="14-07-25" sheetId="49" r:id="rId53"/>
    <sheet state="hidden" name="20-07-25" sheetId="50" r:id="rId54"/>
    <sheet state="hidden" name="26-07-25" sheetId="51" r:id="rId55"/>
    <sheet state="hidden" name="27-07-25" sheetId="52" r:id="rId56"/>
    <sheet state="hidden" name="02-08-25" sheetId="53" r:id="rId57"/>
    <sheet state="hidden" name="07-08-25" sheetId="54" r:id="rId58"/>
    <sheet state="hidden" name="13-08-25" sheetId="55" r:id="rId59"/>
    <sheet state="hidden" name="27-08-25" sheetId="56" r:id="rId60"/>
    <sheet state="hidden" name="06-09-2025" sheetId="57" r:id="rId61"/>
    <sheet state="hidden" name="28-09-2025" sheetId="58" r:id="rId62"/>
    <sheet state="hidden" name="25-10-2025" sheetId="59" r:id="rId63"/>
    <sheet state="hidden" name="28-10-2025" sheetId="60" r:id="rId64"/>
    <sheet state="hidden" name="22-11-2025" sheetId="61" r:id="rId65"/>
    <sheet state="hidden" name="30-11-2025" sheetId="62" r:id="rId66"/>
    <sheet state="hidden" name="12-12-2025" sheetId="63" r:id="rId67"/>
    <sheet state="hidden" name="19-12-2025" sheetId="64" r:id="rId68"/>
    <sheet state="visible" name="03-01-2026" sheetId="65" r:id="rId69"/>
    <sheet state="visible" name="19-01-2026" sheetId="66" r:id="rId70"/>
    <sheet state="visible" name="29-01-2026" sheetId="67" r:id="rId71"/>
    <sheet state="visible" name="09-02-2026" sheetId="68" r:id="rId72"/>
    <sheet state="visible" name="27-02-2026" sheetId="69" r:id="rId73"/>
    <sheet state="visible" name="02-03-2026" sheetId="70" r:id="rId74"/>
    <sheet state="visible" name="21-03-2026" sheetId="71" r:id="rId75"/>
    <sheet state="visible" name="27-03-2026" sheetId="72" r:id="rId7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tc={f07a623c-5599-4fd1-bfea-1fd1d63d4583}</author>
  </authors>
  <commentList>
    <comment authorId="0" xr:uid="{f07a623c-5599-4fd1-bfea-1fd1d63d4583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se restó 80 porque Carlos me depositó
</t>
      </text>
    </comment>
  </commentList>
</comments>
</file>

<file path=xl/sharedStrings.xml><?xml version="1.0" encoding="utf-8"?>
<sst xmlns="http://schemas.openxmlformats.org/spreadsheetml/2006/main" count="2847" uniqueCount="1370">
  <si>
    <t>Descripción costo</t>
  </si>
  <si>
    <t>Banco</t>
  </si>
  <si>
    <t>Costo soles</t>
  </si>
  <si>
    <t>costo dólares</t>
  </si>
  <si>
    <t>Casita</t>
  </si>
  <si>
    <t>FlorYJulio</t>
  </si>
  <si>
    <t>Julio a Flor</t>
  </si>
  <si>
    <t>Flor a Julio</t>
  </si>
  <si>
    <t>SalidasYRegalos</t>
  </si>
  <si>
    <t>freelo</t>
  </si>
  <si>
    <t>A medias</t>
  </si>
  <si>
    <t>Edo sushi bar</t>
  </si>
  <si>
    <t>ibk</t>
  </si>
  <si>
    <t>taxi edo a larcomar</t>
  </si>
  <si>
    <t>taxi Andrea/Andres a casa</t>
  </si>
  <si>
    <t>taxi ibe a casa</t>
  </si>
  <si>
    <t>taxi a casa de carlos</t>
  </si>
  <si>
    <t>taxi schell a larcomar - lentes</t>
  </si>
  <si>
    <t>farmacia 21 feb - 8:46pm</t>
  </si>
  <si>
    <t>7 sopas</t>
  </si>
  <si>
    <t>priority pass</t>
  </si>
  <si>
    <t>pizzas post ibe</t>
  </si>
  <si>
    <t>bcp</t>
  </si>
  <si>
    <t>almuerzo casa Ale&amp;Carlos</t>
  </si>
  <si>
    <t>metro barranco desayuno</t>
  </si>
  <si>
    <t>miniso larcomar - botiquin</t>
  </si>
  <si>
    <t>mangos</t>
  </si>
  <si>
    <t>bodega trattoria</t>
  </si>
  <si>
    <t>paletas familia</t>
  </si>
  <si>
    <t>jvlio</t>
  </si>
  <si>
    <t>flor</t>
  </si>
  <si>
    <t>ofrenda a señora de las medias</t>
  </si>
  <si>
    <t>BCP</t>
  </si>
  <si>
    <t>rappi trattoria</t>
  </si>
  <si>
    <t>taxi a edificio tejada</t>
  </si>
  <si>
    <t>taxi las letras a casa</t>
  </si>
  <si>
    <t>taxi marina a san insidro</t>
  </si>
  <si>
    <t>taxi casa a marina</t>
  </si>
  <si>
    <t>sydney</t>
  </si>
  <si>
    <t>Wong chacarilla</t>
  </si>
  <si>
    <t>dolce capriccio</t>
  </si>
  <si>
    <t>taxi casa a chacarilla</t>
  </si>
  <si>
    <t>consulta sanna</t>
  </si>
  <si>
    <t>joinnus tobi</t>
  </si>
  <si>
    <t>taxi makro a casa</t>
  </si>
  <si>
    <t>Makro</t>
  </si>
  <si>
    <t>Caleta dolce acai</t>
  </si>
  <si>
    <t>IBK</t>
  </si>
  <si>
    <t>kfc amigos en casa</t>
  </si>
  <si>
    <t>taxi la carreta a casa</t>
  </si>
  <si>
    <t>alitas hot wings amigos casa</t>
  </si>
  <si>
    <t>miguelón pollo broder</t>
  </si>
  <si>
    <t>Flor</t>
  </si>
  <si>
    <t xml:space="preserve">tamales </t>
  </si>
  <si>
    <t>casita</t>
  </si>
  <si>
    <t>tostadas</t>
  </si>
  <si>
    <t>frejoles</t>
  </si>
  <si>
    <t>cerveza</t>
  </si>
  <si>
    <t>cheetos</t>
  </si>
  <si>
    <t>jugo tropical</t>
  </si>
  <si>
    <t>snacks</t>
  </si>
  <si>
    <t>queso manchego</t>
  </si>
  <si>
    <t>cranberry</t>
  </si>
  <si>
    <t>cabanossi</t>
  </si>
  <si>
    <t>otro queso</t>
  </si>
  <si>
    <t>queso edam</t>
  </si>
  <si>
    <t xml:space="preserve">solomillo </t>
  </si>
  <si>
    <t>papa cocktail</t>
  </si>
  <si>
    <t>Carestino</t>
  </si>
  <si>
    <t xml:space="preserve">taxi jockey casa </t>
  </si>
  <si>
    <t>taxi casa jockey</t>
  </si>
  <si>
    <t>taxi a visita dpto</t>
  </si>
  <si>
    <t>las canastas</t>
  </si>
  <si>
    <t>mifarma jabón</t>
  </si>
  <si>
    <t>yape Ayahuasca</t>
  </si>
  <si>
    <t>didi 13 marzo - visita</t>
  </si>
  <si>
    <t>didi 15 marzo - las letras</t>
  </si>
  <si>
    <t>penalización didi</t>
  </si>
  <si>
    <t>didi 15 marzo - las letras a casa</t>
  </si>
  <si>
    <t>Bianca</t>
  </si>
  <si>
    <t>didi 16 marzo - casa Carlos</t>
  </si>
  <si>
    <t>didi 16 marzo - baby shower</t>
  </si>
  <si>
    <t>didi 16 marzo - baby shower a casa</t>
  </si>
  <si>
    <t>Costo dólares</t>
  </si>
  <si>
    <t>Mudanza</t>
  </si>
  <si>
    <t>Bono</t>
  </si>
  <si>
    <t>Emergencia</t>
  </si>
  <si>
    <t>notaria firmas</t>
  </si>
  <si>
    <t>didi a oficina Paulo</t>
  </si>
  <si>
    <t>Didi de notaria a casa</t>
  </si>
  <si>
    <t>bono</t>
  </si>
  <si>
    <t>vaca negra</t>
  </si>
  <si>
    <t>Usado en restante garantia</t>
  </si>
  <si>
    <t>didi trabajo flor a open plaza</t>
  </si>
  <si>
    <t>pago arbitrios</t>
  </si>
  <si>
    <t>grau c12 (helado Danna)</t>
  </si>
  <si>
    <t>total compras hasta 24 marzo</t>
  </si>
  <si>
    <t>pizza</t>
  </si>
  <si>
    <t>Restante bono</t>
  </si>
  <si>
    <t>didi casa a open plaza</t>
  </si>
  <si>
    <t>casa ideas</t>
  </si>
  <si>
    <t>didi open plaza a caminos del inca</t>
  </si>
  <si>
    <t>sarcletti</t>
  </si>
  <si>
    <t>promart</t>
  </si>
  <si>
    <t>didi casa a ibuki</t>
  </si>
  <si>
    <t>didi ibuki a las letras</t>
  </si>
  <si>
    <t>didi plaza a casa</t>
  </si>
  <si>
    <t>didi angamos a casa</t>
  </si>
  <si>
    <t>priority</t>
  </si>
  <si>
    <t>yae bubbles</t>
  </si>
  <si>
    <t>yape colectivo a san miguel</t>
  </si>
  <si>
    <t>yape colectivo a ventana</t>
  </si>
  <si>
    <t>yape colectivo de letras a san miguek</t>
  </si>
  <si>
    <t>didi larcomar casa post cine</t>
  </si>
  <si>
    <t>cinepolis</t>
  </si>
  <si>
    <t>didi casa a larcomar</t>
  </si>
  <si>
    <t>didi plaza angamos casa</t>
  </si>
  <si>
    <t>sodimac</t>
  </si>
  <si>
    <t>pardos almuerzo mudanza</t>
  </si>
  <si>
    <t>didi 28 marzo</t>
  </si>
  <si>
    <t>Débito</t>
  </si>
  <si>
    <t>paletas zacateas</t>
  </si>
  <si>
    <t>yape alcohol isopropilico</t>
  </si>
  <si>
    <t>yape menúes</t>
  </si>
  <si>
    <t>yape racks</t>
  </si>
  <si>
    <t>yape carro mudanza</t>
  </si>
  <si>
    <t>instalación terma yape</t>
  </si>
  <si>
    <t>Caleta dolce</t>
  </si>
  <si>
    <t>pasajes makro y mueblería taxi</t>
  </si>
  <si>
    <t>copia llave</t>
  </si>
  <si>
    <t>Didi dentista</t>
  </si>
  <si>
    <t>didi makro</t>
  </si>
  <si>
    <t>Falabella microondas</t>
  </si>
  <si>
    <t>didi mueblería</t>
  </si>
  <si>
    <t>tottus</t>
  </si>
  <si>
    <t>bigote</t>
  </si>
  <si>
    <t>mifarma</t>
  </si>
  <si>
    <t>didi open plaza a casa</t>
  </si>
  <si>
    <t>edo</t>
  </si>
  <si>
    <t>TOTAL</t>
  </si>
  <si>
    <t>Polo regalo Roberto</t>
  </si>
  <si>
    <t>Restaurante Mangos</t>
  </si>
  <si>
    <t>Restante cobro IBK</t>
  </si>
  <si>
    <t>taxi digital factory open plaza</t>
  </si>
  <si>
    <t>taxi Armendariz - casa</t>
  </si>
  <si>
    <t>taxi casa a mangos</t>
  </si>
  <si>
    <t>taxi casa a Jeanca</t>
  </si>
  <si>
    <t>taxi Jeanca - casa</t>
  </si>
  <si>
    <t>Taxi casa a SM - Roberto cumple</t>
  </si>
  <si>
    <t xml:space="preserve">Moto paradero a casa </t>
  </si>
  <si>
    <t>Taxi SM a casa</t>
  </si>
  <si>
    <t>Snacks para la red - papitas</t>
  </si>
  <si>
    <t>pizza hut</t>
  </si>
  <si>
    <t>Madam Tusan</t>
  </si>
  <si>
    <t>Pedido Almuerzo</t>
  </si>
  <si>
    <t>El muelle</t>
  </si>
  <si>
    <t>didi 24 regreso fulbito</t>
  </si>
  <si>
    <t>didi 24 abril al fulbito</t>
  </si>
  <si>
    <t>didi 23 las letras a casa</t>
  </si>
  <si>
    <t>didi 22 casa a open plaza</t>
  </si>
  <si>
    <t>h&amp;m</t>
  </si>
  <si>
    <t>cinepolis entradas</t>
  </si>
  <si>
    <t>pardos delivery</t>
  </si>
  <si>
    <t>metro barranco</t>
  </si>
  <si>
    <t>caleta desayuno</t>
  </si>
  <si>
    <t>didi 20 casa a zara</t>
  </si>
  <si>
    <t>didi 19 doomo a casa</t>
  </si>
  <si>
    <t>didi 19 casa a doomo</t>
  </si>
  <si>
    <t>totales</t>
  </si>
  <si>
    <t>Sobrante</t>
  </si>
  <si>
    <t>Taxi Zara a casa</t>
  </si>
  <si>
    <t>didi casa a kion</t>
  </si>
  <si>
    <t>taxi desde larco a zara</t>
  </si>
  <si>
    <t>didi casa a Melisa</t>
  </si>
  <si>
    <t>didi Melisa a casa</t>
  </si>
  <si>
    <t>cuadra salvador</t>
  </si>
  <si>
    <t>Totales</t>
  </si>
  <si>
    <t>total total</t>
  </si>
  <si>
    <t>taxi uber día madre</t>
  </si>
  <si>
    <t>colectivo ventanilla</t>
  </si>
  <si>
    <t>moto a casa</t>
  </si>
  <si>
    <t>pollo brother</t>
  </si>
  <si>
    <t>cosas para tinto</t>
  </si>
  <si>
    <t>menu 13 mayo</t>
  </si>
  <si>
    <t>panes 14 mayo</t>
  </si>
  <si>
    <t>menu 15 mayo</t>
  </si>
  <si>
    <t>didi 5 mayo</t>
  </si>
  <si>
    <t>siete sopas</t>
  </si>
  <si>
    <t>chilis larcomar - alitas</t>
  </si>
  <si>
    <t>pollo a la brasa bingo</t>
  </si>
  <si>
    <t>piizas juegos</t>
  </si>
  <si>
    <t>didi casa de carlos</t>
  </si>
  <si>
    <t>didi casa carlos a plaza</t>
  </si>
  <si>
    <t>didi ventanilla la lucha</t>
  </si>
  <si>
    <t>taxi casa a letras</t>
  </si>
  <si>
    <t>luha desayuno</t>
  </si>
  <si>
    <t>caleta dolsa</t>
  </si>
  <si>
    <t>toallas mifarma</t>
  </si>
  <si>
    <t>didi casa larcomar 16 mayo</t>
  </si>
  <si>
    <t>rappi buena muerte causa lo más barato</t>
  </si>
  <si>
    <t>hadas</t>
  </si>
  <si>
    <t>taxi casa a trattoria</t>
  </si>
  <si>
    <t>taxi trattoria a la ferai</t>
  </si>
  <si>
    <t>trattoria comida</t>
  </si>
  <si>
    <t>retiro efectivo 20 soles para bubble</t>
  </si>
  <si>
    <t>taxi centro lima a casa</t>
  </si>
  <si>
    <t>gap</t>
  </si>
  <si>
    <t>taxi wong bajada balta a casa</t>
  </si>
  <si>
    <t>taxi casa a wong</t>
  </si>
  <si>
    <t>Wong bajada balta</t>
  </si>
  <si>
    <t>taxi metro a casa</t>
  </si>
  <si>
    <t>taxi armendariz a cuadra salvador</t>
  </si>
  <si>
    <t>taxi casa a larcomar</t>
  </si>
  <si>
    <t>taxi arequipa a casa</t>
  </si>
  <si>
    <t>la shick vinos</t>
  </si>
  <si>
    <t>shushupe bar</t>
  </si>
  <si>
    <t>shushupe bar comida</t>
  </si>
  <si>
    <t>tinajas</t>
  </si>
  <si>
    <t>taxi after red a casa</t>
  </si>
  <si>
    <t>taxi a cocina de ximena</t>
  </si>
  <si>
    <t>cocina de ximena</t>
  </si>
  <si>
    <t>taxi casa ximena a casa</t>
  </si>
  <si>
    <t>taxi larcomar a casa</t>
  </si>
  <si>
    <t>taxi casa a larcomar cine</t>
  </si>
  <si>
    <t>taxi cine larcomar a casa</t>
  </si>
  <si>
    <t>pedidosya maria almenara</t>
  </si>
  <si>
    <t>pedidosya sienna bakery</t>
  </si>
  <si>
    <t>miguelón</t>
  </si>
  <si>
    <t>taxi makro casa</t>
  </si>
  <si>
    <t>taxi caleta a makro</t>
  </si>
  <si>
    <t>caleta dolce</t>
  </si>
  <si>
    <t>yape agua y papa con huevo</t>
  </si>
  <si>
    <t>Chifa</t>
  </si>
  <si>
    <t>ilahui</t>
  </si>
  <si>
    <t>plásticos</t>
  </si>
  <si>
    <t>taxi a chilis larcomar</t>
  </si>
  <si>
    <t>taxi a casa de chilis</t>
  </si>
  <si>
    <t>chilis - alitas y quesadilla</t>
  </si>
  <si>
    <t>primos</t>
  </si>
  <si>
    <t>taxi casa a primos</t>
  </si>
  <si>
    <t>taxi a cine</t>
  </si>
  <si>
    <t>taxi a open plaza</t>
  </si>
  <si>
    <t>don mamino</t>
  </si>
  <si>
    <t>didi carlos a plaza</t>
  </si>
  <si>
    <t>pollo - karen me paso 90</t>
  </si>
  <si>
    <t>didi plaza a casa - dia padre</t>
  </si>
  <si>
    <t>colectivo plaza a casa ventanilla</t>
  </si>
  <si>
    <t>colectivo casa ventanilla a plaza</t>
  </si>
  <si>
    <t>moto de casa ventanilla a paradero</t>
  </si>
  <si>
    <t>Julio</t>
  </si>
  <si>
    <t>Power</t>
  </si>
  <si>
    <t>Power ropa</t>
  </si>
  <si>
    <t>pardos 18 junio</t>
  </si>
  <si>
    <t>pizza cignium</t>
  </si>
  <si>
    <t>chilin larcomarcignium</t>
  </si>
  <si>
    <t>celular 53,90</t>
  </si>
  <si>
    <t>nike</t>
  </si>
  <si>
    <t>tommy</t>
  </si>
  <si>
    <t>didi 12 junio red</t>
  </si>
  <si>
    <t>wong larcomar</t>
  </si>
  <si>
    <t>didi 22 junio javier prado a casa</t>
  </si>
  <si>
    <t>pedidosya 21 junio</t>
  </si>
  <si>
    <t>tanta larcomar</t>
  </si>
  <si>
    <t>plaza vea ventana cumple</t>
  </si>
  <si>
    <t>didi 24 junio a edo</t>
  </si>
  <si>
    <t>didi 24 junio a polvos</t>
  </si>
  <si>
    <t>didi 23 junio pplaza a casa</t>
  </si>
  <si>
    <t>juegos</t>
  </si>
  <si>
    <t>caleta</t>
  </si>
  <si>
    <t>didi 27 junio a casa de los pastores</t>
  </si>
  <si>
    <t>pollo pardos cignium</t>
  </si>
  <si>
    <t>didi 27 junio de pastores a casa</t>
  </si>
  <si>
    <t>starbucks</t>
  </si>
  <si>
    <t>pizza hut cignium</t>
  </si>
  <si>
    <t>yape 22 junio 4:51</t>
  </si>
  <si>
    <t>yape 22 junio 11:15</t>
  </si>
  <si>
    <t>yape 23 junio 12:06</t>
  </si>
  <si>
    <t>yae 23 junio 12:09</t>
  </si>
  <si>
    <t>yape 23 junio apio</t>
  </si>
  <si>
    <t>yape 23 junio 12:37</t>
  </si>
  <si>
    <t>yape 23 junio 1:07</t>
  </si>
  <si>
    <t>yape 23 junio 1:11</t>
  </si>
  <si>
    <t>yape 23 junio 1:21</t>
  </si>
  <si>
    <t>yape 23 junio 1:28</t>
  </si>
  <si>
    <t>yape 23 junio taxi a plaza</t>
  </si>
  <si>
    <t>yape 24 junio 6:29</t>
  </si>
  <si>
    <t>limones en holi</t>
  </si>
  <si>
    <t>gasto almuerzo cumple</t>
  </si>
  <si>
    <t>Power viaje</t>
  </si>
  <si>
    <t>Pasaje regreso Trux</t>
  </si>
  <si>
    <t>Didi las letras makro</t>
  </si>
  <si>
    <t>Didi cancelacion</t>
  </si>
  <si>
    <t>Didi makro a casa</t>
  </si>
  <si>
    <t>Did las begonias a casa</t>
  </si>
  <si>
    <t>Almuerzo Naishy</t>
  </si>
  <si>
    <t>alacranes centro civico</t>
  </si>
  <si>
    <t>cinnabon</t>
  </si>
  <si>
    <t>la lucha</t>
  </si>
  <si>
    <t>rutina</t>
  </si>
  <si>
    <t>pasajes conchan</t>
  </si>
  <si>
    <t xml:space="preserve">retiro pasajes </t>
  </si>
  <si>
    <t>Yape</t>
  </si>
  <si>
    <t>didi a mecrado surquillo</t>
  </si>
  <si>
    <t>bodega de la trattoria</t>
  </si>
  <si>
    <t>didi larcomar a casa</t>
  </si>
  <si>
    <t>mifarma Diagonal</t>
  </si>
  <si>
    <t>chilis balta</t>
  </si>
  <si>
    <t>Didi 11 julio mifarma a casa</t>
  </si>
  <si>
    <t>Didi 13 julio a san miguel para manejo</t>
  </si>
  <si>
    <t>Didi 13 julio casa a red</t>
  </si>
  <si>
    <t>Didi 13 julio red a casa</t>
  </si>
  <si>
    <t>Didi 14 julio las letras a casa</t>
  </si>
  <si>
    <t>Chaxra</t>
  </si>
  <si>
    <t>lalucha mío</t>
  </si>
  <si>
    <t>el molinero</t>
  </si>
  <si>
    <t>didi 20 julio museo larco</t>
  </si>
  <si>
    <t>museo larco</t>
  </si>
  <si>
    <t>didi 21 julio larcomar a casa</t>
  </si>
  <si>
    <t>didi 21 julio av la paza a larcormar</t>
  </si>
  <si>
    <t>didi 21 julio armendariz a che cha</t>
  </si>
  <si>
    <t>che cha</t>
  </si>
  <si>
    <t>mundo reset mio</t>
  </si>
  <si>
    <t>sí tobi</t>
  </si>
  <si>
    <t>almuerzo 21 julio</t>
  </si>
  <si>
    <t>almuerzo 17 julio</t>
  </si>
  <si>
    <t>TOTALES</t>
  </si>
  <si>
    <t>Visa</t>
  </si>
  <si>
    <t>Didi 25 julio saga a casa</t>
  </si>
  <si>
    <t>Retiro agente</t>
  </si>
  <si>
    <t>uber regreso a casa de trabajo</t>
  </si>
  <si>
    <t>didi a saga begonias</t>
  </si>
  <si>
    <t>didi casa a torre omega</t>
  </si>
  <si>
    <t>sarceltti</t>
  </si>
  <si>
    <t>oltursa</t>
  </si>
  <si>
    <t>ittsa</t>
  </si>
  <si>
    <t>la leña</t>
  </si>
  <si>
    <t>didi la leña a sddimac</t>
  </si>
  <si>
    <t>didi sodimac a casa</t>
  </si>
  <si>
    <t>FlorJulio</t>
  </si>
  <si>
    <t>Cumpleaños Mes</t>
  </si>
  <si>
    <t>Espera</t>
  </si>
  <si>
    <t>Casa a Larcomar</t>
  </si>
  <si>
    <t>Larcomar a casa</t>
  </si>
  <si>
    <t>Pedro Martinto a Carlos</t>
  </si>
  <si>
    <t>Makro a casa</t>
  </si>
  <si>
    <t>Cinepolis entradas</t>
  </si>
  <si>
    <t>Cinepolis comida</t>
  </si>
  <si>
    <t>Chaxras</t>
  </si>
  <si>
    <t>MiFarma Prueba Embarazo</t>
  </si>
  <si>
    <t>Sofa Cafe desayuno</t>
  </si>
  <si>
    <t>Reiwa Yakitori</t>
  </si>
  <si>
    <t>Metro Barranco</t>
  </si>
  <si>
    <t>Mifarma Barranco hilo dental</t>
  </si>
  <si>
    <t>tenía efectivo</t>
  </si>
  <si>
    <t>BCP deb</t>
  </si>
  <si>
    <t>efectivo para limpieza</t>
  </si>
  <si>
    <t>yape</t>
  </si>
  <si>
    <t>corte cabello</t>
  </si>
  <si>
    <t>Taxi a ittsa</t>
  </si>
  <si>
    <t>taxi a desayuno Trux</t>
  </si>
  <si>
    <t>colectivo a puerto llegada</t>
  </si>
  <si>
    <t>agua fiel</t>
  </si>
  <si>
    <t>yape 3 agosto</t>
  </si>
  <si>
    <t>Pasaje dorado a Trux</t>
  </si>
  <si>
    <t>taxi de chan chan a centro</t>
  </si>
  <si>
    <t>taxi a real plaza</t>
  </si>
  <si>
    <t>MYR a trujillo día chan chan</t>
  </si>
  <si>
    <t>chicle</t>
  </si>
  <si>
    <t>Menus</t>
  </si>
  <si>
    <t>anticucho</t>
  </si>
  <si>
    <t>jugos</t>
  </si>
  <si>
    <t>picarones</t>
  </si>
  <si>
    <t>myr regreso a truz Lima</t>
  </si>
  <si>
    <t>taxi a casa de mi tío Mañuco</t>
  </si>
  <si>
    <t>taxi a alameda</t>
  </si>
  <si>
    <t>dulces Trux</t>
  </si>
  <si>
    <t>Zapatillas Mama</t>
  </si>
  <si>
    <t>Taxi alameda a tío Mañuco</t>
  </si>
  <si>
    <t>taxi a aeropuerto</t>
  </si>
  <si>
    <t>Iman y chicle</t>
  </si>
  <si>
    <t>moto a norkys</t>
  </si>
  <si>
    <t>moto de norkys a casa</t>
  </si>
  <si>
    <t>ceviche borrador callao</t>
  </si>
  <si>
    <t>taxi de chamba a visa</t>
  </si>
  <si>
    <t>taxi visa a chamba</t>
  </si>
  <si>
    <t>taxi casa a oltursa</t>
  </si>
  <si>
    <t>aeropuerto a ventana</t>
  </si>
  <si>
    <t>taxi ventana a casa</t>
  </si>
  <si>
    <t>taxi casa a las letras</t>
  </si>
  <si>
    <t>desayuno rincon vallejo</t>
  </si>
  <si>
    <t>almuerzo pescado</t>
  </si>
  <si>
    <t>kfc trux</t>
  </si>
  <si>
    <t>siete sopas trux</t>
  </si>
  <si>
    <t>norkys almuerzo mamá</t>
  </si>
  <si>
    <t>mifarma aviación</t>
  </si>
  <si>
    <t>lonche las letras</t>
  </si>
  <si>
    <t>pagalope - examen reglas</t>
  </si>
  <si>
    <t>SUB-TOTALES</t>
  </si>
  <si>
    <t>metro barranco 12/08</t>
  </si>
  <si>
    <t>Falabella</t>
  </si>
  <si>
    <t>Didi casa a claro</t>
  </si>
  <si>
    <t>Didi claro a casa</t>
  </si>
  <si>
    <t>SB Larcomar</t>
  </si>
  <si>
    <t>Lucio café</t>
  </si>
  <si>
    <t>Didi larcomar a casa</t>
  </si>
  <si>
    <t>Uber 15/08</t>
  </si>
  <si>
    <t>Zig Zag - regalos Ale</t>
  </si>
  <si>
    <t>Caleta</t>
  </si>
  <si>
    <t>MEtro Barranco lonche</t>
  </si>
  <si>
    <t>Pizza</t>
  </si>
  <si>
    <t>Pan</t>
  </si>
  <si>
    <t>Almuerzo</t>
  </si>
  <si>
    <t>Limpieza</t>
  </si>
  <si>
    <t>TOTAL Julio</t>
  </si>
  <si>
    <t>TOTAL Flor</t>
  </si>
  <si>
    <t>Brevete</t>
  </si>
  <si>
    <t>el muelle</t>
  </si>
  <si>
    <t>don tito</t>
  </si>
  <si>
    <t>Didi 22 ago</t>
  </si>
  <si>
    <t>Mifarma Barranco</t>
  </si>
  <si>
    <t>Didi 20 ago - borrador a casa</t>
  </si>
  <si>
    <t>Didi 20 ago - mall a examen escrito</t>
  </si>
  <si>
    <t>Pagalope derecho examen practico</t>
  </si>
  <si>
    <t>deuda pending</t>
  </si>
  <si>
    <t>Doomo Saltado</t>
  </si>
  <si>
    <t>Metro 18/08</t>
  </si>
  <si>
    <t>Almuerzo borrador</t>
  </si>
  <si>
    <t>Pan para el ají</t>
  </si>
  <si>
    <t>3 limones</t>
  </si>
  <si>
    <t>Desayuno Universitaria</t>
  </si>
  <si>
    <t>Colectivo ida</t>
  </si>
  <si>
    <t>Colectivo regreso</t>
  </si>
  <si>
    <t>Pasajes a Marbal</t>
  </si>
  <si>
    <t>a medias</t>
  </si>
  <si>
    <t>didi 30 agosto - a casa de Carlos</t>
  </si>
  <si>
    <t>Didi 30 agosto - casa a Makro</t>
  </si>
  <si>
    <t>Rappi</t>
  </si>
  <si>
    <t>Didi 31 agosto - Marina a casa</t>
  </si>
  <si>
    <t>Colectivo temprano</t>
  </si>
  <si>
    <t>Moto a Marbal</t>
  </si>
  <si>
    <t>Desayuno panes</t>
  </si>
  <si>
    <t>colectivo a marina regreso</t>
  </si>
  <si>
    <t>Bus a paradero centro</t>
  </si>
  <si>
    <t>Bus a Makro</t>
  </si>
  <si>
    <t>Bus a Wong</t>
  </si>
  <si>
    <t>Bus Wong a casa</t>
  </si>
  <si>
    <t>Préstamo</t>
  </si>
  <si>
    <t>didi 16 setiembre a notaría</t>
  </si>
  <si>
    <t>pollo pardos</t>
  </si>
  <si>
    <t>casa a emmanuel hoy</t>
  </si>
  <si>
    <t>la marina a casa - post visita carro</t>
  </si>
  <si>
    <t>macdonalds</t>
  </si>
  <si>
    <t>didi casa a visita carro</t>
  </si>
  <si>
    <t>pagalo</t>
  </si>
  <si>
    <t>grazie</t>
  </si>
  <si>
    <t>el chinito</t>
  </si>
  <si>
    <t>hel</t>
  </si>
  <si>
    <t>rappi picarones</t>
  </si>
  <si>
    <t>didi tomas valle a carreta</t>
  </si>
  <si>
    <t xml:space="preserve">didi navarrete miniso a casa </t>
  </si>
  <si>
    <t>rappi primos chicken</t>
  </si>
  <si>
    <t>taxi marina a casa - cita papá</t>
  </si>
  <si>
    <t>didi casa a callao brevete</t>
  </si>
  <si>
    <t>pagalo.pe</t>
  </si>
  <si>
    <t>didi las letras a casa - se fue la luz</t>
  </si>
  <si>
    <t>didi casa a las letras - se fue la luz</t>
  </si>
  <si>
    <t>Menu reniec</t>
  </si>
  <si>
    <t>menu viernes</t>
  </si>
  <si>
    <t>pasaje metro</t>
  </si>
  <si>
    <t>limpieza</t>
  </si>
  <si>
    <t xml:space="preserve">flores </t>
  </si>
  <si>
    <t>teléfono</t>
  </si>
  <si>
    <t>SUMA</t>
  </si>
  <si>
    <t>chilis casa Carlos</t>
  </si>
  <si>
    <t>apparka centro lima</t>
  </si>
  <si>
    <t>didi a clínica internacional</t>
  </si>
  <si>
    <t>chifa centro de Lima</t>
  </si>
  <si>
    <t>pizza día clínic</t>
  </si>
  <si>
    <t>didi regreso las letras a casa</t>
  </si>
  <si>
    <t>los portales larcomar</t>
  </si>
  <si>
    <t>cinepolis dulces</t>
  </si>
  <si>
    <t>cinepolis entradas 77</t>
  </si>
  <si>
    <t>SUMAS Julio</t>
  </si>
  <si>
    <t>estacionamiento larcomar</t>
  </si>
  <si>
    <t>cinepolis cancha y bebida</t>
  </si>
  <si>
    <t>estacionamiento ibe</t>
  </si>
  <si>
    <t xml:space="preserve">san antonio </t>
  </si>
  <si>
    <t>aguajal</t>
  </si>
  <si>
    <t>chilis pedidos ya</t>
  </si>
  <si>
    <t xml:space="preserve">aparka larcomar </t>
  </si>
  <si>
    <t>tailoy</t>
  </si>
  <si>
    <t>pollo almuerzo bautizo</t>
  </si>
  <si>
    <t>mollejitas almuerzo bautizo</t>
  </si>
  <si>
    <t>chilis jockey almuerzo</t>
  </si>
  <si>
    <t>SUMAs</t>
  </si>
  <si>
    <t>salidas y regalos</t>
  </si>
  <si>
    <t>FyJ</t>
  </si>
  <si>
    <t>Gasolina</t>
  </si>
  <si>
    <t>Fecha</t>
  </si>
  <si>
    <t>b2 barranco</t>
  </si>
  <si>
    <t>coolbox</t>
  </si>
  <si>
    <t>estacionamiento navarrete</t>
  </si>
  <si>
    <t>aparka open plaza angamos</t>
  </si>
  <si>
    <t>blu helados</t>
  </si>
  <si>
    <t>rappi doomo</t>
  </si>
  <si>
    <t>edo sushi bar</t>
  </si>
  <si>
    <t>metro barranco jugo naranja</t>
  </si>
  <si>
    <t>rappi san antonio</t>
  </si>
  <si>
    <t>pollo pardos almuerzo</t>
  </si>
  <si>
    <t>limpieza 29/10</t>
  </si>
  <si>
    <t>almuerzos menu 28/10</t>
  </si>
  <si>
    <t>comida red</t>
  </si>
  <si>
    <t>celular pago</t>
  </si>
  <si>
    <t>limpieza 16/10</t>
  </si>
  <si>
    <t>yape martes 22/10 limones</t>
  </si>
  <si>
    <t>SUMAS</t>
  </si>
  <si>
    <t>Navidad</t>
  </si>
  <si>
    <t>CTS</t>
  </si>
  <si>
    <t>Molinero</t>
  </si>
  <si>
    <t>Ensalada bigotes rappi</t>
  </si>
  <si>
    <t>Cineplanet</t>
  </si>
  <si>
    <t>Cineplanet comida</t>
  </si>
  <si>
    <t>Portales Jockey</t>
  </si>
  <si>
    <t>Tanta</t>
  </si>
  <si>
    <t>Pollo pardos</t>
  </si>
  <si>
    <t>Pizza Katherine</t>
  </si>
  <si>
    <t>Espacio Raisza Herrera</t>
  </si>
  <si>
    <t>plin parqueo la punta</t>
  </si>
  <si>
    <t>plin don giuseppe</t>
  </si>
  <si>
    <t>retiro efectivo limpieza</t>
  </si>
  <si>
    <t>plaza vea cortijo adornos</t>
  </si>
  <si>
    <t>parqueo larcomar</t>
  </si>
  <si>
    <t>zacatecas paletas</t>
  </si>
  <si>
    <t>mifarma resaca</t>
  </si>
  <si>
    <t>la lucha pedidosya</t>
  </si>
  <si>
    <t>adidas</t>
  </si>
  <si>
    <t>metro tamales</t>
  </si>
  <si>
    <t>chanfainita y triple</t>
  </si>
  <si>
    <t>chicken powder</t>
  </si>
  <si>
    <t>como como</t>
  </si>
  <si>
    <t>salidas</t>
  </si>
  <si>
    <t>regalos Ale</t>
  </si>
  <si>
    <t>regalo papá Flor</t>
  </si>
  <si>
    <t>regalo Alessia</t>
  </si>
  <si>
    <t>salud</t>
  </si>
  <si>
    <t>comida</t>
  </si>
  <si>
    <t>mantnimiento</t>
  </si>
  <si>
    <t>celulares</t>
  </si>
  <si>
    <t>power</t>
  </si>
  <si>
    <t>Salidas y regalos</t>
  </si>
  <si>
    <t>bancas</t>
  </si>
  <si>
    <t>cervezas</t>
  </si>
  <si>
    <t>chifles</t>
  </si>
  <si>
    <t>Extra</t>
  </si>
  <si>
    <t>tomate</t>
  </si>
  <si>
    <t>yape práctica manejo pista</t>
  </si>
  <si>
    <t>jugos kike</t>
  </si>
  <si>
    <t>pan</t>
  </si>
  <si>
    <t>gasolina</t>
  </si>
  <si>
    <t>oxxo chicles</t>
  </si>
  <si>
    <t>didi a la pérgola</t>
  </si>
  <si>
    <t>tailoy regalo navidad alessia</t>
  </si>
  <si>
    <t>izi cholita - integración navidad</t>
  </si>
  <si>
    <t>air fryer</t>
  </si>
  <si>
    <t>grazie café - cheesecake maracuyá</t>
  </si>
  <si>
    <t>apparka ibe</t>
  </si>
  <si>
    <t>didi a corte cabello</t>
  </si>
  <si>
    <t>starbucks post clínica</t>
  </si>
  <si>
    <t>suma total</t>
  </si>
  <si>
    <t>saco lavandería</t>
  </si>
  <si>
    <t>revisión llanta barranco</t>
  </si>
  <si>
    <t>revisión llanta primera grifo</t>
  </si>
  <si>
    <t>botones casa andina</t>
  </si>
  <si>
    <t>pedidos ya bigotes</t>
  </si>
  <si>
    <t>villa chicken</t>
  </si>
  <si>
    <t>estacionamiento gente sabia</t>
  </si>
  <si>
    <t>gasolina barranco gente sabia</t>
  </si>
  <si>
    <t>buffet el hawaiano</t>
  </si>
  <si>
    <t>carne para picante</t>
  </si>
  <si>
    <t>metro barranco: salsa bbq</t>
  </si>
  <si>
    <t>rappi primos</t>
  </si>
  <si>
    <t>la lucha pedido naranjada</t>
  </si>
  <si>
    <t>aruma</t>
  </si>
  <si>
    <t>tio mario</t>
  </si>
  <si>
    <t>barranco gasolina</t>
  </si>
  <si>
    <t>casa andina</t>
  </si>
  <si>
    <t>peaje</t>
  </si>
  <si>
    <t>bigotes</t>
  </si>
  <si>
    <t>grati limpieza</t>
  </si>
  <si>
    <t>aparcamiento sanna</t>
  </si>
  <si>
    <t>pagalope</t>
  </si>
  <si>
    <t>estacionamiento marbal</t>
  </si>
  <si>
    <t>desayuno pejerrey</t>
  </si>
  <si>
    <t>corte pavo</t>
  </si>
  <si>
    <t>estacionamiento mercado</t>
  </si>
  <si>
    <t>lavado carro</t>
  </si>
  <si>
    <t>metro arroz árabe</t>
  </si>
  <si>
    <t>gasolina tanqueado</t>
  </si>
  <si>
    <t>didi</t>
  </si>
  <si>
    <t>ají de la casa</t>
  </si>
  <si>
    <t>cinepolis comida</t>
  </si>
  <si>
    <t>portales larcomar</t>
  </si>
  <si>
    <t>consumo trattoria</t>
  </si>
  <si>
    <t>polos???</t>
  </si>
  <si>
    <t>Chilis</t>
  </si>
  <si>
    <t>arroz chaufa fin de año</t>
  </si>
  <si>
    <t>estacionamiento Larcomar</t>
  </si>
  <si>
    <t>el turco corte cabello</t>
  </si>
  <si>
    <t>tanqueado carro</t>
  </si>
  <si>
    <t>aparcamiento ibe</t>
  </si>
  <si>
    <t>sanguchón monstruo</t>
  </si>
  <si>
    <t>pedidos ya la lucha</t>
  </si>
  <si>
    <t>starbucks larcomar</t>
  </si>
  <si>
    <t>aparcamiento larcomar</t>
  </si>
  <si>
    <t>aparcamiento IBE</t>
  </si>
  <si>
    <t>larcomar aparcamiento día cine</t>
  </si>
  <si>
    <t>wong benavides</t>
  </si>
  <si>
    <t>anticuchos tio mario</t>
  </si>
  <si>
    <t>agua metro barranco</t>
  </si>
  <si>
    <t>cena fin de año trabajo</t>
  </si>
  <si>
    <t xml:space="preserve">impresión  contancia de pago </t>
  </si>
  <si>
    <t>desayuno marbal</t>
  </si>
  <si>
    <t>almuerzo marbal</t>
  </si>
  <si>
    <t>regalo JC</t>
  </si>
  <si>
    <t>plin makis</t>
  </si>
  <si>
    <t>gaseosas casa ventana</t>
  </si>
  <si>
    <t>cerveza ventana</t>
  </si>
  <si>
    <t>chinitooo</t>
  </si>
  <si>
    <t>dsm</t>
  </si>
  <si>
    <t>deuda tc</t>
  </si>
  <si>
    <t>suma deuda tc</t>
  </si>
  <si>
    <t>resta deuda tc - suma deuda</t>
  </si>
  <si>
    <t>lo que pagó tz - resta celda anterior</t>
  </si>
  <si>
    <t>extra debito</t>
  </si>
  <si>
    <t>kiriko</t>
  </si>
  <si>
    <t>estacionamiento la escapada</t>
  </si>
  <si>
    <t>linea amarilla</t>
  </si>
  <si>
    <t>Total</t>
  </si>
  <si>
    <t>Papá</t>
  </si>
  <si>
    <t>Casa</t>
  </si>
  <si>
    <t>Propina</t>
  </si>
  <si>
    <t>Mamá</t>
  </si>
  <si>
    <t>Ahorro</t>
  </si>
  <si>
    <t>Vitaminas</t>
  </si>
  <si>
    <t>Cabello</t>
  </si>
  <si>
    <t>BRASIL</t>
  </si>
  <si>
    <t>Menues</t>
  </si>
  <si>
    <t>bolsa de viaje</t>
  </si>
  <si>
    <t>taxi a casa post viaje a Brasil</t>
  </si>
  <si>
    <t>imán aqua río</t>
  </si>
  <si>
    <t>helados río</t>
  </si>
  <si>
    <t>taxi al corte</t>
  </si>
  <si>
    <t>taxi ripley</t>
  </si>
  <si>
    <t>pedidos ya chilis</t>
  </si>
  <si>
    <t>havaianas leblom</t>
  </si>
  <si>
    <t>Sephora</t>
  </si>
  <si>
    <t>Havaianas Azú</t>
  </si>
  <si>
    <t>imanes</t>
  </si>
  <si>
    <t>Brasil</t>
  </si>
  <si>
    <t>brasil</t>
  </si>
  <si>
    <t>f</t>
  </si>
  <si>
    <t>carro</t>
  </si>
  <si>
    <t>pacífico</t>
  </si>
  <si>
    <t>helados</t>
  </si>
  <si>
    <t>leblon ropa</t>
  </si>
  <si>
    <t>laca praia</t>
  </si>
  <si>
    <t>lanchonete</t>
  </si>
  <si>
    <t>vitacura</t>
  </si>
  <si>
    <t>uber</t>
  </si>
  <si>
    <t>simona heike</t>
  </si>
  <si>
    <t>foto cristo</t>
  </si>
  <si>
    <t>fot grafica</t>
  </si>
  <si>
    <t>ptratoria</t>
  </si>
  <si>
    <t>ingreso cristo</t>
  </si>
  <si>
    <t>dragonias gilet</t>
  </si>
  <si>
    <t>south ropa</t>
  </si>
  <si>
    <t>havaianas</t>
  </si>
  <si>
    <t>carlos artesano</t>
  </si>
  <si>
    <t>ec lorena</t>
  </si>
  <si>
    <t>barraca 98 ipanema</t>
  </si>
  <si>
    <t>dulcineia 1</t>
  </si>
  <si>
    <t>dulcineia 2</t>
  </si>
  <si>
    <t>fogo de chao</t>
  </si>
  <si>
    <t>trattoria</t>
  </si>
  <si>
    <t>hotel miramar</t>
  </si>
  <si>
    <t>ec motusvita</t>
  </si>
  <si>
    <t>seguro desgravamen</t>
  </si>
  <si>
    <t>yoga urbano</t>
  </si>
  <si>
    <t>ec fm 456</t>
  </si>
  <si>
    <t>aqua rio</t>
  </si>
  <si>
    <t>pan de azúcar</t>
  </si>
  <si>
    <t>geneal helado</t>
  </si>
  <si>
    <t>havaianas pan azucar</t>
  </si>
  <si>
    <t>havaianas leblon</t>
  </si>
  <si>
    <t>melissa</t>
  </si>
  <si>
    <t>sephora</t>
  </si>
  <si>
    <t>cena bar confiteria</t>
  </si>
  <si>
    <t>dufry</t>
  </si>
  <si>
    <t>dufry havaianas</t>
  </si>
  <si>
    <t>dufry caramelos</t>
  </si>
  <si>
    <t>dólares</t>
  </si>
  <si>
    <t>soles</t>
  </si>
  <si>
    <t>se debe a la flor</t>
  </si>
  <si>
    <t>grati pasada</t>
  </si>
  <si>
    <t>se debe a jvlio</t>
  </si>
  <si>
    <t>grati flor</t>
  </si>
  <si>
    <t>pasajes+hospe</t>
  </si>
  <si>
    <t>Pago casa campo</t>
  </si>
  <si>
    <t>Separación</t>
  </si>
  <si>
    <t>Persona</t>
  </si>
  <si>
    <t>Monto inicial</t>
  </si>
  <si>
    <t xml:space="preserve">Monto extra </t>
  </si>
  <si>
    <t>Monto restante parte 1</t>
  </si>
  <si>
    <t>Monto reajuste después cobro banco*</t>
  </si>
  <si>
    <t>Pendiente</t>
  </si>
  <si>
    <t>Dayana</t>
  </si>
  <si>
    <t>Hugo</t>
  </si>
  <si>
    <t>Yadira</t>
  </si>
  <si>
    <t>Ronaldo</t>
  </si>
  <si>
    <t>Roberto</t>
  </si>
  <si>
    <t>Karen</t>
  </si>
  <si>
    <t>Juilo</t>
  </si>
  <si>
    <t>Julio Papá</t>
  </si>
  <si>
    <t>Mayda</t>
  </si>
  <si>
    <t>Flor E.</t>
  </si>
  <si>
    <t>yadira</t>
  </si>
  <si>
    <t>Bonos</t>
  </si>
  <si>
    <t>tommy hilfiger</t>
  </si>
  <si>
    <t>tommyhilfiger (ropa Flor y mía)</t>
  </si>
  <si>
    <t>pedidosya - bigotes almuerzo</t>
  </si>
  <si>
    <t>camiseta Alianza Lima</t>
  </si>
  <si>
    <t>compras wong (desodorantes y comida)</t>
  </si>
  <si>
    <t>estacionamiento sanna</t>
  </si>
  <si>
    <t>cafetería fito espinosa</t>
  </si>
  <si>
    <t>pedidosua - anticuchos tio mario</t>
  </si>
  <si>
    <t>estacionamiento larcomar de compra GAP</t>
  </si>
  <si>
    <t>mantenimiento</t>
  </si>
  <si>
    <t>compra entradas Tobi</t>
  </si>
  <si>
    <t>pago gasolina barranco</t>
  </si>
  <si>
    <t>pago algarrobina</t>
  </si>
  <si>
    <t>1:38pm yape</t>
  </si>
  <si>
    <t>pago celular 56,9</t>
  </si>
  <si>
    <t>pago limpieza</t>
  </si>
  <si>
    <t>magiape</t>
  </si>
  <si>
    <t>chilis SM</t>
  </si>
  <si>
    <t>pv h</t>
  </si>
  <si>
    <t>Carro</t>
  </si>
  <si>
    <t>Mifarma</t>
  </si>
  <si>
    <t>Rappi envío llave llantas al mecánico</t>
  </si>
  <si>
    <t>integration lunch 347,7</t>
  </si>
  <si>
    <t>primos chicken bar</t>
  </si>
  <si>
    <t>didi casa a picantería</t>
  </si>
  <si>
    <t>alegría picantería</t>
  </si>
  <si>
    <t>didi casa a larcomar - cine</t>
  </si>
  <si>
    <t>didi larcomar a casa - cine</t>
  </si>
  <si>
    <t>revisión técnica</t>
  </si>
  <si>
    <t>didi trabajo a taller mecánico</t>
  </si>
  <si>
    <t>soat por yape</t>
  </si>
  <si>
    <t>didi a taller mecánico primera vez</t>
  </si>
  <si>
    <t>didi de casa a trabajos</t>
  </si>
  <si>
    <t>TOTAL Jvlio</t>
  </si>
  <si>
    <t>TOTAL FLor</t>
  </si>
  <si>
    <t>pueblo viejo</t>
  </si>
  <si>
    <t>pedidos ya - bigotes</t>
  </si>
  <si>
    <t>pago celular</t>
  </si>
  <si>
    <t>vendomática sanna: galleta chocolate</t>
  </si>
  <si>
    <t>clínica sanna</t>
  </si>
  <si>
    <t>bodega de la tratoria</t>
  </si>
  <si>
    <t>embarcadero 41</t>
  </si>
  <si>
    <t>bembos</t>
  </si>
  <si>
    <t>notaria Alberti</t>
  </si>
  <si>
    <t>segundo muelle</t>
  </si>
  <si>
    <t>estacionamiento jockey</t>
  </si>
  <si>
    <t>botellas agua tienda</t>
  </si>
  <si>
    <t>plin - 10:37 am</t>
  </si>
  <si>
    <t>vallet parking</t>
  </si>
  <si>
    <t>yape estacionamiento notaria</t>
  </si>
  <si>
    <t>TOTAL FyJ</t>
  </si>
  <si>
    <t>Jo</t>
  </si>
  <si>
    <t>Armando</t>
  </si>
  <si>
    <t>Mike</t>
  </si>
  <si>
    <t>KFC</t>
  </si>
  <si>
    <t>Plazita</t>
  </si>
  <si>
    <t>Pollo</t>
  </si>
  <si>
    <t>Taxi a plazita</t>
  </si>
  <si>
    <t>Stewart</t>
  </si>
  <si>
    <t>Sam</t>
  </si>
  <si>
    <t xml:space="preserve">Flor </t>
  </si>
  <si>
    <t>Papa, Jose</t>
  </si>
  <si>
    <t>a nosotros</t>
  </si>
  <si>
    <t>a julio y flor</t>
  </si>
  <si>
    <t>PAPA</t>
  </si>
  <si>
    <t>a stewart</t>
  </si>
  <si>
    <t>flor y julio</t>
  </si>
  <si>
    <t>apparka buche</t>
  </si>
  <si>
    <t>yape 5 soles llantas</t>
  </si>
  <si>
    <t>flama</t>
  </si>
  <si>
    <t>rumah casa</t>
  </si>
  <si>
    <t>lima linen</t>
  </si>
  <si>
    <t>pedidosya-alitas chilis</t>
  </si>
  <si>
    <t>Pan con pejerrey</t>
  </si>
  <si>
    <t>senor perejil</t>
  </si>
  <si>
    <t>asado argentino</t>
  </si>
  <si>
    <t>buche</t>
  </si>
  <si>
    <t>Jvlio total</t>
  </si>
  <si>
    <t>Flor total</t>
  </si>
  <si>
    <t>SUMA TOTAL</t>
  </si>
  <si>
    <t>salidas/regalos/impieza</t>
  </si>
  <si>
    <t>larcomar estacionamiento</t>
  </si>
  <si>
    <t>wong dos de mayo, jugos</t>
  </si>
  <si>
    <t>wong dos de mayo, chcles</t>
  </si>
  <si>
    <t>kukurucho</t>
  </si>
  <si>
    <t>boba space</t>
  </si>
  <si>
    <t>ocllo menu domingo</t>
  </si>
  <si>
    <t>chilis</t>
  </si>
  <si>
    <t>panes/empanadas/compartie</t>
  </si>
  <si>
    <t>pizza hut mamá de Flor</t>
  </si>
  <si>
    <t>polo Ian</t>
  </si>
  <si>
    <t>chalina Flor</t>
  </si>
  <si>
    <t>pan con pejerrey</t>
  </si>
  <si>
    <t>estacionamiento pan con pejerrey</t>
  </si>
  <si>
    <t>estacionaminto ibe</t>
  </si>
  <si>
    <t>TOTAL TOTAL</t>
  </si>
  <si>
    <t>estacionamiento frente 7 sopas</t>
  </si>
  <si>
    <t>Oakberry</t>
  </si>
  <si>
    <t>tanta san miguel</t>
  </si>
  <si>
    <t>ES SANTA MARIA antes de tanta</t>
  </si>
  <si>
    <t>pizza mediana</t>
  </si>
  <si>
    <t>regalo estefano - tailoy:juguete y papel</t>
  </si>
  <si>
    <t xml:space="preserve">7 sopas </t>
  </si>
  <si>
    <t xml:space="preserve">estacionamiento siete sopas </t>
  </si>
  <si>
    <t>wong 2 de mayo</t>
  </si>
  <si>
    <t>cheesecake maracuyá</t>
  </si>
  <si>
    <t>desayuno papá Flor</t>
  </si>
  <si>
    <t>estacionamiento iglesia Larcomar</t>
  </si>
  <si>
    <t xml:space="preserve">almuerzo lunes </t>
  </si>
  <si>
    <t>Parking clínica</t>
  </si>
  <si>
    <t xml:space="preserve">mantenimiento </t>
  </si>
  <si>
    <t xml:space="preserve">mifarma previo viaje </t>
  </si>
  <si>
    <t>boba station</t>
  </si>
  <si>
    <t>pollo almuerzo/cena</t>
  </si>
  <si>
    <t>luz del sur</t>
  </si>
  <si>
    <t>papas la lucha</t>
  </si>
  <si>
    <t>jugos la lucha</t>
  </si>
  <si>
    <t>micas y protectores</t>
  </si>
  <si>
    <t>retiro efectivo</t>
  </si>
  <si>
    <t>TOTAL J</t>
  </si>
  <si>
    <t>Total F</t>
  </si>
  <si>
    <t>JUNIO</t>
  </si>
  <si>
    <t>desayuno kike</t>
  </si>
  <si>
    <t>tambo heladito</t>
  </si>
  <si>
    <t>taxi casa a aeropuerto</t>
  </si>
  <si>
    <t>Carlos Bakery</t>
  </si>
  <si>
    <t>pandora NY</t>
  </si>
  <si>
    <t>rentaruedas</t>
  </si>
  <si>
    <t>lyft aeropuerto Orlando a Disney</t>
  </si>
  <si>
    <t>lyft disney a grand hotel</t>
  </si>
  <si>
    <t>lyft universal a hotel noche</t>
  </si>
  <si>
    <t>hotel universal a HERTZ rental</t>
  </si>
  <si>
    <t>uber eats pending - 14,45</t>
  </si>
  <si>
    <t>fue retornado</t>
  </si>
  <si>
    <t>uber brickell center a tia</t>
  </si>
  <si>
    <t>uber kfc a la tia noche</t>
  </si>
  <si>
    <t xml:space="preserve">uber cvs a la tia </t>
  </si>
  <si>
    <t>uber pending - 14,33</t>
  </si>
  <si>
    <t>uber la tia a miami beach</t>
  </si>
  <si>
    <t>uber miami beach a la tia</t>
  </si>
  <si>
    <t>tolls</t>
  </si>
  <si>
    <t>Lugar</t>
  </si>
  <si>
    <t>Monto viaje</t>
  </si>
  <si>
    <t>Nike - 113,65</t>
  </si>
  <si>
    <t>short (34,99) dscto incluido</t>
  </si>
  <si>
    <t>jogger (79,99) dscto incluido</t>
  </si>
  <si>
    <t>medias (28) dscto incluido</t>
  </si>
  <si>
    <t>short (29,99) dscto incluido</t>
  </si>
  <si>
    <t>tax</t>
  </si>
  <si>
    <t>Starbucks Times Square - 52,19</t>
  </si>
  <si>
    <t>NY dsc tmblr</t>
  </si>
  <si>
    <t>Lav SS H20</t>
  </si>
  <si>
    <t>Tax</t>
  </si>
  <si>
    <t>CVS - 195,52</t>
  </si>
  <si>
    <t>NB vitamin d 5000</t>
  </si>
  <si>
    <t>NB wmn mlti gmy gomitas flor (13,79)</t>
  </si>
  <si>
    <t>flntts in spprt gmy 150c</t>
  </si>
  <si>
    <t>cvs clgn c btn 180s - colágeno</t>
  </si>
  <si>
    <t>cvs b12 1000mg</t>
  </si>
  <si>
    <t>carmax clss med lb .15Z (lipstick?)</t>
  </si>
  <si>
    <t>centrum silver women - mayda</t>
  </si>
  <si>
    <t>centrum men - julio alva linares</t>
  </si>
  <si>
    <t>centrum mini women - flor elizabeth</t>
  </si>
  <si>
    <t>centrum silver men - angel alva</t>
  </si>
  <si>
    <t>centrum silver men - jose ordinola</t>
  </si>
  <si>
    <t>centrum women - flor ordinola</t>
  </si>
  <si>
    <t>2 bolsas de halls (7,79 cada una)</t>
  </si>
  <si>
    <t>2 bolsas de haribo (2,99 cada una)</t>
  </si>
  <si>
    <t>vitamina e</t>
  </si>
  <si>
    <t>Victoria Secret - 10,70</t>
  </si>
  <si>
    <t>pink 8.4 oz shmist dream girl</t>
  </si>
  <si>
    <t>Coach - 233,65</t>
  </si>
  <si>
    <t>min pytn flrl - sv/cah (188) dscto incluido</t>
  </si>
  <si>
    <t>sig city bckt - im/xaq (398) dscto incluido</t>
  </si>
  <si>
    <t>mn id cc strbry-im/cah (88) dscto incluido</t>
  </si>
  <si>
    <t>Coach - 21,40</t>
  </si>
  <si>
    <t>2 gift bag</t>
  </si>
  <si>
    <t>pandora sawgrass- 240,75</t>
  </si>
  <si>
    <t>fish sterling silvr charm with shimmering</t>
  </si>
  <si>
    <t>14k gold-plated dagle with royal green</t>
  </si>
  <si>
    <t>ket hole engravable locket 14k rose gold</t>
  </si>
  <si>
    <t>engraving in store</t>
  </si>
  <si>
    <t>Walmart - 82,88 - pagamos con cash</t>
  </si>
  <si>
    <t>eggs</t>
  </si>
  <si>
    <t>trident tdt spmnt 14p</t>
  </si>
  <si>
    <t>donuts</t>
  </si>
  <si>
    <t>almohada cuello</t>
  </si>
  <si>
    <t>agua</t>
  </si>
  <si>
    <t>4 maruchan</t>
  </si>
  <si>
    <t>5pc mani set</t>
  </si>
  <si>
    <t>magnet</t>
  </si>
  <si>
    <t>daisy magnet</t>
  </si>
  <si>
    <t>mkmn pin - mickey y mini pin</t>
  </si>
  <si>
    <t>cable para el carro xd</t>
  </si>
  <si>
    <t>pcf magnet</t>
  </si>
  <si>
    <t>pollo asado</t>
  </si>
  <si>
    <t>CVS - 11,76 - pagamos con cash</t>
  </si>
  <si>
    <t>maybeline iar cnlr</t>
  </si>
  <si>
    <t>ROSS - 605,32</t>
  </si>
  <si>
    <t>maleta</t>
  </si>
  <si>
    <t>pnk flrl bx ss gp - aretes</t>
  </si>
  <si>
    <t>wtrclr bx sp bgt c - aretes</t>
  </si>
  <si>
    <t>collar sam</t>
  </si>
  <si>
    <t>ck polo Flor</t>
  </si>
  <si>
    <t>polo stewart</t>
  </si>
  <si>
    <t>polo carlos</t>
  </si>
  <si>
    <t>licra azul</t>
  </si>
  <si>
    <t>polo ale8</t>
  </si>
  <si>
    <t>cartera Karen</t>
  </si>
  <si>
    <t>cartera mamá - sin etiqueta</t>
  </si>
  <si>
    <t>vestido blanco Flor</t>
  </si>
  <si>
    <t>beaded all over bu - no identificado</t>
  </si>
  <si>
    <t>blk denim w stne g - no identificado</t>
  </si>
  <si>
    <t>asst blue/tan penn - no identificado</t>
  </si>
  <si>
    <t>x fotl 6pk sage/ta - no identificado</t>
  </si>
  <si>
    <t>correa Flor</t>
  </si>
  <si>
    <t>aldo black top han</t>
  </si>
  <si>
    <t>tan/dk gry su gld</t>
  </si>
  <si>
    <t>gravition l warm wh</t>
  </si>
  <si>
    <t>x ck taupe/khaki s</t>
  </si>
  <si>
    <t>x 28-14 night sky</t>
  </si>
  <si>
    <t>cartera mamá de Flor</t>
  </si>
  <si>
    <t>puma 6pk wht/gry/l - medias</t>
  </si>
  <si>
    <t>casaca NB</t>
  </si>
  <si>
    <t>calvin klein burro - no identificado</t>
  </si>
  <si>
    <t>polo negro Flor</t>
  </si>
  <si>
    <t>polo Flor</t>
  </si>
  <si>
    <t>case julio</t>
  </si>
  <si>
    <t>case flor</t>
  </si>
  <si>
    <t>Nike - 182,79</t>
  </si>
  <si>
    <t>Nike Dunk Low Flor</t>
  </si>
  <si>
    <t>Nike Star Runner 3 - Rafaella</t>
  </si>
  <si>
    <t>Nike Dunk Low Retro SE</t>
  </si>
  <si>
    <t>Nike Dunk Low</t>
  </si>
  <si>
    <t>Apple - 778,96</t>
  </si>
  <si>
    <t>apple pencil pro</t>
  </si>
  <si>
    <t>ipad air</t>
  </si>
  <si>
    <t>Apple - 790,73</t>
  </si>
  <si>
    <t>iphone - dscto de 460</t>
  </si>
  <si>
    <t>Apple care</t>
  </si>
  <si>
    <t>cobrado separado</t>
  </si>
  <si>
    <t>Apple - 961,93</t>
  </si>
  <si>
    <t>iphone - dscto de 300</t>
  </si>
  <si>
    <t>Apple - 139,05</t>
  </si>
  <si>
    <t>anker 3 en 1</t>
  </si>
  <si>
    <t>Apple - 104,86</t>
  </si>
  <si>
    <t>mouse</t>
  </si>
  <si>
    <t>earpods</t>
  </si>
  <si>
    <t>desayuno chicharrones kio</t>
  </si>
  <si>
    <t xml:space="preserve">rappi pollo </t>
  </si>
  <si>
    <t>wong dos de mayo</t>
  </si>
  <si>
    <t>tanqueado gasolina</t>
  </si>
  <si>
    <t>chilis alitas</t>
  </si>
  <si>
    <t>mifarma - toallas</t>
  </si>
  <si>
    <t>mifarma - ibuprofeno</t>
  </si>
  <si>
    <t>estacionamiento</t>
  </si>
  <si>
    <t>menues</t>
  </si>
  <si>
    <t>transferencoa cts</t>
  </si>
  <si>
    <t>Mantenimiento</t>
  </si>
  <si>
    <t>Teléfono personal</t>
  </si>
  <si>
    <t>muelle restaurante</t>
  </si>
  <si>
    <t>galletas para red</t>
  </si>
  <si>
    <t>tanqueada gasolina</t>
  </si>
  <si>
    <t>pedidosya siete sopas</t>
  </si>
  <si>
    <t xml:space="preserve">la lucha desayuno </t>
  </si>
  <si>
    <t>luchita - sandwiches</t>
  </si>
  <si>
    <t>la lucha papas y bebidas</t>
  </si>
  <si>
    <t>rappi torta</t>
  </si>
  <si>
    <t>Total jvlio</t>
  </si>
  <si>
    <t>pollos miguelon</t>
  </si>
  <si>
    <t>protyector iPad</t>
  </si>
  <si>
    <t>estacionamiento cumple</t>
  </si>
  <si>
    <t>caramelos</t>
  </si>
  <si>
    <t>parche nosotras</t>
  </si>
  <si>
    <t>canister rectangulas</t>
  </si>
  <si>
    <t>encendedor</t>
  </si>
  <si>
    <t>caja cerámica mexicana</t>
  </si>
  <si>
    <t>leche</t>
  </si>
  <si>
    <t>velas</t>
  </si>
  <si>
    <t>papel antiadherente</t>
  </si>
  <si>
    <t>piso baño</t>
  </si>
  <si>
    <t>Ochaya</t>
  </si>
  <si>
    <t>Bodega de la Trattoria</t>
  </si>
  <si>
    <t>mercadolibre audífonos - 349</t>
  </si>
  <si>
    <t>mercadolibre monitor</t>
  </si>
  <si>
    <t>apparka saga miraflow</t>
  </si>
  <si>
    <t>chilis larcomar</t>
  </si>
  <si>
    <t>pardos</t>
  </si>
  <si>
    <t>starbucks salaverry</t>
  </si>
  <si>
    <t>ten ren - te negro con tapioca</t>
  </si>
  <si>
    <t>estacionamiento salaverry</t>
  </si>
  <si>
    <t>paco yonque</t>
  </si>
  <si>
    <t>helado kfc</t>
  </si>
  <si>
    <t>PAGADO!!!!</t>
  </si>
  <si>
    <t>Salidas</t>
  </si>
  <si>
    <t>Regalos</t>
  </si>
  <si>
    <t>mundo de barro - azucarero</t>
  </si>
  <si>
    <t>muelle</t>
  </si>
  <si>
    <t>cuota mantenimiento</t>
  </si>
  <si>
    <t>compras falabella - regalo Ale</t>
  </si>
  <si>
    <t>little caesar</t>
  </si>
  <si>
    <t>pago celular del mes</t>
  </si>
  <si>
    <t>wong rambla</t>
  </si>
  <si>
    <t>teleticket chiquiwilo</t>
  </si>
  <si>
    <t>estacionamiento fil</t>
  </si>
  <si>
    <t>entradas fil</t>
  </si>
  <si>
    <t>canchita fil</t>
  </si>
  <si>
    <t>compras metro previo al gym de Flor</t>
  </si>
  <si>
    <t>presion llantas</t>
  </si>
  <si>
    <t>suculenta feria</t>
  </si>
  <si>
    <t>aretes feria</t>
  </si>
  <si>
    <t>galleta feria</t>
  </si>
  <si>
    <t>suculenta 2 feria</t>
  </si>
  <si>
    <t>VelaVerde</t>
  </si>
  <si>
    <t>tambo rural</t>
  </si>
  <si>
    <t>estacionamiento pucusana</t>
  </si>
  <si>
    <t>menu pollo a la brasa</t>
  </si>
  <si>
    <t>cine entradas</t>
  </si>
  <si>
    <t>cine canchita</t>
  </si>
  <si>
    <t>fiesta</t>
  </si>
  <si>
    <t>vasos 8 onzas</t>
  </si>
  <si>
    <t>tabernero borgoña</t>
  </si>
  <si>
    <t>vaso bebida caliente</t>
  </si>
  <si>
    <t>3 pack gaseosa</t>
  </si>
  <si>
    <t>agua san carlos</t>
  </si>
  <si>
    <t>taberne3ro vino rose</t>
  </si>
  <si>
    <t>cusqueña trigo x2</t>
  </si>
  <si>
    <t xml:space="preserve">cusqueña </t>
  </si>
  <si>
    <t>nestle chocolates</t>
  </si>
  <si>
    <t>chicles chavo</t>
  </si>
  <si>
    <t>tomatodo premio</t>
  </si>
  <si>
    <t>yape limpieza área común</t>
  </si>
  <si>
    <t>yapeo 140 a parrilla</t>
  </si>
  <si>
    <t>post fiesta</t>
  </si>
  <si>
    <t>estacionamiento pardo</t>
  </si>
  <si>
    <t>makro: total menos gastos fiesta</t>
  </si>
  <si>
    <t>gasolina tanqueada</t>
  </si>
  <si>
    <t>la lucha 29 julio</t>
  </si>
  <si>
    <t>compras en holi</t>
  </si>
  <si>
    <t>294,30=140 parrila + 60 papá + 50 limpieza + 44,30 bebidas</t>
  </si>
  <si>
    <t>PAGADO</t>
  </si>
  <si>
    <t>casaca regalo mamá</t>
  </si>
  <si>
    <t>porteña</t>
  </si>
  <si>
    <t>plato Flor</t>
  </si>
  <si>
    <t xml:space="preserve">circo entradas </t>
  </si>
  <si>
    <t xml:space="preserve">circo extra </t>
  </si>
  <si>
    <t>Alitas</t>
  </si>
  <si>
    <t>Cinépolis entradas</t>
  </si>
  <si>
    <t>Cinépolis comida</t>
  </si>
  <si>
    <t xml:space="preserve">La nueve enchiladas </t>
  </si>
  <si>
    <t>Gaseosa enchilada</t>
  </si>
  <si>
    <t>shimaya ramen</t>
  </si>
  <si>
    <t>flora y fauna</t>
  </si>
  <si>
    <t>chicles tambo</t>
  </si>
  <si>
    <t>rappi ensalada y postre fina endorfina</t>
  </si>
  <si>
    <t>21-45</t>
  </si>
  <si>
    <t>clinica internacional</t>
  </si>
  <si>
    <t>medicina clinica internacional</t>
  </si>
  <si>
    <t>estacionamiento clinica inter</t>
  </si>
  <si>
    <t>telefono personal</t>
  </si>
  <si>
    <t>tanqueada pampilla</t>
  </si>
  <si>
    <t>paltas frescas</t>
  </si>
  <si>
    <t xml:space="preserve">palta por madurar </t>
  </si>
  <si>
    <t>tanqueado barranco</t>
  </si>
  <si>
    <t>suma agosoto</t>
  </si>
  <si>
    <t>canchita post corte cabello</t>
  </si>
  <si>
    <t>31-09</t>
  </si>
  <si>
    <t>comida newton</t>
  </si>
  <si>
    <t>mazamorra</t>
  </si>
  <si>
    <t>compra huevos Flor</t>
  </si>
  <si>
    <t>compra de ibuprofeno</t>
  </si>
  <si>
    <t>tanqueado cuando fui a Ventanilla</t>
  </si>
  <si>
    <t>el chinito, dos sanguches desayuno</t>
  </si>
  <si>
    <t>7 sopas miraflores</t>
  </si>
  <si>
    <t>islandia - almuerzo chamba - 248,6</t>
  </si>
  <si>
    <t>tacacho en feria</t>
  </si>
  <si>
    <t>alitas en feria</t>
  </si>
  <si>
    <t>pica pe causa - cebiche feo?</t>
  </si>
  <si>
    <t>metro barranco - amigos?</t>
  </si>
  <si>
    <t>tambo barranco - amigos?</t>
  </si>
  <si>
    <t>bigotes ensaladas</t>
  </si>
  <si>
    <t>estacionamiento real plaza</t>
  </si>
  <si>
    <t>caleta dolsa - lonche mamá Flor</t>
  </si>
  <si>
    <t>tanqueado úúltimo</t>
  </si>
  <si>
    <t>chinito  - lonche papas Julio</t>
  </si>
  <si>
    <t xml:space="preserve">makro </t>
  </si>
  <si>
    <t>almuerzo chamba - 444,3</t>
  </si>
  <si>
    <t>estacionamiento pelicula kimetsu no yaiba</t>
  </si>
  <si>
    <t>estacionamiento 7 sopas</t>
  </si>
  <si>
    <t>menu ocllo</t>
  </si>
  <si>
    <t>almuerzo papa</t>
  </si>
  <si>
    <t>debe salir de carro</t>
  </si>
  <si>
    <t>dentista</t>
  </si>
  <si>
    <t>90s - piña colada y cerveza</t>
  </si>
  <si>
    <t>90s - agua y cerveza</t>
  </si>
  <si>
    <t xml:space="preserve">90s - comida </t>
  </si>
  <si>
    <t>blu - helados</t>
  </si>
  <si>
    <t>7 sopas lince</t>
  </si>
  <si>
    <t>pedidosya - la lucha</t>
  </si>
  <si>
    <t>pedidosya - canchita</t>
  </si>
  <si>
    <t>segund muelle</t>
  </si>
  <si>
    <t>pardos chicken</t>
  </si>
  <si>
    <t>panchita</t>
  </si>
  <si>
    <t>wong bajada balta</t>
  </si>
  <si>
    <t>teléfono personal</t>
  </si>
  <si>
    <t>rodizio</t>
  </si>
  <si>
    <t>7 sopas estacionamiento</t>
  </si>
  <si>
    <t>7 sopas lince estacionamiento</t>
  </si>
  <si>
    <t>estcionamiento maria reiche</t>
  </si>
  <si>
    <t>paso de energia por bateríía</t>
  </si>
  <si>
    <t>estacionamiento por casa de Stewart</t>
  </si>
  <si>
    <t>estacionamiento frente a velatorio</t>
  </si>
  <si>
    <t>estacionamiento trattoria vallet</t>
  </si>
  <si>
    <t xml:space="preserve">emoliente </t>
  </si>
  <si>
    <t>huevos</t>
  </si>
  <si>
    <t>agua post ferria turron miraflores</t>
  </si>
  <si>
    <t>fyj</t>
  </si>
  <si>
    <t>san fernando extr peso pavo</t>
  </si>
  <si>
    <t>frutas y verduras</t>
  </si>
  <si>
    <t>la lucha - diagonal</t>
  </si>
  <si>
    <t>cafe et chocolat. esquina por aquí</t>
  </si>
  <si>
    <t>tanqueado</t>
  </si>
  <si>
    <t>cinepolis dulcería</t>
  </si>
  <si>
    <t>cinépolis entradas</t>
  </si>
  <si>
    <t>san roque - algarrobina</t>
  </si>
  <si>
    <t>seven soups</t>
  </si>
  <si>
    <t>galdiaz</t>
  </si>
  <si>
    <t>pedidos ya</t>
  </si>
  <si>
    <t>pedidos ya - papitas</t>
  </si>
  <si>
    <t>pizza hutt</t>
  </si>
  <si>
    <t>didi de lavado a casa</t>
  </si>
  <si>
    <t>didi de casa a lavado</t>
  </si>
  <si>
    <t>panes</t>
  </si>
  <si>
    <t>jugo kike</t>
  </si>
  <si>
    <t>casino de policía</t>
  </si>
  <si>
    <t>adelanto lavado sábanas</t>
  </si>
  <si>
    <t>lavado sábanas</t>
  </si>
  <si>
    <t>yapes</t>
  </si>
  <si>
    <t>pez mancora - almuerzo tranzact</t>
  </si>
  <si>
    <t>"009"</t>
  </si>
  <si>
    <t>polo adidas</t>
  </si>
  <si>
    <t>factura pollo</t>
  </si>
  <si>
    <t>apparka saga falabela</t>
  </si>
  <si>
    <t>falabella</t>
  </si>
  <si>
    <t>san antonio</t>
  </si>
  <si>
    <t>pedidos ya - almuerzo</t>
  </si>
  <si>
    <t>millas extras</t>
  </si>
  <si>
    <t>youtube mes pasado</t>
  </si>
  <si>
    <t>plin almuerzo chamba</t>
  </si>
  <si>
    <t>miniso larcomar</t>
  </si>
  <si>
    <t>parlante echo studio</t>
  </si>
  <si>
    <t>isdin</t>
  </si>
  <si>
    <t>bigote and waffles</t>
  </si>
  <si>
    <t>doomo saltado</t>
  </si>
  <si>
    <t>tabas jvlio</t>
  </si>
  <si>
    <t>almuerzo papá de Flor</t>
  </si>
  <si>
    <t>spotify premium</t>
  </si>
  <si>
    <t>grati</t>
  </si>
  <si>
    <t>power me debe</t>
  </si>
  <si>
    <t>power me va a dar</t>
  </si>
  <si>
    <t xml:space="preserve"> </t>
  </si>
  <si>
    <t>Viaje Cusco</t>
  </si>
  <si>
    <t>new era -</t>
  </si>
  <si>
    <t>pan de la chola</t>
  </si>
  <si>
    <t>pan de la chola - mixto</t>
  </si>
  <si>
    <t>plaza mercado - casa tambo</t>
  </si>
  <si>
    <t>mcdonalds</t>
  </si>
  <si>
    <t xml:space="preserve">falabella - </t>
  </si>
  <si>
    <t>estacionamiento centro de lima - casa tambo</t>
  </si>
  <si>
    <t>falabella - amigo secreto</t>
  </si>
  <si>
    <t>hym - amigo secreto</t>
  </si>
  <si>
    <t>isidora - amigo secreto</t>
  </si>
  <si>
    <t>tottus - regalos Alessia</t>
  </si>
  <si>
    <t>desayuno sarcletti</t>
  </si>
  <si>
    <t>miniso</t>
  </si>
  <si>
    <t>hym regalo papá de Flor</t>
  </si>
  <si>
    <t>almuerzo en chamba</t>
  </si>
  <si>
    <t>metro barranco - ricadonna</t>
  </si>
  <si>
    <t>metro barranco - mantequilla</t>
  </si>
  <si>
    <t>galletas soda</t>
  </si>
  <si>
    <t>youtube</t>
  </si>
  <si>
    <t>Panela  - regalo Raisza</t>
  </si>
  <si>
    <t xml:space="preserve">Uber aeropuerto Cusco Airbnb </t>
  </si>
  <si>
    <t xml:space="preserve">Starbucks aeropuerto Lima </t>
  </si>
  <si>
    <t xml:space="preserve">Entrada campanario </t>
  </si>
  <si>
    <t>Almuerzo don Pancho</t>
  </si>
  <si>
    <t xml:space="preserve">Mantenimiento </t>
  </si>
  <si>
    <t>Estacionamiento paviferia</t>
  </si>
  <si>
    <t>Capuccino restaurante</t>
  </si>
  <si>
    <t>Mate coca Mercado</t>
  </si>
  <si>
    <t xml:space="preserve">Plásticos cucharas </t>
  </si>
  <si>
    <t>Fruta Lima</t>
  </si>
  <si>
    <t xml:space="preserve">.fruta toronja </t>
  </si>
  <si>
    <t xml:space="preserve">Pomo joyero salero azucarero </t>
  </si>
  <si>
    <t>Ayudín y caramelos</t>
  </si>
  <si>
    <t>Limones</t>
  </si>
  <si>
    <t>Taxi a Airbnb post mercado</t>
  </si>
  <si>
    <t>Tour Humantay</t>
  </si>
  <si>
    <t>Entradas Humantay</t>
  </si>
  <si>
    <t>2 aguas cielo post tour</t>
  </si>
  <si>
    <t>Netflix</t>
  </si>
  <si>
    <t>chicha cusco</t>
  </si>
  <si>
    <t>toldos chicken</t>
  </si>
  <si>
    <t>cafe de mama oli</t>
  </si>
  <si>
    <t xml:space="preserve">kion </t>
  </si>
  <si>
    <t>mifarma - dolor estómago</t>
  </si>
  <si>
    <t>morena</t>
  </si>
  <si>
    <t>taxi aeropuerto a casa</t>
  </si>
  <si>
    <t>taxi airbnb a aeropuerto</t>
  </si>
  <si>
    <t>cotillon - vincha</t>
  </si>
  <si>
    <t>izi pay - giovana salv lima</t>
  </si>
  <si>
    <t>wong benavides - compras casa</t>
  </si>
  <si>
    <t>levis larcomar</t>
  </si>
  <si>
    <t>puku puku larcomar</t>
  </si>
  <si>
    <t>didi a mamáá de Flor</t>
  </si>
  <si>
    <t>mifarma sm mamáá</t>
  </si>
  <si>
    <t>lucha sm</t>
  </si>
  <si>
    <t>didi jeanca</t>
  </si>
  <si>
    <t>didi jeanca 2</t>
  </si>
  <si>
    <t>chilis pardo</t>
  </si>
  <si>
    <t>falabella miraflores - regalo JC</t>
  </si>
  <si>
    <t>trattoria miraflow</t>
  </si>
  <si>
    <t>apparka</t>
  </si>
  <si>
    <t>don giuseppe</t>
  </si>
  <si>
    <t>estacionamiento la punta</t>
  </si>
  <si>
    <t>llantas presióón</t>
  </si>
  <si>
    <t>agua cielo</t>
  </si>
  <si>
    <t>Menú 2</t>
  </si>
  <si>
    <t>mangos desayuno</t>
  </si>
  <si>
    <t>rayban larcomar</t>
  </si>
  <si>
    <t>rappi sac - don tito</t>
  </si>
  <si>
    <t>starbuck pan sur</t>
  </si>
  <si>
    <t>pvea grifo kio</t>
  </si>
  <si>
    <t>ao pip almuerzo</t>
  </si>
  <si>
    <t>pedidos ya canchita</t>
  </si>
  <si>
    <t xml:space="preserve">retiro efectivo </t>
  </si>
  <si>
    <t>apple icloud</t>
  </si>
  <si>
    <t>entretenimiento</t>
  </si>
  <si>
    <t>movistar celular</t>
  </si>
  <si>
    <t>latam air $</t>
  </si>
  <si>
    <t>rayban sol</t>
  </si>
  <si>
    <t>ohasi</t>
  </si>
  <si>
    <t>despegar - cusco $</t>
  </si>
  <si>
    <t>donna cativa</t>
  </si>
  <si>
    <t>norkys</t>
  </si>
  <si>
    <t>parche llanta</t>
  </si>
  <si>
    <t>corte enero</t>
  </si>
  <si>
    <t>netflix</t>
  </si>
  <si>
    <t>youtu</t>
  </si>
  <si>
    <t>viaje argentina $</t>
  </si>
  <si>
    <t>viaje argentina soles</t>
  </si>
  <si>
    <t>flor dolares</t>
  </si>
  <si>
    <t>julio dolares</t>
  </si>
  <si>
    <t>brasero atlantico</t>
  </si>
  <si>
    <t>rotiseria atlantico</t>
  </si>
  <si>
    <t>mercadopago recoleta banfield</t>
  </si>
  <si>
    <t>havanna ateneo</t>
  </si>
  <si>
    <t>tostado</t>
  </si>
  <si>
    <t xml:space="preserve">freddo </t>
  </si>
  <si>
    <t>mdonalds . milkshake oreo</t>
  </si>
  <si>
    <t>ateneo grand splendid</t>
  </si>
  <si>
    <t>mercado pago open</t>
  </si>
  <si>
    <t>cadore</t>
  </si>
  <si>
    <t>gran paraíso</t>
  </si>
  <si>
    <t>boca juniors</t>
  </si>
  <si>
    <t>a la calle chori</t>
  </si>
  <si>
    <t>wekeep</t>
  </si>
  <si>
    <t>bagitfe¿mercado</t>
  </si>
  <si>
    <t>food connection food c</t>
  </si>
  <si>
    <t>blu</t>
  </si>
  <si>
    <t>medicentro</t>
  </si>
  <si>
    <t>medicina</t>
  </si>
  <si>
    <t>plaza del sol</t>
  </si>
  <si>
    <t>sodimac foco</t>
  </si>
  <si>
    <t xml:space="preserve">lucero </t>
  </si>
  <si>
    <t>dulce leche</t>
  </si>
  <si>
    <t>pedidos ya juan valdez</t>
  </si>
  <si>
    <t>taxi de aeropuerto a casa</t>
  </si>
  <si>
    <t>almuerzo don giuseppe</t>
  </si>
  <si>
    <t>propina giuseppe</t>
  </si>
  <si>
    <t>estacionamiento giuseppe</t>
  </si>
  <si>
    <t>viaje puerto</t>
  </si>
  <si>
    <t>Entretenimiento</t>
  </si>
  <si>
    <t>deb</t>
  </si>
  <si>
    <t>taxi oltursa al myr</t>
  </si>
  <si>
    <t>pasaje al puerto</t>
  </si>
  <si>
    <t>banano</t>
  </si>
  <si>
    <t>desayuno puerto</t>
  </si>
  <si>
    <t>agua sin gas casa tía Raquel</t>
  </si>
  <si>
    <t>pasaje a Trujillo</t>
  </si>
  <si>
    <t>papel higiénico</t>
  </si>
  <si>
    <t>10:09 yape julio fer</t>
  </si>
  <si>
    <t>helados feria</t>
  </si>
  <si>
    <t>fruta mercado+mirasol</t>
  </si>
  <si>
    <t>icloud</t>
  </si>
  <si>
    <t>cred</t>
  </si>
  <si>
    <t>primos chicken tranzact 595</t>
  </si>
  <si>
    <t>alitas x16</t>
  </si>
  <si>
    <t>taxi a oltursa</t>
  </si>
  <si>
    <t>MYR a oltursa</t>
  </si>
  <si>
    <t>taxi de oltursa a casa</t>
  </si>
  <si>
    <t>alitas x12</t>
  </si>
  <si>
    <t>celular movistar</t>
  </si>
  <si>
    <t>lucha kennedy</t>
  </si>
  <si>
    <t>estac real plaza</t>
  </si>
  <si>
    <t>cuota papás</t>
  </si>
  <si>
    <t>mantenimiento 393,59</t>
  </si>
  <si>
    <t>viaje Cusco</t>
  </si>
  <si>
    <t>JULIO</t>
  </si>
  <si>
    <t>Taxi a qenqo</t>
  </si>
  <si>
    <t>taxo de regreso de qenqo post bus</t>
  </si>
  <si>
    <t>taxi a Saqsayhuaman</t>
  </si>
  <si>
    <t>taxi a aeropuerto en Cusco</t>
  </si>
  <si>
    <t>makro</t>
  </si>
  <si>
    <t>Hotel check in</t>
  </si>
  <si>
    <t>vino dulce</t>
  </si>
  <si>
    <t>Didi salida de casa a aeropuerto</t>
  </si>
  <si>
    <t>checkout casa andina - aguas</t>
  </si>
  <si>
    <t>pollería toldos</t>
  </si>
  <si>
    <t>Florencia y Fortunata</t>
  </si>
  <si>
    <t>Regalo gorro</t>
  </si>
  <si>
    <t>didi a casa post viaje</t>
  </si>
  <si>
    <t>mifarma barranco</t>
  </si>
  <si>
    <t>ch larcomar</t>
  </si>
  <si>
    <t>rappi sac</t>
  </si>
  <si>
    <t>the box</t>
  </si>
  <si>
    <t>metro</t>
  </si>
  <si>
    <t>taxi tranzact</t>
  </si>
  <si>
    <t>MANTENIMIENTO</t>
  </si>
  <si>
    <t>celular</t>
  </si>
  <si>
    <t>cobro icloud</t>
  </si>
  <si>
    <t>el tambo medio pollo</t>
  </si>
  <si>
    <t>soat</t>
  </si>
  <si>
    <t>pan de molde</t>
  </si>
  <si>
    <t>estacionamiento 1:30pm</t>
  </si>
  <si>
    <t>canchita</t>
  </si>
  <si>
    <t>spotify</t>
  </si>
  <si>
    <t>apparka jockey</t>
  </si>
  <si>
    <t>sanguchería el chinito</t>
  </si>
  <si>
    <t>horneando ando</t>
  </si>
  <si>
    <t>holi boli</t>
  </si>
  <si>
    <t>burgerboy</t>
  </si>
  <si>
    <t>yutú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</si>
</sst>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-yy"/>
    <numFmt numFmtId="165" formatCode="d-m"/>
    <numFmt numFmtId="166" formatCode="dd-mm"/>
    <numFmt numFmtId="167" formatCode="dd.mm"/>
    <numFmt numFmtId="168" formatCode="d/m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strike/>
      <color rgb="FF000000"/>
      <name val="Arial"/>
    </font>
    <font>
      <b/>
      <color theme="1"/>
      <name val="Arial"/>
      <scheme val="minor"/>
    </font>
    <font>
      <u/>
      <color rgb="FF0000FF"/>
    </font>
    <font>
      <color theme="0"/>
      <name val="Arial"/>
      <scheme val="minor"/>
    </font>
    <font>
      <b/>
      <color rgb="FFFFFFFF"/>
      <name val="Arial"/>
      <scheme val="minor"/>
    </font>
    <font>
      <strike/>
      <color rgb="FFFFFFFF"/>
      <name val="Arial"/>
      <scheme val="minor"/>
    </font>
    <font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2" fontId="3" numFmtId="0" xfId="0" applyAlignment="1" applyFill="1" applyFont="1">
      <alignment horizontal="left"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4" numFmtId="0" xfId="0" applyAlignment="1" applyFont="1">
      <alignment horizontal="right" readingOrder="0"/>
    </xf>
    <xf borderId="0" fillId="4" fontId="2" numFmtId="0" xfId="0" applyFill="1" applyFont="1"/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3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1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ont="1"/>
    <xf borderId="0" fillId="0" fontId="1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7" fontId="1" numFmtId="0" xfId="0" applyFill="1" applyFont="1"/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horizontal="right" readingOrder="0"/>
    </xf>
    <xf borderId="0" fillId="3" fontId="1" numFmtId="164" xfId="0" applyAlignment="1" applyFont="1" applyNumberFormat="1">
      <alignment readingOrder="0"/>
    </xf>
    <xf borderId="0" fillId="8" fontId="7" numFmtId="0" xfId="0" applyAlignment="1" applyFill="1" applyFont="1">
      <alignment readingOrder="0"/>
    </xf>
    <xf borderId="0" fillId="6" fontId="2" numFmtId="0" xfId="0" applyFont="1"/>
    <xf borderId="0" fillId="0" fontId="8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9" fontId="1" numFmtId="0" xfId="0" applyAlignment="1" applyFill="1" applyFont="1">
      <alignment readingOrder="0"/>
    </xf>
    <xf borderId="0" fillId="3" fontId="9" numFmtId="166" xfId="0" applyAlignment="1" applyFont="1" applyNumberFormat="1">
      <alignment readingOrder="0"/>
    </xf>
    <xf borderId="0" fillId="3" fontId="9" numFmtId="0" xfId="0" applyAlignment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166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10" fontId="1" numFmtId="164" xfId="0" applyAlignment="1" applyFill="1" applyFont="1" applyNumberFormat="1">
      <alignment horizontal="left" readingOrder="0"/>
    </xf>
    <xf borderId="0" fillId="10" fontId="1" numFmtId="0" xfId="0" applyAlignment="1" applyFont="1">
      <alignment horizontal="left" readingOrder="0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2" fillId="11" fontId="1" numFmtId="0" xfId="0" applyAlignment="1" applyBorder="1" applyFill="1" applyFont="1">
      <alignment horizontal="center" readingOrder="0"/>
    </xf>
    <xf borderId="2" fillId="11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11" fontId="4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6" fontId="1" numFmtId="0" xfId="0" applyAlignment="1" applyFont="1">
      <alignment horizontal="center"/>
    </xf>
    <xf borderId="0" fillId="3" fontId="1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164" xfId="0" applyAlignment="1" applyFont="1" applyNumberFormat="1">
      <alignment horizontal="left" readingOrder="0"/>
    </xf>
    <xf borderId="0" fillId="0" fontId="10" numFmtId="0" xfId="0" applyAlignment="1" applyFont="1">
      <alignment horizontal="left" readingOrder="0"/>
    </xf>
    <xf borderId="0" fillId="0" fontId="1" numFmtId="167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2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166" xfId="0" applyAlignment="1" applyFont="1" applyNumberFormat="1">
      <alignment horizontal="left" readingOrder="0"/>
    </xf>
    <xf borderId="0" fillId="0" fontId="11" numFmtId="0" xfId="0" applyAlignment="1" applyFont="1">
      <alignment horizontal="left"/>
    </xf>
    <xf borderId="0" fillId="0" fontId="11" numFmtId="164" xfId="0" applyAlignment="1" applyFont="1" applyNumberFormat="1">
      <alignment horizontal="left" readingOrder="0"/>
    </xf>
    <xf borderId="0" fillId="0" fontId="11" numFmtId="0" xfId="0" applyFont="1"/>
    <xf borderId="0" fillId="0" fontId="4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 readingOrder="0"/>
    </xf>
    <xf borderId="0" fillId="12" fontId="1" numFmtId="0" xfId="0" applyAlignment="1" applyFill="1" applyFont="1">
      <alignment horizontal="left" readingOrder="0"/>
    </xf>
    <xf borderId="0" fillId="12" fontId="2" numFmtId="0" xfId="0" applyAlignment="1" applyFont="1">
      <alignment horizontal="right" readingOrder="0"/>
    </xf>
    <xf borderId="0" fillId="12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13" fontId="1" numFmtId="0" xfId="0" applyAlignment="1" applyFill="1" applyFont="1">
      <alignment horizontal="right" readingOrder="0"/>
    </xf>
    <xf borderId="0" fillId="10" fontId="1" numFmtId="0" xfId="0" applyAlignment="1" applyFont="1">
      <alignment readingOrder="0"/>
    </xf>
    <xf borderId="0" fillId="10" fontId="2" numFmtId="0" xfId="0" applyAlignment="1" applyFont="1">
      <alignment horizontal="left" readingOrder="0"/>
    </xf>
    <xf borderId="0" fillId="10" fontId="1" numFmtId="0" xfId="0" applyFont="1"/>
    <xf borderId="0" fillId="13" fontId="1" numFmtId="0" xfId="0" applyAlignment="1" applyFont="1">
      <alignment readingOrder="0"/>
    </xf>
    <xf borderId="0" fillId="0" fontId="12" numFmtId="0" xfId="0" applyAlignment="1" applyFont="1">
      <alignment horizontal="right" vertical="bottom"/>
    </xf>
    <xf borderId="0" fillId="3" fontId="1" numFmtId="0" xfId="0" applyAlignment="1" applyFont="1">
      <alignment horizontal="right" readingOrder="0"/>
    </xf>
    <xf borderId="0" fillId="0" fontId="1" numFmtId="165" xfId="0" applyAlignment="1" applyFont="1" applyNumberFormat="1">
      <alignment horizontal="left" readingOrder="0"/>
    </xf>
    <xf borderId="0" fillId="0" fontId="9" numFmtId="0" xfId="0" applyAlignment="1" applyFont="1">
      <alignment horizontal="right" readingOrder="0"/>
    </xf>
    <xf borderId="0" fillId="14" fontId="1" numFmtId="0" xfId="0" applyAlignment="1" applyFill="1" applyFont="1">
      <alignment horizontal="right" readingOrder="0"/>
    </xf>
    <xf borderId="0" fillId="0" fontId="1" numFmtId="168" xfId="0" applyAlignment="1" applyFont="1" applyNumberFormat="1">
      <alignment readingOrder="0"/>
    </xf>
    <xf borderId="0" fillId="0" fontId="12" numFmtId="0" xfId="0" applyAlignment="1" applyFont="1">
      <alignment horizontal="right" vertical="bottom"/>
    </xf>
    <xf borderId="0" fillId="15" fontId="1" numFmtId="0" xfId="0" applyAlignment="1" applyFill="1" applyFont="1">
      <alignment horizontal="left" readingOrder="0"/>
    </xf>
    <xf borderId="0" fillId="0" fontId="11" numFmtId="0" xfId="0" applyAlignment="1" applyFont="1">
      <alignment horizontal="center" readingOrder="0"/>
    </xf>
    <xf borderId="0" fillId="16" fontId="1" numFmtId="0" xfId="0" applyFill="1" applyFont="1"/>
    <xf borderId="0" fillId="14" fontId="1" numFmtId="0" xfId="0" applyFont="1"/>
    <xf borderId="0" fillId="0" fontId="12" numFmtId="0" xfId="0" applyAlignment="1" applyFont="1">
      <alignment horizontal="right" readingOrder="0" vertical="bottom"/>
    </xf>
    <xf borderId="0" fillId="14" fontId="1" numFmtId="0" xfId="0" applyAlignment="1" applyFont="1">
      <alignment horizontal="left" readingOrder="0"/>
    </xf>
    <xf borderId="0" fillId="17" fontId="1" numFmtId="0" xfId="0" applyAlignment="1" applyFill="1" applyFont="1">
      <alignment horizontal="center" readingOrder="0"/>
    </xf>
    <xf borderId="0" fillId="14" fontId="1" numFmtId="0" xfId="0" applyAlignment="1" applyFont="1">
      <alignment horizontal="left"/>
    </xf>
    <xf borderId="0" fillId="14" fontId="4" numFmtId="0" xfId="0" applyFont="1"/>
    <xf borderId="0" fillId="14" fontId="1" numFmtId="0" xfId="0" applyAlignment="1" applyFont="1">
      <alignment readingOrder="0"/>
    </xf>
    <xf borderId="0" fillId="14" fontId="1" numFmtId="0" xfId="0" applyAlignment="1" applyFont="1">
      <alignment horizontal="center" readingOrder="0"/>
    </xf>
    <xf borderId="0" fillId="18" fontId="1" numFmtId="0" xfId="0" applyFill="1" applyFont="1"/>
    <xf borderId="0" fillId="17" fontId="1" numFmtId="0" xfId="0" applyAlignment="1" applyFont="1">
      <alignment horizontal="left" readingOrder="0"/>
    </xf>
    <xf borderId="0" fillId="15" fontId="1" numFmtId="0" xfId="0" applyFont="1"/>
    <xf borderId="0" fillId="15" fontId="1" numFmtId="0" xfId="0" applyAlignment="1" applyFont="1">
      <alignment readingOrder="0"/>
    </xf>
    <xf borderId="0" fillId="15" fontId="1" numFmtId="0" xfId="0" applyAlignment="1" applyFont="1">
      <alignment horizontal="center" readingOrder="0"/>
    </xf>
    <xf borderId="2" fillId="0" fontId="1" numFmtId="164" xfId="0" applyAlignment="1" applyBorder="1" applyFont="1" applyNumberFormat="1">
      <alignment horizontal="left" readingOrder="0"/>
    </xf>
    <xf borderId="2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/>
    </xf>
    <xf borderId="2" fillId="0" fontId="1" numFmtId="166" xfId="0" applyAlignment="1" applyBorder="1" applyFont="1" applyNumberFormat="1">
      <alignment horizontal="left" readingOrder="0"/>
    </xf>
    <xf borderId="2" fillId="0" fontId="12" numFmtId="0" xfId="0" applyAlignment="1" applyBorder="1" applyFont="1">
      <alignment horizontal="left" readingOrder="0" vertical="bottom"/>
    </xf>
    <xf borderId="2" fillId="0" fontId="12" numFmtId="0" xfId="0" applyAlignment="1" applyBorder="1" applyFont="1">
      <alignment horizontal="left" vertical="bottom"/>
    </xf>
    <xf borderId="3" fillId="0" fontId="1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center" readingOrder="0"/>
    </xf>
    <xf borderId="0" fillId="0" fontId="1" numFmtId="168" xfId="0" applyAlignment="1" applyFont="1" applyNumberFormat="1">
      <alignment horizontal="left" readingOrder="0"/>
    </xf>
    <xf borderId="0" fillId="0" fontId="1" numFmtId="167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lio Alva Linares" id="{f255a26f-4b2a-48d4-ac17-40997520669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4-04-28T00:49:56.00" personId="{f255a26f-4b2a-48d4-ac17-409975206694}" id="{f07a623c-5599-4fd1-bfea-1fd1d63d4583}" done="0">
    <x18tc:text xml:space="preserve">Ya se restó 80 porque Carlos me depositó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://pagalo.pe/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9" max="9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0.0</v>
      </c>
      <c r="D2" s="2"/>
      <c r="E2" s="3"/>
      <c r="F2" s="3"/>
      <c r="G2" s="3"/>
      <c r="H2" s="3"/>
      <c r="I2" s="3"/>
      <c r="J2" s="3"/>
      <c r="K2" s="3"/>
      <c r="L2" s="3"/>
    </row>
    <row r="3">
      <c r="A3" s="2" t="s">
        <v>13</v>
      </c>
      <c r="B3" s="2" t="s">
        <v>12</v>
      </c>
      <c r="C3" s="2">
        <v>7.0</v>
      </c>
      <c r="D3" s="2"/>
      <c r="E3" s="2">
        <v>7.0</v>
      </c>
      <c r="F3" s="3"/>
      <c r="G3" s="3"/>
      <c r="H3" s="3"/>
      <c r="I3" s="3"/>
      <c r="J3" s="3"/>
      <c r="K3" s="3"/>
      <c r="L3" s="3"/>
    </row>
    <row r="4">
      <c r="A4" s="2" t="s">
        <v>14</v>
      </c>
      <c r="B4" s="2" t="s">
        <v>12</v>
      </c>
      <c r="C4" s="2">
        <v>13.8</v>
      </c>
      <c r="D4" s="2"/>
      <c r="E4" s="3"/>
      <c r="F4" s="3"/>
      <c r="G4" s="3"/>
      <c r="H4" s="3"/>
      <c r="I4" s="3"/>
      <c r="J4" s="3"/>
      <c r="K4" s="2">
        <v>13.8</v>
      </c>
      <c r="L4" s="3"/>
    </row>
    <row r="5">
      <c r="A5" s="2" t="s">
        <v>15</v>
      </c>
      <c r="B5" s="2" t="s">
        <v>12</v>
      </c>
      <c r="C5" s="2">
        <v>10.5</v>
      </c>
      <c r="D5" s="2"/>
      <c r="E5" s="2">
        <v>10.5</v>
      </c>
      <c r="F5" s="3"/>
      <c r="G5" s="3"/>
      <c r="H5" s="3"/>
      <c r="I5" s="3"/>
      <c r="J5" s="3"/>
      <c r="K5" s="3"/>
      <c r="L5" s="3"/>
    </row>
    <row r="6">
      <c r="A6" s="2" t="s">
        <v>16</v>
      </c>
      <c r="B6" s="2" t="s">
        <v>12</v>
      </c>
      <c r="C6" s="2">
        <v>13.5</v>
      </c>
      <c r="D6" s="2"/>
      <c r="E6" s="3"/>
      <c r="F6" s="3"/>
      <c r="G6" s="3"/>
      <c r="H6" s="3"/>
      <c r="I6" s="3"/>
      <c r="J6" s="3"/>
      <c r="K6" s="2">
        <v>13.5</v>
      </c>
      <c r="L6" s="3"/>
    </row>
    <row r="7">
      <c r="A7" s="2" t="s">
        <v>17</v>
      </c>
      <c r="B7" s="2" t="s">
        <v>12</v>
      </c>
      <c r="C7" s="2">
        <v>7.0</v>
      </c>
      <c r="D7" s="2"/>
      <c r="E7" s="2">
        <v>7.0</v>
      </c>
      <c r="F7" s="3"/>
      <c r="G7" s="3"/>
      <c r="H7" s="3"/>
      <c r="I7" s="3"/>
      <c r="J7" s="3"/>
      <c r="K7" s="3"/>
      <c r="L7" s="3"/>
    </row>
    <row r="8">
      <c r="A8" s="2" t="s">
        <v>18</v>
      </c>
      <c r="B8" s="2" t="s">
        <v>12</v>
      </c>
      <c r="C8" s="2">
        <v>40.0</v>
      </c>
      <c r="D8" s="2"/>
      <c r="E8" s="2">
        <v>40.0</v>
      </c>
      <c r="F8" s="3"/>
      <c r="G8" s="3"/>
      <c r="H8" s="3"/>
      <c r="I8" s="3"/>
      <c r="J8" s="3"/>
      <c r="K8" s="3"/>
      <c r="L8" s="3"/>
    </row>
    <row r="9">
      <c r="A9" s="2" t="s">
        <v>19</v>
      </c>
      <c r="B9" s="2" t="s">
        <v>12</v>
      </c>
      <c r="C9" s="2">
        <v>75.5</v>
      </c>
      <c r="D9" s="2"/>
      <c r="E9" s="3"/>
      <c r="F9" s="2">
        <v>75.5</v>
      </c>
      <c r="G9" s="3"/>
      <c r="H9" s="3"/>
      <c r="I9" s="3"/>
      <c r="J9" s="3"/>
      <c r="K9" s="3"/>
      <c r="L9" s="3"/>
    </row>
    <row r="10">
      <c r="A10" s="2" t="s">
        <v>20</v>
      </c>
      <c r="B10" s="2" t="s">
        <v>12</v>
      </c>
      <c r="C10" s="3"/>
      <c r="D10" s="3">
        <f>64*3</f>
        <v>192</v>
      </c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A14" s="2" t="s">
        <v>21</v>
      </c>
      <c r="B14" s="2" t="s">
        <v>22</v>
      </c>
      <c r="C14" s="2">
        <v>23.0</v>
      </c>
      <c r="D14" s="3"/>
      <c r="E14" s="3"/>
      <c r="F14" s="2">
        <v>23.0</v>
      </c>
      <c r="G14" s="3"/>
      <c r="H14" s="3"/>
      <c r="I14" s="3"/>
      <c r="J14" s="3"/>
      <c r="K14" s="3"/>
      <c r="L14" s="3"/>
    </row>
    <row r="15">
      <c r="A15" s="2" t="s">
        <v>23</v>
      </c>
      <c r="B15" s="2" t="s">
        <v>22</v>
      </c>
      <c r="C15" s="2">
        <v>83.0</v>
      </c>
      <c r="D15" s="3"/>
      <c r="E15" s="3"/>
      <c r="F15" s="2">
        <v>83.0</v>
      </c>
      <c r="G15" s="3"/>
      <c r="H15" s="3"/>
      <c r="I15" s="3"/>
      <c r="J15" s="3"/>
      <c r="K15" s="3"/>
      <c r="L15" s="3"/>
    </row>
    <row r="16">
      <c r="A16" s="2" t="s">
        <v>24</v>
      </c>
      <c r="B16" s="2" t="s">
        <v>22</v>
      </c>
      <c r="C16" s="2">
        <v>36.3</v>
      </c>
      <c r="D16" s="3"/>
      <c r="E16" s="2">
        <v>36.3</v>
      </c>
      <c r="F16" s="3"/>
      <c r="G16" s="3"/>
      <c r="H16" s="3"/>
      <c r="I16" s="3"/>
      <c r="J16" s="3"/>
      <c r="K16" s="3"/>
      <c r="L16" s="3"/>
    </row>
    <row r="17">
      <c r="A17" s="2" t="s">
        <v>25</v>
      </c>
      <c r="B17" s="2" t="s">
        <v>22</v>
      </c>
      <c r="C17" s="2">
        <v>24.9</v>
      </c>
      <c r="D17" s="3"/>
      <c r="E17" s="3"/>
      <c r="F17" s="2">
        <v>24.9</v>
      </c>
      <c r="G17" s="3"/>
      <c r="H17" s="3"/>
      <c r="I17" s="3"/>
      <c r="J17" s="3"/>
      <c r="K17" s="3"/>
      <c r="L17" s="3"/>
    </row>
    <row r="18">
      <c r="A18" s="2" t="s">
        <v>26</v>
      </c>
      <c r="B18" s="2" t="s">
        <v>22</v>
      </c>
      <c r="C18" s="2">
        <v>169.8</v>
      </c>
      <c r="D18" s="3"/>
      <c r="E18" s="3"/>
      <c r="F18" s="2">
        <v>169.8</v>
      </c>
      <c r="G18" s="3"/>
      <c r="H18" s="3"/>
      <c r="I18" s="3"/>
      <c r="J18" s="3"/>
      <c r="K18" s="3"/>
      <c r="L18" s="3"/>
    </row>
    <row r="19">
      <c r="A19" s="2" t="s">
        <v>27</v>
      </c>
      <c r="B19" s="2" t="s">
        <v>22</v>
      </c>
      <c r="C19" s="2">
        <v>61.0</v>
      </c>
      <c r="D19" s="3"/>
      <c r="E19" s="3"/>
      <c r="F19" s="2">
        <v>61.0</v>
      </c>
      <c r="G19" s="3"/>
      <c r="H19" s="3"/>
      <c r="I19" s="3"/>
      <c r="J19" s="3"/>
      <c r="K19" s="3"/>
      <c r="L19" s="3"/>
    </row>
    <row r="20">
      <c r="A20" s="2" t="s">
        <v>28</v>
      </c>
      <c r="B20" s="3"/>
      <c r="C20" s="3"/>
      <c r="D20" s="3"/>
      <c r="E20" s="3"/>
      <c r="F20" s="3"/>
      <c r="G20" s="3"/>
      <c r="H20" s="3"/>
      <c r="I20" s="3"/>
      <c r="J20" s="3"/>
      <c r="K20" s="2">
        <v>50.0</v>
      </c>
      <c r="L20" s="3"/>
    </row>
    <row r="21">
      <c r="A21" s="1" t="s">
        <v>29</v>
      </c>
      <c r="E21" s="4">
        <f t="shared" ref="E21:K21" si="1">sum(E2:E20)</f>
        <v>100.8</v>
      </c>
      <c r="F21" s="4">
        <f t="shared" si="1"/>
        <v>437.2</v>
      </c>
      <c r="G21" s="4">
        <f t="shared" si="1"/>
        <v>0</v>
      </c>
      <c r="H21" s="4">
        <f t="shared" si="1"/>
        <v>0</v>
      </c>
      <c r="I21" s="4">
        <f t="shared" si="1"/>
        <v>0</v>
      </c>
      <c r="J21" s="4">
        <f t="shared" si="1"/>
        <v>0</v>
      </c>
      <c r="K21" s="4">
        <f t="shared" si="1"/>
        <v>77.3</v>
      </c>
    </row>
    <row r="23">
      <c r="A23" s="1" t="s">
        <v>30</v>
      </c>
      <c r="E23" s="1">
        <v>39.5</v>
      </c>
      <c r="K23" s="4">
        <f>K21/2</f>
        <v>38.65</v>
      </c>
    </row>
    <row r="25">
      <c r="K25" s="4">
        <f>K23-24.2</f>
        <v>14.45</v>
      </c>
    </row>
    <row r="30">
      <c r="J30" s="4">
        <f>1369.5-1154</f>
        <v>215.5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>
      <c r="A2" s="2" t="s">
        <v>31</v>
      </c>
      <c r="B2" s="2" t="s">
        <v>32</v>
      </c>
      <c r="C2" s="2">
        <v>50.0</v>
      </c>
      <c r="D2" s="3"/>
      <c r="E2" s="2">
        <v>50.0</v>
      </c>
      <c r="F2" s="3"/>
      <c r="G2" s="3"/>
      <c r="H2" s="3"/>
      <c r="I2" s="3"/>
      <c r="J2" s="3"/>
    </row>
    <row r="3">
      <c r="A3" s="2" t="s">
        <v>33</v>
      </c>
      <c r="B3" s="2" t="s">
        <v>32</v>
      </c>
      <c r="C3" s="2">
        <v>75.39</v>
      </c>
      <c r="D3" s="3"/>
      <c r="E3" s="3"/>
      <c r="F3" s="3"/>
      <c r="G3" s="3"/>
      <c r="H3" s="2">
        <v>75.39</v>
      </c>
      <c r="I3" s="3"/>
      <c r="J3" s="3"/>
    </row>
    <row r="4">
      <c r="A4" s="2" t="s">
        <v>34</v>
      </c>
      <c r="B4" s="2" t="s">
        <v>32</v>
      </c>
      <c r="C4" s="2">
        <v>7.0</v>
      </c>
      <c r="D4" s="3"/>
      <c r="E4" s="2">
        <v>7.0</v>
      </c>
      <c r="F4" s="3"/>
      <c r="G4" s="3"/>
      <c r="H4" s="3"/>
      <c r="I4" s="3"/>
      <c r="J4" s="3"/>
    </row>
    <row r="5">
      <c r="A5" s="2" t="s">
        <v>35</v>
      </c>
      <c r="B5" s="2" t="s">
        <v>32</v>
      </c>
      <c r="C5" s="2">
        <v>12.4</v>
      </c>
      <c r="D5" s="3"/>
      <c r="E5" s="3"/>
      <c r="F5" s="3"/>
      <c r="G5" s="3"/>
      <c r="H5" s="3"/>
      <c r="I5" s="3"/>
      <c r="J5" s="2">
        <v>12.4</v>
      </c>
    </row>
    <row r="6">
      <c r="A6" s="2" t="s">
        <v>36</v>
      </c>
      <c r="B6" s="2" t="s">
        <v>32</v>
      </c>
      <c r="C6" s="2">
        <v>14.0</v>
      </c>
      <c r="D6" s="3"/>
      <c r="E6" s="3"/>
      <c r="F6" s="3"/>
      <c r="G6" s="3"/>
      <c r="H6" s="3"/>
      <c r="I6" s="3"/>
      <c r="J6" s="3"/>
    </row>
    <row r="7">
      <c r="A7" s="2" t="s">
        <v>37</v>
      </c>
      <c r="B7" s="2" t="s">
        <v>32</v>
      </c>
      <c r="C7" s="2">
        <v>16.9</v>
      </c>
      <c r="D7" s="3"/>
      <c r="E7" s="3"/>
      <c r="F7" s="3"/>
      <c r="G7" s="3"/>
      <c r="H7" s="3"/>
      <c r="I7" s="3"/>
      <c r="J7" s="3"/>
    </row>
    <row r="8">
      <c r="A8" s="2" t="s">
        <v>38</v>
      </c>
      <c r="B8" s="2" t="s">
        <v>32</v>
      </c>
      <c r="C8" s="2">
        <v>45.0</v>
      </c>
      <c r="D8" s="3"/>
      <c r="E8" s="2">
        <v>45.0</v>
      </c>
      <c r="F8" s="3"/>
      <c r="G8" s="3"/>
      <c r="H8" s="3"/>
      <c r="I8" s="3"/>
      <c r="J8" s="3"/>
    </row>
    <row r="9">
      <c r="A9" s="2" t="s">
        <v>39</v>
      </c>
      <c r="B9" s="2" t="s">
        <v>32</v>
      </c>
      <c r="C9" s="2">
        <v>114.1</v>
      </c>
      <c r="D9" s="2">
        <f>114.1-60</f>
        <v>54.1</v>
      </c>
      <c r="E9" s="2">
        <v>60.0</v>
      </c>
      <c r="F9" s="3"/>
      <c r="G9" s="3"/>
      <c r="H9" s="3"/>
      <c r="I9" s="3"/>
      <c r="J9" s="3"/>
    </row>
    <row r="10">
      <c r="A10" s="2" t="s">
        <v>40</v>
      </c>
      <c r="B10" s="2" t="s">
        <v>32</v>
      </c>
      <c r="C10" s="2">
        <v>16.0</v>
      </c>
      <c r="D10" s="3"/>
      <c r="E10" s="3"/>
      <c r="F10" s="3"/>
      <c r="G10" s="2">
        <v>16.0</v>
      </c>
      <c r="H10" s="3"/>
      <c r="I10" s="3"/>
      <c r="J10" s="3"/>
    </row>
    <row r="11">
      <c r="A11" s="2" t="s">
        <v>41</v>
      </c>
      <c r="B11" s="2" t="s">
        <v>32</v>
      </c>
      <c r="C11" s="2">
        <v>14.3</v>
      </c>
      <c r="D11" s="3"/>
      <c r="E11" s="3"/>
      <c r="F11" s="3"/>
      <c r="G11" s="3"/>
      <c r="H11" s="3"/>
      <c r="I11" s="3"/>
      <c r="J11" s="3"/>
    </row>
    <row r="12">
      <c r="A12" s="2" t="s">
        <v>42</v>
      </c>
      <c r="B12" s="2" t="s">
        <v>32</v>
      </c>
      <c r="C12" s="2">
        <v>35.0</v>
      </c>
      <c r="D12" s="2">
        <v>35.0</v>
      </c>
      <c r="E12" s="3"/>
      <c r="F12" s="3"/>
      <c r="G12" s="3"/>
      <c r="H12" s="3"/>
      <c r="I12" s="3"/>
      <c r="J12" s="3"/>
    </row>
    <row r="13">
      <c r="A13" s="2" t="s">
        <v>43</v>
      </c>
      <c r="B13" s="2" t="s">
        <v>32</v>
      </c>
      <c r="C13" s="2">
        <v>112.0</v>
      </c>
      <c r="D13" s="3"/>
      <c r="E13" s="2">
        <v>112.0</v>
      </c>
      <c r="F13" s="3"/>
      <c r="G13" s="3"/>
      <c r="H13" s="3"/>
      <c r="I13" s="3"/>
      <c r="J13" s="3"/>
    </row>
    <row r="14">
      <c r="A14" s="2" t="s">
        <v>44</v>
      </c>
      <c r="B14" s="2" t="s">
        <v>32</v>
      </c>
      <c r="C14" s="2">
        <v>8.0</v>
      </c>
      <c r="D14" s="2">
        <v>8.0</v>
      </c>
      <c r="E14" s="3"/>
      <c r="F14" s="3"/>
      <c r="G14" s="3"/>
      <c r="H14" s="3"/>
      <c r="I14" s="3"/>
      <c r="J14" s="3"/>
    </row>
    <row r="15">
      <c r="A15" s="2" t="s">
        <v>45</v>
      </c>
      <c r="B15" s="2" t="s">
        <v>32</v>
      </c>
      <c r="C15" s="2">
        <v>251.15</v>
      </c>
      <c r="D15" s="2">
        <v>251.15</v>
      </c>
      <c r="E15" s="3"/>
      <c r="F15" s="3"/>
      <c r="G15" s="3"/>
      <c r="H15" s="3"/>
      <c r="I15" s="3"/>
      <c r="J15" s="3"/>
    </row>
    <row r="16">
      <c r="A16" s="2" t="s">
        <v>46</v>
      </c>
      <c r="B16" s="2" t="s">
        <v>47</v>
      </c>
      <c r="C16" s="2">
        <v>29.0</v>
      </c>
      <c r="D16" s="3"/>
      <c r="E16" s="3"/>
      <c r="F16" s="3"/>
      <c r="G16" s="3"/>
      <c r="H16" s="2">
        <v>29.0</v>
      </c>
      <c r="I16" s="3"/>
      <c r="J16" s="3"/>
    </row>
    <row r="17">
      <c r="A17" s="2" t="s">
        <v>48</v>
      </c>
      <c r="B17" s="2" t="s">
        <v>32</v>
      </c>
      <c r="C17" s="2">
        <v>32.8</v>
      </c>
      <c r="D17" s="3"/>
      <c r="E17" s="3"/>
      <c r="F17" s="3"/>
      <c r="G17" s="3"/>
      <c r="H17" s="3"/>
      <c r="I17" s="3"/>
      <c r="J17" s="2">
        <v>32.8</v>
      </c>
    </row>
    <row r="18">
      <c r="A18" s="2" t="s">
        <v>49</v>
      </c>
      <c r="B18" s="2" t="s">
        <v>32</v>
      </c>
      <c r="C18" s="2">
        <v>11.3</v>
      </c>
      <c r="D18" s="3"/>
      <c r="E18" s="3"/>
      <c r="F18" s="3"/>
      <c r="G18" s="3"/>
      <c r="H18" s="2">
        <v>11.3</v>
      </c>
      <c r="I18" s="3"/>
      <c r="J18" s="3"/>
    </row>
    <row r="19">
      <c r="A19" s="2" t="s">
        <v>50</v>
      </c>
      <c r="B19" s="2" t="s">
        <v>32</v>
      </c>
      <c r="C19" s="3"/>
      <c r="D19" s="3"/>
      <c r="E19" s="3"/>
      <c r="F19" s="3"/>
      <c r="G19" s="3"/>
      <c r="H19" s="3"/>
      <c r="I19" s="3"/>
      <c r="J19" s="3"/>
    </row>
    <row r="20">
      <c r="A20" s="2" t="s">
        <v>51</v>
      </c>
      <c r="B20" s="2" t="s">
        <v>32</v>
      </c>
      <c r="C20" s="2">
        <v>15.0</v>
      </c>
      <c r="D20" s="2">
        <v>15.0</v>
      </c>
      <c r="E20" s="3"/>
      <c r="F20" s="3"/>
      <c r="G20" s="3"/>
      <c r="H20" s="3"/>
      <c r="I20" s="3"/>
      <c r="J20" s="3"/>
    </row>
    <row r="22">
      <c r="A22" s="1" t="s">
        <v>52</v>
      </c>
      <c r="D22" s="1">
        <v>256.0</v>
      </c>
      <c r="H22" s="1">
        <v>177.61</v>
      </c>
      <c r="J22" s="4">
        <f>45.2/2</f>
        <v>22.6</v>
      </c>
    </row>
    <row r="27">
      <c r="D27" s="1" t="s">
        <v>53</v>
      </c>
      <c r="E27" s="1">
        <v>8.7</v>
      </c>
      <c r="F27" s="1" t="s">
        <v>54</v>
      </c>
      <c r="H27" s="1" t="s">
        <v>55</v>
      </c>
      <c r="I27" s="1">
        <v>7.9</v>
      </c>
    </row>
    <row r="28">
      <c r="D28" s="1" t="s">
        <v>56</v>
      </c>
      <c r="E28" s="1">
        <v>17.9</v>
      </c>
      <c r="H28" s="1" t="s">
        <v>57</v>
      </c>
      <c r="I28" s="1">
        <v>24.9</v>
      </c>
    </row>
    <row r="29">
      <c r="D29" s="1" t="s">
        <v>58</v>
      </c>
      <c r="E29" s="1">
        <v>5.2</v>
      </c>
      <c r="H29" s="1" t="s">
        <v>59</v>
      </c>
      <c r="I29" s="1">
        <v>35.9</v>
      </c>
    </row>
    <row r="30">
      <c r="D30" s="1" t="s">
        <v>60</v>
      </c>
      <c r="E30" s="1">
        <v>10.2</v>
      </c>
      <c r="H30" s="1" t="s">
        <v>61</v>
      </c>
      <c r="I30" s="1">
        <v>16.53</v>
      </c>
    </row>
    <row r="31">
      <c r="D31" s="1" t="s">
        <v>62</v>
      </c>
      <c r="E31" s="1">
        <v>16.9</v>
      </c>
      <c r="H31" s="1" t="s">
        <v>63</v>
      </c>
      <c r="I31" s="1">
        <v>9.76</v>
      </c>
    </row>
    <row r="32">
      <c r="H32" s="1" t="s">
        <v>64</v>
      </c>
      <c r="I32" s="1">
        <v>16.9</v>
      </c>
    </row>
    <row r="33">
      <c r="H33" s="1" t="s">
        <v>65</v>
      </c>
      <c r="I33" s="1">
        <v>5.3</v>
      </c>
    </row>
    <row r="34">
      <c r="H34" s="1" t="s">
        <v>66</v>
      </c>
      <c r="I34" s="1">
        <v>15.54</v>
      </c>
    </row>
    <row r="35">
      <c r="H35" s="1" t="s">
        <v>67</v>
      </c>
      <c r="I35" s="1">
        <v>3.49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8" max="8" width="13.7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</row>
    <row r="2">
      <c r="A2" s="2" t="s">
        <v>68</v>
      </c>
      <c r="B2" s="2" t="s">
        <v>32</v>
      </c>
      <c r="C2" s="2">
        <v>226.9</v>
      </c>
      <c r="D2" s="3"/>
      <c r="E2" s="2">
        <v>226.9</v>
      </c>
    </row>
    <row r="3">
      <c r="A3" s="2" t="s">
        <v>69</v>
      </c>
      <c r="B3" s="2" t="s">
        <v>32</v>
      </c>
      <c r="C3" s="2">
        <v>17.7</v>
      </c>
      <c r="D3" s="3"/>
      <c r="E3" s="2">
        <v>17.7</v>
      </c>
    </row>
    <row r="4">
      <c r="A4" s="2" t="s">
        <v>70</v>
      </c>
      <c r="B4" s="2" t="s">
        <v>32</v>
      </c>
      <c r="C4" s="2">
        <v>14.9</v>
      </c>
      <c r="D4" s="3"/>
      <c r="E4" s="2">
        <v>14.9</v>
      </c>
    </row>
    <row r="5">
      <c r="A5" s="2" t="s">
        <v>71</v>
      </c>
      <c r="B5" s="2" t="s">
        <v>32</v>
      </c>
      <c r="C5" s="2">
        <v>7.0</v>
      </c>
      <c r="D5" s="3"/>
      <c r="E5" s="2">
        <v>7.0</v>
      </c>
    </row>
    <row r="6">
      <c r="A6" s="2" t="s">
        <v>71</v>
      </c>
      <c r="B6" s="2" t="s">
        <v>32</v>
      </c>
      <c r="C6" s="2">
        <v>7.9</v>
      </c>
      <c r="D6" s="3"/>
      <c r="E6" s="2">
        <v>7.9</v>
      </c>
    </row>
    <row r="7">
      <c r="A7" s="2" t="s">
        <v>72</v>
      </c>
      <c r="B7" s="2" t="s">
        <v>32</v>
      </c>
      <c r="C7" s="2">
        <v>61.0</v>
      </c>
      <c r="D7" s="2">
        <v>61.0</v>
      </c>
      <c r="E7" s="3"/>
    </row>
    <row r="8">
      <c r="A8" s="2" t="s">
        <v>73</v>
      </c>
      <c r="B8" s="2" t="s">
        <v>32</v>
      </c>
      <c r="C8" s="2">
        <v>74.8</v>
      </c>
      <c r="D8" s="2">
        <v>74.8</v>
      </c>
      <c r="E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8" max="8" width="13.7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</row>
    <row r="2">
      <c r="A2" s="2" t="s">
        <v>74</v>
      </c>
      <c r="B2" s="2" t="s">
        <v>32</v>
      </c>
      <c r="C2" s="2">
        <v>62.0</v>
      </c>
      <c r="E2" s="1">
        <v>62.0</v>
      </c>
    </row>
    <row r="3">
      <c r="A3" s="2" t="s">
        <v>75</v>
      </c>
      <c r="B3" s="2" t="s">
        <v>32</v>
      </c>
      <c r="C3" s="2">
        <v>8.82</v>
      </c>
      <c r="E3" s="1">
        <v>8.82</v>
      </c>
    </row>
    <row r="4">
      <c r="A4" s="2" t="s">
        <v>75</v>
      </c>
      <c r="B4" s="2" t="s">
        <v>32</v>
      </c>
      <c r="C4" s="2">
        <v>9.3</v>
      </c>
      <c r="E4" s="1">
        <v>9.3</v>
      </c>
    </row>
    <row r="5">
      <c r="A5" s="2" t="s">
        <v>76</v>
      </c>
      <c r="B5" s="2" t="s">
        <v>32</v>
      </c>
      <c r="C5" s="2">
        <v>14.0</v>
      </c>
    </row>
    <row r="6">
      <c r="A6" s="2" t="s">
        <v>77</v>
      </c>
      <c r="B6" s="2" t="s">
        <v>32</v>
      </c>
      <c r="C6" s="2">
        <v>2.0</v>
      </c>
      <c r="I6" s="1">
        <v>2.0</v>
      </c>
    </row>
    <row r="7">
      <c r="A7" s="2" t="s">
        <v>78</v>
      </c>
      <c r="B7" s="2" t="s">
        <v>32</v>
      </c>
      <c r="C7" s="2">
        <v>15.2</v>
      </c>
      <c r="I7" s="1">
        <v>15.2</v>
      </c>
    </row>
    <row r="8">
      <c r="A8" s="2" t="s">
        <v>79</v>
      </c>
      <c r="B8" s="2" t="s">
        <v>32</v>
      </c>
      <c r="C8" s="2">
        <v>135.0</v>
      </c>
      <c r="H8" s="1">
        <v>9.79</v>
      </c>
      <c r="I8" s="4">
        <f>135-H8</f>
        <v>125.21</v>
      </c>
    </row>
    <row r="9">
      <c r="A9" s="2" t="s">
        <v>80</v>
      </c>
      <c r="B9" s="2" t="s">
        <v>32</v>
      </c>
      <c r="C9" s="2">
        <v>13.4</v>
      </c>
      <c r="E9" s="1">
        <v>13.4</v>
      </c>
    </row>
    <row r="10">
      <c r="A10" s="5" t="s">
        <v>81</v>
      </c>
      <c r="B10" s="2" t="s">
        <v>32</v>
      </c>
      <c r="C10" s="2">
        <v>20.1</v>
      </c>
      <c r="E10" s="1">
        <v>20.1</v>
      </c>
    </row>
    <row r="11">
      <c r="A11" s="2" t="s">
        <v>82</v>
      </c>
      <c r="B11" s="2" t="s">
        <v>32</v>
      </c>
      <c r="C11" s="2">
        <v>19.3</v>
      </c>
      <c r="E11" s="1">
        <v>19.3</v>
      </c>
    </row>
    <row r="13">
      <c r="I13" s="4">
        <f>sum(I6:I9)/2</f>
        <v>71.205</v>
      </c>
    </row>
    <row r="17">
      <c r="F17" s="1">
        <f>8207.93-7291.58</f>
        <v>916.35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9" max="9" width="13.75"/>
    <col customWidth="1" min="14" max="14" width="21.13"/>
  </cols>
  <sheetData>
    <row r="1">
      <c r="A1" s="1" t="s">
        <v>0</v>
      </c>
      <c r="B1" s="1" t="s">
        <v>1</v>
      </c>
      <c r="C1" s="1" t="s">
        <v>2</v>
      </c>
      <c r="D1" s="1" t="s">
        <v>83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84</v>
      </c>
      <c r="L1" s="1" t="s">
        <v>85</v>
      </c>
      <c r="M1" s="1" t="s">
        <v>86</v>
      </c>
    </row>
    <row r="2">
      <c r="A2" s="6" t="s">
        <v>87</v>
      </c>
      <c r="B2" s="6" t="s">
        <v>32</v>
      </c>
      <c r="C2" s="6">
        <v>132.0</v>
      </c>
      <c r="L2" s="1">
        <v>132.0</v>
      </c>
    </row>
    <row r="3">
      <c r="A3" s="2" t="s">
        <v>88</v>
      </c>
      <c r="B3" s="3"/>
      <c r="C3" s="2">
        <v>7.5</v>
      </c>
      <c r="F3" s="1">
        <v>7.5</v>
      </c>
    </row>
    <row r="4">
      <c r="A4" s="2" t="s">
        <v>89</v>
      </c>
      <c r="B4" s="3"/>
      <c r="C4" s="2">
        <v>8.0</v>
      </c>
      <c r="F4" s="1">
        <v>8.0</v>
      </c>
      <c r="N4" s="1" t="s">
        <v>90</v>
      </c>
      <c r="O4" s="1">
        <v>7291.58</v>
      </c>
    </row>
    <row r="5">
      <c r="A5" s="2" t="s">
        <v>91</v>
      </c>
      <c r="B5" s="3"/>
      <c r="C5" s="2">
        <v>72.5</v>
      </c>
      <c r="F5" s="1">
        <v>72.5</v>
      </c>
      <c r="N5" s="1" t="s">
        <v>92</v>
      </c>
      <c r="O5" s="1">
        <v>-6000.0</v>
      </c>
    </row>
    <row r="6">
      <c r="A6" s="2" t="s">
        <v>93</v>
      </c>
      <c r="B6" s="3"/>
      <c r="C6" s="2">
        <v>7.5</v>
      </c>
      <c r="H6" s="1">
        <v>7.5</v>
      </c>
      <c r="N6" s="1" t="s">
        <v>94</v>
      </c>
      <c r="O6" s="1">
        <v>-516.76</v>
      </c>
    </row>
    <row r="7">
      <c r="A7" s="2" t="s">
        <v>95</v>
      </c>
      <c r="B7" s="3"/>
      <c r="C7" s="2">
        <v>15.9</v>
      </c>
      <c r="F7" s="1">
        <v>15.9</v>
      </c>
      <c r="N7" s="1" t="s">
        <v>96</v>
      </c>
      <c r="O7" s="4">
        <f>-1*(sum(L2:L19))</f>
        <v>-379.5</v>
      </c>
    </row>
    <row r="8">
      <c r="A8" s="2" t="s">
        <v>97</v>
      </c>
      <c r="B8" s="3"/>
      <c r="C8" s="2">
        <v>74.4</v>
      </c>
      <c r="F8" s="1">
        <v>74.4</v>
      </c>
      <c r="N8" s="1" t="s">
        <v>98</v>
      </c>
      <c r="O8" s="4">
        <f>+O4+O5+O6+O7</f>
        <v>395.32</v>
      </c>
    </row>
    <row r="9">
      <c r="A9" s="2" t="s">
        <v>99</v>
      </c>
      <c r="B9" s="3"/>
      <c r="C9" s="2">
        <v>10.5</v>
      </c>
      <c r="F9" s="1">
        <v>10.5</v>
      </c>
    </row>
    <row r="10">
      <c r="A10" s="6" t="s">
        <v>100</v>
      </c>
      <c r="B10" s="7"/>
      <c r="C10" s="6">
        <v>83.8</v>
      </c>
      <c r="L10" s="1">
        <v>83.8</v>
      </c>
    </row>
    <row r="11">
      <c r="A11" s="2" t="s">
        <v>101</v>
      </c>
      <c r="B11" s="3"/>
      <c r="C11" s="2">
        <v>8.9</v>
      </c>
      <c r="F11" s="1">
        <v>8.9</v>
      </c>
    </row>
    <row r="12">
      <c r="A12" s="2" t="s">
        <v>102</v>
      </c>
      <c r="B12" s="3"/>
      <c r="C12" s="2">
        <v>84.0</v>
      </c>
      <c r="F12" s="1">
        <v>84.0</v>
      </c>
    </row>
    <row r="13">
      <c r="A13" s="6" t="s">
        <v>103</v>
      </c>
      <c r="B13" s="7"/>
      <c r="C13" s="6">
        <v>163.7</v>
      </c>
      <c r="L13" s="1">
        <v>163.7</v>
      </c>
    </row>
    <row r="14">
      <c r="A14" s="2" t="s">
        <v>104</v>
      </c>
      <c r="B14" s="3"/>
      <c r="C14" s="2">
        <v>16.7</v>
      </c>
      <c r="F14" s="1">
        <v>16.7</v>
      </c>
    </row>
    <row r="15">
      <c r="A15" s="2" t="s">
        <v>105</v>
      </c>
      <c r="B15" s="3"/>
      <c r="C15" s="2">
        <v>10.5</v>
      </c>
      <c r="F15" s="1">
        <v>10.5</v>
      </c>
    </row>
    <row r="16">
      <c r="A16" s="2" t="s">
        <v>106</v>
      </c>
      <c r="B16" s="3"/>
      <c r="C16" s="2">
        <v>16.8</v>
      </c>
      <c r="F16" s="1">
        <v>16.8</v>
      </c>
    </row>
    <row r="17">
      <c r="A17" s="2" t="s">
        <v>107</v>
      </c>
      <c r="B17" s="3"/>
      <c r="C17" s="2">
        <v>10.8</v>
      </c>
      <c r="F17" s="1">
        <v>10.8</v>
      </c>
    </row>
    <row r="18">
      <c r="A18" s="2" t="s">
        <v>108</v>
      </c>
      <c r="B18" s="3"/>
      <c r="C18" s="3"/>
      <c r="D18" s="1">
        <v>129.15</v>
      </c>
    </row>
    <row r="19">
      <c r="A19" s="2" t="s">
        <v>109</v>
      </c>
      <c r="B19" s="3"/>
      <c r="C19" s="2">
        <v>87.9</v>
      </c>
      <c r="J19" s="4">
        <f>87.9/2</f>
        <v>43.95</v>
      </c>
    </row>
    <row r="20">
      <c r="A20" s="2" t="s">
        <v>110</v>
      </c>
      <c r="B20" s="3"/>
      <c r="C20" s="2">
        <v>20.0</v>
      </c>
      <c r="F20" s="1">
        <v>20.0</v>
      </c>
    </row>
    <row r="21">
      <c r="A21" s="2" t="s">
        <v>111</v>
      </c>
      <c r="B21" s="3"/>
      <c r="C21" s="2">
        <v>16.0</v>
      </c>
      <c r="F21" s="1">
        <v>16.0</v>
      </c>
    </row>
    <row r="22">
      <c r="A22" s="2" t="s">
        <v>112</v>
      </c>
      <c r="B22" s="3"/>
      <c r="C22" s="2">
        <v>12.0</v>
      </c>
      <c r="F22" s="1">
        <v>12.0</v>
      </c>
    </row>
    <row r="26">
      <c r="F26" s="1">
        <v>107.48</v>
      </c>
    </row>
    <row r="27">
      <c r="F27" s="4">
        <f>sum(F2:F22)-F26</f>
        <v>277.02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0</v>
      </c>
      <c r="B1" s="1" t="s">
        <v>1</v>
      </c>
      <c r="C1" s="1" t="s">
        <v>2</v>
      </c>
      <c r="D1" s="1" t="s">
        <v>83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84</v>
      </c>
      <c r="L1" s="1" t="s">
        <v>85</v>
      </c>
      <c r="M1" s="1" t="s">
        <v>86</v>
      </c>
    </row>
    <row r="2">
      <c r="A2" s="2" t="s">
        <v>113</v>
      </c>
      <c r="B2" s="2" t="s">
        <v>32</v>
      </c>
      <c r="C2" s="2">
        <v>7.7</v>
      </c>
      <c r="I2" s="1">
        <v>7.7</v>
      </c>
    </row>
    <row r="3">
      <c r="A3" s="2" t="s">
        <v>114</v>
      </c>
      <c r="B3" s="2" t="s">
        <v>32</v>
      </c>
      <c r="C3" s="2">
        <v>84.0</v>
      </c>
      <c r="I3" s="1">
        <v>84.0</v>
      </c>
    </row>
    <row r="4">
      <c r="A4" s="2" t="s">
        <v>114</v>
      </c>
      <c r="B4" s="2" t="s">
        <v>32</v>
      </c>
      <c r="C4" s="2">
        <v>95.0</v>
      </c>
      <c r="I4" s="1">
        <v>95.0</v>
      </c>
    </row>
    <row r="5">
      <c r="A5" s="2" t="s">
        <v>115</v>
      </c>
      <c r="B5" s="2" t="s">
        <v>32</v>
      </c>
      <c r="C5" s="2">
        <v>7.0</v>
      </c>
      <c r="I5" s="1">
        <v>7.0</v>
      </c>
    </row>
    <row r="6">
      <c r="A6" s="2" t="s">
        <v>116</v>
      </c>
      <c r="B6" s="2" t="s">
        <v>32</v>
      </c>
      <c r="C6" s="2">
        <v>11.1</v>
      </c>
      <c r="E6" s="1">
        <v>11.1</v>
      </c>
    </row>
    <row r="7">
      <c r="A7" s="2" t="s">
        <v>100</v>
      </c>
      <c r="B7" s="2" t="s">
        <v>32</v>
      </c>
      <c r="C7" s="2">
        <v>44.2</v>
      </c>
      <c r="K7" s="1">
        <v>44.2</v>
      </c>
    </row>
    <row r="8">
      <c r="A8" s="2" t="s">
        <v>117</v>
      </c>
      <c r="B8" s="2" t="s">
        <v>32</v>
      </c>
      <c r="C8" s="2">
        <v>476.16</v>
      </c>
      <c r="E8" s="4">
        <f>C8-K8</f>
        <v>128.16</v>
      </c>
      <c r="K8" s="1">
        <v>348.0</v>
      </c>
    </row>
    <row r="9">
      <c r="A9" s="2" t="s">
        <v>99</v>
      </c>
      <c r="B9" s="2" t="s">
        <v>32</v>
      </c>
      <c r="C9" s="2">
        <v>10.2</v>
      </c>
      <c r="K9" s="1">
        <v>10.2</v>
      </c>
    </row>
    <row r="10">
      <c r="A10" s="2" t="s">
        <v>118</v>
      </c>
      <c r="B10" s="2" t="s">
        <v>32</v>
      </c>
      <c r="C10" s="2">
        <v>181.0</v>
      </c>
      <c r="K10" s="1">
        <v>181.0</v>
      </c>
    </row>
    <row r="11">
      <c r="A11" s="2" t="s">
        <v>119</v>
      </c>
      <c r="B11" s="2" t="s">
        <v>32</v>
      </c>
      <c r="C11" s="2">
        <v>12.5</v>
      </c>
      <c r="J11" s="1">
        <v>12.5</v>
      </c>
    </row>
    <row r="12">
      <c r="A12" s="2"/>
      <c r="B12" s="2" t="s">
        <v>120</v>
      </c>
      <c r="C12" s="2"/>
    </row>
    <row r="13">
      <c r="A13" s="2" t="s">
        <v>121</v>
      </c>
      <c r="B13" s="2" t="s">
        <v>32</v>
      </c>
      <c r="C13" s="2">
        <v>40.0</v>
      </c>
      <c r="J13" s="1">
        <v>40.0</v>
      </c>
    </row>
    <row r="14">
      <c r="A14" s="2" t="s">
        <v>122</v>
      </c>
      <c r="B14" s="2" t="s">
        <v>32</v>
      </c>
      <c r="C14" s="2">
        <v>11.0</v>
      </c>
      <c r="K14" s="1">
        <v>11.0</v>
      </c>
    </row>
    <row r="15">
      <c r="A15" s="2" t="s">
        <v>123</v>
      </c>
      <c r="B15" s="2" t="s">
        <v>32</v>
      </c>
      <c r="C15" s="2">
        <v>31.8</v>
      </c>
      <c r="K15" s="1">
        <v>31.8</v>
      </c>
    </row>
    <row r="16">
      <c r="A16" s="2" t="s">
        <v>124</v>
      </c>
      <c r="B16" s="2" t="s">
        <v>32</v>
      </c>
      <c r="C16" s="2">
        <v>200.0</v>
      </c>
      <c r="K16" s="1">
        <v>200.0</v>
      </c>
    </row>
    <row r="17">
      <c r="A17" s="2" t="s">
        <v>125</v>
      </c>
      <c r="B17" s="2" t="s">
        <v>32</v>
      </c>
      <c r="C17" s="2">
        <v>210.0</v>
      </c>
      <c r="K17" s="1">
        <v>210.0</v>
      </c>
    </row>
    <row r="18">
      <c r="E18" s="4">
        <f>SUM(E2:E17)</f>
        <v>139.26</v>
      </c>
      <c r="I18" s="4">
        <f>SUM(I2:I17)</f>
        <v>193.7</v>
      </c>
      <c r="J18" s="4">
        <f>(SUM(J2:J17)/2)-6.4</f>
        <v>19.85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84</v>
      </c>
      <c r="K1" s="1" t="s">
        <v>86</v>
      </c>
    </row>
    <row r="2">
      <c r="A2" s="1" t="s">
        <v>126</v>
      </c>
      <c r="B2" s="1" t="s">
        <v>32</v>
      </c>
      <c r="C2" s="2">
        <v>120.0</v>
      </c>
      <c r="J2" s="1">
        <v>120.0</v>
      </c>
    </row>
    <row r="3">
      <c r="A3" s="1" t="s">
        <v>127</v>
      </c>
      <c r="B3" s="1" t="s">
        <v>32</v>
      </c>
      <c r="C3" s="2">
        <v>40.0</v>
      </c>
      <c r="E3" s="1">
        <v>40.0</v>
      </c>
    </row>
    <row r="4">
      <c r="A4" s="1" t="s">
        <v>128</v>
      </c>
      <c r="B4" s="1" t="s">
        <v>32</v>
      </c>
      <c r="C4" s="2">
        <v>12.0</v>
      </c>
      <c r="D4" s="1">
        <v>2.0</v>
      </c>
      <c r="J4" s="1">
        <v>10.0</v>
      </c>
    </row>
    <row r="5">
      <c r="A5" s="1" t="s">
        <v>129</v>
      </c>
      <c r="B5" s="1" t="s">
        <v>32</v>
      </c>
      <c r="C5" s="2">
        <v>25.0</v>
      </c>
      <c r="J5" s="1">
        <v>25.0</v>
      </c>
    </row>
    <row r="6">
      <c r="A6" s="1" t="s">
        <v>130</v>
      </c>
      <c r="B6" s="1" t="s">
        <v>32</v>
      </c>
      <c r="C6" s="2">
        <v>20.4</v>
      </c>
      <c r="D6" s="1">
        <v>20.4</v>
      </c>
    </row>
    <row r="7">
      <c r="A7" s="1" t="s">
        <v>131</v>
      </c>
      <c r="B7" s="1" t="s">
        <v>32</v>
      </c>
      <c r="C7" s="2">
        <v>7.8</v>
      </c>
      <c r="D7" s="1">
        <v>7.8</v>
      </c>
    </row>
    <row r="8">
      <c r="A8" s="1" t="s">
        <v>132</v>
      </c>
      <c r="B8" s="1" t="s">
        <v>32</v>
      </c>
      <c r="C8" s="2">
        <v>374.0</v>
      </c>
      <c r="J8" s="1">
        <v>374.0</v>
      </c>
    </row>
    <row r="9">
      <c r="A9" s="1" t="s">
        <v>133</v>
      </c>
      <c r="B9" s="1" t="s">
        <v>32</v>
      </c>
      <c r="C9" s="2">
        <v>8.64</v>
      </c>
      <c r="J9" s="1">
        <v>8.64</v>
      </c>
    </row>
    <row r="10">
      <c r="A10" s="1" t="s">
        <v>134</v>
      </c>
      <c r="B10" s="1" t="s">
        <v>32</v>
      </c>
      <c r="C10" s="2">
        <v>21.05</v>
      </c>
      <c r="D10" s="1">
        <v>21.05</v>
      </c>
    </row>
    <row r="11">
      <c r="A11" s="1" t="s">
        <v>135</v>
      </c>
      <c r="B11" s="1" t="s">
        <v>32</v>
      </c>
      <c r="C11" s="2">
        <v>75.0</v>
      </c>
      <c r="E11" s="1">
        <v>75.0</v>
      </c>
    </row>
    <row r="12">
      <c r="A12" s="1" t="s">
        <v>136</v>
      </c>
      <c r="B12" s="1" t="s">
        <v>32</v>
      </c>
      <c r="C12" s="2">
        <v>24.5</v>
      </c>
      <c r="D12" s="1">
        <v>24.5</v>
      </c>
    </row>
    <row r="13">
      <c r="A13" s="1" t="s">
        <v>136</v>
      </c>
      <c r="B13" s="1" t="s">
        <v>32</v>
      </c>
      <c r="C13" s="2">
        <v>53.1</v>
      </c>
      <c r="D13" s="1">
        <v>53.1</v>
      </c>
    </row>
    <row r="14">
      <c r="A14" s="1" t="s">
        <v>137</v>
      </c>
      <c r="B14" s="1" t="s">
        <v>32</v>
      </c>
      <c r="C14" s="2">
        <v>8.88</v>
      </c>
      <c r="E14" s="1">
        <v>8.88</v>
      </c>
    </row>
    <row r="15">
      <c r="A15" s="1" t="s">
        <v>99</v>
      </c>
      <c r="B15" s="1" t="s">
        <v>32</v>
      </c>
      <c r="C15" s="2">
        <v>9.2</v>
      </c>
      <c r="E15" s="1">
        <v>9.2</v>
      </c>
    </row>
    <row r="16">
      <c r="A16" s="1" t="s">
        <v>138</v>
      </c>
      <c r="B16" s="1" t="s">
        <v>32</v>
      </c>
      <c r="C16" s="2">
        <v>84.0</v>
      </c>
      <c r="E16" s="1">
        <v>84.0</v>
      </c>
    </row>
    <row r="17">
      <c r="A17" s="8" t="s">
        <v>139</v>
      </c>
      <c r="C17" s="3">
        <f t="shared" ref="C17:K17" si="1">SUM(C2:C16)</f>
        <v>883.57</v>
      </c>
      <c r="D17" s="4">
        <f t="shared" si="1"/>
        <v>128.85</v>
      </c>
      <c r="E17" s="4">
        <f t="shared" si="1"/>
        <v>217.08</v>
      </c>
      <c r="F17" s="4">
        <f t="shared" si="1"/>
        <v>0</v>
      </c>
      <c r="G17" s="4">
        <f t="shared" si="1"/>
        <v>0</v>
      </c>
      <c r="H17" s="4">
        <f t="shared" si="1"/>
        <v>0</v>
      </c>
      <c r="I17" s="4">
        <f t="shared" si="1"/>
        <v>0</v>
      </c>
      <c r="J17" s="4">
        <f t="shared" si="1"/>
        <v>537.64</v>
      </c>
      <c r="K17" s="4">
        <f t="shared" si="1"/>
        <v>0</v>
      </c>
    </row>
    <row r="19">
      <c r="D19" s="4">
        <f>D17-D6</f>
        <v>108.45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84</v>
      </c>
      <c r="K1" s="1" t="s">
        <v>86</v>
      </c>
    </row>
    <row r="2">
      <c r="A2" s="1" t="s">
        <v>140</v>
      </c>
      <c r="B2" s="1" t="s">
        <v>47</v>
      </c>
      <c r="C2" s="2">
        <v>62.3</v>
      </c>
      <c r="D2" s="3"/>
      <c r="E2" s="3"/>
      <c r="F2" s="3"/>
      <c r="G2" s="3"/>
      <c r="H2" s="2">
        <v>62.3</v>
      </c>
    </row>
    <row r="3">
      <c r="A3" s="1" t="s">
        <v>141</v>
      </c>
      <c r="B3" s="1" t="s">
        <v>47</v>
      </c>
      <c r="C3" s="2">
        <v>164.8</v>
      </c>
      <c r="D3" s="3"/>
      <c r="E3" s="2">
        <v>164.8</v>
      </c>
      <c r="F3" s="3"/>
      <c r="G3" s="3"/>
      <c r="H3" s="3"/>
    </row>
    <row r="4">
      <c r="A4" s="1" t="s">
        <v>142</v>
      </c>
      <c r="B4" s="1" t="s">
        <v>47</v>
      </c>
      <c r="C4" s="3">
        <f>228.69-C2-C3</f>
        <v>1.59</v>
      </c>
      <c r="D4" s="3"/>
      <c r="E4" s="3">
        <v>1.589999999999975</v>
      </c>
      <c r="F4" s="3"/>
      <c r="G4" s="3"/>
      <c r="H4" s="3"/>
    </row>
    <row r="5">
      <c r="A5" s="1" t="s">
        <v>143</v>
      </c>
      <c r="B5" s="1" t="s">
        <v>32</v>
      </c>
      <c r="C5" s="2">
        <v>15.4</v>
      </c>
      <c r="D5" s="3"/>
      <c r="E5" s="2">
        <v>15.4</v>
      </c>
      <c r="F5" s="3"/>
      <c r="G5" s="3"/>
      <c r="H5" s="3"/>
    </row>
    <row r="6">
      <c r="A6" s="1" t="s">
        <v>144</v>
      </c>
      <c r="B6" s="1" t="s">
        <v>32</v>
      </c>
      <c r="C6" s="2">
        <v>7.0</v>
      </c>
      <c r="D6" s="3"/>
      <c r="E6" s="2">
        <v>7.0</v>
      </c>
      <c r="F6" s="3"/>
      <c r="G6" s="3"/>
      <c r="H6" s="3"/>
    </row>
    <row r="7">
      <c r="A7" s="1" t="s">
        <v>145</v>
      </c>
      <c r="B7" s="1" t="s">
        <v>32</v>
      </c>
      <c r="C7" s="2">
        <v>7.0</v>
      </c>
      <c r="D7" s="3"/>
      <c r="E7" s="2">
        <v>7.0</v>
      </c>
      <c r="F7" s="3"/>
      <c r="G7" s="3"/>
      <c r="H7" s="3"/>
    </row>
    <row r="8">
      <c r="A8" s="1" t="s">
        <v>146</v>
      </c>
      <c r="B8" s="1" t="s">
        <v>32</v>
      </c>
      <c r="C8" s="2">
        <v>19.2</v>
      </c>
      <c r="D8" s="3"/>
      <c r="E8" s="2">
        <v>19.2</v>
      </c>
      <c r="F8" s="3"/>
      <c r="G8" s="3"/>
      <c r="H8" s="3"/>
    </row>
    <row r="9">
      <c r="A9" s="1" t="s">
        <v>147</v>
      </c>
      <c r="B9" s="1" t="s">
        <v>32</v>
      </c>
      <c r="C9" s="2">
        <v>18.7</v>
      </c>
      <c r="D9" s="3"/>
      <c r="E9" s="2">
        <v>18.7</v>
      </c>
      <c r="F9" s="3"/>
      <c r="G9" s="3"/>
      <c r="H9" s="3"/>
    </row>
    <row r="10">
      <c r="A10" s="1" t="s">
        <v>148</v>
      </c>
      <c r="B10" s="1" t="s">
        <v>32</v>
      </c>
      <c r="C10" s="2">
        <v>17.4</v>
      </c>
      <c r="D10" s="3"/>
      <c r="E10" s="3"/>
      <c r="F10" s="3"/>
      <c r="G10" s="3"/>
      <c r="H10" s="2">
        <v>17.4</v>
      </c>
    </row>
    <row r="11">
      <c r="A11" s="1" t="s">
        <v>149</v>
      </c>
      <c r="B11" s="1" t="s">
        <v>32</v>
      </c>
      <c r="C11" s="2">
        <v>4.0</v>
      </c>
      <c r="D11" s="3"/>
      <c r="E11" s="3"/>
      <c r="F11" s="3"/>
      <c r="G11" s="3"/>
      <c r="H11" s="2">
        <v>4.0</v>
      </c>
    </row>
    <row r="12">
      <c r="A12" s="1" t="s">
        <v>150</v>
      </c>
      <c r="B12" s="1" t="s">
        <v>32</v>
      </c>
      <c r="C12" s="2">
        <v>17.1</v>
      </c>
      <c r="D12" s="3"/>
      <c r="E12" s="3"/>
      <c r="F12" s="3"/>
      <c r="G12" s="3"/>
      <c r="H12" s="2">
        <v>17.1</v>
      </c>
    </row>
    <row r="13">
      <c r="A13" s="1" t="s">
        <v>151</v>
      </c>
      <c r="B13" s="1" t="s">
        <v>32</v>
      </c>
      <c r="C13" s="2">
        <v>27.0</v>
      </c>
      <c r="D13" s="3"/>
      <c r="E13" s="3"/>
      <c r="F13" s="3"/>
      <c r="G13" s="2">
        <f>27/2</f>
        <v>13.5</v>
      </c>
      <c r="H13" s="3"/>
    </row>
    <row r="14">
      <c r="A14" s="1" t="s">
        <v>152</v>
      </c>
      <c r="B14" s="1" t="s">
        <v>32</v>
      </c>
      <c r="C14" s="2">
        <v>52.9</v>
      </c>
      <c r="D14" s="3"/>
      <c r="E14" s="2">
        <v>52.9</v>
      </c>
      <c r="F14" s="3"/>
      <c r="G14" s="3"/>
      <c r="H14" s="3"/>
    </row>
    <row r="20">
      <c r="G20" s="4">
        <f>100.8+16</f>
        <v>116.8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84</v>
      </c>
      <c r="K1" s="1" t="s">
        <v>86</v>
      </c>
    </row>
    <row r="2">
      <c r="A2" s="2" t="s">
        <v>153</v>
      </c>
      <c r="B2" s="2" t="s">
        <v>47</v>
      </c>
      <c r="C2" s="2">
        <f>190.9-80</f>
        <v>110.9</v>
      </c>
      <c r="D2" s="2">
        <v>110.9</v>
      </c>
      <c r="E2" s="3"/>
      <c r="F2" s="3"/>
      <c r="G2" s="3"/>
      <c r="H2" s="3"/>
      <c r="I2" s="3"/>
      <c r="J2" s="3"/>
      <c r="K2" s="3"/>
      <c r="L2" s="3"/>
    </row>
    <row r="3">
      <c r="A3" s="2" t="s">
        <v>154</v>
      </c>
      <c r="B3" s="2" t="s">
        <v>47</v>
      </c>
      <c r="C3" s="2">
        <v>33.2</v>
      </c>
      <c r="D3" s="2">
        <v>33.2</v>
      </c>
      <c r="E3" s="3"/>
      <c r="F3" s="3"/>
      <c r="G3" s="3"/>
      <c r="H3" s="3"/>
      <c r="I3" s="3"/>
      <c r="J3" s="3"/>
      <c r="K3" s="3"/>
      <c r="L3" s="3"/>
    </row>
    <row r="4">
      <c r="A4" s="2" t="s">
        <v>155</v>
      </c>
      <c r="B4" s="2" t="s">
        <v>32</v>
      </c>
      <c r="C4" s="2">
        <v>159.0</v>
      </c>
      <c r="D4" s="3"/>
      <c r="E4" s="3"/>
      <c r="F4" s="3"/>
      <c r="G4" s="3"/>
      <c r="H4" s="2">
        <v>159.0</v>
      </c>
      <c r="I4" s="3"/>
      <c r="J4" s="3"/>
      <c r="K4" s="3"/>
      <c r="L4" s="3"/>
    </row>
    <row r="5">
      <c r="A5" s="2" t="s">
        <v>156</v>
      </c>
      <c r="B5" s="3"/>
      <c r="C5" s="2">
        <v>14.0</v>
      </c>
      <c r="D5" s="3"/>
      <c r="E5" s="3"/>
      <c r="F5" s="3"/>
      <c r="G5" s="3"/>
      <c r="H5" s="3"/>
      <c r="I5" s="3"/>
      <c r="J5" s="3"/>
      <c r="K5" s="3"/>
      <c r="L5" s="3"/>
    </row>
    <row r="6">
      <c r="A6" s="2" t="s">
        <v>157</v>
      </c>
      <c r="B6" s="3"/>
      <c r="C6" s="2">
        <v>15.6</v>
      </c>
      <c r="D6" s="3"/>
      <c r="E6" s="3"/>
      <c r="F6" s="3"/>
      <c r="G6" s="3"/>
      <c r="H6" s="3"/>
      <c r="I6" s="3"/>
      <c r="J6" s="3"/>
      <c r="K6" s="3"/>
      <c r="L6" s="3"/>
    </row>
    <row r="7">
      <c r="A7" s="2" t="s">
        <v>158</v>
      </c>
      <c r="B7" s="3"/>
      <c r="C7" s="2">
        <v>12.9</v>
      </c>
      <c r="D7" s="3"/>
      <c r="E7" s="3"/>
      <c r="F7" s="3"/>
      <c r="G7" s="3"/>
      <c r="H7" s="3"/>
      <c r="I7" s="2">
        <f>12.9/2</f>
        <v>6.45</v>
      </c>
      <c r="J7" s="3"/>
      <c r="K7" s="3"/>
      <c r="L7" s="3"/>
    </row>
    <row r="8">
      <c r="A8" s="2" t="s">
        <v>159</v>
      </c>
      <c r="B8" s="3"/>
      <c r="C8" s="2">
        <v>13.5</v>
      </c>
      <c r="D8" s="3"/>
      <c r="E8" s="3"/>
      <c r="F8" s="3"/>
      <c r="G8" s="3"/>
      <c r="H8" s="3"/>
      <c r="I8" s="3"/>
      <c r="J8" s="2">
        <v>13.5</v>
      </c>
      <c r="K8" s="3"/>
      <c r="L8" s="3"/>
    </row>
    <row r="9">
      <c r="A9" s="2" t="s">
        <v>114</v>
      </c>
      <c r="B9" s="3"/>
      <c r="C9" s="2">
        <v>71.0</v>
      </c>
      <c r="D9" s="3"/>
      <c r="E9" s="3"/>
      <c r="F9" s="3"/>
      <c r="G9" s="3"/>
      <c r="H9" s="2">
        <v>71.0</v>
      </c>
      <c r="I9" s="3"/>
      <c r="J9" s="3"/>
      <c r="K9" s="3"/>
      <c r="L9" s="3"/>
    </row>
    <row r="10">
      <c r="A10" s="2" t="s">
        <v>160</v>
      </c>
      <c r="B10" s="3"/>
      <c r="C10" s="2">
        <v>249.75</v>
      </c>
      <c r="D10" s="3"/>
      <c r="E10" s="3"/>
      <c r="F10" s="3"/>
      <c r="G10" s="3"/>
      <c r="H10" s="3"/>
      <c r="I10" s="3"/>
      <c r="J10" s="2">
        <v>249.75</v>
      </c>
      <c r="K10" s="3"/>
      <c r="L10" s="3"/>
    </row>
    <row r="11">
      <c r="A11" s="2" t="s">
        <v>161</v>
      </c>
      <c r="B11" s="3"/>
      <c r="C11" s="2">
        <v>20.0</v>
      </c>
      <c r="D11" s="3"/>
      <c r="E11" s="3"/>
      <c r="F11" s="3"/>
      <c r="G11" s="3"/>
      <c r="H11" s="2">
        <v>20.0</v>
      </c>
      <c r="I11" s="3"/>
      <c r="J11" s="3"/>
      <c r="K11" s="3"/>
      <c r="L11" s="3"/>
    </row>
    <row r="12">
      <c r="A12" s="2" t="s">
        <v>162</v>
      </c>
      <c r="B12" s="3"/>
      <c r="C12" s="2">
        <v>53.9</v>
      </c>
      <c r="D12" s="2">
        <v>53.9</v>
      </c>
      <c r="E12" s="3"/>
      <c r="F12" s="3"/>
      <c r="G12" s="3"/>
      <c r="H12" s="3"/>
      <c r="I12" s="3"/>
      <c r="J12" s="3"/>
      <c r="K12" s="3"/>
      <c r="L12" s="3"/>
    </row>
    <row r="13">
      <c r="A13" s="2" t="s">
        <v>163</v>
      </c>
      <c r="B13" s="3"/>
      <c r="C13" s="2">
        <v>36.11</v>
      </c>
      <c r="D13" s="2">
        <v>36.11</v>
      </c>
      <c r="E13" s="3"/>
      <c r="F13" s="3"/>
      <c r="G13" s="3"/>
      <c r="H13" s="3"/>
      <c r="I13" s="3"/>
      <c r="J13" s="3"/>
      <c r="K13" s="3"/>
      <c r="L13" s="3"/>
    </row>
    <row r="14">
      <c r="A14" s="2" t="s">
        <v>164</v>
      </c>
      <c r="B14" s="3"/>
      <c r="C14" s="2">
        <v>78.0</v>
      </c>
      <c r="D14" s="3"/>
      <c r="E14" s="2">
        <v>78.0</v>
      </c>
      <c r="F14" s="3"/>
      <c r="G14" s="3"/>
      <c r="H14" s="3"/>
      <c r="I14" s="3"/>
      <c r="J14" s="3"/>
      <c r="K14" s="3"/>
      <c r="L14" s="3"/>
    </row>
    <row r="15">
      <c r="A15" s="2" t="s">
        <v>165</v>
      </c>
      <c r="B15" s="3"/>
      <c r="C15" s="2">
        <v>10.8</v>
      </c>
      <c r="D15" s="3"/>
      <c r="E15" s="3"/>
      <c r="F15" s="3"/>
      <c r="G15" s="3"/>
      <c r="H15" s="3"/>
      <c r="I15" s="3"/>
      <c r="J15" s="2">
        <v>10.8</v>
      </c>
      <c r="K15" s="3"/>
      <c r="L15" s="3"/>
    </row>
    <row r="16">
      <c r="A16" s="2" t="s">
        <v>166</v>
      </c>
      <c r="B16" s="3"/>
      <c r="C16" s="2">
        <v>14.4</v>
      </c>
      <c r="D16" s="3"/>
      <c r="E16" s="3"/>
      <c r="F16" s="3"/>
      <c r="G16" s="3"/>
      <c r="H16" s="3"/>
      <c r="I16" s="3"/>
      <c r="J16" s="3"/>
      <c r="K16" s="3"/>
      <c r="L16" s="3"/>
    </row>
    <row r="17">
      <c r="A17" s="2" t="s">
        <v>167</v>
      </c>
      <c r="B17" s="3"/>
      <c r="C17" s="2">
        <v>4.1</v>
      </c>
      <c r="D17" s="3"/>
      <c r="E17" s="3"/>
      <c r="F17" s="3"/>
      <c r="G17" s="3"/>
      <c r="H17" s="3"/>
      <c r="I17" s="3"/>
      <c r="J17" s="3"/>
      <c r="K17" s="3"/>
      <c r="L17" s="3"/>
    </row>
    <row r="18">
      <c r="A18" s="2" t="s">
        <v>168</v>
      </c>
      <c r="B18" s="3"/>
      <c r="C18" s="3"/>
      <c r="D18" s="3">
        <f t="shared" ref="D18:K18" si="1">SUM(D2:D17)</f>
        <v>234.11</v>
      </c>
      <c r="E18" s="3">
        <f t="shared" si="1"/>
        <v>78</v>
      </c>
      <c r="F18" s="3">
        <f t="shared" si="1"/>
        <v>0</v>
      </c>
      <c r="G18" s="3">
        <f t="shared" si="1"/>
        <v>0</v>
      </c>
      <c r="H18" s="3">
        <f t="shared" si="1"/>
        <v>250</v>
      </c>
      <c r="I18" s="3">
        <f t="shared" si="1"/>
        <v>6.45</v>
      </c>
      <c r="J18" s="3">
        <f t="shared" si="1"/>
        <v>274.05</v>
      </c>
      <c r="K18" s="3">
        <f t="shared" si="1"/>
        <v>0</v>
      </c>
      <c r="L18" s="3"/>
    </row>
    <row r="19">
      <c r="A19" s="3"/>
      <c r="B19" s="3"/>
      <c r="C19" s="3"/>
      <c r="D19" s="3"/>
      <c r="E19" s="3"/>
      <c r="F19" s="3"/>
      <c r="G19" s="3"/>
      <c r="H19" s="3"/>
      <c r="I19" s="2">
        <v>5.55</v>
      </c>
      <c r="J19" s="3"/>
      <c r="K19" s="3"/>
      <c r="L19" s="3"/>
    </row>
  </sheetData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84</v>
      </c>
      <c r="K1" s="1" t="s">
        <v>86</v>
      </c>
      <c r="L1" s="1" t="s">
        <v>169</v>
      </c>
    </row>
    <row r="2">
      <c r="A2" s="1" t="s">
        <v>170</v>
      </c>
      <c r="B2" s="1" t="s">
        <v>47</v>
      </c>
      <c r="C2" s="1">
        <v>17.3</v>
      </c>
      <c r="L2" s="1">
        <v>17.3</v>
      </c>
    </row>
    <row r="3">
      <c r="A3" s="1" t="s">
        <v>45</v>
      </c>
      <c r="B3" s="1" t="s">
        <v>32</v>
      </c>
      <c r="C3" s="1">
        <v>532.37</v>
      </c>
      <c r="D3" s="1">
        <v>532.37</v>
      </c>
    </row>
    <row r="4">
      <c r="A4" s="1" t="s">
        <v>171</v>
      </c>
      <c r="B4" s="1" t="s">
        <v>32</v>
      </c>
      <c r="C4" s="1">
        <v>7.0</v>
      </c>
      <c r="H4" s="1">
        <v>7.0</v>
      </c>
    </row>
    <row r="5">
      <c r="A5" s="1" t="s">
        <v>131</v>
      </c>
      <c r="B5" s="1" t="s">
        <v>32</v>
      </c>
      <c r="C5" s="1">
        <v>7.8</v>
      </c>
      <c r="D5" s="1">
        <v>7.8</v>
      </c>
    </row>
    <row r="6">
      <c r="A6" s="1" t="s">
        <v>172</v>
      </c>
      <c r="B6" s="1" t="s">
        <v>32</v>
      </c>
      <c r="C6" s="1">
        <v>10.6</v>
      </c>
      <c r="L6" s="1">
        <v>10.6</v>
      </c>
    </row>
    <row r="7">
      <c r="A7" s="1" t="s">
        <v>163</v>
      </c>
      <c r="B7" s="1" t="s">
        <v>32</v>
      </c>
      <c r="C7" s="1">
        <v>75.78</v>
      </c>
      <c r="E7" s="1">
        <v>75.78</v>
      </c>
    </row>
    <row r="8">
      <c r="A8" s="1" t="s">
        <v>173</v>
      </c>
      <c r="B8" s="1" t="s">
        <v>32</v>
      </c>
      <c r="C8" s="1">
        <v>11.7</v>
      </c>
      <c r="I8" s="1">
        <v>11.7</v>
      </c>
    </row>
    <row r="9">
      <c r="A9" s="1" t="s">
        <v>174</v>
      </c>
      <c r="B9" s="1" t="s">
        <v>32</v>
      </c>
      <c r="C9" s="1">
        <v>10.2</v>
      </c>
      <c r="I9" s="1">
        <v>10.2</v>
      </c>
    </row>
    <row r="10">
      <c r="A10" s="1" t="s">
        <v>175</v>
      </c>
      <c r="B10" s="1" t="s">
        <v>32</v>
      </c>
      <c r="C10" s="1">
        <v>256.0</v>
      </c>
      <c r="E10" s="1">
        <v>256.0</v>
      </c>
    </row>
    <row r="12">
      <c r="C12" s="1" t="s">
        <v>176</v>
      </c>
      <c r="D12" s="9">
        <f t="shared" ref="D12:L12" si="1">SUM(D2:D10)</f>
        <v>540.17</v>
      </c>
      <c r="E12" s="9">
        <f t="shared" si="1"/>
        <v>331.78</v>
      </c>
      <c r="F12" s="10">
        <f t="shared" si="1"/>
        <v>0</v>
      </c>
      <c r="G12" s="10">
        <f t="shared" si="1"/>
        <v>0</v>
      </c>
      <c r="H12" s="9">
        <f t="shared" si="1"/>
        <v>7</v>
      </c>
      <c r="I12" s="10">
        <f t="shared" si="1"/>
        <v>21.9</v>
      </c>
      <c r="J12" s="10">
        <f t="shared" si="1"/>
        <v>0</v>
      </c>
      <c r="K12" s="10">
        <f t="shared" si="1"/>
        <v>0</v>
      </c>
      <c r="L12" s="10">
        <f t="shared" si="1"/>
        <v>27.9</v>
      </c>
    </row>
    <row r="13">
      <c r="C13" s="1" t="s">
        <v>52</v>
      </c>
      <c r="D13" s="11">
        <v>178.8</v>
      </c>
      <c r="E13" s="12"/>
      <c r="F13" s="12"/>
      <c r="G13" s="12"/>
      <c r="H13" s="11">
        <v>128.0</v>
      </c>
      <c r="I13" s="12"/>
      <c r="J13" s="11">
        <v>2156.74</v>
      </c>
      <c r="K13" s="12"/>
      <c r="L13" s="11">
        <v>853.56</v>
      </c>
    </row>
    <row r="16">
      <c r="C16" s="1" t="s">
        <v>177</v>
      </c>
      <c r="D16" s="4">
        <f t="shared" ref="D16:L16" si="2">sum(D12:D15)</f>
        <v>718.97</v>
      </c>
      <c r="E16" s="4">
        <f t="shared" si="2"/>
        <v>331.78</v>
      </c>
      <c r="F16" s="4">
        <f t="shared" si="2"/>
        <v>0</v>
      </c>
      <c r="G16" s="4">
        <f t="shared" si="2"/>
        <v>0</v>
      </c>
      <c r="H16" s="4">
        <f t="shared" si="2"/>
        <v>135</v>
      </c>
      <c r="I16" s="4">
        <f t="shared" si="2"/>
        <v>21.9</v>
      </c>
      <c r="J16" s="4">
        <f t="shared" si="2"/>
        <v>2156.74</v>
      </c>
      <c r="K16" s="4">
        <f t="shared" si="2"/>
        <v>0</v>
      </c>
      <c r="L16" s="4">
        <f t="shared" si="2"/>
        <v>881.46</v>
      </c>
    </row>
    <row r="18">
      <c r="D18" s="4">
        <f>1100-D16</f>
        <v>381.03</v>
      </c>
      <c r="E18" s="4">
        <f>1625.17-E16</f>
        <v>1293.39</v>
      </c>
      <c r="H18" s="4">
        <f>400-H16</f>
        <v>265</v>
      </c>
      <c r="I18" s="4">
        <f>I16/2</f>
        <v>10.95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84</v>
      </c>
      <c r="K1" s="1" t="s">
        <v>86</v>
      </c>
      <c r="L1" s="1" t="s">
        <v>169</v>
      </c>
    </row>
    <row r="2">
      <c r="A2" s="1" t="s">
        <v>178</v>
      </c>
      <c r="B2" s="1" t="s">
        <v>47</v>
      </c>
      <c r="C2" s="1">
        <v>20.1</v>
      </c>
      <c r="E2" s="1">
        <v>20.1</v>
      </c>
    </row>
    <row r="3">
      <c r="A3" s="1" t="s">
        <v>179</v>
      </c>
      <c r="B3" s="1" t="s">
        <v>32</v>
      </c>
      <c r="C3" s="1">
        <v>16.0</v>
      </c>
      <c r="E3" s="1">
        <v>16.0</v>
      </c>
    </row>
    <row r="4">
      <c r="A4" s="1" t="s">
        <v>180</v>
      </c>
      <c r="B4" s="1" t="s">
        <v>32</v>
      </c>
      <c r="C4" s="1">
        <v>4.0</v>
      </c>
      <c r="E4" s="1">
        <v>4.0</v>
      </c>
    </row>
    <row r="5">
      <c r="A5" s="1" t="s">
        <v>181</v>
      </c>
      <c r="B5" s="1" t="s">
        <v>32</v>
      </c>
      <c r="C5" s="1">
        <v>10.0</v>
      </c>
      <c r="I5" s="1">
        <v>10.0</v>
      </c>
    </row>
    <row r="6">
      <c r="A6" s="1" t="s">
        <v>182</v>
      </c>
      <c r="B6" s="1" t="s">
        <v>32</v>
      </c>
      <c r="C6" s="1">
        <v>28.9</v>
      </c>
      <c r="E6" s="1">
        <v>28.9</v>
      </c>
    </row>
    <row r="7">
      <c r="A7" s="1" t="s">
        <v>183</v>
      </c>
      <c r="B7" s="1" t="s">
        <v>32</v>
      </c>
      <c r="C7" s="1">
        <v>32.8</v>
      </c>
      <c r="D7" s="1">
        <v>32.8</v>
      </c>
    </row>
    <row r="8">
      <c r="A8" s="1" t="s">
        <v>184</v>
      </c>
      <c r="B8" s="1" t="s">
        <v>32</v>
      </c>
      <c r="C8" s="1">
        <v>2.0</v>
      </c>
      <c r="D8" s="1">
        <v>2.0</v>
      </c>
    </row>
    <row r="9">
      <c r="A9" s="1" t="s">
        <v>185</v>
      </c>
      <c r="B9" s="1" t="s">
        <v>32</v>
      </c>
      <c r="C9" s="1">
        <v>34.8</v>
      </c>
      <c r="D9" s="1">
        <v>34.8</v>
      </c>
    </row>
    <row r="10">
      <c r="A10" s="1" t="s">
        <v>186</v>
      </c>
      <c r="B10" s="1" t="s">
        <v>32</v>
      </c>
      <c r="C10" s="1">
        <v>8.1</v>
      </c>
      <c r="E10" s="1">
        <v>8.1</v>
      </c>
    </row>
    <row r="11">
      <c r="A11" s="1" t="s">
        <v>187</v>
      </c>
      <c r="B11" s="1" t="s">
        <v>32</v>
      </c>
      <c r="C11" s="1">
        <v>95.6</v>
      </c>
      <c r="H11" s="1">
        <v>95.6</v>
      </c>
    </row>
    <row r="12">
      <c r="A12" s="1" t="s">
        <v>163</v>
      </c>
      <c r="B12" s="1" t="s">
        <v>32</v>
      </c>
      <c r="C12" s="1">
        <v>16.71</v>
      </c>
      <c r="D12" s="1">
        <v>16.71</v>
      </c>
    </row>
    <row r="13">
      <c r="A13" s="1" t="s">
        <v>188</v>
      </c>
      <c r="B13" s="1" t="s">
        <v>32</v>
      </c>
      <c r="C13" s="1">
        <v>112.0</v>
      </c>
      <c r="H13" s="1">
        <v>92.0</v>
      </c>
    </row>
    <row r="14">
      <c r="A14" s="1" t="s">
        <v>189</v>
      </c>
      <c r="B14" s="1" t="s">
        <v>32</v>
      </c>
      <c r="C14" s="1">
        <v>3.9</v>
      </c>
      <c r="D14" s="1">
        <v>3.9</v>
      </c>
    </row>
    <row r="15">
      <c r="A15" s="1" t="s">
        <v>190</v>
      </c>
      <c r="B15" s="1" t="s">
        <v>32</v>
      </c>
      <c r="C15" s="1">
        <v>82.9</v>
      </c>
      <c r="E15" s="1">
        <v>82.9</v>
      </c>
    </row>
    <row r="16">
      <c r="A16" s="1" t="s">
        <v>191</v>
      </c>
      <c r="B16" s="1" t="s">
        <v>32</v>
      </c>
      <c r="C16" s="1">
        <v>13.9</v>
      </c>
      <c r="E16" s="1">
        <v>13.9</v>
      </c>
    </row>
    <row r="17">
      <c r="A17" s="1" t="s">
        <v>192</v>
      </c>
      <c r="B17" s="1" t="s">
        <v>32</v>
      </c>
      <c r="C17" s="1">
        <v>12.4</v>
      </c>
      <c r="E17" s="1">
        <v>12.4</v>
      </c>
    </row>
    <row r="18">
      <c r="A18" s="1" t="s">
        <v>193</v>
      </c>
      <c r="B18" s="1" t="s">
        <v>32</v>
      </c>
      <c r="C18" s="1">
        <v>55.8</v>
      </c>
      <c r="E18" s="1">
        <v>55.8</v>
      </c>
    </row>
    <row r="20">
      <c r="A20" s="1" t="s">
        <v>194</v>
      </c>
      <c r="B20" s="1" t="s">
        <v>32</v>
      </c>
      <c r="C20" s="1">
        <v>13.1</v>
      </c>
      <c r="E20" s="1">
        <v>13.1</v>
      </c>
    </row>
    <row r="21">
      <c r="A21" s="1" t="s">
        <v>195</v>
      </c>
      <c r="B21" s="1" t="s">
        <v>32</v>
      </c>
      <c r="C21" s="1">
        <v>111.8</v>
      </c>
      <c r="E21" s="1">
        <v>111.8</v>
      </c>
    </row>
    <row r="22">
      <c r="A22" s="1" t="s">
        <v>35</v>
      </c>
      <c r="B22" s="1" t="s">
        <v>32</v>
      </c>
      <c r="C22" s="1">
        <v>12.6</v>
      </c>
      <c r="E22" s="1">
        <v>12.6</v>
      </c>
    </row>
    <row r="23">
      <c r="A23" s="1" t="s">
        <v>196</v>
      </c>
      <c r="B23" s="1" t="s">
        <v>32</v>
      </c>
      <c r="C23" s="1">
        <v>29.0</v>
      </c>
      <c r="G23" s="1">
        <v>29.0</v>
      </c>
    </row>
    <row r="24">
      <c r="A24" s="1" t="s">
        <v>197</v>
      </c>
      <c r="B24" s="1" t="s">
        <v>32</v>
      </c>
      <c r="C24" s="1">
        <v>7.5</v>
      </c>
      <c r="D24" s="1">
        <v>7.5</v>
      </c>
    </row>
    <row r="25">
      <c r="A25" s="1" t="s">
        <v>198</v>
      </c>
      <c r="B25" s="1" t="s">
        <v>32</v>
      </c>
      <c r="C25" s="1">
        <v>7.0</v>
      </c>
      <c r="H25" s="1">
        <v>7.0</v>
      </c>
    </row>
    <row r="26">
      <c r="A26" s="1" t="s">
        <v>199</v>
      </c>
      <c r="B26" s="1" t="s">
        <v>32</v>
      </c>
      <c r="C26" s="1">
        <v>144.39</v>
      </c>
      <c r="E26" s="4">
        <f>144.39-36</f>
        <v>108.39</v>
      </c>
    </row>
    <row r="27">
      <c r="A27" s="1" t="s">
        <v>200</v>
      </c>
      <c r="B27" s="1" t="s">
        <v>32</v>
      </c>
      <c r="C27" s="1">
        <v>89.0</v>
      </c>
      <c r="E27" s="1">
        <v>29.0</v>
      </c>
    </row>
    <row r="28">
      <c r="A28" s="1" t="s">
        <v>114</v>
      </c>
      <c r="B28" s="1" t="s">
        <v>32</v>
      </c>
      <c r="C28" s="1">
        <v>63.0</v>
      </c>
      <c r="H28" s="1">
        <v>63.0</v>
      </c>
    </row>
    <row r="29">
      <c r="A29" s="1" t="s">
        <v>114</v>
      </c>
      <c r="B29" s="1" t="s">
        <v>32</v>
      </c>
      <c r="C29" s="1">
        <v>20.0</v>
      </c>
      <c r="H29" s="1">
        <v>20.0</v>
      </c>
    </row>
    <row r="30">
      <c r="A30" s="1" t="s">
        <v>201</v>
      </c>
      <c r="B30" s="1" t="s">
        <v>32</v>
      </c>
      <c r="C30" s="1">
        <v>7.0</v>
      </c>
      <c r="E30" s="1">
        <v>7.0</v>
      </c>
    </row>
    <row r="31">
      <c r="A31" s="1" t="s">
        <v>202</v>
      </c>
      <c r="B31" s="1" t="s">
        <v>32</v>
      </c>
      <c r="C31" s="1">
        <v>8.4</v>
      </c>
      <c r="E31" s="1">
        <v>8.4</v>
      </c>
    </row>
    <row r="32">
      <c r="A32" s="1" t="s">
        <v>203</v>
      </c>
      <c r="B32" s="1" t="s">
        <v>32</v>
      </c>
      <c r="C32" s="1">
        <v>120.0</v>
      </c>
      <c r="E32" s="1">
        <v>120.0</v>
      </c>
    </row>
    <row r="36">
      <c r="D36" s="4">
        <f t="shared" ref="D36:E36" si="1">SUM(D2:D32)</f>
        <v>97.71</v>
      </c>
      <c r="E36" s="4">
        <f t="shared" si="1"/>
        <v>652.39</v>
      </c>
      <c r="F36" s="1">
        <v>12.9</v>
      </c>
      <c r="G36" s="4">
        <f t="shared" ref="G36:J36" si="2">SUM(G2:G32)</f>
        <v>29</v>
      </c>
      <c r="H36" s="4">
        <f t="shared" si="2"/>
        <v>277.6</v>
      </c>
      <c r="I36" s="4">
        <f t="shared" si="2"/>
        <v>10</v>
      </c>
      <c r="J36" s="4">
        <f t="shared" si="2"/>
        <v>0</v>
      </c>
    </row>
    <row r="37">
      <c r="E37" s="1">
        <v>381.91</v>
      </c>
    </row>
    <row r="38">
      <c r="F38" s="4">
        <f>G36-F36+5</f>
        <v>21.1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88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84</v>
      </c>
      <c r="K1" s="1" t="s">
        <v>86</v>
      </c>
      <c r="L1" s="1" t="s">
        <v>169</v>
      </c>
    </row>
    <row r="2">
      <c r="A2" s="1" t="s">
        <v>204</v>
      </c>
      <c r="C2" s="1">
        <v>20.0</v>
      </c>
      <c r="E2" s="1">
        <v>20.0</v>
      </c>
    </row>
    <row r="3">
      <c r="A3" s="1" t="s">
        <v>205</v>
      </c>
      <c r="C3" s="1">
        <v>24.0</v>
      </c>
      <c r="E3" s="1">
        <v>24.0</v>
      </c>
    </row>
    <row r="4">
      <c r="A4" s="1" t="s">
        <v>206</v>
      </c>
      <c r="C4" s="1">
        <v>62.3</v>
      </c>
      <c r="H4" s="1">
        <v>62.3</v>
      </c>
    </row>
    <row r="5">
      <c r="A5" s="1" t="s">
        <v>207</v>
      </c>
      <c r="C5" s="1">
        <v>7.7</v>
      </c>
      <c r="H5" s="1">
        <v>7.7</v>
      </c>
    </row>
    <row r="6">
      <c r="A6" s="1" t="s">
        <v>208</v>
      </c>
      <c r="C6" s="1">
        <v>8.0</v>
      </c>
      <c r="H6" s="1">
        <v>8.0</v>
      </c>
    </row>
    <row r="7">
      <c r="A7" s="1" t="s">
        <v>209</v>
      </c>
      <c r="C7" s="1">
        <v>266.42</v>
      </c>
      <c r="H7" s="1">
        <v>266.42</v>
      </c>
    </row>
    <row r="8">
      <c r="A8" s="1" t="s">
        <v>210</v>
      </c>
      <c r="C8" s="1">
        <v>7.0</v>
      </c>
      <c r="H8" s="1">
        <v>7.0</v>
      </c>
    </row>
    <row r="9">
      <c r="A9" s="1" t="s">
        <v>163</v>
      </c>
      <c r="C9" s="1">
        <v>112.8</v>
      </c>
      <c r="H9" s="1">
        <v>112.8</v>
      </c>
    </row>
    <row r="10">
      <c r="A10" s="1" t="s">
        <v>211</v>
      </c>
      <c r="C10" s="1">
        <v>7.0</v>
      </c>
      <c r="L10" s="1">
        <v>7.0</v>
      </c>
    </row>
    <row r="11">
      <c r="A11" s="1" t="s">
        <v>212</v>
      </c>
      <c r="C11" s="1">
        <v>7.3</v>
      </c>
      <c r="L11" s="1">
        <v>7.3</v>
      </c>
    </row>
    <row r="12">
      <c r="A12" s="1" t="s">
        <v>213</v>
      </c>
      <c r="C12" s="1">
        <v>10.4</v>
      </c>
      <c r="L12" s="1">
        <v>10.4</v>
      </c>
    </row>
    <row r="13">
      <c r="A13" s="1" t="s">
        <v>210</v>
      </c>
      <c r="C13" s="1">
        <v>7.0</v>
      </c>
      <c r="L13" s="1">
        <v>7.0</v>
      </c>
    </row>
    <row r="14">
      <c r="A14" s="1" t="s">
        <v>163</v>
      </c>
      <c r="C14" s="1">
        <v>119.71</v>
      </c>
      <c r="L14" s="1">
        <v>119.71</v>
      </c>
    </row>
    <row r="15">
      <c r="A15" s="1" t="s">
        <v>214</v>
      </c>
      <c r="C15" s="1">
        <v>37.2</v>
      </c>
      <c r="L15" s="1">
        <v>37.2</v>
      </c>
    </row>
    <row r="16">
      <c r="A16" s="1" t="s">
        <v>215</v>
      </c>
      <c r="C16" s="1">
        <v>50.0</v>
      </c>
      <c r="L16" s="1">
        <v>50.0</v>
      </c>
    </row>
    <row r="17">
      <c r="A17" s="1" t="s">
        <v>216</v>
      </c>
      <c r="C17" s="1">
        <v>33.0</v>
      </c>
      <c r="L17" s="1">
        <v>33.0</v>
      </c>
    </row>
    <row r="18">
      <c r="A18" s="1" t="s">
        <v>217</v>
      </c>
      <c r="C18" s="1">
        <v>73.7</v>
      </c>
      <c r="L18" s="1">
        <v>73.7</v>
      </c>
    </row>
    <row r="19">
      <c r="A19" s="1" t="s">
        <v>218</v>
      </c>
      <c r="C19" s="1">
        <v>11.6</v>
      </c>
      <c r="L19" s="1">
        <v>11.6</v>
      </c>
    </row>
    <row r="20">
      <c r="A20" s="1" t="s">
        <v>219</v>
      </c>
      <c r="C20" s="1">
        <v>11.8</v>
      </c>
      <c r="L20" s="1">
        <v>11.8</v>
      </c>
    </row>
    <row r="21">
      <c r="A21" s="1" t="s">
        <v>220</v>
      </c>
      <c r="C21" s="1">
        <v>77.3</v>
      </c>
      <c r="L21" s="1">
        <v>77.3</v>
      </c>
    </row>
    <row r="22">
      <c r="A22" s="1" t="s">
        <v>221</v>
      </c>
      <c r="C22" s="1">
        <v>12.1</v>
      </c>
      <c r="L22" s="1">
        <v>12.1</v>
      </c>
    </row>
    <row r="23">
      <c r="A23" s="1" t="s">
        <v>27</v>
      </c>
      <c r="C23" s="1">
        <v>142.0</v>
      </c>
      <c r="L23" s="1">
        <v>142.0</v>
      </c>
    </row>
    <row r="24">
      <c r="A24" s="1" t="s">
        <v>222</v>
      </c>
      <c r="C24" s="1">
        <v>7.0</v>
      </c>
      <c r="L24" s="1">
        <v>7.0</v>
      </c>
    </row>
    <row r="25">
      <c r="A25" s="1" t="s">
        <v>223</v>
      </c>
      <c r="C25" s="1">
        <v>7.0</v>
      </c>
      <c r="L25" s="1">
        <v>7.0</v>
      </c>
    </row>
    <row r="26">
      <c r="A26" s="1" t="s">
        <v>114</v>
      </c>
      <c r="C26" s="1">
        <v>65.0</v>
      </c>
      <c r="L26" s="1">
        <v>65.0</v>
      </c>
    </row>
    <row r="27">
      <c r="A27" s="1" t="s">
        <v>114</v>
      </c>
      <c r="C27" s="1">
        <v>42.5</v>
      </c>
      <c r="L27" s="1">
        <v>42.5</v>
      </c>
    </row>
    <row r="28">
      <c r="A28" s="1" t="s">
        <v>224</v>
      </c>
      <c r="B28" s="1" t="s">
        <v>32</v>
      </c>
      <c r="C28" s="1">
        <v>7.0</v>
      </c>
      <c r="L28" s="1">
        <v>7.0</v>
      </c>
    </row>
    <row r="29">
      <c r="A29" s="1" t="s">
        <v>225</v>
      </c>
      <c r="B29" s="1" t="s">
        <v>47</v>
      </c>
      <c r="C29" s="1">
        <v>50.9</v>
      </c>
      <c r="H29" s="1">
        <v>50.9</v>
      </c>
    </row>
    <row r="30">
      <c r="A30" s="1" t="s">
        <v>226</v>
      </c>
      <c r="B30" s="1" t="s">
        <v>47</v>
      </c>
      <c r="C30" s="1">
        <v>63.6</v>
      </c>
      <c r="H30" s="1">
        <v>63.6</v>
      </c>
    </row>
    <row r="31">
      <c r="A31" s="1" t="s">
        <v>227</v>
      </c>
      <c r="B31" s="1" t="s">
        <v>32</v>
      </c>
      <c r="C31" s="1">
        <v>30.0</v>
      </c>
      <c r="D31" s="1">
        <v>30.0</v>
      </c>
    </row>
    <row r="32">
      <c r="A32" s="1" t="s">
        <v>228</v>
      </c>
      <c r="B32" s="1" t="s">
        <v>32</v>
      </c>
      <c r="C32" s="1">
        <v>8.6</v>
      </c>
      <c r="D32" s="13">
        <v>8.6</v>
      </c>
    </row>
    <row r="33">
      <c r="A33" s="1" t="s">
        <v>45</v>
      </c>
      <c r="C33" s="1">
        <v>381.8</v>
      </c>
      <c r="D33" s="13">
        <v>381.8</v>
      </c>
    </row>
    <row r="34">
      <c r="A34" s="1" t="s">
        <v>229</v>
      </c>
      <c r="C34" s="1">
        <v>7.0</v>
      </c>
      <c r="D34" s="13">
        <v>7.0</v>
      </c>
    </row>
    <row r="35">
      <c r="A35" s="1" t="s">
        <v>230</v>
      </c>
      <c r="C35" s="1">
        <v>128.0</v>
      </c>
      <c r="L35" s="1">
        <v>128.0</v>
      </c>
    </row>
    <row r="36">
      <c r="A36" s="1" t="s">
        <v>231</v>
      </c>
      <c r="C36" s="1">
        <v>6.0</v>
      </c>
      <c r="L36" s="1">
        <v>6.0</v>
      </c>
    </row>
    <row r="71">
      <c r="A71" s="1" t="s">
        <v>232</v>
      </c>
      <c r="B71" s="1">
        <v>106.0</v>
      </c>
    </row>
    <row r="72">
      <c r="A72" s="1" t="s">
        <v>233</v>
      </c>
      <c r="B72" s="1">
        <v>116.57</v>
      </c>
    </row>
    <row r="73">
      <c r="A73" s="1" t="s">
        <v>234</v>
      </c>
      <c r="B73" s="1">
        <v>219.5</v>
      </c>
    </row>
    <row r="74">
      <c r="B74" s="1">
        <v>16.0</v>
      </c>
    </row>
    <row r="75">
      <c r="B75" s="1">
        <v>49.0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84</v>
      </c>
      <c r="K1" s="1" t="s">
        <v>86</v>
      </c>
      <c r="L1" s="1" t="s">
        <v>169</v>
      </c>
    </row>
    <row r="2">
      <c r="A2" s="1" t="s">
        <v>235</v>
      </c>
      <c r="C2" s="1">
        <v>7.0</v>
      </c>
      <c r="H2" s="1">
        <v>7.0</v>
      </c>
    </row>
    <row r="3">
      <c r="A3" s="1" t="s">
        <v>236</v>
      </c>
      <c r="C3" s="1">
        <v>7.0</v>
      </c>
      <c r="H3" s="1">
        <v>7.0</v>
      </c>
    </row>
    <row r="4">
      <c r="A4" s="1" t="s">
        <v>237</v>
      </c>
      <c r="C4" s="1">
        <v>112.0</v>
      </c>
      <c r="H4" s="1">
        <v>112.0</v>
      </c>
    </row>
    <row r="5">
      <c r="A5" s="1" t="s">
        <v>238</v>
      </c>
      <c r="C5" s="1">
        <v>67.0</v>
      </c>
      <c r="E5" s="1">
        <v>67.0</v>
      </c>
    </row>
    <row r="6">
      <c r="A6" s="1" t="s">
        <v>239</v>
      </c>
      <c r="C6" s="1">
        <v>7.7</v>
      </c>
      <c r="E6" s="1">
        <v>7.7</v>
      </c>
    </row>
    <row r="7">
      <c r="A7" s="1" t="s">
        <v>240</v>
      </c>
      <c r="C7" s="1">
        <v>7.2</v>
      </c>
      <c r="E7" s="1">
        <v>7.2</v>
      </c>
    </row>
    <row r="8">
      <c r="A8" s="1" t="s">
        <v>114</v>
      </c>
      <c r="C8" s="1">
        <v>87.0</v>
      </c>
      <c r="E8" s="1">
        <v>87.0</v>
      </c>
    </row>
    <row r="9">
      <c r="A9" s="1" t="s">
        <v>114</v>
      </c>
      <c r="C9" s="1">
        <v>90.0</v>
      </c>
      <c r="E9" s="1">
        <v>90.0</v>
      </c>
    </row>
    <row r="10">
      <c r="A10" s="1" t="s">
        <v>241</v>
      </c>
      <c r="C10" s="1">
        <v>12.1</v>
      </c>
      <c r="E10" s="1">
        <v>12.1</v>
      </c>
    </row>
    <row r="11">
      <c r="A11" s="1" t="s">
        <v>242</v>
      </c>
      <c r="C11" s="1">
        <v>103.5</v>
      </c>
      <c r="E11" s="1">
        <v>103.5</v>
      </c>
    </row>
    <row r="12">
      <c r="A12" s="1" t="s">
        <v>243</v>
      </c>
      <c r="C12" s="1">
        <v>14.9</v>
      </c>
      <c r="E12" s="1">
        <v>14.9</v>
      </c>
    </row>
    <row r="13">
      <c r="A13" s="1" t="s">
        <v>244</v>
      </c>
      <c r="C13" s="1">
        <v>160.3</v>
      </c>
      <c r="E13" s="1">
        <v>70.3</v>
      </c>
    </row>
    <row r="14">
      <c r="A14" s="1" t="s">
        <v>245</v>
      </c>
      <c r="C14" s="1">
        <v>16.8</v>
      </c>
      <c r="E14" s="1">
        <v>16.8</v>
      </c>
    </row>
    <row r="15">
      <c r="A15" s="1" t="s">
        <v>246</v>
      </c>
      <c r="C15" s="1">
        <v>20.0</v>
      </c>
      <c r="E15" s="1">
        <v>20.0</v>
      </c>
    </row>
    <row r="16">
      <c r="A16" s="1" t="s">
        <v>247</v>
      </c>
      <c r="C16" s="1">
        <v>18.0</v>
      </c>
      <c r="E16" s="1">
        <v>18.0</v>
      </c>
    </row>
    <row r="17">
      <c r="A17" s="1" t="s">
        <v>248</v>
      </c>
      <c r="C17" s="1">
        <v>2.0</v>
      </c>
      <c r="E17" s="1">
        <v>2.0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249</v>
      </c>
      <c r="G1" s="1" t="s">
        <v>7</v>
      </c>
      <c r="H1" s="1" t="s">
        <v>8</v>
      </c>
      <c r="I1" s="1" t="s">
        <v>10</v>
      </c>
      <c r="J1" s="1" t="s">
        <v>250</v>
      </c>
      <c r="K1" s="1" t="s">
        <v>251</v>
      </c>
      <c r="L1" s="1" t="s">
        <v>86</v>
      </c>
      <c r="M1" s="1" t="s">
        <v>169</v>
      </c>
    </row>
    <row r="2">
      <c r="A2" s="1" t="s">
        <v>252</v>
      </c>
      <c r="B2" s="1" t="s">
        <v>22</v>
      </c>
      <c r="C2" s="1">
        <v>53.9</v>
      </c>
      <c r="D2" s="1">
        <v>53.9</v>
      </c>
    </row>
    <row r="3">
      <c r="A3" s="1" t="s">
        <v>253</v>
      </c>
      <c r="C3" s="1">
        <v>42.9</v>
      </c>
      <c r="J3" s="1">
        <v>42.9</v>
      </c>
      <c r="K3" s="1"/>
    </row>
    <row r="4">
      <c r="A4" s="1" t="s">
        <v>206</v>
      </c>
      <c r="C4" s="1">
        <v>132.3</v>
      </c>
      <c r="K4" s="1">
        <v>132.3</v>
      </c>
    </row>
    <row r="5">
      <c r="A5" s="1" t="s">
        <v>254</v>
      </c>
      <c r="C5" s="1">
        <v>74.0</v>
      </c>
      <c r="J5" s="1">
        <v>74.0</v>
      </c>
    </row>
    <row r="6">
      <c r="A6" s="1" t="s">
        <v>255</v>
      </c>
      <c r="C6" s="1">
        <v>50.0</v>
      </c>
      <c r="D6" s="1">
        <v>50.0</v>
      </c>
    </row>
    <row r="7">
      <c r="A7" s="1" t="s">
        <v>256</v>
      </c>
      <c r="C7" s="1">
        <v>475.91</v>
      </c>
      <c r="F7" s="1">
        <v>475.91</v>
      </c>
    </row>
    <row r="8">
      <c r="A8" s="1" t="s">
        <v>257</v>
      </c>
      <c r="C8" s="1">
        <v>233.94</v>
      </c>
      <c r="F8" s="1">
        <v>233.94</v>
      </c>
    </row>
    <row r="9">
      <c r="A9" s="1" t="s">
        <v>258</v>
      </c>
      <c r="C9" s="1">
        <v>19.6</v>
      </c>
      <c r="E9" s="1">
        <v>19.6</v>
      </c>
    </row>
    <row r="10">
      <c r="A10" s="1" t="s">
        <v>259</v>
      </c>
      <c r="C10" s="1">
        <v>14.29</v>
      </c>
      <c r="E10" s="1">
        <v>14.29</v>
      </c>
    </row>
    <row r="11">
      <c r="A11" s="1" t="s">
        <v>260</v>
      </c>
      <c r="C11" s="1">
        <v>19.2</v>
      </c>
      <c r="E11" s="1">
        <v>19.2</v>
      </c>
    </row>
    <row r="12">
      <c r="A12" s="1" t="s">
        <v>261</v>
      </c>
      <c r="C12" s="1">
        <v>36.1</v>
      </c>
      <c r="F12" s="1">
        <v>36.1</v>
      </c>
    </row>
    <row r="13">
      <c r="A13" s="1" t="s">
        <v>262</v>
      </c>
      <c r="C13" s="1">
        <v>84.5</v>
      </c>
      <c r="H13" s="1">
        <v>84.5</v>
      </c>
    </row>
    <row r="14">
      <c r="A14" s="1" t="s">
        <v>263</v>
      </c>
      <c r="C14" s="1">
        <v>60.3</v>
      </c>
      <c r="H14" s="1">
        <v>60.3</v>
      </c>
    </row>
    <row r="15">
      <c r="A15" s="1" t="s">
        <v>264</v>
      </c>
      <c r="C15" s="1">
        <v>9.2</v>
      </c>
      <c r="H15" s="1">
        <v>9.2</v>
      </c>
    </row>
    <row r="16">
      <c r="A16" s="1" t="s">
        <v>265</v>
      </c>
      <c r="C16" s="1">
        <v>11.1</v>
      </c>
      <c r="H16" s="1">
        <v>11.1</v>
      </c>
    </row>
    <row r="17">
      <c r="A17" s="1" t="s">
        <v>266</v>
      </c>
      <c r="C17" s="1">
        <v>16.9</v>
      </c>
      <c r="H17" s="1">
        <v>16.9</v>
      </c>
    </row>
    <row r="18">
      <c r="A18" s="1" t="s">
        <v>267</v>
      </c>
      <c r="C18" s="1">
        <v>435.7</v>
      </c>
      <c r="F18" s="1">
        <v>435.7</v>
      </c>
    </row>
    <row r="19">
      <c r="A19" s="1" t="s">
        <v>138</v>
      </c>
      <c r="C19" s="1">
        <v>108.0</v>
      </c>
      <c r="H19" s="1">
        <v>108.0</v>
      </c>
    </row>
    <row r="20">
      <c r="A20" s="1" t="s">
        <v>268</v>
      </c>
      <c r="C20" s="1">
        <v>80.0</v>
      </c>
      <c r="H20" s="1">
        <v>80.0</v>
      </c>
    </row>
    <row r="21">
      <c r="A21" s="1" t="s">
        <v>269</v>
      </c>
      <c r="C21" s="1">
        <v>18.4</v>
      </c>
      <c r="F21" s="1">
        <v>18.4</v>
      </c>
    </row>
    <row r="22">
      <c r="A22" s="1" t="s">
        <v>270</v>
      </c>
      <c r="C22" s="1">
        <v>53.9</v>
      </c>
      <c r="J22" s="1">
        <v>53.9</v>
      </c>
    </row>
    <row r="23">
      <c r="A23" s="1" t="s">
        <v>271</v>
      </c>
      <c r="C23" s="1">
        <v>25.0</v>
      </c>
      <c r="I23" s="1">
        <v>25.0</v>
      </c>
    </row>
    <row r="24">
      <c r="A24" s="1" t="s">
        <v>272</v>
      </c>
      <c r="C24" s="1">
        <v>37.5</v>
      </c>
      <c r="D24" s="1">
        <v>37.5</v>
      </c>
    </row>
    <row r="25">
      <c r="A25" s="1" t="s">
        <v>273</v>
      </c>
      <c r="C25" s="1">
        <v>49.9</v>
      </c>
      <c r="J25" s="1">
        <v>49.9</v>
      </c>
    </row>
    <row r="26">
      <c r="A26" s="1" t="s">
        <v>274</v>
      </c>
      <c r="C26" s="1">
        <v>10.0</v>
      </c>
      <c r="H26" s="1">
        <v>10.0</v>
      </c>
    </row>
    <row r="27">
      <c r="A27" s="1" t="s">
        <v>275</v>
      </c>
      <c r="C27" s="1">
        <v>18.0</v>
      </c>
      <c r="H27" s="1">
        <v>18.0</v>
      </c>
    </row>
    <row r="28">
      <c r="A28" s="1" t="s">
        <v>276</v>
      </c>
      <c r="C28" s="1">
        <v>12.5</v>
      </c>
      <c r="H28" s="1">
        <v>12.5</v>
      </c>
    </row>
    <row r="29">
      <c r="A29" s="1" t="s">
        <v>277</v>
      </c>
      <c r="C29" s="1">
        <v>23.0</v>
      </c>
      <c r="H29" s="1">
        <v>23.0</v>
      </c>
    </row>
    <row r="30">
      <c r="A30" s="1" t="s">
        <v>278</v>
      </c>
      <c r="C30" s="1">
        <v>0.5</v>
      </c>
      <c r="H30" s="1">
        <v>0.5</v>
      </c>
    </row>
    <row r="31">
      <c r="A31" s="1" t="s">
        <v>279</v>
      </c>
      <c r="C31" s="1">
        <v>4.0</v>
      </c>
      <c r="H31" s="1">
        <v>4.0</v>
      </c>
    </row>
    <row r="32">
      <c r="A32" s="1" t="s">
        <v>280</v>
      </c>
      <c r="C32" s="1">
        <v>5.0</v>
      </c>
      <c r="H32" s="1">
        <v>5.0</v>
      </c>
    </row>
    <row r="33">
      <c r="A33" s="1" t="s">
        <v>281</v>
      </c>
      <c r="C33" s="1">
        <v>5.0</v>
      </c>
      <c r="H33" s="1">
        <v>5.0</v>
      </c>
    </row>
    <row r="34">
      <c r="A34" s="1" t="s">
        <v>282</v>
      </c>
      <c r="C34" s="1">
        <v>43.5</v>
      </c>
      <c r="H34" s="1">
        <v>43.5</v>
      </c>
    </row>
    <row r="35">
      <c r="A35" s="1" t="s">
        <v>283</v>
      </c>
      <c r="C35" s="1">
        <v>4.0</v>
      </c>
      <c r="H35" s="1">
        <v>4.0</v>
      </c>
    </row>
    <row r="36">
      <c r="A36" s="1" t="s">
        <v>284</v>
      </c>
      <c r="C36" s="1">
        <v>30.0</v>
      </c>
      <c r="H36" s="1">
        <v>30.0</v>
      </c>
    </row>
    <row r="37">
      <c r="A37" s="1" t="s">
        <v>285</v>
      </c>
      <c r="C37" s="1">
        <v>3.5</v>
      </c>
      <c r="H37" s="1">
        <v>3.5</v>
      </c>
    </row>
    <row r="38">
      <c r="A38" s="1" t="s">
        <v>286</v>
      </c>
      <c r="C38" s="1">
        <v>0.86</v>
      </c>
      <c r="D38" s="1">
        <v>0.86</v>
      </c>
    </row>
    <row r="39">
      <c r="A39" s="1" t="s">
        <v>287</v>
      </c>
      <c r="C39" s="1">
        <v>60.0</v>
      </c>
      <c r="D39" s="1"/>
      <c r="H39" s="1">
        <v>60.0</v>
      </c>
    </row>
    <row r="40">
      <c r="D40" s="3">
        <f t="shared" ref="D40:G40" si="1">SUM(D2:D38)</f>
        <v>142.26</v>
      </c>
      <c r="E40" s="3">
        <f t="shared" si="1"/>
        <v>53.09</v>
      </c>
      <c r="F40" s="4">
        <f t="shared" si="1"/>
        <v>1200.05</v>
      </c>
      <c r="G40" s="4">
        <f t="shared" si="1"/>
        <v>0</v>
      </c>
      <c r="H40" s="3">
        <f>SUM(H2:H39)</f>
        <v>589</v>
      </c>
      <c r="I40" s="4">
        <f t="shared" ref="I40:N40" si="2">SUM(I2:I38)</f>
        <v>25</v>
      </c>
      <c r="J40" s="3">
        <f t="shared" si="2"/>
        <v>220.7</v>
      </c>
      <c r="K40" s="3">
        <f t="shared" si="2"/>
        <v>132.3</v>
      </c>
      <c r="L40" s="4">
        <f t="shared" si="2"/>
        <v>0</v>
      </c>
      <c r="M40" s="4">
        <f t="shared" si="2"/>
        <v>0</v>
      </c>
      <c r="N40" s="4">
        <f t="shared" si="2"/>
        <v>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249</v>
      </c>
      <c r="G1" s="1" t="s">
        <v>7</v>
      </c>
      <c r="H1" s="1" t="s">
        <v>8</v>
      </c>
      <c r="I1" s="1" t="s">
        <v>10</v>
      </c>
      <c r="J1" s="1" t="s">
        <v>250</v>
      </c>
      <c r="K1" s="1" t="s">
        <v>288</v>
      </c>
      <c r="L1" s="1" t="s">
        <v>86</v>
      </c>
      <c r="M1" s="1" t="s">
        <v>169</v>
      </c>
    </row>
    <row r="2">
      <c r="A2" s="1" t="s">
        <v>289</v>
      </c>
      <c r="B2" s="1" t="s">
        <v>32</v>
      </c>
      <c r="C2" s="1">
        <v>119.64</v>
      </c>
      <c r="K2" s="1">
        <v>119.64</v>
      </c>
    </row>
    <row r="3">
      <c r="A3" s="1" t="s">
        <v>290</v>
      </c>
      <c r="C3" s="1">
        <v>15.1</v>
      </c>
      <c r="D3" s="1">
        <v>15.1</v>
      </c>
    </row>
    <row r="4">
      <c r="A4" s="1" t="s">
        <v>291</v>
      </c>
      <c r="C4" s="1">
        <v>2.0</v>
      </c>
      <c r="D4" s="1">
        <v>2.0</v>
      </c>
    </row>
    <row r="5">
      <c r="A5" s="1" t="s">
        <v>292</v>
      </c>
      <c r="C5" s="1">
        <v>8.2</v>
      </c>
      <c r="D5" s="1">
        <v>8.2</v>
      </c>
    </row>
    <row r="6">
      <c r="A6" s="1" t="s">
        <v>293</v>
      </c>
      <c r="C6" s="1">
        <v>11.4</v>
      </c>
      <c r="E6" s="1">
        <v>11.4</v>
      </c>
    </row>
    <row r="7">
      <c r="A7" s="1" t="s">
        <v>294</v>
      </c>
      <c r="C7" s="1">
        <v>80.0</v>
      </c>
      <c r="H7" s="1">
        <v>80.0</v>
      </c>
    </row>
    <row r="8">
      <c r="A8" s="1" t="s">
        <v>295</v>
      </c>
      <c r="C8" s="1">
        <v>40.6</v>
      </c>
      <c r="H8" s="1">
        <v>40.6</v>
      </c>
    </row>
    <row r="9">
      <c r="A9" s="1" t="s">
        <v>296</v>
      </c>
      <c r="C9" s="1">
        <v>13.0</v>
      </c>
      <c r="H9" s="1">
        <v>13.0</v>
      </c>
    </row>
    <row r="10">
      <c r="A10" s="1" t="s">
        <v>297</v>
      </c>
      <c r="C10" s="1">
        <v>56.9</v>
      </c>
      <c r="E10" s="1">
        <v>56.9</v>
      </c>
    </row>
    <row r="11">
      <c r="A11" s="1" t="s">
        <v>298</v>
      </c>
      <c r="C11" s="1">
        <v>78.0</v>
      </c>
      <c r="H11" s="1">
        <v>78.0</v>
      </c>
    </row>
    <row r="12">
      <c r="A12" s="1" t="s">
        <v>299</v>
      </c>
      <c r="C12" s="1">
        <v>18.0</v>
      </c>
      <c r="E12" s="1">
        <v>18.0</v>
      </c>
    </row>
    <row r="13">
      <c r="A13" s="1" t="s">
        <v>300</v>
      </c>
      <c r="C13" s="1">
        <v>20.0</v>
      </c>
      <c r="E13" s="1">
        <v>20.0</v>
      </c>
    </row>
    <row r="15">
      <c r="C15" s="1" t="s">
        <v>139</v>
      </c>
      <c r="D15" s="3">
        <f t="shared" ref="D15:M15" si="1">SUM(D1:D14)</f>
        <v>25.3</v>
      </c>
      <c r="E15" s="3">
        <f t="shared" si="1"/>
        <v>106.3</v>
      </c>
      <c r="F15" s="3">
        <f t="shared" si="1"/>
        <v>0</v>
      </c>
      <c r="G15" s="3">
        <f t="shared" si="1"/>
        <v>0</v>
      </c>
      <c r="H15" s="3">
        <f t="shared" si="1"/>
        <v>211.6</v>
      </c>
      <c r="I15" s="3">
        <f t="shared" si="1"/>
        <v>0</v>
      </c>
      <c r="J15" s="3">
        <f t="shared" si="1"/>
        <v>0</v>
      </c>
      <c r="K15" s="3">
        <f t="shared" si="1"/>
        <v>119.64</v>
      </c>
      <c r="L15" s="3">
        <f t="shared" si="1"/>
        <v>0</v>
      </c>
      <c r="M15" s="3">
        <f t="shared" si="1"/>
        <v>0</v>
      </c>
    </row>
    <row r="52">
      <c r="H52" s="4">
        <f>13256.46-11742.5-794.47</f>
        <v>719.49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249</v>
      </c>
      <c r="G1" s="1" t="s">
        <v>7</v>
      </c>
      <c r="H1" s="1" t="s">
        <v>8</v>
      </c>
      <c r="I1" s="1" t="s">
        <v>10</v>
      </c>
      <c r="J1" s="1" t="s">
        <v>250</v>
      </c>
      <c r="K1" s="1" t="s">
        <v>301</v>
      </c>
      <c r="L1" s="1" t="s">
        <v>86</v>
      </c>
      <c r="M1" s="1" t="s">
        <v>169</v>
      </c>
    </row>
    <row r="2">
      <c r="A2" s="1" t="s">
        <v>268</v>
      </c>
      <c r="B2" s="1" t="s">
        <v>32</v>
      </c>
      <c r="C2" s="1">
        <v>126.0</v>
      </c>
      <c r="E2" s="1">
        <v>126.0</v>
      </c>
    </row>
    <row r="3">
      <c r="A3" s="1" t="s">
        <v>302</v>
      </c>
      <c r="B3" s="1" t="s">
        <v>32</v>
      </c>
      <c r="C3" s="1">
        <v>7.9</v>
      </c>
      <c r="E3" s="1">
        <v>7.9</v>
      </c>
    </row>
    <row r="4">
      <c r="A4" s="1" t="s">
        <v>303</v>
      </c>
      <c r="B4" s="1" t="s">
        <v>32</v>
      </c>
      <c r="C4" s="1">
        <v>129.0</v>
      </c>
      <c r="H4" s="1">
        <v>129.0</v>
      </c>
    </row>
    <row r="5">
      <c r="A5" s="1" t="s">
        <v>304</v>
      </c>
      <c r="B5" s="1" t="s">
        <v>32</v>
      </c>
      <c r="C5" s="1">
        <v>7.0</v>
      </c>
      <c r="E5" s="1">
        <v>7.0</v>
      </c>
    </row>
    <row r="6">
      <c r="A6" s="1" t="s">
        <v>305</v>
      </c>
      <c r="B6" s="1" t="s">
        <v>32</v>
      </c>
      <c r="C6" s="1">
        <v>33.3</v>
      </c>
      <c r="D6" s="1">
        <v>33.3</v>
      </c>
    </row>
    <row r="7">
      <c r="A7" s="1" t="s">
        <v>306</v>
      </c>
      <c r="B7" s="1" t="s">
        <v>32</v>
      </c>
      <c r="C7" s="1">
        <v>124.0</v>
      </c>
      <c r="E7" s="1">
        <v>124.0</v>
      </c>
    </row>
    <row r="8">
      <c r="A8" s="1" t="s">
        <v>307</v>
      </c>
      <c r="B8" s="1" t="s">
        <v>32</v>
      </c>
      <c r="C8" s="1">
        <v>8.2</v>
      </c>
      <c r="E8" s="1">
        <v>8.2</v>
      </c>
    </row>
    <row r="9">
      <c r="A9" s="1" t="s">
        <v>308</v>
      </c>
      <c r="B9" s="1" t="s">
        <v>32</v>
      </c>
      <c r="C9" s="1">
        <v>17.8</v>
      </c>
      <c r="K9" s="1">
        <v>17.8</v>
      </c>
    </row>
    <row r="10">
      <c r="A10" s="1" t="s">
        <v>309</v>
      </c>
      <c r="B10" s="1" t="s">
        <v>32</v>
      </c>
      <c r="C10" s="1">
        <v>20.9</v>
      </c>
      <c r="E10" s="1">
        <v>20.9</v>
      </c>
    </row>
    <row r="11">
      <c r="A11" s="1" t="s">
        <v>310</v>
      </c>
      <c r="B11" s="1" t="s">
        <v>32</v>
      </c>
      <c r="C11" s="1">
        <v>23.1</v>
      </c>
      <c r="E11" s="1">
        <v>23.1</v>
      </c>
    </row>
    <row r="12">
      <c r="A12" s="1" t="s">
        <v>311</v>
      </c>
      <c r="B12" s="1" t="s">
        <v>32</v>
      </c>
      <c r="C12" s="1">
        <v>13.0</v>
      </c>
      <c r="H12" s="1">
        <v>13.0</v>
      </c>
    </row>
    <row r="13">
      <c r="A13" s="1" t="s">
        <v>312</v>
      </c>
      <c r="B13" s="1" t="s">
        <v>32</v>
      </c>
      <c r="C13" s="1">
        <v>75.0</v>
      </c>
      <c r="E13" s="4">
        <f>C13-H13</f>
        <v>15.6</v>
      </c>
      <c r="H13" s="1">
        <v>59.4</v>
      </c>
    </row>
    <row r="14">
      <c r="A14" s="1" t="s">
        <v>313</v>
      </c>
      <c r="B14" s="1" t="s">
        <v>32</v>
      </c>
      <c r="C14" s="1">
        <v>81.1</v>
      </c>
    </row>
    <row r="15">
      <c r="A15" s="1" t="s">
        <v>314</v>
      </c>
      <c r="B15" s="1" t="s">
        <v>32</v>
      </c>
      <c r="C15" s="1">
        <v>475.0</v>
      </c>
    </row>
    <row r="16">
      <c r="A16" s="1" t="s">
        <v>315</v>
      </c>
      <c r="B16" s="1" t="s">
        <v>32</v>
      </c>
      <c r="C16" s="1">
        <v>21.1</v>
      </c>
      <c r="E16" s="1">
        <v>21.1</v>
      </c>
    </row>
    <row r="17">
      <c r="A17" s="1" t="s">
        <v>316</v>
      </c>
      <c r="B17" s="1" t="s">
        <v>32</v>
      </c>
      <c r="C17" s="1">
        <v>219.4</v>
      </c>
      <c r="E17" s="1">
        <v>219.4</v>
      </c>
    </row>
    <row r="18">
      <c r="A18" s="1" t="s">
        <v>317</v>
      </c>
      <c r="B18" s="1" t="s">
        <v>32</v>
      </c>
      <c r="C18" s="1">
        <v>7.0</v>
      </c>
      <c r="I18" s="1">
        <v>7.0</v>
      </c>
    </row>
    <row r="19">
      <c r="A19" s="1" t="s">
        <v>318</v>
      </c>
      <c r="B19" s="1" t="s">
        <v>32</v>
      </c>
      <c r="C19" s="1">
        <v>7.0</v>
      </c>
      <c r="I19" s="1">
        <v>7.0</v>
      </c>
    </row>
    <row r="20">
      <c r="A20" s="1" t="s">
        <v>319</v>
      </c>
      <c r="B20" s="1" t="s">
        <v>32</v>
      </c>
      <c r="C20" s="1">
        <v>7.7</v>
      </c>
      <c r="I20" s="1">
        <v>7.7</v>
      </c>
    </row>
    <row r="21">
      <c r="A21" s="1" t="s">
        <v>320</v>
      </c>
      <c r="B21" s="1" t="s">
        <v>32</v>
      </c>
      <c r="C21" s="1">
        <v>136.0</v>
      </c>
      <c r="E21" s="1">
        <v>136.0</v>
      </c>
    </row>
    <row r="22">
      <c r="A22" s="1" t="s">
        <v>321</v>
      </c>
      <c r="B22" s="1" t="s">
        <v>32</v>
      </c>
      <c r="C22" s="4">
        <f>69+65</f>
        <v>134</v>
      </c>
    </row>
    <row r="23">
      <c r="A23" s="1" t="s">
        <v>322</v>
      </c>
      <c r="B23" s="1" t="s">
        <v>32</v>
      </c>
      <c r="C23" s="1">
        <v>100.0</v>
      </c>
      <c r="E23" s="1">
        <v>100.0</v>
      </c>
    </row>
    <row r="24">
      <c r="A24" s="1" t="s">
        <v>323</v>
      </c>
      <c r="B24" s="1" t="s">
        <v>32</v>
      </c>
      <c r="C24" s="1">
        <v>17.4</v>
      </c>
      <c r="D24" s="1">
        <v>17.4</v>
      </c>
    </row>
    <row r="25">
      <c r="A25" s="1" t="s">
        <v>324</v>
      </c>
      <c r="B25" s="1" t="s">
        <v>32</v>
      </c>
      <c r="C25" s="1">
        <v>17.4</v>
      </c>
      <c r="D25" s="1">
        <v>17.4</v>
      </c>
    </row>
    <row r="26">
      <c r="A26" s="1" t="s">
        <v>325</v>
      </c>
      <c r="C26" s="4">
        <f t="shared" ref="C26:H26" si="1">SUM(C2:C25)</f>
        <v>1808.3</v>
      </c>
      <c r="D26" s="3">
        <f t="shared" si="1"/>
        <v>68.1</v>
      </c>
      <c r="E26" s="4">
        <f t="shared" si="1"/>
        <v>809.2</v>
      </c>
      <c r="F26" s="4">
        <f t="shared" si="1"/>
        <v>0</v>
      </c>
      <c r="G26" s="4">
        <f t="shared" si="1"/>
        <v>0</v>
      </c>
      <c r="H26" s="4">
        <f t="shared" si="1"/>
        <v>201.4</v>
      </c>
      <c r="I26" s="4">
        <f>(SUM(I2:I25))/2</f>
        <v>10.85</v>
      </c>
      <c r="J26" s="4">
        <f t="shared" ref="J26:L26" si="2">SUM(J2:J25)</f>
        <v>0</v>
      </c>
      <c r="K26" s="4">
        <f t="shared" si="2"/>
        <v>17.8</v>
      </c>
      <c r="L26" s="4">
        <f t="shared" si="2"/>
        <v>0</v>
      </c>
    </row>
    <row r="28">
      <c r="G28" s="4">
        <f>215.1</f>
        <v>215.1</v>
      </c>
    </row>
    <row r="31">
      <c r="C31" s="4">
        <f>1675.59-475</f>
        <v>1200.59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249</v>
      </c>
      <c r="G1" s="1" t="s">
        <v>7</v>
      </c>
      <c r="H1" s="1" t="s">
        <v>8</v>
      </c>
      <c r="I1" s="1" t="s">
        <v>10</v>
      </c>
      <c r="J1" s="1" t="s">
        <v>250</v>
      </c>
      <c r="K1" s="1" t="s">
        <v>301</v>
      </c>
      <c r="L1" s="1" t="s">
        <v>288</v>
      </c>
      <c r="M1" s="1" t="s">
        <v>326</v>
      </c>
    </row>
    <row r="2">
      <c r="A2" s="13" t="s">
        <v>327</v>
      </c>
      <c r="B2" s="1" t="s">
        <v>32</v>
      </c>
      <c r="C2" s="1">
        <v>11.6</v>
      </c>
    </row>
    <row r="3">
      <c r="A3" s="1" t="s">
        <v>328</v>
      </c>
      <c r="B3" s="1" t="s">
        <v>32</v>
      </c>
      <c r="C3" s="1">
        <v>80.0</v>
      </c>
      <c r="D3" s="1">
        <v>61.0</v>
      </c>
      <c r="E3" s="1">
        <v>19.0</v>
      </c>
    </row>
    <row r="4">
      <c r="A4" s="13" t="s">
        <v>329</v>
      </c>
      <c r="B4" s="1" t="s">
        <v>32</v>
      </c>
      <c r="C4" s="1">
        <v>31.9</v>
      </c>
    </row>
    <row r="5">
      <c r="A5" s="13" t="s">
        <v>330</v>
      </c>
      <c r="B5" s="1" t="s">
        <v>32</v>
      </c>
      <c r="C5" s="1">
        <v>10.7</v>
      </c>
    </row>
    <row r="6">
      <c r="A6" s="1" t="s">
        <v>331</v>
      </c>
      <c r="B6" s="1" t="s">
        <v>32</v>
      </c>
      <c r="C6" s="1">
        <v>18.9</v>
      </c>
      <c r="E6" s="1">
        <v>18.9</v>
      </c>
    </row>
    <row r="7">
      <c r="A7" s="1" t="s">
        <v>332</v>
      </c>
      <c r="B7" s="1" t="s">
        <v>32</v>
      </c>
      <c r="C7" s="1">
        <v>114.0</v>
      </c>
      <c r="E7" s="1">
        <v>114.0</v>
      </c>
    </row>
    <row r="8">
      <c r="A8" s="1" t="s">
        <v>333</v>
      </c>
      <c r="B8" s="1" t="s">
        <v>32</v>
      </c>
      <c r="C8" s="1">
        <v>361.0</v>
      </c>
      <c r="L8" s="1">
        <v>361.0</v>
      </c>
    </row>
    <row r="9">
      <c r="A9" s="13" t="s">
        <v>334</v>
      </c>
      <c r="B9" s="1" t="s">
        <v>32</v>
      </c>
      <c r="C9" s="1">
        <v>160.0</v>
      </c>
    </row>
    <row r="10">
      <c r="A10" s="13" t="s">
        <v>106</v>
      </c>
      <c r="B10" s="1" t="s">
        <v>32</v>
      </c>
      <c r="C10" s="1">
        <v>24.1</v>
      </c>
    </row>
    <row r="11">
      <c r="A11" s="1" t="s">
        <v>335</v>
      </c>
      <c r="B11" s="1" t="s">
        <v>32</v>
      </c>
      <c r="C11" s="1">
        <v>110.7</v>
      </c>
      <c r="E11" s="1">
        <v>110.7</v>
      </c>
    </row>
    <row r="12">
      <c r="A12" s="1" t="s">
        <v>336</v>
      </c>
      <c r="B12" s="1" t="s">
        <v>32</v>
      </c>
      <c r="C12" s="1">
        <v>7.2</v>
      </c>
      <c r="E12" s="1">
        <v>7.2</v>
      </c>
    </row>
    <row r="13">
      <c r="A13" s="1" t="s">
        <v>337</v>
      </c>
      <c r="B13" s="1" t="s">
        <v>32</v>
      </c>
      <c r="C13" s="1">
        <v>12.7</v>
      </c>
      <c r="E13" s="1">
        <v>12.7</v>
      </c>
    </row>
    <row r="14">
      <c r="B14" s="1" t="s">
        <v>325</v>
      </c>
      <c r="C14" s="3"/>
      <c r="D14" s="3">
        <f t="shared" ref="D14:M14" si="1">sum(D2:D13)</f>
        <v>61</v>
      </c>
      <c r="E14" s="3">
        <f t="shared" si="1"/>
        <v>282.5</v>
      </c>
      <c r="F14" s="3">
        <f t="shared" si="1"/>
        <v>0</v>
      </c>
      <c r="G14" s="3">
        <f t="shared" si="1"/>
        <v>0</v>
      </c>
      <c r="H14" s="3">
        <f t="shared" si="1"/>
        <v>0</v>
      </c>
      <c r="I14" s="3">
        <f t="shared" si="1"/>
        <v>0</v>
      </c>
      <c r="J14" s="3">
        <f t="shared" si="1"/>
        <v>0</v>
      </c>
      <c r="K14" s="3">
        <f t="shared" si="1"/>
        <v>0</v>
      </c>
      <c r="L14" s="3">
        <f t="shared" si="1"/>
        <v>361</v>
      </c>
      <c r="M14" s="3">
        <f t="shared" si="1"/>
        <v>0</v>
      </c>
    </row>
    <row r="15">
      <c r="C15" s="3"/>
      <c r="D15" s="2">
        <v>80.91</v>
      </c>
      <c r="E15" s="2">
        <v>55.32</v>
      </c>
      <c r="F15" s="3"/>
      <c r="G15" s="3"/>
      <c r="H15" s="3"/>
      <c r="I15" s="3"/>
      <c r="J15" s="3"/>
      <c r="K15" s="3"/>
      <c r="L15" s="2">
        <v>146.27</v>
      </c>
      <c r="M15" s="3"/>
    </row>
    <row r="48">
      <c r="G48" s="4" t="str">
        <f>8972.85-8402.25-(C4+C5+C9+#REF!+C10)-20</f>
        <v>#REF!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2.25"/>
    <col customWidth="1" min="8" max="8" width="14.38"/>
    <col customWidth="1" min="12" max="12" width="14.0"/>
  </cols>
  <sheetData>
    <row r="1">
      <c r="A1" s="14" t="s">
        <v>0</v>
      </c>
      <c r="B1" s="14" t="s">
        <v>1</v>
      </c>
      <c r="C1" s="14" t="s">
        <v>2</v>
      </c>
      <c r="D1" s="14" t="s">
        <v>4</v>
      </c>
      <c r="E1" s="14" t="s">
        <v>338</v>
      </c>
      <c r="F1" s="14" t="s">
        <v>249</v>
      </c>
      <c r="G1" s="14" t="s">
        <v>7</v>
      </c>
      <c r="H1" s="14" t="s">
        <v>8</v>
      </c>
      <c r="I1" s="14" t="s">
        <v>10</v>
      </c>
      <c r="J1" s="14" t="s">
        <v>250</v>
      </c>
      <c r="K1" s="14" t="s">
        <v>288</v>
      </c>
      <c r="L1" s="1" t="s">
        <v>339</v>
      </c>
      <c r="M1" s="1" t="s">
        <v>340</v>
      </c>
    </row>
    <row r="2">
      <c r="A2" s="1" t="s">
        <v>341</v>
      </c>
      <c r="B2" s="1" t="s">
        <v>32</v>
      </c>
      <c r="C2" s="1">
        <v>7.0</v>
      </c>
      <c r="E2" s="1">
        <v>7.0</v>
      </c>
    </row>
    <row r="3">
      <c r="A3" s="1" t="s">
        <v>342</v>
      </c>
      <c r="C3" s="1">
        <v>20.0</v>
      </c>
      <c r="E3" s="1">
        <v>20.0</v>
      </c>
    </row>
    <row r="4">
      <c r="A4" s="1" t="s">
        <v>343</v>
      </c>
      <c r="C4" s="1">
        <v>12.9</v>
      </c>
      <c r="M4" s="1">
        <v>12.9</v>
      </c>
    </row>
    <row r="5">
      <c r="A5" s="1" t="s">
        <v>344</v>
      </c>
      <c r="C5" s="1">
        <v>8.2</v>
      </c>
      <c r="D5" s="1">
        <v>8.2</v>
      </c>
    </row>
    <row r="6">
      <c r="A6" s="1" t="s">
        <v>345</v>
      </c>
      <c r="C6" s="1">
        <v>68.0</v>
      </c>
      <c r="H6" s="1">
        <v>68.0</v>
      </c>
    </row>
    <row r="7">
      <c r="A7" s="1" t="s">
        <v>346</v>
      </c>
      <c r="C7" s="1">
        <v>98.0</v>
      </c>
      <c r="H7" s="1">
        <v>98.0</v>
      </c>
    </row>
    <row r="8">
      <c r="A8" s="1" t="s">
        <v>347</v>
      </c>
      <c r="C8" s="1">
        <v>247.25</v>
      </c>
      <c r="M8" s="1">
        <v>247.25</v>
      </c>
    </row>
    <row r="9">
      <c r="A9" s="1" t="s">
        <v>348</v>
      </c>
      <c r="C9" s="1">
        <v>40.7</v>
      </c>
      <c r="E9" s="1">
        <v>40.7</v>
      </c>
    </row>
    <row r="10">
      <c r="A10" s="1" t="s">
        <v>349</v>
      </c>
      <c r="C10" s="1">
        <v>94.0</v>
      </c>
      <c r="E10" s="1">
        <v>94.0</v>
      </c>
    </row>
    <row r="11">
      <c r="A11" s="1" t="s">
        <v>350</v>
      </c>
      <c r="C11" s="1">
        <v>146.0</v>
      </c>
      <c r="E11" s="1">
        <v>146.0</v>
      </c>
    </row>
    <row r="12">
      <c r="A12" s="1" t="s">
        <v>351</v>
      </c>
      <c r="C12" s="1">
        <v>28.6</v>
      </c>
      <c r="D12" s="1">
        <v>28.6</v>
      </c>
    </row>
    <row r="13">
      <c r="A13" s="1" t="s">
        <v>352</v>
      </c>
      <c r="C13" s="1">
        <v>13.2</v>
      </c>
      <c r="D13" s="1">
        <v>13.2</v>
      </c>
    </row>
    <row r="14">
      <c r="C14" s="1">
        <v>475.0</v>
      </c>
    </row>
    <row r="15">
      <c r="A15" s="1" t="s">
        <v>353</v>
      </c>
      <c r="B15" s="1" t="s">
        <v>354</v>
      </c>
      <c r="C15" s="1">
        <v>12.0</v>
      </c>
      <c r="K15" s="1">
        <v>12.0</v>
      </c>
    </row>
    <row r="16">
      <c r="A16" s="1" t="s">
        <v>355</v>
      </c>
      <c r="B16" s="1" t="s">
        <v>356</v>
      </c>
      <c r="C16" s="1">
        <v>80.0</v>
      </c>
      <c r="H16" s="1">
        <v>80.0</v>
      </c>
    </row>
    <row r="17">
      <c r="A17" s="1" t="s">
        <v>357</v>
      </c>
      <c r="B17" s="1" t="s">
        <v>356</v>
      </c>
      <c r="C17" s="1">
        <f t="shared" ref="C17:D17" si="1">40+5</f>
        <v>45</v>
      </c>
      <c r="D17" s="1">
        <f t="shared" si="1"/>
        <v>45</v>
      </c>
    </row>
    <row r="18">
      <c r="A18" s="1" t="s">
        <v>358</v>
      </c>
      <c r="B18" s="1" t="s">
        <v>356</v>
      </c>
      <c r="C18" s="1">
        <v>12.0</v>
      </c>
      <c r="K18" s="1">
        <v>12.0</v>
      </c>
    </row>
    <row r="19">
      <c r="A19" s="1" t="s">
        <v>359</v>
      </c>
      <c r="B19" s="1" t="s">
        <v>356</v>
      </c>
      <c r="C19" s="1">
        <v>10.0</v>
      </c>
      <c r="K19" s="1">
        <v>10.0</v>
      </c>
    </row>
    <row r="20">
      <c r="A20" s="1" t="s">
        <v>360</v>
      </c>
      <c r="B20" s="1" t="s">
        <v>356</v>
      </c>
      <c r="C20" s="1">
        <v>20.0</v>
      </c>
      <c r="K20" s="1">
        <v>20.0</v>
      </c>
    </row>
    <row r="21">
      <c r="A21" s="1" t="s">
        <v>361</v>
      </c>
      <c r="B21" s="1" t="s">
        <v>356</v>
      </c>
      <c r="C21" s="1">
        <v>12.0</v>
      </c>
      <c r="K21" s="1">
        <v>12.0</v>
      </c>
    </row>
    <row r="22">
      <c r="A22" s="1" t="s">
        <v>362</v>
      </c>
      <c r="B22" s="1" t="s">
        <v>356</v>
      </c>
      <c r="C22" s="1">
        <v>2.5</v>
      </c>
      <c r="K22" s="1">
        <v>2.5</v>
      </c>
    </row>
    <row r="23">
      <c r="A23" s="1" t="s">
        <v>363</v>
      </c>
      <c r="B23" s="1" t="s">
        <v>356</v>
      </c>
      <c r="C23" s="1">
        <v>16.0</v>
      </c>
      <c r="K23" s="1">
        <v>16.0</v>
      </c>
    </row>
    <row r="24">
      <c r="A24" s="1" t="s">
        <v>364</v>
      </c>
      <c r="B24" s="1" t="s">
        <v>356</v>
      </c>
      <c r="C24" s="1">
        <v>20.0</v>
      </c>
      <c r="K24" s="1">
        <v>20.0</v>
      </c>
    </row>
    <row r="25">
      <c r="A25" s="1" t="s">
        <v>365</v>
      </c>
      <c r="B25" s="1" t="s">
        <v>356</v>
      </c>
      <c r="C25" s="1">
        <v>7.0</v>
      </c>
      <c r="K25" s="1">
        <v>7.0</v>
      </c>
    </row>
    <row r="26">
      <c r="A26" s="1" t="s">
        <v>366</v>
      </c>
      <c r="B26" s="1" t="s">
        <v>356</v>
      </c>
      <c r="C26" s="1">
        <v>20.0</v>
      </c>
      <c r="K26" s="1">
        <v>20.0</v>
      </c>
    </row>
    <row r="27">
      <c r="A27" s="1" t="s">
        <v>367</v>
      </c>
      <c r="B27" s="1" t="s">
        <v>356</v>
      </c>
      <c r="C27" s="1">
        <v>1.5</v>
      </c>
      <c r="K27" s="1">
        <v>1.5</v>
      </c>
    </row>
    <row r="28">
      <c r="A28" s="1" t="s">
        <v>368</v>
      </c>
      <c r="B28" s="1" t="s">
        <v>356</v>
      </c>
      <c r="C28" s="1">
        <v>48.0</v>
      </c>
      <c r="K28" s="1">
        <v>48.0</v>
      </c>
    </row>
    <row r="29">
      <c r="A29" s="1" t="s">
        <v>369</v>
      </c>
      <c r="B29" s="1" t="s">
        <v>356</v>
      </c>
      <c r="C29" s="1">
        <v>4.0</v>
      </c>
      <c r="K29" s="1">
        <v>4.0</v>
      </c>
    </row>
    <row r="30">
      <c r="A30" s="1" t="s">
        <v>370</v>
      </c>
      <c r="B30" s="1" t="s">
        <v>356</v>
      </c>
      <c r="C30" s="1">
        <v>34.0</v>
      </c>
      <c r="K30" s="1">
        <v>34.0</v>
      </c>
    </row>
    <row r="31">
      <c r="A31" s="1" t="s">
        <v>371</v>
      </c>
      <c r="B31" s="1" t="s">
        <v>356</v>
      </c>
      <c r="C31" s="1">
        <v>6.0</v>
      </c>
      <c r="K31" s="1">
        <v>6.0</v>
      </c>
    </row>
    <row r="32">
      <c r="A32" s="1" t="s">
        <v>372</v>
      </c>
      <c r="B32" s="1" t="s">
        <v>356</v>
      </c>
      <c r="C32" s="1">
        <v>20.0</v>
      </c>
      <c r="K32" s="1">
        <v>20.0</v>
      </c>
    </row>
    <row r="33">
      <c r="A33" s="1" t="s">
        <v>373</v>
      </c>
      <c r="B33" s="1" t="s">
        <v>356</v>
      </c>
      <c r="C33" s="1">
        <v>10.0</v>
      </c>
      <c r="K33" s="1">
        <v>10.0</v>
      </c>
    </row>
    <row r="34">
      <c r="A34" s="1" t="s">
        <v>374</v>
      </c>
      <c r="B34" s="1" t="s">
        <v>356</v>
      </c>
      <c r="C34" s="1">
        <v>7.0</v>
      </c>
      <c r="K34" s="1">
        <v>7.0</v>
      </c>
    </row>
    <row r="35">
      <c r="A35" s="1" t="s">
        <v>375</v>
      </c>
      <c r="B35" s="1" t="s">
        <v>356</v>
      </c>
      <c r="C35" s="1">
        <v>103.0</v>
      </c>
      <c r="I35" s="1">
        <v>103.0</v>
      </c>
    </row>
    <row r="36">
      <c r="A36" s="1" t="s">
        <v>376</v>
      </c>
      <c r="B36" s="1" t="s">
        <v>356</v>
      </c>
      <c r="C36" s="1">
        <v>140.0</v>
      </c>
      <c r="L36" s="1">
        <v>140.0</v>
      </c>
    </row>
    <row r="37">
      <c r="A37" s="1" t="s">
        <v>377</v>
      </c>
      <c r="B37" s="1" t="s">
        <v>356</v>
      </c>
      <c r="C37" s="1">
        <v>7.0</v>
      </c>
      <c r="K37" s="1">
        <v>7.0</v>
      </c>
    </row>
    <row r="38">
      <c r="A38" s="1" t="s">
        <v>378</v>
      </c>
      <c r="B38" s="1" t="s">
        <v>356</v>
      </c>
      <c r="C38" s="1">
        <v>15.0</v>
      </c>
      <c r="K38" s="1">
        <v>15.0</v>
      </c>
    </row>
    <row r="39">
      <c r="A39" s="1" t="s">
        <v>379</v>
      </c>
      <c r="B39" s="1" t="s">
        <v>356</v>
      </c>
      <c r="C39" s="1">
        <v>21.0</v>
      </c>
      <c r="K39" s="1">
        <v>21.0</v>
      </c>
    </row>
    <row r="40">
      <c r="A40" s="1" t="s">
        <v>380</v>
      </c>
      <c r="B40" s="1" t="s">
        <v>356</v>
      </c>
      <c r="C40" s="1">
        <v>5.0</v>
      </c>
      <c r="L40" s="1">
        <v>5.0</v>
      </c>
    </row>
    <row r="41">
      <c r="A41" s="1" t="s">
        <v>381</v>
      </c>
      <c r="B41" s="1" t="s">
        <v>356</v>
      </c>
      <c r="C41" s="1">
        <v>5.0</v>
      </c>
      <c r="L41" s="1">
        <v>5.0</v>
      </c>
    </row>
    <row r="42">
      <c r="A42" s="1" t="s">
        <v>382</v>
      </c>
      <c r="B42" s="1" t="s">
        <v>356</v>
      </c>
      <c r="C42" s="1">
        <v>8.0</v>
      </c>
      <c r="E42" s="1">
        <v>8.0</v>
      </c>
    </row>
    <row r="43">
      <c r="A43" s="1" t="s">
        <v>383</v>
      </c>
      <c r="C43" s="1">
        <v>7.0</v>
      </c>
      <c r="E43" s="1">
        <v>7.0</v>
      </c>
    </row>
    <row r="44">
      <c r="A44" s="1" t="s">
        <v>384</v>
      </c>
      <c r="C44" s="1">
        <v>7.0</v>
      </c>
      <c r="E44" s="1">
        <v>7.0</v>
      </c>
    </row>
    <row r="45">
      <c r="A45" s="1" t="s">
        <v>385</v>
      </c>
      <c r="C45" s="1">
        <v>9.9</v>
      </c>
      <c r="K45" s="1">
        <v>9.9</v>
      </c>
    </row>
    <row r="46">
      <c r="A46" s="1" t="s">
        <v>386</v>
      </c>
      <c r="C46" s="1">
        <v>46.55</v>
      </c>
      <c r="M46" s="1">
        <v>46.55</v>
      </c>
    </row>
    <row r="47">
      <c r="A47" s="1" t="s">
        <v>387</v>
      </c>
      <c r="C47" s="1">
        <v>57.7</v>
      </c>
      <c r="M47" s="1">
        <v>57.7</v>
      </c>
    </row>
    <row r="48">
      <c r="A48" s="1" t="s">
        <v>388</v>
      </c>
      <c r="C48" s="1">
        <v>15.3</v>
      </c>
      <c r="E48" s="1">
        <v>15.3</v>
      </c>
    </row>
    <row r="49">
      <c r="A49" s="1" t="s">
        <v>35</v>
      </c>
      <c r="C49" s="1">
        <v>13.1</v>
      </c>
      <c r="I49" s="1">
        <v>13.1</v>
      </c>
    </row>
    <row r="50">
      <c r="A50" s="1" t="s">
        <v>35</v>
      </c>
      <c r="C50" s="1">
        <v>13.0</v>
      </c>
      <c r="E50" s="1">
        <v>13.0</v>
      </c>
    </row>
    <row r="51">
      <c r="A51" s="1" t="s">
        <v>389</v>
      </c>
      <c r="C51" s="1">
        <v>128.3</v>
      </c>
      <c r="K51" s="1">
        <v>128.3</v>
      </c>
    </row>
    <row r="52">
      <c r="A52" s="1" t="s">
        <v>390</v>
      </c>
      <c r="C52" s="1">
        <v>156.0</v>
      </c>
      <c r="K52" s="1">
        <v>156.0</v>
      </c>
    </row>
    <row r="53">
      <c r="A53" s="1" t="s">
        <v>391</v>
      </c>
      <c r="C53" s="1">
        <v>49.8</v>
      </c>
      <c r="K53" s="1">
        <v>49.8</v>
      </c>
    </row>
    <row r="54">
      <c r="A54" s="1" t="s">
        <v>392</v>
      </c>
      <c r="C54" s="1">
        <v>72.2</v>
      </c>
      <c r="K54" s="1">
        <v>72.2</v>
      </c>
    </row>
    <row r="55">
      <c r="A55" s="1" t="s">
        <v>393</v>
      </c>
      <c r="C55" s="1">
        <v>67.3</v>
      </c>
      <c r="M55" s="1">
        <v>67.3</v>
      </c>
    </row>
    <row r="56">
      <c r="A56" s="1" t="s">
        <v>394</v>
      </c>
      <c r="C56" s="1">
        <v>20.4</v>
      </c>
      <c r="G56" s="1">
        <v>20.4</v>
      </c>
    </row>
    <row r="57">
      <c r="A57" s="1" t="s">
        <v>395</v>
      </c>
      <c r="C57" s="1">
        <f>153.9+2.4</f>
        <v>156.3</v>
      </c>
      <c r="E57" s="1">
        <f>153.9+2.4</f>
        <v>156.3</v>
      </c>
    </row>
    <row r="58">
      <c r="A58" s="1" t="s">
        <v>396</v>
      </c>
      <c r="C58" s="1">
        <v>50.4</v>
      </c>
      <c r="J58" s="1">
        <v>50.4</v>
      </c>
    </row>
    <row r="60">
      <c r="B60" s="1" t="s">
        <v>397</v>
      </c>
      <c r="D60" s="4">
        <f t="shared" ref="D60:M60" si="2">SUM(D2:D59)</f>
        <v>95</v>
      </c>
      <c r="E60" s="4">
        <f t="shared" si="2"/>
        <v>514.3</v>
      </c>
      <c r="F60" s="4">
        <f t="shared" si="2"/>
        <v>0</v>
      </c>
      <c r="G60" s="4">
        <f t="shared" si="2"/>
        <v>20.4</v>
      </c>
      <c r="H60" s="4">
        <f t="shared" si="2"/>
        <v>246</v>
      </c>
      <c r="I60" s="4">
        <f t="shared" si="2"/>
        <v>116.1</v>
      </c>
      <c r="J60" s="15">
        <f t="shared" si="2"/>
        <v>50.4</v>
      </c>
      <c r="K60" s="4">
        <f t="shared" si="2"/>
        <v>721.2</v>
      </c>
      <c r="L60" s="15">
        <f t="shared" si="2"/>
        <v>150</v>
      </c>
      <c r="M60" s="15">
        <f t="shared" si="2"/>
        <v>431.7</v>
      </c>
    </row>
    <row r="61">
      <c r="B61" s="1" t="s">
        <v>139</v>
      </c>
      <c r="D61" s="15">
        <f>SUM(D3:D60)</f>
        <v>190</v>
      </c>
      <c r="E61" s="15">
        <f>E60+192.38</f>
        <v>706.68</v>
      </c>
      <c r="H61" s="13">
        <v>246.0</v>
      </c>
      <c r="K61" s="15">
        <f>K60-192.38</f>
        <v>528.82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2.25"/>
    <col customWidth="1" min="8" max="8" width="14.38"/>
  </cols>
  <sheetData>
    <row r="1">
      <c r="A1" s="14" t="s">
        <v>0</v>
      </c>
      <c r="B1" s="14" t="s">
        <v>1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7</v>
      </c>
      <c r="H1" s="14" t="s">
        <v>8</v>
      </c>
      <c r="I1" s="14" t="s">
        <v>10</v>
      </c>
      <c r="J1" s="14" t="s">
        <v>250</v>
      </c>
      <c r="K1" s="14" t="s">
        <v>288</v>
      </c>
    </row>
    <row r="2">
      <c r="A2" s="1" t="s">
        <v>398</v>
      </c>
      <c r="B2" s="1" t="s">
        <v>32</v>
      </c>
      <c r="C2" s="1">
        <v>71.99</v>
      </c>
      <c r="D2" s="1">
        <v>71.99</v>
      </c>
    </row>
    <row r="3">
      <c r="A3" s="1" t="s">
        <v>399</v>
      </c>
      <c r="B3" s="1" t="s">
        <v>32</v>
      </c>
      <c r="C3" s="1">
        <v>1352.8</v>
      </c>
      <c r="J3" s="1">
        <v>1352.8</v>
      </c>
    </row>
    <row r="4">
      <c r="A4" s="1" t="s">
        <v>400</v>
      </c>
      <c r="B4" s="1" t="s">
        <v>32</v>
      </c>
      <c r="C4" s="1">
        <v>7.4</v>
      </c>
      <c r="E4" s="1">
        <v>7.4</v>
      </c>
    </row>
    <row r="5">
      <c r="A5" s="1" t="s">
        <v>401</v>
      </c>
      <c r="B5" s="1" t="s">
        <v>32</v>
      </c>
      <c r="C5" s="1">
        <v>9.6</v>
      </c>
      <c r="E5" s="1">
        <v>9.6</v>
      </c>
    </row>
    <row r="6">
      <c r="A6" s="1" t="s">
        <v>402</v>
      </c>
      <c r="B6" s="1" t="s">
        <v>32</v>
      </c>
      <c r="C6" s="1">
        <v>27.0</v>
      </c>
      <c r="E6" s="1">
        <v>27.0</v>
      </c>
    </row>
    <row r="7">
      <c r="A7" s="1" t="s">
        <v>401</v>
      </c>
      <c r="B7" s="1" t="s">
        <v>32</v>
      </c>
      <c r="C7" s="1">
        <v>7.8</v>
      </c>
      <c r="E7" s="1">
        <v>7.8</v>
      </c>
    </row>
    <row r="8">
      <c r="A8" s="1" t="s">
        <v>400</v>
      </c>
      <c r="B8" s="1" t="s">
        <v>32</v>
      </c>
      <c r="C8" s="1">
        <v>8.0</v>
      </c>
      <c r="E8" s="1">
        <v>8.0</v>
      </c>
    </row>
    <row r="9">
      <c r="A9" s="1" t="s">
        <v>403</v>
      </c>
      <c r="B9" s="1" t="s">
        <v>32</v>
      </c>
      <c r="C9" s="1">
        <v>37.4</v>
      </c>
      <c r="E9" s="1">
        <v>37.4</v>
      </c>
    </row>
    <row r="10">
      <c r="A10" s="1" t="s">
        <v>404</v>
      </c>
      <c r="B10" s="1" t="s">
        <v>32</v>
      </c>
      <c r="C10" s="1">
        <v>7.0</v>
      </c>
      <c r="E10" s="1">
        <v>7.0</v>
      </c>
    </row>
    <row r="11">
      <c r="A11" s="1" t="s">
        <v>405</v>
      </c>
      <c r="B11" s="1" t="s">
        <v>32</v>
      </c>
      <c r="C11" s="1">
        <v>30.9</v>
      </c>
      <c r="F11" s="1">
        <v>30.9</v>
      </c>
    </row>
    <row r="12">
      <c r="A12" s="1" t="s">
        <v>406</v>
      </c>
      <c r="B12" s="1" t="s">
        <v>32</v>
      </c>
      <c r="C12" s="1">
        <v>104.0</v>
      </c>
      <c r="F12" s="1">
        <v>104.0</v>
      </c>
    </row>
    <row r="13">
      <c r="A13" s="1" t="s">
        <v>407</v>
      </c>
      <c r="B13" s="1" t="s">
        <v>32</v>
      </c>
      <c r="C13" s="1">
        <v>110.0</v>
      </c>
      <c r="E13" s="1">
        <v>110.0</v>
      </c>
    </row>
    <row r="14">
      <c r="A14" s="1" t="s">
        <v>408</v>
      </c>
      <c r="B14" s="1" t="s">
        <v>32</v>
      </c>
      <c r="C14" s="1">
        <v>54.81</v>
      </c>
      <c r="E14" s="1">
        <v>54.81</v>
      </c>
    </row>
    <row r="15">
      <c r="A15" s="1" t="s">
        <v>409</v>
      </c>
      <c r="B15" s="1" t="s">
        <v>32</v>
      </c>
      <c r="C15" s="1">
        <v>27.4</v>
      </c>
      <c r="E15" s="1">
        <v>27.4</v>
      </c>
    </row>
    <row r="16">
      <c r="A16" s="1" t="s">
        <v>410</v>
      </c>
      <c r="B16" s="1" t="s">
        <v>32</v>
      </c>
      <c r="C16" s="1">
        <v>645.0</v>
      </c>
    </row>
    <row r="17">
      <c r="A17" s="1" t="s">
        <v>411</v>
      </c>
      <c r="B17" s="1" t="s">
        <v>32</v>
      </c>
      <c r="C17" s="1">
        <v>29.9</v>
      </c>
      <c r="D17" s="1">
        <v>28.9</v>
      </c>
    </row>
    <row r="18">
      <c r="A18" s="1" t="s">
        <v>412</v>
      </c>
      <c r="B18" s="1" t="s">
        <v>32</v>
      </c>
      <c r="C18" s="1">
        <v>80.0</v>
      </c>
      <c r="H18" s="1">
        <v>80.0</v>
      </c>
    </row>
    <row r="21">
      <c r="A21" s="1" t="s">
        <v>413</v>
      </c>
      <c r="D21" s="3">
        <f t="shared" ref="D21:K21" si="1">SUM(D1:D20)</f>
        <v>100.89</v>
      </c>
      <c r="E21" s="3">
        <f t="shared" si="1"/>
        <v>296.41</v>
      </c>
      <c r="F21" s="4">
        <f t="shared" si="1"/>
        <v>134.9</v>
      </c>
      <c r="G21" s="4">
        <f t="shared" si="1"/>
        <v>0</v>
      </c>
      <c r="H21" s="3">
        <f t="shared" si="1"/>
        <v>80</v>
      </c>
      <c r="I21" s="4">
        <f t="shared" si="1"/>
        <v>0</v>
      </c>
      <c r="J21" s="4">
        <f t="shared" si="1"/>
        <v>1352.8</v>
      </c>
      <c r="K21" s="4">
        <f t="shared" si="1"/>
        <v>0</v>
      </c>
    </row>
    <row r="22">
      <c r="A22" s="1" t="s">
        <v>414</v>
      </c>
      <c r="D22" s="1">
        <v>124.8</v>
      </c>
      <c r="E22" s="1">
        <v>291.51</v>
      </c>
    </row>
    <row r="26">
      <c r="G26" s="4">
        <f>2501.1-C16</f>
        <v>1856.1</v>
      </c>
    </row>
    <row r="28">
      <c r="H28" s="4">
        <f>2599.29-G26</f>
        <v>743.19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7.25"/>
    <col customWidth="1" min="8" max="8" width="14.38"/>
  </cols>
  <sheetData>
    <row r="1">
      <c r="A1" s="14" t="s">
        <v>0</v>
      </c>
      <c r="B1" s="14" t="s">
        <v>1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7</v>
      </c>
      <c r="H1" s="14" t="s">
        <v>8</v>
      </c>
      <c r="I1" s="14" t="s">
        <v>250</v>
      </c>
      <c r="J1" s="14" t="s">
        <v>415</v>
      </c>
    </row>
    <row r="2">
      <c r="A2" s="1" t="s">
        <v>416</v>
      </c>
      <c r="B2" s="1" t="s">
        <v>32</v>
      </c>
      <c r="C2" s="1">
        <v>169.0</v>
      </c>
      <c r="E2" s="1">
        <v>169.0</v>
      </c>
    </row>
    <row r="3">
      <c r="A3" s="1" t="s">
        <v>417</v>
      </c>
      <c r="B3" s="1" t="s">
        <v>32</v>
      </c>
      <c r="C3" s="1">
        <v>112.5</v>
      </c>
      <c r="E3" s="1">
        <v>112.5</v>
      </c>
    </row>
    <row r="4">
      <c r="A4" s="2" t="s">
        <v>418</v>
      </c>
      <c r="B4" s="1" t="s">
        <v>32</v>
      </c>
      <c r="C4" s="2">
        <v>23.6</v>
      </c>
    </row>
    <row r="5">
      <c r="A5" s="1" t="s">
        <v>419</v>
      </c>
      <c r="B5" s="1" t="s">
        <v>32</v>
      </c>
      <c r="C5" s="1">
        <v>11.2</v>
      </c>
      <c r="D5" s="1">
        <v>11.2</v>
      </c>
    </row>
    <row r="6">
      <c r="A6" s="1" t="s">
        <v>420</v>
      </c>
      <c r="B6" s="1" t="s">
        <v>32</v>
      </c>
      <c r="C6" s="1">
        <v>19.7</v>
      </c>
      <c r="J6" s="1">
        <v>19.7</v>
      </c>
    </row>
    <row r="7">
      <c r="A7" s="1" t="s">
        <v>421</v>
      </c>
      <c r="B7" s="1" t="s">
        <v>32</v>
      </c>
      <c r="C7" s="1">
        <v>7.8</v>
      </c>
      <c r="J7" s="1">
        <v>7.8</v>
      </c>
    </row>
    <row r="8">
      <c r="A8" s="1" t="s">
        <v>422</v>
      </c>
      <c r="B8" s="1" t="s">
        <v>32</v>
      </c>
      <c r="C8" s="1">
        <v>63.2</v>
      </c>
      <c r="J8" s="1">
        <v>63.2</v>
      </c>
    </row>
    <row r="9">
      <c r="A9" s="1" t="s">
        <v>351</v>
      </c>
      <c r="B9" s="1" t="s">
        <v>32</v>
      </c>
      <c r="C9" s="1">
        <v>5.08</v>
      </c>
      <c r="E9" s="1">
        <v>5.08</v>
      </c>
    </row>
    <row r="10">
      <c r="A10" s="2" t="s">
        <v>423</v>
      </c>
      <c r="B10" s="2" t="s">
        <v>32</v>
      </c>
      <c r="C10" s="2">
        <v>645.0</v>
      </c>
    </row>
    <row r="11">
      <c r="A11" s="1" t="s">
        <v>424</v>
      </c>
      <c r="B11" s="1" t="s">
        <v>32</v>
      </c>
      <c r="C11" s="1">
        <v>114.39</v>
      </c>
      <c r="E11" s="1">
        <v>114.39</v>
      </c>
    </row>
    <row r="12">
      <c r="A12" s="1" t="s">
        <v>425</v>
      </c>
      <c r="B12" s="1" t="s">
        <v>32</v>
      </c>
      <c r="C12" s="1">
        <v>31.39</v>
      </c>
      <c r="E12" s="1">
        <v>31.39</v>
      </c>
    </row>
    <row r="13">
      <c r="A13" s="1" t="s">
        <v>426</v>
      </c>
      <c r="B13" s="1" t="s">
        <v>32</v>
      </c>
      <c r="C13" s="1">
        <v>16.0</v>
      </c>
      <c r="J13" s="1">
        <v>16.0</v>
      </c>
    </row>
    <row r="14">
      <c r="A14" s="1" t="s">
        <v>427</v>
      </c>
      <c r="B14" s="1" t="s">
        <v>32</v>
      </c>
      <c r="C14" s="1">
        <v>0.7</v>
      </c>
      <c r="D14" s="1">
        <v>0.7</v>
      </c>
    </row>
    <row r="15">
      <c r="A15" s="1" t="s">
        <v>428</v>
      </c>
      <c r="B15" s="1" t="s">
        <v>32</v>
      </c>
      <c r="C15" s="1">
        <v>0.9</v>
      </c>
      <c r="D15" s="1">
        <v>0.9</v>
      </c>
    </row>
    <row r="16">
      <c r="A16" s="1" t="s">
        <v>429</v>
      </c>
      <c r="B16" s="1" t="s">
        <v>32</v>
      </c>
      <c r="C16" s="1">
        <v>8.0</v>
      </c>
      <c r="J16" s="1">
        <v>8.0</v>
      </c>
    </row>
    <row r="17">
      <c r="A17" s="1" t="s">
        <v>430</v>
      </c>
      <c r="B17" s="1" t="s">
        <v>32</v>
      </c>
      <c r="C17" s="1">
        <v>20.0</v>
      </c>
      <c r="J17" s="1">
        <v>20.0</v>
      </c>
    </row>
    <row r="18">
      <c r="A18" s="1" t="s">
        <v>431</v>
      </c>
      <c r="B18" s="1" t="s">
        <v>32</v>
      </c>
      <c r="C18" s="1">
        <v>16.0</v>
      </c>
      <c r="J18" s="1">
        <v>16.0</v>
      </c>
    </row>
    <row r="19">
      <c r="A19" s="1" t="s">
        <v>432</v>
      </c>
      <c r="B19" s="1" t="s">
        <v>32</v>
      </c>
      <c r="C19" s="1">
        <v>4.0</v>
      </c>
      <c r="J19" s="1">
        <v>4.0</v>
      </c>
    </row>
    <row r="21">
      <c r="A21" s="14" t="s">
        <v>139</v>
      </c>
      <c r="D21" s="16">
        <f t="shared" ref="D21:E21" si="1">SUM(D2:D20)</f>
        <v>12.8</v>
      </c>
      <c r="E21" s="16">
        <f t="shared" si="1"/>
        <v>432.36</v>
      </c>
      <c r="F21" s="14">
        <v>61.8</v>
      </c>
      <c r="G21" s="16">
        <f t="shared" ref="G21:J21" si="2">SUM(G2:G20)</f>
        <v>0</v>
      </c>
      <c r="H21" s="16">
        <f t="shared" si="2"/>
        <v>0</v>
      </c>
      <c r="I21" s="16">
        <f t="shared" si="2"/>
        <v>0</v>
      </c>
      <c r="J21" s="16">
        <f t="shared" si="2"/>
        <v>154.7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7.25"/>
    <col customWidth="1" min="8" max="8" width="14.38"/>
  </cols>
  <sheetData>
    <row r="1">
      <c r="A1" s="14" t="s">
        <v>0</v>
      </c>
      <c r="B1" s="14" t="s">
        <v>1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433</v>
      </c>
      <c r="H1" s="14" t="s">
        <v>8</v>
      </c>
      <c r="I1" s="14" t="s">
        <v>250</v>
      </c>
      <c r="J1" s="14" t="s">
        <v>415</v>
      </c>
    </row>
    <row r="2">
      <c r="A2" s="1" t="s">
        <v>434</v>
      </c>
      <c r="C2" s="1">
        <v>13.9</v>
      </c>
      <c r="G2" s="1">
        <v>13.9</v>
      </c>
    </row>
    <row r="3">
      <c r="A3" s="1" t="s">
        <v>435</v>
      </c>
      <c r="B3" s="1"/>
      <c r="C3" s="1">
        <v>8.4</v>
      </c>
      <c r="D3" s="1">
        <v>8.4</v>
      </c>
    </row>
    <row r="4">
      <c r="A4" s="1" t="s">
        <v>436</v>
      </c>
      <c r="B4" s="1"/>
      <c r="C4" s="1">
        <v>151.8</v>
      </c>
      <c r="E4" s="1">
        <v>151.8</v>
      </c>
    </row>
    <row r="5">
      <c r="A5" s="1" t="s">
        <v>437</v>
      </c>
      <c r="B5" s="1"/>
      <c r="C5" s="1">
        <v>17.5</v>
      </c>
      <c r="J5" s="1">
        <v>17.5</v>
      </c>
    </row>
    <row r="6">
      <c r="B6" s="1"/>
    </row>
    <row r="7">
      <c r="A7" s="1"/>
      <c r="B7" s="1"/>
    </row>
    <row r="8">
      <c r="A8" s="1" t="s">
        <v>438</v>
      </c>
      <c r="B8" s="1"/>
      <c r="C8" s="1">
        <v>30.0</v>
      </c>
      <c r="J8" s="1">
        <v>30.0</v>
      </c>
    </row>
    <row r="9">
      <c r="A9" s="1" t="s">
        <v>439</v>
      </c>
      <c r="B9" s="1"/>
      <c r="C9" s="1">
        <v>8.0</v>
      </c>
      <c r="J9" s="1">
        <v>8.0</v>
      </c>
    </row>
    <row r="10">
      <c r="A10" s="1" t="s">
        <v>440</v>
      </c>
      <c r="B10" s="1"/>
      <c r="C10" s="1">
        <v>8.0</v>
      </c>
      <c r="J10" s="1">
        <v>8.0</v>
      </c>
    </row>
    <row r="11">
      <c r="A11" s="1" t="s">
        <v>441</v>
      </c>
      <c r="B11" s="1"/>
      <c r="C11" s="1">
        <v>16.0</v>
      </c>
      <c r="J11" s="1">
        <v>16.0</v>
      </c>
    </row>
    <row r="12">
      <c r="A12" s="1" t="s">
        <v>442</v>
      </c>
      <c r="B12" s="1"/>
      <c r="C12" s="1">
        <v>3.0</v>
      </c>
      <c r="J12" s="1">
        <v>3.0</v>
      </c>
    </row>
    <row r="13">
      <c r="A13" s="1" t="s">
        <v>443</v>
      </c>
      <c r="B13" s="1"/>
      <c r="C13" s="1">
        <v>2.0</v>
      </c>
      <c r="D13" s="1">
        <v>2.0</v>
      </c>
    </row>
    <row r="14">
      <c r="A14" s="1" t="s">
        <v>444</v>
      </c>
      <c r="B14" s="1"/>
      <c r="C14" s="1">
        <v>4.0</v>
      </c>
      <c r="D14" s="1">
        <v>4.0</v>
      </c>
    </row>
    <row r="15">
      <c r="A15" s="1" t="s">
        <v>445</v>
      </c>
      <c r="B15" s="1"/>
      <c r="C15" s="1">
        <v>3.0</v>
      </c>
      <c r="D15" s="1">
        <v>3.0</v>
      </c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>
      <c r="A21" s="1"/>
      <c r="B21" s="1"/>
      <c r="C21" s="1"/>
    </row>
    <row r="22">
      <c r="A22" s="1"/>
      <c r="B22" s="1" t="s">
        <v>139</v>
      </c>
      <c r="C22" s="1"/>
      <c r="D22" s="4">
        <f t="shared" ref="D22:F22" si="1">SUM(D2:D21)</f>
        <v>17.4</v>
      </c>
      <c r="E22" s="4">
        <f t="shared" si="1"/>
        <v>151.8</v>
      </c>
      <c r="F22" s="4">
        <f t="shared" si="1"/>
        <v>0</v>
      </c>
      <c r="G22" s="4">
        <f>SUM(G2:G21)/2</f>
        <v>6.95</v>
      </c>
      <c r="H22" s="4">
        <f t="shared" ref="H22:J22" si="2">SUM(H2:H21)</f>
        <v>0</v>
      </c>
      <c r="I22" s="4">
        <f t="shared" si="2"/>
        <v>0</v>
      </c>
      <c r="J22" s="4">
        <f t="shared" si="2"/>
        <v>82.5</v>
      </c>
    </row>
    <row r="23">
      <c r="A23" s="1"/>
      <c r="B23" s="1"/>
      <c r="C23" s="1"/>
      <c r="D23" s="1">
        <v>454.87</v>
      </c>
      <c r="E23" s="1">
        <v>222.47</v>
      </c>
      <c r="J23" s="1">
        <v>148.2</v>
      </c>
    </row>
    <row r="24">
      <c r="A24" s="1"/>
      <c r="B24" s="1"/>
      <c r="C24" s="1"/>
    </row>
    <row r="25">
      <c r="A25" s="1"/>
      <c r="B25" s="1"/>
      <c r="C25" s="1"/>
    </row>
    <row r="26">
      <c r="A26" s="1"/>
      <c r="B26" s="1"/>
      <c r="C26" s="1"/>
    </row>
    <row r="27">
      <c r="A27" s="1"/>
      <c r="B27" s="1"/>
      <c r="C27" s="1"/>
    </row>
    <row r="28">
      <c r="A28" s="1"/>
      <c r="B28" s="1"/>
      <c r="C28" s="1"/>
    </row>
    <row r="29">
      <c r="A29" s="1"/>
      <c r="B29" s="1"/>
      <c r="C29" s="1"/>
    </row>
    <row r="30">
      <c r="A30" s="1"/>
      <c r="B30" s="1"/>
      <c r="C30" s="1"/>
    </row>
    <row r="31">
      <c r="A31" s="1"/>
      <c r="B31" s="1"/>
      <c r="C31" s="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7.25"/>
    <col customWidth="1" min="8" max="8" width="14.38"/>
  </cols>
  <sheetData>
    <row r="1">
      <c r="A1" s="14" t="s">
        <v>0</v>
      </c>
      <c r="B1" s="14" t="s">
        <v>1</v>
      </c>
      <c r="C1" s="14" t="s">
        <v>2</v>
      </c>
      <c r="D1" s="14" t="s">
        <v>4</v>
      </c>
      <c r="E1" s="14" t="s">
        <v>5</v>
      </c>
      <c r="F1" s="14" t="s">
        <v>52</v>
      </c>
      <c r="G1" s="14" t="s">
        <v>433</v>
      </c>
      <c r="H1" s="14" t="s">
        <v>8</v>
      </c>
      <c r="I1" s="14" t="s">
        <v>250</v>
      </c>
      <c r="J1" s="14" t="s">
        <v>446</v>
      </c>
    </row>
    <row r="2">
      <c r="A2" s="1" t="s">
        <v>447</v>
      </c>
      <c r="C2" s="1">
        <v>16.4</v>
      </c>
      <c r="J2" s="1">
        <v>16.4</v>
      </c>
    </row>
    <row r="3">
      <c r="A3" s="1" t="s">
        <v>448</v>
      </c>
      <c r="C3" s="1">
        <v>53.9</v>
      </c>
      <c r="E3" s="1">
        <v>53.9</v>
      </c>
    </row>
    <row r="4">
      <c r="A4" s="1" t="s">
        <v>449</v>
      </c>
      <c r="C4" s="1">
        <v>11.1</v>
      </c>
      <c r="E4" s="1">
        <v>11.1</v>
      </c>
    </row>
    <row r="5">
      <c r="A5" s="1" t="s">
        <v>450</v>
      </c>
      <c r="C5" s="1">
        <v>17.7</v>
      </c>
      <c r="E5" s="1">
        <v>17.7</v>
      </c>
    </row>
    <row r="6">
      <c r="A6" s="1" t="s">
        <v>451</v>
      </c>
      <c r="C6" s="1">
        <v>5.8</v>
      </c>
    </row>
    <row r="7">
      <c r="A7" s="1" t="s">
        <v>272</v>
      </c>
      <c r="C7" s="1">
        <v>8.5</v>
      </c>
      <c r="E7" s="1">
        <v>8.5</v>
      </c>
    </row>
    <row r="8">
      <c r="A8" s="1" t="s">
        <v>452</v>
      </c>
      <c r="C8" s="1">
        <v>22.9</v>
      </c>
      <c r="E8" s="1">
        <v>22.9</v>
      </c>
    </row>
    <row r="9">
      <c r="A9" s="1" t="s">
        <v>268</v>
      </c>
      <c r="C9" s="1">
        <v>110.0</v>
      </c>
      <c r="E9" s="1">
        <v>110.0</v>
      </c>
    </row>
    <row r="10">
      <c r="A10" s="1" t="s">
        <v>453</v>
      </c>
      <c r="C10" s="1">
        <v>46.0</v>
      </c>
      <c r="E10" s="1">
        <v>46.0</v>
      </c>
    </row>
    <row r="11">
      <c r="A11" s="1" t="s">
        <v>454</v>
      </c>
      <c r="C11" s="1">
        <v>36.0</v>
      </c>
      <c r="G11" s="1">
        <v>36.0</v>
      </c>
    </row>
    <row r="12">
      <c r="A12" s="1" t="s">
        <v>455</v>
      </c>
      <c r="C12" s="1">
        <v>32.8</v>
      </c>
    </row>
    <row r="13">
      <c r="A13" s="1" t="s">
        <v>456</v>
      </c>
      <c r="C13" s="1">
        <v>15.9</v>
      </c>
    </row>
    <row r="14">
      <c r="A14" s="1" t="s">
        <v>457</v>
      </c>
      <c r="C14" s="1">
        <v>11.2</v>
      </c>
      <c r="F14" s="1">
        <v>11.2</v>
      </c>
    </row>
    <row r="15">
      <c r="A15" s="1" t="s">
        <v>458</v>
      </c>
      <c r="C15" s="1">
        <v>18.5</v>
      </c>
      <c r="E15" s="1">
        <v>18.5</v>
      </c>
    </row>
    <row r="16">
      <c r="A16" s="1" t="s">
        <v>459</v>
      </c>
      <c r="C16" s="1">
        <v>10.5</v>
      </c>
      <c r="H16" s="1">
        <v>10.5</v>
      </c>
    </row>
    <row r="17">
      <c r="A17" s="1" t="s">
        <v>163</v>
      </c>
      <c r="C17" s="1">
        <v>87.91</v>
      </c>
      <c r="D17" s="1">
        <v>87.91</v>
      </c>
    </row>
    <row r="18">
      <c r="A18" s="1" t="s">
        <v>460</v>
      </c>
      <c r="C18" s="1">
        <v>53.69</v>
      </c>
      <c r="H18" s="1">
        <v>53.69</v>
      </c>
    </row>
    <row r="19">
      <c r="A19" s="1" t="s">
        <v>461</v>
      </c>
      <c r="C19" s="1">
        <v>17.1</v>
      </c>
    </row>
    <row r="20">
      <c r="A20" s="1" t="s">
        <v>462</v>
      </c>
      <c r="C20" s="1">
        <v>20.9</v>
      </c>
      <c r="E20" s="1">
        <v>20.9</v>
      </c>
    </row>
    <row r="21">
      <c r="A21" s="17" t="s">
        <v>463</v>
      </c>
      <c r="C21" s="1">
        <v>13.2</v>
      </c>
      <c r="E21" s="1">
        <v>13.2</v>
      </c>
    </row>
    <row r="22">
      <c r="A22" s="1" t="s">
        <v>464</v>
      </c>
      <c r="C22" s="1">
        <v>12.8</v>
      </c>
      <c r="G22" s="1">
        <v>12.8</v>
      </c>
    </row>
    <row r="23">
      <c r="A23" s="1" t="s">
        <v>465</v>
      </c>
      <c r="C23" s="1">
        <v>16.9</v>
      </c>
      <c r="G23" s="1">
        <v>16.9</v>
      </c>
    </row>
    <row r="24">
      <c r="A24" s="1" t="s">
        <v>466</v>
      </c>
      <c r="C24" s="1">
        <v>32.8</v>
      </c>
      <c r="D24" s="1">
        <v>32.8</v>
      </c>
    </row>
    <row r="25">
      <c r="A25" s="1" t="s">
        <v>467</v>
      </c>
      <c r="C25" s="1">
        <v>17.4</v>
      </c>
    </row>
    <row r="26">
      <c r="A26" s="1" t="s">
        <v>468</v>
      </c>
      <c r="C26" s="1">
        <v>20.0</v>
      </c>
      <c r="E26" s="1">
        <v>20.0</v>
      </c>
    </row>
    <row r="27">
      <c r="A27" s="1" t="s">
        <v>469</v>
      </c>
      <c r="B27" s="1"/>
      <c r="C27" s="1">
        <v>80.0</v>
      </c>
      <c r="H27" s="1">
        <v>80.0</v>
      </c>
    </row>
    <row r="28">
      <c r="A28" s="1" t="s">
        <v>470</v>
      </c>
      <c r="B28" s="1"/>
      <c r="C28" s="1">
        <v>10.0</v>
      </c>
      <c r="D28" s="1">
        <v>10.0</v>
      </c>
    </row>
    <row r="29">
      <c r="A29" s="1" t="s">
        <v>471</v>
      </c>
      <c r="B29" s="1"/>
      <c r="C29" s="1"/>
      <c r="D29" s="1">
        <v>50.0</v>
      </c>
    </row>
    <row r="30">
      <c r="A30" s="1"/>
      <c r="B30" s="1"/>
      <c r="C30" s="1"/>
    </row>
    <row r="31">
      <c r="A31" s="1"/>
      <c r="B31" s="1" t="s">
        <v>472</v>
      </c>
      <c r="C31" s="1"/>
      <c r="D31" s="4">
        <f t="shared" ref="D31:J31" si="1">SUM(D2:D30)</f>
        <v>180.71</v>
      </c>
      <c r="E31" s="4">
        <f t="shared" si="1"/>
        <v>342.7</v>
      </c>
      <c r="F31" s="4">
        <f t="shared" si="1"/>
        <v>11.2</v>
      </c>
      <c r="G31" s="4">
        <f t="shared" si="1"/>
        <v>65.7</v>
      </c>
      <c r="H31" s="4">
        <f t="shared" si="1"/>
        <v>144.19</v>
      </c>
      <c r="I31" s="4">
        <f t="shared" si="1"/>
        <v>0</v>
      </c>
      <c r="J31" s="4">
        <f t="shared" si="1"/>
        <v>16.4</v>
      </c>
    </row>
    <row r="32">
      <c r="A32" s="1"/>
      <c r="B32" s="1"/>
      <c r="C32" s="1"/>
      <c r="G32" s="4">
        <f>G31/2</f>
        <v>32.85</v>
      </c>
    </row>
    <row r="33">
      <c r="A33" s="1"/>
      <c r="B33" s="1"/>
      <c r="C33" s="1"/>
    </row>
  </sheetData>
  <hyperlinks>
    <hyperlink r:id="rId1" ref="A21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7.25"/>
    <col customWidth="1" min="8" max="8" width="14.38"/>
  </cols>
  <sheetData>
    <row r="1">
      <c r="A1" s="14" t="s">
        <v>0</v>
      </c>
      <c r="B1" s="14" t="s">
        <v>1</v>
      </c>
      <c r="C1" s="14" t="s">
        <v>2</v>
      </c>
      <c r="D1" s="14" t="s">
        <v>4</v>
      </c>
      <c r="E1" s="14" t="s">
        <v>5</v>
      </c>
      <c r="F1" s="14" t="s">
        <v>52</v>
      </c>
      <c r="G1" s="14" t="s">
        <v>433</v>
      </c>
      <c r="H1" s="14" t="s">
        <v>8</v>
      </c>
      <c r="I1" s="14" t="s">
        <v>250</v>
      </c>
      <c r="J1" s="14" t="s">
        <v>446</v>
      </c>
    </row>
    <row r="2">
      <c r="A2" s="1" t="s">
        <v>357</v>
      </c>
      <c r="C2" s="1">
        <v>40.0</v>
      </c>
      <c r="D2" s="1">
        <v>40.0</v>
      </c>
    </row>
    <row r="3">
      <c r="A3" s="1" t="s">
        <v>469</v>
      </c>
      <c r="C3" s="1">
        <v>80.0</v>
      </c>
      <c r="H3" s="1">
        <v>80.0</v>
      </c>
    </row>
    <row r="4">
      <c r="A4" s="1" t="s">
        <v>473</v>
      </c>
      <c r="C4" s="1">
        <v>86.0</v>
      </c>
      <c r="H4" s="1">
        <v>86.0</v>
      </c>
    </row>
    <row r="5">
      <c r="A5" s="1" t="s">
        <v>474</v>
      </c>
      <c r="C5" s="1">
        <v>38.5</v>
      </c>
      <c r="E5" s="1">
        <v>38.5</v>
      </c>
    </row>
    <row r="6">
      <c r="A6" s="1" t="s">
        <v>475</v>
      </c>
      <c r="C6" s="1">
        <v>13.1</v>
      </c>
      <c r="E6" s="1">
        <v>13.1</v>
      </c>
    </row>
    <row r="7">
      <c r="A7" s="1" t="s">
        <v>476</v>
      </c>
      <c r="C7" s="1">
        <v>168.0</v>
      </c>
      <c r="H7" s="1">
        <v>168.0</v>
      </c>
    </row>
    <row r="8">
      <c r="A8" s="1" t="s">
        <v>477</v>
      </c>
      <c r="C8" s="1">
        <v>49.4</v>
      </c>
      <c r="H8" s="1">
        <v>49.4</v>
      </c>
    </row>
    <row r="9">
      <c r="A9" s="1" t="s">
        <v>478</v>
      </c>
      <c r="C9" s="1">
        <v>12.6</v>
      </c>
      <c r="E9" s="1">
        <v>12.6</v>
      </c>
    </row>
    <row r="10">
      <c r="A10" s="1" t="s">
        <v>479</v>
      </c>
      <c r="C10" s="1">
        <v>28.0</v>
      </c>
      <c r="H10" s="1">
        <v>28.0</v>
      </c>
    </row>
    <row r="11">
      <c r="A11" s="1" t="s">
        <v>480</v>
      </c>
      <c r="C11" s="1">
        <v>57.0</v>
      </c>
      <c r="H11" s="1">
        <v>57.0</v>
      </c>
    </row>
    <row r="12">
      <c r="A12" s="1" t="s">
        <v>481</v>
      </c>
      <c r="C12" s="1">
        <v>77.0</v>
      </c>
      <c r="H12" s="1">
        <v>77.0</v>
      </c>
    </row>
    <row r="15">
      <c r="B15" s="1" t="s">
        <v>482</v>
      </c>
      <c r="D15" s="4">
        <f t="shared" ref="D15:H15" si="1">sum(D2:D14)</f>
        <v>40</v>
      </c>
      <c r="E15" s="4">
        <f t="shared" si="1"/>
        <v>64.2</v>
      </c>
      <c r="F15" s="4">
        <f t="shared" si="1"/>
        <v>0</v>
      </c>
      <c r="G15" s="4">
        <f t="shared" si="1"/>
        <v>0</v>
      </c>
      <c r="H15" s="4">
        <f t="shared" si="1"/>
        <v>545.4</v>
      </c>
    </row>
    <row r="21">
      <c r="A21" s="18"/>
      <c r="E21" s="4">
        <f>8716.3-8402.26</f>
        <v>314.04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7.25"/>
    <col customWidth="1" min="8" max="8" width="14.38"/>
  </cols>
  <sheetData>
    <row r="1">
      <c r="A1" s="14" t="s">
        <v>0</v>
      </c>
      <c r="B1" s="14" t="s">
        <v>1</v>
      </c>
      <c r="C1" s="14" t="s">
        <v>2</v>
      </c>
      <c r="D1" s="14" t="s">
        <v>4</v>
      </c>
      <c r="E1" s="14" t="s">
        <v>5</v>
      </c>
      <c r="F1" s="14" t="s">
        <v>52</v>
      </c>
      <c r="G1" s="14" t="s">
        <v>433</v>
      </c>
      <c r="H1" s="14" t="s">
        <v>8</v>
      </c>
      <c r="I1" s="14" t="s">
        <v>250</v>
      </c>
      <c r="J1" s="14" t="s">
        <v>446</v>
      </c>
    </row>
    <row r="2">
      <c r="A2" s="1" t="s">
        <v>483</v>
      </c>
      <c r="C2" s="1">
        <v>7.0</v>
      </c>
      <c r="E2" s="1">
        <v>7.0</v>
      </c>
    </row>
    <row r="3">
      <c r="A3" s="1" t="s">
        <v>484</v>
      </c>
      <c r="C3" s="1">
        <v>48.0</v>
      </c>
      <c r="H3" s="1">
        <v>48.0</v>
      </c>
    </row>
    <row r="4">
      <c r="A4" s="1" t="s">
        <v>161</v>
      </c>
      <c r="C4" s="1">
        <v>19.0</v>
      </c>
      <c r="H4" s="1">
        <v>19.0</v>
      </c>
    </row>
    <row r="5">
      <c r="A5" s="1" t="s">
        <v>485</v>
      </c>
      <c r="C5" s="1">
        <v>12.0</v>
      </c>
      <c r="E5" s="1">
        <v>12.0</v>
      </c>
    </row>
    <row r="6">
      <c r="A6" s="1" t="s">
        <v>486</v>
      </c>
      <c r="C6" s="1">
        <v>135.5</v>
      </c>
      <c r="E6" s="1">
        <f>135.5-64</f>
        <v>71.5</v>
      </c>
    </row>
    <row r="7">
      <c r="A7" s="1" t="s">
        <v>487</v>
      </c>
      <c r="C7" s="1">
        <v>145.5</v>
      </c>
      <c r="H7" s="1">
        <v>145.5</v>
      </c>
    </row>
    <row r="8">
      <c r="A8" s="19" t="s">
        <v>488</v>
      </c>
      <c r="B8" s="20"/>
      <c r="C8" s="19">
        <v>73.8</v>
      </c>
    </row>
    <row r="9">
      <c r="A9" s="1" t="s">
        <v>489</v>
      </c>
      <c r="C9" s="1">
        <v>21.0</v>
      </c>
      <c r="E9" s="1">
        <v>21.0</v>
      </c>
    </row>
    <row r="10">
      <c r="A10" s="1" t="s">
        <v>490</v>
      </c>
      <c r="C10" s="1">
        <v>34.1</v>
      </c>
      <c r="G10" s="1">
        <v>34.1</v>
      </c>
    </row>
    <row r="11">
      <c r="A11" s="1" t="s">
        <v>491</v>
      </c>
      <c r="C11" s="1">
        <v>53.9</v>
      </c>
      <c r="E11" s="1">
        <v>53.9</v>
      </c>
    </row>
    <row r="12">
      <c r="A12" s="1" t="s">
        <v>492</v>
      </c>
      <c r="C12" s="1">
        <v>26.9</v>
      </c>
      <c r="E12" s="1">
        <v>26.9</v>
      </c>
    </row>
    <row r="13">
      <c r="A13" s="19" t="s">
        <v>493</v>
      </c>
      <c r="B13" s="20"/>
      <c r="C13" s="19">
        <v>403.6</v>
      </c>
    </row>
    <row r="17">
      <c r="C17" s="1" t="s">
        <v>494</v>
      </c>
      <c r="D17" s="4">
        <f t="shared" ref="D17:J17" si="1">SUM(D2:D14)</f>
        <v>0</v>
      </c>
      <c r="E17" s="4">
        <f t="shared" si="1"/>
        <v>192.3</v>
      </c>
      <c r="F17" s="4">
        <f t="shared" si="1"/>
        <v>0</v>
      </c>
      <c r="G17" s="4">
        <f t="shared" si="1"/>
        <v>34.1</v>
      </c>
      <c r="H17" s="4">
        <f t="shared" si="1"/>
        <v>212.5</v>
      </c>
      <c r="I17" s="4">
        <f t="shared" si="1"/>
        <v>0</v>
      </c>
      <c r="J17" s="4">
        <f t="shared" si="1"/>
        <v>0</v>
      </c>
    </row>
    <row r="18">
      <c r="E18" s="4">
        <f>E17+11.05</f>
        <v>203.35</v>
      </c>
      <c r="H18" s="4">
        <f>H17-11.05</f>
        <v>201.45</v>
      </c>
    </row>
    <row r="21">
      <c r="A21" s="18"/>
    </row>
    <row r="25">
      <c r="H25" s="1" t="s">
        <v>54</v>
      </c>
      <c r="I25" s="1">
        <v>1561.54</v>
      </c>
    </row>
    <row r="26">
      <c r="H26" s="1" t="s">
        <v>495</v>
      </c>
      <c r="I26" s="1">
        <v>756.0</v>
      </c>
    </row>
    <row r="27">
      <c r="H27" s="1" t="s">
        <v>496</v>
      </c>
      <c r="I27" s="1">
        <v>1010.71</v>
      </c>
    </row>
    <row r="28">
      <c r="H28" s="1" t="s">
        <v>497</v>
      </c>
      <c r="I28" s="1">
        <v>400.0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8.88"/>
    <col customWidth="1" min="2" max="2" width="27.25"/>
    <col customWidth="1" min="9" max="9" width="14.38"/>
  </cols>
  <sheetData>
    <row r="1">
      <c r="A1" s="14" t="s">
        <v>498</v>
      </c>
      <c r="B1" s="14" t="s">
        <v>0</v>
      </c>
      <c r="C1" s="14" t="s">
        <v>1</v>
      </c>
      <c r="D1" s="14" t="s">
        <v>2</v>
      </c>
      <c r="E1" s="14" t="s">
        <v>4</v>
      </c>
      <c r="F1" s="14" t="s">
        <v>5</v>
      </c>
      <c r="G1" s="14" t="s">
        <v>52</v>
      </c>
      <c r="H1" s="14" t="s">
        <v>433</v>
      </c>
      <c r="I1" s="14" t="s">
        <v>8</v>
      </c>
      <c r="J1" s="14" t="s">
        <v>250</v>
      </c>
      <c r="K1" s="14" t="s">
        <v>497</v>
      </c>
    </row>
    <row r="2">
      <c r="A2" s="21">
        <v>45580.0</v>
      </c>
      <c r="B2" s="1" t="s">
        <v>163</v>
      </c>
      <c r="C2" s="1" t="s">
        <v>22</v>
      </c>
      <c r="D2" s="1">
        <v>119.12</v>
      </c>
      <c r="E2" s="1">
        <v>119.12</v>
      </c>
    </row>
    <row r="3">
      <c r="A3" s="21">
        <v>45580.0</v>
      </c>
      <c r="B3" s="1" t="s">
        <v>499</v>
      </c>
      <c r="D3" s="1">
        <v>959.0</v>
      </c>
      <c r="J3" s="1">
        <v>959.0</v>
      </c>
    </row>
    <row r="4">
      <c r="A4" s="21">
        <v>45581.0</v>
      </c>
      <c r="B4" s="1" t="s">
        <v>500</v>
      </c>
      <c r="D4" s="1">
        <v>49.9</v>
      </c>
      <c r="F4" s="1">
        <v>49.9</v>
      </c>
    </row>
    <row r="5">
      <c r="A5" s="21">
        <v>45581.0</v>
      </c>
      <c r="B5" s="1" t="s">
        <v>100</v>
      </c>
      <c r="D5" s="1">
        <v>59.9</v>
      </c>
      <c r="F5" s="1">
        <v>59.9</v>
      </c>
    </row>
    <row r="6">
      <c r="A6" s="21">
        <v>45581.0</v>
      </c>
      <c r="B6" s="1" t="s">
        <v>501</v>
      </c>
      <c r="D6" s="1">
        <v>5.0</v>
      </c>
      <c r="K6" s="1">
        <v>5.0</v>
      </c>
    </row>
    <row r="7">
      <c r="A7" s="21">
        <v>45583.0</v>
      </c>
      <c r="B7" s="1" t="s">
        <v>502</v>
      </c>
      <c r="D7" s="1">
        <v>6.0</v>
      </c>
      <c r="K7" s="1">
        <v>6.0</v>
      </c>
    </row>
    <row r="8">
      <c r="A8" s="21">
        <v>45585.0</v>
      </c>
      <c r="B8" s="1" t="s">
        <v>503</v>
      </c>
      <c r="D8" s="1">
        <v>24.0</v>
      </c>
      <c r="I8" s="1">
        <v>24.0</v>
      </c>
    </row>
    <row r="9">
      <c r="A9" s="21">
        <v>45585.0</v>
      </c>
      <c r="B9" s="1" t="s">
        <v>504</v>
      </c>
      <c r="D9" s="1">
        <v>152.39</v>
      </c>
      <c r="F9" s="1">
        <v>152.39</v>
      </c>
    </row>
    <row r="10">
      <c r="A10" s="21">
        <v>45588.0</v>
      </c>
      <c r="B10" s="1" t="s">
        <v>505</v>
      </c>
      <c r="D10" s="1">
        <v>156.0</v>
      </c>
      <c r="F10" s="1">
        <v>156.0</v>
      </c>
    </row>
    <row r="11">
      <c r="A11" s="21">
        <v>45590.0</v>
      </c>
      <c r="B11" s="1" t="s">
        <v>506</v>
      </c>
      <c r="D11" s="1">
        <v>21.9</v>
      </c>
      <c r="I11" s="1">
        <v>21.9</v>
      </c>
    </row>
    <row r="12">
      <c r="B12" s="1" t="s">
        <v>507</v>
      </c>
      <c r="D12" s="1">
        <v>61.89</v>
      </c>
      <c r="I12" s="1">
        <v>61.89</v>
      </c>
    </row>
    <row r="13">
      <c r="D13" s="22">
        <v>280.0</v>
      </c>
    </row>
    <row r="15">
      <c r="B15" s="1" t="s">
        <v>508</v>
      </c>
      <c r="D15" s="1">
        <v>48.5</v>
      </c>
      <c r="E15" s="1">
        <v>48.5</v>
      </c>
    </row>
    <row r="16">
      <c r="A16" s="23"/>
      <c r="B16" s="23"/>
      <c r="C16" s="23"/>
      <c r="D16" s="23"/>
    </row>
    <row r="17">
      <c r="B17" s="2" t="s">
        <v>509</v>
      </c>
      <c r="C17" s="3"/>
      <c r="D17" s="2">
        <v>80.0</v>
      </c>
    </row>
    <row r="18">
      <c r="B18" s="1" t="s">
        <v>510</v>
      </c>
      <c r="D18" s="1">
        <v>35.8</v>
      </c>
      <c r="E18" s="1">
        <v>35.8</v>
      </c>
    </row>
    <row r="19">
      <c r="B19" s="1" t="s">
        <v>511</v>
      </c>
      <c r="D19" s="1">
        <v>15.5</v>
      </c>
      <c r="H19" s="1">
        <v>15.5</v>
      </c>
    </row>
    <row r="20">
      <c r="B20" s="2" t="s">
        <v>512</v>
      </c>
      <c r="C20" s="3"/>
      <c r="D20" s="2">
        <v>50.0</v>
      </c>
    </row>
    <row r="21">
      <c r="A21" s="18"/>
      <c r="B21" s="24" t="s">
        <v>513</v>
      </c>
      <c r="C21" s="3"/>
      <c r="D21" s="2">
        <v>80.0</v>
      </c>
    </row>
    <row r="22">
      <c r="B22" s="1" t="s">
        <v>514</v>
      </c>
      <c r="D22" s="1">
        <v>5.0</v>
      </c>
      <c r="E22" s="1">
        <v>5.0</v>
      </c>
    </row>
    <row r="24">
      <c r="C24" s="1" t="s">
        <v>515</v>
      </c>
      <c r="E24" s="3">
        <f t="shared" ref="E24:K24" si="1">SUM(E2:E23)</f>
        <v>208.42</v>
      </c>
      <c r="F24" s="4">
        <f t="shared" si="1"/>
        <v>418.19</v>
      </c>
      <c r="G24" s="4">
        <f t="shared" si="1"/>
        <v>0</v>
      </c>
      <c r="H24" s="4">
        <f t="shared" si="1"/>
        <v>15.5</v>
      </c>
      <c r="I24" s="3">
        <f t="shared" si="1"/>
        <v>107.79</v>
      </c>
      <c r="J24" s="4">
        <f t="shared" si="1"/>
        <v>959</v>
      </c>
      <c r="K24" s="3">
        <f t="shared" si="1"/>
        <v>11</v>
      </c>
    </row>
    <row r="26">
      <c r="E26" s="1">
        <v>113.3</v>
      </c>
    </row>
    <row r="34">
      <c r="F34" s="4">
        <f>609.38+418.19-520.86</f>
        <v>506.71</v>
      </c>
    </row>
    <row r="35">
      <c r="F35" s="4">
        <f>209.59-164.29-11</f>
        <v>34.3</v>
      </c>
    </row>
    <row r="36">
      <c r="F36" s="4">
        <f>575.36-113.3-208.42</f>
        <v>253.64</v>
      </c>
    </row>
    <row r="37">
      <c r="F37" s="4">
        <f>119.85-107.79</f>
        <v>12.06</v>
      </c>
    </row>
    <row r="39">
      <c r="F39" s="4">
        <f>34.3+253.64+12.06</f>
        <v>300</v>
      </c>
    </row>
    <row r="41">
      <c r="G41" s="4">
        <f>506.71-300</f>
        <v>206.71</v>
      </c>
      <c r="H41" s="4">
        <f>402.67+G41</f>
        <v>609.38</v>
      </c>
    </row>
    <row r="42">
      <c r="G42" s="4">
        <f>G41+64</f>
        <v>270.71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8.88"/>
    <col customWidth="1" min="2" max="2" width="27.25"/>
    <col customWidth="1" min="3" max="3" width="8.13"/>
    <col customWidth="1" min="6" max="6" width="13.75"/>
    <col customWidth="1" min="9" max="9" width="14.38"/>
  </cols>
  <sheetData>
    <row r="1">
      <c r="A1" s="14" t="s">
        <v>498</v>
      </c>
      <c r="B1" s="14" t="s">
        <v>0</v>
      </c>
      <c r="C1" s="14" t="s">
        <v>1</v>
      </c>
      <c r="D1" s="14" t="s">
        <v>2</v>
      </c>
      <c r="E1" s="14" t="s">
        <v>4</v>
      </c>
      <c r="F1" s="14" t="s">
        <v>5</v>
      </c>
      <c r="G1" s="14" t="s">
        <v>52</v>
      </c>
      <c r="H1" s="14" t="s">
        <v>433</v>
      </c>
      <c r="I1" s="14" t="s">
        <v>8</v>
      </c>
      <c r="J1" s="14" t="s">
        <v>250</v>
      </c>
      <c r="K1" s="14" t="s">
        <v>497</v>
      </c>
      <c r="L1" s="14" t="s">
        <v>516</v>
      </c>
      <c r="M1" s="14" t="s">
        <v>517</v>
      </c>
    </row>
    <row r="2">
      <c r="A2" s="21">
        <v>45596.0</v>
      </c>
      <c r="B2" s="1" t="s">
        <v>518</v>
      </c>
      <c r="D2" s="1">
        <v>912.0</v>
      </c>
    </row>
    <row r="3">
      <c r="A3" s="21">
        <v>45604.0</v>
      </c>
      <c r="B3" s="1" t="s">
        <v>519</v>
      </c>
      <c r="D3" s="1">
        <v>28.7</v>
      </c>
      <c r="E3" s="1">
        <v>28.7</v>
      </c>
    </row>
    <row r="4">
      <c r="A4" s="21">
        <v>45605.0</v>
      </c>
      <c r="B4" s="1" t="s">
        <v>155</v>
      </c>
      <c r="D4" s="1">
        <v>235.0</v>
      </c>
      <c r="F4" s="1">
        <v>235.0</v>
      </c>
    </row>
    <row r="5">
      <c r="A5" s="21"/>
      <c r="B5" s="1" t="s">
        <v>520</v>
      </c>
      <c r="D5" s="1">
        <v>56.0</v>
      </c>
      <c r="I5" s="1">
        <v>56.0</v>
      </c>
    </row>
    <row r="6">
      <c r="A6" s="21"/>
      <c r="B6" s="1" t="s">
        <v>521</v>
      </c>
      <c r="D6" s="1">
        <v>77.5</v>
      </c>
      <c r="I6" s="1">
        <v>77.5</v>
      </c>
    </row>
    <row r="7">
      <c r="A7" s="21"/>
      <c r="B7" s="1" t="s">
        <v>522</v>
      </c>
      <c r="D7" s="1">
        <v>18.9</v>
      </c>
      <c r="F7" s="1">
        <v>18.9</v>
      </c>
    </row>
    <row r="8">
      <c r="A8" s="21"/>
      <c r="B8" s="1" t="s">
        <v>523</v>
      </c>
      <c r="D8" s="1">
        <v>160.8</v>
      </c>
      <c r="F8" s="1">
        <v>160.8</v>
      </c>
    </row>
    <row r="9">
      <c r="A9" s="21"/>
      <c r="B9" s="1" t="s">
        <v>524</v>
      </c>
      <c r="D9" s="1">
        <v>48.5</v>
      </c>
      <c r="F9" s="1">
        <v>48.5</v>
      </c>
    </row>
    <row r="10">
      <c r="A10" s="21">
        <v>45598.0</v>
      </c>
      <c r="B10" s="1" t="s">
        <v>525</v>
      </c>
      <c r="D10" s="1">
        <v>25.6</v>
      </c>
      <c r="I10" s="1">
        <v>25.6</v>
      </c>
    </row>
    <row r="11">
      <c r="A11" s="21">
        <v>45600.0</v>
      </c>
      <c r="B11" s="1" t="s">
        <v>526</v>
      </c>
      <c r="D11" s="1">
        <v>17.8</v>
      </c>
      <c r="I11" s="1">
        <v>17.8</v>
      </c>
    </row>
    <row r="12">
      <c r="A12" s="25">
        <v>45613.0</v>
      </c>
      <c r="B12" s="1" t="s">
        <v>527</v>
      </c>
      <c r="D12" s="1">
        <v>6.0</v>
      </c>
      <c r="I12" s="1">
        <v>6.0</v>
      </c>
    </row>
    <row r="13">
      <c r="A13" s="25">
        <v>45613.0</v>
      </c>
      <c r="B13" s="1" t="s">
        <v>528</v>
      </c>
      <c r="D13" s="1">
        <v>112.0</v>
      </c>
      <c r="F13" s="1">
        <v>112.0</v>
      </c>
    </row>
    <row r="14">
      <c r="A14" s="25">
        <v>45609.0</v>
      </c>
      <c r="B14" s="1" t="s">
        <v>529</v>
      </c>
      <c r="D14" s="1">
        <v>100.0</v>
      </c>
      <c r="I14" s="1">
        <v>100.0</v>
      </c>
    </row>
    <row r="15">
      <c r="A15" s="25">
        <v>45613.0</v>
      </c>
      <c r="B15" s="1" t="s">
        <v>530</v>
      </c>
      <c r="D15" s="1">
        <v>24.7</v>
      </c>
      <c r="L15" s="1">
        <v>24.7</v>
      </c>
    </row>
    <row r="16">
      <c r="A16" s="25">
        <v>45613.0</v>
      </c>
      <c r="B16" s="1" t="s">
        <v>531</v>
      </c>
      <c r="D16" s="1">
        <v>14.0</v>
      </c>
      <c r="I16" s="1">
        <v>14.0</v>
      </c>
    </row>
    <row r="17">
      <c r="A17" s="25">
        <v>45613.0</v>
      </c>
      <c r="B17" s="1" t="s">
        <v>114</v>
      </c>
      <c r="C17" s="3"/>
      <c r="D17" s="1">
        <v>48.0</v>
      </c>
      <c r="F17" s="1">
        <v>48.0</v>
      </c>
    </row>
    <row r="18">
      <c r="A18" s="25">
        <v>45613.0</v>
      </c>
      <c r="B18" s="1" t="s">
        <v>114</v>
      </c>
      <c r="D18" s="1">
        <v>19.0</v>
      </c>
      <c r="F18" s="1">
        <v>19.0</v>
      </c>
    </row>
    <row r="19">
      <c r="A19" s="25">
        <v>45612.0</v>
      </c>
      <c r="B19" s="1" t="s">
        <v>532</v>
      </c>
      <c r="D19" s="1">
        <v>20.0</v>
      </c>
      <c r="F19" s="1">
        <v>20.0</v>
      </c>
    </row>
    <row r="20">
      <c r="A20" s="25">
        <v>45612.0</v>
      </c>
      <c r="B20" s="1" t="s">
        <v>533</v>
      </c>
      <c r="D20" s="1">
        <v>5.8</v>
      </c>
      <c r="E20" s="1">
        <v>5.8</v>
      </c>
    </row>
    <row r="21">
      <c r="A21" s="26">
        <v>45612.0</v>
      </c>
      <c r="B21" s="1" t="s">
        <v>534</v>
      </c>
      <c r="D21" s="1">
        <f>2.39+92.1</f>
        <v>94.49</v>
      </c>
      <c r="F21" s="1">
        <f>2.39+92.1</f>
        <v>94.49</v>
      </c>
    </row>
    <row r="22">
      <c r="A22" s="25">
        <v>45611.0</v>
      </c>
      <c r="B22" s="1" t="s">
        <v>535</v>
      </c>
      <c r="D22" s="1">
        <v>150.0</v>
      </c>
      <c r="I22" s="1">
        <v>150.0</v>
      </c>
    </row>
    <row r="23">
      <c r="A23" s="25">
        <v>45610.0</v>
      </c>
      <c r="B23" s="1" t="s">
        <v>536</v>
      </c>
      <c r="D23" s="1">
        <v>33.0</v>
      </c>
      <c r="F23" s="1">
        <v>33.0</v>
      </c>
    </row>
    <row r="24">
      <c r="A24" s="25">
        <v>45609.0</v>
      </c>
      <c r="B24" s="1" t="s">
        <v>537</v>
      </c>
      <c r="D24" s="1">
        <v>27.5</v>
      </c>
      <c r="E24" s="1">
        <v>27.5</v>
      </c>
      <c r="I24" s="3"/>
      <c r="K24" s="3"/>
    </row>
    <row r="25">
      <c r="A25" s="25">
        <v>45609.0</v>
      </c>
      <c r="B25" s="1" t="s">
        <v>538</v>
      </c>
      <c r="D25" s="1">
        <v>13.3</v>
      </c>
      <c r="E25" s="1">
        <v>13.3</v>
      </c>
    </row>
    <row r="26">
      <c r="A26" s="25">
        <v>45614.0</v>
      </c>
      <c r="B26" s="1" t="s">
        <v>499</v>
      </c>
      <c r="D26" s="1">
        <v>1049.0</v>
      </c>
      <c r="M26" s="1">
        <v>1049.0</v>
      </c>
    </row>
    <row r="27">
      <c r="A27" s="27">
        <v>45614.0</v>
      </c>
      <c r="B27" s="28" t="s">
        <v>539</v>
      </c>
      <c r="C27" s="29"/>
      <c r="D27" s="28">
        <v>28.0</v>
      </c>
      <c r="E27" s="29"/>
      <c r="F27" s="28">
        <v>28.0</v>
      </c>
      <c r="G27" s="29"/>
      <c r="H27" s="29"/>
      <c r="I27" s="29"/>
      <c r="J27" s="29"/>
      <c r="K27" s="29"/>
      <c r="L27" s="29"/>
      <c r="M27" s="29"/>
    </row>
    <row r="28">
      <c r="B28" s="1"/>
      <c r="D28" s="1"/>
    </row>
    <row r="29">
      <c r="B29" s="1"/>
      <c r="D29" s="1"/>
    </row>
    <row r="30">
      <c r="B30" s="1">
        <f>2111.39+162+1</f>
        <v>2274.39</v>
      </c>
      <c r="D30" s="1"/>
    </row>
    <row r="31">
      <c r="B31" s="1"/>
      <c r="D31" s="1"/>
      <c r="E31" s="4">
        <f t="shared" ref="E31:M31" si="1">SUM(E2:E30)</f>
        <v>75.3</v>
      </c>
      <c r="F31" s="4">
        <f t="shared" si="1"/>
        <v>817.69</v>
      </c>
      <c r="G31" s="4">
        <f t="shared" si="1"/>
        <v>0</v>
      </c>
      <c r="H31" s="4">
        <f t="shared" si="1"/>
        <v>0</v>
      </c>
      <c r="I31" s="4">
        <f t="shared" si="1"/>
        <v>446.9</v>
      </c>
      <c r="J31" s="4">
        <f t="shared" si="1"/>
        <v>0</v>
      </c>
      <c r="K31" s="4">
        <f t="shared" si="1"/>
        <v>0</v>
      </c>
      <c r="L31" s="4">
        <f t="shared" si="1"/>
        <v>24.7</v>
      </c>
      <c r="M31" s="4">
        <f t="shared" si="1"/>
        <v>1049</v>
      </c>
    </row>
    <row r="33">
      <c r="H33" s="1" t="s">
        <v>469</v>
      </c>
      <c r="I33" s="4">
        <f>I14</f>
        <v>100</v>
      </c>
    </row>
    <row r="34">
      <c r="B34" s="1" t="s">
        <v>86</v>
      </c>
      <c r="C34" s="1">
        <v>5000.08</v>
      </c>
      <c r="H34" s="1" t="s">
        <v>540</v>
      </c>
      <c r="I34" s="4">
        <f>I5+I6+I10+I11+I12+I16</f>
        <v>196.9</v>
      </c>
    </row>
    <row r="35">
      <c r="B35" s="1" t="s">
        <v>540</v>
      </c>
      <c r="H35" s="1" t="s">
        <v>541</v>
      </c>
      <c r="I35" s="1">
        <v>150.0</v>
      </c>
    </row>
    <row r="36">
      <c r="B36" s="30" t="s">
        <v>542</v>
      </c>
      <c r="C36" s="1">
        <v>150.0</v>
      </c>
    </row>
    <row r="37">
      <c r="B37" s="30" t="s">
        <v>543</v>
      </c>
      <c r="C37" s="1">
        <v>150.0</v>
      </c>
    </row>
    <row r="38">
      <c r="B38" s="30" t="s">
        <v>469</v>
      </c>
      <c r="C38" s="1">
        <v>160.0</v>
      </c>
    </row>
    <row r="39">
      <c r="B39" s="30" t="s">
        <v>540</v>
      </c>
      <c r="C39" s="1">
        <f>400-21.05</f>
        <v>378.95</v>
      </c>
    </row>
    <row r="40">
      <c r="B40" s="1" t="s">
        <v>54</v>
      </c>
    </row>
    <row r="41">
      <c r="B41" s="30" t="s">
        <v>544</v>
      </c>
      <c r="C41" s="1">
        <v>150.0</v>
      </c>
    </row>
    <row r="42">
      <c r="B42" s="30" t="s">
        <v>545</v>
      </c>
      <c r="C42" s="1">
        <f>925.35-49</f>
        <v>876.35</v>
      </c>
    </row>
    <row r="43">
      <c r="B43" s="30" t="s">
        <v>546</v>
      </c>
      <c r="C43" s="1">
        <v>410.0</v>
      </c>
    </row>
    <row r="44">
      <c r="B44" s="30" t="s">
        <v>547</v>
      </c>
      <c r="C44" s="1">
        <v>100.0</v>
      </c>
    </row>
    <row r="45">
      <c r="B45" s="1" t="s">
        <v>548</v>
      </c>
      <c r="C45" s="1">
        <v>46379.9</v>
      </c>
    </row>
    <row r="46">
      <c r="B46" s="1" t="s">
        <v>496</v>
      </c>
      <c r="C46" s="1">
        <v>831.72</v>
      </c>
    </row>
    <row r="47">
      <c r="B47" s="1" t="s">
        <v>497</v>
      </c>
      <c r="C47" s="1">
        <v>191.05</v>
      </c>
    </row>
    <row r="52">
      <c r="F52" s="1" t="s">
        <v>86</v>
      </c>
      <c r="G52" s="1">
        <v>5000.0</v>
      </c>
    </row>
    <row r="53">
      <c r="F53" s="1" t="s">
        <v>549</v>
      </c>
      <c r="G53" s="1">
        <v>860.0</v>
      </c>
    </row>
    <row r="54">
      <c r="F54" s="1" t="s">
        <v>4</v>
      </c>
      <c r="G54" s="1">
        <v>1952.75</v>
      </c>
    </row>
    <row r="55">
      <c r="F55" s="1" t="s">
        <v>250</v>
      </c>
      <c r="G55" s="1">
        <v>46379.9</v>
      </c>
    </row>
    <row r="56">
      <c r="F56" s="1" t="s">
        <v>5</v>
      </c>
      <c r="G56" s="1">
        <v>1111.72</v>
      </c>
    </row>
    <row r="57">
      <c r="F57" s="1" t="s">
        <v>497</v>
      </c>
      <c r="G57" s="1">
        <v>220.0</v>
      </c>
    </row>
    <row r="62">
      <c r="F62" s="1" t="s">
        <v>550</v>
      </c>
      <c r="G62" s="1">
        <v>39.8</v>
      </c>
    </row>
    <row r="63">
      <c r="F63" s="1" t="s">
        <v>551</v>
      </c>
      <c r="G63" s="1">
        <v>21.9</v>
      </c>
    </row>
    <row r="64">
      <c r="F64" s="1" t="s">
        <v>551</v>
      </c>
      <c r="G64" s="1">
        <v>21.9</v>
      </c>
    </row>
    <row r="65">
      <c r="F65" s="1" t="s">
        <v>552</v>
      </c>
      <c r="G65" s="1">
        <v>16.0</v>
      </c>
    </row>
    <row r="67">
      <c r="G67" s="1">
        <f>616.41-99.6</f>
        <v>516.81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8.88"/>
    <col customWidth="1" min="2" max="2" width="27.25"/>
    <col customWidth="1" min="3" max="3" width="8.13"/>
    <col customWidth="1" min="6" max="6" width="13.75"/>
    <col customWidth="1" min="9" max="9" width="14.38"/>
  </cols>
  <sheetData>
    <row r="1">
      <c r="A1" s="14" t="s">
        <v>498</v>
      </c>
      <c r="B1" s="14" t="s">
        <v>0</v>
      </c>
      <c r="C1" s="14" t="s">
        <v>1</v>
      </c>
      <c r="D1" s="14" t="s">
        <v>2</v>
      </c>
      <c r="E1" s="14" t="s">
        <v>4</v>
      </c>
      <c r="F1" s="14" t="s">
        <v>5</v>
      </c>
      <c r="G1" s="14" t="s">
        <v>553</v>
      </c>
      <c r="H1" s="14" t="s">
        <v>52</v>
      </c>
      <c r="I1" s="14" t="s">
        <v>8</v>
      </c>
      <c r="J1" s="14" t="s">
        <v>250</v>
      </c>
      <c r="K1" s="14" t="s">
        <v>497</v>
      </c>
      <c r="L1" s="14" t="s">
        <v>516</v>
      </c>
      <c r="M1" s="14" t="s">
        <v>517</v>
      </c>
    </row>
    <row r="2">
      <c r="A2" s="21">
        <v>45616.0</v>
      </c>
      <c r="B2" s="1" t="s">
        <v>554</v>
      </c>
      <c r="D2" s="1">
        <v>0.9</v>
      </c>
      <c r="E2" s="1">
        <v>0.9</v>
      </c>
    </row>
    <row r="3">
      <c r="A3" s="21">
        <v>45619.0</v>
      </c>
      <c r="B3" s="1" t="s">
        <v>555</v>
      </c>
      <c r="D3" s="1">
        <v>10.0</v>
      </c>
      <c r="J3" s="1">
        <v>10.0</v>
      </c>
    </row>
    <row r="4">
      <c r="A4" s="21">
        <v>45619.0</v>
      </c>
      <c r="B4" s="1" t="s">
        <v>357</v>
      </c>
      <c r="D4" s="1">
        <v>40.0</v>
      </c>
      <c r="G4" s="1">
        <v>40.0</v>
      </c>
    </row>
    <row r="5">
      <c r="A5" s="21">
        <v>45620.0</v>
      </c>
      <c r="B5" s="1" t="s">
        <v>556</v>
      </c>
      <c r="D5" s="1">
        <v>19.0</v>
      </c>
      <c r="G5" s="1">
        <v>19.0</v>
      </c>
    </row>
    <row r="6">
      <c r="A6" s="21">
        <v>45622.0</v>
      </c>
      <c r="B6" s="1" t="s">
        <v>469</v>
      </c>
      <c r="D6" s="1">
        <v>80.0</v>
      </c>
      <c r="I6" s="1">
        <v>80.0</v>
      </c>
    </row>
    <row r="7">
      <c r="A7" s="21">
        <v>45623.0</v>
      </c>
      <c r="B7" s="1" t="s">
        <v>557</v>
      </c>
      <c r="D7" s="1">
        <v>1.4</v>
      </c>
      <c r="F7" s="1">
        <v>1.4</v>
      </c>
    </row>
    <row r="8">
      <c r="A8" s="31">
        <v>45624.0</v>
      </c>
      <c r="B8" s="13" t="s">
        <v>558</v>
      </c>
      <c r="C8" s="15"/>
      <c r="D8" s="13">
        <v>88.75</v>
      </c>
      <c r="K8" s="1">
        <v>88.75</v>
      </c>
    </row>
    <row r="9">
      <c r="A9" s="21"/>
    </row>
    <row r="10">
      <c r="A10" s="21">
        <v>45627.0</v>
      </c>
      <c r="B10" s="1" t="s">
        <v>559</v>
      </c>
      <c r="D10" s="1">
        <v>9.9</v>
      </c>
      <c r="F10" s="1">
        <v>9.9</v>
      </c>
    </row>
    <row r="11">
      <c r="A11" s="21">
        <v>45626.0</v>
      </c>
      <c r="B11" s="1" t="s">
        <v>560</v>
      </c>
      <c r="D11" s="1">
        <v>14.1</v>
      </c>
      <c r="G11" s="1">
        <v>14.1</v>
      </c>
    </row>
    <row r="12">
      <c r="A12" s="21">
        <v>45625.0</v>
      </c>
      <c r="B12" s="1" t="s">
        <v>561</v>
      </c>
      <c r="D12" s="1">
        <v>219.9</v>
      </c>
      <c r="J12" s="1">
        <v>219.9</v>
      </c>
    </row>
    <row r="13">
      <c r="A13" s="21"/>
    </row>
    <row r="14">
      <c r="A14" s="21"/>
      <c r="B14" s="1" t="s">
        <v>562</v>
      </c>
      <c r="D14" s="32">
        <v>557.6</v>
      </c>
    </row>
    <row r="15">
      <c r="A15" s="21"/>
      <c r="B15" s="1" t="s">
        <v>563</v>
      </c>
      <c r="D15" s="1">
        <v>351.9</v>
      </c>
      <c r="M15" s="1">
        <v>351.9</v>
      </c>
    </row>
    <row r="16">
      <c r="A16" s="21"/>
      <c r="B16" s="1" t="s">
        <v>486</v>
      </c>
      <c r="D16" s="1">
        <v>78.7</v>
      </c>
      <c r="G16" s="1">
        <v>78.7</v>
      </c>
    </row>
    <row r="17">
      <c r="A17" s="21"/>
      <c r="B17" s="1" t="s">
        <v>564</v>
      </c>
      <c r="D17" s="1">
        <v>18.0</v>
      </c>
      <c r="H17" s="1">
        <v>18.0</v>
      </c>
    </row>
    <row r="18">
      <c r="A18" s="21"/>
      <c r="C18" s="3"/>
    </row>
    <row r="19">
      <c r="A19" s="21"/>
      <c r="B19" s="1" t="s">
        <v>152</v>
      </c>
      <c r="D19" s="1">
        <v>36.9</v>
      </c>
      <c r="G19" s="1">
        <v>36.9</v>
      </c>
    </row>
    <row r="20">
      <c r="A20" s="21"/>
      <c r="B20" s="1" t="s">
        <v>565</v>
      </c>
      <c r="D20" s="1">
        <v>13.0</v>
      </c>
      <c r="G20" s="1">
        <v>13.0</v>
      </c>
    </row>
    <row r="21">
      <c r="A21" s="21"/>
      <c r="B21" s="1" t="s">
        <v>566</v>
      </c>
      <c r="D21" s="1">
        <v>15.7</v>
      </c>
      <c r="G21" s="1">
        <v>15.7</v>
      </c>
    </row>
    <row r="22">
      <c r="A22" s="21"/>
      <c r="B22" s="1" t="s">
        <v>567</v>
      </c>
      <c r="D22" s="1">
        <v>55.0</v>
      </c>
      <c r="G22" s="1">
        <v>55.0</v>
      </c>
    </row>
    <row r="23">
      <c r="A23" s="21"/>
    </row>
    <row r="24">
      <c r="A24" s="21"/>
    </row>
    <row r="25">
      <c r="A25" s="21"/>
      <c r="D25" s="1" t="s">
        <v>568</v>
      </c>
      <c r="E25" s="3">
        <f t="shared" ref="E25:M25" si="1">sum(E2:E24)</f>
        <v>0.9</v>
      </c>
      <c r="F25" s="3">
        <f t="shared" si="1"/>
        <v>11.3</v>
      </c>
      <c r="G25" s="3">
        <f t="shared" si="1"/>
        <v>272.4</v>
      </c>
      <c r="H25" s="20">
        <f t="shared" si="1"/>
        <v>18</v>
      </c>
      <c r="I25" s="3">
        <f t="shared" si="1"/>
        <v>80</v>
      </c>
      <c r="J25" s="33">
        <f t="shared" si="1"/>
        <v>229.9</v>
      </c>
      <c r="K25" s="3">
        <f t="shared" si="1"/>
        <v>88.75</v>
      </c>
      <c r="L25" s="4">
        <f t="shared" si="1"/>
        <v>0</v>
      </c>
      <c r="M25" s="3">
        <f t="shared" si="1"/>
        <v>351.9</v>
      </c>
    </row>
    <row r="26">
      <c r="A26" s="21"/>
    </row>
    <row r="27">
      <c r="A27" s="21"/>
    </row>
    <row r="28">
      <c r="A28" s="21"/>
      <c r="B28" s="1"/>
      <c r="D28" s="1"/>
      <c r="F28" s="1"/>
    </row>
    <row r="29">
      <c r="A29" s="21"/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  <c r="B37" s="30"/>
    </row>
    <row r="38">
      <c r="A38" s="21"/>
      <c r="B38" s="30"/>
    </row>
    <row r="39">
      <c r="A39" s="21"/>
      <c r="B39" s="30"/>
    </row>
    <row r="40">
      <c r="A40" s="21"/>
      <c r="B40" s="30"/>
    </row>
    <row r="41">
      <c r="A41" s="21"/>
    </row>
    <row r="42">
      <c r="A42" s="21"/>
      <c r="B42" s="30"/>
    </row>
    <row r="43">
      <c r="A43" s="21"/>
      <c r="B43" s="30"/>
    </row>
    <row r="44">
      <c r="A44" s="21"/>
      <c r="B44" s="30"/>
    </row>
    <row r="45">
      <c r="A45" s="21"/>
      <c r="B45" s="30"/>
    </row>
    <row r="53">
      <c r="F53" s="1" t="s">
        <v>86</v>
      </c>
      <c r="G53" s="1">
        <v>5500.0</v>
      </c>
    </row>
    <row r="54">
      <c r="F54" s="1" t="s">
        <v>549</v>
      </c>
      <c r="G54" s="1">
        <v>860.0</v>
      </c>
    </row>
    <row r="55">
      <c r="F55" s="1" t="s">
        <v>4</v>
      </c>
      <c r="G55" s="1">
        <v>2020.99</v>
      </c>
    </row>
    <row r="56">
      <c r="F56" s="1" t="s">
        <v>250</v>
      </c>
      <c r="G56" s="1">
        <v>56361.74</v>
      </c>
    </row>
    <row r="57">
      <c r="F57" s="1" t="s">
        <v>5</v>
      </c>
      <c r="G57" s="1">
        <v>1074.28</v>
      </c>
    </row>
    <row r="58">
      <c r="F58" s="1" t="s">
        <v>497</v>
      </c>
      <c r="G58" s="1">
        <v>400.0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8.88"/>
    <col customWidth="1" min="2" max="2" width="27.25"/>
    <col customWidth="1" min="3" max="3" width="8.13"/>
    <col customWidth="1" min="6" max="6" width="13.75"/>
    <col customWidth="1" min="9" max="9" width="14.38"/>
  </cols>
  <sheetData>
    <row r="1">
      <c r="A1" s="14" t="s">
        <v>498</v>
      </c>
      <c r="B1" s="14" t="s">
        <v>0</v>
      </c>
      <c r="C1" s="14" t="s">
        <v>1</v>
      </c>
      <c r="D1" s="14" t="s">
        <v>2</v>
      </c>
      <c r="E1" s="14" t="s">
        <v>4</v>
      </c>
      <c r="F1" s="14" t="s">
        <v>5</v>
      </c>
      <c r="G1" s="14" t="s">
        <v>553</v>
      </c>
      <c r="H1" s="14" t="s">
        <v>52</v>
      </c>
      <c r="I1" s="14" t="s">
        <v>8</v>
      </c>
      <c r="J1" s="14" t="s">
        <v>250</v>
      </c>
      <c r="K1" s="14" t="s">
        <v>497</v>
      </c>
      <c r="L1" s="14" t="s">
        <v>516</v>
      </c>
      <c r="M1" s="14" t="s">
        <v>517</v>
      </c>
    </row>
    <row r="2">
      <c r="A2" s="21">
        <v>45636.0</v>
      </c>
      <c r="B2" s="1" t="s">
        <v>569</v>
      </c>
      <c r="D2" s="1">
        <v>20.0</v>
      </c>
      <c r="F2" s="1">
        <v>20.0</v>
      </c>
    </row>
    <row r="3">
      <c r="A3" s="21">
        <v>45636.0</v>
      </c>
      <c r="B3" s="1" t="s">
        <v>570</v>
      </c>
      <c r="D3" s="1">
        <v>5.0</v>
      </c>
      <c r="F3" s="1">
        <v>5.0</v>
      </c>
    </row>
    <row r="4">
      <c r="A4" s="21">
        <v>45633.0</v>
      </c>
      <c r="B4" s="1" t="s">
        <v>571</v>
      </c>
      <c r="D4" s="1">
        <v>5.0</v>
      </c>
      <c r="F4" s="1">
        <v>5.0</v>
      </c>
    </row>
    <row r="5">
      <c r="A5" s="21">
        <v>45641.0</v>
      </c>
      <c r="B5" s="1" t="s">
        <v>572</v>
      </c>
      <c r="D5" s="1">
        <v>10.0</v>
      </c>
      <c r="F5" s="1">
        <v>10.0</v>
      </c>
    </row>
    <row r="6">
      <c r="A6" s="21"/>
    </row>
    <row r="7">
      <c r="A7" s="21"/>
    </row>
    <row r="8">
      <c r="A8" s="21"/>
    </row>
    <row r="9">
      <c r="A9" s="21"/>
    </row>
    <row r="10">
      <c r="A10" s="21"/>
    </row>
    <row r="11">
      <c r="A11" s="21"/>
    </row>
    <row r="12">
      <c r="A12" s="21"/>
      <c r="B12" s="1" t="s">
        <v>573</v>
      </c>
      <c r="D12" s="1">
        <v>54.4</v>
      </c>
      <c r="F12" s="1">
        <v>54.4</v>
      </c>
    </row>
    <row r="13">
      <c r="A13" s="21">
        <v>45633.0</v>
      </c>
      <c r="B13" s="1" t="s">
        <v>574</v>
      </c>
      <c r="D13" s="1">
        <v>72.8</v>
      </c>
      <c r="F13" s="1">
        <v>72.8</v>
      </c>
    </row>
    <row r="14">
      <c r="A14" s="21">
        <v>45633.0</v>
      </c>
      <c r="B14" s="1" t="s">
        <v>575</v>
      </c>
      <c r="D14" s="1">
        <v>13.0</v>
      </c>
      <c r="F14" s="1">
        <v>13.0</v>
      </c>
    </row>
    <row r="15">
      <c r="A15" s="21">
        <v>45633.0</v>
      </c>
      <c r="B15" s="1" t="s">
        <v>576</v>
      </c>
      <c r="D15" s="1">
        <v>92.22</v>
      </c>
      <c r="K15" s="1">
        <v>92.22</v>
      </c>
    </row>
    <row r="16">
      <c r="A16" s="21">
        <v>45634.0</v>
      </c>
      <c r="B16" s="1" t="s">
        <v>577</v>
      </c>
      <c r="D16" s="1">
        <v>160.0</v>
      </c>
      <c r="F16" s="1">
        <v>160.0</v>
      </c>
    </row>
    <row r="17">
      <c r="A17" s="21">
        <v>45635.0</v>
      </c>
      <c r="B17" s="1" t="s">
        <v>578</v>
      </c>
      <c r="D17" s="1">
        <v>18.63</v>
      </c>
      <c r="E17" s="2">
        <v>18.63</v>
      </c>
      <c r="F17" s="3"/>
      <c r="G17" s="3"/>
      <c r="H17" s="3"/>
      <c r="I17" s="3"/>
      <c r="J17" s="3"/>
      <c r="K17" s="3"/>
      <c r="L17" s="3"/>
    </row>
    <row r="18">
      <c r="A18" s="21">
        <v>45635.0</v>
      </c>
      <c r="B18" s="1" t="s">
        <v>579</v>
      </c>
      <c r="C18" s="3"/>
      <c r="D18" s="1">
        <v>6.29</v>
      </c>
      <c r="E18" s="2">
        <v>6.29</v>
      </c>
      <c r="F18" s="3"/>
      <c r="G18" s="3"/>
      <c r="H18" s="3"/>
      <c r="I18" s="3"/>
      <c r="J18" s="3"/>
      <c r="K18" s="3"/>
      <c r="L18" s="3"/>
    </row>
    <row r="19">
      <c r="A19" s="21">
        <v>45635.0</v>
      </c>
      <c r="B19" s="1" t="s">
        <v>580</v>
      </c>
      <c r="D19" s="1">
        <v>54.39</v>
      </c>
      <c r="E19" s="3"/>
      <c r="F19" s="2">
        <v>54.39</v>
      </c>
      <c r="G19" s="3"/>
      <c r="H19" s="3"/>
      <c r="I19" s="3"/>
      <c r="J19" s="3"/>
      <c r="K19" s="3"/>
      <c r="L19" s="3"/>
    </row>
    <row r="20">
      <c r="A20" s="21">
        <v>45635.0</v>
      </c>
      <c r="B20" s="1" t="s">
        <v>581</v>
      </c>
      <c r="D20" s="1">
        <v>27.7</v>
      </c>
      <c r="E20" s="3"/>
      <c r="F20" s="2">
        <v>27.7</v>
      </c>
      <c r="G20" s="3"/>
      <c r="H20" s="3"/>
      <c r="I20" s="3"/>
      <c r="J20" s="3"/>
      <c r="K20" s="3"/>
      <c r="L20" s="3"/>
    </row>
    <row r="21">
      <c r="A21" s="21">
        <v>45636.0</v>
      </c>
      <c r="B21" s="1" t="s">
        <v>582</v>
      </c>
      <c r="D21" s="1">
        <v>53.8</v>
      </c>
      <c r="E21" s="3"/>
      <c r="F21" s="3"/>
      <c r="G21" s="3"/>
      <c r="H21" s="3"/>
      <c r="I21" s="2">
        <v>53.8</v>
      </c>
      <c r="J21" s="3"/>
      <c r="K21" s="3"/>
      <c r="L21" s="3"/>
    </row>
    <row r="22">
      <c r="A22" s="21">
        <v>45638.0</v>
      </c>
      <c r="B22" s="1" t="s">
        <v>583</v>
      </c>
      <c r="D22" s="1">
        <v>80.0</v>
      </c>
      <c r="E22" s="3"/>
      <c r="F22" s="3"/>
      <c r="G22" s="3"/>
      <c r="H22" s="3"/>
      <c r="I22" s="2">
        <v>80.0</v>
      </c>
      <c r="J22" s="3"/>
      <c r="K22" s="3"/>
      <c r="L22" s="3"/>
    </row>
    <row r="23">
      <c r="A23" s="25">
        <v>45639.0</v>
      </c>
      <c r="B23" s="1" t="s">
        <v>230</v>
      </c>
      <c r="D23" s="1">
        <v>84.0</v>
      </c>
      <c r="E23" s="3"/>
      <c r="F23" s="2">
        <v>84.0</v>
      </c>
      <c r="G23" s="3"/>
      <c r="H23" s="3"/>
      <c r="I23" s="3"/>
      <c r="J23" s="3"/>
      <c r="K23" s="3"/>
      <c r="L23" s="3"/>
    </row>
    <row r="24">
      <c r="A24" s="21">
        <v>45640.0</v>
      </c>
      <c r="B24" s="1" t="s">
        <v>584</v>
      </c>
      <c r="D24" s="1">
        <v>92.22</v>
      </c>
      <c r="E24" s="3"/>
      <c r="F24" s="3"/>
      <c r="G24" s="3"/>
      <c r="H24" s="3"/>
      <c r="I24" s="3"/>
      <c r="J24" s="3"/>
      <c r="K24" s="2">
        <v>92.22</v>
      </c>
      <c r="L24" s="3"/>
    </row>
    <row r="25">
      <c r="A25" s="21">
        <v>45640.0</v>
      </c>
      <c r="B25" s="1" t="s">
        <v>585</v>
      </c>
      <c r="D25" s="1">
        <v>111.61</v>
      </c>
      <c r="E25" s="3"/>
      <c r="F25" s="3"/>
      <c r="G25" s="3"/>
      <c r="H25" s="3"/>
      <c r="I25" s="3"/>
      <c r="J25" s="3"/>
      <c r="K25" s="3"/>
      <c r="L25" s="3"/>
      <c r="M25" s="2">
        <v>111.61</v>
      </c>
    </row>
    <row r="26">
      <c r="A26" s="21">
        <v>45640.0</v>
      </c>
      <c r="B26" s="1" t="s">
        <v>586</v>
      </c>
      <c r="D26" s="1">
        <v>6.6</v>
      </c>
      <c r="E26" s="3"/>
      <c r="F26" s="2">
        <v>6.6</v>
      </c>
      <c r="G26" s="3"/>
      <c r="H26" s="3"/>
      <c r="I26" s="3"/>
      <c r="J26" s="3"/>
      <c r="K26" s="3"/>
      <c r="L26" s="3"/>
      <c r="M26" s="3"/>
    </row>
    <row r="27">
      <c r="A27" s="21">
        <v>45640.0</v>
      </c>
      <c r="B27" s="1" t="s">
        <v>586</v>
      </c>
      <c r="D27" s="1">
        <v>6.6</v>
      </c>
      <c r="E27" s="3"/>
      <c r="F27" s="2">
        <v>6.6</v>
      </c>
      <c r="G27" s="3"/>
      <c r="H27" s="3"/>
      <c r="I27" s="3"/>
      <c r="J27" s="3"/>
      <c r="K27" s="3"/>
      <c r="L27" s="3"/>
      <c r="M27" s="3"/>
    </row>
    <row r="28">
      <c r="A28" s="21">
        <v>45642.0</v>
      </c>
      <c r="B28" s="1" t="s">
        <v>587</v>
      </c>
      <c r="D28" s="1">
        <v>54.4</v>
      </c>
      <c r="E28" s="3"/>
      <c r="F28" s="2">
        <v>54.4</v>
      </c>
      <c r="G28" s="3"/>
      <c r="H28" s="3"/>
      <c r="I28" s="3"/>
      <c r="J28" s="3"/>
      <c r="K28" s="3"/>
      <c r="L28" s="3"/>
      <c r="M28" s="3"/>
    </row>
    <row r="29">
      <c r="A29" s="21"/>
      <c r="B29" s="1" t="s">
        <v>469</v>
      </c>
      <c r="D29" s="1">
        <v>80.0</v>
      </c>
      <c r="E29" s="3"/>
      <c r="F29" s="3"/>
      <c r="G29" s="3"/>
      <c r="H29" s="3"/>
      <c r="I29" s="2">
        <v>80.0</v>
      </c>
      <c r="J29" s="3"/>
      <c r="K29" s="3"/>
      <c r="L29" s="3"/>
      <c r="M29" s="3"/>
    </row>
    <row r="30">
      <c r="A30" s="21"/>
      <c r="B30" s="1" t="s">
        <v>588</v>
      </c>
      <c r="D30" s="1">
        <v>50.0</v>
      </c>
      <c r="E30" s="3"/>
      <c r="F30" s="3"/>
      <c r="G30" s="3"/>
      <c r="H30" s="3"/>
      <c r="I30" s="3"/>
      <c r="J30" s="3"/>
      <c r="K30" s="3"/>
      <c r="L30" s="3"/>
      <c r="M30" s="2">
        <v>50.0</v>
      </c>
    </row>
    <row r="31">
      <c r="A31" s="21"/>
      <c r="B31" s="1" t="s">
        <v>589</v>
      </c>
      <c r="D31" s="1">
        <v>35.0</v>
      </c>
      <c r="E31" s="3"/>
      <c r="F31" s="2">
        <v>35.0</v>
      </c>
      <c r="G31" s="3"/>
      <c r="H31" s="3"/>
      <c r="I31" s="3"/>
      <c r="J31" s="3"/>
      <c r="K31" s="3"/>
      <c r="L31" s="3"/>
      <c r="M31" s="3"/>
    </row>
    <row r="32">
      <c r="A32" s="21"/>
      <c r="E32" s="3"/>
      <c r="F32" s="3"/>
      <c r="G32" s="3"/>
      <c r="H32" s="3"/>
      <c r="I32" s="3"/>
      <c r="J32" s="3"/>
      <c r="K32" s="3"/>
      <c r="L32" s="3"/>
    </row>
    <row r="33">
      <c r="A33" s="21"/>
      <c r="E33" s="3"/>
      <c r="F33" s="3"/>
      <c r="G33" s="3"/>
      <c r="H33" s="3"/>
      <c r="I33" s="3"/>
      <c r="J33" s="3"/>
      <c r="K33" s="3"/>
      <c r="L33" s="3"/>
    </row>
    <row r="34">
      <c r="A34" s="21"/>
      <c r="E34" s="3"/>
      <c r="F34" s="2">
        <v>12501.96</v>
      </c>
      <c r="G34" s="3"/>
      <c r="H34" s="3"/>
      <c r="I34" s="3"/>
      <c r="J34" s="3"/>
      <c r="K34" s="3"/>
      <c r="L34" s="3"/>
    </row>
    <row r="35">
      <c r="A35" s="21"/>
      <c r="E35" s="3"/>
      <c r="F35" s="2">
        <v>-11742.5</v>
      </c>
      <c r="G35" s="3"/>
      <c r="H35" s="3"/>
      <c r="I35" s="3"/>
      <c r="J35" s="3"/>
      <c r="K35" s="3"/>
      <c r="L35" s="3"/>
    </row>
    <row r="36">
      <c r="A36" s="21"/>
      <c r="E36" s="3"/>
      <c r="F36" s="3"/>
      <c r="G36" s="3"/>
      <c r="H36" s="3"/>
      <c r="I36" s="3"/>
      <c r="J36" s="3"/>
      <c r="K36" s="3"/>
      <c r="L36" s="3"/>
    </row>
    <row r="37">
      <c r="A37" s="21"/>
      <c r="B37" s="30"/>
      <c r="E37" s="3"/>
      <c r="F37" s="3"/>
      <c r="G37" s="3"/>
      <c r="H37" s="3"/>
      <c r="I37" s="3"/>
      <c r="J37" s="3"/>
      <c r="K37" s="3"/>
      <c r="L37" s="3"/>
    </row>
    <row r="38">
      <c r="A38" s="21"/>
      <c r="B38" s="30"/>
      <c r="E38" s="3"/>
      <c r="F38" s="3"/>
      <c r="G38" s="3"/>
      <c r="H38" s="3"/>
      <c r="I38" s="3"/>
      <c r="J38" s="3"/>
      <c r="K38" s="3"/>
      <c r="L38" s="3"/>
    </row>
    <row r="39">
      <c r="A39" s="21"/>
      <c r="B39" s="30"/>
    </row>
    <row r="40">
      <c r="A40" s="21"/>
      <c r="B40" s="30"/>
    </row>
    <row r="41">
      <c r="A41" s="21"/>
    </row>
    <row r="42">
      <c r="A42" s="21"/>
      <c r="B42" s="30"/>
    </row>
    <row r="43">
      <c r="A43" s="21"/>
      <c r="B43" s="30"/>
    </row>
    <row r="44">
      <c r="A44" s="21"/>
      <c r="B44" s="30"/>
    </row>
    <row r="45">
      <c r="A45" s="21"/>
      <c r="B45" s="30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8.88"/>
    <col customWidth="1" min="2" max="2" width="27.25"/>
    <col customWidth="1" min="3" max="3" width="8.13"/>
    <col customWidth="1" min="6" max="6" width="13.75"/>
    <col customWidth="1" min="9" max="9" width="14.38"/>
  </cols>
  <sheetData>
    <row r="1">
      <c r="A1" s="14" t="s">
        <v>498</v>
      </c>
      <c r="B1" s="14" t="s">
        <v>0</v>
      </c>
      <c r="C1" s="14" t="s">
        <v>1</v>
      </c>
      <c r="D1" s="14" t="s">
        <v>2</v>
      </c>
      <c r="E1" s="14" t="s">
        <v>4</v>
      </c>
      <c r="F1" s="14" t="s">
        <v>5</v>
      </c>
      <c r="G1" s="14" t="s">
        <v>553</v>
      </c>
      <c r="H1" s="14" t="s">
        <v>52</v>
      </c>
      <c r="I1" s="14" t="s">
        <v>8</v>
      </c>
      <c r="J1" s="14" t="s">
        <v>250</v>
      </c>
      <c r="K1" s="14" t="s">
        <v>497</v>
      </c>
      <c r="L1" s="14" t="s">
        <v>516</v>
      </c>
      <c r="M1" s="14" t="s">
        <v>517</v>
      </c>
    </row>
    <row r="2">
      <c r="A2" s="21">
        <v>45646.0</v>
      </c>
      <c r="B2" s="1" t="s">
        <v>33</v>
      </c>
      <c r="D2" s="1">
        <v>91.98</v>
      </c>
      <c r="F2" s="2">
        <v>91.98</v>
      </c>
      <c r="G2" s="3"/>
      <c r="H2" s="3"/>
      <c r="I2" s="3"/>
      <c r="J2" s="3"/>
      <c r="K2" s="3"/>
      <c r="L2" s="3"/>
      <c r="M2" s="3"/>
      <c r="N2" s="3"/>
    </row>
    <row r="3">
      <c r="A3" s="21">
        <v>45646.0</v>
      </c>
      <c r="B3" s="1" t="s">
        <v>590</v>
      </c>
      <c r="D3" s="1">
        <v>31.6</v>
      </c>
      <c r="F3" s="3"/>
      <c r="G3" s="3"/>
      <c r="H3" s="3"/>
      <c r="I3" s="3"/>
      <c r="J3" s="3"/>
      <c r="K3" s="3"/>
      <c r="L3" s="3"/>
      <c r="M3" s="2">
        <v>31.6</v>
      </c>
      <c r="N3" s="3"/>
    </row>
    <row r="4">
      <c r="A4" s="21">
        <v>45647.0</v>
      </c>
      <c r="B4" s="1" t="s">
        <v>591</v>
      </c>
      <c r="F4" s="2">
        <v>5.0</v>
      </c>
      <c r="G4" s="3"/>
      <c r="H4" s="3"/>
      <c r="I4" s="3"/>
      <c r="J4" s="3"/>
      <c r="K4" s="3"/>
      <c r="L4" s="3"/>
      <c r="M4" s="3"/>
      <c r="N4" s="3"/>
    </row>
    <row r="5">
      <c r="A5" s="21">
        <v>45647.0</v>
      </c>
      <c r="B5" s="1" t="s">
        <v>592</v>
      </c>
      <c r="F5" s="3"/>
      <c r="G5" s="3"/>
      <c r="H5" s="3"/>
      <c r="I5" s="2">
        <v>48.0</v>
      </c>
      <c r="J5" s="3"/>
      <c r="K5" s="3"/>
      <c r="L5" s="3"/>
      <c r="M5" s="3"/>
      <c r="N5" s="3"/>
    </row>
    <row r="6">
      <c r="A6" s="21">
        <v>45647.0</v>
      </c>
      <c r="B6" s="1" t="s">
        <v>593</v>
      </c>
      <c r="F6" s="2">
        <v>3.0</v>
      </c>
      <c r="G6" s="3"/>
      <c r="H6" s="3"/>
      <c r="I6" s="3"/>
      <c r="J6" s="3"/>
      <c r="K6" s="3"/>
      <c r="L6" s="3"/>
      <c r="M6" s="3"/>
      <c r="N6" s="3"/>
    </row>
    <row r="7">
      <c r="A7" s="21">
        <v>45647.0</v>
      </c>
      <c r="B7" s="1" t="s">
        <v>594</v>
      </c>
      <c r="F7" s="2">
        <v>5.0</v>
      </c>
      <c r="G7" s="3"/>
      <c r="H7" s="3"/>
      <c r="I7" s="3"/>
      <c r="J7" s="3"/>
      <c r="K7" s="3"/>
      <c r="L7" s="3"/>
      <c r="M7" s="3"/>
      <c r="N7" s="3"/>
    </row>
    <row r="8">
      <c r="A8" s="21"/>
      <c r="D8" s="1">
        <v>45.0</v>
      </c>
      <c r="F8" s="3"/>
      <c r="G8" s="3"/>
      <c r="H8" s="3"/>
      <c r="I8" s="3"/>
      <c r="J8" s="3"/>
      <c r="K8" s="3"/>
      <c r="L8" s="3"/>
      <c r="M8" s="3"/>
      <c r="N8" s="3"/>
    </row>
    <row r="9">
      <c r="A9" s="21"/>
      <c r="D9" s="1">
        <v>400.0</v>
      </c>
      <c r="F9" s="3"/>
      <c r="G9" s="3"/>
      <c r="H9" s="3"/>
      <c r="I9" s="3"/>
      <c r="J9" s="3"/>
      <c r="K9" s="3"/>
      <c r="L9" s="3"/>
      <c r="M9" s="3"/>
      <c r="N9" s="3"/>
    </row>
    <row r="10">
      <c r="A10" s="21"/>
    </row>
    <row r="11">
      <c r="A11" s="21"/>
    </row>
    <row r="12">
      <c r="A12" s="21"/>
    </row>
    <row r="13">
      <c r="A13" s="21"/>
    </row>
    <row r="14">
      <c r="A14" s="21"/>
    </row>
    <row r="15">
      <c r="A15" s="21"/>
    </row>
    <row r="16">
      <c r="A16" s="21"/>
    </row>
    <row r="17">
      <c r="A17" s="21"/>
      <c r="E17" s="2"/>
      <c r="F17" s="3">
        <f>11882.16-11742.5</f>
        <v>139.66</v>
      </c>
      <c r="G17" s="3"/>
      <c r="H17" s="3"/>
      <c r="I17" s="3"/>
      <c r="J17" s="3"/>
      <c r="K17" s="3"/>
      <c r="L17" s="3"/>
    </row>
    <row r="18">
      <c r="A18" s="21"/>
      <c r="C18" s="3"/>
      <c r="E18" s="2"/>
      <c r="F18" s="3"/>
      <c r="G18" s="3"/>
      <c r="H18" s="3"/>
      <c r="I18" s="3"/>
      <c r="J18" s="3"/>
      <c r="K18" s="3"/>
      <c r="L18" s="3"/>
    </row>
    <row r="19">
      <c r="A19" s="21"/>
      <c r="E19" s="3"/>
      <c r="F19" s="2"/>
      <c r="G19" s="3"/>
      <c r="H19" s="3"/>
      <c r="I19" s="3"/>
      <c r="J19" s="3"/>
      <c r="K19" s="3"/>
      <c r="L19" s="3"/>
    </row>
    <row r="20">
      <c r="A20" s="21"/>
      <c r="E20" s="3"/>
      <c r="F20" s="2"/>
      <c r="G20" s="3"/>
      <c r="H20" s="3"/>
      <c r="I20" s="3"/>
      <c r="J20" s="3"/>
      <c r="K20" s="3"/>
      <c r="L20" s="3"/>
    </row>
    <row r="21">
      <c r="A21" s="21"/>
      <c r="E21" s="3"/>
      <c r="F21" s="3"/>
      <c r="G21" s="3"/>
      <c r="H21" s="3"/>
      <c r="I21" s="2"/>
      <c r="J21" s="3"/>
      <c r="K21" s="3"/>
      <c r="L21" s="3"/>
    </row>
    <row r="22">
      <c r="A22" s="21"/>
      <c r="E22" s="3"/>
      <c r="F22" s="3"/>
      <c r="G22" s="3"/>
      <c r="H22" s="3"/>
      <c r="I22" s="2"/>
      <c r="J22" s="3"/>
      <c r="K22" s="3"/>
      <c r="L22" s="3"/>
    </row>
    <row r="23">
      <c r="A23" s="25"/>
      <c r="E23" s="3"/>
      <c r="F23" s="2"/>
      <c r="G23" s="3"/>
      <c r="H23" s="3"/>
      <c r="I23" s="3"/>
      <c r="J23" s="3"/>
      <c r="K23" s="3"/>
      <c r="L23" s="3"/>
    </row>
    <row r="24">
      <c r="A24" s="21"/>
      <c r="E24" s="3"/>
      <c r="F24" s="3"/>
      <c r="G24" s="3"/>
      <c r="H24" s="3"/>
      <c r="I24" s="3"/>
      <c r="J24" s="3"/>
      <c r="K24" s="2"/>
      <c r="L24" s="3"/>
    </row>
    <row r="25">
      <c r="A25" s="21"/>
      <c r="E25" s="3"/>
      <c r="F25" s="3"/>
      <c r="G25" s="3"/>
      <c r="H25" s="3"/>
      <c r="I25" s="3"/>
      <c r="J25" s="3"/>
      <c r="K25" s="3"/>
      <c r="L25" s="3"/>
      <c r="M25" s="2"/>
    </row>
    <row r="26">
      <c r="A26" s="21"/>
      <c r="E26" s="3"/>
      <c r="F26" s="2"/>
      <c r="G26" s="3"/>
      <c r="H26" s="3"/>
      <c r="I26" s="3"/>
      <c r="J26" s="3"/>
      <c r="K26" s="3"/>
      <c r="L26" s="3"/>
      <c r="M26" s="3"/>
    </row>
    <row r="27">
      <c r="A27" s="21"/>
      <c r="E27" s="3"/>
      <c r="F27" s="2"/>
      <c r="G27" s="3"/>
      <c r="H27" s="3"/>
      <c r="I27" s="3"/>
      <c r="J27" s="3"/>
      <c r="K27" s="3"/>
      <c r="L27" s="3"/>
      <c r="M27" s="3"/>
    </row>
    <row r="28">
      <c r="A28" s="21"/>
      <c r="E28" s="3"/>
      <c r="F28" s="2"/>
      <c r="G28" s="3"/>
      <c r="H28" s="3"/>
      <c r="I28" s="3"/>
      <c r="J28" s="3"/>
      <c r="K28" s="3"/>
      <c r="L28" s="3"/>
      <c r="M28" s="3"/>
    </row>
    <row r="29">
      <c r="A29" s="21"/>
      <c r="E29" s="3"/>
      <c r="F29" s="3"/>
      <c r="G29" s="3"/>
      <c r="H29" s="3"/>
      <c r="I29" s="2"/>
      <c r="J29" s="3"/>
      <c r="K29" s="3"/>
      <c r="L29" s="3"/>
      <c r="M29" s="3"/>
    </row>
    <row r="30">
      <c r="A30" s="21"/>
      <c r="E30" s="3"/>
      <c r="F30" s="3"/>
      <c r="G30" s="3"/>
      <c r="H30" s="3"/>
      <c r="I30" s="3"/>
      <c r="J30" s="3"/>
      <c r="K30" s="3"/>
      <c r="L30" s="3"/>
      <c r="M30" s="2"/>
    </row>
    <row r="31">
      <c r="A31" s="21"/>
      <c r="E31" s="3"/>
      <c r="F31" s="2"/>
      <c r="G31" s="3"/>
      <c r="H31" s="3"/>
      <c r="I31" s="3"/>
      <c r="J31" s="3"/>
      <c r="K31" s="3"/>
      <c r="L31" s="3"/>
      <c r="M31" s="3"/>
    </row>
    <row r="32">
      <c r="A32" s="21"/>
      <c r="E32" s="3"/>
      <c r="F32" s="3"/>
      <c r="G32" s="3"/>
      <c r="H32" s="3"/>
      <c r="I32" s="3"/>
      <c r="J32" s="3"/>
      <c r="K32" s="3"/>
      <c r="L32" s="3"/>
    </row>
    <row r="33">
      <c r="A33" s="21"/>
      <c r="E33" s="3"/>
      <c r="F33" s="3"/>
      <c r="G33" s="3"/>
      <c r="H33" s="3"/>
      <c r="I33" s="3"/>
      <c r="J33" s="3"/>
      <c r="K33" s="3"/>
      <c r="L33" s="3"/>
    </row>
    <row r="34">
      <c r="A34" s="21"/>
      <c r="E34" s="3"/>
      <c r="F34" s="2"/>
      <c r="G34" s="3"/>
      <c r="H34" s="3"/>
      <c r="I34" s="3"/>
      <c r="J34" s="3"/>
      <c r="K34" s="3"/>
      <c r="L34" s="3"/>
    </row>
    <row r="35">
      <c r="A35" s="21"/>
      <c r="E35" s="3"/>
      <c r="F35" s="2"/>
      <c r="G35" s="3"/>
      <c r="H35" s="3"/>
      <c r="I35" s="3"/>
      <c r="J35" s="3"/>
      <c r="K35" s="3"/>
      <c r="L35" s="3"/>
    </row>
    <row r="36">
      <c r="A36" s="21"/>
      <c r="E36" s="3"/>
      <c r="F36" s="3"/>
      <c r="G36" s="3"/>
      <c r="H36" s="3"/>
      <c r="I36" s="3"/>
      <c r="J36" s="3"/>
      <c r="K36" s="3"/>
      <c r="L36" s="3"/>
    </row>
    <row r="37">
      <c r="A37" s="21"/>
      <c r="B37" s="30"/>
      <c r="E37" s="3"/>
      <c r="F37" s="3"/>
      <c r="G37" s="3"/>
      <c r="H37" s="3"/>
      <c r="I37" s="3"/>
      <c r="J37" s="3"/>
      <c r="K37" s="3"/>
      <c r="L37" s="3"/>
    </row>
    <row r="38">
      <c r="A38" s="21"/>
      <c r="B38" s="30"/>
      <c r="E38" s="3"/>
      <c r="F38" s="3"/>
      <c r="G38" s="3"/>
      <c r="H38" s="3"/>
      <c r="I38" s="3"/>
      <c r="J38" s="3"/>
      <c r="K38" s="3"/>
      <c r="L38" s="3"/>
    </row>
    <row r="39">
      <c r="A39" s="21"/>
      <c r="B39" s="30"/>
    </row>
    <row r="40">
      <c r="A40" s="21"/>
      <c r="B40" s="30"/>
    </row>
    <row r="41">
      <c r="A41" s="21"/>
    </row>
    <row r="42">
      <c r="A42" s="21"/>
      <c r="B42" s="30"/>
    </row>
    <row r="43">
      <c r="A43" s="21"/>
      <c r="B43" s="30"/>
    </row>
    <row r="44">
      <c r="A44" s="21"/>
      <c r="B44" s="30"/>
    </row>
    <row r="45">
      <c r="A45" s="21"/>
      <c r="B45" s="30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88"/>
    <col customWidth="1" min="2" max="2" width="27.25"/>
    <col customWidth="1" min="5" max="5" width="13.75"/>
    <col customWidth="1" min="8" max="8" width="14.38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553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516</v>
      </c>
      <c r="L1" s="14" t="s">
        <v>517</v>
      </c>
    </row>
    <row r="2">
      <c r="A2" s="21">
        <v>45654.0</v>
      </c>
      <c r="B2" s="1" t="s">
        <v>595</v>
      </c>
      <c r="C2" s="1">
        <v>35.0</v>
      </c>
      <c r="E2" s="1">
        <v>35.0</v>
      </c>
      <c r="F2" s="3"/>
      <c r="G2" s="3"/>
      <c r="H2" s="3"/>
      <c r="I2" s="3"/>
      <c r="K2" s="3"/>
      <c r="L2" s="3"/>
      <c r="M2" s="3"/>
    </row>
    <row r="3">
      <c r="A3" s="21">
        <v>45649.0</v>
      </c>
      <c r="B3" s="1" t="s">
        <v>596</v>
      </c>
      <c r="C3" s="1">
        <v>59.15</v>
      </c>
      <c r="E3" s="1">
        <v>59.15</v>
      </c>
      <c r="F3" s="3"/>
      <c r="G3" s="3"/>
      <c r="H3" s="3"/>
      <c r="I3" s="3"/>
      <c r="J3" s="3"/>
      <c r="K3" s="3"/>
      <c r="L3" s="2"/>
      <c r="M3" s="3"/>
    </row>
    <row r="4">
      <c r="A4" s="21">
        <v>45651.0</v>
      </c>
      <c r="B4" s="1" t="s">
        <v>597</v>
      </c>
      <c r="C4" s="1">
        <v>99.37</v>
      </c>
      <c r="E4" s="2"/>
      <c r="F4" s="3"/>
      <c r="G4" s="3"/>
      <c r="H4" s="3"/>
      <c r="I4" s="3"/>
      <c r="J4" s="1">
        <v>99.37</v>
      </c>
      <c r="K4" s="3"/>
      <c r="L4" s="3"/>
      <c r="M4" s="3"/>
    </row>
    <row r="5">
      <c r="A5" s="21">
        <v>45652.0</v>
      </c>
      <c r="B5" s="1" t="s">
        <v>598</v>
      </c>
      <c r="C5" s="1">
        <v>7.9</v>
      </c>
      <c r="E5" s="3"/>
      <c r="F5" s="3"/>
      <c r="G5" s="1">
        <v>7.9</v>
      </c>
      <c r="H5" s="2"/>
      <c r="I5" s="3"/>
      <c r="J5" s="3"/>
      <c r="K5" s="3"/>
      <c r="L5" s="3"/>
      <c r="M5" s="3"/>
    </row>
    <row r="6">
      <c r="A6" s="21">
        <v>45622.0</v>
      </c>
      <c r="B6" s="1" t="s">
        <v>599</v>
      </c>
      <c r="C6" s="1">
        <v>7.9</v>
      </c>
      <c r="D6" s="1">
        <v>7.9</v>
      </c>
      <c r="E6" s="2"/>
      <c r="F6" s="3"/>
      <c r="G6" s="3"/>
      <c r="H6" s="3"/>
      <c r="I6" s="3"/>
      <c r="J6" s="3"/>
      <c r="K6" s="3"/>
      <c r="L6" s="3"/>
      <c r="M6" s="3"/>
    </row>
    <row r="7">
      <c r="A7" s="21"/>
      <c r="B7" s="1" t="s">
        <v>161</v>
      </c>
      <c r="C7" s="1">
        <v>68.0</v>
      </c>
      <c r="E7" s="1">
        <v>68.0</v>
      </c>
      <c r="F7" s="3"/>
      <c r="G7" s="3"/>
      <c r="H7" s="3"/>
      <c r="I7" s="3"/>
      <c r="J7" s="3"/>
      <c r="K7" s="3"/>
      <c r="L7" s="3"/>
      <c r="M7" s="3"/>
    </row>
    <row r="8">
      <c r="A8" s="21"/>
      <c r="B8" s="1" t="s">
        <v>600</v>
      </c>
      <c r="C8" s="1">
        <v>59.0</v>
      </c>
      <c r="E8" s="1">
        <v>59.0</v>
      </c>
      <c r="F8" s="3"/>
      <c r="G8" s="3"/>
      <c r="H8" s="3"/>
      <c r="I8" s="3"/>
      <c r="J8" s="3"/>
      <c r="K8" s="3"/>
      <c r="L8" s="3"/>
      <c r="M8" s="3"/>
    </row>
    <row r="9">
      <c r="A9" s="21"/>
      <c r="B9" s="1" t="s">
        <v>601</v>
      </c>
      <c r="C9" s="1">
        <v>28.0</v>
      </c>
      <c r="E9" s="1">
        <v>28.0</v>
      </c>
      <c r="F9" s="3"/>
      <c r="G9" s="3"/>
      <c r="H9" s="3"/>
      <c r="I9" s="3"/>
      <c r="J9" s="3"/>
      <c r="K9" s="3"/>
      <c r="L9" s="3"/>
      <c r="M9" s="3"/>
    </row>
    <row r="10">
      <c r="A10" s="21"/>
      <c r="B10" s="1" t="s">
        <v>602</v>
      </c>
      <c r="C10" s="1">
        <v>160.0</v>
      </c>
      <c r="E10" s="1">
        <v>160.0</v>
      </c>
    </row>
    <row r="11">
      <c r="A11" s="21"/>
      <c r="B11" s="1" t="s">
        <v>603</v>
      </c>
    </row>
    <row r="12">
      <c r="A12" s="21"/>
    </row>
    <row r="13">
      <c r="A13" s="21"/>
      <c r="D13" s="4">
        <f t="shared" ref="D13:L13" si="1">SUM(D2:D12)</f>
        <v>7.9</v>
      </c>
      <c r="E13" s="4">
        <f t="shared" si="1"/>
        <v>409.15</v>
      </c>
      <c r="F13" s="4">
        <f t="shared" si="1"/>
        <v>0</v>
      </c>
      <c r="G13" s="4">
        <f t="shared" si="1"/>
        <v>7.9</v>
      </c>
      <c r="H13" s="4">
        <f t="shared" si="1"/>
        <v>0</v>
      </c>
      <c r="I13" s="4">
        <f t="shared" si="1"/>
        <v>0</v>
      </c>
      <c r="J13" s="4">
        <f t="shared" si="1"/>
        <v>99.37</v>
      </c>
      <c r="K13" s="4">
        <f t="shared" si="1"/>
        <v>0</v>
      </c>
      <c r="L13" s="4">
        <f t="shared" si="1"/>
        <v>0</v>
      </c>
    </row>
    <row r="14">
      <c r="A14" s="21"/>
    </row>
    <row r="15">
      <c r="A15" s="21"/>
    </row>
    <row r="16">
      <c r="A16" s="21"/>
    </row>
    <row r="17">
      <c r="A17" s="21"/>
      <c r="D17" s="2"/>
      <c r="E17" s="3"/>
      <c r="F17" s="3"/>
      <c r="G17" s="3"/>
      <c r="H17" s="3"/>
      <c r="I17" s="3"/>
      <c r="J17" s="3"/>
      <c r="K17" s="3"/>
    </row>
    <row r="18">
      <c r="A18" s="21"/>
      <c r="D18" s="2"/>
      <c r="E18" s="3"/>
      <c r="F18" s="3"/>
      <c r="G18" s="3"/>
      <c r="H18" s="3"/>
      <c r="I18" s="3"/>
      <c r="J18" s="3"/>
      <c r="K18" s="3"/>
    </row>
    <row r="19">
      <c r="A19" s="21"/>
      <c r="D19" s="3"/>
      <c r="E19" s="2"/>
      <c r="F19" s="3"/>
      <c r="G19" s="3"/>
      <c r="H19" s="3"/>
      <c r="I19" s="3"/>
      <c r="J19" s="3"/>
      <c r="K19" s="3"/>
    </row>
    <row r="20">
      <c r="A20" s="21"/>
      <c r="D20" s="3"/>
      <c r="E20" s="2"/>
      <c r="F20" s="3"/>
      <c r="G20" s="2">
        <v>359.7</v>
      </c>
      <c r="H20" s="3"/>
      <c r="I20" s="3"/>
      <c r="J20" s="3"/>
      <c r="K20" s="3"/>
    </row>
    <row r="21">
      <c r="A21" s="21"/>
      <c r="D21" s="3"/>
      <c r="E21" s="3"/>
      <c r="F21" s="3"/>
      <c r="G21" s="3"/>
      <c r="H21" s="2"/>
      <c r="I21" s="3"/>
      <c r="J21" s="3"/>
      <c r="K21" s="3"/>
    </row>
    <row r="22">
      <c r="A22" s="21"/>
      <c r="D22" s="3"/>
      <c r="E22" s="2">
        <v>526.08</v>
      </c>
      <c r="F22" s="3"/>
      <c r="G22" s="3"/>
      <c r="H22" s="2"/>
      <c r="I22" s="3"/>
      <c r="J22" s="3"/>
      <c r="K22" s="3"/>
    </row>
    <row r="23">
      <c r="A23" s="25"/>
      <c r="D23" s="3"/>
      <c r="E23" s="2"/>
      <c r="F23" s="3"/>
      <c r="G23" s="3"/>
      <c r="H23" s="3"/>
      <c r="I23" s="3"/>
      <c r="J23" s="3"/>
      <c r="K23" s="3"/>
    </row>
    <row r="24">
      <c r="A24" s="21"/>
      <c r="D24" s="3"/>
      <c r="E24" s="3"/>
      <c r="F24" s="3"/>
      <c r="G24" s="3"/>
      <c r="H24" s="3"/>
      <c r="I24" s="3"/>
      <c r="J24" s="2"/>
      <c r="K24" s="3"/>
    </row>
    <row r="25">
      <c r="A25" s="21"/>
      <c r="D25" s="3"/>
      <c r="E25" s="3"/>
      <c r="F25" s="3"/>
      <c r="G25" s="3"/>
      <c r="H25" s="3"/>
      <c r="I25" s="3"/>
      <c r="J25" s="3"/>
      <c r="K25" s="3"/>
      <c r="L25" s="2"/>
    </row>
    <row r="26">
      <c r="A26" s="21"/>
      <c r="D26" s="2"/>
      <c r="E26" s="34">
        <f>10139.51-8715.24</f>
        <v>1424.27</v>
      </c>
      <c r="F26" s="3"/>
      <c r="G26" s="3"/>
      <c r="H26" s="3"/>
      <c r="I26" s="3"/>
      <c r="J26" s="3"/>
      <c r="K26" s="3"/>
      <c r="L26" s="3"/>
    </row>
    <row r="27">
      <c r="A27" s="21"/>
      <c r="D27" s="3"/>
      <c r="E27" s="2"/>
      <c r="F27" s="3"/>
      <c r="G27" s="3"/>
      <c r="H27" s="3"/>
      <c r="I27" s="3"/>
      <c r="J27" s="3"/>
      <c r="K27" s="3"/>
      <c r="L27" s="3"/>
    </row>
    <row r="28">
      <c r="A28" s="21"/>
      <c r="D28" s="2"/>
      <c r="E28" s="2"/>
      <c r="F28" s="3"/>
      <c r="G28" s="3"/>
      <c r="H28" s="3"/>
      <c r="I28" s="3"/>
      <c r="J28" s="3"/>
      <c r="K28" s="3"/>
      <c r="L28" s="3"/>
    </row>
    <row r="29">
      <c r="A29" s="21"/>
      <c r="D29" s="2"/>
      <c r="E29" s="2"/>
      <c r="F29" s="3"/>
      <c r="G29" s="3"/>
      <c r="H29" s="2"/>
      <c r="I29" s="3"/>
      <c r="J29" s="3"/>
      <c r="K29" s="3"/>
      <c r="L29" s="3"/>
    </row>
    <row r="30">
      <c r="A30" s="21"/>
      <c r="D30" s="2"/>
      <c r="E30" s="2"/>
      <c r="F30" s="3"/>
      <c r="G30" s="3"/>
      <c r="H30" s="3"/>
      <c r="I30" s="3"/>
      <c r="J30" s="3"/>
      <c r="K30" s="3"/>
      <c r="L30" s="2"/>
    </row>
    <row r="31">
      <c r="A31" s="21"/>
      <c r="D31" s="2"/>
      <c r="E31" s="2"/>
      <c r="F31" s="3"/>
      <c r="G31" s="3"/>
      <c r="H31" s="3"/>
      <c r="I31" s="3"/>
      <c r="J31" s="3"/>
      <c r="K31" s="3"/>
      <c r="L31" s="3"/>
    </row>
    <row r="32">
      <c r="A32" s="21"/>
      <c r="D32" s="2"/>
      <c r="E32" s="2"/>
      <c r="F32" s="3"/>
      <c r="G32" s="3"/>
      <c r="H32" s="3"/>
      <c r="I32" s="3"/>
      <c r="J32" s="3"/>
      <c r="K32" s="3"/>
    </row>
    <row r="33">
      <c r="A33" s="21"/>
      <c r="D33" s="2"/>
      <c r="E33" s="2"/>
      <c r="F33" s="3"/>
      <c r="G33" s="3"/>
      <c r="H33" s="3"/>
      <c r="I33" s="3"/>
      <c r="J33" s="3"/>
      <c r="K33" s="3"/>
    </row>
    <row r="34">
      <c r="A34" s="21"/>
      <c r="D34" s="3"/>
      <c r="E34" s="2"/>
      <c r="F34" s="3"/>
      <c r="G34" s="3"/>
      <c r="H34" s="3"/>
      <c r="I34" s="3"/>
      <c r="J34" s="3"/>
      <c r="K34" s="3"/>
    </row>
    <row r="35">
      <c r="A35" s="21"/>
      <c r="D35" s="3"/>
      <c r="E35" s="2"/>
      <c r="F35" s="3"/>
      <c r="G35" s="3"/>
      <c r="H35" s="3"/>
      <c r="I35" s="3"/>
      <c r="J35" s="3"/>
      <c r="K35" s="3"/>
    </row>
    <row r="36">
      <c r="A36" s="21"/>
      <c r="D36" s="3"/>
      <c r="E36" s="3"/>
      <c r="F36" s="3"/>
      <c r="G36" s="3"/>
      <c r="H36" s="3"/>
      <c r="I36" s="3"/>
      <c r="J36" s="3"/>
      <c r="K36" s="3"/>
    </row>
    <row r="37">
      <c r="A37" s="21"/>
      <c r="B37" s="30"/>
      <c r="D37" s="3"/>
      <c r="E37" s="3"/>
      <c r="F37" s="3"/>
      <c r="G37" s="3"/>
      <c r="H37" s="3"/>
      <c r="I37" s="3"/>
      <c r="J37" s="3"/>
      <c r="K37" s="3"/>
    </row>
    <row r="38">
      <c r="A38" s="21"/>
      <c r="B38" s="30"/>
      <c r="D38" s="3"/>
      <c r="E38" s="3"/>
      <c r="F38" s="3"/>
      <c r="G38" s="3"/>
      <c r="H38" s="3"/>
      <c r="I38" s="3"/>
      <c r="J38" s="3"/>
      <c r="K38" s="3"/>
    </row>
    <row r="39">
      <c r="A39" s="21"/>
      <c r="B39" s="30"/>
    </row>
    <row r="40">
      <c r="A40" s="21"/>
      <c r="B40" s="30"/>
    </row>
    <row r="41">
      <c r="A41" s="21"/>
    </row>
    <row r="42">
      <c r="A42" s="21"/>
      <c r="B42" s="30"/>
    </row>
    <row r="43">
      <c r="A43" s="21"/>
      <c r="B43" s="30"/>
    </row>
    <row r="44">
      <c r="A44" s="21"/>
      <c r="B44" s="30"/>
    </row>
    <row r="45">
      <c r="A45" s="21"/>
      <c r="B45" s="30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88"/>
    <col customWidth="1" min="2" max="2" width="27.25"/>
    <col customWidth="1" min="5" max="5" width="13.75"/>
    <col customWidth="1" min="8" max="8" width="14.38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553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516</v>
      </c>
      <c r="L1" s="14" t="s">
        <v>517</v>
      </c>
    </row>
    <row r="2">
      <c r="A2" s="21">
        <v>45655.0</v>
      </c>
      <c r="B2" s="1" t="s">
        <v>407</v>
      </c>
      <c r="C2" s="1">
        <v>135.0</v>
      </c>
      <c r="E2" s="1">
        <v>135.0</v>
      </c>
      <c r="F2" s="3"/>
      <c r="G2" s="3"/>
      <c r="H2" s="3"/>
      <c r="I2" s="3"/>
      <c r="K2" s="3"/>
      <c r="L2" s="3"/>
      <c r="M2" s="3"/>
    </row>
    <row r="3">
      <c r="A3" s="21">
        <v>45655.0</v>
      </c>
      <c r="B3" s="1" t="s">
        <v>604</v>
      </c>
      <c r="C3" s="1">
        <v>140.0</v>
      </c>
      <c r="E3" s="1">
        <v>140.0</v>
      </c>
      <c r="F3" s="3"/>
      <c r="G3" s="3"/>
      <c r="H3" s="3"/>
      <c r="I3" s="3"/>
      <c r="J3" s="3"/>
      <c r="K3" s="3"/>
      <c r="L3" s="2"/>
      <c r="M3" s="3"/>
    </row>
    <row r="4">
      <c r="A4" s="21">
        <v>45656.0</v>
      </c>
      <c r="B4" s="1" t="s">
        <v>45</v>
      </c>
      <c r="C4" s="1">
        <v>386.23</v>
      </c>
      <c r="D4" s="1">
        <v>386.23</v>
      </c>
      <c r="E4" s="2"/>
      <c r="F4" s="3"/>
      <c r="G4" s="3"/>
      <c r="H4" s="3"/>
      <c r="I4" s="3"/>
      <c r="K4" s="3"/>
      <c r="L4" s="3"/>
      <c r="M4" s="3"/>
    </row>
    <row r="5">
      <c r="A5" s="21">
        <v>45657.0</v>
      </c>
      <c r="B5" s="1" t="s">
        <v>605</v>
      </c>
      <c r="C5" s="1">
        <v>96.0</v>
      </c>
      <c r="D5" s="1">
        <v>96.0</v>
      </c>
      <c r="E5" s="3"/>
      <c r="F5" s="3"/>
      <c r="H5" s="2"/>
      <c r="I5" s="3"/>
      <c r="J5" s="3"/>
      <c r="K5" s="3"/>
      <c r="L5" s="3"/>
      <c r="M5" s="3"/>
    </row>
    <row r="6">
      <c r="A6" s="21">
        <v>45659.0</v>
      </c>
      <c r="B6" s="1" t="s">
        <v>262</v>
      </c>
      <c r="C6" s="1">
        <v>122.0</v>
      </c>
      <c r="E6" s="1">
        <v>122.0</v>
      </c>
      <c r="F6" s="3"/>
      <c r="G6" s="3"/>
      <c r="H6" s="3"/>
      <c r="I6" s="3"/>
      <c r="J6" s="3"/>
      <c r="K6" s="3"/>
      <c r="L6" s="3"/>
      <c r="M6" s="3"/>
    </row>
    <row r="7">
      <c r="A7" s="21">
        <v>45659.0</v>
      </c>
      <c r="B7" s="1" t="s">
        <v>606</v>
      </c>
      <c r="C7" s="1">
        <v>28.0</v>
      </c>
      <c r="E7" s="1">
        <v>28.0</v>
      </c>
      <c r="F7" s="3"/>
      <c r="G7" s="3"/>
      <c r="H7" s="3"/>
      <c r="I7" s="3"/>
      <c r="J7" s="3"/>
      <c r="K7" s="3"/>
      <c r="L7" s="3"/>
      <c r="M7" s="3"/>
    </row>
    <row r="8">
      <c r="A8" s="21">
        <v>45661.0</v>
      </c>
      <c r="B8" s="1" t="s">
        <v>607</v>
      </c>
      <c r="C8" s="1">
        <v>60.0</v>
      </c>
      <c r="D8" s="1">
        <v>60.0</v>
      </c>
      <c r="F8" s="3"/>
      <c r="G8" s="3"/>
      <c r="H8" s="3"/>
      <c r="I8" s="3"/>
      <c r="J8" s="3"/>
      <c r="K8" s="3"/>
      <c r="L8" s="3"/>
      <c r="M8" s="3"/>
    </row>
    <row r="9">
      <c r="A9" s="21">
        <v>45661.0</v>
      </c>
      <c r="B9" s="1" t="s">
        <v>136</v>
      </c>
      <c r="C9" s="1">
        <v>130.2</v>
      </c>
      <c r="D9" s="1">
        <v>130.2</v>
      </c>
      <c r="F9" s="3"/>
      <c r="G9" s="3"/>
      <c r="H9" s="3"/>
      <c r="I9" s="3"/>
      <c r="J9" s="3"/>
      <c r="K9" s="3"/>
      <c r="L9" s="3"/>
      <c r="M9" s="3"/>
    </row>
    <row r="10">
      <c r="A10" s="21">
        <v>45661.0</v>
      </c>
      <c r="B10" s="1" t="s">
        <v>608</v>
      </c>
      <c r="C10" s="1">
        <v>107.35</v>
      </c>
      <c r="J10" s="1">
        <v>107.35</v>
      </c>
    </row>
    <row r="11">
      <c r="A11" s="21">
        <v>45662.0</v>
      </c>
      <c r="B11" s="1" t="s">
        <v>609</v>
      </c>
      <c r="C11" s="1">
        <v>11.0</v>
      </c>
      <c r="J11" s="1">
        <v>11.0</v>
      </c>
    </row>
    <row r="12">
      <c r="A12" s="21">
        <v>45663.0</v>
      </c>
      <c r="B12" s="1" t="s">
        <v>539</v>
      </c>
      <c r="C12" s="1">
        <v>21.5</v>
      </c>
      <c r="E12" s="1">
        <v>21.5</v>
      </c>
    </row>
    <row r="13">
      <c r="A13" s="21">
        <v>45663.0</v>
      </c>
      <c r="B13" s="1" t="s">
        <v>610</v>
      </c>
      <c r="C13" s="1">
        <v>21.0</v>
      </c>
      <c r="E13" s="1">
        <v>21.0</v>
      </c>
    </row>
    <row r="14">
      <c r="A14" s="21">
        <v>45666.0</v>
      </c>
      <c r="B14" s="1" t="s">
        <v>611</v>
      </c>
      <c r="C14" s="1">
        <v>75.0</v>
      </c>
      <c r="E14" s="1">
        <v>75.0</v>
      </c>
    </row>
    <row r="15">
      <c r="A15" s="21">
        <v>45668.0</v>
      </c>
      <c r="B15" s="1" t="s">
        <v>612</v>
      </c>
      <c r="C15" s="1">
        <v>16.5</v>
      </c>
      <c r="E15" s="1">
        <v>16.5</v>
      </c>
    </row>
    <row r="16">
      <c r="A16" s="21"/>
      <c r="B16" s="1" t="s">
        <v>613</v>
      </c>
      <c r="C16" s="1">
        <v>21.0</v>
      </c>
      <c r="E16" s="1">
        <v>21.0</v>
      </c>
    </row>
    <row r="17">
      <c r="A17" s="21">
        <v>45669.0</v>
      </c>
      <c r="B17" s="1" t="s">
        <v>614</v>
      </c>
      <c r="C17" s="1">
        <v>11.0</v>
      </c>
      <c r="J17" s="1">
        <v>11.0</v>
      </c>
    </row>
    <row r="18">
      <c r="A18" s="21">
        <v>45668.0</v>
      </c>
      <c r="B18" s="1" t="s">
        <v>416</v>
      </c>
      <c r="C18" s="1">
        <v>128.0</v>
      </c>
      <c r="E18" s="1">
        <v>128.0</v>
      </c>
    </row>
    <row r="19">
      <c r="A19" s="21">
        <v>45670.0</v>
      </c>
      <c r="B19" s="1" t="s">
        <v>600</v>
      </c>
      <c r="C19" s="1">
        <v>85.0</v>
      </c>
      <c r="H19" s="1">
        <v>85.0</v>
      </c>
    </row>
    <row r="20">
      <c r="A20" s="21">
        <v>45670.0</v>
      </c>
      <c r="B20" s="1" t="s">
        <v>615</v>
      </c>
      <c r="C20" s="1">
        <v>35.0</v>
      </c>
      <c r="E20" s="1">
        <v>35.0</v>
      </c>
    </row>
    <row r="21">
      <c r="A21" s="21">
        <v>45673.0</v>
      </c>
      <c r="B21" s="1" t="s">
        <v>616</v>
      </c>
      <c r="C21" s="1">
        <v>145.07</v>
      </c>
      <c r="D21" s="1">
        <v>145.07</v>
      </c>
    </row>
    <row r="22">
      <c r="A22" s="21">
        <v>45674.0</v>
      </c>
      <c r="B22" s="1" t="s">
        <v>136</v>
      </c>
      <c r="C22" s="1">
        <v>10.1</v>
      </c>
      <c r="D22" s="1">
        <v>10.1</v>
      </c>
    </row>
    <row r="23">
      <c r="A23" s="21"/>
      <c r="B23" s="1" t="s">
        <v>617</v>
      </c>
      <c r="C23" s="1">
        <v>87.4</v>
      </c>
      <c r="E23" s="1">
        <v>87.4</v>
      </c>
    </row>
    <row r="24">
      <c r="A24" s="21"/>
      <c r="B24" s="1" t="s">
        <v>485</v>
      </c>
      <c r="C24" s="1">
        <v>11.0</v>
      </c>
      <c r="J24" s="1">
        <v>11.0</v>
      </c>
    </row>
    <row r="25">
      <c r="A25" s="21"/>
      <c r="B25" s="1" t="s">
        <v>618</v>
      </c>
      <c r="C25" s="1">
        <v>7.2</v>
      </c>
      <c r="D25" s="1">
        <v>7.2</v>
      </c>
    </row>
    <row r="26">
      <c r="A26" s="21"/>
      <c r="B26" s="1" t="s">
        <v>619</v>
      </c>
      <c r="C26" s="1">
        <v>1332.22</v>
      </c>
    </row>
    <row r="27">
      <c r="A27" s="21">
        <v>45660.0</v>
      </c>
      <c r="B27" s="1" t="s">
        <v>620</v>
      </c>
      <c r="C27" s="1">
        <v>3.0</v>
      </c>
      <c r="D27" s="2"/>
      <c r="E27" s="3"/>
      <c r="F27" s="3"/>
      <c r="G27" s="3"/>
      <c r="H27" s="3"/>
      <c r="I27" s="3"/>
      <c r="J27" s="3"/>
      <c r="K27" s="3"/>
      <c r="L27" s="1">
        <v>3.0</v>
      </c>
    </row>
    <row r="28">
      <c r="A28" s="21">
        <v>45660.0</v>
      </c>
      <c r="B28" s="1" t="s">
        <v>621</v>
      </c>
      <c r="C28" s="1">
        <v>16.0</v>
      </c>
      <c r="D28" s="2"/>
      <c r="E28" s="3"/>
      <c r="F28" s="3"/>
      <c r="G28" s="3"/>
      <c r="H28" s="3"/>
      <c r="I28" s="3"/>
      <c r="J28" s="3"/>
      <c r="K28" s="3"/>
      <c r="L28" s="1">
        <v>16.0</v>
      </c>
    </row>
    <row r="29">
      <c r="A29" s="21">
        <v>45660.0</v>
      </c>
      <c r="B29" s="1" t="s">
        <v>622</v>
      </c>
      <c r="C29" s="1">
        <v>20.0</v>
      </c>
      <c r="D29" s="3"/>
      <c r="E29" s="2"/>
      <c r="F29" s="3"/>
      <c r="G29" s="3"/>
      <c r="H29" s="3"/>
      <c r="I29" s="3"/>
      <c r="J29" s="3"/>
      <c r="K29" s="3"/>
      <c r="L29" s="1">
        <v>20.0</v>
      </c>
    </row>
    <row r="30">
      <c r="A30" s="21">
        <v>45671.0</v>
      </c>
      <c r="B30" s="1" t="s">
        <v>469</v>
      </c>
      <c r="C30" s="1">
        <v>100.0</v>
      </c>
      <c r="D30" s="3"/>
      <c r="E30" s="3"/>
      <c r="F30" s="3"/>
      <c r="G30" s="3"/>
      <c r="H30" s="1">
        <v>100.0</v>
      </c>
      <c r="I30" s="3"/>
      <c r="J30" s="3"/>
      <c r="K30" s="3"/>
    </row>
    <row r="31">
      <c r="A31" s="21">
        <v>45667.0</v>
      </c>
      <c r="B31" s="1" t="s">
        <v>623</v>
      </c>
      <c r="C31" s="1">
        <v>42.5</v>
      </c>
      <c r="D31" s="3"/>
      <c r="E31" s="1">
        <v>42.5</v>
      </c>
      <c r="F31" s="3"/>
      <c r="G31" s="3"/>
      <c r="H31" s="2"/>
      <c r="I31" s="3"/>
      <c r="J31" s="3"/>
      <c r="K31" s="3"/>
    </row>
    <row r="32">
      <c r="A32" s="21">
        <v>45675.0</v>
      </c>
      <c r="B32" s="1" t="s">
        <v>624</v>
      </c>
      <c r="C32" s="1">
        <v>79.5</v>
      </c>
      <c r="D32" s="3"/>
      <c r="E32" s="1">
        <v>79.5</v>
      </c>
      <c r="F32" s="3"/>
      <c r="G32" s="3"/>
      <c r="H32" s="2"/>
      <c r="I32" s="3"/>
      <c r="J32" s="3"/>
      <c r="K32" s="3"/>
    </row>
    <row r="33">
      <c r="A33" s="25"/>
      <c r="B33" s="1" t="s">
        <v>625</v>
      </c>
      <c r="C33" s="1">
        <v>14.0</v>
      </c>
      <c r="D33" s="3"/>
      <c r="E33" s="1">
        <v>14.0</v>
      </c>
      <c r="F33" s="3"/>
      <c r="G33" s="3"/>
      <c r="H33" s="3"/>
      <c r="I33" s="3"/>
      <c r="J33" s="3"/>
      <c r="K33" s="3"/>
    </row>
    <row r="34">
      <c r="A34" s="21"/>
      <c r="B34" s="1" t="s">
        <v>626</v>
      </c>
      <c r="C34" s="1">
        <v>15.0</v>
      </c>
      <c r="D34" s="3"/>
      <c r="E34" s="1">
        <v>15.0</v>
      </c>
      <c r="F34" s="3"/>
      <c r="G34" s="3"/>
      <c r="H34" s="3"/>
      <c r="I34" s="3"/>
      <c r="J34" s="2"/>
      <c r="K34" s="3"/>
    </row>
    <row r="35">
      <c r="A35" s="21"/>
      <c r="B35" s="1" t="s">
        <v>627</v>
      </c>
      <c r="C35" s="1">
        <v>68.0</v>
      </c>
      <c r="D35" s="3"/>
      <c r="E35" s="1">
        <v>68.0</v>
      </c>
      <c r="F35" s="3"/>
      <c r="G35" s="3"/>
      <c r="H35" s="3"/>
      <c r="I35" s="3"/>
      <c r="J35" s="3"/>
      <c r="K35" s="3"/>
      <c r="L35" s="2"/>
    </row>
    <row r="36">
      <c r="A36" s="21"/>
      <c r="D36" s="2"/>
      <c r="E36" s="34"/>
      <c r="F36" s="3"/>
      <c r="G36" s="3"/>
      <c r="H36" s="3"/>
      <c r="I36" s="3"/>
      <c r="J36" s="3"/>
      <c r="K36" s="3"/>
      <c r="L36" s="3"/>
    </row>
    <row r="37">
      <c r="A37" s="21"/>
      <c r="D37" s="2"/>
      <c r="E37" s="2"/>
      <c r="F37" s="3"/>
      <c r="G37" s="3"/>
      <c r="H37" s="3"/>
      <c r="I37" s="3"/>
      <c r="J37" s="2"/>
      <c r="K37" s="3"/>
      <c r="L37" s="3"/>
    </row>
    <row r="38">
      <c r="A38" s="21"/>
      <c r="D38" s="2"/>
      <c r="E38" s="2"/>
      <c r="F38" s="3"/>
      <c r="G38" s="3"/>
      <c r="H38" s="3"/>
      <c r="I38" s="3"/>
      <c r="J38" s="3"/>
      <c r="K38" s="3"/>
      <c r="L38" s="3"/>
    </row>
    <row r="39">
      <c r="A39" s="21"/>
      <c r="D39" s="2"/>
      <c r="E39" s="2"/>
      <c r="F39" s="3"/>
      <c r="G39" s="3"/>
      <c r="H39" s="2"/>
      <c r="I39" s="3"/>
      <c r="J39" s="3"/>
      <c r="K39" s="3"/>
      <c r="L39" s="3"/>
    </row>
    <row r="40">
      <c r="A40" s="21"/>
      <c r="D40" s="2"/>
      <c r="E40" s="2"/>
      <c r="F40" s="3"/>
      <c r="G40" s="3"/>
      <c r="H40" s="3"/>
      <c r="I40" s="3"/>
      <c r="J40" s="3"/>
      <c r="K40" s="3"/>
      <c r="L40" s="2"/>
    </row>
    <row r="41">
      <c r="A41" s="21"/>
      <c r="D41" s="2"/>
      <c r="E41" s="2"/>
      <c r="F41" s="3"/>
      <c r="G41" s="3"/>
      <c r="H41" s="3"/>
      <c r="I41" s="3"/>
      <c r="J41" s="3"/>
      <c r="K41" s="3"/>
      <c r="L41" s="3"/>
    </row>
    <row r="42">
      <c r="A42" s="21"/>
      <c r="D42" s="2"/>
      <c r="E42" s="2"/>
      <c r="F42" s="3"/>
      <c r="G42" s="3"/>
      <c r="H42" s="3"/>
      <c r="I42" s="3"/>
      <c r="J42" s="3"/>
      <c r="K42" s="3"/>
    </row>
    <row r="43">
      <c r="A43" s="21"/>
      <c r="D43" s="2"/>
      <c r="E43" s="2"/>
      <c r="F43" s="3"/>
      <c r="G43" s="3"/>
      <c r="H43" s="3"/>
      <c r="I43" s="3"/>
      <c r="J43" s="3"/>
      <c r="K43" s="3"/>
    </row>
    <row r="44">
      <c r="A44" s="21"/>
      <c r="D44" s="3"/>
      <c r="E44" s="2"/>
      <c r="F44" s="3"/>
      <c r="G44" s="3"/>
      <c r="H44" s="3"/>
      <c r="I44" s="3"/>
      <c r="J44" s="3"/>
      <c r="K44" s="3"/>
    </row>
    <row r="45">
      <c r="A45" s="21"/>
      <c r="D45" s="3"/>
      <c r="E45" s="2"/>
      <c r="F45" s="3"/>
      <c r="G45" s="3"/>
      <c r="H45" s="3"/>
      <c r="I45" s="3"/>
      <c r="J45" s="3"/>
      <c r="K45" s="3"/>
    </row>
    <row r="46">
      <c r="A46" s="21"/>
      <c r="D46" s="3"/>
      <c r="E46" s="3"/>
      <c r="F46" s="3"/>
      <c r="G46" s="3"/>
      <c r="H46" s="3"/>
      <c r="I46" s="3"/>
      <c r="J46" s="3"/>
      <c r="K46" s="3"/>
    </row>
    <row r="47">
      <c r="A47" s="21"/>
      <c r="B47" s="30"/>
      <c r="D47" s="2" t="s">
        <v>628</v>
      </c>
      <c r="E47" s="2">
        <f>2382.11-C26-12</f>
        <v>1037.89</v>
      </c>
      <c r="F47" s="3"/>
      <c r="G47" s="3"/>
      <c r="H47" s="3"/>
      <c r="I47" s="3"/>
      <c r="J47" s="3"/>
      <c r="K47" s="3"/>
    </row>
    <row r="48">
      <c r="A48" s="21"/>
      <c r="B48" s="30"/>
      <c r="D48" s="2" t="s">
        <v>629</v>
      </c>
      <c r="E48" s="2">
        <v>2926.96</v>
      </c>
      <c r="F48" s="3"/>
      <c r="G48" s="3"/>
      <c r="H48" s="3"/>
      <c r="I48" s="3"/>
      <c r="J48" s="3"/>
      <c r="K48" s="3"/>
    </row>
    <row r="49">
      <c r="A49" s="21"/>
      <c r="B49" s="30"/>
      <c r="D49" s="1" t="s">
        <v>630</v>
      </c>
      <c r="E49" s="4">
        <f>sum(C2:C21)</f>
        <v>1774.85</v>
      </c>
    </row>
    <row r="50">
      <c r="A50" s="21"/>
      <c r="B50" s="30"/>
      <c r="D50" s="35" t="s">
        <v>631</v>
      </c>
      <c r="E50" s="4">
        <f>E48-E49</f>
        <v>1152.11</v>
      </c>
    </row>
    <row r="51">
      <c r="A51" s="21"/>
      <c r="D51" s="35" t="s">
        <v>632</v>
      </c>
      <c r="E51" s="4">
        <f>C26-E50</f>
        <v>180.11</v>
      </c>
    </row>
    <row r="52">
      <c r="A52" s="21"/>
      <c r="B52" s="30"/>
      <c r="D52" s="1" t="s">
        <v>633</v>
      </c>
      <c r="E52" s="4">
        <f>sum(C27:C31)</f>
        <v>181.5</v>
      </c>
    </row>
    <row r="53">
      <c r="A53" s="21"/>
      <c r="B53" s="30"/>
      <c r="E53" s="4">
        <f>E47+E51+E52</f>
        <v>1399.5</v>
      </c>
    </row>
    <row r="54">
      <c r="A54" s="21"/>
      <c r="B54" s="30"/>
    </row>
    <row r="55">
      <c r="A55" s="21"/>
      <c r="B55" s="30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88"/>
    <col customWidth="1" min="2" max="2" width="27.25"/>
    <col customWidth="1" min="5" max="5" width="13.75"/>
    <col customWidth="1" min="8" max="8" width="14.38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553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516</v>
      </c>
      <c r="L1" s="14" t="s">
        <v>517</v>
      </c>
    </row>
    <row r="2">
      <c r="A2" s="21">
        <v>45682.0</v>
      </c>
      <c r="B2" s="1" t="s">
        <v>634</v>
      </c>
      <c r="C2" s="1">
        <v>72.9</v>
      </c>
      <c r="F2" s="3"/>
      <c r="G2" s="3"/>
      <c r="H2" s="1">
        <v>72.9</v>
      </c>
      <c r="I2" s="3"/>
      <c r="K2" s="3"/>
      <c r="L2" s="3"/>
      <c r="M2" s="3"/>
    </row>
    <row r="3">
      <c r="A3" s="21">
        <v>45683.0</v>
      </c>
      <c r="B3" s="1" t="s">
        <v>635</v>
      </c>
      <c r="C3" s="1">
        <v>13.5</v>
      </c>
      <c r="F3" s="3"/>
      <c r="G3" s="3"/>
      <c r="H3" s="1">
        <v>13.5</v>
      </c>
      <c r="I3" s="3"/>
      <c r="J3" s="3"/>
      <c r="K3" s="3"/>
      <c r="L3" s="2"/>
      <c r="M3" s="3"/>
    </row>
    <row r="4">
      <c r="A4" s="21">
        <v>45680.0</v>
      </c>
      <c r="B4" s="1" t="s">
        <v>636</v>
      </c>
      <c r="C4" s="1">
        <v>6.6</v>
      </c>
      <c r="E4" s="2"/>
      <c r="F4" s="3"/>
      <c r="G4" s="3">
        <f>6.6/2</f>
        <v>3.3</v>
      </c>
      <c r="H4" s="3"/>
      <c r="I4" s="3"/>
      <c r="K4" s="3"/>
      <c r="L4" s="3"/>
      <c r="M4" s="3"/>
    </row>
    <row r="5">
      <c r="A5" s="21"/>
      <c r="E5" s="3"/>
      <c r="F5" s="3"/>
      <c r="H5" s="2"/>
      <c r="I5" s="3"/>
      <c r="J5" s="3"/>
      <c r="K5" s="3"/>
      <c r="L5" s="3"/>
      <c r="M5" s="3"/>
    </row>
    <row r="6">
      <c r="A6" s="21"/>
      <c r="F6" s="3"/>
      <c r="G6" s="3"/>
      <c r="H6" s="3"/>
      <c r="I6" s="3"/>
      <c r="J6" s="3"/>
      <c r="K6" s="3"/>
      <c r="L6" s="3"/>
      <c r="M6" s="3"/>
    </row>
    <row r="7">
      <c r="A7" s="21"/>
      <c r="F7" s="3"/>
      <c r="G7" s="3"/>
      <c r="H7" s="3"/>
      <c r="I7" s="3"/>
      <c r="J7" s="3"/>
      <c r="K7" s="3"/>
      <c r="L7" s="3"/>
      <c r="M7" s="3"/>
    </row>
    <row r="8">
      <c r="A8" s="21"/>
      <c r="C8" s="1" t="s">
        <v>637</v>
      </c>
      <c r="D8" s="4">
        <f t="shared" ref="D8:L8" si="1">sum(D2:D7)</f>
        <v>0</v>
      </c>
      <c r="E8" s="4">
        <f t="shared" si="1"/>
        <v>0</v>
      </c>
      <c r="F8" s="4">
        <f t="shared" si="1"/>
        <v>0</v>
      </c>
      <c r="G8" s="4">
        <f t="shared" si="1"/>
        <v>3.3</v>
      </c>
      <c r="H8" s="4">
        <f t="shared" si="1"/>
        <v>86.4</v>
      </c>
      <c r="I8" s="4">
        <f t="shared" si="1"/>
        <v>0</v>
      </c>
      <c r="J8" s="4">
        <f t="shared" si="1"/>
        <v>0</v>
      </c>
      <c r="K8" s="4">
        <f t="shared" si="1"/>
        <v>0</v>
      </c>
      <c r="L8" s="4">
        <f t="shared" si="1"/>
        <v>0</v>
      </c>
      <c r="M8" s="3"/>
    </row>
    <row r="9">
      <c r="A9" s="21"/>
      <c r="F9" s="3"/>
      <c r="G9" s="3"/>
      <c r="H9" s="3"/>
      <c r="I9" s="3"/>
      <c r="J9" s="3"/>
      <c r="K9" s="3"/>
      <c r="L9" s="3"/>
      <c r="M9" s="3"/>
    </row>
    <row r="10">
      <c r="A10" s="21"/>
    </row>
    <row r="11">
      <c r="A11" s="21"/>
    </row>
    <row r="12">
      <c r="A12" s="21"/>
    </row>
    <row r="13">
      <c r="A13" s="21"/>
    </row>
    <row r="14">
      <c r="A14" s="21"/>
    </row>
    <row r="15">
      <c r="A15" s="21"/>
    </row>
    <row r="16">
      <c r="A16" s="21"/>
    </row>
    <row r="17">
      <c r="A17" s="21"/>
    </row>
    <row r="18">
      <c r="A18" s="21"/>
    </row>
    <row r="19">
      <c r="A19" s="21"/>
    </row>
    <row r="20">
      <c r="A20" s="21"/>
      <c r="E20" s="1" t="s">
        <v>54</v>
      </c>
      <c r="F20" s="1">
        <v>557.72</v>
      </c>
    </row>
    <row r="21">
      <c r="A21" s="21"/>
      <c r="E21" s="1" t="s">
        <v>495</v>
      </c>
      <c r="F21" s="1">
        <v>121.55</v>
      </c>
    </row>
    <row r="22">
      <c r="A22" s="21"/>
      <c r="E22" s="1" t="s">
        <v>496</v>
      </c>
    </row>
    <row r="23">
      <c r="A23" s="21"/>
    </row>
    <row r="24">
      <c r="A24" s="21"/>
    </row>
    <row r="25">
      <c r="A25" s="21"/>
    </row>
    <row r="26">
      <c r="A26" s="21"/>
    </row>
    <row r="27">
      <c r="A27" s="21"/>
      <c r="D27" s="2"/>
      <c r="E27" s="3"/>
      <c r="F27" s="3"/>
      <c r="G27" s="3"/>
      <c r="H27" s="3"/>
      <c r="I27" s="3"/>
      <c r="J27" s="3"/>
      <c r="K27" s="3"/>
    </row>
    <row r="28">
      <c r="A28" s="21"/>
      <c r="D28" s="2"/>
      <c r="E28" s="3"/>
      <c r="F28" s="3"/>
      <c r="G28" s="3"/>
      <c r="H28" s="3"/>
      <c r="I28" s="3"/>
      <c r="J28" s="3"/>
      <c r="K28" s="3"/>
    </row>
    <row r="29">
      <c r="A29" s="21"/>
      <c r="D29" s="3"/>
      <c r="E29" s="2"/>
      <c r="F29" s="3"/>
      <c r="G29" s="3"/>
      <c r="H29" s="3"/>
      <c r="I29" s="3"/>
      <c r="J29" s="3"/>
      <c r="K29" s="3"/>
    </row>
    <row r="30">
      <c r="A30" s="21"/>
      <c r="D30" s="3"/>
      <c r="E30" s="3"/>
      <c r="F30" s="3"/>
      <c r="G30" s="3"/>
      <c r="I30" s="3"/>
      <c r="J30" s="3"/>
      <c r="K30" s="3"/>
    </row>
    <row r="31">
      <c r="A31" s="21"/>
      <c r="D31" s="3"/>
      <c r="F31" s="3"/>
      <c r="G31" s="3"/>
      <c r="H31" s="2"/>
      <c r="I31" s="3"/>
      <c r="J31" s="3"/>
      <c r="K31" s="3"/>
    </row>
    <row r="32">
      <c r="A32" s="21"/>
      <c r="D32" s="3"/>
      <c r="F32" s="3"/>
      <c r="G32" s="3"/>
      <c r="H32" s="2"/>
      <c r="I32" s="3"/>
      <c r="J32" s="3"/>
      <c r="K32" s="3"/>
    </row>
    <row r="33">
      <c r="A33" s="25"/>
      <c r="D33" s="3"/>
      <c r="F33" s="3"/>
      <c r="G33" s="3"/>
      <c r="H33" s="3"/>
      <c r="I33" s="3"/>
      <c r="J33" s="3"/>
      <c r="K33" s="3"/>
    </row>
    <row r="34">
      <c r="A34" s="21"/>
      <c r="D34" s="3"/>
      <c r="F34" s="3"/>
      <c r="G34" s="3"/>
      <c r="H34" s="3"/>
      <c r="I34" s="3"/>
      <c r="J34" s="2"/>
      <c r="K34" s="3"/>
    </row>
    <row r="35">
      <c r="A35" s="21"/>
      <c r="D35" s="3"/>
      <c r="F35" s="3"/>
      <c r="G35" s="3"/>
      <c r="H35" s="3"/>
      <c r="I35" s="3"/>
      <c r="J35" s="3"/>
      <c r="K35" s="3"/>
      <c r="L35" s="2"/>
    </row>
    <row r="36">
      <c r="A36" s="21"/>
      <c r="D36" s="2"/>
      <c r="E36" s="34"/>
      <c r="F36" s="3"/>
      <c r="G36" s="3"/>
      <c r="H36" s="3"/>
      <c r="I36" s="3"/>
      <c r="J36" s="3"/>
      <c r="K36" s="3"/>
      <c r="L36" s="3"/>
    </row>
    <row r="37">
      <c r="A37" s="21"/>
      <c r="D37" s="2"/>
      <c r="E37" s="2"/>
      <c r="F37" s="3"/>
      <c r="G37" s="3"/>
      <c r="H37" s="3"/>
      <c r="I37" s="3"/>
      <c r="J37" s="2"/>
      <c r="K37" s="3"/>
      <c r="L37" s="3"/>
    </row>
    <row r="38">
      <c r="A38" s="21"/>
      <c r="D38" s="2"/>
      <c r="E38" s="2"/>
      <c r="F38" s="3"/>
      <c r="G38" s="3"/>
      <c r="H38" s="3"/>
      <c r="I38" s="3"/>
      <c r="J38" s="3"/>
      <c r="K38" s="3"/>
      <c r="L38" s="3"/>
    </row>
    <row r="39">
      <c r="A39" s="21"/>
      <c r="D39" s="2"/>
      <c r="E39" s="2"/>
      <c r="F39" s="3"/>
      <c r="G39" s="3"/>
      <c r="H39" s="2"/>
      <c r="I39" s="3"/>
      <c r="J39" s="3"/>
      <c r="K39" s="3"/>
      <c r="L39" s="3"/>
    </row>
    <row r="40">
      <c r="A40" s="21"/>
      <c r="D40" s="2"/>
      <c r="E40" s="2"/>
      <c r="F40" s="3"/>
      <c r="G40" s="3"/>
      <c r="H40" s="3"/>
      <c r="I40" s="3"/>
      <c r="J40" s="3"/>
      <c r="K40" s="3"/>
      <c r="L40" s="2"/>
    </row>
    <row r="41">
      <c r="A41" s="21"/>
      <c r="D41" s="2"/>
      <c r="E41" s="2"/>
      <c r="F41" s="3"/>
      <c r="G41" s="3"/>
      <c r="H41" s="3"/>
      <c r="I41" s="3"/>
      <c r="J41" s="3"/>
      <c r="K41" s="3"/>
      <c r="L41" s="3"/>
    </row>
    <row r="42">
      <c r="A42" s="21"/>
      <c r="D42" s="2"/>
      <c r="E42" s="2"/>
      <c r="F42" s="3"/>
      <c r="G42" s="3"/>
      <c r="H42" s="3"/>
      <c r="I42" s="3"/>
      <c r="J42" s="3"/>
      <c r="K42" s="3"/>
    </row>
    <row r="43">
      <c r="A43" s="21"/>
      <c r="D43" s="2"/>
      <c r="E43" s="2"/>
      <c r="F43" s="3"/>
      <c r="G43" s="3"/>
      <c r="H43" s="3"/>
      <c r="I43" s="3"/>
      <c r="J43" s="3"/>
      <c r="K43" s="3"/>
    </row>
    <row r="44">
      <c r="A44" s="21"/>
      <c r="D44" s="3"/>
      <c r="E44" s="2"/>
      <c r="F44" s="3"/>
      <c r="G44" s="3"/>
      <c r="H44" s="3"/>
      <c r="I44" s="3"/>
      <c r="J44" s="3"/>
      <c r="K44" s="3"/>
    </row>
    <row r="45">
      <c r="A45" s="21"/>
      <c r="D45" s="3"/>
      <c r="E45" s="2"/>
      <c r="F45" s="3"/>
      <c r="G45" s="3"/>
      <c r="H45" s="3"/>
      <c r="I45" s="3"/>
      <c r="J45" s="3"/>
      <c r="K45" s="3"/>
    </row>
    <row r="46">
      <c r="A46" s="21"/>
      <c r="D46" s="3"/>
      <c r="E46" s="3"/>
      <c r="F46" s="3"/>
      <c r="G46" s="3"/>
      <c r="H46" s="3"/>
      <c r="I46" s="3"/>
      <c r="J46" s="3"/>
      <c r="K46" s="3"/>
    </row>
    <row r="47">
      <c r="A47" s="21"/>
      <c r="B47" s="30"/>
      <c r="D47" s="2"/>
      <c r="E47" s="2"/>
      <c r="F47" s="3"/>
      <c r="G47" s="3"/>
      <c r="H47" s="3"/>
      <c r="I47" s="3"/>
      <c r="J47" s="3"/>
      <c r="K47" s="3"/>
    </row>
    <row r="48">
      <c r="A48" s="21"/>
      <c r="B48" s="30"/>
      <c r="D48" s="2"/>
      <c r="E48" s="2"/>
      <c r="F48" s="3"/>
      <c r="G48" s="3"/>
      <c r="H48" s="3"/>
      <c r="I48" s="3"/>
      <c r="J48" s="3"/>
      <c r="K48" s="3"/>
    </row>
    <row r="49">
      <c r="A49" s="21"/>
      <c r="B49" s="30"/>
    </row>
    <row r="50">
      <c r="A50" s="21"/>
      <c r="B50" s="30"/>
      <c r="D50" s="35"/>
    </row>
    <row r="51">
      <c r="A51" s="21"/>
      <c r="D51" s="35"/>
    </row>
    <row r="52">
      <c r="A52" s="21"/>
      <c r="B52" s="30"/>
    </row>
    <row r="53">
      <c r="A53" s="21"/>
      <c r="B53" s="30"/>
    </row>
    <row r="54">
      <c r="A54" s="21"/>
      <c r="B54" s="30"/>
    </row>
    <row r="55">
      <c r="A55" s="21"/>
      <c r="B55" s="30"/>
    </row>
    <row r="125">
      <c r="F125" s="1" t="s">
        <v>638</v>
      </c>
    </row>
    <row r="126">
      <c r="F126" s="1" t="s">
        <v>639</v>
      </c>
      <c r="G126" s="1">
        <v>300.0</v>
      </c>
    </row>
    <row r="127">
      <c r="F127" s="1" t="s">
        <v>640</v>
      </c>
      <c r="G127" s="1">
        <v>70.0</v>
      </c>
    </row>
    <row r="128">
      <c r="G128" s="4">
        <f>SUM(G126:G127)</f>
        <v>370</v>
      </c>
    </row>
    <row r="129">
      <c r="F129" s="1"/>
    </row>
    <row r="130">
      <c r="F130" s="1" t="s">
        <v>641</v>
      </c>
    </row>
    <row r="131">
      <c r="F131" s="1" t="s">
        <v>642</v>
      </c>
      <c r="G131" s="1">
        <v>100.0</v>
      </c>
    </row>
    <row r="132">
      <c r="F132" s="1" t="s">
        <v>643</v>
      </c>
      <c r="G132" s="1">
        <v>50.0</v>
      </c>
    </row>
    <row r="133">
      <c r="F133" s="1" t="s">
        <v>644</v>
      </c>
      <c r="G133" s="1">
        <v>60.0</v>
      </c>
    </row>
    <row r="134">
      <c r="F134" s="1" t="s">
        <v>640</v>
      </c>
      <c r="G134" s="1">
        <v>50.0</v>
      </c>
    </row>
    <row r="135">
      <c r="G135" s="4">
        <f>SUM(G131:G134)</f>
        <v>260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88"/>
    <col customWidth="1" min="2" max="2" width="27.25"/>
    <col customWidth="1" min="5" max="5" width="13.75"/>
    <col customWidth="1" min="8" max="8" width="14.38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553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516</v>
      </c>
      <c r="L1" s="14" t="s">
        <v>517</v>
      </c>
      <c r="M1" s="14" t="s">
        <v>645</v>
      </c>
    </row>
    <row r="2">
      <c r="A2" s="21">
        <v>45686.0</v>
      </c>
      <c r="B2" s="1" t="s">
        <v>646</v>
      </c>
      <c r="C2" s="1">
        <v>32.8</v>
      </c>
      <c r="E2" s="1">
        <v>32.8</v>
      </c>
      <c r="F2" s="3"/>
      <c r="G2" s="3"/>
      <c r="I2" s="3"/>
      <c r="K2" s="3"/>
      <c r="L2" s="3"/>
      <c r="M2" s="1"/>
    </row>
    <row r="3">
      <c r="A3" s="21">
        <v>45686.0</v>
      </c>
      <c r="B3" s="1" t="s">
        <v>647</v>
      </c>
      <c r="C3" s="1">
        <v>500.0</v>
      </c>
      <c r="F3" s="3"/>
      <c r="G3" s="3"/>
      <c r="I3" s="3"/>
      <c r="K3" s="3"/>
      <c r="L3" s="3"/>
      <c r="M3" s="1">
        <v>500.0</v>
      </c>
    </row>
    <row r="4">
      <c r="A4" s="21">
        <v>45693.0</v>
      </c>
      <c r="B4" s="1" t="s">
        <v>648</v>
      </c>
      <c r="C4" s="1">
        <v>40.6</v>
      </c>
      <c r="F4" s="3"/>
      <c r="G4" s="3"/>
      <c r="I4" s="3"/>
      <c r="J4" s="3"/>
      <c r="K4" s="3"/>
      <c r="L4" s="2"/>
      <c r="M4" s="1">
        <v>40.6</v>
      </c>
    </row>
    <row r="5">
      <c r="A5" s="21">
        <v>45692.0</v>
      </c>
      <c r="B5" s="1" t="s">
        <v>649</v>
      </c>
      <c r="C5" s="1">
        <v>17.77</v>
      </c>
      <c r="E5" s="2"/>
      <c r="F5" s="3"/>
      <c r="G5" s="3"/>
      <c r="H5" s="3"/>
      <c r="I5" s="3"/>
      <c r="K5" s="3"/>
      <c r="L5" s="3"/>
      <c r="M5" s="1">
        <v>17.77</v>
      </c>
    </row>
    <row r="6">
      <c r="A6" s="21">
        <v>45692.0</v>
      </c>
      <c r="B6" s="1" t="s">
        <v>650</v>
      </c>
      <c r="C6" s="1">
        <v>5.67</v>
      </c>
      <c r="E6" s="3"/>
      <c r="F6" s="3"/>
      <c r="H6" s="2"/>
      <c r="I6" s="3"/>
      <c r="J6" s="3"/>
      <c r="K6" s="3"/>
      <c r="L6" s="3"/>
      <c r="M6" s="1">
        <v>5.67</v>
      </c>
    </row>
    <row r="7">
      <c r="A7" s="21">
        <v>45695.0</v>
      </c>
      <c r="B7" s="1" t="s">
        <v>646</v>
      </c>
      <c r="C7" s="1">
        <v>32.8</v>
      </c>
      <c r="E7" s="1">
        <v>32.8</v>
      </c>
      <c r="F7" s="3"/>
      <c r="G7" s="3"/>
      <c r="H7" s="3"/>
      <c r="I7" s="3"/>
      <c r="J7" s="3"/>
      <c r="K7" s="3"/>
      <c r="L7" s="3"/>
      <c r="M7" s="3"/>
    </row>
    <row r="8">
      <c r="A8" s="21">
        <v>45695.0</v>
      </c>
      <c r="B8" s="1" t="s">
        <v>651</v>
      </c>
      <c r="C8" s="1">
        <v>14.5</v>
      </c>
      <c r="E8" s="1">
        <v>14.5</v>
      </c>
      <c r="F8" s="3"/>
      <c r="G8" s="3"/>
      <c r="H8" s="3"/>
      <c r="I8" s="3"/>
      <c r="J8" s="3"/>
      <c r="K8" s="3"/>
      <c r="L8" s="3"/>
      <c r="M8" s="3"/>
    </row>
    <row r="9">
      <c r="A9" s="21">
        <v>45695.0</v>
      </c>
      <c r="B9" s="1" t="s">
        <v>357</v>
      </c>
      <c r="C9" s="1">
        <v>40.0</v>
      </c>
      <c r="D9" s="1">
        <v>40.0</v>
      </c>
      <c r="M9" s="3"/>
    </row>
    <row r="10">
      <c r="A10" s="21">
        <v>45695.0</v>
      </c>
      <c r="B10" s="1" t="s">
        <v>652</v>
      </c>
      <c r="C10" s="1">
        <v>15.0</v>
      </c>
      <c r="E10" s="1">
        <v>15.0</v>
      </c>
      <c r="F10" s="3"/>
      <c r="G10" s="3"/>
      <c r="H10" s="3"/>
      <c r="I10" s="3"/>
      <c r="J10" s="3"/>
      <c r="K10" s="3"/>
      <c r="L10" s="3"/>
      <c r="M10" s="3"/>
    </row>
    <row r="11">
      <c r="A11" s="21">
        <v>45697.0</v>
      </c>
      <c r="B11" s="1" t="s">
        <v>163</v>
      </c>
      <c r="C11" s="1">
        <v>73.7</v>
      </c>
      <c r="E11" s="1">
        <v>73.7</v>
      </c>
    </row>
    <row r="12">
      <c r="A12" s="21">
        <v>45696.0</v>
      </c>
      <c r="B12" s="1" t="s">
        <v>636</v>
      </c>
      <c r="C12" s="1">
        <v>6.6</v>
      </c>
      <c r="E12" s="1">
        <v>6.6</v>
      </c>
    </row>
    <row r="13">
      <c r="A13" s="21">
        <v>45696.0</v>
      </c>
      <c r="B13" s="1" t="s">
        <v>636</v>
      </c>
      <c r="C13" s="1">
        <v>6.6</v>
      </c>
      <c r="E13" s="1">
        <v>6.6</v>
      </c>
    </row>
    <row r="14">
      <c r="A14" s="21">
        <v>45686.0</v>
      </c>
      <c r="B14" s="1" t="s">
        <v>653</v>
      </c>
      <c r="C14" s="1">
        <v>96.9</v>
      </c>
      <c r="E14" s="1">
        <v>96.9</v>
      </c>
    </row>
    <row r="15">
      <c r="A15" s="21"/>
      <c r="D15" s="3">
        <f t="shared" ref="D15:M15" si="1">SUM(D2:D14)</f>
        <v>40</v>
      </c>
      <c r="E15" s="3">
        <f t="shared" si="1"/>
        <v>278.9</v>
      </c>
      <c r="F15" s="4">
        <f t="shared" si="1"/>
        <v>0</v>
      </c>
      <c r="G15" s="4">
        <f t="shared" si="1"/>
        <v>0</v>
      </c>
      <c r="H15" s="4">
        <f t="shared" si="1"/>
        <v>0</v>
      </c>
      <c r="I15" s="4">
        <f t="shared" si="1"/>
        <v>0</v>
      </c>
      <c r="J15" s="4">
        <f t="shared" si="1"/>
        <v>0</v>
      </c>
      <c r="K15" s="4">
        <f t="shared" si="1"/>
        <v>0</v>
      </c>
      <c r="L15" s="4">
        <f t="shared" si="1"/>
        <v>0</v>
      </c>
      <c r="M15" s="4">
        <f t="shared" si="1"/>
        <v>564.04</v>
      </c>
    </row>
    <row r="16">
      <c r="A16" s="21"/>
    </row>
    <row r="17">
      <c r="A17" s="21"/>
    </row>
    <row r="18">
      <c r="A18" s="21"/>
    </row>
    <row r="19">
      <c r="A19" s="21"/>
    </row>
    <row r="20">
      <c r="A20" s="21"/>
    </row>
    <row r="21">
      <c r="A21" s="21"/>
    </row>
    <row r="22">
      <c r="A22" s="21"/>
      <c r="H22" s="1" t="s">
        <v>654</v>
      </c>
      <c r="M22" s="1" t="s">
        <v>655</v>
      </c>
      <c r="N22" s="1" t="s">
        <v>656</v>
      </c>
      <c r="S22" s="1" t="s">
        <v>657</v>
      </c>
    </row>
    <row r="23">
      <c r="A23" s="21"/>
      <c r="H23" s="1" t="s">
        <v>52</v>
      </c>
      <c r="N23" s="1" t="s">
        <v>658</v>
      </c>
      <c r="V23" s="1" t="s">
        <v>659</v>
      </c>
      <c r="W23" s="1">
        <v>828.01</v>
      </c>
    </row>
    <row r="24">
      <c r="A24" s="21"/>
      <c r="H24" s="1">
        <v>12.99</v>
      </c>
      <c r="N24" s="1">
        <v>42.99</v>
      </c>
      <c r="V24" s="1" t="s">
        <v>660</v>
      </c>
      <c r="W24" s="1">
        <v>104.59</v>
      </c>
    </row>
    <row r="25">
      <c r="A25" s="21"/>
      <c r="H25" s="1">
        <v>12.99</v>
      </c>
      <c r="N25" s="1">
        <v>12.99</v>
      </c>
      <c r="V25" s="1" t="s">
        <v>661</v>
      </c>
      <c r="W25" s="1">
        <v>16.82</v>
      </c>
    </row>
    <row r="26">
      <c r="A26" s="21"/>
      <c r="H26" s="1">
        <v>12.99</v>
      </c>
      <c r="V26" s="1" t="s">
        <v>54</v>
      </c>
      <c r="W26" s="1">
        <v>6.16</v>
      </c>
    </row>
    <row r="27">
      <c r="A27" s="21"/>
      <c r="H27" s="1">
        <v>52.99</v>
      </c>
      <c r="V27" s="1" t="s">
        <v>29</v>
      </c>
      <c r="W27" s="1">
        <v>105.49</v>
      </c>
    </row>
    <row r="28">
      <c r="A28" s="21"/>
      <c r="D28" s="2"/>
      <c r="E28" s="3"/>
      <c r="F28" s="3"/>
      <c r="G28" s="3"/>
      <c r="H28" s="1">
        <v>9.99</v>
      </c>
      <c r="O28" s="4">
        <f>sum(N24:N25)</f>
        <v>55.98</v>
      </c>
      <c r="R28" s="1">
        <v>9.96</v>
      </c>
    </row>
    <row r="29">
      <c r="A29" s="21"/>
      <c r="D29" s="2"/>
      <c r="E29" s="3"/>
      <c r="F29" s="3"/>
      <c r="G29" s="3"/>
      <c r="I29" s="4">
        <f>sum(H24:H28)</f>
        <v>101.95</v>
      </c>
      <c r="L29" s="1">
        <v>18.25</v>
      </c>
    </row>
    <row r="30">
      <c r="A30" s="21"/>
      <c r="D30" s="3"/>
      <c r="E30" s="2"/>
      <c r="F30" s="3"/>
      <c r="G30" s="3"/>
      <c r="H30" s="1" t="s">
        <v>249</v>
      </c>
    </row>
    <row r="31">
      <c r="A31" s="21"/>
      <c r="D31" s="3"/>
      <c r="E31" s="3"/>
      <c r="F31" s="3"/>
      <c r="G31" s="3"/>
      <c r="H31" s="1">
        <v>49.99</v>
      </c>
      <c r="N31" s="1" t="s">
        <v>249</v>
      </c>
    </row>
    <row r="32">
      <c r="A32" s="21"/>
      <c r="D32" s="3"/>
      <c r="F32" s="3"/>
      <c r="G32" s="3"/>
      <c r="H32" s="1">
        <v>59.99</v>
      </c>
      <c r="N32" s="1">
        <v>129.99</v>
      </c>
    </row>
    <row r="33">
      <c r="A33" s="21"/>
      <c r="D33" s="3"/>
      <c r="F33" s="3"/>
      <c r="G33" s="3"/>
      <c r="H33" s="1">
        <v>29.99</v>
      </c>
      <c r="N33" s="1">
        <v>12.99</v>
      </c>
    </row>
    <row r="34">
      <c r="A34" s="25"/>
      <c r="D34" s="3"/>
      <c r="F34" s="3"/>
      <c r="G34" s="3"/>
      <c r="H34" s="1">
        <v>59.99</v>
      </c>
      <c r="N34" s="1">
        <v>69.99</v>
      </c>
    </row>
    <row r="35">
      <c r="A35" s="21"/>
      <c r="D35" s="3"/>
      <c r="F35" s="3"/>
      <c r="G35" s="3"/>
      <c r="H35" s="3"/>
      <c r="I35" s="4">
        <f>sum(H31:H34)</f>
        <v>199.96</v>
      </c>
      <c r="J35" s="1"/>
      <c r="L35" s="13">
        <v>35.8</v>
      </c>
      <c r="M35" s="13">
        <v>28.29</v>
      </c>
      <c r="O35" s="4">
        <f>sum(N32:N34)</f>
        <v>212.97</v>
      </c>
      <c r="R35" s="13">
        <v>37.85</v>
      </c>
      <c r="S35" s="13">
        <v>3.55</v>
      </c>
    </row>
    <row r="36">
      <c r="A36" s="21"/>
      <c r="D36" s="3"/>
      <c r="F36" s="3"/>
      <c r="G36" s="3"/>
      <c r="H36" s="3"/>
      <c r="I36" s="3"/>
      <c r="J36" s="4">
        <f>sum(I29:I35)</f>
        <v>301.91</v>
      </c>
      <c r="L36" s="1">
        <v>54.05</v>
      </c>
      <c r="P36" s="4">
        <f>sum(O28:O35)</f>
        <v>268.95</v>
      </c>
      <c r="R36" s="1">
        <v>47.81</v>
      </c>
    </row>
    <row r="37">
      <c r="A37" s="21"/>
      <c r="D37" s="2"/>
      <c r="E37" s="34"/>
      <c r="F37" s="3"/>
      <c r="G37" s="3"/>
      <c r="H37" s="3"/>
      <c r="I37" s="3"/>
    </row>
    <row r="38">
      <c r="A38" s="21"/>
      <c r="D38" s="2"/>
      <c r="E38" s="2"/>
      <c r="F38" s="3"/>
      <c r="G38" s="3"/>
      <c r="H38" s="3"/>
      <c r="I38" s="3"/>
      <c r="J38" s="1"/>
    </row>
    <row r="39">
      <c r="A39" s="21"/>
      <c r="D39" s="2"/>
      <c r="E39" s="2"/>
      <c r="F39" s="3"/>
      <c r="G39" s="3"/>
      <c r="H39" s="3"/>
      <c r="I39" s="3"/>
    </row>
    <row r="40">
      <c r="A40" s="21"/>
      <c r="D40" s="2"/>
      <c r="E40" s="2"/>
      <c r="F40" s="3"/>
      <c r="G40" s="3"/>
      <c r="H40" s="2"/>
      <c r="I40" s="3"/>
    </row>
    <row r="41">
      <c r="A41" s="21"/>
      <c r="D41" s="2"/>
      <c r="E41" s="2"/>
      <c r="F41" s="3"/>
      <c r="G41" s="3"/>
      <c r="H41" s="3"/>
      <c r="I41" s="3"/>
      <c r="L41" s="1"/>
    </row>
    <row r="42">
      <c r="A42" s="21"/>
      <c r="D42" s="2"/>
      <c r="E42" s="2"/>
      <c r="F42" s="3"/>
      <c r="G42" s="3"/>
      <c r="H42" s="3"/>
      <c r="I42" s="3"/>
    </row>
    <row r="43">
      <c r="A43" s="21"/>
      <c r="D43" s="2"/>
      <c r="E43" s="2"/>
      <c r="F43" s="3"/>
      <c r="G43" s="3"/>
      <c r="H43" s="3"/>
      <c r="I43" s="3"/>
      <c r="J43" s="3"/>
      <c r="K43" s="3"/>
    </row>
    <row r="44">
      <c r="A44" s="21"/>
      <c r="D44" s="2"/>
      <c r="E44" s="2"/>
      <c r="F44" s="3"/>
      <c r="G44" s="3"/>
      <c r="H44" s="3"/>
      <c r="I44" s="3"/>
      <c r="J44" s="3"/>
      <c r="K44" s="3"/>
    </row>
    <row r="45">
      <c r="A45" s="21"/>
      <c r="D45" s="3"/>
      <c r="E45" s="2"/>
      <c r="F45" s="3"/>
      <c r="G45" s="3"/>
      <c r="H45" s="3"/>
      <c r="I45" s="3"/>
      <c r="J45" s="3"/>
      <c r="K45" s="3"/>
    </row>
    <row r="46">
      <c r="A46" s="21"/>
      <c r="D46" s="3"/>
      <c r="E46" s="2"/>
      <c r="F46" s="3"/>
      <c r="G46" s="3"/>
      <c r="H46" s="3"/>
      <c r="I46" s="3"/>
      <c r="J46" s="3"/>
      <c r="K46" s="3"/>
    </row>
    <row r="47">
      <c r="A47" s="21"/>
      <c r="D47" s="3"/>
      <c r="E47" s="3"/>
      <c r="F47" s="3"/>
      <c r="G47" s="3"/>
      <c r="H47" s="3"/>
      <c r="I47" s="3"/>
      <c r="J47" s="3"/>
      <c r="K47" s="3"/>
    </row>
    <row r="48">
      <c r="A48" s="21"/>
      <c r="B48" s="30"/>
      <c r="D48" s="2"/>
      <c r="E48" s="2"/>
      <c r="F48" s="3"/>
      <c r="G48" s="3"/>
      <c r="H48" s="3"/>
      <c r="I48" s="3"/>
      <c r="J48" s="3"/>
      <c r="K48" s="3"/>
    </row>
    <row r="49">
      <c r="A49" s="21"/>
      <c r="B49" s="30"/>
      <c r="D49" s="2"/>
      <c r="E49" s="2"/>
      <c r="F49" s="3"/>
      <c r="G49" s="3"/>
      <c r="H49" s="3"/>
      <c r="I49" s="3"/>
      <c r="J49" s="3"/>
      <c r="K49" s="3"/>
    </row>
    <row r="50">
      <c r="A50" s="21"/>
      <c r="B50" s="30"/>
    </row>
    <row r="51">
      <c r="A51" s="21"/>
      <c r="B51" s="30"/>
      <c r="D51" s="35"/>
    </row>
    <row r="52">
      <c r="A52" s="21"/>
      <c r="D52" s="35"/>
    </row>
    <row r="53">
      <c r="A53" s="21"/>
      <c r="B53" s="30"/>
    </row>
    <row r="54">
      <c r="A54" s="21"/>
      <c r="B54" s="30"/>
    </row>
    <row r="55">
      <c r="A55" s="21"/>
      <c r="B55" s="30"/>
    </row>
    <row r="56">
      <c r="A56" s="21"/>
      <c r="B56" s="30"/>
    </row>
    <row r="550">
      <c r="F550" s="1" t="s">
        <v>638</v>
      </c>
    </row>
    <row r="551">
      <c r="F551" s="1" t="s">
        <v>639</v>
      </c>
      <c r="G551" s="1">
        <v>300.0</v>
      </c>
    </row>
    <row r="552">
      <c r="F552" s="1" t="s">
        <v>640</v>
      </c>
      <c r="G552" s="1">
        <v>70.0</v>
      </c>
    </row>
    <row r="553">
      <c r="G553" s="4">
        <f>SUM(G551:G552)</f>
        <v>370</v>
      </c>
    </row>
    <row r="554">
      <c r="F554" s="1"/>
    </row>
    <row r="555">
      <c r="F555" s="1" t="s">
        <v>641</v>
      </c>
    </row>
    <row r="556">
      <c r="F556" s="1" t="s">
        <v>642</v>
      </c>
      <c r="G556" s="1">
        <v>100.0</v>
      </c>
    </row>
    <row r="557">
      <c r="F557" s="1" t="s">
        <v>643</v>
      </c>
      <c r="G557" s="1">
        <v>50.0</v>
      </c>
    </row>
    <row r="558">
      <c r="F558" s="1" t="s">
        <v>644</v>
      </c>
      <c r="G558" s="1">
        <v>60.0</v>
      </c>
    </row>
    <row r="559">
      <c r="F559" s="1" t="s">
        <v>640</v>
      </c>
      <c r="G559" s="1">
        <v>50.0</v>
      </c>
    </row>
    <row r="560">
      <c r="G560" s="4">
        <f>SUM(G556:G559)</f>
        <v>260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88"/>
    <col customWidth="1" min="2" max="2" width="27.25"/>
    <col customWidth="1" min="5" max="5" width="17.25"/>
    <col customWidth="1" min="8" max="8" width="14.38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553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516</v>
      </c>
      <c r="L1" s="14" t="s">
        <v>517</v>
      </c>
      <c r="M1" s="14" t="s">
        <v>645</v>
      </c>
    </row>
    <row r="2">
      <c r="A2" s="21">
        <v>45686.0</v>
      </c>
      <c r="B2" s="1" t="s">
        <v>647</v>
      </c>
      <c r="C2" s="1">
        <v>500.0</v>
      </c>
      <c r="F2" s="3"/>
      <c r="G2" s="3"/>
      <c r="I2" s="3"/>
      <c r="K2" s="3"/>
      <c r="L2" s="3"/>
      <c r="M2" s="1">
        <v>500.0</v>
      </c>
    </row>
    <row r="3">
      <c r="A3" s="21">
        <v>45693.0</v>
      </c>
      <c r="B3" s="1" t="s">
        <v>648</v>
      </c>
      <c r="C3" s="1">
        <v>40.6</v>
      </c>
      <c r="F3" s="3"/>
      <c r="G3" s="3"/>
      <c r="I3" s="3"/>
      <c r="J3" s="3"/>
      <c r="K3" s="3"/>
      <c r="L3" s="2"/>
      <c r="M3" s="1">
        <v>40.6</v>
      </c>
    </row>
    <row r="4">
      <c r="A4" s="21">
        <v>45692.0</v>
      </c>
      <c r="B4" s="1" t="s">
        <v>649</v>
      </c>
      <c r="C4" s="1">
        <v>17.77</v>
      </c>
      <c r="E4" s="2"/>
      <c r="F4" s="3"/>
      <c r="G4" s="3"/>
      <c r="H4" s="3"/>
      <c r="I4" s="3"/>
      <c r="K4" s="3"/>
      <c r="L4" s="3"/>
      <c r="M4" s="1">
        <v>17.77</v>
      </c>
    </row>
    <row r="5">
      <c r="A5" s="21">
        <v>45692.0</v>
      </c>
      <c r="B5" s="1" t="s">
        <v>650</v>
      </c>
      <c r="C5" s="1">
        <v>5.67</v>
      </c>
      <c r="E5" s="3"/>
      <c r="F5" s="3"/>
      <c r="H5" s="2"/>
      <c r="I5" s="3"/>
      <c r="J5" s="3"/>
      <c r="K5" s="3"/>
      <c r="L5" s="3"/>
      <c r="M5" s="1">
        <v>5.67</v>
      </c>
    </row>
    <row r="6">
      <c r="A6" s="21"/>
      <c r="F6" s="3"/>
      <c r="G6" s="3"/>
      <c r="H6" s="3"/>
      <c r="I6" s="3"/>
      <c r="J6" s="3"/>
      <c r="K6" s="3"/>
      <c r="L6" s="3"/>
      <c r="M6" s="3"/>
    </row>
    <row r="7">
      <c r="A7" s="21"/>
      <c r="F7" s="3"/>
      <c r="G7" s="3"/>
      <c r="H7" s="3"/>
      <c r="I7" s="3"/>
      <c r="J7" s="3"/>
      <c r="K7" s="3"/>
      <c r="L7" s="3"/>
      <c r="M7" s="3"/>
    </row>
    <row r="8">
      <c r="A8" s="21"/>
      <c r="M8" s="3"/>
    </row>
    <row r="9">
      <c r="A9" s="21"/>
      <c r="F9" s="3"/>
      <c r="G9" s="3"/>
      <c r="H9" s="3"/>
      <c r="I9" s="3"/>
      <c r="J9" s="3"/>
      <c r="K9" s="3"/>
      <c r="L9" s="3"/>
      <c r="M9" s="3"/>
    </row>
    <row r="10">
      <c r="A10" s="21"/>
    </row>
    <row r="11">
      <c r="A11" s="21"/>
    </row>
    <row r="12">
      <c r="A12" s="21"/>
    </row>
    <row r="13">
      <c r="A13" s="21"/>
    </row>
    <row r="14">
      <c r="A14" s="21"/>
    </row>
    <row r="15">
      <c r="A15" s="21"/>
    </row>
    <row r="16">
      <c r="A16" s="21"/>
    </row>
    <row r="17">
      <c r="A17" s="21"/>
    </row>
    <row r="18">
      <c r="A18" s="21"/>
    </row>
    <row r="19">
      <c r="A19" s="21"/>
    </row>
    <row r="20">
      <c r="A20" s="21"/>
    </row>
    <row r="21">
      <c r="A21" s="21"/>
      <c r="H21" s="1" t="s">
        <v>654</v>
      </c>
      <c r="M21" s="1" t="s">
        <v>655</v>
      </c>
      <c r="N21" s="1" t="s">
        <v>656</v>
      </c>
      <c r="S21" s="1" t="s">
        <v>657</v>
      </c>
    </row>
    <row r="22">
      <c r="A22" s="21"/>
      <c r="H22" s="1" t="s">
        <v>52</v>
      </c>
      <c r="N22" s="1" t="s">
        <v>658</v>
      </c>
      <c r="V22" s="1" t="s">
        <v>659</v>
      </c>
      <c r="W22" s="1">
        <v>828.01</v>
      </c>
    </row>
    <row r="23">
      <c r="A23" s="21"/>
      <c r="H23" s="1">
        <v>12.99</v>
      </c>
      <c r="N23" s="1">
        <v>42.99</v>
      </c>
      <c r="V23" s="1" t="s">
        <v>660</v>
      </c>
      <c r="W23" s="1">
        <v>104.59</v>
      </c>
    </row>
    <row r="24">
      <c r="A24" s="21"/>
      <c r="H24" s="1">
        <v>12.99</v>
      </c>
      <c r="N24" s="1">
        <v>12.99</v>
      </c>
      <c r="V24" s="1" t="s">
        <v>661</v>
      </c>
      <c r="W24" s="1">
        <v>16.82</v>
      </c>
    </row>
    <row r="25">
      <c r="A25" s="21"/>
      <c r="H25" s="1">
        <v>12.99</v>
      </c>
      <c r="V25" s="1" t="s">
        <v>54</v>
      </c>
      <c r="W25" s="1">
        <v>6.16</v>
      </c>
    </row>
    <row r="26">
      <c r="A26" s="21"/>
      <c r="H26" s="1">
        <v>52.99</v>
      </c>
      <c r="V26" s="1" t="s">
        <v>29</v>
      </c>
      <c r="W26" s="1">
        <v>105.49</v>
      </c>
    </row>
    <row r="27">
      <c r="A27" s="21"/>
      <c r="D27" s="2"/>
      <c r="E27" s="3"/>
      <c r="F27" s="3"/>
      <c r="G27" s="3"/>
      <c r="H27" s="1">
        <v>9.99</v>
      </c>
      <c r="O27" s="4">
        <f>sum(N23:N24)</f>
        <v>55.98</v>
      </c>
      <c r="R27" s="1">
        <v>9.96</v>
      </c>
    </row>
    <row r="28">
      <c r="A28" s="21"/>
      <c r="D28" s="2"/>
      <c r="E28" s="3"/>
      <c r="F28" s="3"/>
      <c r="G28" s="3"/>
      <c r="I28" s="4">
        <f>sum(H23:H27)</f>
        <v>101.95</v>
      </c>
      <c r="L28" s="1">
        <v>18.25</v>
      </c>
    </row>
    <row r="29">
      <c r="A29" s="21"/>
      <c r="D29" s="3"/>
      <c r="E29" s="2"/>
      <c r="F29" s="3"/>
      <c r="G29" s="3"/>
      <c r="H29" s="1" t="s">
        <v>249</v>
      </c>
    </row>
    <row r="30">
      <c r="A30" s="21"/>
      <c r="D30" s="3"/>
      <c r="E30" s="3"/>
      <c r="F30" s="3"/>
      <c r="G30" s="3"/>
      <c r="H30" s="1">
        <v>49.99</v>
      </c>
      <c r="N30" s="1" t="s">
        <v>249</v>
      </c>
    </row>
    <row r="31">
      <c r="A31" s="21"/>
      <c r="D31" s="3"/>
      <c r="F31" s="3"/>
      <c r="G31" s="3"/>
      <c r="H31" s="1">
        <v>59.99</v>
      </c>
      <c r="N31" s="1">
        <v>129.99</v>
      </c>
    </row>
    <row r="32">
      <c r="A32" s="21"/>
      <c r="D32" s="3"/>
      <c r="F32" s="3"/>
      <c r="G32" s="3"/>
      <c r="H32" s="1">
        <v>29.99</v>
      </c>
      <c r="N32" s="1">
        <v>12.99</v>
      </c>
    </row>
    <row r="33">
      <c r="A33" s="25"/>
      <c r="D33" s="3"/>
      <c r="F33" s="3"/>
      <c r="G33" s="3"/>
      <c r="H33" s="1">
        <v>59.99</v>
      </c>
      <c r="N33" s="1">
        <v>69.99</v>
      </c>
    </row>
    <row r="34">
      <c r="A34" s="21"/>
      <c r="D34" s="3"/>
      <c r="F34" s="3"/>
      <c r="G34" s="3"/>
      <c r="H34" s="3"/>
      <c r="I34" s="4">
        <f>sum(H30:H33)</f>
        <v>199.96</v>
      </c>
      <c r="J34" s="1"/>
      <c r="L34" s="13">
        <v>35.8</v>
      </c>
      <c r="M34" s="13">
        <v>28.29</v>
      </c>
      <c r="O34" s="4">
        <f>sum(N31:N33)</f>
        <v>212.97</v>
      </c>
      <c r="R34" s="13">
        <v>37.85</v>
      </c>
      <c r="S34" s="13">
        <v>3.55</v>
      </c>
    </row>
    <row r="35">
      <c r="A35" s="21"/>
      <c r="D35" s="3"/>
      <c r="F35" s="3"/>
      <c r="G35" s="3"/>
      <c r="H35" s="3"/>
      <c r="I35" s="3"/>
      <c r="J35" s="4">
        <f>sum(I28:I34)</f>
        <v>301.91</v>
      </c>
      <c r="L35" s="1">
        <v>54.05</v>
      </c>
      <c r="P35" s="4">
        <f>sum(O27:O34)</f>
        <v>268.95</v>
      </c>
      <c r="R35" s="1">
        <v>47.81</v>
      </c>
    </row>
    <row r="36">
      <c r="A36" s="21"/>
      <c r="D36" s="2"/>
      <c r="E36" s="34"/>
      <c r="F36" s="3"/>
      <c r="G36" s="3"/>
      <c r="H36" s="3"/>
      <c r="I36" s="3"/>
    </row>
    <row r="37">
      <c r="A37" s="21"/>
      <c r="D37" s="2"/>
      <c r="E37" s="2"/>
      <c r="F37" s="3"/>
      <c r="G37" s="3"/>
      <c r="H37" s="3"/>
      <c r="I37" s="3"/>
      <c r="J37" s="1"/>
    </row>
    <row r="38">
      <c r="A38" s="21"/>
      <c r="D38" s="2"/>
      <c r="E38" s="2"/>
      <c r="F38" s="3"/>
      <c r="G38" s="3"/>
      <c r="H38" s="3"/>
      <c r="I38" s="3"/>
    </row>
    <row r="39">
      <c r="A39" s="21"/>
      <c r="D39" s="2"/>
      <c r="E39" s="2"/>
      <c r="F39" s="3"/>
      <c r="G39" s="3"/>
      <c r="H39" s="2"/>
      <c r="I39" s="3"/>
    </row>
    <row r="40">
      <c r="A40" s="21"/>
      <c r="D40" s="2"/>
      <c r="E40" s="2"/>
      <c r="F40" s="14" t="s">
        <v>659</v>
      </c>
      <c r="G40" s="14" t="s">
        <v>52</v>
      </c>
      <c r="H40" s="14" t="s">
        <v>661</v>
      </c>
      <c r="I40" s="14" t="s">
        <v>54</v>
      </c>
      <c r="J40" s="14" t="s">
        <v>29</v>
      </c>
      <c r="L40" s="1"/>
    </row>
    <row r="41">
      <c r="A41" s="21"/>
      <c r="D41" s="1"/>
      <c r="E41" s="1" t="s">
        <v>662</v>
      </c>
      <c r="H41" s="1">
        <v>16.82</v>
      </c>
    </row>
    <row r="42">
      <c r="A42" s="21"/>
      <c r="D42" s="1"/>
      <c r="E42" s="1" t="s">
        <v>663</v>
      </c>
      <c r="F42" s="1">
        <v>5.68</v>
      </c>
    </row>
    <row r="43">
      <c r="A43" s="21"/>
      <c r="D43" s="1"/>
      <c r="E43" s="1" t="s">
        <v>664</v>
      </c>
      <c r="F43" s="1">
        <v>146.52</v>
      </c>
    </row>
    <row r="44">
      <c r="A44" s="21"/>
      <c r="E44" s="1" t="s">
        <v>665</v>
      </c>
      <c r="F44" s="1">
        <v>44.67</v>
      </c>
    </row>
    <row r="45">
      <c r="A45" s="21"/>
      <c r="E45" s="1" t="s">
        <v>666</v>
      </c>
      <c r="F45" s="1">
        <v>7.94</v>
      </c>
    </row>
    <row r="46">
      <c r="A46" s="21"/>
      <c r="E46" s="1" t="s">
        <v>667</v>
      </c>
      <c r="F46" s="1">
        <v>5.31</v>
      </c>
    </row>
    <row r="47">
      <c r="A47" s="21"/>
      <c r="B47" s="30"/>
      <c r="D47" s="1"/>
      <c r="E47" s="1" t="s">
        <v>668</v>
      </c>
      <c r="F47" s="1">
        <v>4.07</v>
      </c>
    </row>
    <row r="48">
      <c r="A48" s="21"/>
      <c r="B48" s="30"/>
      <c r="D48" s="1"/>
      <c r="E48" s="1" t="s">
        <v>669</v>
      </c>
      <c r="G48" s="1">
        <v>10.99</v>
      </c>
    </row>
    <row r="49">
      <c r="A49" s="21"/>
      <c r="B49" s="30"/>
      <c r="E49" s="1" t="s">
        <v>670</v>
      </c>
      <c r="F49" s="1">
        <v>10.64</v>
      </c>
    </row>
    <row r="50">
      <c r="A50" s="21"/>
      <c r="B50" s="30"/>
      <c r="D50" s="35"/>
      <c r="E50" s="1" t="s">
        <v>671</v>
      </c>
      <c r="F50" s="1">
        <v>7.09</v>
      </c>
    </row>
    <row r="51">
      <c r="A51" s="21"/>
      <c r="D51" s="35"/>
      <c r="E51" s="1" t="s">
        <v>668</v>
      </c>
      <c r="F51" s="1">
        <v>3.29</v>
      </c>
    </row>
    <row r="52">
      <c r="A52" s="21"/>
      <c r="B52" s="30"/>
      <c r="E52" s="1" t="s">
        <v>672</v>
      </c>
      <c r="F52" s="1">
        <v>35.07</v>
      </c>
    </row>
    <row r="53">
      <c r="A53" s="21"/>
      <c r="B53" s="30"/>
      <c r="E53" s="1" t="s">
        <v>673</v>
      </c>
      <c r="F53" s="1">
        <v>45.38</v>
      </c>
    </row>
    <row r="54">
      <c r="A54" s="21"/>
      <c r="B54" s="30"/>
      <c r="E54" s="1" t="s">
        <v>674</v>
      </c>
      <c r="I54" s="1">
        <v>6.16</v>
      </c>
    </row>
    <row r="55">
      <c r="A55" s="21"/>
      <c r="B55" s="30"/>
      <c r="E55" s="1" t="s">
        <v>675</v>
      </c>
      <c r="F55" s="1">
        <v>40.51</v>
      </c>
    </row>
    <row r="56">
      <c r="E56" s="1" t="s">
        <v>676</v>
      </c>
      <c r="F56" s="1">
        <v>16.74</v>
      </c>
    </row>
    <row r="57">
      <c r="E57" s="1" t="s">
        <v>668</v>
      </c>
      <c r="F57" s="1">
        <v>4.07</v>
      </c>
    </row>
    <row r="58">
      <c r="E58" s="1" t="s">
        <v>677</v>
      </c>
      <c r="G58" s="1">
        <v>3.54</v>
      </c>
    </row>
    <row r="59">
      <c r="E59" s="1" t="s">
        <v>678</v>
      </c>
      <c r="F59" s="1">
        <v>6.39</v>
      </c>
    </row>
    <row r="60">
      <c r="E60" s="1" t="s">
        <v>679</v>
      </c>
      <c r="F60" s="1">
        <v>10.74</v>
      </c>
    </row>
    <row r="61">
      <c r="E61" s="1" t="s">
        <v>680</v>
      </c>
      <c r="F61" s="1">
        <v>17.73</v>
      </c>
    </row>
    <row r="62">
      <c r="E62" s="1" t="s">
        <v>681</v>
      </c>
      <c r="F62" s="1">
        <v>17.73</v>
      </c>
    </row>
    <row r="63">
      <c r="E63" s="1" t="s">
        <v>668</v>
      </c>
      <c r="F63" s="1">
        <v>7.25</v>
      </c>
    </row>
    <row r="64">
      <c r="E64" s="1" t="s">
        <v>668</v>
      </c>
      <c r="F64" s="1">
        <v>6.38</v>
      </c>
    </row>
    <row r="65">
      <c r="E65" s="1" t="s">
        <v>682</v>
      </c>
      <c r="F65" s="1">
        <v>112.18</v>
      </c>
    </row>
    <row r="66">
      <c r="E66" s="1" t="s">
        <v>668</v>
      </c>
      <c r="F66" s="1">
        <v>7.61</v>
      </c>
    </row>
    <row r="67">
      <c r="E67" s="1" t="s">
        <v>683</v>
      </c>
      <c r="F67" s="1">
        <v>35.0</v>
      </c>
    </row>
    <row r="68">
      <c r="E68" s="1" t="s">
        <v>684</v>
      </c>
      <c r="F68" s="1">
        <v>3.54</v>
      </c>
    </row>
    <row r="69">
      <c r="E69" s="1" t="s">
        <v>685</v>
      </c>
      <c r="F69" s="1">
        <v>19.5</v>
      </c>
    </row>
    <row r="70">
      <c r="E70" s="1" t="s">
        <v>686</v>
      </c>
      <c r="F70" s="1">
        <v>0.22</v>
      </c>
    </row>
    <row r="71">
      <c r="E71" s="1" t="s">
        <v>668</v>
      </c>
      <c r="F71" s="1">
        <v>1.67</v>
      </c>
    </row>
    <row r="72">
      <c r="E72" s="1" t="s">
        <v>687</v>
      </c>
      <c r="J72" s="1">
        <v>3.55</v>
      </c>
    </row>
    <row r="73">
      <c r="E73" s="1" t="s">
        <v>688</v>
      </c>
      <c r="G73" s="1">
        <v>4.44</v>
      </c>
    </row>
    <row r="74">
      <c r="E74" s="1" t="s">
        <v>668</v>
      </c>
      <c r="F74" s="1">
        <v>3.18</v>
      </c>
    </row>
    <row r="75">
      <c r="E75" s="1" t="s">
        <v>689</v>
      </c>
      <c r="F75" s="1">
        <v>53.32</v>
      </c>
    </row>
    <row r="76">
      <c r="E76" s="1" t="s">
        <v>690</v>
      </c>
      <c r="F76" s="1">
        <v>69.33</v>
      </c>
    </row>
    <row r="77">
      <c r="E77" s="1" t="s">
        <v>668</v>
      </c>
      <c r="F77" s="1">
        <v>4.96</v>
      </c>
    </row>
    <row r="78">
      <c r="E78" s="1" t="s">
        <v>691</v>
      </c>
      <c r="F78" s="1">
        <v>10.66</v>
      </c>
    </row>
    <row r="79">
      <c r="E79" s="1" t="s">
        <v>692</v>
      </c>
      <c r="J79" s="1">
        <v>37.85</v>
      </c>
    </row>
    <row r="80">
      <c r="E80" s="1" t="s">
        <v>692</v>
      </c>
      <c r="F80" s="1">
        <v>9.96</v>
      </c>
    </row>
    <row r="81">
      <c r="E81" s="1" t="s">
        <v>668</v>
      </c>
      <c r="F81" s="1">
        <v>6.75</v>
      </c>
    </row>
    <row r="82">
      <c r="E82" s="1" t="s">
        <v>668</v>
      </c>
      <c r="F82" s="1">
        <v>6.04</v>
      </c>
    </row>
    <row r="83">
      <c r="E83" s="1" t="s">
        <v>693</v>
      </c>
      <c r="G83" s="1">
        <v>18.25</v>
      </c>
    </row>
    <row r="84">
      <c r="E84" s="1" t="s">
        <v>693</v>
      </c>
      <c r="J84" s="1">
        <v>35.8</v>
      </c>
    </row>
    <row r="85">
      <c r="E85" s="1" t="s">
        <v>694</v>
      </c>
      <c r="G85" s="1">
        <v>25.05</v>
      </c>
    </row>
    <row r="86">
      <c r="E86" s="1" t="s">
        <v>695</v>
      </c>
      <c r="J86" s="1">
        <v>28.29</v>
      </c>
    </row>
    <row r="87">
      <c r="E87" s="1" t="s">
        <v>668</v>
      </c>
      <c r="F87" s="1">
        <v>1.78</v>
      </c>
    </row>
    <row r="88">
      <c r="E88" s="1" t="s">
        <v>696</v>
      </c>
      <c r="F88" s="1">
        <v>29.54</v>
      </c>
    </row>
    <row r="89">
      <c r="E89" s="1" t="s">
        <v>668</v>
      </c>
      <c r="F89" s="1">
        <v>2.52</v>
      </c>
    </row>
    <row r="90">
      <c r="E90" s="1" t="s">
        <v>697</v>
      </c>
      <c r="G90" s="1">
        <v>10.82</v>
      </c>
    </row>
    <row r="91">
      <c r="E91" s="1" t="s">
        <v>698</v>
      </c>
      <c r="G91" s="1">
        <v>31.5</v>
      </c>
    </row>
    <row r="92">
      <c r="E92" s="1" t="s">
        <v>699</v>
      </c>
      <c r="F92" s="1">
        <v>4.0</v>
      </c>
    </row>
    <row r="93">
      <c r="E93" s="1" t="s">
        <v>668</v>
      </c>
      <c r="F93" s="1">
        <v>6.62</v>
      </c>
    </row>
    <row r="94">
      <c r="E94" s="14" t="s">
        <v>139</v>
      </c>
      <c r="F94" s="16">
        <f t="shared" ref="F94:J94" si="1">sum(F41:F93)</f>
        <v>831.58</v>
      </c>
      <c r="G94" s="16">
        <f t="shared" si="1"/>
        <v>104.59</v>
      </c>
      <c r="H94" s="16">
        <f t="shared" si="1"/>
        <v>16.82</v>
      </c>
      <c r="I94" s="16">
        <f t="shared" si="1"/>
        <v>6.16</v>
      </c>
      <c r="J94" s="16">
        <f t="shared" si="1"/>
        <v>105.49</v>
      </c>
    </row>
    <row r="95">
      <c r="K95" s="16">
        <f>sum(F94:J94)</f>
        <v>1064.64</v>
      </c>
    </row>
    <row r="104">
      <c r="H104" s="1" t="s">
        <v>700</v>
      </c>
      <c r="I104" s="1" t="s">
        <v>701</v>
      </c>
    </row>
    <row r="105">
      <c r="G105" s="1" t="s">
        <v>702</v>
      </c>
      <c r="H105" s="1">
        <v>831.58</v>
      </c>
      <c r="I105" s="1">
        <v>77.92</v>
      </c>
    </row>
    <row r="106">
      <c r="D106" s="1" t="s">
        <v>703</v>
      </c>
      <c r="E106" s="1">
        <v>2433.91</v>
      </c>
      <c r="G106" s="1" t="s">
        <v>704</v>
      </c>
      <c r="I106" s="1">
        <v>564.04</v>
      </c>
    </row>
    <row r="107">
      <c r="D107" s="1" t="s">
        <v>705</v>
      </c>
      <c r="E107" s="1">
        <v>7686.0</v>
      </c>
    </row>
    <row r="108">
      <c r="E108" s="4">
        <f>SUM(E106:E107)</f>
        <v>10119.91</v>
      </c>
    </row>
    <row r="109">
      <c r="D109" s="1" t="s">
        <v>706</v>
      </c>
      <c r="E109" s="1">
        <v>-6704.15</v>
      </c>
      <c r="G109" s="1" t="s">
        <v>637</v>
      </c>
      <c r="H109" s="1">
        <v>3093.48</v>
      </c>
      <c r="I109" s="4">
        <f>SUM(I105:I106)</f>
        <v>641.96</v>
      </c>
      <c r="J109" s="4">
        <f>sum(H109:I109)</f>
        <v>3735.44</v>
      </c>
    </row>
    <row r="110">
      <c r="E110" s="4">
        <f>sum(E108:E109)</f>
        <v>3415.76</v>
      </c>
    </row>
    <row r="549">
      <c r="F549" s="1" t="s">
        <v>638</v>
      </c>
    </row>
    <row r="550">
      <c r="F550" s="1" t="s">
        <v>639</v>
      </c>
      <c r="G550" s="1">
        <v>300.0</v>
      </c>
    </row>
    <row r="551">
      <c r="F551" s="1" t="s">
        <v>640</v>
      </c>
      <c r="G551" s="1">
        <v>70.0</v>
      </c>
    </row>
    <row r="552">
      <c r="G552" s="4">
        <f>SUM(G550:G551)</f>
        <v>370</v>
      </c>
    </row>
    <row r="553">
      <c r="F553" s="1"/>
    </row>
    <row r="554">
      <c r="F554" s="1" t="s">
        <v>641</v>
      </c>
    </row>
    <row r="555">
      <c r="F555" s="1" t="s">
        <v>642</v>
      </c>
      <c r="G555" s="1">
        <v>100.0</v>
      </c>
    </row>
    <row r="556">
      <c r="F556" s="1" t="s">
        <v>643</v>
      </c>
      <c r="G556" s="1">
        <v>50.0</v>
      </c>
    </row>
    <row r="557">
      <c r="F557" s="1" t="s">
        <v>644</v>
      </c>
      <c r="G557" s="1">
        <v>60.0</v>
      </c>
    </row>
    <row r="558">
      <c r="F558" s="1" t="s">
        <v>640</v>
      </c>
      <c r="G558" s="1">
        <v>50.0</v>
      </c>
    </row>
    <row r="559">
      <c r="G559" s="4">
        <f>SUM(G555:G558)</f>
        <v>260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4" max="4" width="17.75"/>
    <col customWidth="1" min="5" max="5" width="30.5"/>
  </cols>
  <sheetData>
    <row r="1">
      <c r="A1" s="14" t="s">
        <v>707</v>
      </c>
    </row>
    <row r="2">
      <c r="A2" s="14" t="s">
        <v>708</v>
      </c>
      <c r="B2" s="1"/>
    </row>
    <row r="3">
      <c r="A3" s="14" t="s">
        <v>709</v>
      </c>
      <c r="B3" s="14" t="s">
        <v>710</v>
      </c>
      <c r="C3" s="14" t="s">
        <v>711</v>
      </c>
      <c r="D3" s="14" t="s">
        <v>712</v>
      </c>
      <c r="E3" s="14" t="s">
        <v>713</v>
      </c>
      <c r="F3" s="14" t="s">
        <v>714</v>
      </c>
    </row>
    <row r="4">
      <c r="A4" s="1" t="s">
        <v>715</v>
      </c>
      <c r="B4" s="36">
        <v>29.67</v>
      </c>
      <c r="C4" s="36">
        <v>1.37</v>
      </c>
      <c r="D4" s="36">
        <v>118.68</v>
      </c>
      <c r="E4" s="1">
        <v>3.66</v>
      </c>
    </row>
    <row r="5">
      <c r="A5" s="1" t="s">
        <v>716</v>
      </c>
      <c r="B5" s="36">
        <v>29.67</v>
      </c>
      <c r="C5" s="36">
        <v>1.37</v>
      </c>
      <c r="D5" s="36">
        <v>118.68</v>
      </c>
      <c r="E5" s="1">
        <v>3.66</v>
      </c>
    </row>
    <row r="6">
      <c r="A6" s="1" t="s">
        <v>717</v>
      </c>
      <c r="B6" s="36">
        <v>29.67</v>
      </c>
      <c r="C6" s="36">
        <v>1.37</v>
      </c>
      <c r="D6" s="36">
        <v>118.68</v>
      </c>
      <c r="E6" s="1">
        <v>3.66</v>
      </c>
    </row>
    <row r="7">
      <c r="A7" s="1" t="s">
        <v>718</v>
      </c>
      <c r="B7" s="36">
        <v>29.67</v>
      </c>
      <c r="C7" s="36">
        <v>1.37</v>
      </c>
      <c r="D7" s="36">
        <v>118.68</v>
      </c>
      <c r="E7" s="1">
        <v>3.66</v>
      </c>
    </row>
    <row r="8">
      <c r="A8" s="1" t="s">
        <v>719</v>
      </c>
      <c r="B8" s="36">
        <v>29.67</v>
      </c>
      <c r="C8" s="36">
        <v>1.37</v>
      </c>
      <c r="D8" s="36">
        <v>118.68</v>
      </c>
      <c r="E8" s="1">
        <v>3.66</v>
      </c>
    </row>
    <row r="9">
      <c r="A9" s="1" t="s">
        <v>720</v>
      </c>
      <c r="B9" s="36">
        <v>29.67</v>
      </c>
      <c r="C9" s="36">
        <v>1.37</v>
      </c>
      <c r="D9" s="36">
        <v>118.68</v>
      </c>
      <c r="E9" s="1">
        <v>3.66</v>
      </c>
    </row>
    <row r="10">
      <c r="A10" s="1" t="s">
        <v>721</v>
      </c>
      <c r="B10" s="36">
        <v>29.67</v>
      </c>
      <c r="C10" s="36">
        <v>1.37</v>
      </c>
      <c r="D10" s="36">
        <v>118.68</v>
      </c>
      <c r="E10" s="1">
        <v>3.66</v>
      </c>
    </row>
    <row r="11">
      <c r="A11" s="1" t="s">
        <v>52</v>
      </c>
      <c r="B11" s="36">
        <v>29.67</v>
      </c>
      <c r="C11" s="36">
        <v>1.37</v>
      </c>
      <c r="D11" s="36">
        <v>118.68</v>
      </c>
      <c r="E11" s="1">
        <v>3.66</v>
      </c>
    </row>
    <row r="12">
      <c r="A12" s="1" t="s">
        <v>722</v>
      </c>
      <c r="B12" s="36">
        <v>29.67</v>
      </c>
      <c r="C12" s="36">
        <v>1.37</v>
      </c>
      <c r="D12" s="36">
        <v>118.68</v>
      </c>
      <c r="E12" s="1">
        <v>3.66</v>
      </c>
    </row>
    <row r="13">
      <c r="A13" s="1" t="s">
        <v>723</v>
      </c>
      <c r="B13" s="19">
        <v>29.67</v>
      </c>
      <c r="C13" s="19">
        <v>1.37</v>
      </c>
      <c r="D13" s="19">
        <v>118.68</v>
      </c>
      <c r="E13" s="1">
        <v>3.66</v>
      </c>
    </row>
    <row r="14">
      <c r="A14" s="1" t="s">
        <v>724</v>
      </c>
      <c r="B14" s="19">
        <v>29.67</v>
      </c>
      <c r="C14" s="19">
        <v>1.37</v>
      </c>
      <c r="D14" s="19">
        <v>118.68</v>
      </c>
      <c r="E14" s="1">
        <v>3.66</v>
      </c>
    </row>
    <row r="16">
      <c r="D16" s="4">
        <f>SUM(D4:D14)</f>
        <v>1305.48</v>
      </c>
    </row>
    <row r="20">
      <c r="E20" s="1" t="s">
        <v>725</v>
      </c>
      <c r="F20" s="1">
        <v>237.36</v>
      </c>
    </row>
    <row r="21">
      <c r="F21" s="1">
        <v>2.74</v>
      </c>
    </row>
    <row r="22">
      <c r="E22" s="1" t="s">
        <v>720</v>
      </c>
      <c r="F22" s="1">
        <f>323.16</f>
        <v>323.16</v>
      </c>
      <c r="G22" s="1">
        <v>126.0</v>
      </c>
    </row>
    <row r="23">
      <c r="E23" s="1" t="s">
        <v>715</v>
      </c>
      <c r="F23" s="1">
        <v>237.36</v>
      </c>
    </row>
    <row r="29">
      <c r="E29" s="1">
        <v>279.36</v>
      </c>
      <c r="I29" s="4">
        <f>(41-0.7)/11</f>
        <v>3.663636364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88"/>
    <col customWidth="1" min="2" max="2" width="32.38"/>
    <col customWidth="1" min="5" max="5" width="17.25"/>
    <col customWidth="1" min="8" max="8" width="14.38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553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517</v>
      </c>
      <c r="L1" s="14" t="s">
        <v>726</v>
      </c>
      <c r="M1" s="14" t="s">
        <v>86</v>
      </c>
      <c r="N1" s="14" t="s">
        <v>250</v>
      </c>
    </row>
    <row r="2">
      <c r="A2" s="21">
        <v>45701.0</v>
      </c>
      <c r="B2" s="1" t="s">
        <v>727</v>
      </c>
      <c r="C2" s="1">
        <v>132.84</v>
      </c>
    </row>
    <row r="3">
      <c r="A3" s="21">
        <v>45701.0</v>
      </c>
      <c r="B3" s="1" t="s">
        <v>728</v>
      </c>
      <c r="C3" s="1">
        <v>566.78</v>
      </c>
      <c r="G3" s="1">
        <v>119.94</v>
      </c>
      <c r="K3" s="1"/>
      <c r="N3" s="4">
        <f>C3-119.94</f>
        <v>446.84</v>
      </c>
    </row>
    <row r="4">
      <c r="A4" s="21">
        <v>45701.0</v>
      </c>
      <c r="B4" s="1" t="s">
        <v>483</v>
      </c>
      <c r="C4" s="1">
        <v>21.0</v>
      </c>
      <c r="E4" s="1"/>
      <c r="H4" s="1">
        <v>21.0</v>
      </c>
    </row>
    <row r="5">
      <c r="A5" s="21">
        <v>45702.0</v>
      </c>
      <c r="B5" s="1" t="s">
        <v>729</v>
      </c>
      <c r="C5" s="1">
        <v>42.4</v>
      </c>
      <c r="E5" s="1">
        <v>42.4</v>
      </c>
      <c r="H5" s="1"/>
    </row>
    <row r="6">
      <c r="A6" s="21">
        <v>45703.0</v>
      </c>
      <c r="B6" s="1" t="s">
        <v>730</v>
      </c>
      <c r="C6" s="1">
        <v>269.9</v>
      </c>
      <c r="H6" s="1"/>
      <c r="N6" s="1">
        <v>269.9</v>
      </c>
    </row>
    <row r="7">
      <c r="A7" s="21">
        <v>45703.0</v>
      </c>
      <c r="B7" s="1" t="s">
        <v>731</v>
      </c>
      <c r="C7" s="1">
        <v>84.74</v>
      </c>
      <c r="D7" s="1">
        <v>44.0</v>
      </c>
      <c r="E7" s="4">
        <f>C7-D7</f>
        <v>40.74</v>
      </c>
    </row>
    <row r="8">
      <c r="A8" s="21">
        <v>45704.0</v>
      </c>
      <c r="B8" s="1" t="s">
        <v>732</v>
      </c>
      <c r="C8" s="1">
        <v>30.0</v>
      </c>
      <c r="D8" s="1">
        <v>30.0</v>
      </c>
    </row>
    <row r="9">
      <c r="A9" s="21">
        <v>45706.0</v>
      </c>
      <c r="B9" s="1" t="s">
        <v>448</v>
      </c>
      <c r="C9" s="1">
        <v>48.9</v>
      </c>
      <c r="H9" s="1">
        <v>48.9</v>
      </c>
    </row>
    <row r="10">
      <c r="A10" s="21">
        <v>45707.0</v>
      </c>
      <c r="B10" s="1" t="s">
        <v>733</v>
      </c>
      <c r="C10" s="1">
        <v>129.0</v>
      </c>
      <c r="E10" s="1">
        <v>129.0</v>
      </c>
    </row>
    <row r="11">
      <c r="A11" s="21">
        <v>45713.0</v>
      </c>
      <c r="B11" s="1" t="s">
        <v>734</v>
      </c>
      <c r="C11" s="1">
        <v>43.9</v>
      </c>
      <c r="E11" s="1">
        <v>43.9</v>
      </c>
    </row>
    <row r="12">
      <c r="A12" s="21">
        <v>45715.0</v>
      </c>
      <c r="B12" s="1" t="s">
        <v>735</v>
      </c>
      <c r="C12" s="1">
        <v>7.0</v>
      </c>
      <c r="H12" s="1">
        <v>7.0</v>
      </c>
    </row>
    <row r="13">
      <c r="A13" s="21">
        <v>45715.0</v>
      </c>
      <c r="B13" s="1" t="s">
        <v>736</v>
      </c>
      <c r="C13" s="1">
        <v>408.7</v>
      </c>
      <c r="D13" s="1">
        <v>408.7</v>
      </c>
    </row>
    <row r="14">
      <c r="A14" s="21">
        <v>45716.0</v>
      </c>
      <c r="B14" s="1" t="s">
        <v>729</v>
      </c>
      <c r="C14" s="1">
        <v>53.4</v>
      </c>
      <c r="E14" s="1">
        <v>53.4</v>
      </c>
    </row>
    <row r="15">
      <c r="A15" s="21"/>
    </row>
    <row r="16">
      <c r="A16" s="21">
        <v>45701.0</v>
      </c>
      <c r="B16" s="1" t="s">
        <v>737</v>
      </c>
      <c r="C16" s="1">
        <v>80.0</v>
      </c>
      <c r="E16" s="1">
        <v>80.0</v>
      </c>
    </row>
    <row r="17">
      <c r="A17" s="21">
        <v>45701.0</v>
      </c>
      <c r="B17" s="1" t="s">
        <v>738</v>
      </c>
      <c r="C17" s="1">
        <v>111.0</v>
      </c>
      <c r="J17" s="1">
        <v>111.0</v>
      </c>
    </row>
    <row r="18">
      <c r="A18" s="21">
        <v>45702.0</v>
      </c>
      <c r="B18" s="1" t="s">
        <v>739</v>
      </c>
      <c r="C18" s="1">
        <v>12.5</v>
      </c>
      <c r="E18" s="1">
        <v>12.5</v>
      </c>
    </row>
    <row r="19">
      <c r="A19" s="21">
        <v>45703.0</v>
      </c>
      <c r="B19" s="1" t="s">
        <v>740</v>
      </c>
      <c r="C19" s="1">
        <v>7.5</v>
      </c>
    </row>
    <row r="20">
      <c r="A20" s="21">
        <v>45710.0</v>
      </c>
      <c r="B20" s="1" t="s">
        <v>741</v>
      </c>
      <c r="C20" s="1">
        <v>50.0</v>
      </c>
      <c r="D20" s="1">
        <v>50.0</v>
      </c>
    </row>
    <row r="21">
      <c r="A21" s="21">
        <v>45789.0</v>
      </c>
      <c r="B21" s="1" t="s">
        <v>742</v>
      </c>
      <c r="C21" s="1">
        <v>70.0</v>
      </c>
      <c r="H21" s="1">
        <v>70.0</v>
      </c>
      <c r="O21" s="1">
        <v>89.25</v>
      </c>
    </row>
    <row r="22">
      <c r="A22" s="21"/>
    </row>
    <row r="23">
      <c r="A23" s="21"/>
      <c r="D23" s="4">
        <f t="shared" ref="D23:N23" si="1">SUM(D2:D21)</f>
        <v>532.7</v>
      </c>
      <c r="E23" s="4">
        <f t="shared" si="1"/>
        <v>401.94</v>
      </c>
      <c r="F23" s="4">
        <f t="shared" si="1"/>
        <v>0</v>
      </c>
      <c r="G23" s="4">
        <f t="shared" si="1"/>
        <v>119.94</v>
      </c>
      <c r="H23" s="4">
        <f t="shared" si="1"/>
        <v>146.9</v>
      </c>
      <c r="I23" s="4">
        <f t="shared" si="1"/>
        <v>0</v>
      </c>
      <c r="J23" s="4">
        <f t="shared" si="1"/>
        <v>111</v>
      </c>
      <c r="K23" s="4">
        <f t="shared" si="1"/>
        <v>0</v>
      </c>
      <c r="L23" s="4">
        <f t="shared" si="1"/>
        <v>0</v>
      </c>
      <c r="M23" s="4">
        <f t="shared" si="1"/>
        <v>0</v>
      </c>
      <c r="N23" s="4">
        <f t="shared" si="1"/>
        <v>716.74</v>
      </c>
    </row>
    <row r="24">
      <c r="A24" s="21"/>
    </row>
    <row r="25">
      <c r="A25" s="21"/>
    </row>
    <row r="26">
      <c r="A26" s="21"/>
    </row>
    <row r="27">
      <c r="A27" s="21"/>
      <c r="H27" s="4">
        <f>329.6+89.25</f>
        <v>418.85</v>
      </c>
      <c r="J27" s="4">
        <f>242.5</f>
        <v>242.5</v>
      </c>
    </row>
    <row r="28">
      <c r="A28" s="21"/>
    </row>
    <row r="29">
      <c r="A29" s="21"/>
    </row>
    <row r="30">
      <c r="A30" s="21"/>
    </row>
    <row r="31">
      <c r="A31" s="21"/>
    </row>
    <row r="32">
      <c r="A32" s="21"/>
    </row>
    <row r="33">
      <c r="A33" s="21"/>
    </row>
    <row r="34">
      <c r="A34" s="25"/>
    </row>
    <row r="35">
      <c r="A35" s="21"/>
      <c r="Q35" s="1"/>
      <c r="R35" s="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  <c r="B48" s="30"/>
    </row>
    <row r="49">
      <c r="A49" s="21"/>
      <c r="B49" s="30"/>
    </row>
    <row r="50">
      <c r="A50" s="21"/>
      <c r="B50" s="30"/>
    </row>
    <row r="51">
      <c r="A51" s="21"/>
      <c r="B51" s="30"/>
    </row>
    <row r="52">
      <c r="A52" s="21"/>
    </row>
    <row r="53">
      <c r="A53" s="21"/>
      <c r="B53" s="30"/>
    </row>
    <row r="54">
      <c r="A54" s="21"/>
      <c r="B54" s="30"/>
    </row>
    <row r="55">
      <c r="A55" s="21"/>
      <c r="B55" s="30"/>
    </row>
    <row r="56">
      <c r="A56" s="21"/>
      <c r="B56" s="30"/>
    </row>
    <row r="91">
      <c r="A91" s="37">
        <v>45702.0</v>
      </c>
      <c r="B91" s="38" t="s">
        <v>743</v>
      </c>
      <c r="C91" s="38">
        <v>158.0</v>
      </c>
    </row>
    <row r="92">
      <c r="A92" s="37">
        <v>45703.0</v>
      </c>
      <c r="B92" s="38" t="s">
        <v>744</v>
      </c>
      <c r="C92" s="38">
        <v>162.0</v>
      </c>
    </row>
    <row r="93">
      <c r="A93" s="37">
        <v>45709.0</v>
      </c>
      <c r="B93" s="38" t="s">
        <v>745</v>
      </c>
      <c r="C93" s="38">
        <v>9.6</v>
      </c>
    </row>
    <row r="550">
      <c r="F550" s="1" t="s">
        <v>638</v>
      </c>
    </row>
    <row r="551">
      <c r="F551" s="1" t="s">
        <v>639</v>
      </c>
      <c r="G551" s="1">
        <v>300.0</v>
      </c>
    </row>
    <row r="552">
      <c r="F552" s="1" t="s">
        <v>640</v>
      </c>
      <c r="G552" s="1">
        <v>70.0</v>
      </c>
    </row>
    <row r="553">
      <c r="G553" s="4">
        <f>SUM(G551:G552)</f>
        <v>370</v>
      </c>
    </row>
    <row r="554">
      <c r="F554" s="1"/>
    </row>
    <row r="555">
      <c r="F555" s="1" t="s">
        <v>641</v>
      </c>
    </row>
    <row r="556">
      <c r="F556" s="1" t="s">
        <v>642</v>
      </c>
      <c r="G556" s="1">
        <v>100.0</v>
      </c>
    </row>
    <row r="557">
      <c r="F557" s="1" t="s">
        <v>643</v>
      </c>
      <c r="G557" s="1">
        <v>50.0</v>
      </c>
    </row>
    <row r="558">
      <c r="F558" s="1" t="s">
        <v>644</v>
      </c>
      <c r="G558" s="1">
        <v>60.0</v>
      </c>
    </row>
    <row r="559">
      <c r="F559" s="1" t="s">
        <v>640</v>
      </c>
      <c r="G559" s="1">
        <v>50.0</v>
      </c>
    </row>
    <row r="560">
      <c r="G560" s="4">
        <f>SUM(G556:G559)</f>
        <v>260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88"/>
    <col customWidth="1" min="2" max="2" width="32.38"/>
    <col customWidth="1" min="5" max="5" width="17.25"/>
    <col customWidth="1" min="8" max="8" width="14.38"/>
    <col customWidth="1" min="13" max="13" width="15.38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517</v>
      </c>
      <c r="L1" s="14" t="s">
        <v>726</v>
      </c>
      <c r="M1" s="14" t="s">
        <v>86</v>
      </c>
      <c r="N1" s="14" t="s">
        <v>250</v>
      </c>
      <c r="O1" s="14" t="s">
        <v>746</v>
      </c>
    </row>
    <row r="2">
      <c r="A2" s="21">
        <v>45718.0</v>
      </c>
      <c r="B2" s="1" t="s">
        <v>45</v>
      </c>
      <c r="C2" s="1">
        <v>535.32</v>
      </c>
      <c r="D2" s="1">
        <v>535.32</v>
      </c>
    </row>
    <row r="3">
      <c r="A3" s="21">
        <v>45719.0</v>
      </c>
      <c r="B3" s="1" t="s">
        <v>747</v>
      </c>
      <c r="C3" s="1">
        <v>14.7</v>
      </c>
      <c r="D3" s="1">
        <v>14.7</v>
      </c>
    </row>
    <row r="4">
      <c r="A4" s="21">
        <v>45721.0</v>
      </c>
      <c r="B4" s="1" t="s">
        <v>748</v>
      </c>
      <c r="C4" s="1">
        <v>17.51</v>
      </c>
      <c r="O4" s="1">
        <v>17.51</v>
      </c>
    </row>
    <row r="5">
      <c r="A5" s="39">
        <v>45722.0</v>
      </c>
      <c r="B5" s="40" t="s">
        <v>749</v>
      </c>
      <c r="C5" s="40"/>
    </row>
    <row r="6">
      <c r="A6" s="21">
        <v>45723.0</v>
      </c>
      <c r="B6" s="1" t="s">
        <v>152</v>
      </c>
      <c r="C6" s="1">
        <v>37.3</v>
      </c>
      <c r="E6" s="1">
        <v>37.3</v>
      </c>
    </row>
    <row r="7">
      <c r="A7" s="21">
        <v>45877.0</v>
      </c>
      <c r="B7" s="1" t="s">
        <v>750</v>
      </c>
      <c r="C7" s="1">
        <v>82.0</v>
      </c>
      <c r="H7" s="1">
        <v>82.0</v>
      </c>
    </row>
    <row r="8">
      <c r="A8" s="41">
        <v>45725.0</v>
      </c>
      <c r="B8" s="1" t="s">
        <v>751</v>
      </c>
      <c r="C8" s="1">
        <v>7.2</v>
      </c>
      <c r="E8" s="1">
        <v>7.2</v>
      </c>
    </row>
    <row r="9">
      <c r="A9" s="41">
        <v>45725.0</v>
      </c>
      <c r="B9" s="1" t="s">
        <v>752</v>
      </c>
      <c r="C9" s="1">
        <v>223.0</v>
      </c>
      <c r="H9" s="1">
        <v>223.0</v>
      </c>
    </row>
    <row r="10">
      <c r="A10" s="21">
        <v>45726.0</v>
      </c>
      <c r="B10" s="1" t="s">
        <v>753</v>
      </c>
      <c r="C10" s="1">
        <v>7.1</v>
      </c>
      <c r="E10" s="1">
        <v>7.1</v>
      </c>
    </row>
    <row r="11">
      <c r="A11" s="21">
        <v>45726.0</v>
      </c>
      <c r="B11" s="1" t="s">
        <v>161</v>
      </c>
      <c r="C11" s="1">
        <v>73.0</v>
      </c>
      <c r="E11" s="1">
        <v>73.0</v>
      </c>
    </row>
    <row r="12">
      <c r="A12" s="21">
        <v>45726.0</v>
      </c>
      <c r="B12" s="1" t="s">
        <v>600</v>
      </c>
      <c r="C12" s="1">
        <v>78.0</v>
      </c>
      <c r="E12" s="1">
        <v>78.0</v>
      </c>
    </row>
    <row r="13">
      <c r="A13" s="21">
        <v>45727.0</v>
      </c>
      <c r="B13" s="1" t="s">
        <v>754</v>
      </c>
      <c r="C13" s="1">
        <v>7.1</v>
      </c>
      <c r="E13" s="1">
        <v>7.1</v>
      </c>
    </row>
    <row r="14">
      <c r="A14" s="21">
        <v>45727.0</v>
      </c>
      <c r="B14" s="1" t="s">
        <v>755</v>
      </c>
      <c r="C14" s="1">
        <v>100.0</v>
      </c>
      <c r="O14" s="1">
        <v>100.0</v>
      </c>
    </row>
    <row r="15">
      <c r="A15" s="21">
        <v>45727.0</v>
      </c>
      <c r="B15" s="1" t="s">
        <v>756</v>
      </c>
      <c r="C15" s="1">
        <v>7.63</v>
      </c>
      <c r="O15" s="1">
        <v>7.63</v>
      </c>
    </row>
    <row r="16">
      <c r="A16" s="21">
        <v>45727.0</v>
      </c>
      <c r="B16" s="1" t="s">
        <v>297</v>
      </c>
      <c r="C16" s="1">
        <v>61.0</v>
      </c>
      <c r="E16" s="1">
        <v>61.0</v>
      </c>
    </row>
    <row r="17">
      <c r="A17" s="21">
        <v>45729.0</v>
      </c>
      <c r="B17" s="1" t="s">
        <v>616</v>
      </c>
      <c r="C17" s="1">
        <v>193.46</v>
      </c>
      <c r="D17" s="4">
        <f>C17-F17-G17</f>
        <v>120.61</v>
      </c>
      <c r="F17" s="1">
        <v>48.93</v>
      </c>
      <c r="G17" s="1">
        <v>23.92</v>
      </c>
    </row>
    <row r="18">
      <c r="A18" s="42">
        <v>45719.0</v>
      </c>
      <c r="B18" s="14" t="s">
        <v>757</v>
      </c>
      <c r="C18" s="14">
        <v>50.0</v>
      </c>
      <c r="O18" s="14">
        <v>50.0</v>
      </c>
    </row>
    <row r="19">
      <c r="A19" s="21">
        <v>45720.0</v>
      </c>
      <c r="B19" s="1" t="s">
        <v>758</v>
      </c>
      <c r="C19" s="1">
        <v>18.2</v>
      </c>
      <c r="O19" s="1">
        <v>18.2</v>
      </c>
    </row>
    <row r="20">
      <c r="A20" s="21">
        <v>45722.0</v>
      </c>
      <c r="B20" s="1" t="s">
        <v>759</v>
      </c>
      <c r="C20" s="1">
        <v>23.3</v>
      </c>
      <c r="J20" s="1">
        <v>23.3</v>
      </c>
    </row>
    <row r="21">
      <c r="A21" s="21">
        <v>45729.0</v>
      </c>
      <c r="B21" s="1" t="s">
        <v>595</v>
      </c>
      <c r="C21" s="1">
        <v>15.0</v>
      </c>
      <c r="E21" s="1">
        <v>15.0</v>
      </c>
    </row>
    <row r="22">
      <c r="A22" s="21"/>
      <c r="C22" s="14" t="s">
        <v>760</v>
      </c>
      <c r="D22" s="15">
        <f t="shared" ref="D22:O22" si="1">SUM(D2:D21)</f>
        <v>670.63</v>
      </c>
      <c r="E22" s="15">
        <f t="shared" si="1"/>
        <v>285.7</v>
      </c>
      <c r="F22" s="15">
        <f t="shared" si="1"/>
        <v>48.93</v>
      </c>
      <c r="G22" s="15">
        <f t="shared" si="1"/>
        <v>23.92</v>
      </c>
      <c r="H22" s="15">
        <f t="shared" si="1"/>
        <v>305</v>
      </c>
      <c r="I22" s="15">
        <f t="shared" si="1"/>
        <v>0</v>
      </c>
      <c r="J22" s="15">
        <f t="shared" si="1"/>
        <v>23.3</v>
      </c>
      <c r="K22" s="15">
        <f t="shared" si="1"/>
        <v>0</v>
      </c>
      <c r="L22" s="15">
        <f t="shared" si="1"/>
        <v>0</v>
      </c>
      <c r="M22" s="15">
        <f t="shared" si="1"/>
        <v>0</v>
      </c>
      <c r="N22" s="15">
        <f t="shared" si="1"/>
        <v>0</v>
      </c>
      <c r="O22" s="15">
        <f t="shared" si="1"/>
        <v>193.34</v>
      </c>
    </row>
    <row r="23">
      <c r="A23" s="21"/>
      <c r="C23" s="1" t="s">
        <v>761</v>
      </c>
      <c r="D23" s="1">
        <v>32.7</v>
      </c>
      <c r="E23" s="1">
        <v>353.65</v>
      </c>
      <c r="H23" s="1">
        <v>261.0</v>
      </c>
      <c r="J23" s="1">
        <v>147.4</v>
      </c>
    </row>
    <row r="24">
      <c r="A24" s="21"/>
      <c r="D24" s="16">
        <f t="shared" ref="D24:O24" si="2">sum(D22:D23)</f>
        <v>703.33</v>
      </c>
      <c r="E24" s="16">
        <f t="shared" si="2"/>
        <v>639.35</v>
      </c>
      <c r="F24" s="16">
        <f t="shared" si="2"/>
        <v>48.93</v>
      </c>
      <c r="G24" s="16">
        <f t="shared" si="2"/>
        <v>23.92</v>
      </c>
      <c r="H24" s="16">
        <f t="shared" si="2"/>
        <v>566</v>
      </c>
      <c r="I24" s="16">
        <f t="shared" si="2"/>
        <v>0</v>
      </c>
      <c r="J24" s="16">
        <f t="shared" si="2"/>
        <v>170.7</v>
      </c>
      <c r="K24" s="16">
        <f t="shared" si="2"/>
        <v>0</v>
      </c>
      <c r="L24" s="16">
        <f t="shared" si="2"/>
        <v>0</v>
      </c>
      <c r="M24" s="16">
        <f t="shared" si="2"/>
        <v>0</v>
      </c>
      <c r="N24" s="16">
        <f t="shared" si="2"/>
        <v>0</v>
      </c>
      <c r="O24" s="16">
        <f t="shared" si="2"/>
        <v>193.34</v>
      </c>
    </row>
    <row r="25">
      <c r="A25" s="21"/>
    </row>
    <row r="26">
      <c r="A26" s="21"/>
    </row>
    <row r="27">
      <c r="A27" s="21"/>
    </row>
    <row r="28">
      <c r="A28" s="21"/>
      <c r="D28" s="4">
        <f>1607.29-D24</f>
        <v>903.96</v>
      </c>
      <c r="E28" s="4">
        <f>1591.47-E24</f>
        <v>952.12</v>
      </c>
      <c r="J28" s="4">
        <f>464.79-J24</f>
        <v>294.09</v>
      </c>
    </row>
    <row r="29">
      <c r="A29" s="21"/>
    </row>
    <row r="30">
      <c r="A30" s="21"/>
    </row>
    <row r="31">
      <c r="A31" s="21"/>
    </row>
    <row r="32">
      <c r="A32" s="21"/>
    </row>
    <row r="33">
      <c r="A33" s="25"/>
    </row>
    <row r="34">
      <c r="A34" s="21"/>
      <c r="Q34" s="1"/>
      <c r="R34" s="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  <c r="B47" s="30"/>
    </row>
    <row r="48">
      <c r="A48" s="21"/>
      <c r="B48" s="30"/>
    </row>
    <row r="49">
      <c r="A49" s="21"/>
      <c r="B49" s="30"/>
    </row>
    <row r="50">
      <c r="A50" s="21"/>
      <c r="B50" s="30"/>
    </row>
    <row r="51">
      <c r="A51" s="21"/>
    </row>
    <row r="52">
      <c r="A52" s="21"/>
      <c r="B52" s="30"/>
    </row>
    <row r="53">
      <c r="A53" s="21"/>
      <c r="B53" s="30"/>
    </row>
    <row r="54">
      <c r="A54" s="21"/>
      <c r="B54" s="30"/>
    </row>
    <row r="55">
      <c r="A55" s="21"/>
      <c r="B55" s="30"/>
    </row>
    <row r="90">
      <c r="A90" s="37"/>
      <c r="B90" s="38"/>
      <c r="C90" s="38"/>
    </row>
    <row r="91">
      <c r="A91" s="37"/>
      <c r="B91" s="38"/>
      <c r="C91" s="38"/>
    </row>
    <row r="92">
      <c r="A92" s="37"/>
      <c r="B92" s="38"/>
      <c r="C92" s="38"/>
    </row>
    <row r="269">
      <c r="C269" s="4">
        <f>995.39-D269</f>
        <v>376.06</v>
      </c>
      <c r="D269" s="4">
        <f>750-130.67</f>
        <v>619.33</v>
      </c>
    </row>
    <row r="549">
      <c r="F549" s="1" t="s">
        <v>638</v>
      </c>
    </row>
    <row r="550">
      <c r="F550" s="1" t="s">
        <v>639</v>
      </c>
      <c r="G550" s="1">
        <v>300.0</v>
      </c>
    </row>
    <row r="551">
      <c r="F551" s="1" t="s">
        <v>640</v>
      </c>
      <c r="G551" s="1">
        <v>70.0</v>
      </c>
    </row>
    <row r="552">
      <c r="G552" s="4">
        <f>SUM(G550:G551)</f>
        <v>370</v>
      </c>
    </row>
    <row r="553">
      <c r="F553" s="1"/>
    </row>
    <row r="554">
      <c r="F554" s="1" t="s">
        <v>641</v>
      </c>
    </row>
    <row r="555">
      <c r="F555" s="1" t="s">
        <v>642</v>
      </c>
      <c r="G555" s="1">
        <v>100.0</v>
      </c>
    </row>
    <row r="556">
      <c r="F556" s="1" t="s">
        <v>643</v>
      </c>
      <c r="G556" s="1">
        <v>50.0</v>
      </c>
    </row>
    <row r="557">
      <c r="F557" s="1" t="s">
        <v>644</v>
      </c>
      <c r="G557" s="1">
        <v>60.0</v>
      </c>
    </row>
    <row r="558">
      <c r="F558" s="1" t="s">
        <v>640</v>
      </c>
      <c r="G558" s="1">
        <v>50.0</v>
      </c>
    </row>
    <row r="559">
      <c r="G559" s="4">
        <f>SUM(G555:G558)</f>
        <v>260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28.88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517</v>
      </c>
      <c r="L1" s="14" t="s">
        <v>726</v>
      </c>
      <c r="M1" s="14" t="s">
        <v>86</v>
      </c>
      <c r="N1" s="14" t="s">
        <v>250</v>
      </c>
      <c r="O1" s="14" t="s">
        <v>746</v>
      </c>
    </row>
    <row r="2">
      <c r="A2" s="43">
        <v>45732.0</v>
      </c>
      <c r="B2" s="44" t="s">
        <v>762</v>
      </c>
      <c r="C2" s="44">
        <v>244.0</v>
      </c>
      <c r="D2" s="45"/>
      <c r="E2" s="44">
        <v>244.0</v>
      </c>
      <c r="F2" s="45"/>
      <c r="G2" s="45"/>
      <c r="H2" s="45"/>
      <c r="I2" s="45"/>
      <c r="J2" s="45"/>
      <c r="K2" s="45"/>
      <c r="L2" s="45"/>
      <c r="M2" s="45"/>
      <c r="N2" s="45"/>
      <c r="O2" s="45"/>
    </row>
    <row r="3">
      <c r="A3" s="43">
        <v>45733.0</v>
      </c>
      <c r="B3" s="44" t="s">
        <v>763</v>
      </c>
      <c r="C3" s="44">
        <v>54.4</v>
      </c>
      <c r="D3" s="44">
        <v>54.4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>
      <c r="A4" s="43">
        <v>45737.0</v>
      </c>
      <c r="B4" s="44" t="s">
        <v>764</v>
      </c>
      <c r="C4" s="44">
        <v>56.9</v>
      </c>
      <c r="D4" s="44">
        <v>50.0</v>
      </c>
      <c r="E4" s="45"/>
      <c r="F4" s="44"/>
      <c r="G4" s="45"/>
      <c r="H4" s="45"/>
      <c r="I4" s="45"/>
      <c r="J4" s="45"/>
      <c r="K4" s="45"/>
      <c r="L4" s="45"/>
      <c r="M4" s="45"/>
      <c r="N4" s="45"/>
      <c r="O4" s="45"/>
    </row>
    <row r="5">
      <c r="A5" s="43">
        <v>45738.0</v>
      </c>
      <c r="B5" s="44" t="s">
        <v>732</v>
      </c>
      <c r="C5" s="44">
        <v>17.8</v>
      </c>
      <c r="D5" s="44">
        <v>17.8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>
      <c r="A6" s="43">
        <v>45738.0</v>
      </c>
      <c r="B6" s="44" t="s">
        <v>765</v>
      </c>
      <c r="C6" s="44">
        <v>3.7</v>
      </c>
      <c r="D6" s="44">
        <v>3.7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</row>
    <row r="7">
      <c r="A7" s="46">
        <v>45738.0</v>
      </c>
      <c r="B7" s="44" t="s">
        <v>766</v>
      </c>
      <c r="C7" s="44">
        <v>3.0</v>
      </c>
      <c r="D7" s="44">
        <v>3.0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</row>
    <row r="8">
      <c r="A8" s="46">
        <v>45738.0</v>
      </c>
      <c r="B8" s="44" t="s">
        <v>767</v>
      </c>
      <c r="C8" s="44">
        <v>200.0</v>
      </c>
      <c r="D8" s="45"/>
      <c r="E8" s="44">
        <v>200.0</v>
      </c>
      <c r="F8" s="45"/>
      <c r="G8" s="45"/>
      <c r="H8" s="45"/>
      <c r="I8" s="45"/>
      <c r="J8" s="45"/>
      <c r="K8" s="45"/>
      <c r="L8" s="45"/>
      <c r="M8" s="45"/>
      <c r="N8" s="45"/>
      <c r="O8" s="45"/>
    </row>
    <row r="9">
      <c r="A9" s="43">
        <v>45738.0</v>
      </c>
      <c r="B9" s="44" t="s">
        <v>558</v>
      </c>
      <c r="C9" s="44">
        <v>135.0</v>
      </c>
      <c r="D9" s="45"/>
      <c r="E9" s="45"/>
      <c r="F9" s="45"/>
      <c r="G9" s="45"/>
      <c r="H9" s="45"/>
      <c r="I9" s="45"/>
      <c r="J9" s="44">
        <v>135.0</v>
      </c>
      <c r="K9" s="45"/>
      <c r="L9" s="45"/>
      <c r="M9" s="45"/>
      <c r="N9" s="45"/>
    </row>
    <row r="10">
      <c r="A10" s="43">
        <v>45739.0</v>
      </c>
      <c r="B10" s="44" t="s">
        <v>768</v>
      </c>
      <c r="C10" s="44">
        <v>175.5</v>
      </c>
      <c r="D10" s="45"/>
      <c r="E10" s="44">
        <v>175.5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</row>
    <row r="11">
      <c r="A11" s="43">
        <v>45743.0</v>
      </c>
      <c r="B11" s="44" t="s">
        <v>769</v>
      </c>
      <c r="C11" s="44">
        <v>23.9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</row>
    <row r="12">
      <c r="A12" s="43">
        <v>45744.0</v>
      </c>
      <c r="B12" s="44" t="s">
        <v>770</v>
      </c>
      <c r="C12" s="44">
        <v>60.0</v>
      </c>
      <c r="D12" s="45"/>
      <c r="E12" s="44">
        <v>60.0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</row>
    <row r="13">
      <c r="A13" s="43">
        <v>45745.0</v>
      </c>
      <c r="B13" s="44" t="s">
        <v>771</v>
      </c>
      <c r="C13" s="44">
        <v>140.0</v>
      </c>
      <c r="D13" s="45"/>
      <c r="E13" s="44">
        <v>140.0</v>
      </c>
      <c r="F13" s="45"/>
      <c r="G13" s="45"/>
      <c r="H13" s="45"/>
      <c r="I13" s="45"/>
      <c r="J13" s="45"/>
      <c r="K13" s="45"/>
      <c r="L13" s="45"/>
      <c r="M13" s="45"/>
      <c r="N13" s="45"/>
      <c r="O13" s="45"/>
    </row>
    <row r="14">
      <c r="A14" s="43">
        <v>45745.0</v>
      </c>
      <c r="B14" s="44" t="s">
        <v>772</v>
      </c>
      <c r="C14" s="44">
        <v>6.9</v>
      </c>
      <c r="D14" s="45"/>
      <c r="E14" s="44">
        <v>6.9</v>
      </c>
      <c r="F14" s="45"/>
      <c r="G14" s="45"/>
      <c r="H14" s="45"/>
      <c r="I14" s="45"/>
      <c r="J14" s="45"/>
      <c r="K14" s="45"/>
      <c r="L14" s="45"/>
      <c r="M14" s="45"/>
      <c r="N14" s="45"/>
      <c r="O14" s="45"/>
    </row>
    <row r="15">
      <c r="A15" s="47"/>
      <c r="B15" s="48"/>
      <c r="C15" s="48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8"/>
    </row>
    <row r="16">
      <c r="A16" s="43">
        <v>45732.0</v>
      </c>
      <c r="B16" s="44" t="s">
        <v>485</v>
      </c>
      <c r="C16" s="44">
        <v>11.0</v>
      </c>
      <c r="D16" s="45"/>
      <c r="E16" s="44">
        <v>11.0</v>
      </c>
      <c r="F16" s="45"/>
      <c r="G16" s="45"/>
      <c r="H16" s="45"/>
      <c r="I16" s="45"/>
      <c r="J16" s="45"/>
      <c r="K16" s="45"/>
      <c r="L16" s="45"/>
      <c r="M16" s="45"/>
      <c r="N16" s="45"/>
      <c r="O16" s="45"/>
    </row>
    <row r="17">
      <c r="A17" s="43">
        <v>45739.0</v>
      </c>
      <c r="B17" s="44" t="s">
        <v>485</v>
      </c>
      <c r="C17" s="44">
        <v>11.0</v>
      </c>
      <c r="D17" s="45"/>
      <c r="E17" s="44">
        <v>11.0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</row>
    <row r="18">
      <c r="A18" s="43">
        <v>45733.0</v>
      </c>
      <c r="B18" s="44" t="s">
        <v>773</v>
      </c>
      <c r="C18" s="44">
        <v>17.0</v>
      </c>
      <c r="D18" s="44">
        <v>17.0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</row>
    <row r="19">
      <c r="A19" s="49">
        <v>45733.0</v>
      </c>
      <c r="B19" s="50" t="s">
        <v>774</v>
      </c>
      <c r="C19" s="50">
        <v>12.0</v>
      </c>
      <c r="D19" s="44">
        <v>12.0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</row>
    <row r="20">
      <c r="A20" s="43">
        <v>45738.0</v>
      </c>
      <c r="B20" s="44" t="s">
        <v>775</v>
      </c>
      <c r="C20" s="44">
        <v>5.0</v>
      </c>
      <c r="D20" s="45"/>
      <c r="E20" s="44">
        <v>5.0</v>
      </c>
      <c r="F20" s="45"/>
      <c r="G20" s="45"/>
      <c r="H20" s="45"/>
      <c r="I20" s="45"/>
      <c r="J20" s="45"/>
      <c r="K20" s="45"/>
      <c r="L20" s="45"/>
      <c r="M20" s="45"/>
      <c r="N20" s="45"/>
      <c r="O20" s="45"/>
    </row>
    <row r="21">
      <c r="A21" s="46">
        <v>45744.0</v>
      </c>
      <c r="B21" s="1" t="s">
        <v>776</v>
      </c>
      <c r="C21" s="44">
        <v>3.0</v>
      </c>
      <c r="E21" s="44">
        <v>3.0</v>
      </c>
    </row>
    <row r="22">
      <c r="C22" s="1" t="s">
        <v>139</v>
      </c>
      <c r="D22" s="4">
        <f t="shared" ref="D22:O22" si="1">SUM(D2:D21)</f>
        <v>157.9</v>
      </c>
      <c r="E22" s="4">
        <f t="shared" si="1"/>
        <v>856.4</v>
      </c>
      <c r="F22" s="4">
        <f t="shared" si="1"/>
        <v>0</v>
      </c>
      <c r="G22" s="4">
        <f t="shared" si="1"/>
        <v>0</v>
      </c>
      <c r="H22" s="4">
        <f t="shared" si="1"/>
        <v>0</v>
      </c>
      <c r="I22" s="4">
        <f t="shared" si="1"/>
        <v>0</v>
      </c>
      <c r="J22" s="4">
        <f t="shared" si="1"/>
        <v>135</v>
      </c>
      <c r="K22" s="4">
        <f t="shared" si="1"/>
        <v>0</v>
      </c>
      <c r="L22" s="4">
        <f t="shared" si="1"/>
        <v>0</v>
      </c>
      <c r="M22" s="4">
        <f t="shared" si="1"/>
        <v>0</v>
      </c>
      <c r="N22" s="4">
        <f t="shared" si="1"/>
        <v>0</v>
      </c>
      <c r="O22" s="4">
        <f t="shared" si="1"/>
        <v>0</v>
      </c>
    </row>
    <row r="23">
      <c r="D23" s="1">
        <v>150.0</v>
      </c>
      <c r="E23" s="1">
        <v>57.59</v>
      </c>
      <c r="J23" s="1">
        <v>12.8</v>
      </c>
    </row>
    <row r="24">
      <c r="C24" s="1" t="s">
        <v>777</v>
      </c>
      <c r="D24" s="4">
        <f t="shared" ref="D24:O24" si="2">SUM(D22:D23)</f>
        <v>307.9</v>
      </c>
      <c r="E24" s="4">
        <f t="shared" si="2"/>
        <v>913.99</v>
      </c>
      <c r="F24" s="4">
        <f t="shared" si="2"/>
        <v>0</v>
      </c>
      <c r="G24" s="4">
        <f t="shared" si="2"/>
        <v>0</v>
      </c>
      <c r="H24" s="4">
        <f t="shared" si="2"/>
        <v>0</v>
      </c>
      <c r="I24" s="4">
        <f t="shared" si="2"/>
        <v>0</v>
      </c>
      <c r="J24" s="4">
        <f t="shared" si="2"/>
        <v>147.8</v>
      </c>
      <c r="K24" s="4">
        <f t="shared" si="2"/>
        <v>0</v>
      </c>
      <c r="L24" s="4">
        <f t="shared" si="2"/>
        <v>0</v>
      </c>
      <c r="M24" s="4">
        <f t="shared" si="2"/>
        <v>0</v>
      </c>
      <c r="N24" s="4">
        <f t="shared" si="2"/>
        <v>0</v>
      </c>
      <c r="O24" s="4">
        <f t="shared" si="2"/>
        <v>0</v>
      </c>
    </row>
    <row r="30">
      <c r="E30" s="1">
        <v>165.65</v>
      </c>
    </row>
    <row r="81">
      <c r="G81" s="51"/>
      <c r="H81" s="51"/>
      <c r="I81" s="51"/>
      <c r="J81" s="52" t="s">
        <v>637</v>
      </c>
    </row>
    <row r="82">
      <c r="G82" s="52" t="s">
        <v>778</v>
      </c>
      <c r="H82" s="52">
        <v>15.0</v>
      </c>
      <c r="I82" s="52">
        <v>67.5</v>
      </c>
      <c r="J82" s="51">
        <f t="shared" ref="J82:J84" si="3">H82+I82</f>
        <v>82.5</v>
      </c>
    </row>
    <row r="83">
      <c r="G83" s="52" t="s">
        <v>779</v>
      </c>
      <c r="H83" s="52">
        <v>15.0</v>
      </c>
      <c r="I83" s="52">
        <v>48.9</v>
      </c>
      <c r="J83" s="51">
        <f t="shared" si="3"/>
        <v>63.9</v>
      </c>
    </row>
    <row r="84">
      <c r="G84" s="52" t="s">
        <v>780</v>
      </c>
      <c r="H84" s="52">
        <v>15.0</v>
      </c>
      <c r="I84" s="51"/>
      <c r="J84" s="51">
        <f t="shared" si="3"/>
        <v>15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</cols>
  <sheetData>
    <row r="3">
      <c r="C3" s="53" t="s">
        <v>781</v>
      </c>
      <c r="D3" s="54" t="s">
        <v>409</v>
      </c>
      <c r="E3" s="54" t="s">
        <v>782</v>
      </c>
      <c r="F3" s="53" t="s">
        <v>783</v>
      </c>
      <c r="G3" s="54" t="s">
        <v>784</v>
      </c>
    </row>
    <row r="4">
      <c r="A4" s="1"/>
      <c r="B4" s="52" t="s">
        <v>785</v>
      </c>
      <c r="C4" s="53">
        <v>28.74</v>
      </c>
      <c r="D4" s="54">
        <v>20.73</v>
      </c>
      <c r="E4" s="54">
        <v>93.33</v>
      </c>
      <c r="F4" s="53">
        <v>31.33</v>
      </c>
      <c r="G4" s="54">
        <v>5.025</v>
      </c>
    </row>
    <row r="5">
      <c r="A5" s="1"/>
      <c r="B5" s="52" t="s">
        <v>786</v>
      </c>
      <c r="C5" s="53">
        <v>19.16</v>
      </c>
      <c r="D5" s="54">
        <v>20.73</v>
      </c>
      <c r="E5" s="55"/>
      <c r="F5" s="53">
        <v>23.5</v>
      </c>
      <c r="G5" s="55"/>
    </row>
    <row r="6">
      <c r="A6" s="1"/>
      <c r="B6" s="52" t="s">
        <v>249</v>
      </c>
      <c r="C6" s="53">
        <v>19.16</v>
      </c>
      <c r="D6" s="54">
        <v>20.73</v>
      </c>
      <c r="E6" s="54">
        <v>70.01</v>
      </c>
      <c r="F6" s="53">
        <v>23.51</v>
      </c>
      <c r="G6" s="54">
        <v>5.025</v>
      </c>
    </row>
    <row r="7">
      <c r="A7" s="1"/>
      <c r="B7" s="52" t="s">
        <v>787</v>
      </c>
      <c r="C7" s="53">
        <v>28.74</v>
      </c>
      <c r="D7" s="54">
        <v>20.73</v>
      </c>
      <c r="E7" s="54">
        <v>93.33</v>
      </c>
      <c r="F7" s="53">
        <v>31.33</v>
      </c>
      <c r="G7" s="54">
        <v>5.025</v>
      </c>
    </row>
    <row r="8">
      <c r="A8" s="1"/>
      <c r="B8" s="52" t="s">
        <v>788</v>
      </c>
      <c r="C8" s="56"/>
      <c r="D8" s="55"/>
      <c r="E8" s="54">
        <v>93.33</v>
      </c>
      <c r="F8" s="53">
        <v>31.33</v>
      </c>
      <c r="G8" s="54">
        <v>5.025</v>
      </c>
    </row>
    <row r="9">
      <c r="C9" s="57">
        <f t="shared" ref="C9:G9" si="1">SUM(C4:C8)</f>
        <v>95.8</v>
      </c>
      <c r="D9" s="58">
        <f t="shared" si="1"/>
        <v>82.92</v>
      </c>
      <c r="E9" s="58">
        <f t="shared" si="1"/>
        <v>350</v>
      </c>
      <c r="F9" s="57">
        <f t="shared" si="1"/>
        <v>141</v>
      </c>
      <c r="G9" s="58">
        <f t="shared" si="1"/>
        <v>20.1</v>
      </c>
    </row>
    <row r="11">
      <c r="D11" s="59" t="s">
        <v>789</v>
      </c>
      <c r="E11" s="59" t="s">
        <v>790</v>
      </c>
    </row>
    <row r="12">
      <c r="C12" s="1" t="s">
        <v>791</v>
      </c>
      <c r="D12" s="60">
        <f>E8+G8</f>
        <v>98.355</v>
      </c>
      <c r="E12" s="60"/>
    </row>
    <row r="13">
      <c r="C13" s="1" t="s">
        <v>785</v>
      </c>
      <c r="D13" s="60">
        <f>D4+E4+G4+D5</f>
        <v>139.815</v>
      </c>
      <c r="E13" s="61">
        <f>D13-D17</f>
        <v>37.075</v>
      </c>
    </row>
    <row r="14">
      <c r="D14" s="60"/>
    </row>
    <row r="16">
      <c r="D16" s="59" t="s">
        <v>792</v>
      </c>
      <c r="E16" s="59"/>
    </row>
    <row r="17">
      <c r="C17" s="1" t="s">
        <v>793</v>
      </c>
      <c r="D17" s="60">
        <f>F7+F6+C6+C7</f>
        <v>102.74</v>
      </c>
      <c r="E17" s="60"/>
    </row>
    <row r="23">
      <c r="E23" s="4">
        <f>27.7+90.97+42.41+3.57+1.43+0.98+35.67+31.94+51.58</f>
        <v>286.25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28.88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517</v>
      </c>
      <c r="L1" s="14" t="s">
        <v>726</v>
      </c>
      <c r="M1" s="14" t="s">
        <v>86</v>
      </c>
      <c r="N1" s="14" t="s">
        <v>250</v>
      </c>
      <c r="O1" s="14" t="s">
        <v>746</v>
      </c>
    </row>
    <row r="2">
      <c r="A2" s="43">
        <v>45753.0</v>
      </c>
      <c r="B2" s="44" t="s">
        <v>565</v>
      </c>
      <c r="C2" s="44">
        <v>11.0</v>
      </c>
      <c r="D2" s="45"/>
      <c r="E2" s="44">
        <v>11.0</v>
      </c>
      <c r="F2" s="45"/>
      <c r="G2" s="45"/>
      <c r="H2" s="45"/>
      <c r="I2" s="45"/>
      <c r="J2" s="45"/>
      <c r="K2" s="45"/>
      <c r="L2" s="45"/>
      <c r="M2" s="45"/>
      <c r="N2" s="45"/>
      <c r="O2" s="45"/>
    </row>
    <row r="3">
      <c r="A3" s="43">
        <v>45760.0</v>
      </c>
      <c r="B3" s="44" t="s">
        <v>565</v>
      </c>
      <c r="C3" s="44">
        <v>11.0</v>
      </c>
      <c r="D3" s="44"/>
      <c r="E3" s="44">
        <v>11.0</v>
      </c>
      <c r="F3" s="45"/>
      <c r="G3" s="45"/>
      <c r="H3" s="45"/>
      <c r="I3" s="45"/>
      <c r="J3" s="45"/>
      <c r="K3" s="45"/>
      <c r="L3" s="45"/>
      <c r="M3" s="45"/>
      <c r="N3" s="45"/>
      <c r="O3" s="45"/>
    </row>
    <row r="4">
      <c r="A4" s="43">
        <v>45763.0</v>
      </c>
      <c r="B4" s="44" t="s">
        <v>794</v>
      </c>
      <c r="C4" s="44">
        <v>10.6</v>
      </c>
      <c r="D4" s="44"/>
      <c r="E4" s="44">
        <v>10.6</v>
      </c>
      <c r="F4" s="44"/>
      <c r="G4" s="45"/>
      <c r="H4" s="45"/>
      <c r="I4" s="45"/>
      <c r="J4" s="45"/>
      <c r="K4" s="45"/>
      <c r="L4" s="45"/>
      <c r="M4" s="45"/>
      <c r="N4" s="45"/>
      <c r="O4" s="45"/>
    </row>
    <row r="5">
      <c r="A5" s="43">
        <v>45753.0</v>
      </c>
      <c r="B5" s="44" t="s">
        <v>795</v>
      </c>
      <c r="C5" s="44">
        <v>5.0</v>
      </c>
      <c r="D5" s="44"/>
      <c r="E5" s="45"/>
      <c r="F5" s="45"/>
      <c r="G5" s="45"/>
      <c r="H5" s="45"/>
      <c r="I5" s="45"/>
      <c r="J5" s="45"/>
      <c r="K5" s="45"/>
      <c r="L5" s="45"/>
      <c r="M5" s="45"/>
      <c r="N5" s="45"/>
      <c r="O5" s="44">
        <v>5.0</v>
      </c>
    </row>
    <row r="6">
      <c r="A6" s="43"/>
      <c r="B6" s="44"/>
      <c r="C6" s="44"/>
      <c r="D6" s="44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</row>
    <row r="7">
      <c r="A7" s="43">
        <v>45750.0</v>
      </c>
      <c r="B7" s="44" t="s">
        <v>796</v>
      </c>
      <c r="C7" s="44">
        <v>170.0</v>
      </c>
      <c r="D7" s="45"/>
      <c r="E7" s="45"/>
      <c r="F7" s="45"/>
      <c r="G7" s="45"/>
      <c r="H7" s="44">
        <v>170.0</v>
      </c>
      <c r="I7" s="45"/>
      <c r="J7" s="44"/>
      <c r="K7" s="45"/>
      <c r="L7" s="45"/>
      <c r="M7" s="45"/>
      <c r="N7" s="45"/>
    </row>
    <row r="8">
      <c r="A8" s="46">
        <v>45752.0</v>
      </c>
      <c r="B8" s="44" t="s">
        <v>771</v>
      </c>
      <c r="C8" s="44">
        <v>100.0</v>
      </c>
      <c r="D8" s="45"/>
      <c r="E8" s="44"/>
      <c r="F8" s="45"/>
      <c r="G8" s="45"/>
      <c r="H8" s="44">
        <v>100.0</v>
      </c>
      <c r="I8" s="45"/>
      <c r="J8" s="45"/>
      <c r="K8" s="45"/>
      <c r="L8" s="45"/>
      <c r="M8" s="45"/>
      <c r="N8" s="45"/>
      <c r="O8" s="45"/>
    </row>
    <row r="9">
      <c r="A9" s="43">
        <v>45754.0</v>
      </c>
      <c r="B9" s="44" t="s">
        <v>797</v>
      </c>
      <c r="C9" s="44">
        <v>302.03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4">
        <v>302.03</v>
      </c>
      <c r="O9" s="45"/>
    </row>
    <row r="10">
      <c r="A10" s="43">
        <v>45754.0</v>
      </c>
      <c r="B10" s="44" t="s">
        <v>798</v>
      </c>
      <c r="C10" s="44">
        <v>204.0</v>
      </c>
      <c r="D10" s="45"/>
      <c r="E10" s="44"/>
      <c r="F10" s="45"/>
      <c r="G10" s="45"/>
      <c r="H10" s="45"/>
      <c r="I10" s="45"/>
      <c r="J10" s="45"/>
      <c r="K10" s="45"/>
      <c r="L10" s="45"/>
      <c r="M10" s="45"/>
      <c r="N10" s="44">
        <v>204.0</v>
      </c>
      <c r="O10" s="45"/>
    </row>
    <row r="11">
      <c r="A11" s="43">
        <v>45754.0</v>
      </c>
      <c r="B11" s="44" t="s">
        <v>163</v>
      </c>
      <c r="C11" s="44">
        <v>85.12</v>
      </c>
      <c r="D11" s="44">
        <v>85.12</v>
      </c>
      <c r="E11" s="44"/>
      <c r="F11" s="45"/>
      <c r="G11" s="45"/>
      <c r="H11" s="45"/>
      <c r="I11" s="45"/>
      <c r="J11" s="45"/>
      <c r="K11" s="45"/>
      <c r="L11" s="45"/>
      <c r="M11" s="45"/>
      <c r="N11" s="45"/>
      <c r="O11" s="45"/>
    </row>
    <row r="12">
      <c r="A12" s="43">
        <v>45754.0</v>
      </c>
      <c r="B12" s="44" t="s">
        <v>799</v>
      </c>
      <c r="C12" s="44">
        <v>54.0</v>
      </c>
      <c r="D12" s="45"/>
      <c r="E12" s="44">
        <v>54.0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</row>
    <row r="13">
      <c r="A13" s="43">
        <v>45757.0</v>
      </c>
      <c r="B13" s="44" t="s">
        <v>558</v>
      </c>
      <c r="C13" s="44">
        <v>143.99</v>
      </c>
      <c r="D13" s="45"/>
      <c r="E13" s="45"/>
      <c r="F13" s="45"/>
      <c r="G13" s="45"/>
      <c r="H13" s="45"/>
      <c r="I13" s="45"/>
      <c r="J13" s="44">
        <v>143.99</v>
      </c>
      <c r="K13" s="45"/>
      <c r="L13" s="45"/>
      <c r="M13" s="45"/>
      <c r="N13" s="45"/>
      <c r="O13" s="48"/>
    </row>
    <row r="14">
      <c r="A14" s="43">
        <v>45758.0</v>
      </c>
      <c r="B14" s="44" t="s">
        <v>136</v>
      </c>
      <c r="C14" s="44">
        <v>14.1</v>
      </c>
      <c r="D14" s="44">
        <v>14.1</v>
      </c>
      <c r="E14" s="44"/>
      <c r="F14" s="45"/>
      <c r="G14" s="45"/>
      <c r="H14" s="45"/>
      <c r="I14" s="45"/>
      <c r="J14" s="45"/>
      <c r="K14" s="45"/>
      <c r="L14" s="45"/>
      <c r="M14" s="45"/>
      <c r="N14" s="45"/>
      <c r="O14" s="45"/>
    </row>
    <row r="15">
      <c r="A15" s="43">
        <v>45758.0</v>
      </c>
      <c r="B15" s="44" t="s">
        <v>800</v>
      </c>
      <c r="C15" s="44">
        <v>22.0</v>
      </c>
      <c r="D15" s="45"/>
      <c r="E15" s="44">
        <v>22.0</v>
      </c>
      <c r="F15" s="45"/>
      <c r="G15" s="45"/>
      <c r="H15" s="45"/>
      <c r="I15" s="45"/>
      <c r="J15" s="45"/>
      <c r="K15" s="45"/>
      <c r="L15" s="45"/>
      <c r="M15" s="45"/>
      <c r="N15" s="45"/>
      <c r="O15" s="45"/>
    </row>
    <row r="16">
      <c r="A16" s="43">
        <v>45758.0</v>
      </c>
      <c r="B16" s="44" t="s">
        <v>801</v>
      </c>
      <c r="C16" s="44">
        <v>36.9</v>
      </c>
      <c r="D16" s="44"/>
      <c r="F16" s="45"/>
      <c r="G16" s="45"/>
      <c r="H16" s="44">
        <v>36.9</v>
      </c>
      <c r="I16" s="45"/>
      <c r="J16" s="45"/>
      <c r="K16" s="45"/>
      <c r="L16" s="45"/>
      <c r="M16" s="45"/>
      <c r="N16" s="45"/>
      <c r="O16" s="45"/>
    </row>
    <row r="17">
      <c r="A17" s="43">
        <v>45759.0</v>
      </c>
      <c r="B17" s="44" t="s">
        <v>802</v>
      </c>
      <c r="C17" s="44">
        <v>129.9</v>
      </c>
      <c r="D17" s="44"/>
      <c r="E17" s="44">
        <v>129.9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</row>
    <row r="18">
      <c r="A18" s="43">
        <v>45763.0</v>
      </c>
      <c r="B18" s="44" t="s">
        <v>803</v>
      </c>
      <c r="C18" s="44">
        <v>74.0</v>
      </c>
      <c r="D18" s="45"/>
      <c r="E18" s="44">
        <v>74.0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</row>
    <row r="19">
      <c r="A19" s="43">
        <v>45764.0</v>
      </c>
      <c r="B19" s="44" t="s">
        <v>163</v>
      </c>
      <c r="C19" s="44">
        <v>36.92</v>
      </c>
      <c r="D19" s="44">
        <v>36.92</v>
      </c>
      <c r="E19" s="44"/>
    </row>
    <row r="20">
      <c r="A20" s="43"/>
      <c r="B20" s="44"/>
      <c r="C20" s="44" t="s">
        <v>804</v>
      </c>
      <c r="D20" s="4">
        <f t="shared" ref="D20:O20" si="1">SUM(D2:D19)</f>
        <v>136.14</v>
      </c>
      <c r="E20" s="4">
        <f t="shared" si="1"/>
        <v>312.5</v>
      </c>
      <c r="F20" s="15">
        <f t="shared" si="1"/>
        <v>0</v>
      </c>
      <c r="G20" s="15">
        <f t="shared" si="1"/>
        <v>0</v>
      </c>
      <c r="H20" s="4">
        <f t="shared" si="1"/>
        <v>306.9</v>
      </c>
      <c r="I20" s="15">
        <f t="shared" si="1"/>
        <v>0</v>
      </c>
      <c r="J20" s="4">
        <f t="shared" si="1"/>
        <v>143.99</v>
      </c>
      <c r="K20" s="15">
        <f t="shared" si="1"/>
        <v>0</v>
      </c>
      <c r="L20" s="15">
        <f t="shared" si="1"/>
        <v>0</v>
      </c>
      <c r="M20" s="15">
        <f t="shared" si="1"/>
        <v>0</v>
      </c>
      <c r="N20" s="15">
        <f t="shared" si="1"/>
        <v>506.03</v>
      </c>
      <c r="O20" s="15">
        <f t="shared" si="1"/>
        <v>5</v>
      </c>
    </row>
    <row r="21">
      <c r="A21" s="43"/>
      <c r="B21" s="44"/>
      <c r="C21" s="44" t="s">
        <v>805</v>
      </c>
      <c r="D21" s="1">
        <v>212.93</v>
      </c>
      <c r="E21" s="1">
        <v>236.93</v>
      </c>
      <c r="H21" s="1">
        <v>42.1</v>
      </c>
      <c r="N21" s="1">
        <v>649.7</v>
      </c>
    </row>
    <row r="22">
      <c r="A22" s="43"/>
      <c r="B22" s="44"/>
      <c r="C22" s="30" t="s">
        <v>806</v>
      </c>
      <c r="D22" s="4">
        <f t="shared" ref="D22:O22" si="2">SUM(D20:D21)</f>
        <v>349.07</v>
      </c>
      <c r="E22" s="4">
        <f t="shared" si="2"/>
        <v>549.43</v>
      </c>
      <c r="F22" s="4">
        <f t="shared" si="2"/>
        <v>0</v>
      </c>
      <c r="G22" s="4">
        <f t="shared" si="2"/>
        <v>0</v>
      </c>
      <c r="H22" s="4">
        <f t="shared" si="2"/>
        <v>349</v>
      </c>
      <c r="I22" s="4">
        <f t="shared" si="2"/>
        <v>0</v>
      </c>
      <c r="J22" s="4">
        <f t="shared" si="2"/>
        <v>143.99</v>
      </c>
      <c r="K22" s="4">
        <f t="shared" si="2"/>
        <v>0</v>
      </c>
      <c r="L22" s="4">
        <f t="shared" si="2"/>
        <v>0</v>
      </c>
      <c r="M22" s="4">
        <f t="shared" si="2"/>
        <v>0</v>
      </c>
      <c r="N22" s="4">
        <f t="shared" si="2"/>
        <v>1155.73</v>
      </c>
      <c r="O22" s="4">
        <f t="shared" si="2"/>
        <v>5</v>
      </c>
    </row>
    <row r="23">
      <c r="A23" s="43"/>
      <c r="B23" s="44"/>
      <c r="C23" s="44"/>
    </row>
    <row r="24">
      <c r="A24" s="43"/>
      <c r="B24" s="44"/>
      <c r="C24" s="44"/>
      <c r="D24" s="4">
        <f>F33-D22</f>
        <v>344.05</v>
      </c>
      <c r="E24" s="4">
        <f>F34-E22</f>
        <v>198.29</v>
      </c>
      <c r="H24" s="4">
        <f>F32-H22</f>
        <v>147.75</v>
      </c>
      <c r="J24" s="4">
        <f>F35-J22</f>
        <v>279.8</v>
      </c>
    </row>
    <row r="25">
      <c r="A25" s="43"/>
      <c r="B25" s="44"/>
      <c r="C25" s="44"/>
    </row>
    <row r="26">
      <c r="A26" s="43"/>
      <c r="B26" s="44"/>
      <c r="C26" s="44"/>
    </row>
    <row r="27">
      <c r="A27" s="43"/>
      <c r="B27" s="44"/>
      <c r="C27" s="44"/>
    </row>
    <row r="28">
      <c r="A28" s="43"/>
      <c r="B28" s="44"/>
      <c r="C28" s="44"/>
    </row>
    <row r="30">
      <c r="D30" s="1" t="s">
        <v>807</v>
      </c>
    </row>
    <row r="31">
      <c r="E31" s="1" t="s">
        <v>469</v>
      </c>
      <c r="F31" s="4">
        <f>80</f>
        <v>80</v>
      </c>
    </row>
    <row r="32">
      <c r="E32" s="1" t="s">
        <v>540</v>
      </c>
      <c r="F32" s="4">
        <f>576.75-80</f>
        <v>496.75</v>
      </c>
    </row>
    <row r="33">
      <c r="D33" s="1" t="s">
        <v>54</v>
      </c>
      <c r="F33" s="1">
        <f>1149.74-456.62</f>
        <v>693.12</v>
      </c>
    </row>
    <row r="34">
      <c r="D34" s="1" t="s">
        <v>5</v>
      </c>
      <c r="F34" s="1">
        <v>747.72</v>
      </c>
    </row>
    <row r="35">
      <c r="D35" s="1" t="s">
        <v>497</v>
      </c>
      <c r="F35" s="1">
        <v>423.79</v>
      </c>
    </row>
    <row r="79">
      <c r="G79" s="51"/>
      <c r="H79" s="51"/>
      <c r="I79" s="51"/>
      <c r="J79" s="52" t="s">
        <v>637</v>
      </c>
    </row>
    <row r="80">
      <c r="G80" s="52" t="s">
        <v>778</v>
      </c>
      <c r="H80" s="52">
        <v>15.0</v>
      </c>
      <c r="I80" s="52">
        <v>67.5</v>
      </c>
      <c r="J80" s="51">
        <f t="shared" ref="J80:J82" si="3">H80+I80</f>
        <v>82.5</v>
      </c>
    </row>
    <row r="81">
      <c r="G81" s="52" t="s">
        <v>779</v>
      </c>
      <c r="H81" s="52">
        <v>15.0</v>
      </c>
      <c r="I81" s="52">
        <v>48.9</v>
      </c>
      <c r="J81" s="51">
        <f t="shared" si="3"/>
        <v>63.9</v>
      </c>
    </row>
    <row r="82">
      <c r="G82" s="52" t="s">
        <v>780</v>
      </c>
      <c r="H82" s="52">
        <v>15.0</v>
      </c>
      <c r="I82" s="51"/>
      <c r="J82" s="51">
        <f t="shared" si="3"/>
        <v>15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28.88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517</v>
      </c>
      <c r="L1" s="14" t="s">
        <v>726</v>
      </c>
      <c r="M1" s="14" t="s">
        <v>86</v>
      </c>
      <c r="N1" s="14" t="s">
        <v>250</v>
      </c>
      <c r="O1" s="14" t="s">
        <v>746</v>
      </c>
    </row>
    <row r="2">
      <c r="A2" s="43">
        <v>45705.0</v>
      </c>
      <c r="B2" s="44" t="s">
        <v>297</v>
      </c>
      <c r="C2" s="44">
        <v>54.3</v>
      </c>
      <c r="D2" s="44"/>
      <c r="E2" s="44">
        <v>54.3</v>
      </c>
      <c r="F2" s="45"/>
      <c r="G2" s="45"/>
      <c r="H2" s="45"/>
      <c r="I2" s="45"/>
      <c r="J2" s="45"/>
      <c r="K2" s="45"/>
      <c r="L2" s="45"/>
      <c r="M2" s="45"/>
      <c r="N2" s="45"/>
      <c r="O2" s="45"/>
    </row>
    <row r="3">
      <c r="A3" s="43">
        <v>45706.0</v>
      </c>
      <c r="B3" s="44" t="s">
        <v>161</v>
      </c>
      <c r="C3" s="44">
        <v>67.0</v>
      </c>
      <c r="D3" s="44"/>
      <c r="E3" s="44">
        <v>67.0</v>
      </c>
      <c r="F3" s="45"/>
      <c r="G3" s="45"/>
      <c r="H3" s="45"/>
      <c r="I3" s="45"/>
      <c r="J3" s="45"/>
      <c r="K3" s="45"/>
      <c r="L3" s="45"/>
      <c r="M3" s="45"/>
      <c r="N3" s="45"/>
      <c r="O3" s="45"/>
    </row>
    <row r="4">
      <c r="A4" s="43">
        <v>45706.0</v>
      </c>
      <c r="B4" s="44" t="s">
        <v>600</v>
      </c>
      <c r="C4" s="44">
        <v>34.5</v>
      </c>
      <c r="D4" s="44"/>
      <c r="E4" s="44"/>
      <c r="F4" s="44"/>
      <c r="G4" s="44">
        <v>34.5</v>
      </c>
      <c r="H4" s="45"/>
      <c r="I4" s="45"/>
      <c r="J4" s="45"/>
      <c r="K4" s="45"/>
      <c r="L4" s="45"/>
      <c r="M4" s="45"/>
      <c r="N4" s="45"/>
      <c r="O4" s="45"/>
    </row>
    <row r="5">
      <c r="A5" s="43">
        <v>45706.0</v>
      </c>
      <c r="B5" s="44" t="s">
        <v>808</v>
      </c>
      <c r="C5" s="44">
        <v>7.0</v>
      </c>
      <c r="D5" s="44"/>
      <c r="E5" s="45"/>
      <c r="F5" s="44">
        <v>7.0</v>
      </c>
      <c r="G5" s="45"/>
      <c r="H5" s="45"/>
      <c r="I5" s="45"/>
      <c r="J5" s="45"/>
      <c r="K5" s="45"/>
      <c r="L5" s="45"/>
      <c r="M5" s="45"/>
      <c r="N5" s="45"/>
      <c r="O5" s="44"/>
    </row>
    <row r="6">
      <c r="A6" s="43">
        <v>45706.0</v>
      </c>
      <c r="B6" s="44" t="s">
        <v>809</v>
      </c>
      <c r="C6" s="44">
        <v>39.8</v>
      </c>
      <c r="D6" s="44"/>
      <c r="E6" s="44">
        <v>39.8</v>
      </c>
      <c r="F6" s="45"/>
      <c r="G6" s="45"/>
      <c r="H6" s="45"/>
      <c r="I6" s="45"/>
      <c r="J6" s="45"/>
      <c r="K6" s="45"/>
      <c r="L6" s="45"/>
      <c r="M6" s="45"/>
      <c r="N6" s="45"/>
      <c r="O6" s="45"/>
    </row>
    <row r="7">
      <c r="A7" s="43">
        <v>45706.0</v>
      </c>
      <c r="B7" s="44" t="s">
        <v>810</v>
      </c>
      <c r="C7" s="44">
        <v>12.3</v>
      </c>
      <c r="D7" s="45"/>
      <c r="E7" s="45"/>
      <c r="F7" s="45"/>
      <c r="G7" s="45"/>
      <c r="H7" s="44"/>
      <c r="I7" s="45"/>
      <c r="J7" s="44">
        <v>12.3</v>
      </c>
      <c r="K7" s="45"/>
      <c r="L7" s="45"/>
      <c r="M7" s="45"/>
      <c r="N7" s="45"/>
    </row>
    <row r="8">
      <c r="A8" s="46">
        <v>45707.0</v>
      </c>
      <c r="B8" s="44" t="s">
        <v>811</v>
      </c>
      <c r="C8" s="44">
        <v>22.0</v>
      </c>
      <c r="D8" s="45"/>
      <c r="E8" s="44">
        <v>22.0</v>
      </c>
      <c r="F8" s="45"/>
      <c r="G8" s="45"/>
      <c r="H8" s="44"/>
      <c r="I8" s="45"/>
      <c r="J8" s="45"/>
      <c r="K8" s="45"/>
      <c r="L8" s="45"/>
      <c r="M8" s="45"/>
      <c r="N8" s="45"/>
      <c r="O8" s="45"/>
    </row>
    <row r="9">
      <c r="A9" s="43">
        <v>45708.0</v>
      </c>
      <c r="B9" s="44" t="s">
        <v>558</v>
      </c>
      <c r="C9" s="44">
        <v>130.86</v>
      </c>
      <c r="D9" s="45"/>
      <c r="E9" s="45"/>
      <c r="F9" s="45"/>
      <c r="G9" s="45"/>
      <c r="H9" s="45"/>
      <c r="I9" s="45"/>
      <c r="J9" s="44">
        <v>130.86</v>
      </c>
      <c r="K9" s="45"/>
      <c r="L9" s="45"/>
      <c r="M9" s="45"/>
      <c r="N9" s="44"/>
      <c r="O9" s="45"/>
    </row>
    <row r="10">
      <c r="A10" s="43">
        <v>45708.0</v>
      </c>
      <c r="B10" s="44" t="s">
        <v>196</v>
      </c>
      <c r="C10" s="44">
        <v>84.0</v>
      </c>
      <c r="D10" s="45"/>
      <c r="E10" s="44">
        <v>84.0</v>
      </c>
      <c r="F10" s="45"/>
      <c r="G10" s="45"/>
      <c r="H10" s="45"/>
      <c r="I10" s="45"/>
      <c r="J10" s="45"/>
      <c r="K10" s="45"/>
      <c r="L10" s="45"/>
      <c r="M10" s="45"/>
      <c r="N10" s="44"/>
      <c r="O10" s="45"/>
    </row>
    <row r="11">
      <c r="A11" s="43">
        <v>45708.0</v>
      </c>
      <c r="B11" s="44" t="s">
        <v>812</v>
      </c>
      <c r="C11" s="44">
        <v>12.9</v>
      </c>
      <c r="D11" s="44"/>
      <c r="E11" s="44">
        <v>12.9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</row>
    <row r="12">
      <c r="A12" s="43">
        <v>45708.0</v>
      </c>
      <c r="B12" s="44" t="s">
        <v>813</v>
      </c>
      <c r="C12" s="44">
        <v>45.9</v>
      </c>
      <c r="D12" s="44">
        <v>45.9</v>
      </c>
      <c r="E12" s="44"/>
      <c r="F12" s="45"/>
      <c r="G12" s="45"/>
      <c r="H12" s="45"/>
      <c r="I12" s="45"/>
      <c r="J12" s="45"/>
      <c r="K12" s="45"/>
      <c r="L12" s="45"/>
      <c r="M12" s="45"/>
      <c r="N12" s="45"/>
      <c r="O12" s="45"/>
    </row>
    <row r="13">
      <c r="A13" s="43">
        <v>45709.0</v>
      </c>
      <c r="B13" s="44" t="s">
        <v>814</v>
      </c>
      <c r="C13" s="44">
        <v>107.0</v>
      </c>
      <c r="D13" s="45"/>
      <c r="E13" s="45"/>
      <c r="F13" s="44">
        <v>107.0</v>
      </c>
      <c r="G13" s="45"/>
      <c r="H13" s="45"/>
      <c r="I13" s="45"/>
      <c r="J13" s="44"/>
      <c r="K13" s="45"/>
      <c r="L13" s="45"/>
      <c r="M13" s="45"/>
      <c r="N13" s="45"/>
      <c r="O13" s="48"/>
    </row>
    <row r="14">
      <c r="A14" s="43">
        <v>45711.0</v>
      </c>
      <c r="B14" s="44" t="s">
        <v>815</v>
      </c>
      <c r="C14" s="44">
        <v>88.49</v>
      </c>
      <c r="D14" s="44"/>
      <c r="E14" s="44"/>
      <c r="F14" s="44">
        <v>88.49</v>
      </c>
      <c r="G14" s="45"/>
      <c r="H14" s="45"/>
      <c r="I14" s="45"/>
      <c r="J14" s="45"/>
      <c r="K14" s="45"/>
      <c r="L14" s="45"/>
      <c r="M14" s="45"/>
      <c r="N14" s="45"/>
      <c r="O14" s="45"/>
    </row>
    <row r="15">
      <c r="A15" s="43">
        <v>45712.0</v>
      </c>
      <c r="B15" s="44" t="s">
        <v>816</v>
      </c>
      <c r="C15" s="44">
        <v>58.4</v>
      </c>
      <c r="D15" s="45"/>
      <c r="E15" s="44"/>
      <c r="F15" s="45"/>
      <c r="G15" s="44">
        <v>58.4</v>
      </c>
      <c r="H15" s="45"/>
      <c r="I15" s="45"/>
      <c r="J15" s="45"/>
      <c r="K15" s="45"/>
      <c r="L15" s="45"/>
      <c r="M15" s="45"/>
      <c r="N15" s="45"/>
      <c r="O15" s="45"/>
    </row>
    <row r="16">
      <c r="A16" s="43">
        <v>45714.0</v>
      </c>
      <c r="B16" s="44" t="s">
        <v>817</v>
      </c>
      <c r="C16" s="44">
        <v>39.9</v>
      </c>
      <c r="D16" s="44"/>
      <c r="F16" s="45">
        <f t="shared" ref="F16:G16" si="1">39.9/2</f>
        <v>19.95</v>
      </c>
      <c r="G16" s="45">
        <f t="shared" si="1"/>
        <v>19.95</v>
      </c>
      <c r="H16" s="44"/>
      <c r="I16" s="45"/>
      <c r="J16" s="45"/>
      <c r="K16" s="45"/>
      <c r="L16" s="45"/>
      <c r="M16" s="45"/>
      <c r="N16" s="45"/>
      <c r="O16" s="45"/>
    </row>
    <row r="17">
      <c r="A17" s="43">
        <v>45714.0</v>
      </c>
      <c r="B17" s="44" t="s">
        <v>818</v>
      </c>
      <c r="C17" s="44">
        <v>41.93</v>
      </c>
      <c r="D17" s="44"/>
      <c r="E17" s="44"/>
      <c r="F17" s="45"/>
      <c r="G17" s="44">
        <v>41.93</v>
      </c>
      <c r="H17" s="45"/>
      <c r="I17" s="45"/>
      <c r="J17" s="45"/>
      <c r="K17" s="45"/>
      <c r="L17" s="45"/>
      <c r="M17" s="45"/>
      <c r="N17" s="45"/>
      <c r="O17" s="45"/>
    </row>
    <row r="18">
      <c r="A18" s="43">
        <v>45714.0</v>
      </c>
      <c r="B18" s="44" t="s">
        <v>819</v>
      </c>
      <c r="C18" s="44">
        <v>90.0</v>
      </c>
      <c r="D18" s="45"/>
      <c r="E18" s="44">
        <v>90.0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</row>
    <row r="19">
      <c r="A19" s="43">
        <v>45714.0</v>
      </c>
      <c r="B19" s="44" t="s">
        <v>820</v>
      </c>
      <c r="C19" s="44">
        <v>4.0</v>
      </c>
      <c r="D19" s="44"/>
      <c r="E19" s="44">
        <v>4.0</v>
      </c>
    </row>
    <row r="20">
      <c r="A20" s="43">
        <v>45708.0</v>
      </c>
      <c r="B20" s="44" t="s">
        <v>821</v>
      </c>
      <c r="C20" s="44">
        <v>11.0</v>
      </c>
      <c r="E20" s="44">
        <v>11.0</v>
      </c>
      <c r="F20" s="15"/>
      <c r="G20" s="15"/>
      <c r="I20" s="15"/>
      <c r="K20" s="15"/>
      <c r="L20" s="15"/>
      <c r="M20" s="15"/>
      <c r="N20" s="15"/>
      <c r="O20" s="15"/>
    </row>
    <row r="21">
      <c r="A21" s="43"/>
      <c r="B21" s="44"/>
      <c r="C21" s="62" t="s">
        <v>760</v>
      </c>
      <c r="D21" s="4">
        <f>(SUM(D2:D20)+50)</f>
        <v>95.9</v>
      </c>
      <c r="E21" s="4">
        <f t="shared" ref="E21:F21" si="2">SUM(E2:E20)</f>
        <v>385</v>
      </c>
      <c r="F21" s="4">
        <f t="shared" si="2"/>
        <v>222.44</v>
      </c>
      <c r="G21" s="15">
        <f>SUM(G2:G20)-79</f>
        <v>75.78</v>
      </c>
      <c r="H21" s="15">
        <f t="shared" ref="H21:O21" si="3">SUM(H2:H20)</f>
        <v>0</v>
      </c>
      <c r="I21" s="15">
        <f t="shared" si="3"/>
        <v>0</v>
      </c>
      <c r="J21" s="4">
        <f t="shared" si="3"/>
        <v>143.16</v>
      </c>
      <c r="K21" s="15">
        <f t="shared" si="3"/>
        <v>0</v>
      </c>
      <c r="L21" s="15">
        <f t="shared" si="3"/>
        <v>0</v>
      </c>
      <c r="M21" s="15">
        <f t="shared" si="3"/>
        <v>0</v>
      </c>
      <c r="N21" s="15">
        <f t="shared" si="3"/>
        <v>0</v>
      </c>
      <c r="O21" s="15">
        <f t="shared" si="3"/>
        <v>0</v>
      </c>
    </row>
    <row r="22">
      <c r="A22" s="43"/>
      <c r="B22" s="44"/>
      <c r="C22" s="44" t="s">
        <v>414</v>
      </c>
      <c r="D22" s="1">
        <f>25.4+50</f>
        <v>75.4</v>
      </c>
      <c r="E22" s="1">
        <v>336.42</v>
      </c>
    </row>
    <row r="23">
      <c r="A23" s="43"/>
      <c r="B23" s="44"/>
      <c r="C23" s="44" t="s">
        <v>822</v>
      </c>
      <c r="D23" s="4">
        <f t="shared" ref="D23:O23" si="4">SUM(D21:D22)</f>
        <v>171.3</v>
      </c>
      <c r="E23" s="4">
        <f t="shared" si="4"/>
        <v>721.42</v>
      </c>
      <c r="F23" s="4">
        <f t="shared" si="4"/>
        <v>222.44</v>
      </c>
      <c r="G23" s="4">
        <f t="shared" si="4"/>
        <v>75.78</v>
      </c>
      <c r="H23" s="4">
        <f t="shared" si="4"/>
        <v>0</v>
      </c>
      <c r="I23" s="4">
        <f t="shared" si="4"/>
        <v>0</v>
      </c>
      <c r="J23" s="4">
        <f t="shared" si="4"/>
        <v>143.16</v>
      </c>
      <c r="K23" s="4">
        <f t="shared" si="4"/>
        <v>0</v>
      </c>
      <c r="L23" s="4">
        <f t="shared" si="4"/>
        <v>0</v>
      </c>
      <c r="M23" s="4">
        <f t="shared" si="4"/>
        <v>0</v>
      </c>
      <c r="N23" s="4">
        <f t="shared" si="4"/>
        <v>0</v>
      </c>
      <c r="O23" s="4">
        <f t="shared" si="4"/>
        <v>0</v>
      </c>
    </row>
    <row r="24">
      <c r="A24" s="43"/>
      <c r="B24" s="44"/>
      <c r="C24" s="44"/>
    </row>
    <row r="25">
      <c r="A25" s="43"/>
      <c r="B25" s="44"/>
      <c r="C25" s="44"/>
    </row>
    <row r="26">
      <c r="A26" s="43"/>
      <c r="B26" s="44"/>
      <c r="C26" s="44"/>
    </row>
    <row r="27">
      <c r="A27" s="43"/>
      <c r="B27" s="44"/>
      <c r="C27" s="44"/>
      <c r="E27" s="4">
        <f>92.05+60+147.75</f>
        <v>299.8</v>
      </c>
    </row>
    <row r="28">
      <c r="A28" s="43"/>
      <c r="B28" s="44"/>
      <c r="C28" s="44"/>
      <c r="E28" s="4">
        <f>523.19-E27</f>
        <v>223.39</v>
      </c>
    </row>
    <row r="79">
      <c r="G79" s="51"/>
      <c r="H79" s="51"/>
      <c r="I79" s="51"/>
      <c r="J79" s="52"/>
    </row>
    <row r="80">
      <c r="G80" s="52"/>
      <c r="H80" s="52"/>
      <c r="I80" s="52"/>
      <c r="J80" s="51"/>
    </row>
    <row r="81">
      <c r="G81" s="52"/>
      <c r="H81" s="52"/>
      <c r="I81" s="52"/>
      <c r="J81" s="51"/>
    </row>
    <row r="82">
      <c r="G82" s="52"/>
      <c r="H82" s="52"/>
      <c r="I82" s="51"/>
      <c r="J82" s="51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517</v>
      </c>
      <c r="L1" s="14" t="s">
        <v>726</v>
      </c>
      <c r="M1" s="14" t="s">
        <v>86</v>
      </c>
      <c r="N1" s="14" t="s">
        <v>250</v>
      </c>
      <c r="O1" s="14" t="s">
        <v>746</v>
      </c>
    </row>
    <row r="2">
      <c r="A2" s="43">
        <v>45776.0</v>
      </c>
      <c r="B2" s="44" t="s">
        <v>19</v>
      </c>
      <c r="C2" s="44">
        <v>75.7</v>
      </c>
      <c r="D2" s="44"/>
      <c r="E2" s="44"/>
      <c r="F2" s="45"/>
      <c r="G2" s="45"/>
      <c r="H2" s="44">
        <v>75.7</v>
      </c>
      <c r="I2" s="45"/>
      <c r="J2" s="45"/>
      <c r="K2" s="45"/>
      <c r="L2" s="45"/>
      <c r="M2" s="45"/>
      <c r="N2" s="45"/>
      <c r="O2" s="45"/>
    </row>
    <row r="3">
      <c r="A3" s="43">
        <v>45776.0</v>
      </c>
      <c r="B3" s="44" t="s">
        <v>823</v>
      </c>
      <c r="C3" s="44">
        <v>5.0</v>
      </c>
      <c r="D3" s="44"/>
      <c r="E3" s="44"/>
      <c r="F3" s="45"/>
      <c r="G3" s="45"/>
      <c r="H3" s="44">
        <v>5.0</v>
      </c>
      <c r="I3" s="45"/>
      <c r="J3" s="45"/>
      <c r="K3" s="45"/>
      <c r="L3" s="45"/>
      <c r="M3" s="45"/>
      <c r="N3" s="45"/>
      <c r="O3" s="45"/>
    </row>
    <row r="4">
      <c r="A4" s="43">
        <v>45776.0</v>
      </c>
      <c r="B4" s="44" t="s">
        <v>558</v>
      </c>
      <c r="C4" s="44">
        <v>100.62</v>
      </c>
      <c r="D4" s="44"/>
      <c r="E4" s="44"/>
      <c r="F4" s="44"/>
      <c r="G4" s="44"/>
      <c r="H4" s="45"/>
      <c r="I4" s="45"/>
      <c r="J4" s="44">
        <v>100.62</v>
      </c>
      <c r="K4" s="45"/>
      <c r="L4" s="45"/>
      <c r="M4" s="45"/>
      <c r="N4" s="45"/>
      <c r="O4" s="45"/>
    </row>
    <row r="5">
      <c r="A5" s="43"/>
      <c r="B5" s="44"/>
      <c r="C5" s="63">
        <v>476.9</v>
      </c>
      <c r="D5" s="44"/>
      <c r="E5" s="45"/>
      <c r="F5" s="44"/>
      <c r="G5" s="45"/>
      <c r="H5" s="45"/>
      <c r="I5" s="45"/>
      <c r="J5" s="45"/>
      <c r="K5" s="45"/>
      <c r="L5" s="45"/>
      <c r="M5" s="45"/>
      <c r="N5" s="45"/>
      <c r="O5" s="44"/>
    </row>
    <row r="6">
      <c r="A6" s="43">
        <v>45778.0</v>
      </c>
      <c r="B6" s="44" t="s">
        <v>824</v>
      </c>
      <c r="C6" s="44">
        <v>25.0</v>
      </c>
      <c r="D6" s="44"/>
      <c r="E6" s="44"/>
      <c r="F6" s="45"/>
      <c r="G6" s="45"/>
      <c r="H6" s="44">
        <v>25.0</v>
      </c>
      <c r="I6" s="45"/>
      <c r="J6" s="45"/>
      <c r="K6" s="45"/>
      <c r="L6" s="45"/>
      <c r="M6" s="45"/>
      <c r="N6" s="45"/>
      <c r="O6" s="45"/>
    </row>
    <row r="7">
      <c r="A7" s="43">
        <v>45780.0</v>
      </c>
      <c r="B7" s="44" t="s">
        <v>825</v>
      </c>
      <c r="C7" s="44">
        <v>144.0</v>
      </c>
      <c r="D7" s="45"/>
      <c r="E7" s="44">
        <v>144.0</v>
      </c>
      <c r="F7" s="45"/>
      <c r="G7" s="45"/>
      <c r="H7" s="44"/>
      <c r="I7" s="45"/>
      <c r="J7" s="44"/>
      <c r="K7" s="45"/>
      <c r="L7" s="45"/>
      <c r="M7" s="45"/>
      <c r="N7" s="45"/>
    </row>
    <row r="8">
      <c r="A8" s="43">
        <v>45780.0</v>
      </c>
      <c r="B8" s="44" t="s">
        <v>826</v>
      </c>
      <c r="C8" s="44">
        <v>25.9</v>
      </c>
      <c r="D8" s="45"/>
      <c r="E8" s="44"/>
      <c r="F8" s="45"/>
      <c r="G8" s="45"/>
      <c r="H8" s="44"/>
      <c r="I8" s="45"/>
      <c r="J8" s="44">
        <v>25.9</v>
      </c>
      <c r="K8" s="45"/>
      <c r="L8" s="45"/>
      <c r="M8" s="45"/>
      <c r="N8" s="45"/>
      <c r="O8" s="45"/>
    </row>
    <row r="9">
      <c r="A9" s="43">
        <v>45781.0</v>
      </c>
      <c r="B9" s="44" t="s">
        <v>827</v>
      </c>
      <c r="C9" s="44">
        <v>43.4</v>
      </c>
      <c r="D9" s="45"/>
      <c r="E9" s="44">
        <v>43.4</v>
      </c>
      <c r="F9" s="45"/>
      <c r="G9" s="45"/>
      <c r="H9" s="45"/>
      <c r="I9" s="45"/>
      <c r="J9" s="44"/>
      <c r="K9" s="45"/>
      <c r="L9" s="45"/>
      <c r="M9" s="45"/>
      <c r="N9" s="44"/>
      <c r="O9" s="45"/>
    </row>
    <row r="10">
      <c r="A10" s="64">
        <v>45783.0</v>
      </c>
      <c r="B10" s="65" t="s">
        <v>634</v>
      </c>
      <c r="C10" s="44">
        <v>392.5</v>
      </c>
      <c r="D10" s="45"/>
      <c r="E10" s="44"/>
      <c r="F10" s="45"/>
      <c r="G10" s="45"/>
      <c r="H10" s="45"/>
      <c r="I10" s="45"/>
      <c r="J10" s="45"/>
      <c r="K10" s="45"/>
      <c r="L10" s="45"/>
      <c r="M10" s="45"/>
      <c r="N10" s="44"/>
      <c r="O10" s="45"/>
    </row>
    <row r="11">
      <c r="A11" s="43">
        <v>45786.0</v>
      </c>
      <c r="B11" s="44" t="s">
        <v>828</v>
      </c>
      <c r="C11" s="44">
        <v>114.8</v>
      </c>
      <c r="D11" s="44"/>
      <c r="E11" s="44">
        <v>114.8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</row>
    <row r="12">
      <c r="A12" s="43">
        <v>45786.0</v>
      </c>
      <c r="B12" s="44" t="s">
        <v>829</v>
      </c>
      <c r="C12" s="44">
        <v>57.7</v>
      </c>
      <c r="D12" s="44"/>
      <c r="E12" s="44">
        <v>57.7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</row>
    <row r="13">
      <c r="A13" s="43">
        <v>45786.0</v>
      </c>
      <c r="B13" s="44" t="s">
        <v>830</v>
      </c>
      <c r="C13" s="44">
        <v>5.0</v>
      </c>
      <c r="D13" s="44"/>
      <c r="E13" s="44">
        <v>5.0</v>
      </c>
      <c r="F13" s="45"/>
      <c r="G13" s="45"/>
      <c r="H13" s="45"/>
      <c r="I13" s="45"/>
      <c r="J13" s="45"/>
      <c r="K13" s="45"/>
      <c r="L13" s="45"/>
      <c r="M13" s="45"/>
      <c r="N13" s="45"/>
      <c r="O13" s="45"/>
    </row>
    <row r="14">
      <c r="A14" s="43">
        <v>45786.0</v>
      </c>
      <c r="B14" s="44" t="s">
        <v>558</v>
      </c>
      <c r="C14" s="44">
        <v>126.0</v>
      </c>
      <c r="D14" s="45"/>
      <c r="E14" s="45"/>
      <c r="F14" s="44"/>
      <c r="G14" s="45"/>
      <c r="H14" s="45"/>
      <c r="I14" s="45"/>
      <c r="J14" s="44">
        <v>126.0</v>
      </c>
      <c r="K14" s="45"/>
      <c r="L14" s="45"/>
      <c r="M14" s="45"/>
      <c r="N14" s="45"/>
      <c r="O14" s="48"/>
    </row>
    <row r="15">
      <c r="A15" s="43">
        <v>45787.0</v>
      </c>
      <c r="B15" s="44" t="s">
        <v>831</v>
      </c>
      <c r="C15" s="44">
        <v>112.29</v>
      </c>
      <c r="D15" s="44">
        <v>112.29</v>
      </c>
      <c r="E15" s="44"/>
      <c r="F15" s="44"/>
      <c r="G15" s="45"/>
      <c r="H15" s="45"/>
      <c r="I15" s="45"/>
      <c r="J15" s="45"/>
      <c r="K15" s="45"/>
      <c r="L15" s="45"/>
      <c r="M15" s="45"/>
      <c r="N15" s="45"/>
      <c r="O15" s="45"/>
    </row>
    <row r="16">
      <c r="A16" s="43">
        <v>45788.0</v>
      </c>
      <c r="B16" s="44" t="s">
        <v>814</v>
      </c>
      <c r="C16" s="44">
        <v>257.0</v>
      </c>
      <c r="D16" s="45"/>
      <c r="E16" s="44"/>
      <c r="F16" s="45">
        <f>C16-G16</f>
        <v>192.75</v>
      </c>
      <c r="G16" s="44">
        <v>64.25</v>
      </c>
      <c r="H16" s="45"/>
      <c r="I16" s="45"/>
      <c r="J16" s="45"/>
      <c r="K16" s="45"/>
      <c r="L16" s="45"/>
      <c r="M16" s="45"/>
      <c r="N16" s="45"/>
      <c r="O16" s="45"/>
    </row>
    <row r="17">
      <c r="A17" s="43">
        <v>45788.0</v>
      </c>
      <c r="B17" s="44" t="s">
        <v>272</v>
      </c>
      <c r="C17" s="44">
        <v>55.5</v>
      </c>
      <c r="D17" s="44"/>
      <c r="E17" s="44">
        <v>55.5</v>
      </c>
      <c r="F17" s="45"/>
      <c r="G17" s="45"/>
      <c r="H17" s="44"/>
      <c r="I17" s="45"/>
      <c r="J17" s="45"/>
      <c r="K17" s="45"/>
      <c r="L17" s="45"/>
      <c r="M17" s="45"/>
      <c r="N17" s="45"/>
      <c r="O17" s="45"/>
    </row>
    <row r="18">
      <c r="A18" s="43">
        <v>45789.0</v>
      </c>
      <c r="B18" s="44" t="s">
        <v>832</v>
      </c>
      <c r="C18" s="44">
        <v>18.0</v>
      </c>
      <c r="D18" s="44"/>
      <c r="E18" s="44"/>
      <c r="F18" s="45"/>
      <c r="G18" s="44">
        <v>18.0</v>
      </c>
      <c r="H18" s="45"/>
      <c r="I18" s="45"/>
      <c r="J18" s="45"/>
      <c r="K18" s="45"/>
      <c r="L18" s="45"/>
      <c r="M18" s="45"/>
      <c r="N18" s="45"/>
      <c r="O18" s="45"/>
    </row>
    <row r="19">
      <c r="A19" s="43">
        <v>45788.0</v>
      </c>
      <c r="B19" s="44" t="s">
        <v>833</v>
      </c>
      <c r="C19" s="44">
        <v>34.0</v>
      </c>
      <c r="D19" s="45"/>
      <c r="E19" s="44">
        <v>34.0</v>
      </c>
      <c r="F19" s="45"/>
      <c r="G19" s="45"/>
      <c r="H19" s="45"/>
      <c r="I19" s="45"/>
      <c r="J19" s="45"/>
      <c r="K19" s="45"/>
      <c r="L19" s="45"/>
      <c r="M19" s="45"/>
      <c r="N19" s="45"/>
      <c r="O19" s="45"/>
    </row>
    <row r="20">
      <c r="A20" s="43">
        <v>45787.0</v>
      </c>
      <c r="B20" s="44" t="s">
        <v>834</v>
      </c>
      <c r="C20" s="44">
        <v>5.0</v>
      </c>
      <c r="D20" s="44"/>
      <c r="E20" s="44">
        <v>5.0</v>
      </c>
    </row>
    <row r="21">
      <c r="A21" s="43">
        <v>45789.0</v>
      </c>
      <c r="B21" s="44" t="s">
        <v>835</v>
      </c>
      <c r="C21" s="44">
        <v>33.0</v>
      </c>
      <c r="D21" s="44">
        <v>33.0</v>
      </c>
      <c r="E21" s="44"/>
    </row>
    <row r="22">
      <c r="A22" s="43">
        <v>45793.0</v>
      </c>
      <c r="B22" s="44" t="s">
        <v>836</v>
      </c>
      <c r="C22" s="44">
        <v>17.0</v>
      </c>
      <c r="D22" s="44">
        <v>17.0</v>
      </c>
    </row>
    <row r="23">
      <c r="A23" s="43"/>
      <c r="B23" s="44" t="s">
        <v>837</v>
      </c>
      <c r="C23" s="44">
        <v>430.51</v>
      </c>
      <c r="D23" s="44">
        <v>430.51</v>
      </c>
    </row>
    <row r="24">
      <c r="A24" s="43"/>
      <c r="B24" s="44" t="s">
        <v>838</v>
      </c>
      <c r="C24" s="44">
        <v>68.3</v>
      </c>
      <c r="D24" s="44">
        <v>68.3</v>
      </c>
    </row>
    <row r="25">
      <c r="A25" s="43"/>
      <c r="B25" s="44" t="s">
        <v>764</v>
      </c>
      <c r="C25" s="44">
        <v>50.0</v>
      </c>
      <c r="D25" s="44">
        <v>50.0</v>
      </c>
    </row>
    <row r="26">
      <c r="A26" s="43">
        <v>45808.0</v>
      </c>
      <c r="B26" s="44" t="s">
        <v>839</v>
      </c>
      <c r="C26" s="44">
        <v>16.0</v>
      </c>
      <c r="E26" s="44">
        <v>16.0</v>
      </c>
    </row>
    <row r="27">
      <c r="A27" s="43">
        <v>45808.0</v>
      </c>
      <c r="B27" s="44" t="s">
        <v>840</v>
      </c>
      <c r="C27" s="44">
        <v>58.98</v>
      </c>
      <c r="E27" s="44">
        <v>58.98</v>
      </c>
    </row>
    <row r="28">
      <c r="A28" s="43">
        <v>45809.0</v>
      </c>
      <c r="B28" s="44" t="s">
        <v>841</v>
      </c>
      <c r="C28" s="44">
        <v>175.9</v>
      </c>
      <c r="D28" s="44">
        <v>175.9</v>
      </c>
    </row>
    <row r="29">
      <c r="A29" s="41">
        <v>45808.0</v>
      </c>
      <c r="B29" s="1" t="s">
        <v>842</v>
      </c>
      <c r="C29" s="1">
        <v>19.8</v>
      </c>
      <c r="E29" s="1">
        <v>19.8</v>
      </c>
    </row>
    <row r="30">
      <c r="A30" s="41">
        <v>45808.0</v>
      </c>
      <c r="B30" s="1" t="s">
        <v>843</v>
      </c>
      <c r="C30" s="1">
        <v>21.8</v>
      </c>
      <c r="E30" s="1">
        <v>21.8</v>
      </c>
    </row>
    <row r="31">
      <c r="A31" s="41">
        <v>45808.0</v>
      </c>
      <c r="B31" s="1" t="s">
        <v>844</v>
      </c>
      <c r="C31" s="1">
        <f>135+30</f>
        <v>165</v>
      </c>
      <c r="F31" s="1">
        <v>80.0</v>
      </c>
      <c r="G31" s="1">
        <v>85.0</v>
      </c>
    </row>
    <row r="32">
      <c r="A32" s="66">
        <v>45808.0</v>
      </c>
      <c r="B32" s="1" t="s">
        <v>845</v>
      </c>
      <c r="C32" s="1">
        <v>50.0</v>
      </c>
      <c r="E32" s="1">
        <v>50.0</v>
      </c>
    </row>
    <row r="33">
      <c r="C33" s="1" t="s">
        <v>846</v>
      </c>
      <c r="D33" s="15">
        <f t="shared" ref="D33:J33" si="1">SUM(D2:D32)</f>
        <v>887</v>
      </c>
      <c r="E33" s="15">
        <f t="shared" si="1"/>
        <v>625.98</v>
      </c>
      <c r="F33" s="4">
        <f t="shared" si="1"/>
        <v>272.75</v>
      </c>
      <c r="G33" s="4">
        <f t="shared" si="1"/>
        <v>167.25</v>
      </c>
      <c r="H33" s="15">
        <f t="shared" si="1"/>
        <v>105.7</v>
      </c>
      <c r="I33" s="4">
        <f t="shared" si="1"/>
        <v>0</v>
      </c>
      <c r="J33" s="15">
        <f t="shared" si="1"/>
        <v>252.52</v>
      </c>
    </row>
    <row r="34">
      <c r="C34" s="1" t="s">
        <v>847</v>
      </c>
      <c r="D34" s="67">
        <v>558.59</v>
      </c>
      <c r="E34" s="67">
        <v>346.95</v>
      </c>
      <c r="F34" s="68"/>
      <c r="G34" s="68"/>
      <c r="H34" s="67">
        <v>230.0</v>
      </c>
      <c r="I34" s="68"/>
      <c r="J34" s="68"/>
    </row>
    <row r="35">
      <c r="D35" s="68">
        <f t="shared" ref="D35:J35" si="2">SUM(D33:D34)</f>
        <v>1445.59</v>
      </c>
      <c r="E35" s="68">
        <f t="shared" si="2"/>
        <v>972.93</v>
      </c>
      <c r="F35" s="68">
        <f t="shared" si="2"/>
        <v>272.75</v>
      </c>
      <c r="G35" s="68">
        <f t="shared" si="2"/>
        <v>167.25</v>
      </c>
      <c r="H35" s="68">
        <f t="shared" si="2"/>
        <v>335.7</v>
      </c>
      <c r="I35" s="68">
        <f t="shared" si="2"/>
        <v>0</v>
      </c>
      <c r="J35" s="68">
        <f t="shared" si="2"/>
        <v>252.52</v>
      </c>
    </row>
    <row r="43">
      <c r="B43" s="1" t="s">
        <v>848</v>
      </c>
    </row>
    <row r="44">
      <c r="A44" s="41">
        <v>45809.0</v>
      </c>
      <c r="B44" s="1" t="s">
        <v>849</v>
      </c>
      <c r="C44" s="1">
        <v>19.0</v>
      </c>
    </row>
    <row r="45">
      <c r="A45" s="41">
        <v>45809.0</v>
      </c>
      <c r="B45" s="1" t="s">
        <v>850</v>
      </c>
      <c r="C45" s="1">
        <v>11.9</v>
      </c>
    </row>
    <row r="46">
      <c r="A46" s="41">
        <v>45809.0</v>
      </c>
      <c r="B46" s="1" t="s">
        <v>416</v>
      </c>
      <c r="C46" s="1">
        <v>108.0</v>
      </c>
    </row>
    <row r="78">
      <c r="G78" s="51"/>
      <c r="H78" s="51"/>
      <c r="I78" s="51"/>
      <c r="J78" s="52"/>
    </row>
    <row r="79">
      <c r="G79" s="52"/>
      <c r="H79" s="52"/>
      <c r="I79" s="52"/>
      <c r="J79" s="51"/>
    </row>
    <row r="80">
      <c r="G80" s="52"/>
      <c r="H80" s="52"/>
      <c r="I80" s="52"/>
      <c r="J80" s="51"/>
    </row>
    <row r="81">
      <c r="G81" s="52"/>
      <c r="H81" s="52"/>
      <c r="I81" s="51"/>
      <c r="J81" s="51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9.63"/>
    <col customWidth="1" min="9" max="9" width="14.38"/>
  </cols>
  <sheetData>
    <row r="1">
      <c r="A1" s="14" t="s">
        <v>498</v>
      </c>
      <c r="B1" s="14" t="s">
        <v>0</v>
      </c>
      <c r="C1" s="14" t="s">
        <v>2</v>
      </c>
      <c r="D1" s="14" t="s">
        <v>83</v>
      </c>
      <c r="E1" s="14" t="s">
        <v>4</v>
      </c>
      <c r="F1" s="14" t="s">
        <v>5</v>
      </c>
      <c r="G1" s="14" t="s">
        <v>249</v>
      </c>
      <c r="H1" s="14" t="s">
        <v>52</v>
      </c>
      <c r="I1" s="14" t="s">
        <v>8</v>
      </c>
      <c r="J1" s="14" t="s">
        <v>250</v>
      </c>
      <c r="K1" s="14" t="s">
        <v>250</v>
      </c>
      <c r="L1" s="14"/>
      <c r="M1" s="14"/>
      <c r="N1" s="14"/>
      <c r="P1" s="14"/>
    </row>
    <row r="2">
      <c r="A2" s="43">
        <v>45793.0</v>
      </c>
      <c r="B2" s="44" t="s">
        <v>851</v>
      </c>
      <c r="C2" s="44">
        <v>37.37</v>
      </c>
      <c r="E2" s="44"/>
      <c r="F2" s="44"/>
      <c r="G2" s="45"/>
      <c r="H2" s="45"/>
      <c r="I2" s="44"/>
      <c r="J2" s="45"/>
      <c r="K2" s="45"/>
      <c r="L2" s="45"/>
      <c r="M2" s="45"/>
      <c r="N2" s="45"/>
      <c r="O2" s="45"/>
      <c r="P2" s="45"/>
    </row>
    <row r="3">
      <c r="A3" s="43">
        <v>45794.0</v>
      </c>
      <c r="B3" s="69" t="s">
        <v>852</v>
      </c>
      <c r="C3" s="69"/>
      <c r="D3" s="69">
        <v>4.94</v>
      </c>
      <c r="E3" s="44"/>
      <c r="F3" s="44"/>
      <c r="G3" s="45"/>
      <c r="H3" s="45"/>
      <c r="I3" s="44"/>
      <c r="J3" s="45"/>
      <c r="K3" s="45"/>
      <c r="L3" s="45"/>
      <c r="M3" s="45"/>
      <c r="N3" s="45"/>
      <c r="O3" s="45"/>
      <c r="P3" s="45"/>
    </row>
    <row r="4">
      <c r="A4" s="43">
        <v>45794.0</v>
      </c>
      <c r="B4" s="69" t="s">
        <v>853</v>
      </c>
      <c r="C4" s="69"/>
      <c r="D4" s="69">
        <v>93.62</v>
      </c>
      <c r="E4" s="44"/>
      <c r="F4" s="44"/>
      <c r="G4" s="44"/>
      <c r="H4" s="44"/>
      <c r="I4" s="45"/>
      <c r="J4" s="45"/>
      <c r="K4" s="44"/>
      <c r="L4" s="45"/>
      <c r="M4" s="45"/>
      <c r="N4" s="45"/>
      <c r="O4" s="45"/>
      <c r="P4" s="45"/>
    </row>
    <row r="5">
      <c r="A5" s="43">
        <v>45798.0</v>
      </c>
      <c r="B5" s="44" t="s">
        <v>854</v>
      </c>
      <c r="C5" s="63"/>
      <c r="D5" s="70">
        <v>206.1</v>
      </c>
      <c r="E5" s="44"/>
      <c r="F5" s="45"/>
      <c r="G5" s="44"/>
      <c r="H5" s="45"/>
      <c r="I5" s="45"/>
      <c r="J5" s="45"/>
      <c r="K5" s="45"/>
      <c r="L5" s="45"/>
      <c r="M5" s="45"/>
      <c r="N5" s="45"/>
      <c r="O5" s="45"/>
      <c r="P5" s="44"/>
    </row>
    <row r="6">
      <c r="A6" s="43">
        <v>45798.0</v>
      </c>
      <c r="B6" s="44" t="s">
        <v>855</v>
      </c>
      <c r="C6" s="44"/>
      <c r="D6" s="44">
        <v>39.9</v>
      </c>
      <c r="E6" s="44"/>
      <c r="F6" s="44"/>
      <c r="G6" s="45"/>
      <c r="H6" s="45"/>
      <c r="I6" s="44"/>
      <c r="J6" s="45"/>
      <c r="K6" s="45"/>
      <c r="L6" s="45"/>
      <c r="M6" s="45"/>
      <c r="N6" s="45"/>
      <c r="O6" s="45"/>
      <c r="P6" s="45"/>
    </row>
    <row r="7">
      <c r="A7" s="43">
        <v>45801.0</v>
      </c>
      <c r="B7" s="44" t="s">
        <v>856</v>
      </c>
      <c r="C7" s="44"/>
      <c r="D7" s="44">
        <v>16.2</v>
      </c>
      <c r="E7" s="45"/>
      <c r="F7" s="44"/>
      <c r="G7" s="45"/>
      <c r="H7" s="45"/>
      <c r="I7" s="44"/>
      <c r="J7" s="45"/>
      <c r="K7" s="44"/>
      <c r="L7" s="45"/>
      <c r="M7" s="45"/>
      <c r="N7" s="45"/>
      <c r="O7" s="45"/>
    </row>
    <row r="8">
      <c r="A8" s="43">
        <v>45802.0</v>
      </c>
      <c r="B8" s="44" t="s">
        <v>857</v>
      </c>
      <c r="C8" s="44"/>
      <c r="D8" s="44">
        <v>10.09</v>
      </c>
      <c r="E8" s="45"/>
      <c r="F8" s="44"/>
      <c r="G8" s="45"/>
      <c r="H8" s="45"/>
      <c r="I8" s="44"/>
      <c r="J8" s="45"/>
      <c r="K8" s="44"/>
      <c r="L8" s="45"/>
      <c r="M8" s="45"/>
      <c r="N8" s="45"/>
      <c r="O8" s="45"/>
      <c r="P8" s="45"/>
    </row>
    <row r="9">
      <c r="A9" s="43">
        <v>45803.0</v>
      </c>
      <c r="B9" s="44" t="s">
        <v>858</v>
      </c>
      <c r="C9" s="44"/>
      <c r="D9" s="44">
        <v>20.96</v>
      </c>
      <c r="E9" s="45"/>
      <c r="F9" s="44"/>
      <c r="G9" s="45"/>
      <c r="H9" s="45"/>
      <c r="I9" s="45"/>
      <c r="J9" s="45"/>
      <c r="K9" s="44"/>
      <c r="L9" s="45"/>
      <c r="M9" s="45"/>
      <c r="N9" s="45"/>
      <c r="O9" s="44"/>
      <c r="P9" s="45"/>
    </row>
    <row r="10">
      <c r="A10" s="71">
        <v>45805.0</v>
      </c>
      <c r="B10" s="70" t="s">
        <v>859</v>
      </c>
      <c r="C10" s="70"/>
      <c r="D10" s="70" t="s">
        <v>860</v>
      </c>
      <c r="E10" s="72"/>
      <c r="F10" s="70"/>
      <c r="G10" s="72"/>
      <c r="H10" s="72"/>
      <c r="I10" s="72"/>
      <c r="J10" s="72"/>
      <c r="K10" s="72"/>
      <c r="L10" s="45"/>
      <c r="M10" s="45"/>
      <c r="N10" s="45"/>
      <c r="O10" s="44"/>
      <c r="P10" s="45"/>
    </row>
    <row r="11">
      <c r="A11" s="73">
        <v>45804.0</v>
      </c>
      <c r="B11" s="70" t="s">
        <v>861</v>
      </c>
      <c r="C11" s="70"/>
      <c r="D11" s="70">
        <v>8.98</v>
      </c>
      <c r="E11" s="70"/>
      <c r="F11" s="70"/>
      <c r="G11" s="72"/>
      <c r="H11" s="72"/>
      <c r="I11" s="72"/>
      <c r="J11" s="72"/>
      <c r="K11" s="72"/>
      <c r="L11" s="45"/>
      <c r="M11" s="45"/>
      <c r="N11" s="45"/>
      <c r="O11" s="45"/>
      <c r="P11" s="45"/>
    </row>
    <row r="12">
      <c r="A12" s="73">
        <v>45865.0</v>
      </c>
      <c r="B12" s="70" t="s">
        <v>862</v>
      </c>
      <c r="C12" s="70"/>
      <c r="D12" s="70">
        <v>4.91</v>
      </c>
      <c r="E12" s="70"/>
      <c r="F12" s="70"/>
      <c r="G12" s="72"/>
      <c r="H12" s="72"/>
      <c r="I12" s="72"/>
      <c r="J12" s="72"/>
      <c r="K12" s="72"/>
      <c r="L12" s="45"/>
      <c r="M12" s="45"/>
      <c r="N12" s="45"/>
      <c r="O12" s="45"/>
      <c r="P12" s="45"/>
    </row>
    <row r="13">
      <c r="A13" s="73">
        <v>45806.0</v>
      </c>
      <c r="B13" s="70" t="s">
        <v>863</v>
      </c>
      <c r="C13" s="70"/>
      <c r="D13" s="70">
        <v>4.48</v>
      </c>
      <c r="E13" s="70"/>
      <c r="F13" s="70"/>
      <c r="G13" s="72"/>
      <c r="H13" s="72"/>
      <c r="I13" s="72"/>
      <c r="J13" s="72"/>
      <c r="K13" s="72"/>
      <c r="L13" s="45"/>
      <c r="M13" s="45"/>
      <c r="N13" s="45"/>
      <c r="O13" s="45"/>
      <c r="P13" s="45"/>
    </row>
    <row r="14">
      <c r="A14" s="73">
        <v>45806.0</v>
      </c>
      <c r="B14" s="70" t="s">
        <v>864</v>
      </c>
      <c r="C14" s="70"/>
      <c r="D14" s="70" t="s">
        <v>860</v>
      </c>
      <c r="E14" s="72"/>
      <c r="F14" s="72"/>
      <c r="G14" s="70"/>
      <c r="H14" s="72"/>
      <c r="I14" s="72"/>
      <c r="J14" s="72"/>
      <c r="K14" s="70"/>
      <c r="L14" s="45"/>
      <c r="M14" s="45"/>
      <c r="N14" s="45"/>
      <c r="O14" s="45"/>
      <c r="P14" s="48"/>
    </row>
    <row r="15">
      <c r="A15" s="73">
        <v>45806.0</v>
      </c>
      <c r="B15" s="70" t="s">
        <v>865</v>
      </c>
      <c r="C15" s="70"/>
      <c r="D15" s="70">
        <v>17.62</v>
      </c>
      <c r="E15" s="70"/>
      <c r="F15" s="70"/>
      <c r="G15" s="70"/>
      <c r="H15" s="72"/>
      <c r="I15" s="72"/>
      <c r="J15" s="72"/>
      <c r="K15" s="72"/>
      <c r="L15" s="45"/>
      <c r="M15" s="45"/>
      <c r="N15" s="45"/>
      <c r="O15" s="45"/>
      <c r="P15" s="45"/>
    </row>
    <row r="16">
      <c r="A16" s="73">
        <v>45806.0</v>
      </c>
      <c r="B16" s="70" t="s">
        <v>866</v>
      </c>
      <c r="C16" s="70"/>
      <c r="D16" s="70">
        <v>14.55</v>
      </c>
      <c r="E16" s="72"/>
      <c r="F16" s="70"/>
      <c r="G16" s="72"/>
      <c r="H16" s="70"/>
      <c r="I16" s="72"/>
      <c r="J16" s="72"/>
      <c r="K16" s="72"/>
      <c r="L16" s="45"/>
      <c r="M16" s="45"/>
      <c r="N16" s="45"/>
      <c r="O16" s="45"/>
      <c r="P16" s="45"/>
    </row>
    <row r="17">
      <c r="A17" s="73"/>
      <c r="B17" s="70" t="s">
        <v>867</v>
      </c>
      <c r="C17" s="70"/>
      <c r="D17" s="70">
        <v>26.86</v>
      </c>
      <c r="E17" s="70"/>
      <c r="F17" s="70"/>
      <c r="G17" s="72"/>
      <c r="H17" s="72"/>
      <c r="I17" s="70"/>
      <c r="J17" s="72"/>
      <c r="K17" s="72"/>
      <c r="L17" s="45"/>
      <c r="M17" s="45"/>
      <c r="N17" s="45"/>
      <c r="O17" s="45"/>
      <c r="P17" s="45"/>
    </row>
    <row r="18">
      <c r="A18" s="73"/>
      <c r="B18" s="70"/>
      <c r="C18" s="70"/>
      <c r="D18" s="70"/>
      <c r="E18" s="70"/>
      <c r="F18" s="70"/>
      <c r="G18" s="72"/>
      <c r="H18" s="70"/>
      <c r="I18" s="72"/>
      <c r="J18" s="72"/>
      <c r="K18" s="72"/>
      <c r="L18" s="45"/>
      <c r="M18" s="45"/>
      <c r="N18" s="45"/>
      <c r="O18" s="45"/>
      <c r="P18" s="45"/>
    </row>
    <row r="19">
      <c r="A19" s="73"/>
      <c r="B19" s="70"/>
      <c r="C19" s="70"/>
      <c r="D19" s="70"/>
      <c r="E19" s="72"/>
      <c r="F19" s="70"/>
      <c r="G19" s="72"/>
      <c r="H19" s="72"/>
      <c r="I19" s="72"/>
      <c r="J19" s="72"/>
      <c r="K19" s="72"/>
      <c r="L19" s="45"/>
      <c r="M19" s="45"/>
      <c r="N19" s="45"/>
      <c r="O19" s="45"/>
      <c r="P19" s="45"/>
    </row>
    <row r="20">
      <c r="A20" s="73"/>
      <c r="B20" s="70"/>
      <c r="C20" s="70"/>
      <c r="D20" s="70"/>
      <c r="E20" s="70"/>
      <c r="F20" s="70"/>
      <c r="G20" s="74"/>
      <c r="H20" s="74"/>
      <c r="I20" s="74"/>
      <c r="J20" s="74"/>
      <c r="K20" s="74"/>
    </row>
    <row r="21">
      <c r="A21" s="73"/>
      <c r="B21" s="70"/>
      <c r="C21" s="70"/>
      <c r="D21" s="70"/>
      <c r="E21" s="74"/>
      <c r="F21" s="70"/>
      <c r="G21" s="74"/>
      <c r="H21" s="74"/>
      <c r="I21" s="74"/>
      <c r="J21" s="74"/>
      <c r="K21" s="74"/>
    </row>
    <row r="22">
      <c r="A22" s="73"/>
      <c r="B22" s="70"/>
      <c r="C22" s="70"/>
      <c r="D22" s="70"/>
      <c r="E22" s="74"/>
      <c r="F22" s="74"/>
      <c r="G22" s="74"/>
      <c r="H22" s="74"/>
      <c r="I22" s="74"/>
      <c r="J22" s="74"/>
      <c r="K22" s="74"/>
    </row>
    <row r="23">
      <c r="A23" s="73"/>
      <c r="B23" s="70"/>
      <c r="C23" s="70"/>
      <c r="D23" s="70"/>
      <c r="E23" s="74"/>
      <c r="F23" s="74"/>
      <c r="G23" s="74"/>
      <c r="H23" s="74"/>
      <c r="I23" s="74"/>
      <c r="J23" s="74"/>
      <c r="K23" s="74"/>
    </row>
    <row r="24">
      <c r="A24" s="73"/>
      <c r="B24" s="70"/>
      <c r="C24" s="70"/>
      <c r="D24" s="70"/>
      <c r="E24" s="74"/>
      <c r="F24" s="74"/>
      <c r="G24" s="74"/>
      <c r="H24" s="74"/>
      <c r="I24" s="74"/>
      <c r="J24" s="74"/>
      <c r="K24" s="74"/>
    </row>
    <row r="25">
      <c r="A25" s="73"/>
      <c r="B25" s="70"/>
      <c r="C25" s="70"/>
      <c r="D25" s="70"/>
      <c r="E25" s="74"/>
      <c r="F25" s="74"/>
      <c r="G25" s="74"/>
      <c r="H25" s="74"/>
      <c r="I25" s="74"/>
      <c r="J25" s="74"/>
      <c r="K25" s="74"/>
    </row>
    <row r="26">
      <c r="A26" s="73"/>
      <c r="B26" s="70"/>
      <c r="C26" s="70"/>
      <c r="D26" s="70"/>
      <c r="E26" s="74"/>
      <c r="F26" s="74"/>
      <c r="G26" s="74"/>
      <c r="H26" s="74"/>
      <c r="I26" s="74"/>
      <c r="J26" s="74"/>
      <c r="K26" s="74"/>
    </row>
    <row r="27">
      <c r="A27" s="73"/>
      <c r="B27" s="70"/>
      <c r="C27" s="70"/>
      <c r="D27" s="70"/>
      <c r="E27" s="74"/>
      <c r="F27" s="74"/>
      <c r="G27" s="74"/>
      <c r="H27" s="74"/>
      <c r="I27" s="74"/>
      <c r="J27" s="74"/>
      <c r="K27" s="74"/>
    </row>
    <row r="28">
      <c r="A28" s="73"/>
      <c r="B28" s="70"/>
      <c r="C28" s="70"/>
      <c r="D28" s="70"/>
      <c r="E28" s="74"/>
      <c r="F28" s="74"/>
      <c r="G28" s="74"/>
      <c r="H28" s="74"/>
      <c r="I28" s="74"/>
      <c r="J28" s="74"/>
      <c r="K28" s="74"/>
    </row>
    <row r="29">
      <c r="A29" s="73"/>
      <c r="B29" s="70"/>
      <c r="C29" s="70"/>
      <c r="D29" s="70"/>
      <c r="E29" s="74"/>
      <c r="F29" s="74"/>
      <c r="G29" s="74"/>
      <c r="H29" s="74"/>
      <c r="I29" s="74"/>
      <c r="J29" s="74"/>
      <c r="K29" s="74"/>
    </row>
    <row r="30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</row>
    <row r="3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</row>
    <row r="32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</row>
    <row r="33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</row>
    <row r="80">
      <c r="H80" s="51"/>
      <c r="I80" s="51"/>
      <c r="J80" s="51"/>
      <c r="K80" s="52"/>
    </row>
    <row r="81">
      <c r="H81" s="52"/>
      <c r="I81" s="52"/>
      <c r="J81" s="52"/>
      <c r="K81" s="51"/>
    </row>
    <row r="82">
      <c r="H82" s="52"/>
      <c r="I82" s="52"/>
      <c r="J82" s="52"/>
      <c r="K82" s="51"/>
    </row>
    <row r="83">
      <c r="H83" s="52"/>
      <c r="I83" s="52"/>
      <c r="J83" s="51"/>
      <c r="K83" s="51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28.25"/>
    <col customWidth="1" min="2" max="2" width="47.13"/>
    <col hidden="1" min="3" max="3" width="12.63"/>
  </cols>
  <sheetData>
    <row r="1">
      <c r="A1" s="14" t="s">
        <v>868</v>
      </c>
      <c r="B1" s="14" t="s">
        <v>0</v>
      </c>
      <c r="C1" s="14" t="s">
        <v>2</v>
      </c>
      <c r="D1" s="14" t="s">
        <v>83</v>
      </c>
      <c r="E1" s="14"/>
      <c r="F1" s="14" t="s">
        <v>869</v>
      </c>
      <c r="G1" s="14" t="s">
        <v>5</v>
      </c>
      <c r="H1" s="14" t="s">
        <v>249</v>
      </c>
      <c r="I1" s="14" t="s">
        <v>52</v>
      </c>
      <c r="J1" s="14"/>
      <c r="K1" s="14"/>
      <c r="L1" s="14"/>
      <c r="N1" s="14"/>
    </row>
    <row r="2">
      <c r="A2" s="75" t="s">
        <v>325</v>
      </c>
      <c r="J2" s="45"/>
      <c r="K2" s="45"/>
      <c r="L2" s="45"/>
      <c r="M2" s="45"/>
      <c r="N2" s="45"/>
    </row>
    <row r="3">
      <c r="A3" s="44" t="s">
        <v>870</v>
      </c>
      <c r="J3" s="45"/>
      <c r="K3" s="45"/>
      <c r="L3" s="45"/>
      <c r="M3" s="45"/>
      <c r="N3" s="45"/>
    </row>
    <row r="4">
      <c r="B4" s="44" t="s">
        <v>871</v>
      </c>
      <c r="C4" s="44"/>
      <c r="D4" s="1">
        <v>29.74</v>
      </c>
      <c r="E4" s="44">
        <f t="shared" ref="E4:E7" si="1">ROUND((1+($D$8/(SUM($D$4:$D$7))))*D4,2)</f>
        <v>31.82</v>
      </c>
      <c r="F4" s="44"/>
      <c r="G4" s="44"/>
      <c r="H4" s="45"/>
      <c r="J4" s="45"/>
      <c r="K4" s="45"/>
      <c r="L4" s="45"/>
      <c r="M4" s="45"/>
      <c r="N4" s="45"/>
    </row>
    <row r="5">
      <c r="A5" s="44"/>
      <c r="B5" s="44" t="s">
        <v>872</v>
      </c>
      <c r="C5" s="44"/>
      <c r="D5" s="1">
        <v>40.79</v>
      </c>
      <c r="E5" s="44">
        <f t="shared" si="1"/>
        <v>43.65</v>
      </c>
      <c r="F5" s="44"/>
      <c r="G5" s="44"/>
      <c r="I5" s="45"/>
      <c r="J5" s="45"/>
      <c r="K5" s="45"/>
      <c r="L5" s="45"/>
      <c r="M5" s="45"/>
      <c r="N5" s="45"/>
    </row>
    <row r="6">
      <c r="A6" s="44"/>
      <c r="B6" s="44" t="s">
        <v>873</v>
      </c>
      <c r="C6" s="44"/>
      <c r="D6" s="1">
        <v>18.69</v>
      </c>
      <c r="E6" s="44">
        <f t="shared" si="1"/>
        <v>20</v>
      </c>
      <c r="F6" s="44"/>
      <c r="G6" s="44"/>
      <c r="I6" s="44"/>
      <c r="J6" s="45"/>
      <c r="K6" s="45"/>
      <c r="L6" s="45"/>
      <c r="M6" s="45"/>
      <c r="N6" s="44"/>
    </row>
    <row r="7">
      <c r="A7" s="44"/>
      <c r="B7" s="44" t="s">
        <v>874</v>
      </c>
      <c r="C7" s="44"/>
      <c r="D7" s="1">
        <v>16.99</v>
      </c>
      <c r="E7" s="44">
        <f t="shared" si="1"/>
        <v>18.18</v>
      </c>
      <c r="F7" s="44"/>
      <c r="G7" s="45"/>
      <c r="H7" s="44"/>
      <c r="J7" s="45"/>
      <c r="K7" s="45"/>
      <c r="L7" s="45"/>
      <c r="M7" s="45"/>
      <c r="N7" s="45"/>
    </row>
    <row r="8">
      <c r="A8" s="44"/>
      <c r="B8" s="44" t="s">
        <v>875</v>
      </c>
      <c r="C8" s="44"/>
      <c r="D8" s="1">
        <v>7.44</v>
      </c>
      <c r="E8" s="44"/>
      <c r="F8" s="44"/>
      <c r="G8" s="44"/>
      <c r="H8" s="45"/>
      <c r="I8" s="45"/>
      <c r="J8" s="45"/>
      <c r="K8" s="45"/>
      <c r="L8" s="45"/>
      <c r="M8" s="45"/>
    </row>
    <row r="9">
      <c r="A9" s="44" t="s">
        <v>876</v>
      </c>
      <c r="B9" s="44"/>
      <c r="C9" s="44"/>
      <c r="D9" s="1"/>
      <c r="E9" s="45"/>
      <c r="F9" s="45"/>
      <c r="G9" s="44"/>
      <c r="H9" s="45"/>
      <c r="I9" s="45"/>
      <c r="J9" s="45"/>
      <c r="K9" s="45"/>
      <c r="L9" s="45"/>
      <c r="M9" s="45"/>
      <c r="N9" s="45"/>
    </row>
    <row r="10">
      <c r="A10" s="44"/>
      <c r="B10" s="44" t="s">
        <v>877</v>
      </c>
      <c r="C10" s="44"/>
      <c r="D10" s="1">
        <v>24.95</v>
      </c>
      <c r="E10" s="45">
        <f t="shared" ref="E10:E11" si="2">round((1+$D$12/sum($D$10:$D$11))*D10,2)</f>
        <v>27.16</v>
      </c>
      <c r="F10" s="45"/>
      <c r="G10" s="44"/>
      <c r="H10" s="44"/>
      <c r="I10" s="45"/>
      <c r="J10" s="45"/>
      <c r="K10" s="45"/>
      <c r="L10" s="45"/>
      <c r="M10" s="44"/>
      <c r="N10" s="45"/>
    </row>
    <row r="11">
      <c r="A11" s="44"/>
      <c r="B11" s="44" t="s">
        <v>878</v>
      </c>
      <c r="C11" s="44"/>
      <c r="D11" s="1">
        <v>22.99</v>
      </c>
      <c r="E11" s="45">
        <f t="shared" si="2"/>
        <v>25.03</v>
      </c>
      <c r="F11" s="45"/>
      <c r="G11" s="44"/>
      <c r="H11" s="44"/>
      <c r="I11" s="45"/>
      <c r="J11" s="45"/>
      <c r="K11" s="45"/>
      <c r="L11" s="45"/>
      <c r="M11" s="44"/>
      <c r="N11" s="45"/>
    </row>
    <row r="12">
      <c r="A12" s="44"/>
      <c r="B12" s="44" t="s">
        <v>879</v>
      </c>
      <c r="C12" s="44"/>
      <c r="D12" s="1">
        <v>4.25</v>
      </c>
      <c r="E12" s="45"/>
      <c r="F12" s="70"/>
      <c r="G12" s="70"/>
      <c r="H12" s="72"/>
      <c r="I12" s="72"/>
      <c r="J12" s="45"/>
      <c r="K12" s="45"/>
      <c r="L12" s="45"/>
      <c r="M12" s="45"/>
      <c r="N12" s="45"/>
    </row>
    <row r="13">
      <c r="A13" s="44" t="s">
        <v>880</v>
      </c>
      <c r="B13" s="44"/>
      <c r="C13" s="44"/>
      <c r="D13" s="1"/>
      <c r="E13" s="70"/>
      <c r="F13" s="70"/>
      <c r="G13" s="70"/>
      <c r="H13" s="72"/>
      <c r="I13" s="72"/>
      <c r="J13" s="45"/>
      <c r="K13" s="45"/>
      <c r="L13" s="45"/>
      <c r="M13" s="45"/>
      <c r="N13" s="45"/>
    </row>
    <row r="14">
      <c r="A14" s="44"/>
      <c r="B14" s="44" t="s">
        <v>881</v>
      </c>
      <c r="C14" s="44"/>
      <c r="D14" s="1">
        <v>32.49</v>
      </c>
      <c r="E14" s="70">
        <f t="shared" ref="E14:E29" si="3">round((1+0.0092391865)*D14,2)</f>
        <v>32.79</v>
      </c>
      <c r="F14" s="70"/>
      <c r="G14" s="70"/>
      <c r="H14" s="72"/>
      <c r="I14" s="72"/>
      <c r="J14" s="45"/>
      <c r="K14" s="45"/>
      <c r="L14" s="45"/>
      <c r="M14" s="45"/>
      <c r="N14" s="45"/>
    </row>
    <row r="15">
      <c r="A15" s="44"/>
      <c r="B15" s="44" t="s">
        <v>882</v>
      </c>
      <c r="C15" s="44"/>
      <c r="D15" s="1">
        <v>0.0</v>
      </c>
      <c r="E15" s="70">
        <f t="shared" si="3"/>
        <v>0</v>
      </c>
      <c r="F15" s="70"/>
      <c r="G15" s="70"/>
      <c r="H15" s="70"/>
      <c r="I15" s="72"/>
      <c r="J15" s="45"/>
      <c r="K15" s="45"/>
      <c r="L15" s="45"/>
      <c r="M15" s="45"/>
      <c r="N15" s="48"/>
    </row>
    <row r="16">
      <c r="A16" s="44"/>
      <c r="B16" s="44" t="s">
        <v>883</v>
      </c>
      <c r="C16" s="44"/>
      <c r="D16" s="1">
        <v>20.79</v>
      </c>
      <c r="E16" s="70">
        <f t="shared" si="3"/>
        <v>20.98</v>
      </c>
      <c r="F16" s="70"/>
      <c r="G16" s="70"/>
      <c r="H16" s="70"/>
      <c r="I16" s="72"/>
      <c r="J16" s="45"/>
      <c r="K16" s="45"/>
      <c r="L16" s="45"/>
      <c r="M16" s="45"/>
      <c r="N16" s="45"/>
    </row>
    <row r="17">
      <c r="A17" s="44"/>
      <c r="B17" s="44" t="s">
        <v>884</v>
      </c>
      <c r="C17" s="44"/>
      <c r="D17" s="1">
        <v>15.99</v>
      </c>
      <c r="E17" s="70">
        <f t="shared" si="3"/>
        <v>16.14</v>
      </c>
      <c r="F17" s="70"/>
      <c r="G17" s="70"/>
      <c r="H17" s="72"/>
      <c r="I17" s="70"/>
      <c r="J17" s="45"/>
      <c r="K17" s="45"/>
      <c r="L17" s="45"/>
      <c r="M17" s="45"/>
      <c r="N17" s="45"/>
    </row>
    <row r="18">
      <c r="A18" s="44"/>
      <c r="B18" s="44" t="s">
        <v>885</v>
      </c>
      <c r="C18" s="44"/>
      <c r="D18" s="1">
        <v>5.9</v>
      </c>
      <c r="E18" s="70">
        <f t="shared" si="3"/>
        <v>5.95</v>
      </c>
      <c r="F18" s="70"/>
      <c r="G18" s="70"/>
      <c r="H18" s="72"/>
      <c r="I18" s="72"/>
      <c r="J18" s="45"/>
      <c r="K18" s="45"/>
      <c r="L18" s="45"/>
      <c r="M18" s="45"/>
      <c r="N18" s="45"/>
    </row>
    <row r="19">
      <c r="A19" s="44"/>
      <c r="B19" s="44" t="s">
        <v>886</v>
      </c>
      <c r="C19" s="44"/>
      <c r="D19" s="1">
        <v>1.99</v>
      </c>
      <c r="E19" s="70">
        <f t="shared" si="3"/>
        <v>2.01</v>
      </c>
      <c r="F19" s="70"/>
      <c r="G19" s="70"/>
      <c r="H19" s="72"/>
      <c r="I19" s="70"/>
      <c r="J19" s="45"/>
      <c r="K19" s="45"/>
      <c r="L19" s="45"/>
      <c r="M19" s="45"/>
      <c r="N19" s="45"/>
    </row>
    <row r="20">
      <c r="A20" s="44"/>
      <c r="B20" s="44" t="s">
        <v>887</v>
      </c>
      <c r="C20" s="44"/>
      <c r="D20" s="1">
        <v>9.99</v>
      </c>
      <c r="E20" s="70">
        <f t="shared" si="3"/>
        <v>10.08</v>
      </c>
      <c r="F20" s="70"/>
      <c r="G20" s="70"/>
      <c r="H20" s="72"/>
      <c r="I20" s="72"/>
      <c r="J20" s="45"/>
      <c r="K20" s="45"/>
      <c r="L20" s="45"/>
      <c r="M20" s="45"/>
      <c r="N20" s="45"/>
    </row>
    <row r="21">
      <c r="A21" s="44"/>
      <c r="B21" s="44" t="s">
        <v>888</v>
      </c>
      <c r="C21" s="44"/>
      <c r="D21" s="1">
        <v>14.99</v>
      </c>
      <c r="E21" s="70">
        <f t="shared" si="3"/>
        <v>15.13</v>
      </c>
      <c r="F21" s="70"/>
      <c r="G21" s="70"/>
      <c r="H21" s="74"/>
      <c r="I21" s="74"/>
    </row>
    <row r="22">
      <c r="A22" s="44"/>
      <c r="B22" s="44" t="s">
        <v>889</v>
      </c>
      <c r="C22" s="44"/>
      <c r="D22" s="1">
        <v>15.49</v>
      </c>
      <c r="E22" s="70">
        <f t="shared" si="3"/>
        <v>15.63</v>
      </c>
      <c r="F22" s="70"/>
      <c r="G22" s="70"/>
      <c r="H22" s="74"/>
      <c r="I22" s="74"/>
    </row>
    <row r="23">
      <c r="A23" s="44"/>
      <c r="B23" s="44" t="s">
        <v>890</v>
      </c>
      <c r="C23" s="44"/>
      <c r="D23" s="1">
        <v>9.99</v>
      </c>
      <c r="E23" s="70">
        <f t="shared" si="3"/>
        <v>10.08</v>
      </c>
      <c r="F23" s="70"/>
      <c r="G23" s="70"/>
      <c r="H23" s="74"/>
      <c r="I23" s="74"/>
    </row>
    <row r="24">
      <c r="A24" s="44"/>
      <c r="B24" s="44" t="s">
        <v>891</v>
      </c>
      <c r="C24" s="44"/>
      <c r="D24" s="1">
        <v>9.99</v>
      </c>
      <c r="E24" s="70">
        <f t="shared" si="3"/>
        <v>10.08</v>
      </c>
      <c r="F24" s="70"/>
      <c r="G24" s="70"/>
      <c r="H24" s="74"/>
      <c r="I24" s="74"/>
    </row>
    <row r="25">
      <c r="A25" s="44"/>
      <c r="B25" s="44" t="s">
        <v>892</v>
      </c>
      <c r="C25" s="44"/>
      <c r="D25" s="1">
        <v>14.99</v>
      </c>
      <c r="E25" s="70">
        <f t="shared" si="3"/>
        <v>15.13</v>
      </c>
      <c r="F25" s="70"/>
      <c r="G25" s="70"/>
      <c r="H25" s="74"/>
      <c r="I25" s="74"/>
    </row>
    <row r="26">
      <c r="A26" s="44"/>
      <c r="B26" s="44" t="s">
        <v>893</v>
      </c>
      <c r="C26" s="44"/>
      <c r="D26" s="1">
        <f>7.79*2</f>
        <v>15.58</v>
      </c>
      <c r="E26" s="70">
        <f t="shared" si="3"/>
        <v>15.72</v>
      </c>
      <c r="F26" s="70"/>
      <c r="G26" s="70"/>
      <c r="H26" s="74"/>
      <c r="I26" s="74"/>
    </row>
    <row r="27">
      <c r="A27" s="44"/>
      <c r="B27" s="44" t="s">
        <v>894</v>
      </c>
      <c r="C27" s="44"/>
      <c r="D27" s="1">
        <f>2.99*2</f>
        <v>5.98</v>
      </c>
      <c r="E27" s="70">
        <f t="shared" si="3"/>
        <v>6.04</v>
      </c>
      <c r="F27" s="70"/>
      <c r="G27" s="70"/>
      <c r="H27" s="74"/>
      <c r="I27" s="74"/>
    </row>
    <row r="28">
      <c r="A28" s="44"/>
      <c r="B28" s="44" t="s">
        <v>895</v>
      </c>
      <c r="C28" s="44"/>
      <c r="D28" s="1">
        <v>9.79</v>
      </c>
      <c r="E28" s="70">
        <f t="shared" si="3"/>
        <v>9.88</v>
      </c>
      <c r="F28" s="70"/>
      <c r="G28" s="70"/>
      <c r="H28" s="74"/>
      <c r="I28" s="74"/>
    </row>
    <row r="29">
      <c r="A29" s="44"/>
      <c r="B29" s="44" t="s">
        <v>895</v>
      </c>
      <c r="C29" s="44"/>
      <c r="D29" s="1">
        <v>9.79</v>
      </c>
      <c r="E29" s="70">
        <f t="shared" si="3"/>
        <v>9.88</v>
      </c>
      <c r="F29" s="70"/>
      <c r="G29" s="70"/>
      <c r="H29" s="74"/>
      <c r="I29" s="74"/>
    </row>
    <row r="30">
      <c r="A30" s="44"/>
      <c r="B30" s="44" t="s">
        <v>875</v>
      </c>
      <c r="C30" s="44"/>
      <c r="D30" s="1">
        <v>1.79</v>
      </c>
      <c r="E30" s="70"/>
      <c r="F30" s="74"/>
      <c r="G30" s="70"/>
      <c r="H30" s="74"/>
      <c r="I30" s="74"/>
    </row>
    <row r="31">
      <c r="A31" s="44" t="s">
        <v>896</v>
      </c>
      <c r="B31" s="44"/>
      <c r="C31" s="44"/>
      <c r="D31" s="1"/>
      <c r="E31" s="74"/>
      <c r="F31" s="74"/>
      <c r="G31" s="74"/>
      <c r="H31" s="74"/>
      <c r="I31" s="74"/>
    </row>
    <row r="32">
      <c r="A32" s="44"/>
      <c r="B32" s="44" t="s">
        <v>897</v>
      </c>
      <c r="C32" s="44"/>
      <c r="D32" s="1">
        <v>10.0</v>
      </c>
      <c r="E32" s="76">
        <v>10.7</v>
      </c>
      <c r="F32" s="74"/>
      <c r="G32" s="74"/>
      <c r="H32" s="74"/>
      <c r="I32" s="74"/>
    </row>
    <row r="33">
      <c r="A33" s="44"/>
      <c r="B33" s="44" t="s">
        <v>875</v>
      </c>
      <c r="C33" s="44"/>
      <c r="D33" s="1">
        <v>0.7</v>
      </c>
      <c r="E33" s="74"/>
      <c r="F33" s="74"/>
      <c r="G33" s="74"/>
      <c r="H33" s="74"/>
      <c r="I33" s="74"/>
    </row>
    <row r="34">
      <c r="A34" s="44" t="s">
        <v>898</v>
      </c>
      <c r="B34" s="44"/>
      <c r="C34" s="44"/>
      <c r="D34" s="1"/>
      <c r="E34" s="74"/>
      <c r="F34" s="74"/>
      <c r="G34" s="74"/>
      <c r="H34" s="74"/>
      <c r="I34" s="74"/>
    </row>
    <row r="35">
      <c r="A35" s="44"/>
      <c r="B35" s="44" t="s">
        <v>899</v>
      </c>
      <c r="C35" s="44"/>
      <c r="D35" s="1">
        <v>60.16</v>
      </c>
      <c r="E35" s="4">
        <f t="shared" ref="E35:E37" si="4">round((1+$D$38/sum($D$35:$D$37))*D35,2)</f>
        <v>64.37</v>
      </c>
    </row>
    <row r="36">
      <c r="A36" s="44"/>
      <c r="B36" s="44" t="s">
        <v>900</v>
      </c>
      <c r="C36" s="44"/>
      <c r="D36" s="1">
        <v>119.2</v>
      </c>
      <c r="E36" s="4">
        <f t="shared" si="4"/>
        <v>127.55</v>
      </c>
    </row>
    <row r="37">
      <c r="A37" s="44"/>
      <c r="B37" s="44" t="s">
        <v>901</v>
      </c>
      <c r="C37" s="44"/>
      <c r="D37" s="1">
        <v>39.0</v>
      </c>
      <c r="E37" s="4">
        <f t="shared" si="4"/>
        <v>41.73</v>
      </c>
    </row>
    <row r="38">
      <c r="A38" s="44"/>
      <c r="B38" s="44" t="s">
        <v>875</v>
      </c>
      <c r="C38" s="44"/>
      <c r="D38" s="1">
        <v>15.29</v>
      </c>
    </row>
    <row r="39">
      <c r="A39" s="44" t="s">
        <v>902</v>
      </c>
      <c r="B39" s="44"/>
      <c r="C39" s="44"/>
      <c r="D39" s="1"/>
    </row>
    <row r="40">
      <c r="A40" s="44"/>
      <c r="B40" s="44" t="s">
        <v>903</v>
      </c>
      <c r="C40" s="44"/>
      <c r="D40" s="1">
        <v>20.0</v>
      </c>
      <c r="E40" s="1">
        <v>21.4</v>
      </c>
    </row>
    <row r="41">
      <c r="A41" s="44"/>
      <c r="B41" s="44" t="s">
        <v>875</v>
      </c>
      <c r="C41" s="44"/>
      <c r="D41" s="1">
        <v>1.4</v>
      </c>
    </row>
    <row r="42">
      <c r="A42" s="44" t="s">
        <v>904</v>
      </c>
      <c r="B42" s="44"/>
      <c r="C42" s="44"/>
      <c r="D42" s="1"/>
    </row>
    <row r="43">
      <c r="A43" s="44"/>
      <c r="B43" s="44" t="s">
        <v>905</v>
      </c>
      <c r="C43" s="44"/>
      <c r="D43" s="1">
        <v>25.0</v>
      </c>
      <c r="E43" s="4">
        <f t="shared" ref="E43:E46" si="5">round((1+$D$47/sum($D$43:$D$46))*D43,2)</f>
        <v>26.75</v>
      </c>
    </row>
    <row r="44">
      <c r="B44" s="1" t="s">
        <v>906</v>
      </c>
      <c r="D44" s="1">
        <v>80.0</v>
      </c>
      <c r="E44" s="4">
        <f t="shared" si="5"/>
        <v>85.6</v>
      </c>
    </row>
    <row r="45">
      <c r="B45" s="1" t="s">
        <v>907</v>
      </c>
      <c r="D45" s="1">
        <v>100.0</v>
      </c>
      <c r="E45" s="4">
        <f t="shared" si="5"/>
        <v>107</v>
      </c>
    </row>
    <row r="46">
      <c r="B46" s="1" t="s">
        <v>908</v>
      </c>
      <c r="D46" s="1">
        <v>20.0</v>
      </c>
      <c r="E46" s="4">
        <f t="shared" si="5"/>
        <v>21.4</v>
      </c>
    </row>
    <row r="47">
      <c r="B47" s="1" t="s">
        <v>875</v>
      </c>
      <c r="D47" s="1">
        <v>15.75</v>
      </c>
    </row>
    <row r="48">
      <c r="A48" s="1" t="s">
        <v>909</v>
      </c>
    </row>
    <row r="49">
      <c r="B49" s="1" t="s">
        <v>910</v>
      </c>
      <c r="D49" s="1">
        <v>2.96</v>
      </c>
    </row>
    <row r="50">
      <c r="B50" s="1" t="s">
        <v>911</v>
      </c>
      <c r="D50" s="1">
        <v>1.37</v>
      </c>
    </row>
    <row r="51">
      <c r="B51" s="1" t="s">
        <v>912</v>
      </c>
      <c r="D51" s="1">
        <v>6.24</v>
      </c>
    </row>
    <row r="52">
      <c r="B52" s="1" t="s">
        <v>913</v>
      </c>
      <c r="D52" s="1">
        <v>12.97</v>
      </c>
    </row>
    <row r="53">
      <c r="B53" s="1" t="s">
        <v>914</v>
      </c>
      <c r="D53" s="1">
        <v>3.96</v>
      </c>
    </row>
    <row r="54">
      <c r="B54" s="1" t="s">
        <v>915</v>
      </c>
      <c r="D54" s="4">
        <f>0.3*4</f>
        <v>1.2</v>
      </c>
    </row>
    <row r="55">
      <c r="B55" s="1" t="s">
        <v>916</v>
      </c>
      <c r="D55" s="1">
        <v>1.24</v>
      </c>
    </row>
    <row r="56">
      <c r="B56" s="1" t="s">
        <v>917</v>
      </c>
      <c r="D56" s="1">
        <v>2.97</v>
      </c>
    </row>
    <row r="57">
      <c r="B57" s="1" t="s">
        <v>918</v>
      </c>
      <c r="D57" s="1">
        <v>2.97</v>
      </c>
    </row>
    <row r="58">
      <c r="B58" s="1" t="s">
        <v>918</v>
      </c>
      <c r="D58" s="1">
        <v>2.97</v>
      </c>
    </row>
    <row r="59">
      <c r="B59" s="1" t="s">
        <v>919</v>
      </c>
      <c r="D59" s="1">
        <v>4.97</v>
      </c>
    </row>
    <row r="60">
      <c r="B60" s="1" t="s">
        <v>920</v>
      </c>
      <c r="D60" s="1">
        <v>9.97</v>
      </c>
    </row>
    <row r="61">
      <c r="B61" s="1" t="s">
        <v>921</v>
      </c>
      <c r="D61" s="1">
        <v>6.98</v>
      </c>
    </row>
    <row r="62">
      <c r="B62" s="1" t="s">
        <v>921</v>
      </c>
      <c r="D62" s="1">
        <v>4.98</v>
      </c>
    </row>
    <row r="63">
      <c r="B63" s="1" t="s">
        <v>921</v>
      </c>
      <c r="D63" s="1">
        <v>6.98</v>
      </c>
    </row>
    <row r="64">
      <c r="B64" s="1" t="s">
        <v>922</v>
      </c>
      <c r="D64" s="1">
        <v>5.97</v>
      </c>
    </row>
    <row r="65">
      <c r="B65" s="1" t="s">
        <v>875</v>
      </c>
      <c r="D65" s="1">
        <v>4.18</v>
      </c>
    </row>
    <row r="66">
      <c r="A66" s="1" t="s">
        <v>923</v>
      </c>
    </row>
    <row r="67">
      <c r="B67" s="1" t="s">
        <v>924</v>
      </c>
      <c r="D67" s="1">
        <v>10.99</v>
      </c>
    </row>
    <row r="68">
      <c r="B68" s="1" t="s">
        <v>875</v>
      </c>
      <c r="D68" s="1">
        <v>0.77</v>
      </c>
    </row>
    <row r="69">
      <c r="A69" s="1" t="s">
        <v>925</v>
      </c>
    </row>
    <row r="70">
      <c r="B70" s="1" t="s">
        <v>926</v>
      </c>
      <c r="D70" s="1">
        <v>99.99</v>
      </c>
    </row>
    <row r="71">
      <c r="B71" s="1" t="s">
        <v>927</v>
      </c>
      <c r="D71" s="1">
        <v>10.99</v>
      </c>
    </row>
    <row r="72">
      <c r="B72" s="1" t="s">
        <v>928</v>
      </c>
      <c r="D72" s="1">
        <v>10.99</v>
      </c>
    </row>
    <row r="73">
      <c r="B73" s="1" t="s">
        <v>929</v>
      </c>
      <c r="D73" s="1">
        <v>7.99</v>
      </c>
    </row>
    <row r="74">
      <c r="B74" s="1" t="s">
        <v>930</v>
      </c>
      <c r="D74" s="1">
        <v>12.99</v>
      </c>
    </row>
    <row r="75">
      <c r="B75" s="1" t="s">
        <v>931</v>
      </c>
      <c r="D75" s="1">
        <v>14.99</v>
      </c>
    </row>
    <row r="76">
      <c r="B76" s="1" t="s">
        <v>932</v>
      </c>
      <c r="D76" s="1">
        <v>16.99</v>
      </c>
    </row>
    <row r="77">
      <c r="B77" s="1" t="s">
        <v>933</v>
      </c>
      <c r="D77" s="1">
        <v>8.99</v>
      </c>
    </row>
    <row r="78">
      <c r="B78" s="1" t="s">
        <v>934</v>
      </c>
      <c r="D78" s="1">
        <v>8.99</v>
      </c>
    </row>
    <row r="79">
      <c r="B79" s="1" t="s">
        <v>935</v>
      </c>
      <c r="D79" s="1">
        <v>16.99</v>
      </c>
    </row>
    <row r="80">
      <c r="B80" s="1" t="s">
        <v>936</v>
      </c>
      <c r="D80" s="1">
        <v>14.99</v>
      </c>
    </row>
    <row r="81">
      <c r="B81" s="1" t="s">
        <v>937</v>
      </c>
      <c r="D81" s="1">
        <v>19.99</v>
      </c>
      <c r="I81" s="51"/>
    </row>
    <row r="82">
      <c r="B82" s="1" t="s">
        <v>938</v>
      </c>
      <c r="D82" s="1">
        <v>7.99</v>
      </c>
      <c r="I82" s="52"/>
    </row>
    <row r="83">
      <c r="B83" s="1" t="s">
        <v>939</v>
      </c>
      <c r="D83" s="1">
        <v>29.99</v>
      </c>
      <c r="I83" s="52"/>
    </row>
    <row r="84">
      <c r="B84" s="1" t="s">
        <v>940</v>
      </c>
      <c r="D84" s="1">
        <v>34.99</v>
      </c>
      <c r="I84" s="52"/>
    </row>
    <row r="85">
      <c r="B85" s="1" t="s">
        <v>941</v>
      </c>
      <c r="D85" s="1">
        <v>6.99</v>
      </c>
    </row>
    <row r="86">
      <c r="B86" s="1" t="s">
        <v>942</v>
      </c>
      <c r="D86" s="1">
        <v>8.99</v>
      </c>
    </row>
    <row r="87">
      <c r="B87" s="1" t="s">
        <v>943</v>
      </c>
      <c r="D87" s="1">
        <v>27.99</v>
      </c>
    </row>
    <row r="88">
      <c r="B88" s="1" t="s">
        <v>944</v>
      </c>
      <c r="D88" s="1">
        <v>34.99</v>
      </c>
    </row>
    <row r="89">
      <c r="B89" s="1" t="s">
        <v>945</v>
      </c>
      <c r="D89" s="1">
        <v>39.99</v>
      </c>
    </row>
    <row r="90">
      <c r="B90" s="1" t="s">
        <v>946</v>
      </c>
      <c r="D90" s="1">
        <v>9.9</v>
      </c>
    </row>
    <row r="91">
      <c r="B91" s="1" t="s">
        <v>947</v>
      </c>
      <c r="D91" s="1">
        <v>16.99</v>
      </c>
    </row>
    <row r="92">
      <c r="B92" s="1" t="s">
        <v>948</v>
      </c>
      <c r="D92" s="1">
        <v>22.99</v>
      </c>
    </row>
    <row r="93">
      <c r="B93" s="1" t="s">
        <v>949</v>
      </c>
      <c r="D93" s="1">
        <v>7.99</v>
      </c>
    </row>
    <row r="94">
      <c r="B94" s="1" t="s">
        <v>950</v>
      </c>
      <c r="D94" s="1">
        <v>24.99</v>
      </c>
    </row>
    <row r="95">
      <c r="B95" s="1" t="s">
        <v>951</v>
      </c>
      <c r="D95" s="1">
        <v>12.99</v>
      </c>
    </row>
    <row r="96">
      <c r="B96" s="1" t="s">
        <v>952</v>
      </c>
      <c r="D96" s="1">
        <v>10.99</v>
      </c>
    </row>
    <row r="97">
      <c r="B97" s="1" t="s">
        <v>953</v>
      </c>
      <c r="D97" s="1">
        <v>7.99</v>
      </c>
    </row>
    <row r="98">
      <c r="B98" s="1" t="s">
        <v>954</v>
      </c>
      <c r="D98" s="1">
        <v>6.99</v>
      </c>
    </row>
    <row r="99">
      <c r="B99" s="1" t="s">
        <v>955</v>
      </c>
      <c r="D99" s="1">
        <v>6.99</v>
      </c>
    </row>
    <row r="100">
      <c r="B100" s="1" t="s">
        <v>875</v>
      </c>
      <c r="D100" s="1">
        <v>39.62</v>
      </c>
    </row>
    <row r="101">
      <c r="A101" s="1" t="s">
        <v>956</v>
      </c>
    </row>
    <row r="102">
      <c r="B102" s="1" t="s">
        <v>957</v>
      </c>
      <c r="D102" s="1">
        <v>67.99</v>
      </c>
    </row>
    <row r="103">
      <c r="B103" s="1" t="s">
        <v>958</v>
      </c>
      <c r="D103" s="1">
        <v>25.49</v>
      </c>
    </row>
    <row r="104">
      <c r="B104" s="1" t="s">
        <v>959</v>
      </c>
      <c r="D104" s="1">
        <v>33.13</v>
      </c>
    </row>
    <row r="105">
      <c r="B105" s="1" t="s">
        <v>960</v>
      </c>
      <c r="D105" s="1">
        <v>45.89</v>
      </c>
    </row>
    <row r="106">
      <c r="B106" s="1" t="s">
        <v>875</v>
      </c>
      <c r="D106" s="1">
        <v>10.29</v>
      </c>
    </row>
    <row r="107">
      <c r="A107" s="1" t="s">
        <v>961</v>
      </c>
    </row>
    <row r="108">
      <c r="B108" s="1" t="s">
        <v>962</v>
      </c>
      <c r="D108" s="1">
        <v>129.0</v>
      </c>
    </row>
    <row r="109">
      <c r="B109" s="1" t="s">
        <v>963</v>
      </c>
      <c r="D109" s="1">
        <v>599.0</v>
      </c>
    </row>
    <row r="110">
      <c r="B110" s="1" t="s">
        <v>875</v>
      </c>
      <c r="D110" s="1">
        <v>50.96</v>
      </c>
    </row>
    <row r="111">
      <c r="A111" s="1" t="s">
        <v>964</v>
      </c>
    </row>
    <row r="112">
      <c r="B112" s="1" t="s">
        <v>965</v>
      </c>
      <c r="D112" s="1">
        <v>739.0</v>
      </c>
    </row>
    <row r="113">
      <c r="B113" s="1" t="s">
        <v>875</v>
      </c>
      <c r="D113" s="1">
        <v>51.73</v>
      </c>
    </row>
    <row r="114">
      <c r="A114" s="1" t="s">
        <v>966</v>
      </c>
    </row>
    <row r="115">
      <c r="A115" s="1"/>
      <c r="B115" s="1" t="s">
        <v>967</v>
      </c>
      <c r="D115" s="1">
        <v>139.99</v>
      </c>
    </row>
    <row r="116">
      <c r="A116" s="1" t="s">
        <v>968</v>
      </c>
    </row>
    <row r="117">
      <c r="B117" s="1" t="s">
        <v>969</v>
      </c>
      <c r="D117" s="1">
        <v>899.0</v>
      </c>
    </row>
    <row r="118">
      <c r="B118" s="1" t="s">
        <v>875</v>
      </c>
      <c r="D118" s="1">
        <v>62.93</v>
      </c>
    </row>
    <row r="119">
      <c r="A119" s="1" t="s">
        <v>970</v>
      </c>
    </row>
    <row r="120">
      <c r="B120" s="1" t="s">
        <v>971</v>
      </c>
      <c r="D120" s="1">
        <v>129.95</v>
      </c>
    </row>
    <row r="121">
      <c r="B121" s="1" t="s">
        <v>875</v>
      </c>
      <c r="D121" s="1">
        <v>9.1</v>
      </c>
    </row>
    <row r="122">
      <c r="A122" s="1" t="s">
        <v>972</v>
      </c>
    </row>
    <row r="123">
      <c r="B123" s="1" t="s">
        <v>973</v>
      </c>
      <c r="D123" s="1">
        <v>79.0</v>
      </c>
    </row>
    <row r="124">
      <c r="B124" s="1" t="s">
        <v>974</v>
      </c>
      <c r="D124" s="1">
        <v>19.0</v>
      </c>
    </row>
    <row r="125">
      <c r="B125" s="1" t="s">
        <v>875</v>
      </c>
      <c r="D125" s="1">
        <v>6.86</v>
      </c>
    </row>
  </sheetData>
  <mergeCells count="1">
    <mergeCell ref="A2:B2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517</v>
      </c>
      <c r="L1" s="14" t="s">
        <v>726</v>
      </c>
      <c r="M1" s="14" t="s">
        <v>86</v>
      </c>
      <c r="N1" s="14" t="s">
        <v>250</v>
      </c>
      <c r="O1" s="14" t="s">
        <v>746</v>
      </c>
    </row>
    <row r="2">
      <c r="A2" s="43">
        <v>45827.0</v>
      </c>
      <c r="B2" s="44" t="s">
        <v>975</v>
      </c>
      <c r="C2" s="44">
        <v>70.0</v>
      </c>
      <c r="D2" s="44"/>
      <c r="E2" s="44"/>
      <c r="F2" s="45"/>
      <c r="G2" s="45"/>
      <c r="H2" s="44">
        <v>70.0</v>
      </c>
      <c r="I2" s="45"/>
      <c r="J2" s="45"/>
      <c r="K2" s="45"/>
      <c r="L2" s="45"/>
      <c r="M2" s="45"/>
      <c r="N2" s="45"/>
      <c r="O2" s="45"/>
    </row>
    <row r="3">
      <c r="A3" s="43">
        <v>45825.0</v>
      </c>
      <c r="B3" s="44" t="s">
        <v>976</v>
      </c>
      <c r="C3" s="44">
        <v>66.37</v>
      </c>
      <c r="D3" s="44"/>
      <c r="E3" s="44">
        <v>66.37</v>
      </c>
      <c r="F3" s="45"/>
      <c r="G3" s="45"/>
      <c r="H3" s="44"/>
      <c r="I3" s="45"/>
      <c r="J3" s="45"/>
      <c r="K3" s="45"/>
      <c r="L3" s="45"/>
      <c r="M3" s="45"/>
      <c r="N3" s="45"/>
      <c r="O3" s="45"/>
    </row>
    <row r="4">
      <c r="A4" s="43">
        <v>45823.0</v>
      </c>
      <c r="B4" s="44" t="s">
        <v>977</v>
      </c>
      <c r="C4" s="44">
        <v>109.9</v>
      </c>
      <c r="D4" s="44"/>
      <c r="E4" s="44"/>
      <c r="F4" s="44">
        <v>20.0</v>
      </c>
      <c r="G4" s="44">
        <f>20+54+15.9</f>
        <v>89.9</v>
      </c>
      <c r="H4" s="45"/>
      <c r="I4" s="45"/>
      <c r="J4" s="44"/>
      <c r="K4" s="45"/>
      <c r="L4" s="45"/>
      <c r="M4" s="45"/>
      <c r="N4" s="45"/>
      <c r="O4" s="45"/>
    </row>
    <row r="5">
      <c r="A5" s="43">
        <v>45822.0</v>
      </c>
      <c r="B5" s="44" t="s">
        <v>978</v>
      </c>
      <c r="C5" s="44">
        <v>131.92</v>
      </c>
      <c r="D5" s="44"/>
      <c r="E5" s="45"/>
      <c r="F5" s="44"/>
      <c r="G5" s="45"/>
      <c r="H5" s="45"/>
      <c r="I5" s="45"/>
      <c r="J5" s="44">
        <v>131.92</v>
      </c>
      <c r="K5" s="45"/>
      <c r="L5" s="45"/>
      <c r="M5" s="45"/>
      <c r="N5" s="45"/>
      <c r="O5" s="44"/>
    </row>
    <row r="6">
      <c r="A6" s="43">
        <v>45820.0</v>
      </c>
      <c r="B6" s="44" t="s">
        <v>114</v>
      </c>
      <c r="C6" s="44">
        <v>70.0</v>
      </c>
      <c r="D6" s="44"/>
      <c r="E6" s="44">
        <v>70.0</v>
      </c>
      <c r="F6" s="45"/>
      <c r="G6" s="45"/>
      <c r="H6" s="44"/>
      <c r="I6" s="45"/>
      <c r="J6" s="45"/>
      <c r="K6" s="45"/>
      <c r="L6" s="45"/>
      <c r="M6" s="45"/>
      <c r="N6" s="45"/>
      <c r="O6" s="45"/>
    </row>
    <row r="7">
      <c r="A7" s="43">
        <v>45820.0</v>
      </c>
      <c r="B7" s="44" t="s">
        <v>114</v>
      </c>
      <c r="C7" s="44">
        <v>70.0</v>
      </c>
      <c r="D7" s="45"/>
      <c r="E7" s="44">
        <v>70.0</v>
      </c>
      <c r="F7" s="45"/>
      <c r="G7" s="45"/>
      <c r="H7" s="44"/>
      <c r="I7" s="45"/>
      <c r="J7" s="44"/>
      <c r="K7" s="45"/>
      <c r="L7" s="45"/>
      <c r="M7" s="45"/>
      <c r="N7" s="45"/>
    </row>
    <row r="8">
      <c r="A8" s="43">
        <v>45819.0</v>
      </c>
      <c r="B8" s="44" t="s">
        <v>583</v>
      </c>
      <c r="C8" s="44">
        <v>80.0</v>
      </c>
      <c r="D8" s="45"/>
      <c r="E8" s="44"/>
      <c r="F8" s="45"/>
      <c r="G8" s="45"/>
      <c r="H8" s="44">
        <v>80.0</v>
      </c>
      <c r="I8" s="45"/>
      <c r="J8" s="44"/>
      <c r="K8" s="45"/>
      <c r="L8" s="45"/>
      <c r="M8" s="45"/>
      <c r="N8" s="45"/>
      <c r="O8" s="45"/>
    </row>
    <row r="9">
      <c r="A9" s="43">
        <v>45817.0</v>
      </c>
      <c r="B9" s="44" t="s">
        <v>979</v>
      </c>
      <c r="C9" s="44">
        <v>93.0</v>
      </c>
      <c r="D9" s="45"/>
      <c r="E9" s="44">
        <v>93.0</v>
      </c>
      <c r="F9" s="45"/>
      <c r="G9" s="45"/>
      <c r="H9" s="45"/>
      <c r="I9" s="45"/>
      <c r="J9" s="44"/>
      <c r="K9" s="45"/>
      <c r="L9" s="45"/>
      <c r="M9" s="45"/>
      <c r="N9" s="44"/>
      <c r="O9" s="45"/>
    </row>
    <row r="10">
      <c r="A10" s="43">
        <v>45816.0</v>
      </c>
      <c r="B10" s="44" t="s">
        <v>268</v>
      </c>
      <c r="C10" s="44">
        <v>84.0</v>
      </c>
      <c r="D10" s="45"/>
      <c r="E10" s="44"/>
      <c r="F10" s="45"/>
      <c r="G10" s="45"/>
      <c r="H10" s="44">
        <v>84.0</v>
      </c>
      <c r="I10" s="45"/>
      <c r="J10" s="45"/>
      <c r="K10" s="45"/>
      <c r="L10" s="45"/>
      <c r="M10" s="45"/>
      <c r="N10" s="44"/>
      <c r="O10" s="45"/>
    </row>
    <row r="11">
      <c r="A11" s="43">
        <v>45816.0</v>
      </c>
      <c r="B11" s="44" t="s">
        <v>980</v>
      </c>
      <c r="C11" s="44">
        <v>7.5</v>
      </c>
      <c r="D11" s="44">
        <v>7.5</v>
      </c>
      <c r="E11" s="44"/>
      <c r="F11" s="45"/>
      <c r="G11" s="45"/>
      <c r="H11" s="45"/>
      <c r="I11" s="45"/>
      <c r="J11" s="45"/>
      <c r="K11" s="45"/>
      <c r="L11" s="45"/>
      <c r="M11" s="45"/>
      <c r="N11" s="45"/>
      <c r="O11" s="45"/>
    </row>
    <row r="12">
      <c r="A12" s="43">
        <v>45816.0</v>
      </c>
      <c r="B12" s="44" t="s">
        <v>980</v>
      </c>
      <c r="C12" s="44">
        <v>7.5</v>
      </c>
      <c r="D12" s="44">
        <v>7.5</v>
      </c>
      <c r="E12" s="44"/>
      <c r="F12" s="45"/>
      <c r="G12" s="45"/>
      <c r="H12" s="45"/>
      <c r="I12" s="45"/>
      <c r="J12" s="45"/>
      <c r="K12" s="45"/>
      <c r="L12" s="45"/>
      <c r="M12" s="45"/>
      <c r="N12" s="45"/>
      <c r="O12" s="45"/>
    </row>
    <row r="13">
      <c r="A13" s="43">
        <v>45816.0</v>
      </c>
      <c r="B13" s="44" t="s">
        <v>981</v>
      </c>
      <c r="C13" s="44">
        <v>12.0</v>
      </c>
      <c r="D13" s="44">
        <v>12.0</v>
      </c>
      <c r="E13" s="44"/>
      <c r="F13" s="45"/>
      <c r="G13" s="45"/>
      <c r="H13" s="45"/>
      <c r="I13" s="45"/>
      <c r="J13" s="45"/>
      <c r="K13" s="45"/>
      <c r="L13" s="45"/>
      <c r="M13" s="45"/>
      <c r="N13" s="45"/>
      <c r="O13" s="45"/>
    </row>
    <row r="14">
      <c r="A14" s="43">
        <v>45814.0</v>
      </c>
      <c r="B14" s="44" t="s">
        <v>19</v>
      </c>
      <c r="C14" s="44">
        <v>75.7</v>
      </c>
      <c r="D14" s="45"/>
      <c r="E14" s="45"/>
      <c r="F14" s="44"/>
      <c r="G14" s="45"/>
      <c r="H14" s="44">
        <v>75.7</v>
      </c>
      <c r="I14" s="45"/>
      <c r="J14" s="44"/>
      <c r="K14" s="45"/>
      <c r="L14" s="45"/>
      <c r="M14" s="45"/>
      <c r="N14" s="45"/>
      <c r="O14" s="48"/>
    </row>
    <row r="15">
      <c r="A15" s="43">
        <v>45825.0</v>
      </c>
      <c r="B15" s="44" t="s">
        <v>595</v>
      </c>
      <c r="C15" s="44">
        <v>15.0</v>
      </c>
      <c r="D15" s="44"/>
      <c r="E15" s="44"/>
      <c r="F15" s="44"/>
      <c r="G15" s="45"/>
      <c r="H15" s="45"/>
      <c r="I15" s="45"/>
      <c r="J15" s="44">
        <v>15.0</v>
      </c>
      <c r="K15" s="45"/>
      <c r="L15" s="45"/>
      <c r="M15" s="45"/>
      <c r="N15" s="45"/>
      <c r="O15" s="45"/>
    </row>
    <row r="16">
      <c r="A16" s="43">
        <v>45827.0</v>
      </c>
      <c r="B16" s="44" t="s">
        <v>982</v>
      </c>
      <c r="C16" s="44">
        <v>10.5</v>
      </c>
      <c r="D16" s="45"/>
      <c r="E16" s="44"/>
      <c r="F16" s="45">
        <f t="shared" ref="F16:G16" si="1">10.5/2</f>
        <v>5.25</v>
      </c>
      <c r="G16" s="44">
        <f t="shared" si="1"/>
        <v>5.25</v>
      </c>
      <c r="H16" s="45"/>
      <c r="I16" s="45"/>
      <c r="J16" s="45"/>
      <c r="K16" s="45"/>
      <c r="L16" s="45"/>
      <c r="M16" s="45"/>
      <c r="N16" s="45"/>
      <c r="O16" s="45"/>
    </row>
    <row r="17">
      <c r="A17" s="43">
        <v>45828.0</v>
      </c>
      <c r="B17" s="44" t="s">
        <v>983</v>
      </c>
      <c r="C17" s="44">
        <v>34.8</v>
      </c>
      <c r="D17" s="44">
        <v>34.8</v>
      </c>
      <c r="E17" s="44"/>
      <c r="F17" s="45"/>
      <c r="G17" s="45"/>
      <c r="H17" s="44"/>
      <c r="I17" s="45"/>
      <c r="J17" s="45"/>
      <c r="K17" s="45"/>
      <c r="L17" s="45"/>
      <c r="M17" s="45"/>
      <c r="N17" s="45"/>
      <c r="O17" s="45"/>
    </row>
    <row r="18">
      <c r="A18" s="43">
        <v>45828.0</v>
      </c>
      <c r="B18" s="44" t="s">
        <v>984</v>
      </c>
      <c r="C18" s="44">
        <v>4.8</v>
      </c>
      <c r="D18" s="44"/>
      <c r="E18" s="44">
        <v>4.8</v>
      </c>
      <c r="F18" s="45"/>
      <c r="G18" s="44"/>
      <c r="H18" s="45"/>
      <c r="I18" s="45"/>
      <c r="J18" s="45"/>
      <c r="K18" s="45"/>
      <c r="L18" s="45"/>
      <c r="M18" s="45"/>
      <c r="N18" s="45"/>
      <c r="O18" s="45"/>
    </row>
    <row r="19">
      <c r="A19" s="43"/>
      <c r="B19" s="44" t="s">
        <v>985</v>
      </c>
      <c r="C19" s="44">
        <v>406.75</v>
      </c>
      <c r="D19" s="44">
        <v>406.75</v>
      </c>
      <c r="E19" s="44"/>
      <c r="F19" s="45"/>
      <c r="G19" s="45"/>
      <c r="H19" s="45"/>
      <c r="I19" s="45"/>
      <c r="J19" s="45"/>
      <c r="K19" s="45"/>
      <c r="L19" s="45"/>
      <c r="M19" s="45"/>
      <c r="N19" s="45"/>
      <c r="O19" s="45"/>
    </row>
    <row r="20">
      <c r="A20" s="43"/>
      <c r="B20" s="44" t="s">
        <v>986</v>
      </c>
      <c r="C20" s="44">
        <v>56.0</v>
      </c>
      <c r="D20" s="44">
        <v>50.0</v>
      </c>
      <c r="E20" s="44"/>
    </row>
    <row r="21">
      <c r="A21" s="43"/>
      <c r="B21" s="44"/>
      <c r="C21" s="44"/>
      <c r="D21" s="44"/>
      <c r="E21" s="44"/>
    </row>
    <row r="22">
      <c r="A22" s="43"/>
      <c r="B22" s="44"/>
      <c r="C22" s="44" t="s">
        <v>637</v>
      </c>
      <c r="D22" s="44">
        <f t="shared" ref="D22:J22" si="2">SUM(D2:D20)</f>
        <v>518.55</v>
      </c>
      <c r="E22" s="44">
        <f t="shared" si="2"/>
        <v>304.17</v>
      </c>
      <c r="F22" s="44">
        <f t="shared" si="2"/>
        <v>25.25</v>
      </c>
      <c r="G22" s="44">
        <f t="shared" si="2"/>
        <v>95.15</v>
      </c>
      <c r="H22" s="44">
        <f t="shared" si="2"/>
        <v>309.7</v>
      </c>
      <c r="I22" s="44">
        <f t="shared" si="2"/>
        <v>0</v>
      </c>
      <c r="J22" s="44">
        <f t="shared" si="2"/>
        <v>146.92</v>
      </c>
    </row>
    <row r="23">
      <c r="A23" s="43"/>
      <c r="B23" s="44"/>
      <c r="C23" s="44"/>
      <c r="D23" s="44"/>
    </row>
    <row r="24">
      <c r="A24" s="43"/>
      <c r="B24" s="44"/>
      <c r="C24" s="44"/>
      <c r="D24" s="44"/>
    </row>
    <row r="25">
      <c r="A25" s="43"/>
      <c r="B25" s="44"/>
      <c r="C25" s="44"/>
      <c r="D25" s="44"/>
    </row>
    <row r="26">
      <c r="A26" s="43"/>
      <c r="B26" s="44"/>
      <c r="C26" s="44"/>
      <c r="E26" s="44"/>
    </row>
    <row r="27">
      <c r="A27" s="43"/>
      <c r="B27" s="44"/>
      <c r="C27" s="44"/>
      <c r="E27" s="44"/>
    </row>
    <row r="28">
      <c r="A28" s="43"/>
      <c r="B28" s="44"/>
      <c r="C28" s="44"/>
      <c r="D28" s="44"/>
    </row>
    <row r="29">
      <c r="A29" s="43"/>
      <c r="B29" s="44"/>
      <c r="C29" s="44"/>
    </row>
    <row r="30">
      <c r="A30" s="43"/>
      <c r="B30" s="44"/>
      <c r="C30" s="44"/>
    </row>
    <row r="31">
      <c r="A31" s="43"/>
      <c r="B31" s="44"/>
      <c r="C31" s="44"/>
    </row>
    <row r="32">
      <c r="A32" s="66"/>
      <c r="B32" s="44"/>
      <c r="C32" s="44"/>
    </row>
    <row r="33">
      <c r="B33" s="44"/>
      <c r="C33" s="44"/>
    </row>
    <row r="34">
      <c r="B34" s="44"/>
      <c r="C34" s="44"/>
      <c r="D34" s="67"/>
      <c r="E34" s="67"/>
      <c r="F34" s="68"/>
      <c r="G34" s="68"/>
      <c r="H34" s="67"/>
      <c r="I34" s="68"/>
      <c r="J34" s="68"/>
    </row>
    <row r="35">
      <c r="C35" s="44"/>
      <c r="D35" s="68"/>
      <c r="E35" s="68"/>
      <c r="F35" s="68"/>
      <c r="G35" s="68"/>
      <c r="H35" s="68"/>
      <c r="I35" s="68"/>
      <c r="J35" s="68"/>
    </row>
    <row r="44">
      <c r="A44" s="41"/>
    </row>
    <row r="45">
      <c r="A45" s="41"/>
    </row>
    <row r="46">
      <c r="A46" s="41"/>
    </row>
    <row r="78">
      <c r="G78" s="51"/>
      <c r="H78" s="51"/>
      <c r="I78" s="51"/>
      <c r="J78" s="52"/>
    </row>
    <row r="79">
      <c r="G79" s="52"/>
      <c r="H79" s="52"/>
      <c r="I79" s="52"/>
      <c r="J79" s="51"/>
    </row>
    <row r="80">
      <c r="G80" s="52"/>
      <c r="H80" s="52"/>
      <c r="I80" s="52"/>
      <c r="J80" s="51"/>
    </row>
    <row r="81">
      <c r="G81" s="52"/>
      <c r="H81" s="52"/>
      <c r="I81" s="51"/>
      <c r="J81" s="51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75"/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517</v>
      </c>
      <c r="L1" s="14" t="s">
        <v>726</v>
      </c>
      <c r="M1" s="14" t="s">
        <v>86</v>
      </c>
      <c r="N1" s="14" t="s">
        <v>250</v>
      </c>
      <c r="O1" s="14" t="s">
        <v>746</v>
      </c>
    </row>
    <row r="2">
      <c r="A2" s="43">
        <v>45829.0</v>
      </c>
      <c r="B2" s="44" t="s">
        <v>987</v>
      </c>
      <c r="C2" s="44">
        <v>120.0</v>
      </c>
      <c r="D2" s="44"/>
      <c r="E2" s="44"/>
      <c r="F2" s="45"/>
      <c r="G2" s="45"/>
      <c r="H2" s="44">
        <v>120.0</v>
      </c>
      <c r="I2" s="45"/>
      <c r="J2" s="45"/>
      <c r="K2" s="45"/>
      <c r="L2" s="45"/>
      <c r="M2" s="45"/>
      <c r="N2" s="45"/>
      <c r="O2" s="45"/>
    </row>
    <row r="3">
      <c r="A3" s="43">
        <v>45829.0</v>
      </c>
      <c r="B3" s="44" t="s">
        <v>988</v>
      </c>
      <c r="C3" s="44">
        <v>13.5</v>
      </c>
      <c r="D3" s="44"/>
      <c r="E3" s="44"/>
      <c r="F3" s="45"/>
      <c r="G3" s="45"/>
      <c r="H3" s="44">
        <v>13.5</v>
      </c>
      <c r="I3" s="45"/>
      <c r="J3" s="45"/>
      <c r="K3" s="45"/>
      <c r="L3" s="45"/>
      <c r="M3" s="45"/>
      <c r="N3" s="45"/>
      <c r="O3" s="45"/>
    </row>
    <row r="4">
      <c r="A4" s="43">
        <v>45830.0</v>
      </c>
      <c r="B4" s="44" t="s">
        <v>163</v>
      </c>
      <c r="C4" s="44">
        <v>86.74</v>
      </c>
      <c r="D4" s="44"/>
      <c r="E4" s="44">
        <v>86.74</v>
      </c>
      <c r="F4" s="44"/>
      <c r="G4" s="44"/>
      <c r="H4" s="45"/>
      <c r="I4" s="45"/>
      <c r="J4" s="44"/>
      <c r="K4" s="45"/>
      <c r="L4" s="45"/>
      <c r="M4" s="45"/>
      <c r="N4" s="45"/>
      <c r="O4" s="45"/>
    </row>
    <row r="5">
      <c r="A5" s="43">
        <v>45831.0</v>
      </c>
      <c r="B5" s="44" t="s">
        <v>989</v>
      </c>
      <c r="C5" s="44">
        <v>119.51</v>
      </c>
      <c r="D5" s="44"/>
      <c r="E5" s="45"/>
      <c r="F5" s="44"/>
      <c r="G5" s="45"/>
      <c r="H5" s="45"/>
      <c r="I5" s="45"/>
      <c r="J5" s="44">
        <v>119.51</v>
      </c>
      <c r="K5" s="45"/>
      <c r="L5" s="45"/>
      <c r="M5" s="45"/>
      <c r="N5" s="45"/>
      <c r="O5" s="44"/>
    </row>
    <row r="6">
      <c r="A6" s="43">
        <v>45830.0</v>
      </c>
      <c r="B6" s="44" t="s">
        <v>990</v>
      </c>
      <c r="C6" s="44">
        <v>67.7</v>
      </c>
      <c r="D6" s="44">
        <v>67.7</v>
      </c>
      <c r="E6" s="44"/>
      <c r="F6" s="45"/>
      <c r="G6" s="45"/>
      <c r="H6" s="44"/>
      <c r="I6" s="45"/>
      <c r="J6" s="45"/>
      <c r="K6" s="45"/>
      <c r="L6" s="45"/>
      <c r="M6" s="45"/>
      <c r="N6" s="45"/>
      <c r="O6" s="45"/>
    </row>
    <row r="7">
      <c r="A7" s="43">
        <v>45832.0</v>
      </c>
      <c r="B7" s="44" t="s">
        <v>991</v>
      </c>
      <c r="C7" s="44">
        <v>67.5</v>
      </c>
      <c r="D7" s="44">
        <v>67.5</v>
      </c>
      <c r="E7" s="44"/>
      <c r="F7" s="45"/>
      <c r="G7" s="45"/>
      <c r="H7" s="44"/>
      <c r="I7" s="45"/>
      <c r="J7" s="44"/>
      <c r="K7" s="45"/>
      <c r="L7" s="45"/>
      <c r="M7" s="45"/>
      <c r="N7" s="45"/>
    </row>
    <row r="8">
      <c r="A8" s="43">
        <v>45835.0</v>
      </c>
      <c r="B8" s="44" t="s">
        <v>992</v>
      </c>
      <c r="C8" s="44">
        <v>36.3</v>
      </c>
      <c r="D8" s="44">
        <v>36.3</v>
      </c>
      <c r="E8" s="44"/>
      <c r="G8" s="45"/>
      <c r="H8" s="44"/>
      <c r="I8" s="45"/>
      <c r="J8" s="44"/>
      <c r="K8" s="45"/>
      <c r="L8" s="45"/>
      <c r="M8" s="45"/>
      <c r="N8" s="45"/>
      <c r="O8" s="45"/>
    </row>
    <row r="9">
      <c r="A9" s="43">
        <v>45835.0</v>
      </c>
      <c r="B9" s="44" t="s">
        <v>993</v>
      </c>
      <c r="C9" s="44">
        <v>38.5</v>
      </c>
      <c r="D9" s="44">
        <v>38.5</v>
      </c>
      <c r="E9" s="44"/>
      <c r="G9" s="45"/>
      <c r="H9" s="45"/>
      <c r="I9" s="45"/>
      <c r="J9" s="44"/>
      <c r="K9" s="45"/>
      <c r="L9" s="45"/>
      <c r="M9" s="45"/>
      <c r="N9" s="44"/>
      <c r="O9" s="45"/>
    </row>
    <row r="10">
      <c r="A10" s="43">
        <v>45836.0</v>
      </c>
      <c r="B10" s="44" t="s">
        <v>238</v>
      </c>
      <c r="C10" s="44">
        <v>82.0</v>
      </c>
      <c r="D10" s="45"/>
      <c r="E10" s="44"/>
      <c r="F10" s="45"/>
      <c r="G10" s="45"/>
      <c r="H10" s="44">
        <v>82.0</v>
      </c>
      <c r="I10" s="45"/>
      <c r="J10" s="45"/>
      <c r="K10" s="45"/>
      <c r="L10" s="45"/>
      <c r="M10" s="45"/>
      <c r="N10" s="44"/>
      <c r="O10" s="45"/>
    </row>
    <row r="11">
      <c r="A11" s="43">
        <v>45836.0</v>
      </c>
      <c r="B11" s="44" t="s">
        <v>994</v>
      </c>
      <c r="C11" s="44">
        <v>73.9</v>
      </c>
      <c r="D11" s="44">
        <v>73.9</v>
      </c>
      <c r="E11" s="44"/>
      <c r="F11" s="45"/>
      <c r="G11" s="45"/>
      <c r="H11" s="45"/>
      <c r="I11" s="45"/>
      <c r="J11" s="45"/>
      <c r="K11" s="45"/>
      <c r="L11" s="45"/>
      <c r="M11" s="45"/>
      <c r="N11" s="45"/>
      <c r="O11" s="45"/>
    </row>
    <row r="12">
      <c r="A12" s="43">
        <v>45837.0</v>
      </c>
      <c r="B12" s="44" t="s">
        <v>33</v>
      </c>
      <c r="C12" s="44">
        <v>91.98</v>
      </c>
      <c r="D12" s="44"/>
      <c r="E12" s="44"/>
      <c r="F12" s="45"/>
      <c r="G12" s="45"/>
      <c r="H12" s="44">
        <v>91.98</v>
      </c>
      <c r="I12" s="45"/>
      <c r="J12" s="45"/>
      <c r="K12" s="45"/>
      <c r="L12" s="45"/>
      <c r="M12" s="45"/>
      <c r="N12" s="45"/>
      <c r="O12" s="45"/>
    </row>
    <row r="13">
      <c r="A13" s="43"/>
      <c r="B13" s="44"/>
      <c r="C13" s="44"/>
      <c r="D13" s="44"/>
      <c r="E13" s="44"/>
      <c r="F13" s="45"/>
      <c r="G13" s="45"/>
      <c r="H13" s="45"/>
      <c r="I13" s="45"/>
      <c r="J13" s="45"/>
      <c r="K13" s="45"/>
      <c r="L13" s="45"/>
      <c r="M13" s="45"/>
      <c r="N13" s="45"/>
      <c r="O13" s="45"/>
    </row>
    <row r="14">
      <c r="A14" s="43"/>
      <c r="B14" s="44"/>
      <c r="C14" s="44"/>
      <c r="D14" s="45"/>
      <c r="E14" s="45"/>
      <c r="F14" s="44"/>
      <c r="G14" s="45"/>
      <c r="H14" s="44"/>
      <c r="I14" s="45"/>
      <c r="J14" s="44"/>
      <c r="K14" s="45"/>
      <c r="L14" s="45"/>
      <c r="M14" s="45"/>
      <c r="N14" s="45"/>
      <c r="O14" s="48"/>
    </row>
    <row r="15">
      <c r="A15" s="43"/>
      <c r="B15" s="44"/>
      <c r="C15" s="44" t="s">
        <v>995</v>
      </c>
      <c r="D15" s="69">
        <f t="shared" ref="D15:J15" si="1">SUM(D2:D14)</f>
        <v>283.9</v>
      </c>
      <c r="E15" s="69">
        <f t="shared" si="1"/>
        <v>86.74</v>
      </c>
      <c r="F15" s="69">
        <f t="shared" si="1"/>
        <v>0</v>
      </c>
      <c r="G15" s="69">
        <f t="shared" si="1"/>
        <v>0</v>
      </c>
      <c r="H15" s="69">
        <f t="shared" si="1"/>
        <v>307.48</v>
      </c>
      <c r="I15" s="69">
        <f t="shared" si="1"/>
        <v>0</v>
      </c>
      <c r="J15" s="69">
        <f t="shared" si="1"/>
        <v>119.51</v>
      </c>
      <c r="K15" s="45"/>
      <c r="L15" s="45"/>
      <c r="M15" s="45"/>
      <c r="N15" s="45"/>
      <c r="O15" s="45"/>
    </row>
    <row r="16">
      <c r="A16" s="43"/>
      <c r="B16" s="44"/>
      <c r="C16" s="44"/>
      <c r="D16" s="44"/>
      <c r="E16" s="44"/>
      <c r="F16" s="45"/>
      <c r="G16" s="44"/>
      <c r="H16" s="45"/>
      <c r="I16" s="45"/>
      <c r="J16" s="45"/>
      <c r="K16" s="45"/>
      <c r="L16" s="45"/>
      <c r="M16" s="45"/>
      <c r="N16" s="45"/>
      <c r="O16" s="45"/>
    </row>
    <row r="17">
      <c r="A17" s="43">
        <v>45831.0</v>
      </c>
      <c r="B17" s="44" t="s">
        <v>996</v>
      </c>
      <c r="C17" s="44">
        <v>30.0</v>
      </c>
      <c r="D17" s="44"/>
      <c r="E17" s="44"/>
      <c r="F17" s="45"/>
      <c r="G17" s="69">
        <v>30.0</v>
      </c>
      <c r="H17" s="69"/>
      <c r="I17" s="45"/>
      <c r="J17" s="45"/>
      <c r="K17" s="45"/>
      <c r="L17" s="45"/>
      <c r="M17" s="45"/>
      <c r="N17" s="45"/>
      <c r="O17" s="45"/>
    </row>
    <row r="18">
      <c r="A18" s="43">
        <v>45832.0</v>
      </c>
      <c r="B18" s="44" t="s">
        <v>997</v>
      </c>
      <c r="C18" s="44">
        <v>55.0</v>
      </c>
      <c r="D18" s="44"/>
      <c r="E18" s="44"/>
      <c r="F18" s="45"/>
      <c r="G18" s="69"/>
      <c r="H18" s="69">
        <v>55.0</v>
      </c>
      <c r="I18" s="45"/>
      <c r="J18" s="45"/>
      <c r="K18" s="45"/>
      <c r="L18" s="45"/>
      <c r="M18" s="45"/>
      <c r="N18" s="45"/>
      <c r="O18" s="45"/>
    </row>
    <row r="19">
      <c r="A19" s="43">
        <v>45832.0</v>
      </c>
      <c r="B19" s="44" t="s">
        <v>998</v>
      </c>
      <c r="C19" s="44">
        <v>20.0</v>
      </c>
      <c r="D19" s="44"/>
      <c r="E19" s="44"/>
      <c r="F19" s="45"/>
      <c r="G19" s="77"/>
      <c r="H19" s="69">
        <v>20.0</v>
      </c>
      <c r="I19" s="45"/>
      <c r="J19" s="45"/>
      <c r="K19" s="45"/>
      <c r="L19" s="45"/>
      <c r="M19" s="45"/>
      <c r="N19" s="45"/>
      <c r="O19" s="45"/>
    </row>
    <row r="20">
      <c r="A20" s="43"/>
      <c r="B20" s="44"/>
      <c r="C20" s="44"/>
      <c r="D20" s="44"/>
      <c r="E20" s="44"/>
    </row>
    <row r="21">
      <c r="A21" s="43"/>
      <c r="B21" s="44"/>
      <c r="C21" s="44"/>
      <c r="D21" s="44"/>
      <c r="E21" s="44"/>
    </row>
    <row r="22">
      <c r="A22" s="43"/>
      <c r="B22" s="44"/>
      <c r="C22" s="44"/>
      <c r="D22" s="44"/>
      <c r="E22" s="44"/>
      <c r="F22" s="44"/>
      <c r="G22" s="44"/>
      <c r="H22" s="44"/>
      <c r="I22" s="44"/>
      <c r="J22" s="44"/>
    </row>
    <row r="23">
      <c r="A23" s="43"/>
      <c r="B23" s="44"/>
      <c r="C23" s="44"/>
      <c r="D23" s="44"/>
    </row>
    <row r="24">
      <c r="A24" s="43"/>
      <c r="B24" s="44"/>
      <c r="C24" s="44"/>
      <c r="D24" s="44"/>
      <c r="E24" s="4">
        <f>9544.82-8661.71</f>
        <v>883.11</v>
      </c>
    </row>
    <row r="25">
      <c r="A25" s="43"/>
      <c r="B25" s="44"/>
      <c r="C25" s="44"/>
      <c r="D25" s="44"/>
    </row>
    <row r="26">
      <c r="A26" s="43"/>
      <c r="B26" s="44"/>
      <c r="C26" s="44"/>
      <c r="E26" s="44"/>
    </row>
    <row r="27">
      <c r="A27" s="43"/>
      <c r="B27" s="44"/>
      <c r="C27" s="44"/>
      <c r="E27" s="44"/>
    </row>
    <row r="28">
      <c r="A28" s="43"/>
      <c r="B28" s="44"/>
      <c r="C28" s="44"/>
      <c r="D28" s="44"/>
    </row>
    <row r="29">
      <c r="A29" s="43"/>
      <c r="B29" s="44"/>
      <c r="C29" s="44"/>
    </row>
    <row r="30">
      <c r="A30" s="43"/>
      <c r="B30" s="44"/>
      <c r="C30" s="44"/>
    </row>
    <row r="31">
      <c r="A31" s="43"/>
      <c r="B31" s="44"/>
      <c r="C31" s="44"/>
    </row>
    <row r="32">
      <c r="A32" s="66"/>
      <c r="B32" s="44"/>
      <c r="C32" s="44"/>
    </row>
    <row r="33">
      <c r="B33" s="44"/>
      <c r="C33" s="44"/>
    </row>
    <row r="34">
      <c r="B34" s="44"/>
      <c r="C34" s="44"/>
      <c r="D34" s="67"/>
      <c r="E34" s="67"/>
      <c r="F34" s="68"/>
      <c r="G34" s="68"/>
      <c r="H34" s="67"/>
      <c r="I34" s="68"/>
      <c r="J34" s="68"/>
    </row>
    <row r="35">
      <c r="C35" s="44"/>
      <c r="D35" s="68"/>
      <c r="E35" s="68"/>
      <c r="F35" s="68"/>
      <c r="G35" s="68"/>
      <c r="H35" s="68"/>
      <c r="I35" s="68"/>
      <c r="J35" s="68"/>
    </row>
    <row r="44">
      <c r="A44" s="41"/>
    </row>
    <row r="45">
      <c r="A45" s="41"/>
    </row>
    <row r="46">
      <c r="A46" s="41"/>
    </row>
    <row r="78">
      <c r="G78" s="51"/>
      <c r="H78" s="51"/>
      <c r="I78" s="51"/>
      <c r="J78" s="52"/>
    </row>
    <row r="79">
      <c r="G79" s="52"/>
      <c r="H79" s="52"/>
      <c r="I79" s="52"/>
      <c r="J79" s="51"/>
    </row>
    <row r="80">
      <c r="G80" s="52"/>
      <c r="H80" s="52"/>
      <c r="I80" s="52"/>
      <c r="J80" s="51"/>
    </row>
    <row r="81">
      <c r="G81" s="52"/>
      <c r="H81" s="52"/>
      <c r="I81" s="51"/>
      <c r="J81" s="51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75"/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517</v>
      </c>
      <c r="L1" s="14" t="s">
        <v>726</v>
      </c>
      <c r="M1" s="14" t="s">
        <v>86</v>
      </c>
      <c r="N1" s="14" t="s">
        <v>250</v>
      </c>
      <c r="O1" s="14" t="s">
        <v>746</v>
      </c>
    </row>
    <row r="2">
      <c r="A2" s="43"/>
      <c r="B2" s="44" t="s">
        <v>999</v>
      </c>
      <c r="C2" s="44">
        <v>7.9</v>
      </c>
      <c r="D2" s="44"/>
      <c r="E2" s="44"/>
      <c r="F2" s="45"/>
      <c r="G2" s="45"/>
      <c r="H2" s="44"/>
      <c r="I2" s="45"/>
      <c r="J2" s="45"/>
      <c r="K2" s="45"/>
      <c r="L2" s="45"/>
      <c r="M2" s="45"/>
      <c r="N2" s="45"/>
      <c r="O2" s="44">
        <v>7.9</v>
      </c>
    </row>
    <row r="3">
      <c r="A3" s="43"/>
      <c r="B3" s="44" t="s">
        <v>999</v>
      </c>
      <c r="C3" s="44">
        <v>7.9</v>
      </c>
      <c r="D3" s="44"/>
      <c r="E3" s="44"/>
      <c r="F3" s="45"/>
      <c r="G3" s="45"/>
      <c r="H3" s="44"/>
      <c r="I3" s="45"/>
      <c r="J3" s="45"/>
      <c r="K3" s="45"/>
      <c r="L3" s="45"/>
      <c r="M3" s="45"/>
      <c r="N3" s="45"/>
      <c r="O3" s="44">
        <v>7.9</v>
      </c>
    </row>
    <row r="4">
      <c r="A4" s="43"/>
      <c r="B4" s="44" t="s">
        <v>1000</v>
      </c>
      <c r="C4" s="44">
        <v>12.5</v>
      </c>
      <c r="D4" s="44">
        <v>12.5</v>
      </c>
      <c r="E4" s="44"/>
      <c r="F4" s="44"/>
      <c r="G4" s="44"/>
      <c r="H4" s="45"/>
      <c r="I4" s="45"/>
      <c r="J4" s="44"/>
      <c r="K4" s="45"/>
      <c r="L4" s="45"/>
      <c r="M4" s="45"/>
      <c r="N4" s="45"/>
      <c r="O4" s="45"/>
    </row>
    <row r="5">
      <c r="A5" s="43"/>
      <c r="B5" s="44" t="s">
        <v>1001</v>
      </c>
      <c r="C5" s="44">
        <v>10.5</v>
      </c>
      <c r="D5" s="44"/>
      <c r="E5" s="44">
        <v>10.5</v>
      </c>
      <c r="F5" s="44"/>
      <c r="G5" s="45"/>
      <c r="H5" s="45"/>
      <c r="I5" s="45"/>
      <c r="J5" s="44"/>
      <c r="K5" s="45"/>
      <c r="L5" s="45"/>
      <c r="M5" s="45"/>
      <c r="N5" s="45"/>
      <c r="O5" s="44"/>
    </row>
    <row r="6">
      <c r="A6" s="43"/>
      <c r="B6" s="44" t="s">
        <v>1002</v>
      </c>
      <c r="C6" s="44">
        <v>8.9</v>
      </c>
      <c r="D6" s="44"/>
      <c r="E6" s="44">
        <v>8.9</v>
      </c>
      <c r="F6" s="45"/>
      <c r="G6" s="45"/>
      <c r="H6" s="44"/>
      <c r="I6" s="45"/>
      <c r="J6" s="45"/>
      <c r="K6" s="45"/>
      <c r="L6" s="45"/>
      <c r="M6" s="45"/>
      <c r="N6" s="45"/>
      <c r="O6" s="45"/>
    </row>
    <row r="7">
      <c r="A7" s="43"/>
      <c r="B7" s="44" t="s">
        <v>1003</v>
      </c>
      <c r="C7" s="44">
        <v>8.5</v>
      </c>
      <c r="D7" s="44"/>
      <c r="E7" s="44">
        <v>8.5</v>
      </c>
      <c r="F7" s="45"/>
      <c r="G7" s="45"/>
      <c r="H7" s="44"/>
      <c r="I7" s="45"/>
      <c r="J7" s="44"/>
      <c r="K7" s="45"/>
      <c r="L7" s="45"/>
      <c r="M7" s="45"/>
      <c r="N7" s="45"/>
    </row>
    <row r="8">
      <c r="A8" s="43"/>
      <c r="B8" s="44" t="s">
        <v>1004</v>
      </c>
      <c r="C8" s="44">
        <v>33.0</v>
      </c>
      <c r="D8" s="44">
        <v>33.0</v>
      </c>
      <c r="E8" s="44"/>
      <c r="G8" s="45"/>
      <c r="H8" s="44"/>
      <c r="I8" s="45"/>
      <c r="J8" s="44"/>
      <c r="K8" s="45"/>
      <c r="L8" s="45"/>
      <c r="M8" s="45"/>
      <c r="N8" s="45"/>
      <c r="O8" s="45"/>
    </row>
    <row r="9">
      <c r="A9" s="43"/>
      <c r="B9" s="44" t="s">
        <v>65</v>
      </c>
      <c r="C9" s="44">
        <v>12.1</v>
      </c>
      <c r="D9" s="44">
        <v>12.1</v>
      </c>
      <c r="E9" s="44"/>
      <c r="G9" s="45"/>
      <c r="H9" s="45"/>
      <c r="I9" s="45"/>
      <c r="J9" s="44"/>
      <c r="K9" s="45"/>
      <c r="L9" s="45"/>
      <c r="M9" s="45"/>
      <c r="N9" s="44"/>
      <c r="O9" s="45"/>
    </row>
    <row r="10">
      <c r="A10" s="43"/>
      <c r="B10" s="44" t="s">
        <v>1005</v>
      </c>
      <c r="C10" s="44">
        <v>14.99</v>
      </c>
      <c r="D10" s="45"/>
      <c r="E10" s="44">
        <v>14.99</v>
      </c>
      <c r="F10" s="45"/>
      <c r="G10" s="45"/>
      <c r="H10" s="44"/>
      <c r="I10" s="45"/>
      <c r="J10" s="45"/>
      <c r="K10" s="45"/>
      <c r="L10" s="45"/>
      <c r="M10" s="45"/>
      <c r="N10" s="44"/>
      <c r="O10" s="45"/>
    </row>
    <row r="11">
      <c r="A11" s="43"/>
      <c r="B11" s="44" t="s">
        <v>1005</v>
      </c>
      <c r="C11" s="44">
        <v>14.99</v>
      </c>
      <c r="D11" s="44"/>
      <c r="E11" s="44">
        <v>14.99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</row>
    <row r="12">
      <c r="A12" s="43"/>
      <c r="B12" s="44" t="s">
        <v>1006</v>
      </c>
      <c r="C12" s="44">
        <v>10.32</v>
      </c>
      <c r="D12" s="44">
        <v>10.32</v>
      </c>
      <c r="E12" s="44"/>
      <c r="F12" s="45"/>
      <c r="G12" s="45"/>
      <c r="H12" s="44"/>
      <c r="I12" s="45"/>
      <c r="J12" s="45"/>
      <c r="K12" s="45"/>
      <c r="L12" s="45"/>
      <c r="M12" s="45"/>
      <c r="N12" s="45"/>
      <c r="O12" s="45"/>
    </row>
    <row r="13">
      <c r="A13" s="43"/>
      <c r="B13" s="44" t="s">
        <v>1007</v>
      </c>
      <c r="C13" s="44">
        <v>10.9</v>
      </c>
      <c r="D13" s="44">
        <v>10.9</v>
      </c>
      <c r="E13" s="44"/>
      <c r="F13" s="45"/>
      <c r="G13" s="45"/>
      <c r="H13" s="45"/>
      <c r="I13" s="45"/>
      <c r="J13" s="45"/>
      <c r="K13" s="45"/>
      <c r="L13" s="45"/>
      <c r="M13" s="45"/>
      <c r="N13" s="45"/>
      <c r="O13" s="45"/>
    </row>
    <row r="14">
      <c r="A14" s="43"/>
      <c r="B14" s="44" t="s">
        <v>1007</v>
      </c>
      <c r="C14" s="44">
        <v>9.9</v>
      </c>
      <c r="D14" s="44">
        <v>9.9</v>
      </c>
      <c r="E14" s="45"/>
      <c r="F14" s="44"/>
      <c r="G14" s="45"/>
      <c r="H14" s="44"/>
      <c r="I14" s="45"/>
      <c r="J14" s="44"/>
      <c r="K14" s="45"/>
      <c r="L14" s="45"/>
      <c r="M14" s="45"/>
      <c r="N14" s="45"/>
      <c r="O14" s="48"/>
    </row>
    <row r="15">
      <c r="A15" s="43"/>
      <c r="B15" s="44"/>
      <c r="C15" s="44"/>
      <c r="D15" s="44">
        <f t="shared" ref="D15:O15" si="1">SUM(D2:D14)</f>
        <v>88.72</v>
      </c>
      <c r="E15" s="44">
        <f t="shared" si="1"/>
        <v>57.88</v>
      </c>
      <c r="F15" s="44">
        <f t="shared" si="1"/>
        <v>0</v>
      </c>
      <c r="G15" s="44">
        <f t="shared" si="1"/>
        <v>0</v>
      </c>
      <c r="H15" s="44">
        <f t="shared" si="1"/>
        <v>0</v>
      </c>
      <c r="I15" s="44">
        <f t="shared" si="1"/>
        <v>0</v>
      </c>
      <c r="J15" s="44">
        <f t="shared" si="1"/>
        <v>0</v>
      </c>
      <c r="K15" s="44">
        <f t="shared" si="1"/>
        <v>0</v>
      </c>
      <c r="L15" s="44">
        <f t="shared" si="1"/>
        <v>0</v>
      </c>
      <c r="M15" s="44">
        <f t="shared" si="1"/>
        <v>0</v>
      </c>
      <c r="N15" s="44">
        <f t="shared" si="1"/>
        <v>0</v>
      </c>
      <c r="O15" s="44">
        <f t="shared" si="1"/>
        <v>15.8</v>
      </c>
    </row>
    <row r="16">
      <c r="A16" s="43"/>
      <c r="B16" s="44"/>
      <c r="C16" s="44"/>
      <c r="D16" s="44"/>
      <c r="E16" s="44"/>
      <c r="F16" s="45"/>
      <c r="G16" s="44"/>
      <c r="H16" s="45"/>
      <c r="I16" s="45"/>
      <c r="J16" s="45"/>
      <c r="K16" s="45"/>
      <c r="L16" s="45"/>
      <c r="M16" s="45"/>
      <c r="N16" s="45"/>
      <c r="O16" s="45"/>
    </row>
    <row r="17">
      <c r="A17" s="43"/>
      <c r="B17" s="44"/>
      <c r="C17" s="44"/>
      <c r="D17" s="44"/>
      <c r="E17" s="44"/>
      <c r="F17" s="45"/>
      <c r="G17" s="69"/>
      <c r="H17" s="69"/>
      <c r="I17" s="45"/>
      <c r="J17" s="45"/>
      <c r="K17" s="45"/>
      <c r="L17" s="45"/>
      <c r="M17" s="45"/>
      <c r="N17" s="45"/>
      <c r="O17" s="45"/>
    </row>
    <row r="18">
      <c r="A18" s="43"/>
      <c r="B18" s="44"/>
      <c r="C18" s="44"/>
      <c r="D18" s="44"/>
      <c r="E18" s="44"/>
      <c r="F18" s="45"/>
      <c r="G18" s="69"/>
      <c r="H18" s="69"/>
      <c r="I18" s="45"/>
      <c r="J18" s="45"/>
      <c r="K18" s="45"/>
      <c r="L18" s="45"/>
      <c r="M18" s="45"/>
      <c r="N18" s="45"/>
      <c r="O18" s="45"/>
    </row>
    <row r="19">
      <c r="A19" s="43"/>
      <c r="B19" s="44"/>
      <c r="C19" s="44"/>
      <c r="D19" s="44"/>
      <c r="E19" s="44"/>
      <c r="F19" s="45">
        <f>12276.79</f>
        <v>12276.79</v>
      </c>
      <c r="G19" s="77">
        <f>7964</f>
        <v>7964</v>
      </c>
      <c r="H19" s="69"/>
      <c r="I19" s="45"/>
      <c r="J19" s="45"/>
      <c r="K19" s="45"/>
      <c r="L19" s="45"/>
      <c r="M19" s="45"/>
      <c r="N19" s="45"/>
      <c r="O19" s="45"/>
    </row>
    <row r="20">
      <c r="A20" s="43"/>
      <c r="B20" s="44"/>
      <c r="C20" s="44"/>
      <c r="D20" s="44"/>
      <c r="E20" s="44"/>
      <c r="F20" s="4">
        <f>22127.83</f>
        <v>22127.83</v>
      </c>
    </row>
    <row r="21">
      <c r="A21" s="43"/>
      <c r="B21" s="44"/>
      <c r="C21" s="44"/>
      <c r="D21" s="44"/>
      <c r="E21" s="44"/>
      <c r="G21" s="1">
        <v>2255.3</v>
      </c>
      <c r="H21" s="4">
        <f>F20-G21</f>
        <v>19872.53</v>
      </c>
    </row>
    <row r="22">
      <c r="A22" s="43"/>
      <c r="B22" s="44"/>
      <c r="C22" s="44"/>
      <c r="D22" s="44"/>
      <c r="E22" s="44"/>
      <c r="F22" s="4">
        <f>-F19-G19</f>
        <v>-20240.79</v>
      </c>
      <c r="G22" s="44"/>
      <c r="H22" s="44"/>
      <c r="I22" s="44"/>
      <c r="J22" s="44"/>
    </row>
    <row r="23">
      <c r="A23" s="43"/>
      <c r="B23" s="44"/>
      <c r="C23" s="44"/>
      <c r="D23" s="44"/>
    </row>
    <row r="24">
      <c r="A24" s="43"/>
      <c r="B24" s="44"/>
      <c r="C24" s="44"/>
      <c r="D24" s="44"/>
    </row>
    <row r="25">
      <c r="A25" s="43"/>
      <c r="B25" s="44"/>
      <c r="C25" s="44"/>
      <c r="D25" s="44"/>
    </row>
    <row r="26">
      <c r="A26" s="43"/>
      <c r="B26" s="44"/>
      <c r="C26" s="44"/>
      <c r="E26" s="44"/>
      <c r="H26" s="4">
        <f>368.26/2</f>
        <v>184.13</v>
      </c>
    </row>
    <row r="27">
      <c r="A27" s="43"/>
      <c r="B27" s="44"/>
      <c r="C27" s="44"/>
      <c r="E27" s="44"/>
    </row>
    <row r="28">
      <c r="A28" s="43"/>
      <c r="B28" s="44">
        <f>284+120.95</f>
        <v>404.95</v>
      </c>
      <c r="C28" s="44"/>
      <c r="D28" s="44"/>
      <c r="F28" s="4">
        <f>F19-H26+4.8</f>
        <v>12097.46</v>
      </c>
    </row>
    <row r="29">
      <c r="A29" s="43"/>
      <c r="B29" s="44"/>
      <c r="C29" s="44"/>
    </row>
    <row r="30">
      <c r="A30" s="43"/>
      <c r="B30" s="44"/>
      <c r="C30" s="44"/>
    </row>
    <row r="31">
      <c r="A31" s="43"/>
      <c r="B31" s="44"/>
      <c r="C31" s="44"/>
    </row>
    <row r="32">
      <c r="A32" s="66"/>
      <c r="B32" s="44"/>
      <c r="C32" s="44"/>
    </row>
    <row r="33">
      <c r="B33" s="44"/>
      <c r="C33" s="44"/>
    </row>
    <row r="34">
      <c r="B34" s="44"/>
      <c r="C34" s="44"/>
      <c r="D34" s="67"/>
      <c r="E34" s="67"/>
      <c r="F34" s="68"/>
      <c r="G34" s="68"/>
      <c r="H34" s="67"/>
      <c r="I34" s="68"/>
      <c r="J34" s="68"/>
    </row>
    <row r="35">
      <c r="C35" s="44"/>
      <c r="D35" s="68"/>
      <c r="E35" s="68"/>
      <c r="F35" s="68"/>
      <c r="G35" s="68"/>
      <c r="H35" s="68"/>
      <c r="I35" s="68"/>
      <c r="J35" s="68"/>
    </row>
    <row r="44">
      <c r="A44" s="41"/>
    </row>
    <row r="45">
      <c r="A45" s="41"/>
    </row>
    <row r="46">
      <c r="A46" s="41"/>
    </row>
    <row r="78">
      <c r="G78" s="51"/>
      <c r="H78" s="51"/>
      <c r="I78" s="51"/>
      <c r="J78" s="52"/>
    </row>
    <row r="79">
      <c r="G79" s="52"/>
      <c r="H79" s="52"/>
      <c r="I79" s="52"/>
      <c r="J79" s="51"/>
    </row>
    <row r="80">
      <c r="G80" s="52"/>
      <c r="H80" s="52"/>
      <c r="I80" s="52"/>
      <c r="J80" s="51"/>
    </row>
    <row r="81">
      <c r="G81" s="52"/>
      <c r="H81" s="52"/>
      <c r="I81" s="51"/>
      <c r="J81" s="51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75"/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250</v>
      </c>
      <c r="L1" s="14" t="s">
        <v>746</v>
      </c>
    </row>
    <row r="2">
      <c r="A2" s="43">
        <v>45814.0</v>
      </c>
      <c r="B2" s="44" t="s">
        <v>1008</v>
      </c>
      <c r="C2" s="44">
        <v>60.0</v>
      </c>
      <c r="D2" s="44"/>
      <c r="E2" s="44"/>
      <c r="F2" s="45"/>
      <c r="G2" s="45"/>
      <c r="H2" s="44">
        <v>60.0</v>
      </c>
      <c r="I2" s="45"/>
      <c r="J2" s="45"/>
      <c r="K2" s="45"/>
      <c r="L2" s="44"/>
    </row>
    <row r="3">
      <c r="A3" s="43">
        <v>45814.0</v>
      </c>
      <c r="B3" s="44" t="s">
        <v>1009</v>
      </c>
      <c r="C3" s="44">
        <v>147.8</v>
      </c>
      <c r="D3" s="44"/>
      <c r="E3" s="44"/>
      <c r="F3" s="45"/>
      <c r="G3" s="45"/>
      <c r="H3" s="44">
        <v>147.8</v>
      </c>
      <c r="I3" s="45"/>
      <c r="J3" s="45"/>
      <c r="K3" s="45"/>
      <c r="L3" s="44"/>
    </row>
    <row r="4">
      <c r="A4" s="43">
        <v>45813.0</v>
      </c>
      <c r="B4" s="44" t="s">
        <v>1010</v>
      </c>
      <c r="C4" s="44"/>
      <c r="D4" s="44"/>
      <c r="E4" s="44"/>
      <c r="F4" s="44"/>
      <c r="G4" s="45"/>
      <c r="H4" s="45"/>
      <c r="I4" s="45"/>
      <c r="J4" s="44"/>
      <c r="K4" s="45"/>
      <c r="L4" s="44"/>
    </row>
    <row r="5">
      <c r="A5" s="43">
        <v>45813.0</v>
      </c>
      <c r="B5" s="1" t="s">
        <v>1011</v>
      </c>
      <c r="C5" s="44">
        <v>404.0</v>
      </c>
      <c r="D5" s="44"/>
      <c r="E5" s="44"/>
      <c r="F5" s="45"/>
      <c r="G5" s="45"/>
      <c r="H5" s="44"/>
      <c r="I5" s="45"/>
      <c r="J5" s="45"/>
      <c r="K5" s="44">
        <v>404.0</v>
      </c>
      <c r="L5" s="45"/>
    </row>
    <row r="6">
      <c r="A6" s="43">
        <v>45813.0</v>
      </c>
      <c r="B6" s="44" t="s">
        <v>1012</v>
      </c>
      <c r="C6" s="44">
        <v>18.0</v>
      </c>
      <c r="D6" s="44"/>
      <c r="E6" s="44">
        <v>18.0</v>
      </c>
      <c r="F6" s="45"/>
      <c r="G6" s="45"/>
      <c r="H6" s="44"/>
      <c r="I6" s="45"/>
      <c r="J6" s="44"/>
      <c r="K6" s="45"/>
    </row>
    <row r="7">
      <c r="A7" s="43">
        <v>45847.0</v>
      </c>
      <c r="B7" s="44" t="s">
        <v>1013</v>
      </c>
      <c r="C7" s="44">
        <v>118.0</v>
      </c>
      <c r="D7" s="44"/>
      <c r="E7" s="44"/>
      <c r="G7" s="45"/>
      <c r="H7" s="44">
        <v>118.0</v>
      </c>
      <c r="I7" s="45"/>
      <c r="J7" s="44"/>
      <c r="K7" s="45"/>
      <c r="L7" s="45"/>
    </row>
    <row r="8">
      <c r="A8" s="43">
        <v>45849.0</v>
      </c>
      <c r="B8" s="44" t="s">
        <v>1014</v>
      </c>
      <c r="C8" s="44">
        <v>55.9</v>
      </c>
      <c r="D8" s="44">
        <v>55.9</v>
      </c>
      <c r="E8" s="44"/>
      <c r="G8" s="45"/>
      <c r="H8" s="45"/>
      <c r="I8" s="45"/>
      <c r="J8" s="44"/>
      <c r="K8" s="44"/>
      <c r="L8" s="45"/>
    </row>
    <row r="9">
      <c r="A9" s="43"/>
      <c r="B9" s="44"/>
      <c r="C9" s="44"/>
      <c r="D9" s="45">
        <f t="shared" ref="D9:I9" si="1">sum(D2:D8)</f>
        <v>55.9</v>
      </c>
      <c r="E9" s="45">
        <f t="shared" si="1"/>
        <v>18</v>
      </c>
      <c r="F9" s="45">
        <f t="shared" si="1"/>
        <v>0</v>
      </c>
      <c r="G9" s="45">
        <f t="shared" si="1"/>
        <v>0</v>
      </c>
      <c r="H9" s="45">
        <f t="shared" si="1"/>
        <v>325.8</v>
      </c>
      <c r="I9" s="45">
        <f t="shared" si="1"/>
        <v>0</v>
      </c>
      <c r="J9" s="44">
        <v>15.0</v>
      </c>
      <c r="K9" s="45">
        <f>sum(K2:K8)</f>
        <v>404</v>
      </c>
      <c r="L9" s="44"/>
    </row>
    <row r="10">
      <c r="A10" s="43"/>
      <c r="B10" s="44"/>
      <c r="C10" s="44"/>
      <c r="D10" s="44"/>
      <c r="E10" s="44"/>
      <c r="F10" s="45"/>
      <c r="G10" s="45"/>
      <c r="H10" s="45"/>
      <c r="I10" s="45"/>
      <c r="J10" s="45"/>
      <c r="K10" s="45"/>
      <c r="L10" s="45"/>
    </row>
    <row r="11">
      <c r="A11" s="43"/>
      <c r="B11" s="44"/>
      <c r="C11" s="44"/>
      <c r="D11" s="44"/>
      <c r="E11" s="44"/>
      <c r="F11" s="45"/>
      <c r="G11" s="45"/>
      <c r="H11" s="44"/>
      <c r="I11" s="45"/>
      <c r="J11" s="45"/>
      <c r="K11" s="45"/>
      <c r="L11" s="45"/>
    </row>
    <row r="12">
      <c r="A12" s="43"/>
      <c r="B12" s="44"/>
      <c r="C12" s="44"/>
      <c r="D12" s="44"/>
      <c r="E12" s="44"/>
      <c r="F12" s="45"/>
      <c r="G12" s="45"/>
      <c r="H12" s="45"/>
      <c r="I12" s="45"/>
      <c r="J12" s="45"/>
      <c r="K12" s="45"/>
      <c r="L12" s="45"/>
    </row>
    <row r="13">
      <c r="A13" s="43"/>
      <c r="B13" s="44"/>
      <c r="C13" s="44"/>
      <c r="D13" s="44"/>
      <c r="E13" s="45"/>
      <c r="F13" s="44"/>
      <c r="G13" s="45"/>
      <c r="H13" s="44"/>
      <c r="I13" s="45"/>
      <c r="J13" s="44"/>
      <c r="K13" s="45"/>
      <c r="L13" s="48"/>
    </row>
    <row r="14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</row>
    <row r="15">
      <c r="A15" s="43"/>
      <c r="B15" s="44"/>
      <c r="C15" s="44"/>
      <c r="D15" s="44"/>
      <c r="E15" s="44"/>
      <c r="F15" s="45"/>
      <c r="G15" s="44"/>
      <c r="H15" s="44"/>
      <c r="I15" s="44"/>
      <c r="J15" s="45"/>
      <c r="K15" s="45"/>
      <c r="L15" s="45"/>
    </row>
    <row r="16">
      <c r="A16" s="43"/>
      <c r="B16" s="44"/>
      <c r="C16" s="44"/>
      <c r="D16" s="44"/>
      <c r="E16" s="44"/>
      <c r="F16" s="45"/>
      <c r="G16" s="69"/>
      <c r="H16" s="69"/>
      <c r="I16" s="45"/>
      <c r="J16" s="45"/>
      <c r="K16" s="45"/>
      <c r="L16" s="45"/>
    </row>
    <row r="17">
      <c r="A17" s="43"/>
      <c r="B17" s="44"/>
      <c r="C17" s="44"/>
      <c r="D17" s="44"/>
      <c r="E17" s="44"/>
      <c r="F17" s="45"/>
      <c r="G17" s="69"/>
      <c r="H17" s="69"/>
      <c r="I17" s="45"/>
      <c r="J17" s="45"/>
      <c r="K17" s="45"/>
      <c r="L17" s="45"/>
    </row>
    <row r="18">
      <c r="A18" s="43"/>
      <c r="B18" s="44"/>
      <c r="C18" s="44"/>
      <c r="D18" s="44"/>
      <c r="E18" s="44"/>
      <c r="F18" s="45"/>
      <c r="G18" s="77"/>
      <c r="H18" s="69"/>
      <c r="I18" s="45"/>
      <c r="J18" s="45"/>
      <c r="K18" s="45"/>
      <c r="L18" s="45"/>
    </row>
    <row r="19">
      <c r="A19" s="43"/>
      <c r="B19" s="44"/>
      <c r="C19" s="44"/>
      <c r="D19" s="44"/>
      <c r="E19" s="44"/>
    </row>
    <row r="20">
      <c r="A20" s="43"/>
      <c r="B20" s="44"/>
      <c r="C20" s="44"/>
      <c r="D20" s="44"/>
      <c r="E20" s="44"/>
    </row>
    <row r="21">
      <c r="A21" s="43"/>
      <c r="B21" s="44"/>
      <c r="C21" s="44"/>
      <c r="D21" s="44"/>
      <c r="E21" s="44"/>
      <c r="F21" s="44"/>
      <c r="G21" s="44"/>
      <c r="H21" s="44"/>
      <c r="I21" s="44"/>
      <c r="J21" s="44"/>
    </row>
    <row r="22">
      <c r="A22" s="43"/>
      <c r="B22" s="44"/>
      <c r="C22" s="44"/>
      <c r="D22" s="44"/>
    </row>
    <row r="23">
      <c r="A23" s="43"/>
      <c r="B23" s="44"/>
      <c r="C23" s="44"/>
      <c r="D23" s="44"/>
    </row>
    <row r="24">
      <c r="A24" s="43"/>
      <c r="B24" s="44"/>
      <c r="C24" s="44"/>
      <c r="D24" s="44"/>
    </row>
    <row r="25">
      <c r="A25" s="43"/>
      <c r="B25" s="44"/>
      <c r="C25" s="44"/>
      <c r="E25" s="44"/>
    </row>
    <row r="26">
      <c r="A26" s="43"/>
      <c r="B26" s="44"/>
      <c r="C26" s="44"/>
      <c r="E26" s="44"/>
    </row>
    <row r="27">
      <c r="A27" s="43"/>
      <c r="B27" s="44"/>
      <c r="C27" s="44"/>
      <c r="D27" s="44"/>
    </row>
    <row r="28">
      <c r="A28" s="43"/>
      <c r="B28" s="44"/>
      <c r="C28" s="44"/>
    </row>
    <row r="29">
      <c r="A29" s="43"/>
      <c r="B29" s="44"/>
      <c r="C29" s="44"/>
    </row>
    <row r="30">
      <c r="A30" s="43"/>
      <c r="B30" s="44"/>
      <c r="C30" s="44"/>
    </row>
    <row r="31">
      <c r="A31" s="66"/>
      <c r="B31" s="44"/>
      <c r="C31" s="44"/>
    </row>
    <row r="32">
      <c r="B32" s="44"/>
      <c r="C32" s="44"/>
    </row>
    <row r="33">
      <c r="B33" s="44"/>
      <c r="C33" s="44"/>
      <c r="D33" s="67"/>
      <c r="E33" s="67"/>
      <c r="F33" s="68"/>
      <c r="G33" s="68"/>
      <c r="H33" s="67"/>
      <c r="I33" s="68"/>
      <c r="J33" s="68"/>
    </row>
    <row r="34">
      <c r="C34" s="44"/>
      <c r="D34" s="68"/>
      <c r="E34" s="68"/>
      <c r="F34" s="68"/>
      <c r="G34" s="68"/>
      <c r="H34" s="68"/>
      <c r="I34" s="68"/>
      <c r="J34" s="68"/>
    </row>
    <row r="43">
      <c r="A43" s="41"/>
    </row>
    <row r="44">
      <c r="A44" s="41"/>
    </row>
    <row r="45">
      <c r="A45" s="41"/>
    </row>
    <row r="77">
      <c r="G77" s="51"/>
      <c r="H77" s="51"/>
      <c r="I77" s="51"/>
      <c r="J77" s="52"/>
    </row>
    <row r="78">
      <c r="G78" s="52"/>
      <c r="H78" s="52"/>
      <c r="I78" s="52"/>
      <c r="J78" s="51"/>
    </row>
    <row r="79">
      <c r="G79" s="52"/>
      <c r="H79" s="52"/>
      <c r="I79" s="52"/>
      <c r="J79" s="51"/>
    </row>
    <row r="80">
      <c r="G80" s="52"/>
      <c r="H80" s="52"/>
      <c r="I80" s="51"/>
      <c r="J80" s="51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75"/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8</v>
      </c>
      <c r="I1" s="14" t="s">
        <v>250</v>
      </c>
      <c r="J1" s="14" t="s">
        <v>497</v>
      </c>
      <c r="K1" s="14" t="s">
        <v>250</v>
      </c>
      <c r="L1" s="14" t="s">
        <v>746</v>
      </c>
    </row>
    <row r="2">
      <c r="A2" s="43">
        <v>45851.0</v>
      </c>
      <c r="B2" s="44" t="s">
        <v>558</v>
      </c>
      <c r="C2" s="44">
        <v>120.95</v>
      </c>
      <c r="D2" s="44"/>
      <c r="E2" s="44"/>
      <c r="F2" s="45"/>
      <c r="G2" s="45"/>
      <c r="H2" s="44"/>
      <c r="I2" s="45"/>
      <c r="J2" s="45"/>
      <c r="K2" s="45"/>
      <c r="L2" s="44">
        <v>120.95</v>
      </c>
    </row>
    <row r="3">
      <c r="A3" s="43">
        <v>45851.0</v>
      </c>
      <c r="B3" s="44" t="s">
        <v>1015</v>
      </c>
      <c r="C3" s="44">
        <v>64.0</v>
      </c>
      <c r="D3" s="44"/>
      <c r="E3" s="44"/>
      <c r="F3" s="45"/>
      <c r="G3" s="45"/>
      <c r="H3" s="44"/>
      <c r="I3" s="45"/>
      <c r="J3" s="45"/>
      <c r="K3" s="45"/>
      <c r="L3" s="44"/>
    </row>
    <row r="4">
      <c r="A4" s="43">
        <v>45851.0</v>
      </c>
      <c r="B4" s="44" t="s">
        <v>1016</v>
      </c>
      <c r="C4" s="44">
        <v>16.5</v>
      </c>
      <c r="D4" s="44"/>
      <c r="E4" s="44"/>
      <c r="F4" s="44"/>
      <c r="G4" s="45"/>
      <c r="H4" s="45"/>
      <c r="I4" s="45"/>
      <c r="J4" s="44"/>
      <c r="K4" s="45"/>
      <c r="L4" s="44"/>
    </row>
    <row r="5">
      <c r="A5" s="43">
        <v>45851.0</v>
      </c>
      <c r="B5" s="1" t="s">
        <v>1017</v>
      </c>
      <c r="C5" s="44">
        <v>10.0</v>
      </c>
      <c r="D5" s="44"/>
      <c r="E5" s="44"/>
      <c r="F5" s="45"/>
      <c r="G5" s="45"/>
      <c r="H5" s="44"/>
      <c r="I5" s="45"/>
      <c r="J5" s="45"/>
      <c r="K5" s="44"/>
      <c r="L5" s="45"/>
    </row>
    <row r="6">
      <c r="A6" s="43">
        <v>45851.0</v>
      </c>
      <c r="B6" s="44" t="s">
        <v>1018</v>
      </c>
      <c r="C6" s="44">
        <v>140.0</v>
      </c>
      <c r="D6" s="44"/>
      <c r="E6" s="44"/>
      <c r="F6" s="45"/>
      <c r="G6" s="45"/>
      <c r="H6" s="44"/>
      <c r="I6" s="45"/>
      <c r="J6" s="44"/>
      <c r="K6" s="45"/>
    </row>
    <row r="7">
      <c r="A7" s="43">
        <v>45851.0</v>
      </c>
      <c r="B7" s="44" t="s">
        <v>1019</v>
      </c>
      <c r="C7" s="44">
        <v>3.0</v>
      </c>
      <c r="D7" s="44"/>
      <c r="E7" s="44"/>
      <c r="G7" s="45"/>
      <c r="H7" s="44"/>
      <c r="I7" s="45"/>
      <c r="J7" s="44"/>
      <c r="K7" s="45"/>
      <c r="L7" s="45"/>
    </row>
    <row r="8">
      <c r="A8" s="43">
        <v>45851.0</v>
      </c>
      <c r="B8" s="44" t="s">
        <v>114</v>
      </c>
      <c r="C8" s="44">
        <v>50.5</v>
      </c>
      <c r="D8" s="44"/>
      <c r="E8" s="44"/>
      <c r="G8" s="45"/>
      <c r="H8" s="45"/>
      <c r="I8" s="45"/>
      <c r="J8" s="44"/>
      <c r="K8" s="44"/>
      <c r="L8" s="45"/>
    </row>
    <row r="9">
      <c r="A9" s="43"/>
      <c r="B9" s="44"/>
      <c r="C9" s="44" t="s">
        <v>1020</v>
      </c>
      <c r="D9" s="45"/>
      <c r="E9" s="45"/>
      <c r="F9" s="45"/>
      <c r="G9" s="45"/>
      <c r="H9" s="45"/>
      <c r="I9" s="45"/>
      <c r="J9" s="44"/>
      <c r="K9" s="45"/>
      <c r="L9" s="44"/>
    </row>
    <row r="10">
      <c r="A10" s="43"/>
      <c r="B10" s="44"/>
      <c r="C10" s="44"/>
      <c r="D10" s="44"/>
      <c r="E10" s="44"/>
      <c r="F10" s="45"/>
      <c r="G10" s="45"/>
      <c r="H10" s="45"/>
      <c r="I10" s="45"/>
      <c r="J10" s="45"/>
      <c r="K10" s="45"/>
      <c r="L10" s="45"/>
    </row>
    <row r="11">
      <c r="A11" s="43"/>
      <c r="B11" s="44"/>
      <c r="C11" s="44"/>
      <c r="D11" s="44"/>
      <c r="E11" s="44"/>
      <c r="F11" s="45"/>
      <c r="G11" s="45"/>
      <c r="H11" s="44"/>
      <c r="I11" s="45"/>
      <c r="J11" s="45"/>
      <c r="K11" s="45"/>
      <c r="L11" s="45"/>
    </row>
    <row r="12">
      <c r="A12" s="43"/>
      <c r="B12" s="44"/>
      <c r="C12" s="44"/>
      <c r="D12" s="44"/>
      <c r="E12" s="44"/>
      <c r="F12" s="45"/>
      <c r="G12" s="45"/>
      <c r="H12" s="45"/>
      <c r="I12" s="45"/>
      <c r="J12" s="45"/>
      <c r="K12" s="45"/>
      <c r="L12" s="45"/>
    </row>
    <row r="13">
      <c r="A13" s="43"/>
      <c r="B13" s="44"/>
      <c r="C13" s="44"/>
      <c r="D13" s="44"/>
      <c r="E13" s="45"/>
      <c r="F13" s="44"/>
      <c r="G13" s="45"/>
      <c r="H13" s="44"/>
      <c r="I13" s="45"/>
      <c r="J13" s="44"/>
      <c r="K13" s="45"/>
      <c r="L13" s="48"/>
    </row>
    <row r="14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</row>
    <row r="15">
      <c r="A15" s="43"/>
      <c r="B15" s="44"/>
      <c r="C15" s="44"/>
      <c r="D15" s="44"/>
      <c r="E15" s="44"/>
      <c r="F15" s="45"/>
      <c r="G15" s="44"/>
      <c r="H15" s="44"/>
      <c r="I15" s="44"/>
      <c r="J15" s="45"/>
      <c r="K15" s="45"/>
      <c r="L15" s="45"/>
    </row>
    <row r="16">
      <c r="A16" s="43"/>
      <c r="B16" s="44"/>
      <c r="C16" s="44"/>
      <c r="D16" s="44"/>
      <c r="E16" s="44"/>
      <c r="F16" s="45"/>
      <c r="G16" s="69"/>
      <c r="H16" s="69"/>
      <c r="I16" s="45"/>
      <c r="J16" s="45"/>
      <c r="K16" s="45"/>
      <c r="L16" s="45"/>
    </row>
    <row r="17">
      <c r="A17" s="43"/>
      <c r="B17" s="44"/>
      <c r="C17" s="44"/>
      <c r="D17" s="44"/>
      <c r="E17" s="44"/>
      <c r="F17" s="45"/>
      <c r="G17" s="69"/>
      <c r="H17" s="69"/>
      <c r="I17" s="45"/>
      <c r="J17" s="45"/>
      <c r="K17" s="45"/>
      <c r="L17" s="45"/>
    </row>
    <row r="18">
      <c r="A18" s="43"/>
      <c r="B18" s="44"/>
      <c r="C18" s="44"/>
      <c r="D18" s="44"/>
      <c r="E18" s="44"/>
      <c r="F18" s="45"/>
      <c r="G18" s="77"/>
      <c r="H18" s="69"/>
      <c r="I18" s="45"/>
      <c r="J18" s="45"/>
      <c r="K18" s="45"/>
      <c r="L18" s="45"/>
    </row>
    <row r="19">
      <c r="A19" s="43"/>
      <c r="B19" s="44"/>
      <c r="C19" s="44"/>
      <c r="D19" s="44"/>
      <c r="E19" s="44"/>
    </row>
    <row r="20">
      <c r="A20" s="43"/>
      <c r="B20" s="44"/>
      <c r="C20" s="44"/>
      <c r="D20" s="44"/>
      <c r="E20" s="44"/>
    </row>
    <row r="21">
      <c r="A21" s="43"/>
      <c r="B21" s="44"/>
      <c r="C21" s="44"/>
      <c r="D21" s="44"/>
      <c r="E21" s="44"/>
      <c r="F21" s="44"/>
      <c r="G21" s="44"/>
      <c r="H21" s="44"/>
      <c r="I21" s="44"/>
      <c r="J21" s="44"/>
    </row>
    <row r="22">
      <c r="A22" s="43"/>
      <c r="B22" s="44"/>
      <c r="C22" s="44"/>
      <c r="D22" s="44"/>
    </row>
    <row r="23">
      <c r="A23" s="43"/>
      <c r="B23" s="44"/>
      <c r="C23" s="44"/>
      <c r="D23" s="44"/>
    </row>
    <row r="24">
      <c r="A24" s="43"/>
      <c r="B24" s="44"/>
      <c r="C24" s="44"/>
      <c r="D24" s="44"/>
    </row>
    <row r="25">
      <c r="A25" s="43"/>
      <c r="B25" s="44"/>
      <c r="C25" s="44"/>
      <c r="E25" s="44"/>
    </row>
    <row r="26">
      <c r="A26" s="43"/>
      <c r="B26" s="44"/>
      <c r="C26" s="44"/>
      <c r="E26" s="44"/>
    </row>
    <row r="27">
      <c r="A27" s="43"/>
      <c r="B27" s="44"/>
      <c r="C27" s="44"/>
      <c r="D27" s="44"/>
    </row>
    <row r="28">
      <c r="A28" s="43"/>
      <c r="B28" s="44"/>
      <c r="C28" s="44"/>
    </row>
    <row r="29">
      <c r="A29" s="43"/>
      <c r="B29" s="44"/>
      <c r="C29" s="44"/>
    </row>
    <row r="30">
      <c r="A30" s="43"/>
      <c r="B30" s="44"/>
      <c r="C30" s="44"/>
    </row>
    <row r="31">
      <c r="A31" s="66"/>
      <c r="B31" s="44"/>
      <c r="C31" s="44"/>
    </row>
    <row r="32">
      <c r="B32" s="44"/>
      <c r="C32" s="44"/>
    </row>
    <row r="33">
      <c r="B33" s="44"/>
      <c r="C33" s="44"/>
      <c r="D33" s="67"/>
      <c r="E33" s="67"/>
      <c r="F33" s="68"/>
      <c r="G33" s="68"/>
      <c r="H33" s="67"/>
      <c r="I33" s="68"/>
      <c r="J33" s="68"/>
    </row>
    <row r="34">
      <c r="C34" s="44"/>
      <c r="D34" s="68"/>
      <c r="E34" s="68"/>
      <c r="F34" s="68"/>
      <c r="G34" s="68"/>
      <c r="H34" s="68"/>
      <c r="I34" s="68"/>
      <c r="J34" s="68"/>
    </row>
    <row r="43">
      <c r="A43" s="41"/>
    </row>
    <row r="44">
      <c r="A44" s="41"/>
    </row>
    <row r="45">
      <c r="A45" s="41"/>
    </row>
    <row r="77">
      <c r="G77" s="51"/>
      <c r="H77" s="51"/>
      <c r="I77" s="51"/>
      <c r="J77" s="52"/>
    </row>
    <row r="78">
      <c r="G78" s="52"/>
      <c r="H78" s="52"/>
      <c r="I78" s="52"/>
      <c r="J78" s="51"/>
    </row>
    <row r="79">
      <c r="G79" s="52"/>
      <c r="H79" s="52"/>
      <c r="I79" s="52"/>
      <c r="J79" s="51"/>
    </row>
    <row r="80">
      <c r="G80" s="52"/>
      <c r="H80" s="52"/>
      <c r="I80" s="51"/>
      <c r="J80" s="51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75"/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</row>
    <row r="2">
      <c r="A2" s="43">
        <v>45858.0</v>
      </c>
      <c r="B2" s="44" t="s">
        <v>1023</v>
      </c>
      <c r="C2" s="44">
        <v>90.0</v>
      </c>
      <c r="D2" s="44"/>
      <c r="E2" s="44">
        <v>90.0</v>
      </c>
      <c r="F2" s="45"/>
      <c r="G2" s="45"/>
      <c r="H2" s="44"/>
      <c r="I2" s="45"/>
      <c r="J2" s="45"/>
      <c r="K2" s="45"/>
      <c r="L2" s="44"/>
    </row>
    <row r="3">
      <c r="A3" s="43">
        <v>45858.0</v>
      </c>
      <c r="B3" s="44" t="s">
        <v>1024</v>
      </c>
      <c r="C3" s="44">
        <v>153.0</v>
      </c>
      <c r="D3" s="44"/>
      <c r="E3" s="44"/>
      <c r="F3" s="45"/>
      <c r="G3" s="45"/>
      <c r="H3" s="44">
        <v>153.0</v>
      </c>
      <c r="I3" s="45"/>
      <c r="J3" s="45"/>
      <c r="K3" s="45"/>
      <c r="L3" s="44"/>
    </row>
    <row r="4">
      <c r="A4" s="43"/>
      <c r="B4" s="44" t="s">
        <v>1025</v>
      </c>
      <c r="C4" s="44">
        <v>420.13</v>
      </c>
      <c r="D4" s="44">
        <v>420.13</v>
      </c>
      <c r="E4" s="44"/>
      <c r="F4" s="44"/>
      <c r="G4" s="45"/>
      <c r="H4" s="45"/>
      <c r="I4" s="45"/>
      <c r="J4" s="44"/>
      <c r="K4" s="45"/>
      <c r="L4" s="44"/>
    </row>
    <row r="5">
      <c r="A5" s="43"/>
      <c r="B5" s="1" t="s">
        <v>1026</v>
      </c>
      <c r="C5" s="44">
        <v>63.87</v>
      </c>
      <c r="D5" s="44"/>
      <c r="E5" s="44"/>
      <c r="F5" s="45"/>
      <c r="G5" s="45"/>
      <c r="I5" s="45"/>
      <c r="J5" s="45"/>
      <c r="K5" s="44">
        <v>63.87</v>
      </c>
      <c r="L5" s="45"/>
    </row>
    <row r="6">
      <c r="A6" s="43"/>
      <c r="B6" s="44" t="s">
        <v>1027</v>
      </c>
      <c r="C6" s="44">
        <v>33.9</v>
      </c>
      <c r="D6" s="44"/>
      <c r="E6" s="44"/>
      <c r="F6" s="45"/>
      <c r="G6" s="45"/>
      <c r="H6" s="44">
        <v>33.9</v>
      </c>
      <c r="I6" s="45"/>
      <c r="J6" s="44"/>
      <c r="K6" s="45"/>
    </row>
    <row r="7">
      <c r="A7" s="43"/>
      <c r="B7" s="44" t="s">
        <v>1028</v>
      </c>
      <c r="C7" s="44">
        <v>50.0</v>
      </c>
      <c r="D7" s="44">
        <v>50.0</v>
      </c>
      <c r="E7" s="44"/>
      <c r="G7" s="45"/>
      <c r="H7" s="44"/>
      <c r="I7" s="45"/>
      <c r="J7" s="44"/>
      <c r="K7" s="45"/>
      <c r="L7" s="45"/>
    </row>
    <row r="8">
      <c r="A8" s="43"/>
      <c r="B8" s="44"/>
      <c r="C8" s="48" t="s">
        <v>139</v>
      </c>
      <c r="D8" s="48">
        <f t="shared" ref="D8:L8" si="1">SUM(D2:D7)</f>
        <v>470.13</v>
      </c>
      <c r="E8" s="48">
        <f t="shared" si="1"/>
        <v>90</v>
      </c>
      <c r="F8" s="48">
        <f t="shared" si="1"/>
        <v>0</v>
      </c>
      <c r="G8" s="48">
        <f t="shared" si="1"/>
        <v>0</v>
      </c>
      <c r="H8" s="48">
        <f t="shared" si="1"/>
        <v>186.9</v>
      </c>
      <c r="I8" s="48">
        <f t="shared" si="1"/>
        <v>0</v>
      </c>
      <c r="J8" s="48">
        <f t="shared" si="1"/>
        <v>0</v>
      </c>
      <c r="K8" s="48">
        <f t="shared" si="1"/>
        <v>63.87</v>
      </c>
      <c r="L8" s="48">
        <f t="shared" si="1"/>
        <v>0</v>
      </c>
    </row>
    <row r="9">
      <c r="A9" s="43"/>
      <c r="B9" s="44"/>
      <c r="C9" s="44"/>
      <c r="D9" s="45"/>
      <c r="E9" s="45"/>
      <c r="F9" s="45"/>
      <c r="G9" s="45"/>
      <c r="H9" s="45"/>
      <c r="I9" s="45"/>
      <c r="J9" s="44"/>
      <c r="K9" s="45"/>
      <c r="L9" s="44"/>
    </row>
    <row r="10">
      <c r="A10" s="43"/>
      <c r="B10" s="44"/>
      <c r="C10" s="44"/>
      <c r="D10" s="44"/>
      <c r="E10" s="44"/>
      <c r="F10" s="45"/>
      <c r="G10" s="45"/>
      <c r="H10" s="45"/>
      <c r="I10" s="45"/>
      <c r="J10" s="45"/>
      <c r="K10" s="45"/>
      <c r="L10" s="45"/>
    </row>
    <row r="11">
      <c r="A11" s="43"/>
      <c r="B11" s="44"/>
      <c r="C11" s="44"/>
      <c r="D11" s="44"/>
      <c r="E11" s="44"/>
      <c r="F11" s="45"/>
      <c r="G11" s="45"/>
      <c r="H11" s="44"/>
      <c r="I11" s="45"/>
      <c r="J11" s="45"/>
      <c r="K11" s="45"/>
      <c r="L11" s="45"/>
    </row>
    <row r="12">
      <c r="A12" s="43"/>
      <c r="B12" s="44"/>
      <c r="C12" s="44"/>
      <c r="D12" s="44"/>
      <c r="E12" s="44"/>
      <c r="F12" s="45"/>
      <c r="G12" s="45"/>
      <c r="H12" s="45"/>
      <c r="I12" s="45"/>
      <c r="J12" s="45"/>
      <c r="K12" s="45"/>
      <c r="L12" s="45"/>
    </row>
    <row r="13">
      <c r="A13" s="43"/>
      <c r="B13" s="44"/>
      <c r="C13" s="44"/>
      <c r="D13" s="44"/>
      <c r="E13" s="45"/>
      <c r="F13" s="44"/>
      <c r="G13" s="45"/>
      <c r="H13" s="44"/>
      <c r="I13" s="45"/>
      <c r="J13" s="44"/>
      <c r="K13" s="45"/>
      <c r="L13" s="48"/>
    </row>
    <row r="14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</row>
    <row r="15">
      <c r="A15" s="43"/>
      <c r="B15" s="44"/>
      <c r="C15" s="44"/>
      <c r="D15" s="44"/>
      <c r="E15" s="44"/>
      <c r="F15" s="45"/>
      <c r="G15" s="44"/>
      <c r="H15" s="44"/>
      <c r="I15" s="44"/>
      <c r="J15" s="45"/>
      <c r="K15" s="45"/>
      <c r="L15" s="45"/>
    </row>
    <row r="16">
      <c r="A16" s="43"/>
      <c r="B16" s="44"/>
      <c r="C16" s="44"/>
      <c r="D16" s="44"/>
      <c r="E16" s="44"/>
      <c r="F16" s="45"/>
      <c r="G16" s="69"/>
      <c r="H16" s="69"/>
      <c r="I16" s="45"/>
      <c r="J16" s="45"/>
      <c r="K16" s="45"/>
      <c r="L16" s="45"/>
    </row>
    <row r="17">
      <c r="A17" s="43"/>
      <c r="B17" s="44"/>
      <c r="C17" s="44"/>
      <c r="D17" s="44"/>
      <c r="E17" s="44"/>
      <c r="F17" s="45"/>
      <c r="G17" s="69"/>
      <c r="H17" s="69"/>
      <c r="I17" s="45"/>
      <c r="J17" s="45"/>
      <c r="K17" s="45">
        <f>100-K5</f>
        <v>36.13</v>
      </c>
      <c r="L17" s="45"/>
    </row>
    <row r="18">
      <c r="A18" s="43"/>
      <c r="B18" s="44"/>
      <c r="C18" s="44"/>
      <c r="D18" s="44"/>
      <c r="E18" s="44"/>
      <c r="F18" s="45"/>
      <c r="G18" s="77"/>
      <c r="H18" s="69"/>
      <c r="I18" s="45"/>
      <c r="J18" s="45"/>
      <c r="K18" s="45">
        <f>48.5-K17</f>
        <v>12.37</v>
      </c>
      <c r="L18" s="45">
        <f>K18/2</f>
        <v>6.185</v>
      </c>
    </row>
    <row r="19">
      <c r="A19" s="43"/>
      <c r="B19" s="44"/>
      <c r="C19" s="44"/>
      <c r="D19" s="44"/>
      <c r="E19" s="44"/>
    </row>
    <row r="20">
      <c r="A20" s="43"/>
      <c r="B20" s="44"/>
      <c r="C20" s="44"/>
      <c r="D20" s="44"/>
      <c r="E20" s="44"/>
    </row>
    <row r="21">
      <c r="A21" s="43"/>
      <c r="B21" s="44"/>
      <c r="C21" s="44"/>
      <c r="D21" s="44"/>
      <c r="E21" s="44"/>
      <c r="F21" s="44"/>
      <c r="G21" s="44"/>
      <c r="H21" s="44"/>
      <c r="I21" s="44"/>
      <c r="J21" s="44"/>
    </row>
    <row r="22">
      <c r="A22" s="43"/>
      <c r="B22" s="44"/>
      <c r="C22" s="44"/>
      <c r="D22" s="44"/>
    </row>
    <row r="23">
      <c r="A23" s="43"/>
      <c r="B23" s="44"/>
      <c r="C23" s="44"/>
      <c r="D23" s="44"/>
    </row>
    <row r="24">
      <c r="A24" s="43"/>
      <c r="B24" s="44"/>
      <c r="C24" s="44"/>
      <c r="D24" s="44"/>
    </row>
    <row r="25">
      <c r="A25" s="43"/>
      <c r="B25" s="44"/>
      <c r="C25" s="44"/>
      <c r="E25" s="44"/>
    </row>
    <row r="26">
      <c r="A26" s="43"/>
      <c r="B26" s="44"/>
      <c r="C26" s="44"/>
      <c r="E26" s="44"/>
    </row>
    <row r="27">
      <c r="A27" s="43"/>
      <c r="B27" s="44"/>
      <c r="C27" s="44"/>
      <c r="D27" s="44"/>
    </row>
    <row r="28">
      <c r="A28" s="43"/>
      <c r="B28" s="44"/>
      <c r="C28" s="44"/>
    </row>
    <row r="29">
      <c r="A29" s="43"/>
      <c r="B29" s="44"/>
      <c r="C29" s="44"/>
    </row>
    <row r="30">
      <c r="A30" s="43"/>
      <c r="B30" s="44"/>
      <c r="C30" s="44"/>
    </row>
    <row r="31">
      <c r="A31" s="66"/>
      <c r="B31" s="44"/>
      <c r="C31" s="44"/>
    </row>
    <row r="32">
      <c r="B32" s="44"/>
      <c r="C32" s="44"/>
    </row>
    <row r="33">
      <c r="B33" s="44"/>
      <c r="C33" s="44"/>
      <c r="D33" s="67"/>
      <c r="E33" s="67"/>
      <c r="F33" s="68"/>
      <c r="G33" s="68"/>
      <c r="H33" s="67"/>
      <c r="I33" s="68"/>
      <c r="J33" s="68"/>
    </row>
    <row r="34">
      <c r="C34" s="44"/>
      <c r="D34" s="68"/>
      <c r="E34" s="68"/>
      <c r="F34" s="68"/>
      <c r="G34" s="68"/>
      <c r="H34" s="68"/>
      <c r="I34" s="68"/>
      <c r="J34" s="68"/>
    </row>
    <row r="43">
      <c r="A43" s="41"/>
    </row>
    <row r="44">
      <c r="A44" s="41"/>
    </row>
    <row r="45">
      <c r="A45" s="41"/>
    </row>
    <row r="77">
      <c r="G77" s="51"/>
      <c r="H77" s="51"/>
      <c r="I77" s="51"/>
      <c r="J77" s="52"/>
    </row>
    <row r="78">
      <c r="G78" s="52"/>
      <c r="H78" s="52"/>
      <c r="I78" s="52"/>
      <c r="J78" s="51"/>
    </row>
    <row r="79">
      <c r="G79" s="52"/>
      <c r="H79" s="52"/>
      <c r="I79" s="52"/>
      <c r="J79" s="51"/>
    </row>
    <row r="80">
      <c r="G80" s="52"/>
      <c r="H80" s="52"/>
      <c r="I80" s="51"/>
      <c r="J80" s="51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75"/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</row>
    <row r="2">
      <c r="A2" s="43">
        <v>45863.0</v>
      </c>
      <c r="B2" s="44" t="s">
        <v>1029</v>
      </c>
      <c r="C2" s="44">
        <v>42.19</v>
      </c>
      <c r="D2" s="44"/>
      <c r="E2" s="44">
        <v>42.19</v>
      </c>
      <c r="F2" s="45"/>
      <c r="G2" s="45"/>
      <c r="H2" s="44"/>
      <c r="I2" s="45"/>
      <c r="J2" s="45"/>
      <c r="K2" s="45"/>
      <c r="L2" s="44"/>
    </row>
    <row r="3">
      <c r="A3" s="43">
        <v>45861.0</v>
      </c>
      <c r="B3" s="44" t="s">
        <v>558</v>
      </c>
      <c r="C3" s="44">
        <v>99.36</v>
      </c>
      <c r="D3" s="44"/>
      <c r="E3" s="44"/>
      <c r="F3" s="45"/>
      <c r="G3" s="45"/>
      <c r="H3" s="44"/>
      <c r="I3" s="45"/>
      <c r="J3" s="44">
        <v>99.36</v>
      </c>
      <c r="K3" s="45"/>
      <c r="L3" s="44"/>
    </row>
    <row r="4">
      <c r="A4" s="43">
        <v>45861.0</v>
      </c>
      <c r="B4" s="44" t="s">
        <v>1030</v>
      </c>
      <c r="C4" s="44">
        <v>278.0</v>
      </c>
      <c r="D4" s="44"/>
      <c r="E4" s="44"/>
      <c r="F4" s="44"/>
      <c r="G4" s="45"/>
      <c r="H4" s="45"/>
      <c r="I4" s="44">
        <v>278.0</v>
      </c>
      <c r="J4" s="44"/>
      <c r="K4" s="45"/>
      <c r="L4" s="44"/>
    </row>
    <row r="5">
      <c r="A5" s="43">
        <v>45861.0</v>
      </c>
      <c r="B5" s="1" t="s">
        <v>1031</v>
      </c>
      <c r="C5" s="44">
        <v>30.0</v>
      </c>
      <c r="D5" s="44"/>
      <c r="E5" s="44">
        <v>30.0</v>
      </c>
      <c r="F5" s="45"/>
      <c r="G5" s="45"/>
      <c r="I5" s="45"/>
      <c r="J5" s="45"/>
      <c r="K5" s="44"/>
      <c r="L5" s="45"/>
    </row>
    <row r="6">
      <c r="A6" s="43">
        <v>45861.0</v>
      </c>
      <c r="B6" s="44" t="s">
        <v>1032</v>
      </c>
      <c r="C6" s="44">
        <v>20.0</v>
      </c>
      <c r="D6" s="44"/>
      <c r="E6" s="44">
        <v>20.0</v>
      </c>
      <c r="F6" s="45"/>
      <c r="G6" s="45"/>
      <c r="H6" s="44"/>
      <c r="I6" s="45"/>
      <c r="J6" s="44"/>
      <c r="K6" s="45"/>
    </row>
    <row r="7">
      <c r="A7" s="43">
        <v>45861.0</v>
      </c>
      <c r="B7" s="44" t="s">
        <v>1033</v>
      </c>
      <c r="C7" s="44">
        <v>21.0</v>
      </c>
      <c r="D7" s="44"/>
      <c r="E7" s="44">
        <v>21.0</v>
      </c>
      <c r="G7" s="45"/>
      <c r="H7" s="44"/>
      <c r="I7" s="45"/>
      <c r="J7" s="44"/>
      <c r="K7" s="45"/>
      <c r="L7" s="45"/>
    </row>
    <row r="8">
      <c r="A8" s="43">
        <v>45859.0</v>
      </c>
      <c r="B8" s="44" t="s">
        <v>1034</v>
      </c>
      <c r="C8" s="44">
        <v>107.82</v>
      </c>
      <c r="D8" s="44">
        <v>107.82</v>
      </c>
      <c r="E8" s="48"/>
      <c r="F8" s="48"/>
      <c r="G8" s="48"/>
      <c r="H8" s="48"/>
      <c r="I8" s="48"/>
      <c r="J8" s="48"/>
      <c r="K8" s="48"/>
      <c r="L8" s="48"/>
    </row>
    <row r="9">
      <c r="A9" s="43"/>
      <c r="B9" s="44" t="s">
        <v>1035</v>
      </c>
      <c r="C9" s="44">
        <v>5.0</v>
      </c>
      <c r="D9" s="45"/>
      <c r="E9" s="45"/>
      <c r="F9" s="45"/>
      <c r="G9" s="45"/>
      <c r="H9" s="45"/>
      <c r="I9" s="45"/>
      <c r="J9" s="44">
        <v>5.0</v>
      </c>
      <c r="K9" s="45"/>
      <c r="L9" s="44"/>
    </row>
    <row r="10">
      <c r="A10" s="43"/>
      <c r="B10" s="44" t="s">
        <v>1036</v>
      </c>
      <c r="C10" s="44">
        <v>5.0</v>
      </c>
      <c r="D10" s="44"/>
      <c r="E10" s="44"/>
      <c r="F10" s="45"/>
      <c r="G10" s="44">
        <v>5.0</v>
      </c>
      <c r="H10" s="45"/>
      <c r="I10" s="45"/>
      <c r="J10" s="45"/>
      <c r="K10" s="45"/>
      <c r="L10" s="45"/>
    </row>
    <row r="11">
      <c r="A11" s="43"/>
      <c r="B11" s="44" t="s">
        <v>1037</v>
      </c>
      <c r="C11" s="44">
        <v>15.0</v>
      </c>
      <c r="D11" s="44"/>
      <c r="E11" s="44"/>
      <c r="F11" s="45"/>
      <c r="G11" s="44">
        <v>15.0</v>
      </c>
      <c r="H11" s="44"/>
      <c r="I11" s="45"/>
      <c r="J11" s="45"/>
      <c r="K11" s="45"/>
      <c r="L11" s="45"/>
    </row>
    <row r="12">
      <c r="A12" s="43"/>
      <c r="B12" s="44" t="s">
        <v>1038</v>
      </c>
      <c r="C12" s="44">
        <v>6.0</v>
      </c>
      <c r="D12" s="44"/>
      <c r="E12" s="44"/>
      <c r="F12" s="45"/>
      <c r="G12" s="44">
        <v>6.0</v>
      </c>
      <c r="H12" s="45"/>
      <c r="I12" s="45"/>
      <c r="J12" s="45"/>
      <c r="K12" s="45"/>
      <c r="L12" s="45"/>
    </row>
    <row r="13">
      <c r="A13" s="43"/>
      <c r="B13" s="44" t="s">
        <v>1039</v>
      </c>
      <c r="C13" s="44">
        <v>5.0</v>
      </c>
      <c r="D13" s="44"/>
      <c r="E13" s="44">
        <v>5.0</v>
      </c>
      <c r="F13" s="44"/>
      <c r="G13" s="45"/>
      <c r="H13" s="44"/>
      <c r="I13" s="45"/>
      <c r="J13" s="44"/>
      <c r="K13" s="45"/>
      <c r="L13" s="48"/>
    </row>
    <row r="14">
      <c r="A14" s="43"/>
      <c r="B14" s="44" t="s">
        <v>1040</v>
      </c>
      <c r="C14" s="44">
        <v>42.0</v>
      </c>
      <c r="D14" s="44"/>
      <c r="E14" s="44">
        <v>42.0</v>
      </c>
      <c r="F14" s="44"/>
      <c r="G14" s="44"/>
      <c r="H14" s="44"/>
      <c r="I14" s="44"/>
      <c r="J14" s="44"/>
      <c r="K14" s="44"/>
      <c r="L14" s="44"/>
    </row>
    <row r="15">
      <c r="A15" s="43"/>
      <c r="B15" s="44" t="s">
        <v>1041</v>
      </c>
      <c r="C15" s="44">
        <v>47.0</v>
      </c>
      <c r="D15" s="44"/>
      <c r="E15" s="44"/>
      <c r="F15" s="45"/>
      <c r="G15" s="44"/>
      <c r="H15" s="44">
        <v>47.0</v>
      </c>
      <c r="I15" s="44"/>
      <c r="J15" s="45"/>
      <c r="K15" s="45"/>
      <c r="L15" s="45"/>
    </row>
    <row r="16">
      <c r="A16" s="43"/>
      <c r="B16" s="44" t="s">
        <v>1041</v>
      </c>
      <c r="C16" s="44">
        <v>19.0</v>
      </c>
      <c r="D16" s="44"/>
      <c r="E16" s="44"/>
      <c r="F16" s="45"/>
      <c r="G16" s="69"/>
      <c r="H16" s="44">
        <v>19.0</v>
      </c>
      <c r="I16" s="45"/>
      <c r="J16" s="45"/>
      <c r="K16" s="45"/>
      <c r="L16" s="45"/>
    </row>
    <row r="17">
      <c r="A17" s="43"/>
      <c r="B17" s="44" t="s">
        <v>1042</v>
      </c>
      <c r="C17" s="44">
        <v>5.0</v>
      </c>
      <c r="D17" s="44"/>
      <c r="E17" s="44"/>
      <c r="F17" s="45"/>
      <c r="G17" s="69"/>
      <c r="H17" s="44">
        <v>5.0</v>
      </c>
      <c r="I17" s="45"/>
      <c r="J17" s="45"/>
      <c r="K17" s="45"/>
      <c r="L17" s="45"/>
    </row>
    <row r="18">
      <c r="A18" s="43"/>
      <c r="B18" s="44" t="s">
        <v>1043</v>
      </c>
      <c r="C18" s="44">
        <v>19.9</v>
      </c>
      <c r="D18" s="44">
        <v>19.9</v>
      </c>
      <c r="E18" s="44"/>
      <c r="F18" s="45"/>
      <c r="G18" s="77"/>
      <c r="H18" s="69"/>
      <c r="I18" s="45"/>
      <c r="J18" s="45"/>
      <c r="K18" s="45"/>
      <c r="L18" s="45"/>
    </row>
    <row r="19">
      <c r="A19" s="43"/>
      <c r="B19" s="44"/>
      <c r="C19" s="48" t="s">
        <v>139</v>
      </c>
      <c r="D19" s="48">
        <f t="shared" ref="D19:L19" si="1">SUM(D2:D18)</f>
        <v>127.72</v>
      </c>
      <c r="E19" s="48">
        <f t="shared" si="1"/>
        <v>160.19</v>
      </c>
      <c r="F19" s="48">
        <f t="shared" si="1"/>
        <v>0</v>
      </c>
      <c r="G19" s="48">
        <f t="shared" si="1"/>
        <v>26</v>
      </c>
      <c r="H19" s="48">
        <f t="shared" si="1"/>
        <v>71</v>
      </c>
      <c r="I19" s="48">
        <f t="shared" si="1"/>
        <v>278</v>
      </c>
      <c r="J19" s="48">
        <f t="shared" si="1"/>
        <v>104.36</v>
      </c>
      <c r="K19" s="48">
        <f t="shared" si="1"/>
        <v>0</v>
      </c>
      <c r="L19" s="48">
        <f t="shared" si="1"/>
        <v>0</v>
      </c>
    </row>
    <row r="20">
      <c r="A20" s="43"/>
      <c r="B20" s="44"/>
      <c r="C20" s="44"/>
      <c r="D20" s="44"/>
      <c r="E20" s="44"/>
    </row>
    <row r="21">
      <c r="A21" s="43"/>
      <c r="B21" s="44"/>
      <c r="C21" s="44"/>
      <c r="D21" s="44"/>
      <c r="E21" s="44"/>
      <c r="F21" s="44"/>
      <c r="G21" s="44"/>
      <c r="H21" s="44"/>
      <c r="I21" s="44"/>
      <c r="J21" s="44"/>
    </row>
    <row r="22">
      <c r="A22" s="43"/>
      <c r="B22" s="44"/>
      <c r="C22" s="44"/>
      <c r="D22" s="44"/>
    </row>
    <row r="23">
      <c r="A23" s="43"/>
      <c r="B23" s="44"/>
      <c r="C23" s="44"/>
      <c r="D23" s="44"/>
    </row>
    <row r="24">
      <c r="A24" s="43"/>
      <c r="B24" s="44"/>
      <c r="C24" s="44"/>
      <c r="D24" s="44"/>
    </row>
    <row r="25">
      <c r="A25" s="43"/>
      <c r="B25" s="44"/>
      <c r="C25" s="44"/>
      <c r="E25" s="44"/>
      <c r="G25" s="4">
        <f>26-6.19</f>
        <v>19.81</v>
      </c>
    </row>
    <row r="26">
      <c r="A26" s="43"/>
      <c r="B26" s="44"/>
      <c r="C26" s="44"/>
      <c r="E26" s="44"/>
    </row>
    <row r="27">
      <c r="A27" s="43"/>
      <c r="B27" s="44"/>
      <c r="C27" s="44"/>
      <c r="D27" s="44"/>
    </row>
    <row r="28">
      <c r="A28" s="43"/>
      <c r="B28" s="44"/>
      <c r="C28" s="44"/>
    </row>
    <row r="29">
      <c r="A29" s="43"/>
      <c r="B29" s="44"/>
      <c r="C29" s="44"/>
      <c r="E29" s="4">
        <f>116.78+334.91</f>
        <v>451.69</v>
      </c>
    </row>
    <row r="30">
      <c r="A30" s="43"/>
      <c r="B30" s="44"/>
      <c r="C30" s="44"/>
    </row>
    <row r="31">
      <c r="A31" s="66"/>
      <c r="B31" s="44"/>
      <c r="C31" s="44"/>
    </row>
    <row r="32">
      <c r="B32" s="44"/>
      <c r="C32" s="44"/>
    </row>
    <row r="33">
      <c r="B33" s="44"/>
      <c r="C33" s="44"/>
      <c r="D33" s="67"/>
      <c r="E33" s="67"/>
      <c r="F33" s="68"/>
      <c r="G33" s="68"/>
      <c r="H33" s="67"/>
      <c r="I33" s="68"/>
      <c r="J33" s="68"/>
    </row>
    <row r="34">
      <c r="C34" s="44"/>
      <c r="D34" s="68"/>
      <c r="E34" s="68"/>
      <c r="F34" s="68"/>
      <c r="G34" s="68"/>
      <c r="H34" s="68"/>
      <c r="I34" s="68"/>
      <c r="J34" s="68"/>
    </row>
    <row r="43">
      <c r="A43" s="41"/>
    </row>
    <row r="44">
      <c r="A44" s="41"/>
    </row>
    <row r="45">
      <c r="A45" s="41"/>
    </row>
    <row r="77">
      <c r="G77" s="51"/>
      <c r="H77" s="51"/>
      <c r="I77" s="51"/>
      <c r="J77" s="52"/>
    </row>
    <row r="78">
      <c r="G78" s="52"/>
      <c r="H78" s="52"/>
      <c r="I78" s="52"/>
      <c r="J78" s="51"/>
    </row>
    <row r="79">
      <c r="G79" s="52"/>
      <c r="H79" s="52"/>
      <c r="I79" s="52"/>
      <c r="J79" s="51"/>
    </row>
    <row r="80">
      <c r="G80" s="52"/>
      <c r="H80" s="52"/>
      <c r="I80" s="51"/>
      <c r="J80" s="51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75"/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</row>
    <row r="2">
      <c r="A2" s="43">
        <v>45864.0</v>
      </c>
      <c r="B2" s="44" t="s">
        <v>1044</v>
      </c>
      <c r="C2" s="44">
        <v>70.0</v>
      </c>
      <c r="D2" s="44"/>
      <c r="E2" s="44"/>
      <c r="F2" s="45"/>
      <c r="G2" s="45"/>
      <c r="H2" s="44"/>
      <c r="I2" s="45"/>
      <c r="J2" s="45"/>
      <c r="K2" s="45"/>
      <c r="L2" s="44"/>
    </row>
    <row r="3">
      <c r="A3" s="43">
        <v>45864.0</v>
      </c>
      <c r="B3" s="44" t="s">
        <v>1045</v>
      </c>
      <c r="C3" s="44">
        <v>50.5</v>
      </c>
      <c r="D3" s="44"/>
      <c r="E3" s="44"/>
      <c r="F3" s="45"/>
      <c r="G3" s="45"/>
      <c r="H3" s="44"/>
      <c r="I3" s="45"/>
      <c r="J3" s="44"/>
      <c r="K3" s="45"/>
      <c r="L3" s="44"/>
    </row>
    <row r="4">
      <c r="A4" s="43"/>
      <c r="B4" s="44"/>
      <c r="C4" s="44"/>
      <c r="D4" s="44"/>
      <c r="E4" s="44"/>
      <c r="F4" s="44"/>
      <c r="G4" s="45"/>
      <c r="H4" s="45"/>
      <c r="I4" s="44"/>
      <c r="J4" s="44"/>
      <c r="K4" s="45"/>
      <c r="L4" s="44"/>
    </row>
    <row r="5">
      <c r="A5" s="43"/>
      <c r="B5" s="1" t="s">
        <v>1020</v>
      </c>
      <c r="C5" s="44"/>
      <c r="D5" s="44"/>
      <c r="E5" s="44"/>
      <c r="F5" s="45"/>
      <c r="G5" s="45"/>
      <c r="I5" s="45"/>
      <c r="J5" s="45"/>
      <c r="K5" s="44"/>
      <c r="L5" s="45"/>
    </row>
    <row r="6">
      <c r="A6" s="43"/>
      <c r="B6" s="44"/>
      <c r="C6" s="44"/>
      <c r="D6" s="44"/>
      <c r="E6" s="44"/>
      <c r="F6" s="45"/>
      <c r="G6" s="45"/>
      <c r="H6" s="44"/>
      <c r="I6" s="45"/>
      <c r="J6" s="44"/>
      <c r="K6" s="45"/>
    </row>
    <row r="7">
      <c r="A7" s="43"/>
      <c r="B7" s="44"/>
      <c r="C7" s="44"/>
      <c r="D7" s="44"/>
      <c r="E7" s="44"/>
      <c r="G7" s="45"/>
      <c r="H7" s="44"/>
      <c r="I7" s="45"/>
      <c r="J7" s="44"/>
      <c r="K7" s="45"/>
      <c r="L7" s="45"/>
    </row>
    <row r="8">
      <c r="A8" s="43"/>
      <c r="B8" s="44"/>
      <c r="C8" s="44"/>
      <c r="D8" s="44"/>
      <c r="E8" s="48"/>
      <c r="F8" s="48"/>
      <c r="G8" s="48"/>
      <c r="H8" s="48"/>
      <c r="I8" s="48"/>
      <c r="J8" s="48"/>
      <c r="K8" s="48"/>
      <c r="L8" s="48"/>
    </row>
    <row r="9">
      <c r="A9" s="43"/>
      <c r="B9" s="44"/>
      <c r="C9" s="44"/>
      <c r="D9" s="45"/>
      <c r="E9" s="45"/>
      <c r="F9" s="45"/>
      <c r="G9" s="45"/>
      <c r="H9" s="45"/>
      <c r="I9" s="45"/>
      <c r="J9" s="44"/>
      <c r="K9" s="45"/>
      <c r="L9" s="44"/>
    </row>
    <row r="10">
      <c r="A10" s="43"/>
      <c r="B10" s="44"/>
      <c r="C10" s="44"/>
      <c r="D10" s="44"/>
      <c r="E10" s="44"/>
      <c r="F10" s="45"/>
      <c r="G10" s="44"/>
      <c r="H10" s="45"/>
      <c r="I10" s="45"/>
      <c r="J10" s="45"/>
      <c r="K10" s="45"/>
      <c r="L10" s="45"/>
    </row>
    <row r="11">
      <c r="A11" s="43"/>
      <c r="B11" s="44"/>
      <c r="C11" s="44"/>
      <c r="D11" s="44"/>
      <c r="E11" s="44"/>
      <c r="F11" s="45"/>
      <c r="G11" s="44"/>
      <c r="H11" s="44"/>
      <c r="I11" s="45"/>
      <c r="J11" s="45"/>
      <c r="K11" s="45"/>
      <c r="L11" s="45"/>
    </row>
    <row r="12">
      <c r="A12" s="43"/>
      <c r="B12" s="44"/>
      <c r="C12" s="44"/>
      <c r="D12" s="44"/>
      <c r="E12" s="44"/>
      <c r="F12" s="45"/>
      <c r="G12" s="44"/>
      <c r="H12" s="45"/>
      <c r="I12" s="45"/>
      <c r="J12" s="45"/>
      <c r="K12" s="45"/>
      <c r="L12" s="45"/>
    </row>
    <row r="13">
      <c r="A13" s="43"/>
      <c r="B13" s="44"/>
      <c r="C13" s="44"/>
      <c r="D13" s="44"/>
      <c r="E13" s="44"/>
      <c r="F13" s="44"/>
      <c r="G13" s="45"/>
      <c r="H13" s="44"/>
      <c r="I13" s="45"/>
      <c r="J13" s="44"/>
      <c r="K13" s="45"/>
      <c r="L13" s="48"/>
    </row>
    <row r="14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</row>
    <row r="15">
      <c r="A15" s="43"/>
      <c r="B15" s="44"/>
      <c r="C15" s="44"/>
      <c r="D15" s="44"/>
      <c r="E15" s="44"/>
      <c r="F15" s="45"/>
      <c r="G15" s="44"/>
      <c r="H15" s="44"/>
      <c r="I15" s="44"/>
      <c r="J15" s="45"/>
      <c r="K15" s="45"/>
      <c r="L15" s="45"/>
    </row>
    <row r="16">
      <c r="A16" s="43"/>
      <c r="B16" s="44"/>
      <c r="C16" s="44"/>
      <c r="D16" s="44"/>
      <c r="E16" s="44"/>
      <c r="F16" s="45"/>
      <c r="G16" s="69"/>
      <c r="H16" s="44"/>
      <c r="I16" s="45"/>
      <c r="J16" s="45"/>
      <c r="K16" s="45"/>
      <c r="L16" s="45"/>
    </row>
    <row r="17">
      <c r="A17" s="43"/>
      <c r="B17" s="44"/>
      <c r="C17" s="44"/>
      <c r="D17" s="44"/>
      <c r="E17" s="44"/>
      <c r="F17" s="45"/>
      <c r="G17" s="69"/>
      <c r="H17" s="44"/>
      <c r="I17" s="45"/>
      <c r="J17" s="45"/>
      <c r="K17" s="45"/>
      <c r="L17" s="45"/>
    </row>
    <row r="18">
      <c r="A18" s="43"/>
      <c r="B18" s="44"/>
      <c r="C18" s="44"/>
      <c r="D18" s="44"/>
      <c r="E18" s="44"/>
      <c r="F18" s="45"/>
      <c r="G18" s="77"/>
      <c r="H18" s="69"/>
      <c r="I18" s="45"/>
      <c r="J18" s="45"/>
      <c r="K18" s="45"/>
      <c r="L18" s="45"/>
    </row>
    <row r="19">
      <c r="A19" s="43"/>
      <c r="B19" s="44"/>
      <c r="C19" s="48"/>
      <c r="D19" s="48"/>
      <c r="E19" s="48"/>
      <c r="F19" s="48"/>
      <c r="G19" s="48"/>
      <c r="H19" s="48"/>
      <c r="I19" s="48"/>
      <c r="J19" s="48"/>
      <c r="K19" s="48"/>
      <c r="L19" s="48"/>
    </row>
    <row r="20">
      <c r="A20" s="43"/>
      <c r="B20" s="44"/>
      <c r="C20" s="44"/>
      <c r="D20" s="44"/>
      <c r="E20" s="44"/>
    </row>
    <row r="21">
      <c r="A21" s="43"/>
      <c r="B21" s="44"/>
      <c r="C21" s="44"/>
      <c r="D21" s="44"/>
      <c r="E21" s="44"/>
      <c r="F21" s="44"/>
      <c r="G21" s="44"/>
      <c r="H21" s="44"/>
      <c r="I21" s="44"/>
      <c r="J21" s="44"/>
    </row>
    <row r="22">
      <c r="A22" s="43"/>
      <c r="B22" s="44"/>
      <c r="C22" s="44"/>
      <c r="D22" s="44"/>
    </row>
    <row r="23">
      <c r="A23" s="43"/>
      <c r="B23" s="44"/>
      <c r="C23" s="44"/>
      <c r="D23" s="44"/>
    </row>
    <row r="24">
      <c r="A24" s="43"/>
      <c r="B24" s="44"/>
      <c r="C24" s="44"/>
      <c r="D24" s="44"/>
    </row>
    <row r="25">
      <c r="A25" s="43"/>
      <c r="B25" s="44"/>
      <c r="C25" s="44"/>
      <c r="E25" s="44"/>
    </row>
    <row r="26">
      <c r="A26" s="43"/>
      <c r="B26" s="44"/>
      <c r="C26" s="44"/>
      <c r="E26" s="44"/>
    </row>
    <row r="27">
      <c r="A27" s="43"/>
      <c r="B27" s="44"/>
      <c r="C27" s="44"/>
      <c r="D27" s="44"/>
    </row>
    <row r="28">
      <c r="A28" s="43"/>
      <c r="B28" s="44"/>
      <c r="C28" s="44"/>
    </row>
    <row r="29">
      <c r="A29" s="43"/>
      <c r="B29" s="44"/>
      <c r="C29" s="44"/>
    </row>
    <row r="30">
      <c r="A30" s="43"/>
      <c r="B30" s="44"/>
      <c r="C30" s="44"/>
    </row>
    <row r="31">
      <c r="A31" s="66"/>
      <c r="B31" s="44"/>
      <c r="C31" s="44"/>
    </row>
    <row r="32">
      <c r="B32" s="44"/>
      <c r="C32" s="44"/>
    </row>
    <row r="33">
      <c r="B33" s="44"/>
      <c r="C33" s="44"/>
      <c r="D33" s="67"/>
      <c r="E33" s="67"/>
      <c r="F33" s="68"/>
      <c r="G33" s="68"/>
      <c r="H33" s="67"/>
      <c r="I33" s="68"/>
      <c r="J33" s="68"/>
    </row>
    <row r="34">
      <c r="C34" s="44"/>
      <c r="D34" s="68"/>
      <c r="E34" s="68"/>
      <c r="F34" s="68"/>
      <c r="G34" s="68"/>
      <c r="H34" s="68"/>
      <c r="I34" s="68"/>
      <c r="J34" s="68"/>
    </row>
    <row r="43">
      <c r="A43" s="41"/>
    </row>
    <row r="44">
      <c r="A44" s="41"/>
    </row>
    <row r="45">
      <c r="A45" s="41"/>
    </row>
    <row r="77">
      <c r="G77" s="51"/>
      <c r="H77" s="51"/>
      <c r="I77" s="51"/>
      <c r="J77" s="52"/>
    </row>
    <row r="78">
      <c r="G78" s="52"/>
      <c r="H78" s="52"/>
      <c r="I78" s="52"/>
      <c r="J78" s="51"/>
    </row>
    <row r="79">
      <c r="G79" s="52"/>
      <c r="H79" s="52"/>
      <c r="I79" s="52"/>
      <c r="J79" s="51"/>
    </row>
    <row r="80">
      <c r="G80" s="52"/>
      <c r="H80" s="52"/>
      <c r="I80" s="51"/>
      <c r="J80" s="51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75"/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</row>
    <row r="2">
      <c r="A2" s="43"/>
      <c r="B2" s="8" t="s">
        <v>1046</v>
      </c>
      <c r="C2" s="30"/>
      <c r="D2" s="44"/>
      <c r="E2" s="44"/>
      <c r="F2" s="45"/>
      <c r="G2" s="45"/>
      <c r="H2" s="44"/>
      <c r="I2" s="45"/>
      <c r="J2" s="45"/>
      <c r="K2" s="45"/>
      <c r="L2" s="44"/>
    </row>
    <row r="3">
      <c r="A3" s="43"/>
      <c r="B3" s="44" t="s">
        <v>1047</v>
      </c>
      <c r="C3" s="78">
        <v>6.9</v>
      </c>
      <c r="D3" s="44"/>
      <c r="E3" s="44"/>
      <c r="F3" s="45"/>
      <c r="G3" s="45"/>
      <c r="H3" s="44"/>
      <c r="I3" s="45"/>
      <c r="J3" s="45"/>
      <c r="K3" s="45"/>
      <c r="L3" s="44"/>
    </row>
    <row r="4">
      <c r="A4" s="43"/>
      <c r="B4" s="44" t="s">
        <v>1048</v>
      </c>
      <c r="C4" s="78">
        <v>15.9</v>
      </c>
      <c r="D4" s="44"/>
      <c r="E4" s="44"/>
      <c r="F4" s="45"/>
      <c r="G4" s="45"/>
      <c r="H4" s="44"/>
      <c r="I4" s="45"/>
      <c r="J4" s="44"/>
      <c r="K4" s="45"/>
      <c r="L4" s="44"/>
    </row>
    <row r="5">
      <c r="A5" s="43"/>
      <c r="B5" s="44" t="s">
        <v>1049</v>
      </c>
      <c r="C5" s="78">
        <v>8.9</v>
      </c>
      <c r="D5" s="44"/>
      <c r="E5" s="44"/>
      <c r="F5" s="44"/>
      <c r="G5" s="45"/>
      <c r="H5" s="45"/>
      <c r="I5" s="44"/>
      <c r="J5" s="44"/>
      <c r="K5" s="45"/>
      <c r="L5" s="44"/>
    </row>
    <row r="6">
      <c r="A6" s="43"/>
      <c r="B6" s="44" t="s">
        <v>1050</v>
      </c>
      <c r="C6" s="78">
        <v>27.7</v>
      </c>
      <c r="D6" s="44"/>
      <c r="E6" s="44"/>
      <c r="F6" s="45"/>
      <c r="G6" s="45"/>
      <c r="I6" s="45"/>
      <c r="J6" s="45"/>
      <c r="K6" s="44"/>
      <c r="L6" s="45"/>
    </row>
    <row r="7">
      <c r="A7" s="43"/>
      <c r="B7" s="44" t="s">
        <v>1051</v>
      </c>
      <c r="C7" s="78">
        <v>18.0</v>
      </c>
      <c r="D7" s="44"/>
      <c r="E7" s="44"/>
      <c r="F7" s="45"/>
      <c r="G7" s="45"/>
      <c r="H7" s="44"/>
      <c r="I7" s="45"/>
      <c r="J7" s="44"/>
      <c r="K7" s="45"/>
    </row>
    <row r="8">
      <c r="A8" s="43"/>
      <c r="B8" s="44" t="s">
        <v>1052</v>
      </c>
      <c r="C8" s="78">
        <v>30.9</v>
      </c>
      <c r="D8" s="44"/>
      <c r="E8" s="44"/>
      <c r="G8" s="45"/>
      <c r="H8" s="44"/>
      <c r="I8" s="45"/>
      <c r="J8" s="44"/>
      <c r="K8" s="45"/>
      <c r="L8" s="45"/>
    </row>
    <row r="9">
      <c r="A9" s="43"/>
      <c r="B9" s="44" t="s">
        <v>1053</v>
      </c>
      <c r="C9" s="78">
        <v>44.0</v>
      </c>
      <c r="D9" s="44"/>
      <c r="E9" s="48"/>
      <c r="F9" s="48"/>
      <c r="G9" s="48"/>
      <c r="H9" s="48"/>
      <c r="I9" s="48"/>
      <c r="J9" s="48"/>
      <c r="K9" s="48"/>
      <c r="L9" s="48"/>
    </row>
    <row r="10">
      <c r="A10" s="43"/>
      <c r="B10" s="44" t="s">
        <v>1054</v>
      </c>
      <c r="C10" s="78">
        <v>22.0</v>
      </c>
      <c r="D10" s="45"/>
      <c r="E10" s="45"/>
      <c r="F10" s="45"/>
      <c r="G10" s="45"/>
      <c r="H10" s="45"/>
      <c r="I10" s="45"/>
      <c r="J10" s="44"/>
      <c r="K10" s="45"/>
      <c r="L10" s="44"/>
    </row>
    <row r="11">
      <c r="A11" s="43"/>
      <c r="B11" s="79" t="s">
        <v>1055</v>
      </c>
      <c r="C11" s="80">
        <v>26.9</v>
      </c>
      <c r="D11" s="44"/>
      <c r="E11" s="44"/>
      <c r="F11" s="45"/>
      <c r="G11" s="44"/>
      <c r="H11" s="45"/>
      <c r="I11" s="45"/>
      <c r="J11" s="45"/>
      <c r="K11" s="45"/>
      <c r="L11" s="45"/>
    </row>
    <row r="12">
      <c r="A12" s="43"/>
      <c r="B12" s="79" t="s">
        <v>1056</v>
      </c>
      <c r="C12" s="80">
        <v>9.9</v>
      </c>
      <c r="D12" s="44"/>
      <c r="E12" s="44"/>
      <c r="F12" s="45"/>
      <c r="G12" s="44"/>
      <c r="H12" s="44"/>
      <c r="I12" s="45"/>
      <c r="J12" s="45"/>
      <c r="K12" s="45"/>
      <c r="L12" s="45"/>
    </row>
    <row r="13">
      <c r="A13" s="43"/>
      <c r="B13" s="81" t="s">
        <v>1057</v>
      </c>
      <c r="C13" s="80">
        <v>15.9</v>
      </c>
      <c r="D13" s="44"/>
      <c r="E13" s="44"/>
      <c r="F13" s="45"/>
      <c r="G13" s="44"/>
      <c r="H13" s="45"/>
      <c r="I13" s="45"/>
      <c r="J13" s="45"/>
      <c r="K13" s="45"/>
      <c r="L13" s="45"/>
    </row>
    <row r="14">
      <c r="A14" s="43"/>
      <c r="B14" s="1" t="s">
        <v>1058</v>
      </c>
      <c r="C14" s="78">
        <v>50.0</v>
      </c>
      <c r="D14" s="44"/>
      <c r="E14" s="44"/>
      <c r="F14" s="44"/>
      <c r="G14" s="45"/>
      <c r="H14" s="44"/>
      <c r="I14" s="45"/>
      <c r="J14" s="44"/>
      <c r="K14" s="45"/>
      <c r="L14" s="48"/>
    </row>
    <row r="15">
      <c r="A15" s="43"/>
      <c r="B15" s="44" t="s">
        <v>1059</v>
      </c>
      <c r="C15" s="78">
        <v>140.0</v>
      </c>
      <c r="D15" s="44"/>
      <c r="E15" s="44"/>
      <c r="F15" s="44"/>
      <c r="G15" s="44"/>
      <c r="H15" s="44"/>
      <c r="I15" s="44"/>
      <c r="J15" s="44"/>
      <c r="K15" s="44"/>
      <c r="L15" s="44"/>
    </row>
    <row r="16">
      <c r="A16" s="43"/>
      <c r="B16" s="8" t="s">
        <v>1060</v>
      </c>
      <c r="C16" s="30"/>
      <c r="D16" s="44"/>
      <c r="E16" s="44"/>
      <c r="F16" s="45"/>
      <c r="G16" s="44"/>
      <c r="H16" s="44"/>
      <c r="I16" s="44"/>
      <c r="J16" s="45"/>
      <c r="K16" s="45"/>
      <c r="L16" s="45"/>
    </row>
    <row r="17">
      <c r="A17" s="43"/>
      <c r="B17" s="44" t="s">
        <v>1061</v>
      </c>
      <c r="C17" s="30">
        <v>3.0</v>
      </c>
      <c r="D17" s="44"/>
      <c r="E17" s="44"/>
      <c r="F17" s="45"/>
      <c r="G17" s="69"/>
      <c r="H17" s="30">
        <v>3.0</v>
      </c>
      <c r="I17" s="45"/>
      <c r="J17" s="45"/>
      <c r="K17" s="45"/>
      <c r="L17" s="45"/>
    </row>
    <row r="18">
      <c r="A18" s="43"/>
      <c r="B18" s="1" t="s">
        <v>1062</v>
      </c>
      <c r="C18" s="78">
        <f>587.49-sum(C3:C13)</f>
        <v>360.49</v>
      </c>
      <c r="D18" s="30">
        <v>360.49</v>
      </c>
      <c r="E18" s="44"/>
      <c r="F18" s="45"/>
      <c r="G18" s="69"/>
      <c r="H18" s="44"/>
      <c r="I18" s="45"/>
      <c r="J18" s="30">
        <v>127.53</v>
      </c>
      <c r="K18" s="45"/>
      <c r="L18" s="45"/>
    </row>
    <row r="19">
      <c r="A19" s="43"/>
      <c r="B19" s="44" t="s">
        <v>1063</v>
      </c>
      <c r="C19" s="78">
        <v>127.53</v>
      </c>
      <c r="D19" s="44"/>
      <c r="E19" s="44"/>
      <c r="F19" s="45"/>
      <c r="G19" s="77"/>
      <c r="H19" s="69"/>
      <c r="I19" s="45"/>
      <c r="J19" s="45"/>
      <c r="K19" s="45"/>
      <c r="L19" s="45"/>
    </row>
    <row r="20">
      <c r="A20" s="43"/>
      <c r="B20" s="44" t="s">
        <v>1064</v>
      </c>
      <c r="C20" s="78">
        <v>81.5</v>
      </c>
      <c r="D20" s="48"/>
      <c r="E20" s="48"/>
      <c r="F20" s="48"/>
      <c r="G20" s="48"/>
      <c r="H20" s="30">
        <v>81.5</v>
      </c>
      <c r="I20" s="48"/>
      <c r="J20" s="48"/>
      <c r="K20" s="48"/>
      <c r="L20" s="48"/>
    </row>
    <row r="21">
      <c r="A21" s="43"/>
      <c r="B21" s="44" t="s">
        <v>19</v>
      </c>
      <c r="C21" s="78">
        <v>85.6</v>
      </c>
      <c r="D21" s="44"/>
      <c r="E21" s="44"/>
      <c r="H21" s="30">
        <v>85.6</v>
      </c>
    </row>
    <row r="22">
      <c r="A22" s="43"/>
      <c r="B22" s="1" t="s">
        <v>683</v>
      </c>
      <c r="C22" s="2">
        <v>91.98</v>
      </c>
      <c r="D22" s="44"/>
      <c r="E22" s="1">
        <v>91.98</v>
      </c>
      <c r="F22" s="44"/>
      <c r="G22" s="44"/>
      <c r="H22" s="44"/>
      <c r="I22" s="44"/>
      <c r="J22" s="44"/>
    </row>
    <row r="23">
      <c r="A23" s="43"/>
      <c r="B23" s="1" t="s">
        <v>272</v>
      </c>
      <c r="C23" s="3">
        <f>14.5+12.5</f>
        <v>27</v>
      </c>
      <c r="D23" s="44"/>
      <c r="H23" s="4">
        <f>14.5+12.5</f>
        <v>27</v>
      </c>
    </row>
    <row r="24">
      <c r="A24" s="43"/>
      <c r="B24" s="1" t="s">
        <v>1065</v>
      </c>
      <c r="C24" s="2">
        <v>27.09</v>
      </c>
      <c r="D24" s="1">
        <v>27.09</v>
      </c>
    </row>
    <row r="25">
      <c r="A25" s="43"/>
      <c r="C25" s="30" t="s">
        <v>637</v>
      </c>
      <c r="D25" s="44">
        <f t="shared" ref="D25:J25" si="1">sum(D16:D24)</f>
        <v>387.58</v>
      </c>
      <c r="E25" s="44">
        <f t="shared" si="1"/>
        <v>91.98</v>
      </c>
      <c r="F25" s="44">
        <f t="shared" si="1"/>
        <v>0</v>
      </c>
      <c r="G25" s="44">
        <f t="shared" si="1"/>
        <v>0</v>
      </c>
      <c r="H25" s="44">
        <f t="shared" si="1"/>
        <v>197.1</v>
      </c>
      <c r="I25" s="44">
        <f t="shared" si="1"/>
        <v>0</v>
      </c>
      <c r="J25" s="44">
        <f t="shared" si="1"/>
        <v>127.53</v>
      </c>
    </row>
    <row r="26">
      <c r="A26" s="43"/>
      <c r="C26" s="82"/>
      <c r="D26" s="44"/>
      <c r="E26" s="44"/>
    </row>
    <row r="27">
      <c r="A27" s="43"/>
      <c r="B27" s="44"/>
      <c r="C27" s="30"/>
      <c r="E27" s="44"/>
      <c r="I27" s="1" t="s">
        <v>1066</v>
      </c>
    </row>
    <row r="28">
      <c r="A28" s="43"/>
      <c r="B28" s="44" t="s">
        <v>1067</v>
      </c>
      <c r="C28" s="30"/>
      <c r="D28" s="44"/>
    </row>
    <row r="29">
      <c r="A29" s="43"/>
      <c r="B29" s="44"/>
      <c r="C29" s="30"/>
      <c r="G29" s="1">
        <v>801.19</v>
      </c>
    </row>
    <row r="30">
      <c r="A30" s="43"/>
      <c r="B30" s="44"/>
      <c r="C30" s="30"/>
    </row>
    <row r="31">
      <c r="A31" s="43"/>
      <c r="B31" s="44"/>
      <c r="C31" s="30"/>
    </row>
    <row r="32">
      <c r="A32" s="66"/>
      <c r="B32" s="44"/>
      <c r="C32" s="30"/>
    </row>
    <row r="33">
      <c r="B33" s="44"/>
      <c r="C33" s="30"/>
    </row>
    <row r="34">
      <c r="B34" s="44"/>
      <c r="C34" s="30"/>
      <c r="D34" s="67"/>
      <c r="E34" s="67"/>
      <c r="F34" s="68"/>
      <c r="G34" s="68"/>
      <c r="H34" s="67"/>
      <c r="I34" s="68"/>
      <c r="J34" s="68"/>
    </row>
    <row r="35">
      <c r="C35" s="30"/>
      <c r="D35" s="68"/>
      <c r="E35" s="68"/>
      <c r="F35" s="68"/>
      <c r="G35" s="68"/>
      <c r="H35" s="68"/>
      <c r="I35" s="68"/>
      <c r="J35" s="68"/>
    </row>
    <row r="36">
      <c r="C36" s="82"/>
    </row>
    <row r="37">
      <c r="C37" s="82"/>
    </row>
    <row r="38">
      <c r="C38" s="82"/>
    </row>
    <row r="39">
      <c r="C39" s="82"/>
    </row>
    <row r="40">
      <c r="C40" s="82"/>
    </row>
    <row r="41">
      <c r="C41" s="82"/>
    </row>
    <row r="42">
      <c r="C42" s="82"/>
    </row>
    <row r="43">
      <c r="C43" s="82"/>
    </row>
    <row r="44">
      <c r="A44" s="41"/>
      <c r="C44" s="82"/>
    </row>
    <row r="45">
      <c r="A45" s="41"/>
      <c r="C45" s="82"/>
    </row>
    <row r="46">
      <c r="A46" s="41"/>
      <c r="C46" s="82"/>
    </row>
    <row r="47">
      <c r="C47" s="82"/>
    </row>
    <row r="48">
      <c r="C48" s="82"/>
    </row>
    <row r="49">
      <c r="C49" s="82"/>
    </row>
    <row r="50">
      <c r="C50" s="82"/>
    </row>
    <row r="51">
      <c r="C51" s="82"/>
    </row>
    <row r="52">
      <c r="C52" s="82"/>
    </row>
    <row r="53">
      <c r="C53" s="82"/>
    </row>
    <row r="54">
      <c r="C54" s="82"/>
    </row>
    <row r="55">
      <c r="C55" s="82"/>
    </row>
    <row r="56">
      <c r="C56" s="82"/>
    </row>
    <row r="57">
      <c r="C57" s="82"/>
    </row>
    <row r="58">
      <c r="C58" s="82"/>
    </row>
    <row r="59">
      <c r="C59" s="82"/>
    </row>
    <row r="60">
      <c r="C60" s="82"/>
    </row>
    <row r="61">
      <c r="C61" s="82"/>
    </row>
    <row r="62">
      <c r="C62" s="82"/>
    </row>
    <row r="63">
      <c r="C63" s="82"/>
    </row>
    <row r="64">
      <c r="C64" s="82"/>
    </row>
    <row r="65">
      <c r="C65" s="82"/>
    </row>
    <row r="66">
      <c r="C66" s="82"/>
    </row>
    <row r="67">
      <c r="C67" s="82"/>
    </row>
    <row r="68">
      <c r="C68" s="82"/>
    </row>
    <row r="69">
      <c r="C69" s="82"/>
    </row>
    <row r="70">
      <c r="C70" s="82"/>
    </row>
    <row r="71">
      <c r="C71" s="82"/>
    </row>
    <row r="72">
      <c r="C72" s="82"/>
    </row>
    <row r="73">
      <c r="C73" s="82"/>
    </row>
    <row r="74">
      <c r="C74" s="82"/>
    </row>
    <row r="75">
      <c r="C75" s="82"/>
    </row>
    <row r="76">
      <c r="C76" s="82"/>
    </row>
    <row r="77">
      <c r="C77" s="82"/>
    </row>
    <row r="78">
      <c r="C78" s="82"/>
      <c r="G78" s="51"/>
      <c r="H78" s="51"/>
      <c r="I78" s="51"/>
      <c r="J78" s="52"/>
    </row>
    <row r="79">
      <c r="C79" s="82"/>
      <c r="G79" s="52"/>
      <c r="H79" s="52"/>
      <c r="I79" s="52"/>
      <c r="J79" s="51"/>
    </row>
    <row r="80">
      <c r="C80" s="82"/>
      <c r="G80" s="52"/>
      <c r="H80" s="52"/>
      <c r="I80" s="52"/>
      <c r="J80" s="51"/>
    </row>
    <row r="81">
      <c r="C81" s="82"/>
      <c r="G81" s="52"/>
      <c r="H81" s="52"/>
      <c r="I81" s="51"/>
      <c r="J81" s="51"/>
    </row>
    <row r="82">
      <c r="C82" s="82"/>
    </row>
    <row r="83">
      <c r="C83" s="82"/>
    </row>
    <row r="84">
      <c r="C84" s="82"/>
    </row>
    <row r="85">
      <c r="C85" s="82"/>
    </row>
    <row r="86">
      <c r="C86" s="82"/>
    </row>
    <row r="87">
      <c r="C87" s="82"/>
    </row>
    <row r="88">
      <c r="C88" s="82"/>
    </row>
    <row r="89">
      <c r="C89" s="82"/>
    </row>
    <row r="90">
      <c r="C90" s="82"/>
    </row>
    <row r="91">
      <c r="C91" s="82"/>
    </row>
    <row r="92">
      <c r="C92" s="82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75"/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</row>
    <row r="2">
      <c r="A2" s="43">
        <v>45875.0</v>
      </c>
      <c r="B2" s="44" t="s">
        <v>1068</v>
      </c>
      <c r="C2" s="30">
        <v>199.9</v>
      </c>
      <c r="D2" s="44"/>
      <c r="E2" s="44"/>
      <c r="F2" s="45"/>
      <c r="G2" s="45"/>
      <c r="H2" s="44"/>
      <c r="I2" s="45"/>
      <c r="J2" s="45"/>
      <c r="K2" s="44">
        <v>100.0</v>
      </c>
      <c r="L2" s="44"/>
    </row>
    <row r="3">
      <c r="A3" s="43">
        <v>45875.0</v>
      </c>
      <c r="B3" s="44" t="s">
        <v>1069</v>
      </c>
      <c r="C3" s="30">
        <v>132.0</v>
      </c>
      <c r="D3" s="44"/>
      <c r="E3" s="44"/>
      <c r="F3" s="45"/>
      <c r="G3" s="45"/>
      <c r="H3" s="30">
        <v>132.0</v>
      </c>
      <c r="I3" s="45"/>
      <c r="J3" s="45"/>
      <c r="K3" s="45"/>
      <c r="L3" s="44"/>
    </row>
    <row r="4">
      <c r="A4" s="43">
        <v>45874.0</v>
      </c>
      <c r="B4" s="44" t="s">
        <v>448</v>
      </c>
      <c r="C4" s="30">
        <v>57.5</v>
      </c>
      <c r="D4" s="44"/>
      <c r="E4" s="30">
        <v>57.5</v>
      </c>
      <c r="F4" s="45"/>
      <c r="G4" s="45"/>
      <c r="H4" s="44"/>
      <c r="I4" s="45"/>
      <c r="J4" s="44"/>
      <c r="K4" s="45"/>
      <c r="L4" s="44"/>
    </row>
    <row r="5">
      <c r="A5" s="43"/>
      <c r="B5" s="44"/>
      <c r="C5" s="30"/>
      <c r="D5" s="44"/>
      <c r="E5" s="44"/>
      <c r="F5" s="44"/>
      <c r="G5" s="45"/>
      <c r="H5" s="45"/>
      <c r="I5" s="44"/>
      <c r="J5" s="44"/>
      <c r="K5" s="45"/>
      <c r="L5" s="44"/>
    </row>
    <row r="6">
      <c r="A6" s="43"/>
      <c r="B6" s="44"/>
      <c r="C6" s="30"/>
      <c r="D6" s="44"/>
      <c r="E6" s="44"/>
      <c r="F6" s="45"/>
      <c r="G6" s="45"/>
      <c r="I6" s="45"/>
      <c r="J6" s="45"/>
      <c r="K6" s="44"/>
      <c r="L6" s="45"/>
    </row>
    <row r="7">
      <c r="A7" s="43"/>
      <c r="B7" s="44"/>
      <c r="C7" s="30"/>
      <c r="D7" s="44"/>
      <c r="E7" s="44"/>
      <c r="F7" s="45"/>
      <c r="G7" s="45"/>
      <c r="H7" s="44"/>
      <c r="I7" s="45"/>
      <c r="J7" s="44"/>
      <c r="K7" s="45"/>
    </row>
    <row r="8">
      <c r="A8" s="43"/>
      <c r="B8" s="44"/>
      <c r="C8" s="30"/>
      <c r="D8" s="44"/>
      <c r="E8" s="44"/>
      <c r="G8" s="45"/>
      <c r="H8" s="44"/>
      <c r="I8" s="45"/>
      <c r="J8" s="44"/>
      <c r="K8" s="45"/>
      <c r="L8" s="45"/>
    </row>
    <row r="9">
      <c r="A9" s="43"/>
      <c r="B9" s="44"/>
      <c r="C9" s="30"/>
      <c r="D9" s="44"/>
      <c r="E9" s="48"/>
      <c r="F9" s="48"/>
      <c r="G9" s="48"/>
      <c r="H9" s="48"/>
      <c r="I9" s="48"/>
      <c r="J9" s="48"/>
      <c r="K9" s="48"/>
      <c r="L9" s="48"/>
    </row>
    <row r="10">
      <c r="A10" s="43"/>
      <c r="B10" s="44"/>
      <c r="C10" s="30"/>
      <c r="D10" s="45"/>
      <c r="E10" s="45"/>
      <c r="F10" s="45"/>
      <c r="G10" s="45"/>
      <c r="H10" s="45"/>
      <c r="I10" s="45"/>
      <c r="J10" s="44"/>
      <c r="K10" s="45"/>
      <c r="L10" s="44"/>
    </row>
    <row r="11">
      <c r="A11" s="43"/>
      <c r="B11" s="44"/>
      <c r="C11" s="30"/>
      <c r="D11" s="44"/>
      <c r="E11" s="44"/>
      <c r="F11" s="44"/>
      <c r="G11" s="44"/>
      <c r="H11" s="45"/>
      <c r="I11" s="45"/>
      <c r="J11" s="45"/>
      <c r="K11" s="45"/>
      <c r="L11" s="45"/>
    </row>
    <row r="12">
      <c r="A12" s="43"/>
      <c r="B12" s="44"/>
      <c r="C12" s="30"/>
      <c r="D12" s="44"/>
      <c r="E12" s="44" t="s">
        <v>1070</v>
      </c>
      <c r="F12" s="44">
        <v>55.0</v>
      </c>
      <c r="G12" s="44"/>
      <c r="H12" s="44"/>
      <c r="I12" s="45"/>
      <c r="J12" s="45"/>
      <c r="K12" s="45"/>
      <c r="L12" s="45"/>
    </row>
    <row r="13">
      <c r="A13" s="43"/>
      <c r="B13" s="44"/>
      <c r="C13" s="30"/>
      <c r="D13" s="44"/>
      <c r="E13" s="44" t="s">
        <v>1071</v>
      </c>
      <c r="F13" s="45">
        <f>23*2</f>
        <v>46</v>
      </c>
      <c r="G13" s="44"/>
      <c r="H13" s="45"/>
      <c r="I13" s="45"/>
      <c r="J13" s="45"/>
      <c r="K13" s="45"/>
      <c r="L13" s="45"/>
    </row>
    <row r="14">
      <c r="A14" s="43"/>
      <c r="B14" s="45"/>
      <c r="C14" s="30"/>
      <c r="D14" s="44"/>
      <c r="E14" s="44" t="s">
        <v>1072</v>
      </c>
      <c r="F14" s="44">
        <v>25.0</v>
      </c>
      <c r="G14" s="45"/>
      <c r="H14" s="44"/>
      <c r="I14" s="45"/>
      <c r="J14" s="44"/>
      <c r="K14" s="45"/>
      <c r="L14" s="48"/>
    </row>
    <row r="15">
      <c r="A15" s="43"/>
      <c r="B15" s="44"/>
      <c r="C15" s="30"/>
      <c r="D15" s="44"/>
      <c r="E15" s="44"/>
      <c r="F15" s="44"/>
      <c r="G15" s="44"/>
      <c r="H15" s="44"/>
      <c r="I15" s="44"/>
      <c r="J15" s="44"/>
      <c r="K15" s="44"/>
      <c r="L15" s="44"/>
    </row>
    <row r="16">
      <c r="A16" s="43"/>
      <c r="B16" s="44"/>
      <c r="C16" s="30"/>
      <c r="D16" s="44"/>
      <c r="E16" s="44"/>
      <c r="F16" s="45"/>
      <c r="G16" s="44"/>
      <c r="H16" s="44"/>
      <c r="I16" s="44"/>
      <c r="J16" s="45"/>
      <c r="K16" s="45"/>
      <c r="L16" s="45"/>
    </row>
    <row r="17">
      <c r="A17" s="43"/>
      <c r="B17" s="44"/>
      <c r="C17" s="30"/>
      <c r="D17" s="44"/>
      <c r="E17" s="44"/>
      <c r="F17" s="45"/>
      <c r="G17" s="44"/>
      <c r="H17" s="30"/>
      <c r="I17" s="45"/>
      <c r="J17" s="45"/>
      <c r="K17" s="45"/>
      <c r="L17" s="45"/>
    </row>
    <row r="18">
      <c r="A18" s="43"/>
      <c r="B18" s="45"/>
      <c r="C18" s="30"/>
      <c r="D18" s="30"/>
      <c r="E18" s="44"/>
      <c r="F18" s="45"/>
      <c r="G18" s="44"/>
      <c r="H18" s="44"/>
      <c r="I18" s="45"/>
      <c r="J18" s="30"/>
      <c r="K18" s="45"/>
      <c r="L18" s="45"/>
    </row>
    <row r="19">
      <c r="A19" s="43"/>
      <c r="B19" s="44"/>
      <c r="C19" s="30"/>
      <c r="D19" s="44"/>
      <c r="E19" s="44"/>
      <c r="F19" s="45"/>
      <c r="G19" s="45"/>
      <c r="H19" s="44"/>
      <c r="I19" s="45"/>
      <c r="J19" s="45"/>
      <c r="K19" s="45"/>
      <c r="L19" s="45"/>
    </row>
    <row r="20">
      <c r="A20" s="43"/>
      <c r="B20" s="44"/>
      <c r="C20" s="30"/>
      <c r="D20" s="48"/>
      <c r="E20" s="48"/>
      <c r="F20" s="48"/>
      <c r="G20" s="48"/>
      <c r="H20" s="30"/>
      <c r="I20" s="48"/>
      <c r="J20" s="48"/>
      <c r="K20" s="48"/>
      <c r="L20" s="48"/>
    </row>
    <row r="21">
      <c r="A21" s="43"/>
      <c r="B21" s="44"/>
      <c r="C21" s="30"/>
      <c r="D21" s="44"/>
      <c r="E21" s="44"/>
      <c r="H21" s="30"/>
    </row>
    <row r="22">
      <c r="A22" s="43"/>
      <c r="B22" s="45"/>
      <c r="C22" s="1"/>
      <c r="D22" s="44"/>
      <c r="F22" s="44"/>
      <c r="G22" s="44"/>
      <c r="H22" s="44"/>
      <c r="I22" s="44"/>
      <c r="J22" s="44"/>
    </row>
    <row r="23">
      <c r="A23" s="43"/>
      <c r="B23" s="45"/>
      <c r="D23" s="44"/>
    </row>
    <row r="24">
      <c r="A24" s="43"/>
      <c r="B24" s="45"/>
      <c r="C24" s="1"/>
    </row>
    <row r="25">
      <c r="A25" s="43"/>
      <c r="B25" s="45"/>
      <c r="C25" s="30"/>
      <c r="D25" s="44"/>
      <c r="E25" s="44"/>
      <c r="F25" s="44"/>
      <c r="G25" s="44"/>
      <c r="H25" s="44"/>
      <c r="I25" s="44"/>
      <c r="J25" s="44"/>
    </row>
    <row r="26">
      <c r="A26" s="43"/>
      <c r="B26" s="45"/>
      <c r="C26" s="82"/>
      <c r="D26" s="44"/>
      <c r="E26" s="44"/>
    </row>
    <row r="27">
      <c r="A27" s="43"/>
      <c r="B27" s="44"/>
      <c r="C27" s="30"/>
      <c r="E27" s="44"/>
    </row>
    <row r="28">
      <c r="A28" s="43"/>
      <c r="B28" s="44"/>
      <c r="C28" s="30"/>
      <c r="D28" s="44"/>
    </row>
    <row r="29">
      <c r="A29" s="43"/>
      <c r="B29" s="44"/>
      <c r="C29" s="30"/>
    </row>
    <row r="30">
      <c r="A30" s="43"/>
      <c r="B30" s="44"/>
      <c r="C30" s="30"/>
    </row>
    <row r="31">
      <c r="A31" s="43"/>
      <c r="B31" s="44"/>
      <c r="C31" s="30"/>
    </row>
    <row r="32">
      <c r="A32" s="66"/>
      <c r="B32" s="44"/>
      <c r="C32" s="30"/>
    </row>
    <row r="33">
      <c r="B33" s="44"/>
      <c r="C33" s="30"/>
    </row>
    <row r="34">
      <c r="B34" s="44"/>
      <c r="C34" s="30"/>
      <c r="D34" s="67"/>
      <c r="E34" s="67"/>
      <c r="F34" s="68"/>
      <c r="G34" s="68"/>
      <c r="H34" s="67"/>
      <c r="I34" s="68"/>
      <c r="J34" s="68"/>
    </row>
    <row r="35">
      <c r="C35" s="30"/>
      <c r="D35" s="68"/>
      <c r="E35" s="68"/>
      <c r="F35" s="68"/>
      <c r="G35" s="68"/>
      <c r="H35" s="68"/>
      <c r="I35" s="68"/>
      <c r="J35" s="68"/>
    </row>
    <row r="36">
      <c r="C36" s="82"/>
    </row>
    <row r="37">
      <c r="C37" s="82"/>
    </row>
    <row r="38">
      <c r="C38" s="82"/>
    </row>
    <row r="39">
      <c r="C39" s="82"/>
    </row>
    <row r="40">
      <c r="C40" s="82"/>
    </row>
    <row r="41">
      <c r="C41" s="82"/>
    </row>
    <row r="42">
      <c r="C42" s="82"/>
    </row>
    <row r="43">
      <c r="C43" s="82"/>
    </row>
    <row r="44">
      <c r="A44" s="41"/>
      <c r="C44" s="82"/>
    </row>
    <row r="45">
      <c r="A45" s="41"/>
      <c r="C45" s="82"/>
    </row>
    <row r="46">
      <c r="A46" s="41"/>
      <c r="C46" s="82"/>
    </row>
    <row r="47">
      <c r="C47" s="82"/>
    </row>
    <row r="48">
      <c r="C48" s="82"/>
    </row>
    <row r="49">
      <c r="C49" s="82"/>
    </row>
    <row r="50">
      <c r="C50" s="82"/>
    </row>
    <row r="51">
      <c r="C51" s="82"/>
    </row>
    <row r="52">
      <c r="C52" s="82"/>
    </row>
    <row r="53">
      <c r="C53" s="82"/>
    </row>
    <row r="54">
      <c r="C54" s="82"/>
    </row>
    <row r="55">
      <c r="C55" s="82"/>
    </row>
    <row r="56">
      <c r="C56" s="82"/>
    </row>
    <row r="57">
      <c r="C57" s="82"/>
    </row>
    <row r="58">
      <c r="C58" s="82"/>
    </row>
    <row r="59">
      <c r="C59" s="82"/>
    </row>
    <row r="60">
      <c r="C60" s="82"/>
    </row>
    <row r="61">
      <c r="C61" s="82"/>
    </row>
    <row r="62">
      <c r="C62" s="82"/>
    </row>
    <row r="63">
      <c r="C63" s="82"/>
    </row>
    <row r="64">
      <c r="C64" s="82"/>
    </row>
    <row r="65">
      <c r="C65" s="82"/>
    </row>
    <row r="66">
      <c r="C66" s="82"/>
    </row>
    <row r="67">
      <c r="C67" s="82"/>
    </row>
    <row r="68">
      <c r="C68" s="82"/>
    </row>
    <row r="69">
      <c r="C69" s="82"/>
    </row>
    <row r="70">
      <c r="C70" s="82"/>
    </row>
    <row r="71">
      <c r="C71" s="82"/>
    </row>
    <row r="72">
      <c r="C72" s="82"/>
    </row>
    <row r="73">
      <c r="C73" s="82"/>
    </row>
    <row r="74">
      <c r="C74" s="82"/>
    </row>
    <row r="75">
      <c r="C75" s="82"/>
    </row>
    <row r="76">
      <c r="C76" s="82"/>
    </row>
    <row r="77">
      <c r="C77" s="82"/>
    </row>
    <row r="78">
      <c r="C78" s="82"/>
      <c r="G78" s="51"/>
      <c r="H78" s="51"/>
      <c r="I78" s="51"/>
      <c r="J78" s="52"/>
    </row>
    <row r="79">
      <c r="C79" s="82"/>
      <c r="G79" s="52"/>
      <c r="H79" s="52"/>
      <c r="I79" s="52"/>
      <c r="J79" s="51"/>
    </row>
    <row r="80">
      <c r="C80" s="82"/>
      <c r="G80" s="52"/>
      <c r="H80" s="52"/>
      <c r="I80" s="52"/>
      <c r="J80" s="51"/>
    </row>
    <row r="81">
      <c r="C81" s="82"/>
      <c r="G81" s="52"/>
      <c r="H81" s="52"/>
      <c r="I81" s="51"/>
      <c r="J81" s="51"/>
    </row>
    <row r="82">
      <c r="C82" s="82"/>
    </row>
    <row r="83">
      <c r="C83" s="82"/>
    </row>
    <row r="84">
      <c r="C84" s="82"/>
    </row>
    <row r="85">
      <c r="C85" s="82"/>
    </row>
    <row r="86">
      <c r="C86" s="82"/>
    </row>
    <row r="87">
      <c r="C87" s="82"/>
    </row>
    <row r="88">
      <c r="C88" s="82"/>
    </row>
    <row r="89">
      <c r="C89" s="82"/>
    </row>
    <row r="90">
      <c r="C90" s="82"/>
    </row>
    <row r="91">
      <c r="C91" s="82"/>
    </row>
    <row r="92">
      <c r="C92" s="82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75"/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</row>
    <row r="2">
      <c r="A2" s="43">
        <v>45879.0</v>
      </c>
      <c r="B2" s="44" t="s">
        <v>1073</v>
      </c>
      <c r="C2" s="30">
        <v>42.0</v>
      </c>
      <c r="D2" s="44"/>
      <c r="E2" s="44"/>
      <c r="F2" s="45"/>
      <c r="G2" s="45"/>
      <c r="H2" s="44"/>
      <c r="I2" s="45"/>
      <c r="J2" s="45"/>
      <c r="K2" s="44"/>
      <c r="L2" s="44"/>
    </row>
    <row r="3">
      <c r="A3" s="43">
        <v>45879.0</v>
      </c>
      <c r="B3" s="44" t="s">
        <v>1074</v>
      </c>
      <c r="C3" s="30">
        <v>67.0</v>
      </c>
      <c r="D3" s="44"/>
      <c r="E3" s="44"/>
      <c r="F3" s="45"/>
      <c r="G3" s="45"/>
      <c r="H3" s="30"/>
      <c r="I3" s="45"/>
      <c r="J3" s="45"/>
      <c r="K3" s="45"/>
      <c r="L3" s="44"/>
    </row>
    <row r="4">
      <c r="A4" s="43">
        <v>45879.0</v>
      </c>
      <c r="B4" s="44" t="s">
        <v>1075</v>
      </c>
      <c r="C4" s="30">
        <v>45.0</v>
      </c>
      <c r="D4" s="44"/>
      <c r="E4" s="30"/>
      <c r="F4" s="45"/>
      <c r="G4" s="45"/>
      <c r="H4" s="44"/>
      <c r="I4" s="45"/>
      <c r="J4" s="44"/>
      <c r="K4" s="45"/>
      <c r="L4" s="44"/>
    </row>
    <row r="5">
      <c r="A5" s="43"/>
      <c r="B5" s="44" t="s">
        <v>1076</v>
      </c>
      <c r="C5" s="30">
        <v>35.0</v>
      </c>
      <c r="D5" s="44"/>
      <c r="E5" s="44"/>
      <c r="F5" s="44"/>
      <c r="G5" s="45"/>
      <c r="H5" s="45"/>
      <c r="I5" s="44"/>
      <c r="J5" s="44"/>
      <c r="K5" s="45"/>
      <c r="L5" s="44"/>
    </row>
    <row r="6">
      <c r="A6" s="43"/>
      <c r="B6" s="44" t="s">
        <v>1077</v>
      </c>
      <c r="C6" s="30">
        <v>4.0</v>
      </c>
      <c r="D6" s="44"/>
      <c r="E6" s="44"/>
      <c r="F6" s="45"/>
      <c r="G6" s="45"/>
      <c r="I6" s="45"/>
      <c r="J6" s="45"/>
      <c r="K6" s="44"/>
      <c r="L6" s="45"/>
    </row>
    <row r="7">
      <c r="A7" s="43"/>
      <c r="B7" s="44"/>
      <c r="C7" s="30"/>
      <c r="D7" s="44"/>
      <c r="E7" s="44"/>
      <c r="F7" s="45"/>
      <c r="G7" s="45"/>
      <c r="H7" s="44"/>
      <c r="I7" s="45"/>
      <c r="J7" s="44"/>
      <c r="K7" s="45"/>
    </row>
    <row r="8">
      <c r="A8" s="43"/>
      <c r="B8" s="44"/>
      <c r="C8" s="30"/>
      <c r="D8" s="44"/>
      <c r="E8" s="44"/>
      <c r="G8" s="45"/>
      <c r="H8" s="44"/>
      <c r="I8" s="45"/>
      <c r="J8" s="44"/>
      <c r="K8" s="45"/>
      <c r="L8" s="45"/>
    </row>
    <row r="9">
      <c r="A9" s="43"/>
      <c r="B9" s="44"/>
      <c r="C9" s="30"/>
      <c r="D9" s="44"/>
      <c r="E9" s="48"/>
      <c r="F9" s="48"/>
      <c r="G9" s="48"/>
      <c r="H9" s="48"/>
      <c r="I9" s="48"/>
      <c r="J9" s="48"/>
      <c r="K9" s="48"/>
      <c r="L9" s="48"/>
    </row>
    <row r="10">
      <c r="A10" s="43"/>
      <c r="B10" s="44"/>
      <c r="C10" s="30"/>
      <c r="D10" s="45"/>
      <c r="E10" s="45"/>
      <c r="F10" s="45"/>
      <c r="G10" s="45"/>
      <c r="H10" s="45"/>
      <c r="I10" s="45"/>
      <c r="J10" s="44"/>
      <c r="K10" s="45"/>
      <c r="L10" s="44"/>
    </row>
    <row r="11">
      <c r="A11" s="43"/>
      <c r="B11" s="44"/>
      <c r="C11" s="30"/>
      <c r="D11" s="44"/>
      <c r="E11" s="44"/>
      <c r="F11" s="44"/>
      <c r="G11" s="44"/>
      <c r="H11" s="45"/>
      <c r="I11" s="45"/>
      <c r="J11" s="45"/>
      <c r="K11" s="45"/>
      <c r="L11" s="45"/>
    </row>
    <row r="12">
      <c r="A12" s="43"/>
      <c r="B12" s="44"/>
      <c r="C12" s="30"/>
      <c r="D12" s="44"/>
      <c r="E12" s="44"/>
      <c r="F12" s="44"/>
      <c r="G12" s="44"/>
      <c r="H12" s="44"/>
      <c r="I12" s="45"/>
      <c r="J12" s="45"/>
      <c r="K12" s="45"/>
      <c r="L12" s="45"/>
    </row>
    <row r="13">
      <c r="A13" s="43"/>
      <c r="B13" s="44"/>
      <c r="C13" s="30"/>
      <c r="D13" s="44"/>
      <c r="E13" s="44"/>
      <c r="F13" s="45"/>
      <c r="G13" s="44"/>
      <c r="H13" s="45"/>
      <c r="I13" s="45"/>
      <c r="J13" s="45"/>
      <c r="K13" s="45"/>
      <c r="L13" s="45"/>
    </row>
    <row r="14">
      <c r="A14" s="43"/>
      <c r="B14" s="45"/>
      <c r="C14" s="30"/>
      <c r="D14" s="44"/>
      <c r="E14" s="44"/>
      <c r="F14" s="44"/>
      <c r="G14" s="45"/>
      <c r="H14" s="44"/>
      <c r="I14" s="45"/>
      <c r="J14" s="44"/>
      <c r="K14" s="45"/>
      <c r="L14" s="48"/>
    </row>
    <row r="15">
      <c r="A15" s="43"/>
      <c r="B15" s="44"/>
      <c r="C15" s="30"/>
      <c r="D15" s="44"/>
      <c r="E15" s="44"/>
      <c r="F15" s="44"/>
      <c r="G15" s="44"/>
      <c r="H15" s="44"/>
      <c r="I15" s="44"/>
      <c r="J15" s="44"/>
      <c r="K15" s="44"/>
      <c r="L15" s="44"/>
    </row>
    <row r="16">
      <c r="A16" s="43"/>
      <c r="B16" s="44"/>
      <c r="C16" s="30"/>
      <c r="D16" s="44"/>
      <c r="E16" s="44"/>
      <c r="F16" s="45"/>
      <c r="G16" s="44"/>
      <c r="H16" s="44"/>
      <c r="I16" s="44"/>
      <c r="J16" s="45"/>
      <c r="K16" s="45"/>
      <c r="L16" s="45"/>
    </row>
    <row r="17">
      <c r="A17" s="43"/>
      <c r="B17" s="44"/>
      <c r="C17" s="30"/>
      <c r="D17" s="44"/>
      <c r="E17" s="44"/>
      <c r="F17" s="45"/>
      <c r="G17" s="44"/>
      <c r="H17" s="30"/>
      <c r="I17" s="45"/>
      <c r="J17" s="45"/>
      <c r="K17" s="45"/>
      <c r="L17" s="45"/>
    </row>
    <row r="18">
      <c r="A18" s="43"/>
      <c r="B18" s="45"/>
      <c r="C18" s="30"/>
      <c r="D18" s="30"/>
      <c r="E18" s="44"/>
      <c r="F18" s="45"/>
      <c r="G18" s="44"/>
      <c r="H18" s="44"/>
      <c r="I18" s="45"/>
      <c r="J18" s="30"/>
      <c r="K18" s="45"/>
      <c r="L18" s="45"/>
    </row>
    <row r="19">
      <c r="A19" s="43"/>
      <c r="B19" s="44"/>
      <c r="C19" s="30"/>
      <c r="D19" s="44"/>
      <c r="E19" s="44"/>
      <c r="F19" s="45"/>
      <c r="G19" s="45"/>
      <c r="H19" s="44"/>
      <c r="I19" s="45"/>
      <c r="J19" s="45"/>
      <c r="K19" s="45"/>
      <c r="L19" s="45"/>
    </row>
    <row r="20">
      <c r="A20" s="43"/>
      <c r="B20" s="44"/>
      <c r="C20" s="30"/>
      <c r="D20" s="48"/>
      <c r="E20" s="48"/>
      <c r="F20" s="48"/>
      <c r="G20" s="48"/>
      <c r="H20" s="30"/>
      <c r="I20" s="48"/>
      <c r="J20" s="48"/>
      <c r="K20" s="48"/>
      <c r="L20" s="48"/>
    </row>
    <row r="21">
      <c r="A21" s="43"/>
      <c r="B21" s="44"/>
      <c r="C21" s="30"/>
      <c r="D21" s="44"/>
      <c r="E21" s="44"/>
      <c r="H21" s="30"/>
    </row>
    <row r="22">
      <c r="A22" s="43"/>
      <c r="B22" s="45"/>
      <c r="C22" s="1"/>
      <c r="D22" s="44"/>
      <c r="F22" s="44"/>
      <c r="G22" s="44"/>
      <c r="H22" s="44"/>
      <c r="I22" s="44"/>
      <c r="J22" s="44"/>
    </row>
    <row r="23">
      <c r="A23" s="43"/>
      <c r="B23" s="45"/>
      <c r="D23" s="44"/>
    </row>
    <row r="24">
      <c r="A24" s="43"/>
      <c r="B24" s="45"/>
      <c r="C24" s="1"/>
    </row>
    <row r="25">
      <c r="A25" s="43"/>
      <c r="B25" s="45"/>
      <c r="C25" s="30"/>
      <c r="D25" s="44"/>
      <c r="E25" s="44"/>
      <c r="F25" s="44"/>
      <c r="G25" s="44"/>
      <c r="H25" s="44"/>
      <c r="I25" s="44"/>
      <c r="J25" s="44"/>
    </row>
    <row r="26">
      <c r="A26" s="43"/>
      <c r="B26" s="45"/>
      <c r="C26" s="82"/>
      <c r="D26" s="44"/>
      <c r="E26" s="44"/>
    </row>
    <row r="27">
      <c r="A27" s="43"/>
      <c r="B27" s="44"/>
      <c r="C27" s="30"/>
      <c r="E27" s="44"/>
    </row>
    <row r="28">
      <c r="A28" s="43"/>
      <c r="B28" s="44"/>
      <c r="C28" s="30"/>
      <c r="D28" s="44"/>
    </row>
    <row r="29">
      <c r="A29" s="43"/>
      <c r="B29" s="44"/>
      <c r="C29" s="30"/>
    </row>
    <row r="30">
      <c r="A30" s="43"/>
      <c r="B30" s="44"/>
      <c r="C30" s="30"/>
    </row>
    <row r="31">
      <c r="A31" s="43"/>
      <c r="B31" s="44"/>
      <c r="C31" s="30"/>
    </row>
    <row r="32">
      <c r="A32" s="66"/>
      <c r="B32" s="44"/>
      <c r="C32" s="30"/>
    </row>
    <row r="33">
      <c r="B33" s="44"/>
      <c r="C33" s="30"/>
    </row>
    <row r="34">
      <c r="B34" s="44"/>
      <c r="C34" s="30"/>
      <c r="D34" s="67"/>
      <c r="E34" s="67"/>
      <c r="F34" s="68"/>
      <c r="G34" s="68"/>
      <c r="H34" s="67"/>
      <c r="I34" s="68"/>
      <c r="J34" s="68"/>
    </row>
    <row r="35">
      <c r="C35" s="30"/>
      <c r="D35" s="68"/>
      <c r="E35" s="68"/>
      <c r="F35" s="68"/>
      <c r="G35" s="68"/>
      <c r="H35" s="68"/>
      <c r="I35" s="68"/>
      <c r="J35" s="68"/>
    </row>
    <row r="36">
      <c r="C36" s="82"/>
    </row>
    <row r="37">
      <c r="C37" s="82"/>
    </row>
    <row r="38">
      <c r="C38" s="82"/>
    </row>
    <row r="39">
      <c r="C39" s="82"/>
    </row>
    <row r="40">
      <c r="C40" s="82"/>
    </row>
    <row r="41">
      <c r="C41" s="82"/>
    </row>
    <row r="42">
      <c r="C42" s="82"/>
    </row>
    <row r="43">
      <c r="C43" s="82"/>
    </row>
    <row r="44">
      <c r="A44" s="41"/>
      <c r="C44" s="82"/>
    </row>
    <row r="45">
      <c r="A45" s="41"/>
      <c r="C45" s="82"/>
    </row>
    <row r="46">
      <c r="A46" s="41"/>
      <c r="C46" s="82"/>
    </row>
    <row r="47">
      <c r="C47" s="82"/>
    </row>
    <row r="48">
      <c r="C48" s="82"/>
    </row>
    <row r="49">
      <c r="C49" s="82"/>
    </row>
    <row r="50">
      <c r="C50" s="82"/>
    </row>
    <row r="51">
      <c r="C51" s="82"/>
    </row>
    <row r="52">
      <c r="C52" s="82"/>
    </row>
    <row r="53">
      <c r="C53" s="82"/>
    </row>
    <row r="54">
      <c r="C54" s="82"/>
    </row>
    <row r="55">
      <c r="C55" s="82"/>
    </row>
    <row r="56">
      <c r="C56" s="82"/>
    </row>
    <row r="57">
      <c r="C57" s="82"/>
    </row>
    <row r="58">
      <c r="C58" s="82"/>
    </row>
    <row r="59">
      <c r="C59" s="82"/>
    </row>
    <row r="60">
      <c r="C60" s="82"/>
    </row>
    <row r="61">
      <c r="C61" s="82"/>
    </row>
    <row r="62">
      <c r="C62" s="82"/>
    </row>
    <row r="63">
      <c r="C63" s="82"/>
    </row>
    <row r="64">
      <c r="C64" s="82"/>
    </row>
    <row r="65">
      <c r="C65" s="82"/>
    </row>
    <row r="66">
      <c r="C66" s="82"/>
    </row>
    <row r="67">
      <c r="C67" s="82"/>
    </row>
    <row r="68">
      <c r="C68" s="82"/>
    </row>
    <row r="69">
      <c r="C69" s="82"/>
    </row>
    <row r="70">
      <c r="C70" s="82"/>
    </row>
    <row r="71">
      <c r="C71" s="82"/>
    </row>
    <row r="72">
      <c r="C72" s="82"/>
    </row>
    <row r="73">
      <c r="C73" s="82"/>
    </row>
    <row r="74">
      <c r="C74" s="82"/>
    </row>
    <row r="75">
      <c r="C75" s="82"/>
    </row>
    <row r="76">
      <c r="C76" s="82"/>
    </row>
    <row r="77">
      <c r="C77" s="82"/>
    </row>
    <row r="78">
      <c r="C78" s="82"/>
      <c r="G78" s="51"/>
      <c r="H78" s="51"/>
      <c r="I78" s="51"/>
      <c r="J78" s="52"/>
    </row>
    <row r="79">
      <c r="C79" s="82"/>
      <c r="G79" s="52"/>
      <c r="H79" s="52"/>
      <c r="I79" s="52"/>
      <c r="J79" s="51"/>
    </row>
    <row r="80">
      <c r="C80" s="82"/>
      <c r="G80" s="52"/>
      <c r="H80" s="52"/>
      <c r="I80" s="52"/>
      <c r="J80" s="51"/>
    </row>
    <row r="81">
      <c r="C81" s="82"/>
      <c r="G81" s="52"/>
      <c r="H81" s="52"/>
      <c r="I81" s="51"/>
      <c r="J81" s="51"/>
    </row>
    <row r="82">
      <c r="C82" s="82"/>
    </row>
    <row r="83">
      <c r="C83" s="82"/>
    </row>
    <row r="84">
      <c r="C84" s="82"/>
    </row>
    <row r="85">
      <c r="C85" s="82"/>
    </row>
    <row r="86">
      <c r="C86" s="82"/>
    </row>
    <row r="87">
      <c r="C87" s="82"/>
    </row>
    <row r="88">
      <c r="C88" s="82"/>
    </row>
    <row r="89">
      <c r="C89" s="82"/>
    </row>
    <row r="90">
      <c r="C90" s="82"/>
    </row>
    <row r="91">
      <c r="C91" s="82"/>
    </row>
    <row r="92">
      <c r="C92" s="82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75"/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</row>
    <row r="2">
      <c r="A2" s="43">
        <v>45893.0</v>
      </c>
      <c r="B2" s="44" t="s">
        <v>1078</v>
      </c>
      <c r="C2" s="30">
        <v>83.0</v>
      </c>
      <c r="D2" s="44"/>
      <c r="E2" s="44"/>
      <c r="F2" s="45"/>
      <c r="G2" s="45"/>
      <c r="H2" s="30">
        <v>83.0</v>
      </c>
      <c r="I2" s="45"/>
      <c r="J2" s="45"/>
      <c r="K2" s="44"/>
      <c r="L2" s="44"/>
    </row>
    <row r="3">
      <c r="A3" s="43">
        <v>45893.0</v>
      </c>
      <c r="B3" s="44" t="s">
        <v>163</v>
      </c>
      <c r="C3" s="30">
        <v>68.51</v>
      </c>
      <c r="D3" s="30">
        <v>68.51</v>
      </c>
      <c r="E3" s="44"/>
      <c r="F3" s="45"/>
      <c r="G3" s="45"/>
      <c r="H3" s="30"/>
      <c r="I3" s="45"/>
      <c r="J3" s="45"/>
      <c r="K3" s="45"/>
      <c r="L3" s="44"/>
    </row>
    <row r="4">
      <c r="A4" s="43">
        <v>45893.0</v>
      </c>
      <c r="B4" s="44" t="s">
        <v>1079</v>
      </c>
      <c r="C4" s="30">
        <v>67.65</v>
      </c>
      <c r="D4" s="30">
        <v>67.65</v>
      </c>
      <c r="E4" s="30"/>
      <c r="F4" s="45"/>
      <c r="G4" s="45"/>
      <c r="H4" s="44"/>
      <c r="I4" s="45"/>
      <c r="J4" s="44"/>
      <c r="K4" s="45"/>
      <c r="L4" s="44"/>
    </row>
    <row r="5">
      <c r="A5" s="43">
        <v>45892.0</v>
      </c>
      <c r="B5" s="44" t="s">
        <v>1080</v>
      </c>
      <c r="C5" s="30">
        <v>4.3</v>
      </c>
      <c r="D5" s="44"/>
      <c r="E5" s="44"/>
      <c r="F5" s="44"/>
      <c r="G5" s="45"/>
      <c r="H5" s="45"/>
      <c r="I5" s="44"/>
      <c r="J5" s="30">
        <v>4.3</v>
      </c>
      <c r="K5" s="45"/>
      <c r="L5" s="44"/>
    </row>
    <row r="6">
      <c r="A6" s="43">
        <v>45892.0</v>
      </c>
      <c r="B6" s="44" t="s">
        <v>416</v>
      </c>
      <c r="C6" s="30">
        <v>150.0</v>
      </c>
      <c r="D6" s="44"/>
      <c r="E6" s="44"/>
      <c r="F6" s="45"/>
      <c r="G6" s="45"/>
      <c r="H6" s="30">
        <v>150.0</v>
      </c>
      <c r="I6" s="45"/>
      <c r="J6" s="45"/>
      <c r="K6" s="44"/>
      <c r="L6" s="45"/>
    </row>
    <row r="7">
      <c r="A7" s="43">
        <v>45891.0</v>
      </c>
      <c r="B7" s="44" t="s">
        <v>1081</v>
      </c>
      <c r="C7" s="30">
        <v>95.48</v>
      </c>
      <c r="D7" s="30">
        <v>95.48</v>
      </c>
      <c r="E7" s="44"/>
      <c r="F7" s="45"/>
      <c r="G7" s="45"/>
      <c r="H7" s="44"/>
      <c r="I7" s="45"/>
      <c r="J7" s="44"/>
      <c r="K7" s="45"/>
    </row>
    <row r="8">
      <c r="A8" s="44" t="s">
        <v>1082</v>
      </c>
      <c r="B8" s="44" t="s">
        <v>1083</v>
      </c>
      <c r="C8" s="30">
        <v>45.0</v>
      </c>
      <c r="D8" s="30">
        <v>45.0</v>
      </c>
      <c r="E8" s="44"/>
      <c r="G8" s="45"/>
      <c r="H8" s="44"/>
      <c r="I8" s="45"/>
      <c r="J8" s="44"/>
      <c r="K8" s="45"/>
      <c r="L8" s="45"/>
    </row>
    <row r="9">
      <c r="A9" s="43">
        <v>45890.0</v>
      </c>
      <c r="B9" s="44" t="s">
        <v>163</v>
      </c>
      <c r="C9" s="30">
        <v>13.78</v>
      </c>
      <c r="D9" s="30">
        <v>13.78</v>
      </c>
      <c r="E9" s="48"/>
      <c r="F9" s="48"/>
      <c r="G9" s="48"/>
      <c r="H9" s="48"/>
      <c r="I9" s="48"/>
      <c r="J9" s="48"/>
      <c r="K9" s="48"/>
      <c r="L9" s="48"/>
    </row>
    <row r="10">
      <c r="A10" s="43"/>
      <c r="B10" s="44" t="s">
        <v>1084</v>
      </c>
      <c r="C10" s="30">
        <v>17.63</v>
      </c>
      <c r="D10" s="30">
        <v>17.63</v>
      </c>
      <c r="E10" s="45"/>
      <c r="F10" s="45"/>
      <c r="G10" s="45"/>
      <c r="H10" s="45"/>
      <c r="I10" s="45"/>
      <c r="J10" s="44"/>
      <c r="K10" s="45"/>
      <c r="L10" s="44"/>
    </row>
    <row r="11">
      <c r="A11" s="43"/>
      <c r="B11" s="44" t="s">
        <v>1085</v>
      </c>
      <c r="C11" s="30">
        <v>18.0</v>
      </c>
      <c r="D11" s="30">
        <v>18.0</v>
      </c>
      <c r="E11" s="44"/>
      <c r="F11" s="44"/>
      <c r="G11" s="44"/>
      <c r="H11" s="45"/>
      <c r="I11" s="45"/>
      <c r="J11" s="45"/>
      <c r="K11" s="45"/>
      <c r="L11" s="45"/>
    </row>
    <row r="12">
      <c r="A12" s="43"/>
      <c r="B12" s="44" t="s">
        <v>736</v>
      </c>
      <c r="C12" s="30">
        <v>438.14</v>
      </c>
      <c r="D12" s="30">
        <v>438.14</v>
      </c>
      <c r="E12" s="44"/>
      <c r="F12" s="44"/>
      <c r="G12" s="44"/>
      <c r="H12" s="44"/>
      <c r="I12" s="45"/>
      <c r="J12" s="45"/>
      <c r="K12" s="45"/>
      <c r="L12" s="45"/>
    </row>
    <row r="13">
      <c r="A13" s="43"/>
      <c r="B13" s="44" t="s">
        <v>1086</v>
      </c>
      <c r="C13" s="30">
        <v>56.9</v>
      </c>
      <c r="D13" s="44">
        <v>50.0</v>
      </c>
      <c r="E13" s="44"/>
      <c r="F13" s="45"/>
      <c r="G13" s="44"/>
      <c r="H13" s="45"/>
      <c r="I13" s="45"/>
      <c r="J13" s="45"/>
      <c r="K13" s="45"/>
      <c r="L13" s="45"/>
    </row>
    <row r="14">
      <c r="A14" s="43"/>
      <c r="B14" s="44" t="s">
        <v>1087</v>
      </c>
      <c r="C14" s="30">
        <v>125.32</v>
      </c>
      <c r="D14" s="44"/>
      <c r="E14" s="44"/>
      <c r="F14" s="44"/>
      <c r="G14" s="45"/>
      <c r="H14" s="44"/>
      <c r="I14" s="45"/>
      <c r="J14" s="30">
        <v>125.32</v>
      </c>
      <c r="K14" s="45"/>
      <c r="L14" s="48"/>
    </row>
    <row r="15">
      <c r="A15" s="43">
        <v>45887.0</v>
      </c>
      <c r="B15" s="44" t="s">
        <v>163</v>
      </c>
      <c r="C15" s="30">
        <v>39.1</v>
      </c>
      <c r="D15" s="30">
        <v>39.1</v>
      </c>
      <c r="E15" s="44"/>
      <c r="F15" s="44"/>
      <c r="G15" s="44"/>
      <c r="H15" s="44"/>
      <c r="I15" s="44"/>
      <c r="J15" s="44"/>
      <c r="K15" s="44"/>
      <c r="L15" s="44"/>
    </row>
    <row r="16">
      <c r="A16" s="43">
        <v>45887.0</v>
      </c>
      <c r="B16" s="44" t="s">
        <v>1088</v>
      </c>
      <c r="C16" s="83">
        <v>7.5</v>
      </c>
      <c r="D16" s="83">
        <v>7.5</v>
      </c>
      <c r="E16" s="44"/>
      <c r="F16" s="45"/>
      <c r="G16" s="44"/>
      <c r="H16" s="44"/>
      <c r="I16" s="44"/>
      <c r="J16" s="45"/>
      <c r="K16" s="45"/>
      <c r="L16" s="45"/>
    </row>
    <row r="17">
      <c r="A17" s="43">
        <v>45887.0</v>
      </c>
      <c r="B17" s="44" t="s">
        <v>1089</v>
      </c>
      <c r="C17" s="83">
        <v>3.6</v>
      </c>
      <c r="D17" s="83">
        <v>3.6</v>
      </c>
      <c r="E17" s="44"/>
      <c r="F17" s="45"/>
      <c r="G17" s="44"/>
      <c r="H17" s="30"/>
      <c r="I17" s="45"/>
      <c r="J17" s="45"/>
      <c r="K17" s="45"/>
      <c r="L17" s="45"/>
    </row>
    <row r="18">
      <c r="A18" s="43"/>
      <c r="B18" s="44"/>
      <c r="C18" s="83"/>
      <c r="D18" s="83"/>
      <c r="E18" s="44"/>
      <c r="F18" s="45"/>
      <c r="G18" s="44"/>
      <c r="H18" s="44"/>
      <c r="I18" s="45"/>
      <c r="J18" s="30"/>
      <c r="K18" s="45"/>
      <c r="L18" s="45"/>
    </row>
    <row r="19">
      <c r="A19" s="43"/>
      <c r="B19" s="44" t="s">
        <v>1090</v>
      </c>
      <c r="C19" s="30">
        <v>139.62</v>
      </c>
      <c r="D19" s="44"/>
      <c r="E19" s="44"/>
      <c r="F19" s="45"/>
      <c r="G19" s="45"/>
      <c r="H19" s="44"/>
      <c r="I19" s="45"/>
      <c r="J19" s="30">
        <v>139.62</v>
      </c>
      <c r="K19" s="45"/>
      <c r="L19" s="45"/>
    </row>
    <row r="20">
      <c r="A20" s="43"/>
      <c r="B20" s="44"/>
      <c r="C20" s="30">
        <v>444.3</v>
      </c>
      <c r="D20" s="44"/>
      <c r="E20" s="44"/>
      <c r="F20" s="45"/>
      <c r="G20" s="45"/>
      <c r="H20" s="44"/>
      <c r="I20" s="45"/>
      <c r="J20" s="45"/>
      <c r="K20" s="45"/>
      <c r="L20" s="45"/>
    </row>
    <row r="21">
      <c r="A21" s="43"/>
      <c r="B21" s="44"/>
      <c r="C21" s="30"/>
      <c r="D21" s="44"/>
      <c r="E21" s="44"/>
      <c r="F21" s="45"/>
      <c r="G21" s="45"/>
      <c r="H21" s="44"/>
      <c r="I21" s="45"/>
      <c r="J21" s="45"/>
      <c r="K21" s="45"/>
      <c r="L21" s="45"/>
    </row>
    <row r="22">
      <c r="A22" s="43">
        <v>45898.0</v>
      </c>
      <c r="B22" s="44" t="s">
        <v>357</v>
      </c>
      <c r="C22" s="83">
        <v>40.0</v>
      </c>
      <c r="D22" s="83">
        <v>40.0</v>
      </c>
      <c r="E22" s="48"/>
      <c r="F22" s="48"/>
      <c r="G22" s="48"/>
      <c r="H22" s="30"/>
      <c r="I22" s="48"/>
      <c r="J22" s="48"/>
      <c r="K22" s="48"/>
      <c r="L22" s="48"/>
    </row>
    <row r="23">
      <c r="A23" s="49"/>
      <c r="B23" s="50" t="s">
        <v>1091</v>
      </c>
      <c r="C23" s="84"/>
      <c r="D23" s="85">
        <f t="shared" ref="D23:L23" si="1">sum(D2:D22)</f>
        <v>904.39</v>
      </c>
      <c r="E23" s="85">
        <f t="shared" si="1"/>
        <v>0</v>
      </c>
      <c r="F23" s="85">
        <f t="shared" si="1"/>
        <v>0</v>
      </c>
      <c r="G23" s="85">
        <f t="shared" si="1"/>
        <v>0</v>
      </c>
      <c r="H23" s="85">
        <f t="shared" si="1"/>
        <v>233</v>
      </c>
      <c r="I23" s="85">
        <f t="shared" si="1"/>
        <v>0</v>
      </c>
      <c r="J23" s="85">
        <f t="shared" si="1"/>
        <v>269.24</v>
      </c>
      <c r="K23" s="85">
        <f t="shared" si="1"/>
        <v>0</v>
      </c>
      <c r="L23" s="85">
        <f t="shared" si="1"/>
        <v>0</v>
      </c>
    </row>
    <row r="24">
      <c r="A24" s="43">
        <v>45898.0</v>
      </c>
      <c r="B24" s="44" t="s">
        <v>1092</v>
      </c>
      <c r="C24" s="83">
        <v>4.5</v>
      </c>
      <c r="D24" s="83">
        <v>4.5</v>
      </c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</row>
    <row r="25">
      <c r="A25" s="44" t="s">
        <v>1093</v>
      </c>
      <c r="B25" s="44" t="s">
        <v>1094</v>
      </c>
      <c r="C25" s="87">
        <v>87.0</v>
      </c>
      <c r="D25" s="44"/>
      <c r="E25" s="87">
        <v>87.0</v>
      </c>
    </row>
    <row r="26">
      <c r="A26" s="44" t="s">
        <v>1093</v>
      </c>
      <c r="B26" s="44" t="s">
        <v>1095</v>
      </c>
      <c r="C26" s="87">
        <v>6.0</v>
      </c>
      <c r="E26" s="87">
        <v>6.0</v>
      </c>
    </row>
    <row r="27">
      <c r="A27" s="43"/>
      <c r="B27" s="45"/>
      <c r="C27" s="30" t="s">
        <v>168</v>
      </c>
      <c r="D27" s="3">
        <f t="shared" ref="D27:L27" si="2">sum(D23:D26)-D23</f>
        <v>4.5</v>
      </c>
      <c r="E27" s="3">
        <f t="shared" si="2"/>
        <v>93</v>
      </c>
      <c r="F27" s="4">
        <f t="shared" si="2"/>
        <v>0</v>
      </c>
      <c r="G27" s="4">
        <f t="shared" si="2"/>
        <v>0</v>
      </c>
      <c r="H27" s="4">
        <f t="shared" si="2"/>
        <v>0</v>
      </c>
      <c r="I27" s="4">
        <f t="shared" si="2"/>
        <v>0</v>
      </c>
      <c r="J27" s="4">
        <f t="shared" si="2"/>
        <v>0</v>
      </c>
      <c r="K27" s="4">
        <f t="shared" si="2"/>
        <v>0</v>
      </c>
      <c r="L27" s="4">
        <f t="shared" si="2"/>
        <v>0</v>
      </c>
    </row>
    <row r="28">
      <c r="A28" s="43"/>
      <c r="B28" s="45"/>
      <c r="C28" s="82"/>
    </row>
    <row r="29">
      <c r="A29" s="43"/>
      <c r="B29" s="44"/>
      <c r="C29" s="30"/>
      <c r="D29" s="1"/>
    </row>
    <row r="30">
      <c r="A30" s="43"/>
      <c r="B30" s="44"/>
      <c r="C30" s="30"/>
    </row>
    <row r="31">
      <c r="A31" s="43"/>
      <c r="F31" s="44"/>
      <c r="I31" s="30"/>
    </row>
    <row r="32">
      <c r="A32" s="43"/>
      <c r="B32" s="44"/>
      <c r="C32" s="30"/>
    </row>
    <row r="33">
      <c r="A33" s="43"/>
      <c r="B33" s="44"/>
      <c r="C33" s="30"/>
    </row>
    <row r="34">
      <c r="A34" s="66"/>
      <c r="B34" s="44"/>
      <c r="C34" s="30"/>
    </row>
    <row r="35">
      <c r="B35" s="44"/>
      <c r="C35" s="30"/>
    </row>
    <row r="36">
      <c r="B36" s="44"/>
      <c r="C36" s="30"/>
      <c r="J36" s="68"/>
    </row>
    <row r="37">
      <c r="C37" s="30"/>
      <c r="J37" s="68"/>
    </row>
    <row r="38">
      <c r="C38" s="82"/>
    </row>
    <row r="39">
      <c r="C39" s="82"/>
    </row>
    <row r="40">
      <c r="C40" s="82"/>
    </row>
    <row r="41">
      <c r="C41" s="82"/>
    </row>
    <row r="42">
      <c r="C42" s="82"/>
    </row>
    <row r="43">
      <c r="C43" s="82"/>
    </row>
    <row r="44">
      <c r="C44" s="82"/>
    </row>
    <row r="45">
      <c r="C45" s="82"/>
    </row>
    <row r="46">
      <c r="A46" s="41"/>
      <c r="C46" s="82"/>
    </row>
    <row r="47">
      <c r="A47" s="41"/>
      <c r="C47" s="82"/>
    </row>
    <row r="48">
      <c r="A48" s="41"/>
      <c r="C48" s="82"/>
    </row>
    <row r="49">
      <c r="C49" s="82"/>
    </row>
    <row r="50">
      <c r="C50" s="82"/>
    </row>
    <row r="51">
      <c r="C51" s="82"/>
    </row>
    <row r="52">
      <c r="C52" s="82"/>
    </row>
    <row r="53">
      <c r="C53" s="82"/>
    </row>
    <row r="54">
      <c r="C54" s="82"/>
    </row>
    <row r="55">
      <c r="C55" s="82"/>
    </row>
    <row r="56">
      <c r="C56" s="82"/>
    </row>
    <row r="57">
      <c r="C57" s="82"/>
    </row>
    <row r="58">
      <c r="C58" s="82"/>
    </row>
    <row r="59">
      <c r="C59" s="82"/>
    </row>
    <row r="60">
      <c r="C60" s="82"/>
    </row>
    <row r="61">
      <c r="C61" s="82"/>
    </row>
    <row r="62">
      <c r="C62" s="82"/>
    </row>
    <row r="63">
      <c r="C63" s="82"/>
    </row>
    <row r="64">
      <c r="C64" s="82"/>
    </row>
    <row r="65">
      <c r="C65" s="82"/>
    </row>
    <row r="66">
      <c r="C66" s="82"/>
    </row>
    <row r="67">
      <c r="C67" s="82"/>
    </row>
    <row r="68">
      <c r="C68" s="82"/>
    </row>
    <row r="69">
      <c r="C69" s="82"/>
    </row>
    <row r="70">
      <c r="C70" s="82"/>
    </row>
    <row r="71">
      <c r="C71" s="82"/>
    </row>
    <row r="72">
      <c r="C72" s="82"/>
    </row>
    <row r="73">
      <c r="C73" s="82"/>
    </row>
    <row r="74">
      <c r="C74" s="82"/>
    </row>
    <row r="75">
      <c r="C75" s="82"/>
      <c r="D75" s="44"/>
      <c r="E75" s="44"/>
      <c r="F75" s="44"/>
      <c r="G75" s="44"/>
      <c r="H75" s="44"/>
      <c r="I75" s="44"/>
    </row>
    <row r="76">
      <c r="C76" s="82"/>
      <c r="D76" s="44"/>
      <c r="E76" s="44"/>
      <c r="G76" s="1">
        <v>8848.58</v>
      </c>
    </row>
    <row r="77">
      <c r="C77" s="82"/>
      <c r="E77" s="44"/>
      <c r="G77" s="1">
        <v>-8661.72</v>
      </c>
    </row>
    <row r="78">
      <c r="C78" s="82"/>
      <c r="D78" s="44"/>
    </row>
    <row r="79">
      <c r="C79" s="82"/>
    </row>
    <row r="80">
      <c r="C80" s="82"/>
      <c r="J80" s="52"/>
    </row>
    <row r="81">
      <c r="C81" s="82"/>
      <c r="J81" s="51"/>
    </row>
    <row r="82">
      <c r="C82" s="82"/>
      <c r="J82" s="51"/>
    </row>
    <row r="83">
      <c r="C83" s="82"/>
      <c r="J83" s="51"/>
    </row>
    <row r="84">
      <c r="C84" s="82"/>
      <c r="D84" s="67"/>
      <c r="E84" s="67"/>
      <c r="F84" s="68"/>
      <c r="G84" s="68"/>
      <c r="H84" s="67"/>
      <c r="I84" s="68"/>
    </row>
    <row r="85">
      <c r="C85" s="82"/>
      <c r="D85" s="68"/>
      <c r="E85" s="68"/>
      <c r="F85" s="68"/>
      <c r="G85" s="68"/>
      <c r="H85" s="68"/>
      <c r="I85" s="68"/>
    </row>
    <row r="86">
      <c r="C86" s="82"/>
    </row>
    <row r="87">
      <c r="C87" s="82"/>
    </row>
    <row r="88">
      <c r="C88" s="82"/>
    </row>
    <row r="89">
      <c r="C89" s="82"/>
    </row>
    <row r="90">
      <c r="C90" s="82"/>
    </row>
    <row r="91">
      <c r="C91" s="82"/>
    </row>
    <row r="92">
      <c r="C92" s="82"/>
    </row>
    <row r="93">
      <c r="C93" s="82"/>
    </row>
    <row r="94">
      <c r="C94" s="82"/>
      <c r="E94" s="1">
        <v>17.3</v>
      </c>
    </row>
    <row r="95">
      <c r="E95" s="1">
        <v>15.81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75"/>
    <col customWidth="1" min="2" max="2" width="29.63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</row>
    <row r="2">
      <c r="A2" s="43"/>
      <c r="B2" s="44" t="s">
        <v>1096</v>
      </c>
      <c r="C2" s="30">
        <v>11.0</v>
      </c>
      <c r="D2" s="30">
        <v>11.0</v>
      </c>
      <c r="E2" s="44"/>
      <c r="F2" s="45"/>
      <c r="G2" s="45"/>
      <c r="H2" s="30"/>
      <c r="I2" s="45"/>
      <c r="J2" s="45"/>
      <c r="K2" s="44"/>
      <c r="L2" s="44"/>
    </row>
    <row r="3">
      <c r="A3" s="43"/>
      <c r="B3" s="44" t="s">
        <v>1097</v>
      </c>
      <c r="C3" s="30">
        <v>24.0</v>
      </c>
      <c r="D3" s="30">
        <v>24.0</v>
      </c>
      <c r="E3" s="44"/>
      <c r="F3" s="45"/>
      <c r="G3" s="45"/>
      <c r="H3" s="30"/>
      <c r="I3" s="45"/>
      <c r="J3" s="45"/>
      <c r="K3" s="45"/>
      <c r="L3" s="44"/>
    </row>
    <row r="4">
      <c r="A4" s="43"/>
      <c r="B4" s="44" t="s">
        <v>750</v>
      </c>
      <c r="C4" s="30">
        <v>106.0</v>
      </c>
      <c r="D4" s="30"/>
      <c r="E4" s="30"/>
      <c r="F4" s="45"/>
      <c r="G4" s="45"/>
      <c r="H4" s="30">
        <v>106.0</v>
      </c>
      <c r="I4" s="45"/>
      <c r="J4" s="44"/>
      <c r="K4" s="45"/>
      <c r="L4" s="44"/>
    </row>
    <row r="5">
      <c r="A5" s="43"/>
      <c r="B5" s="44" t="s">
        <v>1078</v>
      </c>
      <c r="C5" s="30">
        <v>79.0</v>
      </c>
      <c r="D5" s="44"/>
      <c r="E5" s="44"/>
      <c r="F5" s="44"/>
      <c r="G5" s="45"/>
      <c r="H5" s="30">
        <v>79.0</v>
      </c>
      <c r="I5" s="44"/>
      <c r="J5" s="30"/>
      <c r="K5" s="45"/>
      <c r="L5" s="44"/>
    </row>
    <row r="6">
      <c r="A6" s="43"/>
      <c r="B6" s="44"/>
      <c r="C6" s="30" t="s">
        <v>139</v>
      </c>
      <c r="D6" s="8">
        <f t="shared" ref="D6:L6" si="1">SUM(D2:D5)</f>
        <v>35</v>
      </c>
      <c r="E6" s="30">
        <f t="shared" si="1"/>
        <v>0</v>
      </c>
      <c r="F6" s="30">
        <f t="shared" si="1"/>
        <v>0</v>
      </c>
      <c r="G6" s="30">
        <f t="shared" si="1"/>
        <v>0</v>
      </c>
      <c r="H6" s="8">
        <f t="shared" si="1"/>
        <v>185</v>
      </c>
      <c r="I6" s="30">
        <f t="shared" si="1"/>
        <v>0</v>
      </c>
      <c r="J6" s="30">
        <f t="shared" si="1"/>
        <v>0</v>
      </c>
      <c r="K6" s="30">
        <f t="shared" si="1"/>
        <v>0</v>
      </c>
      <c r="L6" s="30">
        <f t="shared" si="1"/>
        <v>0</v>
      </c>
    </row>
    <row r="7">
      <c r="A7" s="43"/>
      <c r="B7" s="44"/>
      <c r="C7" s="30"/>
      <c r="D7" s="30"/>
      <c r="E7" s="44"/>
      <c r="F7" s="45"/>
      <c r="G7" s="45"/>
      <c r="H7" s="44"/>
      <c r="I7" s="45"/>
      <c r="J7" s="44"/>
      <c r="K7" s="45"/>
    </row>
    <row r="8">
      <c r="A8" s="44"/>
      <c r="B8" s="44"/>
      <c r="C8" s="30"/>
      <c r="D8" s="30"/>
      <c r="E8" s="44"/>
      <c r="G8" s="45"/>
      <c r="H8" s="44"/>
      <c r="I8" s="45"/>
      <c r="J8" s="44"/>
      <c r="K8" s="45"/>
      <c r="L8" s="45"/>
    </row>
    <row r="9">
      <c r="A9" s="43"/>
      <c r="B9" s="44"/>
      <c r="C9" s="30"/>
      <c r="D9" s="30"/>
      <c r="E9" s="48"/>
      <c r="F9" s="48"/>
      <c r="G9" s="48"/>
      <c r="H9" s="48"/>
      <c r="I9" s="48"/>
      <c r="J9" s="48"/>
      <c r="K9" s="48"/>
      <c r="L9" s="48"/>
    </row>
    <row r="10">
      <c r="A10" s="43"/>
      <c r="B10" s="44"/>
      <c r="C10" s="30"/>
      <c r="D10" s="30"/>
      <c r="E10" s="45"/>
      <c r="F10" s="45"/>
      <c r="G10" s="45"/>
      <c r="H10" s="45"/>
      <c r="I10" s="45"/>
      <c r="J10" s="44"/>
      <c r="K10" s="45"/>
      <c r="L10" s="44"/>
    </row>
    <row r="11">
      <c r="A11" s="43"/>
      <c r="B11" s="44"/>
      <c r="C11" s="30"/>
      <c r="D11" s="30"/>
      <c r="E11" s="44"/>
      <c r="F11" s="44"/>
      <c r="G11" s="44"/>
      <c r="H11" s="45"/>
      <c r="I11" s="45"/>
      <c r="J11" s="45"/>
      <c r="K11" s="45"/>
      <c r="L11" s="45"/>
    </row>
    <row r="12">
      <c r="A12" s="43"/>
      <c r="B12" s="44"/>
      <c r="C12" s="30"/>
      <c r="D12" s="30"/>
      <c r="E12" s="44"/>
      <c r="F12" s="44"/>
      <c r="G12" s="44"/>
      <c r="H12" s="44"/>
      <c r="I12" s="45"/>
      <c r="J12" s="45"/>
      <c r="K12" s="45"/>
      <c r="L12" s="45"/>
    </row>
    <row r="13">
      <c r="A13" s="43"/>
      <c r="B13" s="44"/>
      <c r="C13" s="30"/>
      <c r="D13" s="44"/>
      <c r="E13" s="44"/>
      <c r="F13" s="45"/>
      <c r="G13" s="44"/>
      <c r="H13" s="45"/>
      <c r="I13" s="45"/>
      <c r="J13" s="45"/>
      <c r="K13" s="45"/>
      <c r="L13" s="45"/>
    </row>
    <row r="14">
      <c r="A14" s="43"/>
      <c r="B14" s="44"/>
      <c r="C14" s="30"/>
      <c r="D14" s="44"/>
      <c r="E14" s="44"/>
      <c r="F14" s="44"/>
      <c r="G14" s="45"/>
      <c r="H14" s="44"/>
      <c r="I14" s="45"/>
      <c r="J14" s="30"/>
      <c r="K14" s="45"/>
      <c r="L14" s="48"/>
    </row>
    <row r="15">
      <c r="A15" s="43"/>
      <c r="B15" s="44"/>
      <c r="C15" s="30"/>
      <c r="D15" s="30"/>
      <c r="E15" s="44"/>
      <c r="F15" s="44"/>
      <c r="G15" s="44"/>
      <c r="H15" s="44"/>
      <c r="I15" s="44"/>
      <c r="J15" s="44"/>
      <c r="K15" s="44"/>
      <c r="L15" s="44"/>
    </row>
    <row r="16">
      <c r="A16" s="43"/>
      <c r="B16" s="44"/>
      <c r="C16" s="30"/>
      <c r="D16" s="30"/>
      <c r="E16" s="44"/>
      <c r="F16" s="45"/>
      <c r="G16" s="44"/>
      <c r="H16" s="44"/>
      <c r="I16" s="44"/>
      <c r="J16" s="45"/>
      <c r="K16" s="45"/>
      <c r="L16" s="45"/>
    </row>
    <row r="17">
      <c r="A17" s="43"/>
      <c r="B17" s="44"/>
      <c r="C17" s="30"/>
      <c r="D17" s="30"/>
      <c r="E17" s="44"/>
      <c r="F17" s="45"/>
      <c r="G17" s="44"/>
      <c r="H17" s="30"/>
      <c r="I17" s="45"/>
      <c r="J17" s="45"/>
      <c r="K17" s="45"/>
      <c r="L17" s="45"/>
    </row>
    <row r="18">
      <c r="A18" s="43"/>
      <c r="B18" s="44"/>
      <c r="C18" s="30"/>
      <c r="D18" s="30"/>
      <c r="E18" s="44"/>
      <c r="F18" s="45"/>
      <c r="G18" s="44"/>
      <c r="H18" s="44"/>
      <c r="I18" s="45"/>
      <c r="J18" s="30"/>
      <c r="K18" s="45"/>
      <c r="L18" s="45"/>
    </row>
    <row r="19">
      <c r="A19" s="43"/>
      <c r="B19" s="44"/>
      <c r="C19" s="30"/>
      <c r="D19" s="44"/>
      <c r="E19" s="44"/>
      <c r="F19" s="45"/>
      <c r="G19" s="45"/>
      <c r="H19" s="44"/>
      <c r="I19" s="45"/>
      <c r="J19" s="30"/>
      <c r="K19" s="45"/>
      <c r="L19" s="45"/>
    </row>
    <row r="20">
      <c r="A20" s="43"/>
      <c r="B20" s="44"/>
      <c r="C20" s="30"/>
      <c r="D20" s="44"/>
      <c r="E20" s="44"/>
      <c r="F20" s="45"/>
      <c r="G20" s="45"/>
      <c r="H20" s="44"/>
      <c r="I20" s="45"/>
      <c r="J20" s="45"/>
      <c r="K20" s="45"/>
      <c r="L20" s="45"/>
    </row>
    <row r="21">
      <c r="A21" s="43"/>
      <c r="B21" s="44"/>
      <c r="C21" s="30"/>
      <c r="D21" s="44"/>
      <c r="E21" s="44"/>
      <c r="F21" s="45"/>
      <c r="G21" s="45"/>
      <c r="H21" s="44"/>
      <c r="I21" s="45"/>
      <c r="J21" s="45"/>
      <c r="K21" s="45"/>
      <c r="L21" s="45"/>
    </row>
    <row r="22">
      <c r="A22" s="43"/>
      <c r="B22" s="44"/>
      <c r="C22" s="30"/>
      <c r="D22" s="30"/>
      <c r="E22" s="48"/>
      <c r="F22" s="48"/>
      <c r="G22" s="48"/>
      <c r="H22" s="30"/>
      <c r="I22" s="48"/>
      <c r="J22" s="48"/>
      <c r="K22" s="48"/>
      <c r="L22" s="48"/>
    </row>
    <row r="23">
      <c r="A23" s="43"/>
      <c r="B23" s="44"/>
      <c r="C23" s="1"/>
      <c r="D23" s="69"/>
      <c r="E23" s="69"/>
      <c r="F23" s="69"/>
      <c r="G23" s="69"/>
      <c r="H23" s="69"/>
      <c r="I23" s="69"/>
      <c r="J23" s="69"/>
      <c r="K23" s="69"/>
      <c r="L23" s="69"/>
    </row>
    <row r="24">
      <c r="A24" s="43"/>
      <c r="B24" s="44"/>
      <c r="C24" s="30"/>
      <c r="D24" s="30"/>
    </row>
    <row r="25">
      <c r="A25" s="44"/>
      <c r="B25" s="44"/>
      <c r="C25" s="1"/>
      <c r="D25" s="44"/>
      <c r="E25" s="1"/>
    </row>
    <row r="26">
      <c r="A26" s="44"/>
      <c r="B26" s="44"/>
      <c r="C26" s="1"/>
      <c r="E26" s="1"/>
    </row>
    <row r="27">
      <c r="A27" s="43"/>
      <c r="B27" s="45"/>
      <c r="C27" s="30"/>
      <c r="D27" s="3"/>
      <c r="E27" s="3"/>
    </row>
    <row r="28">
      <c r="A28" s="43"/>
      <c r="B28" s="45"/>
      <c r="C28" s="82"/>
    </row>
    <row r="29">
      <c r="A29" s="43"/>
      <c r="B29" s="44"/>
      <c r="C29" s="30"/>
    </row>
    <row r="30">
      <c r="A30" s="43"/>
      <c r="B30" s="44"/>
      <c r="C30" s="30"/>
    </row>
    <row r="31">
      <c r="A31" s="43"/>
      <c r="F31" s="44"/>
      <c r="I31" s="30"/>
    </row>
    <row r="32">
      <c r="A32" s="43"/>
      <c r="B32" s="44"/>
      <c r="C32" s="30"/>
    </row>
    <row r="33">
      <c r="A33" s="43"/>
      <c r="B33" s="44"/>
      <c r="C33" s="30"/>
    </row>
    <row r="34">
      <c r="A34" s="66"/>
      <c r="B34" s="44"/>
      <c r="C34" s="30"/>
    </row>
    <row r="35">
      <c r="B35" s="44"/>
      <c r="C35" s="30"/>
    </row>
    <row r="36">
      <c r="B36" s="44"/>
      <c r="C36" s="30"/>
      <c r="J36" s="68"/>
    </row>
    <row r="37">
      <c r="C37" s="30"/>
      <c r="J37" s="68"/>
    </row>
    <row r="38">
      <c r="C38" s="82"/>
    </row>
    <row r="39">
      <c r="C39" s="82"/>
    </row>
    <row r="40">
      <c r="C40" s="82"/>
    </row>
    <row r="41">
      <c r="C41" s="82"/>
    </row>
    <row r="42">
      <c r="C42" s="82"/>
    </row>
    <row r="43">
      <c r="C43" s="82"/>
    </row>
    <row r="44">
      <c r="C44" s="82"/>
    </row>
    <row r="45">
      <c r="C45" s="82"/>
    </row>
    <row r="46">
      <c r="A46" s="41"/>
      <c r="C46" s="82"/>
    </row>
    <row r="47">
      <c r="A47" s="41"/>
      <c r="C47" s="82"/>
    </row>
    <row r="48">
      <c r="A48" s="41"/>
      <c r="C48" s="82"/>
    </row>
    <row r="49">
      <c r="C49" s="82"/>
    </row>
    <row r="50">
      <c r="C50" s="82"/>
    </row>
    <row r="51">
      <c r="C51" s="82"/>
    </row>
    <row r="52">
      <c r="C52" s="82"/>
    </row>
    <row r="53">
      <c r="C53" s="82"/>
    </row>
    <row r="54">
      <c r="C54" s="82"/>
    </row>
    <row r="55">
      <c r="C55" s="82"/>
    </row>
    <row r="56">
      <c r="C56" s="82"/>
    </row>
    <row r="57">
      <c r="C57" s="82"/>
    </row>
    <row r="58">
      <c r="C58" s="82"/>
    </row>
    <row r="59">
      <c r="C59" s="82"/>
    </row>
    <row r="60">
      <c r="C60" s="82"/>
    </row>
    <row r="61">
      <c r="C61" s="82"/>
    </row>
    <row r="62">
      <c r="C62" s="82"/>
    </row>
    <row r="63">
      <c r="C63" s="82"/>
    </row>
    <row r="64">
      <c r="C64" s="82"/>
    </row>
    <row r="65">
      <c r="C65" s="82"/>
    </row>
    <row r="66">
      <c r="C66" s="82"/>
    </row>
    <row r="67">
      <c r="C67" s="82"/>
    </row>
    <row r="68">
      <c r="C68" s="82"/>
    </row>
    <row r="69">
      <c r="C69" s="82"/>
    </row>
    <row r="70">
      <c r="C70" s="82"/>
    </row>
    <row r="71">
      <c r="C71" s="82"/>
    </row>
    <row r="72">
      <c r="C72" s="82"/>
    </row>
    <row r="73">
      <c r="C73" s="82"/>
    </row>
    <row r="74">
      <c r="C74" s="82"/>
    </row>
    <row r="75">
      <c r="C75" s="82"/>
      <c r="D75" s="44"/>
      <c r="E75" s="44"/>
      <c r="F75" s="44"/>
      <c r="G75" s="44"/>
      <c r="H75" s="44"/>
      <c r="I75" s="44"/>
    </row>
    <row r="76">
      <c r="C76" s="82"/>
      <c r="D76" s="44"/>
      <c r="E76" s="44"/>
      <c r="G76" s="1">
        <v>8848.58</v>
      </c>
    </row>
    <row r="77">
      <c r="C77" s="82"/>
      <c r="E77" s="44"/>
      <c r="G77" s="1">
        <v>-8661.72</v>
      </c>
    </row>
    <row r="78">
      <c r="C78" s="82"/>
      <c r="D78" s="44"/>
    </row>
    <row r="79">
      <c r="C79" s="82"/>
    </row>
    <row r="80">
      <c r="C80" s="82"/>
      <c r="J80" s="52"/>
    </row>
    <row r="81">
      <c r="C81" s="82"/>
      <c r="J81" s="51"/>
    </row>
    <row r="82">
      <c r="C82" s="82"/>
      <c r="J82" s="51"/>
    </row>
    <row r="83">
      <c r="C83" s="82"/>
      <c r="J83" s="51"/>
    </row>
    <row r="84">
      <c r="C84" s="82"/>
      <c r="D84" s="67"/>
      <c r="E84" s="67"/>
      <c r="F84" s="68"/>
      <c r="G84" s="68"/>
      <c r="H84" s="67"/>
      <c r="I84" s="68"/>
    </row>
    <row r="85">
      <c r="C85" s="82"/>
      <c r="D85" s="68"/>
      <c r="E85" s="68"/>
      <c r="F85" s="68"/>
      <c r="G85" s="68"/>
      <c r="H85" s="68"/>
      <c r="I85" s="68"/>
    </row>
    <row r="86">
      <c r="C86" s="82"/>
    </row>
    <row r="87">
      <c r="C87" s="82"/>
    </row>
    <row r="88">
      <c r="C88" s="82"/>
    </row>
    <row r="89">
      <c r="C89" s="82"/>
    </row>
    <row r="90">
      <c r="C90" s="82"/>
    </row>
    <row r="91">
      <c r="C91" s="82"/>
    </row>
    <row r="92">
      <c r="C92" s="82"/>
    </row>
    <row r="93">
      <c r="C93" s="82"/>
    </row>
    <row r="94">
      <c r="C94" s="82"/>
      <c r="E94" s="1">
        <v>17.3</v>
      </c>
    </row>
    <row r="95">
      <c r="E95" s="1">
        <v>15.81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75"/>
    <col customWidth="1" min="2" max="2" width="32.25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</row>
    <row r="2">
      <c r="A2" s="43">
        <v>45912.0</v>
      </c>
      <c r="B2" s="44" t="s">
        <v>114</v>
      </c>
      <c r="C2" s="30">
        <v>59.0</v>
      </c>
      <c r="D2" s="30"/>
      <c r="E2" s="44"/>
      <c r="F2" s="45"/>
      <c r="G2" s="45"/>
      <c r="H2" s="30">
        <v>59.0</v>
      </c>
      <c r="I2" s="45"/>
      <c r="J2" s="45"/>
      <c r="K2" s="44"/>
      <c r="L2" s="44"/>
    </row>
    <row r="3">
      <c r="A3" s="43">
        <v>45912.0</v>
      </c>
      <c r="B3" s="44" t="s">
        <v>114</v>
      </c>
      <c r="C3" s="30">
        <v>84.0</v>
      </c>
      <c r="D3" s="30"/>
      <c r="E3" s="44"/>
      <c r="F3" s="45"/>
      <c r="G3" s="45"/>
      <c r="H3" s="30">
        <v>84.0</v>
      </c>
      <c r="I3" s="45"/>
      <c r="J3" s="45"/>
      <c r="K3" s="45"/>
      <c r="L3" s="44"/>
    </row>
    <row r="4">
      <c r="A4" s="43">
        <v>45912.0</v>
      </c>
      <c r="B4" s="44" t="s">
        <v>1098</v>
      </c>
      <c r="C4" s="30">
        <v>135.78</v>
      </c>
      <c r="D4" s="44"/>
      <c r="E4" s="44"/>
      <c r="F4" s="44"/>
      <c r="G4" s="45"/>
      <c r="H4" s="30"/>
      <c r="I4" s="44"/>
      <c r="J4" s="30">
        <v>135.78</v>
      </c>
      <c r="K4" s="45"/>
    </row>
    <row r="5">
      <c r="A5" s="43">
        <v>45913.0</v>
      </c>
      <c r="B5" s="44" t="s">
        <v>1099</v>
      </c>
      <c r="C5" s="30">
        <v>62.8</v>
      </c>
      <c r="D5" s="8"/>
      <c r="E5" s="30"/>
      <c r="F5" s="30"/>
      <c r="G5" s="30"/>
      <c r="H5" s="30">
        <v>62.8</v>
      </c>
      <c r="I5" s="30"/>
      <c r="J5" s="30"/>
      <c r="K5" s="30"/>
      <c r="L5" s="30"/>
    </row>
    <row r="6">
      <c r="A6" s="43">
        <v>45914.0</v>
      </c>
      <c r="B6" s="44" t="s">
        <v>1100</v>
      </c>
      <c r="C6" s="30">
        <v>40.0</v>
      </c>
      <c r="D6" s="30"/>
      <c r="E6" s="44"/>
      <c r="F6" s="45"/>
      <c r="G6" s="45"/>
      <c r="H6" s="30">
        <v>40.0</v>
      </c>
      <c r="I6" s="45"/>
      <c r="J6" s="44"/>
      <c r="K6" s="45"/>
    </row>
    <row r="7">
      <c r="A7" s="46">
        <v>45916.0</v>
      </c>
      <c r="B7" s="44" t="s">
        <v>196</v>
      </c>
      <c r="C7" s="30">
        <v>95.0</v>
      </c>
      <c r="D7" s="30"/>
      <c r="E7" s="44"/>
      <c r="G7" s="45"/>
      <c r="H7" s="30">
        <v>95.0</v>
      </c>
      <c r="I7" s="45"/>
      <c r="J7" s="44"/>
      <c r="K7" s="45"/>
      <c r="L7" s="45"/>
    </row>
    <row r="8">
      <c r="A8" s="43">
        <v>45918.0</v>
      </c>
      <c r="B8" s="44" t="s">
        <v>1101</v>
      </c>
      <c r="C8" s="30"/>
      <c r="D8" s="30"/>
      <c r="E8" s="48"/>
      <c r="F8" s="48"/>
      <c r="G8" s="48"/>
      <c r="H8" s="48"/>
      <c r="I8" s="48"/>
      <c r="J8" s="48"/>
      <c r="K8" s="48"/>
      <c r="L8" s="48"/>
    </row>
    <row r="9">
      <c r="A9" s="43">
        <v>45919.0</v>
      </c>
      <c r="B9" s="44" t="s">
        <v>1102</v>
      </c>
      <c r="C9" s="30">
        <v>20.0</v>
      </c>
      <c r="D9" s="30"/>
      <c r="E9" s="45"/>
      <c r="F9" s="45"/>
      <c r="G9" s="45"/>
      <c r="H9" s="30">
        <v>20.0</v>
      </c>
      <c r="I9" s="45"/>
      <c r="J9" s="44"/>
      <c r="K9" s="45"/>
      <c r="L9" s="44"/>
    </row>
    <row r="10">
      <c r="A10" s="43">
        <v>45919.0</v>
      </c>
      <c r="B10" s="44" t="s">
        <v>1103</v>
      </c>
      <c r="C10" s="30">
        <v>20.9</v>
      </c>
      <c r="D10" s="30"/>
      <c r="E10" s="44"/>
      <c r="F10" s="44"/>
      <c r="G10" s="44"/>
      <c r="H10" s="30">
        <v>20.9</v>
      </c>
      <c r="I10" s="45"/>
      <c r="J10" s="45"/>
      <c r="K10" s="45"/>
      <c r="L10" s="45"/>
    </row>
    <row r="11">
      <c r="A11" s="43">
        <v>45920.0</v>
      </c>
      <c r="B11" s="44" t="s">
        <v>1104</v>
      </c>
      <c r="C11" s="30">
        <v>88.0</v>
      </c>
      <c r="D11" s="30"/>
      <c r="E11" s="44"/>
      <c r="F11" s="44"/>
      <c r="G11" s="44"/>
      <c r="H11" s="30">
        <v>88.0</v>
      </c>
      <c r="I11" s="45"/>
      <c r="J11" s="45"/>
      <c r="K11" s="45"/>
      <c r="L11" s="45"/>
    </row>
    <row r="12">
      <c r="A12" s="43">
        <v>45920.0</v>
      </c>
      <c r="B12" s="44" t="s">
        <v>1105</v>
      </c>
      <c r="C12" s="30">
        <v>17.5</v>
      </c>
      <c r="D12" s="44"/>
      <c r="E12" s="44"/>
      <c r="F12" s="45"/>
      <c r="G12" s="44"/>
      <c r="H12" s="30">
        <v>17.5</v>
      </c>
      <c r="I12" s="45"/>
      <c r="J12" s="45"/>
      <c r="K12" s="45"/>
      <c r="L12" s="45"/>
    </row>
    <row r="13">
      <c r="A13" s="43">
        <v>45920.0</v>
      </c>
      <c r="B13" s="44" t="s">
        <v>1106</v>
      </c>
      <c r="C13" s="30">
        <v>21.37</v>
      </c>
      <c r="D13" s="44"/>
      <c r="E13" s="44"/>
      <c r="F13" s="44"/>
      <c r="G13" s="45"/>
      <c r="H13" s="44">
        <f>C13-10</f>
        <v>11.37</v>
      </c>
      <c r="I13" s="45"/>
      <c r="J13" s="30">
        <v>10.0</v>
      </c>
      <c r="K13" s="45"/>
      <c r="L13" s="48"/>
    </row>
    <row r="14">
      <c r="A14" s="43">
        <v>45920.0</v>
      </c>
      <c r="B14" s="44" t="s">
        <v>1107</v>
      </c>
      <c r="C14" s="30">
        <v>54.4</v>
      </c>
      <c r="D14" s="30">
        <v>54.4</v>
      </c>
      <c r="E14" s="44"/>
      <c r="F14" s="44"/>
      <c r="G14" s="44"/>
      <c r="H14" s="44"/>
      <c r="I14" s="44"/>
      <c r="J14" s="44"/>
      <c r="K14" s="44"/>
      <c r="L14" s="44"/>
    </row>
    <row r="15">
      <c r="A15" s="43">
        <v>45921.0</v>
      </c>
      <c r="B15" s="44" t="s">
        <v>764</v>
      </c>
      <c r="C15" s="30">
        <v>56.9</v>
      </c>
      <c r="D15" s="30">
        <v>50.0</v>
      </c>
      <c r="E15" s="44"/>
      <c r="F15" s="44">
        <v>6.9</v>
      </c>
      <c r="G15" s="44"/>
      <c r="H15" s="44"/>
      <c r="I15" s="44"/>
      <c r="J15" s="45"/>
      <c r="K15" s="45"/>
      <c r="L15" s="45"/>
    </row>
    <row r="16">
      <c r="A16" s="43">
        <v>45921.0</v>
      </c>
      <c r="B16" s="44" t="s">
        <v>1108</v>
      </c>
      <c r="C16" s="30">
        <v>5.0</v>
      </c>
      <c r="D16" s="30"/>
      <c r="E16" s="44"/>
      <c r="F16" s="45"/>
      <c r="G16" s="44"/>
      <c r="H16" s="30">
        <v>5.0</v>
      </c>
      <c r="I16" s="45"/>
      <c r="J16" s="45"/>
      <c r="K16" s="45"/>
      <c r="L16" s="45"/>
    </row>
    <row r="17">
      <c r="A17" s="43">
        <v>45921.0</v>
      </c>
      <c r="B17" s="44" t="s">
        <v>196</v>
      </c>
      <c r="C17" s="30">
        <v>51.0</v>
      </c>
      <c r="D17" s="30"/>
      <c r="E17" s="44"/>
      <c r="F17" s="45"/>
      <c r="G17" s="44"/>
      <c r="H17" s="30">
        <v>51.0</v>
      </c>
      <c r="I17" s="45"/>
      <c r="J17" s="30"/>
      <c r="K17" s="45"/>
      <c r="L17" s="45"/>
    </row>
    <row r="18">
      <c r="A18" s="43">
        <v>45921.0</v>
      </c>
      <c r="B18" s="44" t="s">
        <v>829</v>
      </c>
      <c r="C18" s="30">
        <v>62.7</v>
      </c>
      <c r="D18" s="44"/>
      <c r="E18" s="44"/>
      <c r="F18" s="45"/>
      <c r="G18" s="45"/>
      <c r="H18" s="30">
        <v>62.7</v>
      </c>
      <c r="I18" s="45"/>
      <c r="J18" s="30"/>
      <c r="K18" s="45"/>
      <c r="L18" s="45"/>
    </row>
    <row r="19">
      <c r="A19" s="43">
        <v>45923.0</v>
      </c>
      <c r="B19" s="44" t="s">
        <v>1109</v>
      </c>
      <c r="C19" s="30">
        <v>136.0</v>
      </c>
      <c r="D19" s="44"/>
      <c r="E19" s="44"/>
      <c r="F19" s="45"/>
      <c r="G19" s="45"/>
      <c r="H19" s="30">
        <v>136.0</v>
      </c>
      <c r="I19" s="45"/>
      <c r="J19" s="45"/>
      <c r="K19" s="45"/>
      <c r="L19" s="45"/>
    </row>
    <row r="20">
      <c r="A20" s="43">
        <v>45923.0</v>
      </c>
      <c r="B20" s="44" t="s">
        <v>1110</v>
      </c>
      <c r="C20" s="30">
        <v>150.59</v>
      </c>
      <c r="D20" s="44"/>
      <c r="E20" s="44"/>
      <c r="F20" s="45"/>
      <c r="G20" s="45"/>
      <c r="H20" s="44"/>
      <c r="I20" s="45"/>
      <c r="J20" s="30">
        <v>150.59</v>
      </c>
      <c r="K20" s="45"/>
      <c r="L20" s="45"/>
    </row>
    <row r="21">
      <c r="A21" s="43">
        <v>45926.0</v>
      </c>
      <c r="B21" s="44" t="s">
        <v>1111</v>
      </c>
      <c r="C21" s="30">
        <v>84.0</v>
      </c>
      <c r="D21" s="30"/>
      <c r="E21" s="48"/>
      <c r="F21" s="48"/>
      <c r="G21" s="48"/>
      <c r="H21" s="30">
        <v>84.0</v>
      </c>
      <c r="I21" s="48"/>
      <c r="J21" s="48"/>
      <c r="K21" s="48"/>
      <c r="L21" s="48"/>
    </row>
    <row r="22">
      <c r="A22" s="43">
        <v>45927.0</v>
      </c>
      <c r="B22" s="44" t="s">
        <v>503</v>
      </c>
      <c r="C22" s="1">
        <v>52.0</v>
      </c>
      <c r="D22" s="69"/>
      <c r="E22" s="1">
        <v>52.0</v>
      </c>
      <c r="F22" s="69"/>
      <c r="G22" s="69"/>
      <c r="H22" s="69"/>
      <c r="I22" s="69"/>
      <c r="J22" s="69"/>
      <c r="K22" s="69"/>
      <c r="L22" s="69"/>
    </row>
    <row r="23">
      <c r="A23" s="43">
        <v>45928.0</v>
      </c>
      <c r="B23" s="44" t="s">
        <v>736</v>
      </c>
      <c r="C23" s="30">
        <v>441.3</v>
      </c>
      <c r="D23" s="30">
        <v>411.3</v>
      </c>
      <c r="F23" s="1">
        <v>30.0</v>
      </c>
    </row>
    <row r="24">
      <c r="A24" s="41">
        <v>45927.0</v>
      </c>
      <c r="B24" s="1" t="s">
        <v>1112</v>
      </c>
      <c r="C24" s="13">
        <v>859.07</v>
      </c>
      <c r="D24" s="44"/>
    </row>
    <row r="25">
      <c r="A25" s="46">
        <v>45897.0</v>
      </c>
      <c r="B25" s="44" t="s">
        <v>1113</v>
      </c>
      <c r="C25" s="1"/>
    </row>
    <row r="26">
      <c r="A26" s="43">
        <v>45912.0</v>
      </c>
      <c r="B26" s="44" t="s">
        <v>1114</v>
      </c>
      <c r="C26" s="30">
        <v>5.0</v>
      </c>
      <c r="D26" s="3"/>
      <c r="E26" s="88">
        <v>5.0</v>
      </c>
    </row>
    <row r="27">
      <c r="A27" s="43">
        <v>45914.0</v>
      </c>
      <c r="B27" s="44" t="s">
        <v>1115</v>
      </c>
      <c r="C27" s="30">
        <v>5.0</v>
      </c>
      <c r="E27" s="88">
        <v>5.0</v>
      </c>
    </row>
    <row r="28">
      <c r="A28" s="43">
        <v>45915.0</v>
      </c>
      <c r="B28" s="44" t="s">
        <v>1116</v>
      </c>
      <c r="C28" s="30">
        <v>32.0</v>
      </c>
      <c r="D28" s="30">
        <v>32.0</v>
      </c>
    </row>
    <row r="29">
      <c r="A29" s="43">
        <v>45921.0</v>
      </c>
      <c r="B29" s="44" t="s">
        <v>1115</v>
      </c>
      <c r="C29" s="30">
        <v>5.0</v>
      </c>
      <c r="E29" s="88">
        <v>5.0</v>
      </c>
    </row>
    <row r="30">
      <c r="A30" s="43"/>
      <c r="F30" s="44"/>
      <c r="I30" s="30"/>
    </row>
    <row r="31">
      <c r="A31" s="43"/>
      <c r="B31" s="44" t="s">
        <v>139</v>
      </c>
      <c r="C31" s="30">
        <f t="shared" ref="C31:L31" si="1">SUM(C2:C30)</f>
        <v>2644.31</v>
      </c>
      <c r="D31" s="89">
        <f t="shared" si="1"/>
        <v>547.7</v>
      </c>
      <c r="E31" s="89">
        <f t="shared" si="1"/>
        <v>67</v>
      </c>
      <c r="F31" s="30">
        <f t="shared" si="1"/>
        <v>36.9</v>
      </c>
      <c r="G31" s="30">
        <f t="shared" si="1"/>
        <v>0</v>
      </c>
      <c r="H31" s="89">
        <f t="shared" si="1"/>
        <v>837.27</v>
      </c>
      <c r="I31" s="30">
        <f t="shared" si="1"/>
        <v>0</v>
      </c>
      <c r="J31" s="89">
        <f t="shared" si="1"/>
        <v>296.37</v>
      </c>
      <c r="K31" s="30">
        <f t="shared" si="1"/>
        <v>0</v>
      </c>
      <c r="L31" s="30">
        <f t="shared" si="1"/>
        <v>0</v>
      </c>
    </row>
    <row r="32">
      <c r="A32" s="43"/>
      <c r="B32" s="44"/>
      <c r="C32" s="30"/>
    </row>
    <row r="33">
      <c r="A33" s="66"/>
      <c r="B33" s="44"/>
      <c r="C33" s="30"/>
    </row>
    <row r="34">
      <c r="B34" s="44"/>
      <c r="C34" s="30"/>
      <c r="D34" s="4">
        <f>8775.12-8661.72</f>
        <v>113.4</v>
      </c>
    </row>
    <row r="35">
      <c r="B35" s="44"/>
      <c r="C35" s="30"/>
      <c r="J35" s="68"/>
    </row>
    <row r="36">
      <c r="C36" s="30"/>
      <c r="H36" s="4">
        <f>2599.53-C24</f>
        <v>1740.46</v>
      </c>
      <c r="J36" s="68"/>
    </row>
    <row r="37">
      <c r="C37" s="82"/>
    </row>
    <row r="38">
      <c r="C38" s="82"/>
    </row>
    <row r="39">
      <c r="C39" s="82"/>
    </row>
    <row r="40">
      <c r="C40" s="82"/>
    </row>
    <row r="41">
      <c r="C41" s="82"/>
    </row>
    <row r="42">
      <c r="C42" s="82"/>
    </row>
    <row r="43">
      <c r="C43" s="82"/>
    </row>
    <row r="44">
      <c r="C44" s="82"/>
    </row>
    <row r="45">
      <c r="A45" s="41"/>
      <c r="C45" s="82"/>
    </row>
    <row r="46">
      <c r="A46" s="41"/>
      <c r="C46" s="82"/>
    </row>
    <row r="47">
      <c r="A47" s="41"/>
      <c r="C47" s="82"/>
    </row>
    <row r="48">
      <c r="C48" s="82"/>
    </row>
    <row r="49">
      <c r="C49" s="82"/>
    </row>
    <row r="50">
      <c r="C50" s="82"/>
    </row>
    <row r="51">
      <c r="C51" s="82"/>
    </row>
    <row r="52">
      <c r="C52" s="82"/>
    </row>
    <row r="53">
      <c r="C53" s="82"/>
    </row>
    <row r="54">
      <c r="C54" s="82"/>
    </row>
    <row r="55">
      <c r="C55" s="82"/>
    </row>
    <row r="56">
      <c r="C56" s="82"/>
    </row>
    <row r="57">
      <c r="C57" s="82"/>
    </row>
    <row r="58">
      <c r="C58" s="82"/>
    </row>
    <row r="59">
      <c r="C59" s="82"/>
    </row>
    <row r="60">
      <c r="C60" s="82"/>
    </row>
    <row r="61">
      <c r="C61" s="82"/>
      <c r="G61" s="1" t="s">
        <v>1117</v>
      </c>
      <c r="H61" s="1">
        <v>100.29</v>
      </c>
      <c r="I61" s="1" t="s">
        <v>1118</v>
      </c>
    </row>
    <row r="62">
      <c r="C62" s="82"/>
      <c r="G62" s="1" t="s">
        <v>1119</v>
      </c>
      <c r="H62" s="1">
        <v>585.0</v>
      </c>
    </row>
    <row r="63">
      <c r="C63" s="82"/>
    </row>
    <row r="64">
      <c r="C64" s="82"/>
    </row>
    <row r="65">
      <c r="C65" s="82"/>
    </row>
    <row r="66">
      <c r="C66" s="82"/>
    </row>
    <row r="67">
      <c r="C67" s="82"/>
    </row>
    <row r="68">
      <c r="C68" s="82"/>
    </row>
    <row r="69">
      <c r="C69" s="82"/>
    </row>
    <row r="70">
      <c r="C70" s="82"/>
    </row>
    <row r="71">
      <c r="C71" s="82"/>
    </row>
    <row r="72">
      <c r="C72" s="82"/>
    </row>
    <row r="73">
      <c r="C73" s="82"/>
    </row>
    <row r="74">
      <c r="C74" s="82"/>
      <c r="D74" s="44"/>
      <c r="E74" s="44"/>
      <c r="F74" s="44"/>
      <c r="G74" s="44"/>
      <c r="H74" s="44"/>
      <c r="I74" s="44"/>
    </row>
    <row r="75">
      <c r="C75" s="82"/>
      <c r="D75" s="44"/>
      <c r="E75" s="44"/>
    </row>
    <row r="76">
      <c r="C76" s="82"/>
      <c r="E76" s="44"/>
    </row>
    <row r="77">
      <c r="C77" s="82"/>
      <c r="D77" s="44"/>
    </row>
    <row r="78">
      <c r="C78" s="82"/>
    </row>
    <row r="79">
      <c r="C79" s="82"/>
      <c r="J79" s="1"/>
    </row>
    <row r="80">
      <c r="C80" s="82"/>
    </row>
    <row r="81">
      <c r="C81" s="82"/>
    </row>
    <row r="82">
      <c r="C82" s="82"/>
    </row>
    <row r="83">
      <c r="C83" s="82"/>
      <c r="D83" s="67"/>
      <c r="E83" s="67"/>
      <c r="F83" s="68"/>
      <c r="G83" s="68"/>
      <c r="H83" s="67"/>
      <c r="I83" s="68"/>
    </row>
    <row r="84">
      <c r="C84" s="82"/>
      <c r="D84" s="68"/>
      <c r="E84" s="68"/>
      <c r="F84" s="68"/>
      <c r="G84" s="68"/>
      <c r="H84" s="68"/>
      <c r="I84" s="68"/>
    </row>
    <row r="85">
      <c r="C85" s="82"/>
    </row>
    <row r="86">
      <c r="C86" s="82"/>
    </row>
    <row r="87">
      <c r="C87" s="82"/>
    </row>
    <row r="88">
      <c r="C88" s="82"/>
    </row>
    <row r="89">
      <c r="C89" s="82"/>
    </row>
    <row r="90">
      <c r="C90" s="82"/>
    </row>
    <row r="91">
      <c r="C91" s="82"/>
    </row>
    <row r="92">
      <c r="C92" s="82"/>
    </row>
    <row r="93">
      <c r="C93" s="82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75"/>
    <col customWidth="1" min="2" max="2" width="32.25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</row>
    <row r="2">
      <c r="A2" s="43">
        <v>45932.0</v>
      </c>
      <c r="B2" s="44" t="s">
        <v>19</v>
      </c>
      <c r="C2" s="30">
        <v>51.7</v>
      </c>
      <c r="D2" s="30"/>
      <c r="E2" s="30">
        <v>51.7</v>
      </c>
      <c r="F2" s="45"/>
      <c r="G2" s="45"/>
      <c r="H2" s="30"/>
      <c r="I2" s="45"/>
      <c r="J2" s="45"/>
      <c r="K2" s="45"/>
      <c r="L2" s="44"/>
    </row>
    <row r="3">
      <c r="A3" s="43">
        <v>45934.0</v>
      </c>
      <c r="B3" s="44" t="s">
        <v>1120</v>
      </c>
      <c r="C3" s="30">
        <v>57.0</v>
      </c>
      <c r="D3" s="44"/>
      <c r="E3" s="30">
        <v>57.0</v>
      </c>
      <c r="F3" s="44"/>
      <c r="G3" s="45"/>
      <c r="H3" s="30"/>
      <c r="I3" s="44"/>
      <c r="J3" s="30"/>
      <c r="K3" s="45"/>
    </row>
    <row r="4">
      <c r="A4" s="43">
        <v>45934.0</v>
      </c>
      <c r="B4" s="44" t="s">
        <v>1121</v>
      </c>
      <c r="C4" s="30">
        <v>27.0</v>
      </c>
      <c r="D4" s="8"/>
      <c r="E4" s="30">
        <v>27.0</v>
      </c>
      <c r="F4" s="30"/>
      <c r="G4" s="30"/>
      <c r="H4" s="30"/>
      <c r="I4" s="30"/>
      <c r="J4" s="30"/>
      <c r="K4" s="30"/>
      <c r="L4" s="30"/>
    </row>
    <row r="5">
      <c r="A5" s="43">
        <v>45934.0</v>
      </c>
      <c r="B5" s="44" t="s">
        <v>1122</v>
      </c>
      <c r="C5" s="30">
        <v>38.0</v>
      </c>
      <c r="D5" s="30"/>
      <c r="E5" s="30">
        <v>38.0</v>
      </c>
      <c r="F5" s="45"/>
      <c r="G5" s="45"/>
      <c r="H5" s="30"/>
      <c r="I5" s="45"/>
      <c r="J5" s="44"/>
      <c r="K5" s="45"/>
    </row>
    <row r="6">
      <c r="A6" s="46">
        <v>45934.0</v>
      </c>
      <c r="B6" s="44" t="s">
        <v>1123</v>
      </c>
      <c r="C6" s="30">
        <v>30.0</v>
      </c>
      <c r="D6" s="30"/>
      <c r="E6" s="30">
        <v>30.0</v>
      </c>
      <c r="G6" s="45"/>
      <c r="H6" s="30"/>
      <c r="I6" s="45"/>
      <c r="J6" s="44"/>
      <c r="K6" s="45"/>
      <c r="L6" s="45"/>
    </row>
    <row r="7">
      <c r="A7" s="43">
        <v>45934.0</v>
      </c>
      <c r="B7" s="44" t="s">
        <v>1078</v>
      </c>
      <c r="C7" s="30">
        <v>100.0</v>
      </c>
      <c r="D7" s="30"/>
      <c r="E7" s="30">
        <v>100.0</v>
      </c>
      <c r="F7" s="48"/>
      <c r="G7" s="48"/>
      <c r="H7" s="48"/>
      <c r="I7" s="48"/>
      <c r="J7" s="48"/>
      <c r="K7" s="48"/>
      <c r="L7" s="48"/>
    </row>
    <row r="8">
      <c r="A8" s="43">
        <v>45937.0</v>
      </c>
      <c r="B8" s="44" t="s">
        <v>1124</v>
      </c>
      <c r="C8" s="30">
        <v>49.7</v>
      </c>
      <c r="D8" s="30"/>
      <c r="E8" s="30">
        <v>49.7</v>
      </c>
      <c r="F8" s="45"/>
      <c r="G8" s="45"/>
      <c r="H8" s="30"/>
      <c r="I8" s="45"/>
      <c r="J8" s="44"/>
      <c r="K8" s="45"/>
      <c r="L8" s="44"/>
    </row>
    <row r="9">
      <c r="A9" s="43">
        <v>45937.0</v>
      </c>
      <c r="B9" s="44" t="s">
        <v>608</v>
      </c>
      <c r="C9" s="30">
        <v>124.04</v>
      </c>
      <c r="D9" s="30"/>
      <c r="E9" s="44"/>
      <c r="F9" s="44"/>
      <c r="G9" s="44"/>
      <c r="H9" s="30"/>
      <c r="I9" s="45"/>
      <c r="J9" s="30">
        <v>124.04</v>
      </c>
      <c r="K9" s="45"/>
      <c r="L9" s="45"/>
    </row>
    <row r="10">
      <c r="A10" s="43">
        <v>45938.0</v>
      </c>
      <c r="B10" s="44" t="s">
        <v>27</v>
      </c>
      <c r="C10" s="30">
        <v>195.0</v>
      </c>
      <c r="D10" s="30"/>
      <c r="E10" s="30">
        <v>195.0</v>
      </c>
      <c r="F10" s="44"/>
      <c r="G10" s="44"/>
      <c r="H10" s="30"/>
      <c r="I10" s="45"/>
      <c r="J10" s="45"/>
      <c r="K10" s="45"/>
      <c r="L10" s="45"/>
    </row>
    <row r="11">
      <c r="A11" s="90">
        <v>45940.0</v>
      </c>
      <c r="B11" s="44" t="s">
        <v>1125</v>
      </c>
      <c r="C11" s="30">
        <v>95.4</v>
      </c>
      <c r="D11" s="44"/>
      <c r="E11" s="30">
        <v>95.4</v>
      </c>
      <c r="F11" s="45"/>
      <c r="G11" s="44"/>
      <c r="H11" s="30"/>
      <c r="I11" s="45"/>
      <c r="J11" s="45"/>
      <c r="K11" s="45"/>
      <c r="L11" s="45"/>
    </row>
    <row r="12">
      <c r="A12" s="43">
        <v>45941.0</v>
      </c>
      <c r="B12" s="44" t="s">
        <v>102</v>
      </c>
      <c r="C12" s="30">
        <v>98.0</v>
      </c>
      <c r="D12" s="44"/>
      <c r="E12" s="30">
        <v>98.0</v>
      </c>
      <c r="F12" s="44"/>
      <c r="G12" s="45"/>
      <c r="H12" s="44"/>
      <c r="I12" s="45"/>
      <c r="J12" s="30"/>
      <c r="K12" s="45"/>
      <c r="L12" s="48"/>
    </row>
    <row r="13">
      <c r="A13" s="43">
        <v>45942.0</v>
      </c>
      <c r="B13" s="44" t="s">
        <v>196</v>
      </c>
      <c r="C13" s="30">
        <v>36.0</v>
      </c>
      <c r="D13" s="30"/>
      <c r="E13" s="30">
        <v>36.0</v>
      </c>
      <c r="F13" s="44"/>
      <c r="G13" s="44"/>
      <c r="H13" s="44"/>
      <c r="I13" s="44"/>
      <c r="J13" s="44"/>
      <c r="K13" s="44"/>
      <c r="L13" s="44"/>
    </row>
    <row r="14">
      <c r="A14" s="43">
        <v>45942.0</v>
      </c>
      <c r="B14" s="44" t="s">
        <v>1024</v>
      </c>
      <c r="C14" s="30">
        <v>81.0</v>
      </c>
      <c r="D14" s="30"/>
      <c r="E14" s="30">
        <v>81.0</v>
      </c>
      <c r="F14" s="44"/>
      <c r="G14" s="44"/>
      <c r="H14" s="44"/>
      <c r="I14" s="44"/>
      <c r="J14" s="45"/>
      <c r="K14" s="45"/>
      <c r="L14" s="45"/>
    </row>
    <row r="15">
      <c r="A15" s="43">
        <v>45943.0</v>
      </c>
      <c r="B15" s="44" t="s">
        <v>1126</v>
      </c>
      <c r="C15" s="30">
        <f>26+1.9</f>
        <v>27.9</v>
      </c>
      <c r="D15" s="30"/>
      <c r="E15" s="30">
        <f>26+1.9</f>
        <v>27.9</v>
      </c>
      <c r="F15" s="45"/>
      <c r="G15" s="44"/>
      <c r="H15" s="30"/>
      <c r="I15" s="45"/>
      <c r="J15" s="45"/>
      <c r="K15" s="45"/>
      <c r="L15" s="45"/>
    </row>
    <row r="16">
      <c r="A16" s="43">
        <v>45946.0</v>
      </c>
      <c r="B16" s="44" t="s">
        <v>1127</v>
      </c>
      <c r="C16" s="30">
        <v>135.0</v>
      </c>
      <c r="D16" s="30"/>
      <c r="E16" s="30">
        <v>135.0</v>
      </c>
      <c r="F16" s="45"/>
      <c r="G16" s="44"/>
      <c r="H16" s="30"/>
      <c r="I16" s="45"/>
      <c r="J16" s="30"/>
      <c r="K16" s="45"/>
      <c r="L16" s="45"/>
    </row>
    <row r="17">
      <c r="A17" s="43">
        <v>45948.0</v>
      </c>
      <c r="B17" s="44" t="s">
        <v>1128</v>
      </c>
      <c r="C17" s="30">
        <v>78.0</v>
      </c>
      <c r="D17" s="44"/>
      <c r="E17" s="30">
        <v>78.0</v>
      </c>
      <c r="F17" s="45"/>
      <c r="G17" s="45"/>
      <c r="H17" s="30"/>
      <c r="I17" s="45"/>
      <c r="J17" s="30"/>
      <c r="K17" s="45"/>
      <c r="L17" s="45"/>
    </row>
    <row r="18">
      <c r="A18" s="43">
        <v>45949.0</v>
      </c>
      <c r="B18" s="44" t="s">
        <v>1129</v>
      </c>
      <c r="C18" s="30">
        <v>247.0</v>
      </c>
      <c r="D18" s="44"/>
      <c r="E18" s="30">
        <v>247.0</v>
      </c>
      <c r="F18" s="45"/>
      <c r="G18" s="45"/>
      <c r="H18" s="30"/>
      <c r="I18" s="45"/>
      <c r="J18" s="45"/>
      <c r="K18" s="45"/>
      <c r="L18" s="45"/>
    </row>
    <row r="19">
      <c r="A19" s="43">
        <v>45949.0</v>
      </c>
      <c r="B19" s="44" t="s">
        <v>1130</v>
      </c>
      <c r="C19" s="30">
        <v>27.99</v>
      </c>
      <c r="D19" s="44"/>
      <c r="E19" s="30">
        <v>27.99</v>
      </c>
      <c r="F19" s="45"/>
      <c r="G19" s="45"/>
      <c r="H19" s="44"/>
      <c r="I19" s="45"/>
      <c r="J19" s="30"/>
      <c r="K19" s="45"/>
      <c r="L19" s="45"/>
    </row>
    <row r="20">
      <c r="A20" s="43">
        <v>45949.0</v>
      </c>
      <c r="B20" s="44" t="s">
        <v>608</v>
      </c>
      <c r="C20" s="30">
        <v>148.32</v>
      </c>
      <c r="D20" s="30"/>
      <c r="E20" s="48"/>
      <c r="F20" s="48"/>
      <c r="G20" s="48"/>
      <c r="H20" s="30"/>
      <c r="I20" s="48"/>
      <c r="J20" s="30">
        <v>148.32</v>
      </c>
      <c r="K20" s="48"/>
      <c r="L20" s="48"/>
    </row>
    <row r="21">
      <c r="A21" s="43">
        <v>45951.0</v>
      </c>
      <c r="B21" s="44" t="s">
        <v>1131</v>
      </c>
      <c r="C21" s="1">
        <v>56.0</v>
      </c>
      <c r="D21" s="44">
        <v>50.0</v>
      </c>
      <c r="F21" s="44">
        <v>6.0</v>
      </c>
      <c r="G21" s="44"/>
      <c r="H21" s="44"/>
      <c r="I21" s="44"/>
      <c r="J21" s="44"/>
      <c r="K21" s="44"/>
      <c r="L21" s="44"/>
    </row>
    <row r="22">
      <c r="A22" s="43">
        <v>45952.0</v>
      </c>
      <c r="B22" s="44" t="s">
        <v>19</v>
      </c>
      <c r="C22" s="30">
        <v>63.7</v>
      </c>
      <c r="D22" s="30"/>
      <c r="E22" s="30">
        <v>63.7</v>
      </c>
    </row>
    <row r="23">
      <c r="A23" s="41">
        <v>45954.0</v>
      </c>
      <c r="B23" s="1" t="s">
        <v>334</v>
      </c>
      <c r="C23" s="1">
        <v>290.0</v>
      </c>
      <c r="D23" s="44"/>
    </row>
    <row r="24">
      <c r="A24" s="46">
        <v>45955.0</v>
      </c>
      <c r="B24" s="44" t="s">
        <v>1132</v>
      </c>
      <c r="C24" s="1">
        <v>238.2</v>
      </c>
      <c r="E24" s="1">
        <v>238.2</v>
      </c>
    </row>
    <row r="25">
      <c r="A25" s="43">
        <v>45955.0</v>
      </c>
      <c r="B25" s="44" t="s">
        <v>736</v>
      </c>
      <c r="C25" s="30">
        <v>413.12</v>
      </c>
      <c r="D25" s="30">
        <v>413.12</v>
      </c>
      <c r="E25" s="88"/>
    </row>
    <row r="26">
      <c r="A26" s="43">
        <v>45932.0</v>
      </c>
      <c r="B26" s="44" t="s">
        <v>1133</v>
      </c>
      <c r="C26" s="1">
        <v>5.0</v>
      </c>
      <c r="E26" s="1">
        <v>5.0</v>
      </c>
    </row>
    <row r="27">
      <c r="A27" s="43">
        <v>45937.0</v>
      </c>
      <c r="B27" s="44" t="s">
        <v>1134</v>
      </c>
      <c r="C27" s="30">
        <v>5.0</v>
      </c>
      <c r="D27" s="30"/>
      <c r="E27" s="30">
        <v>5.0</v>
      </c>
    </row>
    <row r="28">
      <c r="A28" s="43">
        <v>45952.0</v>
      </c>
      <c r="B28" s="44" t="s">
        <v>1133</v>
      </c>
      <c r="C28" s="30">
        <v>5.0</v>
      </c>
      <c r="E28" s="30">
        <v>5.0</v>
      </c>
    </row>
    <row r="29">
      <c r="A29" s="43">
        <v>45949.0</v>
      </c>
      <c r="B29" s="1" t="s">
        <v>1135</v>
      </c>
      <c r="C29" s="1">
        <v>5.0</v>
      </c>
      <c r="E29" s="1">
        <v>5.0</v>
      </c>
      <c r="F29" s="44"/>
      <c r="I29" s="30"/>
    </row>
    <row r="30">
      <c r="A30" s="43">
        <v>45941.0</v>
      </c>
      <c r="B30" s="44" t="s">
        <v>1136</v>
      </c>
      <c r="C30" s="30">
        <v>20.0</v>
      </c>
      <c r="D30" s="30"/>
      <c r="E30" s="30"/>
      <c r="F30" s="30"/>
      <c r="G30" s="30"/>
      <c r="H30" s="30"/>
      <c r="I30" s="30"/>
      <c r="J30" s="30">
        <v>20.0</v>
      </c>
      <c r="K30" s="30"/>
      <c r="L30" s="30"/>
    </row>
    <row r="31">
      <c r="A31" s="43">
        <v>45941.0</v>
      </c>
      <c r="B31" s="44" t="s">
        <v>1137</v>
      </c>
      <c r="C31" s="1">
        <v>20.0</v>
      </c>
      <c r="E31" s="1">
        <v>20.0</v>
      </c>
    </row>
    <row r="32">
      <c r="A32" s="41">
        <v>45877.0</v>
      </c>
      <c r="B32" s="1" t="s">
        <v>1138</v>
      </c>
      <c r="C32" s="1">
        <v>5.0</v>
      </c>
      <c r="E32" s="1">
        <v>5.0</v>
      </c>
    </row>
    <row r="33">
      <c r="A33" s="41">
        <v>45877.0</v>
      </c>
      <c r="B33" s="1" t="s">
        <v>1139</v>
      </c>
      <c r="C33" s="1">
        <v>5.0</v>
      </c>
      <c r="E33" s="1">
        <v>5.0</v>
      </c>
    </row>
    <row r="34">
      <c r="A34" s="41">
        <v>45936.0</v>
      </c>
      <c r="B34" s="1" t="s">
        <v>1140</v>
      </c>
      <c r="C34" s="1">
        <v>10.5</v>
      </c>
      <c r="D34" s="1">
        <v>10.5</v>
      </c>
    </row>
    <row r="35">
      <c r="A35" s="25">
        <v>45942.0</v>
      </c>
      <c r="B35" s="1" t="s">
        <v>1141</v>
      </c>
      <c r="C35" s="1">
        <v>11.2</v>
      </c>
      <c r="D35" s="1">
        <v>11.2</v>
      </c>
    </row>
    <row r="36">
      <c r="A36" s="41">
        <v>45877.0</v>
      </c>
      <c r="B36" s="1" t="s">
        <v>1142</v>
      </c>
      <c r="C36" s="1">
        <v>3.5</v>
      </c>
      <c r="E36" s="1">
        <v>3.5</v>
      </c>
    </row>
    <row r="37">
      <c r="A37" s="66"/>
      <c r="B37" s="44" t="s">
        <v>139</v>
      </c>
      <c r="C37" s="30"/>
      <c r="D37" s="4">
        <f t="shared" ref="D37:L37" si="1">SUM(D2:D36)</f>
        <v>484.82</v>
      </c>
      <c r="E37" s="4">
        <f t="shared" si="1"/>
        <v>1730.09</v>
      </c>
      <c r="F37" s="4">
        <f t="shared" si="1"/>
        <v>6</v>
      </c>
      <c r="G37" s="4">
        <f t="shared" si="1"/>
        <v>0</v>
      </c>
      <c r="H37" s="4">
        <f t="shared" si="1"/>
        <v>0</v>
      </c>
      <c r="I37" s="4">
        <f t="shared" si="1"/>
        <v>0</v>
      </c>
      <c r="J37" s="4">
        <f t="shared" si="1"/>
        <v>292.36</v>
      </c>
      <c r="K37" s="4">
        <f t="shared" si="1"/>
        <v>0</v>
      </c>
      <c r="L37" s="4">
        <f t="shared" si="1"/>
        <v>0</v>
      </c>
    </row>
    <row r="38">
      <c r="B38" s="44"/>
      <c r="C38" s="30"/>
    </row>
    <row r="39">
      <c r="B39" s="44"/>
      <c r="C39" s="30"/>
      <c r="D39" s="1">
        <v>129.04</v>
      </c>
      <c r="E39" s="1">
        <v>1216.3</v>
      </c>
      <c r="J39" s="68"/>
    </row>
    <row r="40">
      <c r="C40" s="30"/>
      <c r="J40" s="68"/>
    </row>
    <row r="41">
      <c r="C41" s="91">
        <v>551.88</v>
      </c>
    </row>
    <row r="42">
      <c r="C42" s="82"/>
    </row>
    <row r="43">
      <c r="C43" s="82"/>
    </row>
    <row r="44">
      <c r="A44" s="41"/>
      <c r="C44" s="82"/>
    </row>
    <row r="45">
      <c r="A45" s="41"/>
      <c r="C45" s="82"/>
    </row>
    <row r="46">
      <c r="A46" s="41"/>
      <c r="C46" s="82"/>
    </row>
    <row r="47">
      <c r="C47" s="82"/>
    </row>
    <row r="48">
      <c r="C48" s="82"/>
    </row>
    <row r="49">
      <c r="C49" s="82"/>
    </row>
    <row r="50">
      <c r="C50" s="82"/>
    </row>
    <row r="51">
      <c r="C51" s="82"/>
    </row>
    <row r="52">
      <c r="C52" s="82"/>
    </row>
    <row r="53">
      <c r="C53" s="82"/>
    </row>
    <row r="54">
      <c r="C54" s="82"/>
    </row>
    <row r="55">
      <c r="C55" s="82"/>
    </row>
    <row r="56">
      <c r="C56" s="82"/>
    </row>
    <row r="57">
      <c r="C57" s="82"/>
    </row>
    <row r="58">
      <c r="C58" s="82"/>
      <c r="F58" s="1" t="s">
        <v>54</v>
      </c>
    </row>
    <row r="59">
      <c r="C59" s="82"/>
      <c r="F59" s="1" t="s">
        <v>1143</v>
      </c>
    </row>
    <row r="60">
      <c r="C60" s="82"/>
    </row>
    <row r="61">
      <c r="C61" s="82"/>
    </row>
    <row r="62">
      <c r="C62" s="82"/>
    </row>
    <row r="63">
      <c r="C63" s="82"/>
    </row>
    <row r="64">
      <c r="C64" s="82"/>
    </row>
    <row r="65">
      <c r="C65" s="82"/>
    </row>
    <row r="66">
      <c r="C66" s="82"/>
    </row>
    <row r="67">
      <c r="C67" s="82"/>
    </row>
    <row r="68">
      <c r="C68" s="82"/>
    </row>
    <row r="69">
      <c r="C69" s="82"/>
    </row>
    <row r="70">
      <c r="C70" s="82"/>
    </row>
    <row r="71">
      <c r="C71" s="82"/>
    </row>
    <row r="72">
      <c r="C72" s="82"/>
    </row>
    <row r="73">
      <c r="C73" s="82"/>
      <c r="D73" s="44"/>
      <c r="E73" s="44"/>
      <c r="F73" s="44"/>
      <c r="G73" s="44"/>
      <c r="H73" s="44"/>
      <c r="I73" s="44"/>
    </row>
    <row r="74">
      <c r="C74" s="82"/>
      <c r="D74" s="44"/>
      <c r="E74" s="44"/>
    </row>
    <row r="75">
      <c r="C75" s="82"/>
      <c r="E75" s="44"/>
    </row>
    <row r="76">
      <c r="C76" s="82"/>
      <c r="D76" s="44"/>
    </row>
    <row r="77">
      <c r="C77" s="82"/>
    </row>
    <row r="78">
      <c r="C78" s="82"/>
    </row>
    <row r="79">
      <c r="C79" s="82"/>
    </row>
    <row r="80">
      <c r="C80" s="82"/>
    </row>
    <row r="81">
      <c r="C81" s="82"/>
    </row>
    <row r="82">
      <c r="C82" s="82"/>
      <c r="D82" s="67"/>
      <c r="E82" s="67"/>
      <c r="F82" s="68"/>
      <c r="G82" s="68"/>
      <c r="H82" s="67"/>
      <c r="I82" s="68"/>
    </row>
    <row r="83">
      <c r="C83" s="82"/>
      <c r="D83" s="68"/>
      <c r="E83" s="68"/>
      <c r="F83" s="68"/>
      <c r="G83" s="68"/>
      <c r="H83" s="68"/>
      <c r="I83" s="68"/>
    </row>
    <row r="84">
      <c r="C84" s="82"/>
    </row>
    <row r="85">
      <c r="C85" s="82"/>
    </row>
    <row r="86">
      <c r="C86" s="82"/>
    </row>
    <row r="87">
      <c r="C87" s="82"/>
    </row>
    <row r="88">
      <c r="C88" s="82"/>
    </row>
    <row r="89">
      <c r="C89" s="82"/>
    </row>
    <row r="90">
      <c r="C90" s="82"/>
    </row>
    <row r="91">
      <c r="C91" s="82"/>
    </row>
    <row r="92">
      <c r="C92" s="82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75"/>
    <col customWidth="1" min="2" max="2" width="32.25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</row>
    <row r="2">
      <c r="A2" s="43">
        <v>45957.0</v>
      </c>
      <c r="B2" s="44" t="s">
        <v>19</v>
      </c>
      <c r="C2" s="30">
        <v>87.6</v>
      </c>
      <c r="D2" s="30"/>
      <c r="E2" s="30">
        <v>87.6</v>
      </c>
      <c r="F2" s="45"/>
      <c r="G2" s="45"/>
      <c r="H2" s="30"/>
      <c r="I2" s="45"/>
      <c r="J2" s="45"/>
      <c r="K2" s="45"/>
      <c r="L2" s="44"/>
    </row>
    <row r="3">
      <c r="A3" s="43">
        <v>45957.0</v>
      </c>
      <c r="B3" s="44" t="s">
        <v>1144</v>
      </c>
      <c r="C3" s="30">
        <v>19.4</v>
      </c>
      <c r="D3" s="30">
        <v>19.4</v>
      </c>
      <c r="E3" s="30"/>
      <c r="F3" s="44"/>
      <c r="G3" s="45"/>
      <c r="H3" s="30"/>
      <c r="I3" s="44"/>
      <c r="J3" s="30"/>
      <c r="K3" s="45"/>
    </row>
    <row r="4">
      <c r="A4" s="43">
        <v>45957.0</v>
      </c>
      <c r="B4" s="44" t="s">
        <v>597</v>
      </c>
      <c r="C4" s="30">
        <v>121.36</v>
      </c>
      <c r="D4" s="8"/>
      <c r="E4" s="30"/>
      <c r="F4" s="30"/>
      <c r="G4" s="30"/>
      <c r="H4" s="30"/>
      <c r="I4" s="30"/>
      <c r="J4" s="30">
        <v>121.36</v>
      </c>
      <c r="K4" s="30"/>
      <c r="L4" s="30"/>
    </row>
    <row r="5">
      <c r="A5" s="43">
        <v>45958.0</v>
      </c>
      <c r="B5" s="44" t="s">
        <v>1145</v>
      </c>
      <c r="C5" s="30">
        <v>51.7</v>
      </c>
      <c r="D5" s="30">
        <v>51.7</v>
      </c>
      <c r="E5" s="30"/>
      <c r="F5" s="45"/>
      <c r="G5" s="45"/>
      <c r="H5" s="30"/>
      <c r="I5" s="45"/>
      <c r="J5" s="44"/>
      <c r="K5" s="45"/>
    </row>
    <row r="6">
      <c r="A6" s="46">
        <v>45957.0</v>
      </c>
      <c r="B6" s="44" t="s">
        <v>593</v>
      </c>
      <c r="C6" s="30">
        <v>20.0</v>
      </c>
      <c r="D6" s="30">
        <v>20.0</v>
      </c>
      <c r="E6" s="30"/>
      <c r="G6" s="45"/>
      <c r="H6" s="30"/>
      <c r="I6" s="45"/>
      <c r="J6" s="44"/>
      <c r="K6" s="45"/>
      <c r="L6" s="45"/>
    </row>
    <row r="7">
      <c r="A7" s="43"/>
      <c r="B7" s="44"/>
      <c r="C7" s="30"/>
      <c r="D7" s="30"/>
      <c r="E7" s="30"/>
      <c r="F7" s="48"/>
      <c r="G7" s="48"/>
      <c r="H7" s="48"/>
      <c r="I7" s="48"/>
      <c r="J7" s="48"/>
      <c r="K7" s="48"/>
      <c r="L7" s="48"/>
    </row>
    <row r="8">
      <c r="A8" s="43"/>
      <c r="B8" s="44"/>
      <c r="C8" s="30" t="s">
        <v>139</v>
      </c>
      <c r="D8" s="92">
        <f t="shared" ref="D8:L8" si="1">sum(D2:D7)</f>
        <v>91.1</v>
      </c>
      <c r="E8" s="92">
        <f t="shared" si="1"/>
        <v>87.6</v>
      </c>
      <c r="F8" s="30">
        <f t="shared" si="1"/>
        <v>0</v>
      </c>
      <c r="G8" s="30">
        <f t="shared" si="1"/>
        <v>0</v>
      </c>
      <c r="H8" s="30">
        <f t="shared" si="1"/>
        <v>0</v>
      </c>
      <c r="I8" s="30">
        <f t="shared" si="1"/>
        <v>0</v>
      </c>
      <c r="J8" s="92">
        <f t="shared" si="1"/>
        <v>121.36</v>
      </c>
      <c r="K8" s="30">
        <f t="shared" si="1"/>
        <v>0</v>
      </c>
      <c r="L8" s="30">
        <f t="shared" si="1"/>
        <v>0</v>
      </c>
    </row>
    <row r="9">
      <c r="A9" s="43"/>
      <c r="B9" s="44"/>
      <c r="C9" s="30"/>
      <c r="D9" s="30"/>
      <c r="E9" s="44"/>
      <c r="F9" s="44"/>
      <c r="G9" s="44"/>
      <c r="H9" s="30"/>
      <c r="I9" s="45"/>
      <c r="J9" s="30"/>
      <c r="K9" s="45"/>
      <c r="L9" s="45"/>
    </row>
    <row r="10">
      <c r="A10" s="43"/>
      <c r="B10" s="44"/>
      <c r="C10" s="30"/>
      <c r="D10" s="30"/>
      <c r="E10" s="30"/>
      <c r="F10" s="44"/>
      <c r="G10" s="44"/>
      <c r="H10" s="30"/>
      <c r="I10" s="45"/>
      <c r="J10" s="45"/>
      <c r="K10" s="45"/>
      <c r="L10" s="45"/>
    </row>
    <row r="11">
      <c r="A11" s="90"/>
      <c r="B11" s="44"/>
      <c r="C11" s="30"/>
      <c r="D11" s="44"/>
      <c r="E11" s="30"/>
      <c r="F11" s="45"/>
      <c r="G11" s="44"/>
      <c r="H11" s="30"/>
      <c r="I11" s="45"/>
      <c r="J11" s="45"/>
      <c r="K11" s="45"/>
      <c r="L11" s="45"/>
    </row>
    <row r="12">
      <c r="A12" s="43"/>
      <c r="B12" s="44"/>
      <c r="C12" s="30"/>
      <c r="D12" s="44"/>
      <c r="E12" s="30"/>
      <c r="F12" s="44"/>
      <c r="G12" s="45"/>
      <c r="H12" s="44"/>
      <c r="I12" s="45"/>
      <c r="J12" s="30"/>
      <c r="K12" s="45"/>
      <c r="L12" s="48"/>
    </row>
    <row r="13">
      <c r="A13" s="43"/>
      <c r="B13" s="44"/>
      <c r="C13" s="30"/>
      <c r="D13" s="30"/>
      <c r="E13" s="30"/>
      <c r="F13" s="44"/>
      <c r="G13" s="44"/>
      <c r="H13" s="44"/>
      <c r="I13" s="44"/>
      <c r="J13" s="44"/>
      <c r="K13" s="44"/>
      <c r="L13" s="44"/>
    </row>
    <row r="14">
      <c r="A14" s="43"/>
      <c r="B14" s="44"/>
      <c r="C14" s="30"/>
      <c r="D14" s="30"/>
      <c r="E14" s="30"/>
      <c r="F14" s="44"/>
      <c r="G14" s="44"/>
      <c r="H14" s="44"/>
      <c r="I14" s="44"/>
      <c r="J14" s="45"/>
      <c r="K14" s="45"/>
      <c r="L14" s="45"/>
    </row>
    <row r="15">
      <c r="A15" s="43"/>
      <c r="B15" s="44"/>
      <c r="C15" s="30"/>
      <c r="D15" s="30"/>
      <c r="E15" s="30"/>
      <c r="F15" s="45"/>
      <c r="G15" s="44"/>
      <c r="H15" s="30"/>
      <c r="I15" s="45"/>
      <c r="J15" s="45"/>
      <c r="K15" s="45"/>
      <c r="L15" s="45"/>
    </row>
    <row r="16">
      <c r="A16" s="43"/>
      <c r="B16" s="44"/>
      <c r="C16" s="30"/>
      <c r="D16" s="30"/>
      <c r="E16" s="30"/>
      <c r="F16" s="45"/>
      <c r="G16" s="44"/>
      <c r="H16" s="30"/>
      <c r="I16" s="45"/>
      <c r="J16" s="30"/>
      <c r="K16" s="45"/>
      <c r="L16" s="45"/>
    </row>
    <row r="17">
      <c r="A17" s="43"/>
      <c r="B17" s="44"/>
      <c r="C17" s="30"/>
      <c r="D17" s="44"/>
      <c r="E17" s="30"/>
      <c r="F17" s="45"/>
      <c r="G17" s="45"/>
      <c r="H17" s="30"/>
      <c r="I17" s="45"/>
      <c r="J17" s="30"/>
      <c r="K17" s="45"/>
      <c r="L17" s="45"/>
    </row>
    <row r="18">
      <c r="A18" s="43"/>
      <c r="B18" s="44"/>
      <c r="C18" s="30"/>
      <c r="D18" s="44"/>
      <c r="E18" s="30"/>
      <c r="F18" s="45"/>
      <c r="G18" s="45"/>
      <c r="H18" s="30"/>
      <c r="I18" s="45"/>
      <c r="J18" s="45"/>
      <c r="K18" s="45"/>
      <c r="L18" s="45"/>
    </row>
    <row r="19">
      <c r="A19" s="43"/>
      <c r="B19" s="44"/>
      <c r="C19" s="30"/>
      <c r="D19" s="44"/>
      <c r="E19" s="30"/>
      <c r="F19" s="45"/>
      <c r="G19" s="45"/>
      <c r="H19" s="44"/>
      <c r="I19" s="45"/>
      <c r="J19" s="30"/>
      <c r="K19" s="45"/>
      <c r="L19" s="45"/>
    </row>
    <row r="20">
      <c r="A20" s="43"/>
      <c r="B20" s="44"/>
      <c r="C20" s="30"/>
      <c r="D20" s="30"/>
      <c r="E20" s="48"/>
      <c r="F20" s="48"/>
      <c r="G20" s="48"/>
      <c r="H20" s="30"/>
      <c r="I20" s="48"/>
      <c r="J20" s="30"/>
      <c r="K20" s="48"/>
      <c r="L20" s="48"/>
    </row>
    <row r="21">
      <c r="A21" s="43"/>
      <c r="B21" s="44"/>
      <c r="D21" s="44"/>
      <c r="F21" s="44"/>
      <c r="G21" s="44"/>
      <c r="H21" s="44"/>
      <c r="I21" s="44"/>
      <c r="J21" s="44"/>
      <c r="K21" s="44"/>
      <c r="L21" s="44"/>
    </row>
    <row r="22">
      <c r="A22" s="43"/>
      <c r="B22" s="44"/>
      <c r="C22" s="30"/>
      <c r="D22" s="30"/>
      <c r="E22" s="30"/>
    </row>
    <row r="23">
      <c r="A23" s="41"/>
      <c r="D23" s="44"/>
    </row>
    <row r="24">
      <c r="A24" s="46"/>
      <c r="B24" s="44"/>
    </row>
    <row r="25">
      <c r="A25" s="43"/>
      <c r="B25" s="44"/>
      <c r="C25" s="30"/>
      <c r="D25" s="30"/>
      <c r="E25" s="88"/>
    </row>
    <row r="26">
      <c r="A26" s="43"/>
      <c r="B26" s="44"/>
    </row>
    <row r="27">
      <c r="A27" s="43"/>
      <c r="B27" s="44"/>
      <c r="C27" s="30"/>
      <c r="D27" s="30"/>
      <c r="E27" s="30"/>
    </row>
    <row r="28">
      <c r="A28" s="43"/>
      <c r="B28" s="44"/>
      <c r="C28" s="30"/>
      <c r="E28" s="30"/>
    </row>
    <row r="29">
      <c r="A29" s="43"/>
      <c r="F29" s="44"/>
      <c r="I29" s="30"/>
    </row>
    <row r="30">
      <c r="A30" s="43"/>
      <c r="B30" s="44"/>
      <c r="C30" s="30"/>
      <c r="D30" s="30"/>
      <c r="E30" s="30"/>
      <c r="F30" s="30"/>
      <c r="G30" s="30"/>
      <c r="H30" s="30"/>
      <c r="I30" s="30"/>
      <c r="J30" s="30"/>
      <c r="K30" s="30"/>
      <c r="L30" s="30"/>
    </row>
    <row r="31">
      <c r="A31" s="43"/>
      <c r="B31" s="44"/>
    </row>
    <row r="32">
      <c r="A32" s="41"/>
    </row>
    <row r="33">
      <c r="A33" s="41"/>
    </row>
    <row r="34">
      <c r="A34" s="41"/>
    </row>
    <row r="35">
      <c r="A35" s="25"/>
    </row>
    <row r="36">
      <c r="A36" s="41"/>
    </row>
    <row r="37">
      <c r="A37" s="66"/>
      <c r="B37" s="44"/>
      <c r="C37" s="30"/>
    </row>
    <row r="38">
      <c r="B38" s="44"/>
      <c r="C38" s="30"/>
    </row>
    <row r="39">
      <c r="B39" s="44"/>
      <c r="C39" s="30"/>
      <c r="J39" s="68"/>
    </row>
    <row r="40">
      <c r="C40" s="30"/>
      <c r="J40" s="68"/>
    </row>
    <row r="41">
      <c r="C41" s="91"/>
    </row>
    <row r="42">
      <c r="C42" s="82"/>
    </row>
    <row r="43">
      <c r="C43" s="82"/>
    </row>
    <row r="44">
      <c r="A44" s="41"/>
      <c r="C44" s="82"/>
    </row>
    <row r="45">
      <c r="A45" s="41"/>
      <c r="C45" s="82"/>
    </row>
    <row r="46">
      <c r="A46" s="41"/>
      <c r="C46" s="82"/>
    </row>
    <row r="47">
      <c r="C47" s="82"/>
    </row>
    <row r="48">
      <c r="C48" s="82"/>
    </row>
    <row r="49">
      <c r="C49" s="82"/>
    </row>
    <row r="50">
      <c r="C50" s="82"/>
    </row>
    <row r="51">
      <c r="C51" s="82"/>
    </row>
    <row r="52">
      <c r="C52" s="82"/>
    </row>
    <row r="53">
      <c r="C53" s="82"/>
    </row>
    <row r="54">
      <c r="C54" s="82"/>
    </row>
    <row r="55">
      <c r="C55" s="82"/>
    </row>
    <row r="56">
      <c r="C56" s="82"/>
    </row>
    <row r="57">
      <c r="C57" s="82"/>
    </row>
    <row r="58">
      <c r="C58" s="82"/>
    </row>
    <row r="59">
      <c r="C59" s="82"/>
    </row>
    <row r="60">
      <c r="C60" s="82"/>
    </row>
    <row r="61">
      <c r="C61" s="82"/>
    </row>
    <row r="62">
      <c r="C62" s="82"/>
    </row>
    <row r="63">
      <c r="C63" s="82"/>
    </row>
    <row r="64">
      <c r="C64" s="82"/>
    </row>
    <row r="65">
      <c r="C65" s="82"/>
    </row>
    <row r="66">
      <c r="C66" s="82"/>
    </row>
    <row r="67">
      <c r="C67" s="82"/>
    </row>
    <row r="68">
      <c r="C68" s="82"/>
    </row>
    <row r="69">
      <c r="C69" s="82"/>
    </row>
    <row r="70">
      <c r="C70" s="82"/>
    </row>
    <row r="71">
      <c r="C71" s="82"/>
    </row>
    <row r="72">
      <c r="C72" s="82"/>
    </row>
    <row r="73">
      <c r="C73" s="82"/>
      <c r="D73" s="44"/>
      <c r="E73" s="44"/>
      <c r="F73" s="44"/>
      <c r="G73" s="44"/>
      <c r="H73" s="44"/>
      <c r="I73" s="44"/>
    </row>
    <row r="74">
      <c r="C74" s="82"/>
      <c r="D74" s="44"/>
      <c r="E74" s="44"/>
    </row>
    <row r="75">
      <c r="C75" s="82"/>
      <c r="E75" s="44"/>
    </row>
    <row r="76">
      <c r="C76" s="82"/>
      <c r="D76" s="44"/>
    </row>
    <row r="77">
      <c r="C77" s="82"/>
    </row>
    <row r="78">
      <c r="C78" s="82"/>
    </row>
    <row r="79">
      <c r="C79" s="82"/>
    </row>
    <row r="80">
      <c r="C80" s="82"/>
    </row>
    <row r="81">
      <c r="C81" s="82"/>
    </row>
    <row r="82">
      <c r="C82" s="82"/>
      <c r="D82" s="67"/>
      <c r="E82" s="67"/>
      <c r="F82" s="68"/>
      <c r="G82" s="68"/>
      <c r="H82" s="67"/>
      <c r="I82" s="68"/>
    </row>
    <row r="83">
      <c r="C83" s="82"/>
      <c r="D83" s="68"/>
      <c r="E83" s="68"/>
      <c r="F83" s="68"/>
      <c r="G83" s="68"/>
      <c r="H83" s="68"/>
      <c r="I83" s="68"/>
    </row>
    <row r="84">
      <c r="C84" s="82"/>
    </row>
    <row r="85">
      <c r="C85" s="82"/>
    </row>
    <row r="86">
      <c r="C86" s="82"/>
    </row>
    <row r="87">
      <c r="C87" s="82"/>
    </row>
    <row r="88">
      <c r="C88" s="82"/>
    </row>
    <row r="89">
      <c r="C89" s="82"/>
    </row>
    <row r="90">
      <c r="C90" s="82"/>
    </row>
    <row r="91">
      <c r="C91" s="82"/>
    </row>
    <row r="92">
      <c r="C92" s="82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75"/>
    <col customWidth="1" min="2" max="2" width="32.25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  <c r="M1" s="14" t="s">
        <v>516</v>
      </c>
    </row>
    <row r="2">
      <c r="A2" s="43">
        <v>45962.0</v>
      </c>
      <c r="B2" s="44" t="s">
        <v>1146</v>
      </c>
      <c r="C2" s="30">
        <v>68.6</v>
      </c>
      <c r="D2" s="30"/>
      <c r="E2" s="30">
        <v>68.6</v>
      </c>
      <c r="F2" s="45"/>
      <c r="G2" s="45"/>
      <c r="H2" s="30"/>
      <c r="I2" s="45"/>
      <c r="J2" s="45"/>
      <c r="K2" s="45"/>
      <c r="L2" s="44"/>
    </row>
    <row r="3">
      <c r="A3" s="43">
        <v>45965.0</v>
      </c>
      <c r="B3" s="44" t="s">
        <v>1147</v>
      </c>
      <c r="C3" s="30">
        <v>55.0</v>
      </c>
      <c r="D3" s="30"/>
      <c r="E3" s="30">
        <v>55.0</v>
      </c>
      <c r="F3" s="44"/>
      <c r="G3" s="45"/>
      <c r="H3" s="30"/>
      <c r="I3" s="44"/>
      <c r="J3" s="30"/>
      <c r="K3" s="45"/>
    </row>
    <row r="4">
      <c r="A4" s="43">
        <v>45965.0</v>
      </c>
      <c r="B4" s="44" t="s">
        <v>1148</v>
      </c>
      <c r="C4" s="30">
        <v>107.98</v>
      </c>
      <c r="D4" s="8"/>
      <c r="E4" s="30"/>
      <c r="F4" s="30"/>
      <c r="G4" s="30"/>
      <c r="H4" s="30"/>
      <c r="I4" s="30"/>
      <c r="J4" s="30">
        <v>107.98</v>
      </c>
      <c r="K4" s="30"/>
      <c r="L4" s="30"/>
    </row>
    <row r="5">
      <c r="A5" s="43">
        <v>45966.0</v>
      </c>
      <c r="B5" s="44" t="s">
        <v>1149</v>
      </c>
      <c r="C5" s="30">
        <v>32.5</v>
      </c>
      <c r="D5" s="30"/>
      <c r="E5" s="30">
        <v>32.5</v>
      </c>
      <c r="F5" s="45"/>
      <c r="G5" s="45"/>
      <c r="H5" s="30"/>
      <c r="I5" s="45"/>
      <c r="J5" s="44"/>
      <c r="K5" s="45"/>
    </row>
    <row r="6">
      <c r="A6" s="46">
        <v>45966.0</v>
      </c>
      <c r="B6" s="44" t="s">
        <v>1150</v>
      </c>
      <c r="C6" s="30">
        <v>20.0</v>
      </c>
      <c r="D6" s="30"/>
      <c r="E6" s="30">
        <v>20.0</v>
      </c>
      <c r="G6" s="45"/>
      <c r="H6" s="30"/>
      <c r="I6" s="45"/>
      <c r="J6" s="44"/>
      <c r="K6" s="45"/>
      <c r="L6" s="45"/>
    </row>
    <row r="7">
      <c r="A7" s="43">
        <v>45967.0</v>
      </c>
      <c r="B7" s="44" t="s">
        <v>1151</v>
      </c>
      <c r="C7" s="30">
        <v>20.0</v>
      </c>
      <c r="D7" s="30">
        <v>20.0</v>
      </c>
      <c r="E7" s="30"/>
      <c r="F7" s="48"/>
      <c r="G7" s="48"/>
      <c r="H7" s="48"/>
      <c r="I7" s="48"/>
      <c r="J7" s="48"/>
      <c r="K7" s="48"/>
      <c r="L7" s="48"/>
    </row>
    <row r="8">
      <c r="A8" s="43">
        <v>45972.0</v>
      </c>
      <c r="B8" s="44" t="s">
        <v>1152</v>
      </c>
      <c r="C8" s="30">
        <v>55.7</v>
      </c>
      <c r="D8" s="30"/>
      <c r="E8" s="30">
        <v>55.7</v>
      </c>
      <c r="F8" s="30"/>
      <c r="G8" s="30"/>
      <c r="H8" s="30"/>
      <c r="I8" s="30"/>
      <c r="J8" s="30"/>
      <c r="K8" s="30"/>
      <c r="L8" s="30"/>
    </row>
    <row r="9">
      <c r="A9" s="43">
        <v>45974.0</v>
      </c>
      <c r="B9" s="44" t="s">
        <v>1148</v>
      </c>
      <c r="C9" s="30">
        <v>114.72</v>
      </c>
      <c r="D9" s="30"/>
      <c r="E9" s="44"/>
      <c r="F9" s="44"/>
      <c r="G9" s="44"/>
      <c r="H9" s="30"/>
      <c r="I9" s="45"/>
      <c r="J9" s="30">
        <v>114.72</v>
      </c>
      <c r="K9" s="45"/>
      <c r="L9" s="45"/>
    </row>
    <row r="10">
      <c r="A10" s="43">
        <v>45976.0</v>
      </c>
      <c r="B10" s="44" t="s">
        <v>1024</v>
      </c>
      <c r="C10" s="30">
        <v>107.0</v>
      </c>
      <c r="D10" s="30"/>
      <c r="E10" s="30">
        <v>107.0</v>
      </c>
      <c r="F10" s="44"/>
      <c r="G10" s="44"/>
      <c r="H10" s="30"/>
      <c r="I10" s="45"/>
      <c r="J10" s="45"/>
      <c r="K10" s="45"/>
      <c r="L10" s="45"/>
    </row>
    <row r="11">
      <c r="A11" s="90">
        <v>45976.0</v>
      </c>
      <c r="B11" s="44" t="s">
        <v>750</v>
      </c>
      <c r="C11" s="30">
        <v>62.0</v>
      </c>
      <c r="D11" s="44"/>
      <c r="E11" s="30">
        <v>62.0</v>
      </c>
      <c r="F11" s="45"/>
      <c r="G11" s="44"/>
      <c r="H11" s="30"/>
      <c r="I11" s="45"/>
      <c r="J11" s="45"/>
      <c r="K11" s="45"/>
      <c r="L11" s="45"/>
    </row>
    <row r="12">
      <c r="A12" s="43">
        <v>45977.0</v>
      </c>
      <c r="B12" s="44" t="s">
        <v>1153</v>
      </c>
      <c r="C12" s="30">
        <v>53.0</v>
      </c>
      <c r="D12" s="44"/>
      <c r="E12" s="30"/>
      <c r="F12" s="44"/>
      <c r="G12" s="45"/>
      <c r="H12" s="44"/>
      <c r="I12" s="45"/>
      <c r="J12" s="30"/>
      <c r="K12" s="45"/>
      <c r="L12" s="48"/>
      <c r="M12" s="30">
        <v>53.0</v>
      </c>
    </row>
    <row r="13">
      <c r="A13" s="43">
        <v>45977.0</v>
      </c>
      <c r="B13" s="44" t="s">
        <v>1154</v>
      </c>
      <c r="C13" s="30">
        <v>51.0</v>
      </c>
      <c r="D13" s="30"/>
      <c r="E13" s="30">
        <v>51.0</v>
      </c>
      <c r="F13" s="44"/>
      <c r="G13" s="44"/>
      <c r="H13" s="44"/>
      <c r="I13" s="44"/>
      <c r="J13" s="44"/>
      <c r="K13" s="44"/>
      <c r="L13" s="44"/>
    </row>
    <row r="14">
      <c r="A14" s="43">
        <v>45977.0</v>
      </c>
      <c r="B14" s="44" t="s">
        <v>1155</v>
      </c>
      <c r="C14" s="30">
        <v>20.2</v>
      </c>
      <c r="D14" s="30"/>
      <c r="E14" s="30">
        <v>20.2</v>
      </c>
      <c r="F14" s="44"/>
      <c r="G14" s="44"/>
      <c r="H14" s="44"/>
      <c r="I14" s="44"/>
      <c r="J14" s="45"/>
      <c r="K14" s="45"/>
      <c r="L14" s="45"/>
    </row>
    <row r="15">
      <c r="A15" s="93">
        <v>45984.0</v>
      </c>
      <c r="B15" s="1" t="s">
        <v>837</v>
      </c>
      <c r="C15" s="30">
        <v>408.9</v>
      </c>
      <c r="D15" s="30">
        <v>408.9</v>
      </c>
      <c r="E15" s="30"/>
      <c r="F15" s="45"/>
      <c r="G15" s="44"/>
      <c r="H15" s="30"/>
      <c r="I15" s="45"/>
      <c r="J15" s="45"/>
      <c r="K15" s="45"/>
      <c r="L15" s="45"/>
    </row>
    <row r="16">
      <c r="A16" s="43">
        <v>45980.0</v>
      </c>
      <c r="B16" s="44" t="s">
        <v>1156</v>
      </c>
      <c r="C16" s="30">
        <v>29.9</v>
      </c>
      <c r="D16" s="30"/>
      <c r="E16" s="30">
        <v>29.9</v>
      </c>
      <c r="F16" s="45"/>
      <c r="G16" s="44"/>
      <c r="H16" s="30"/>
      <c r="I16" s="45"/>
      <c r="J16" s="30"/>
      <c r="K16" s="45"/>
      <c r="L16" s="45"/>
    </row>
    <row r="17">
      <c r="A17" s="43">
        <v>45981.0</v>
      </c>
      <c r="B17" s="44" t="s">
        <v>764</v>
      </c>
      <c r="C17" s="30">
        <v>56.9</v>
      </c>
      <c r="D17" s="44">
        <v>50.0</v>
      </c>
      <c r="E17" s="30"/>
      <c r="F17" s="44">
        <v>6.9</v>
      </c>
      <c r="G17" s="45"/>
      <c r="H17" s="30"/>
      <c r="I17" s="45"/>
      <c r="J17" s="30"/>
      <c r="K17" s="45"/>
      <c r="L17" s="45"/>
    </row>
    <row r="18">
      <c r="A18" s="43">
        <v>45982.0</v>
      </c>
      <c r="B18" s="44" t="s">
        <v>1148</v>
      </c>
      <c r="C18" s="30">
        <v>108.65</v>
      </c>
      <c r="D18" s="44"/>
      <c r="E18" s="30"/>
      <c r="F18" s="45"/>
      <c r="G18" s="45"/>
      <c r="H18" s="30"/>
      <c r="I18" s="45"/>
      <c r="J18" s="30">
        <v>108.65</v>
      </c>
      <c r="K18" s="45"/>
      <c r="L18" s="45"/>
    </row>
    <row r="19">
      <c r="A19" s="43">
        <v>45983.0</v>
      </c>
      <c r="B19" s="44" t="s">
        <v>1157</v>
      </c>
      <c r="C19" s="30">
        <v>17.0</v>
      </c>
      <c r="D19" s="44"/>
      <c r="E19" s="30"/>
      <c r="F19" s="45"/>
      <c r="G19" s="45"/>
      <c r="H19" s="44"/>
      <c r="I19" s="45"/>
      <c r="J19" s="30">
        <v>17.0</v>
      </c>
      <c r="K19" s="45"/>
      <c r="L19" s="45"/>
    </row>
    <row r="20">
      <c r="A20" s="43">
        <v>45983.0</v>
      </c>
      <c r="B20" s="44" t="s">
        <v>1158</v>
      </c>
      <c r="C20" s="30">
        <v>13.5</v>
      </c>
      <c r="D20" s="30"/>
      <c r="E20" s="48"/>
      <c r="F20" s="48"/>
      <c r="G20" s="48"/>
      <c r="H20" s="30"/>
      <c r="I20" s="48"/>
      <c r="J20" s="30">
        <v>13.5</v>
      </c>
      <c r="K20" s="48"/>
      <c r="L20" s="48"/>
    </row>
    <row r="21">
      <c r="A21" s="43">
        <v>45983.0</v>
      </c>
      <c r="B21" s="44" t="s">
        <v>187</v>
      </c>
      <c r="C21" s="1">
        <v>67.2</v>
      </c>
      <c r="D21" s="44"/>
      <c r="E21" s="1">
        <v>67.2</v>
      </c>
      <c r="F21" s="44"/>
      <c r="G21" s="44"/>
      <c r="H21" s="44"/>
      <c r="I21" s="44"/>
      <c r="J21" s="44"/>
      <c r="K21" s="44"/>
      <c r="L21" s="44"/>
    </row>
    <row r="22">
      <c r="A22" s="43">
        <v>45961.0</v>
      </c>
      <c r="B22" s="44" t="s">
        <v>1159</v>
      </c>
      <c r="C22" s="30">
        <v>2.9</v>
      </c>
      <c r="D22" s="30">
        <v>2.9</v>
      </c>
      <c r="E22" s="30"/>
    </row>
    <row r="23">
      <c r="A23" s="41">
        <v>45963.0</v>
      </c>
      <c r="B23" s="1" t="s">
        <v>1160</v>
      </c>
      <c r="C23" s="1">
        <v>13.0</v>
      </c>
      <c r="D23" s="1">
        <v>13.0</v>
      </c>
    </row>
    <row r="24">
      <c r="A24" s="46">
        <v>45963.0</v>
      </c>
      <c r="B24" s="44" t="s">
        <v>1161</v>
      </c>
      <c r="C24" s="1">
        <v>20.0</v>
      </c>
      <c r="K24" s="1">
        <v>20.0</v>
      </c>
    </row>
    <row r="25">
      <c r="A25" s="43">
        <v>45978.0</v>
      </c>
      <c r="B25" s="44" t="s">
        <v>1162</v>
      </c>
      <c r="C25" s="30">
        <v>31.5</v>
      </c>
      <c r="D25" s="30">
        <v>31.5</v>
      </c>
    </row>
    <row r="26">
      <c r="A26" s="43">
        <v>45981.0</v>
      </c>
      <c r="B26" s="44" t="s">
        <v>1163</v>
      </c>
      <c r="C26" s="1">
        <v>31.5</v>
      </c>
      <c r="D26" s="1">
        <v>31.5</v>
      </c>
    </row>
    <row r="27">
      <c r="A27" s="47"/>
      <c r="B27" s="48" t="s">
        <v>325</v>
      </c>
      <c r="C27" s="8"/>
      <c r="D27" s="8">
        <f t="shared" ref="D27:M27" si="1">SUM(D2:D26)</f>
        <v>557.8</v>
      </c>
      <c r="E27" s="8">
        <f t="shared" si="1"/>
        <v>569.1</v>
      </c>
      <c r="F27" s="8">
        <f t="shared" si="1"/>
        <v>6.9</v>
      </c>
      <c r="G27" s="8">
        <f t="shared" si="1"/>
        <v>0</v>
      </c>
      <c r="H27" s="8">
        <f t="shared" si="1"/>
        <v>0</v>
      </c>
      <c r="I27" s="8">
        <f t="shared" si="1"/>
        <v>0</v>
      </c>
      <c r="J27" s="8">
        <f t="shared" si="1"/>
        <v>361.85</v>
      </c>
      <c r="K27" s="8">
        <f t="shared" si="1"/>
        <v>20</v>
      </c>
      <c r="L27" s="8">
        <f t="shared" si="1"/>
        <v>0</v>
      </c>
      <c r="M27" s="8">
        <f t="shared" si="1"/>
        <v>53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>
      <c r="A28" s="43"/>
      <c r="B28" s="44"/>
      <c r="C28" s="30" t="s">
        <v>1164</v>
      </c>
      <c r="D28" s="1">
        <v>500.0</v>
      </c>
      <c r="E28" s="30">
        <v>500.0</v>
      </c>
      <c r="J28" s="1">
        <v>361.85</v>
      </c>
    </row>
    <row r="29">
      <c r="A29" s="43"/>
      <c r="D29" s="1">
        <v>57.8</v>
      </c>
      <c r="E29" s="1">
        <v>69.1</v>
      </c>
    </row>
    <row r="30">
      <c r="A30" s="43"/>
      <c r="B30" s="44"/>
      <c r="C30" s="30"/>
      <c r="D30" s="30"/>
      <c r="E30" s="30"/>
      <c r="F30" s="30"/>
      <c r="G30" s="30"/>
      <c r="H30" s="30"/>
      <c r="I30" s="30"/>
      <c r="J30" s="30"/>
      <c r="K30" s="30"/>
      <c r="L30" s="30"/>
    </row>
    <row r="31">
      <c r="A31" s="43"/>
      <c r="B31" s="44"/>
    </row>
    <row r="32">
      <c r="A32" s="43">
        <v>45979.0</v>
      </c>
      <c r="B32" s="44" t="s">
        <v>1165</v>
      </c>
      <c r="C32" s="4">
        <f>280+561.9</f>
        <v>841.9</v>
      </c>
    </row>
    <row r="33">
      <c r="A33" s="41"/>
    </row>
    <row r="34">
      <c r="A34" s="41"/>
      <c r="D34" s="1">
        <v>331.78</v>
      </c>
      <c r="E34" s="1">
        <v>470.3</v>
      </c>
      <c r="F34" s="44"/>
      <c r="I34" s="30"/>
      <c r="K34" s="1">
        <v>74.9</v>
      </c>
    </row>
    <row r="35">
      <c r="A35" s="25"/>
    </row>
    <row r="36">
      <c r="A36" s="41"/>
    </row>
    <row r="37">
      <c r="A37" s="66"/>
      <c r="B37" s="44"/>
      <c r="C37" s="30"/>
    </row>
    <row r="38">
      <c r="B38" s="44"/>
      <c r="C38" s="30"/>
    </row>
    <row r="39">
      <c r="B39" s="44"/>
      <c r="C39" s="30"/>
      <c r="J39" s="68"/>
    </row>
    <row r="40">
      <c r="C40" s="30"/>
      <c r="J40" s="68"/>
    </row>
    <row r="41">
      <c r="C41" s="91"/>
    </row>
    <row r="42">
      <c r="C42" s="82"/>
    </row>
    <row r="43">
      <c r="C43" s="82"/>
    </row>
    <row r="44">
      <c r="A44" s="41"/>
      <c r="C44" s="82"/>
    </row>
    <row r="45">
      <c r="A45" s="41"/>
      <c r="C45" s="82"/>
    </row>
    <row r="46">
      <c r="A46" s="41"/>
      <c r="C46" s="82"/>
    </row>
    <row r="47">
      <c r="C47" s="82"/>
      <c r="F47" s="1" t="s">
        <v>1166</v>
      </c>
      <c r="G47" s="1">
        <v>946.0</v>
      </c>
      <c r="H47" s="1">
        <v>2098500.0</v>
      </c>
      <c r="I47" s="1">
        <v>12650.0</v>
      </c>
      <c r="J47" s="1">
        <v>55.0</v>
      </c>
    </row>
    <row r="48">
      <c r="C48" s="82"/>
    </row>
    <row r="49">
      <c r="C49" s="82"/>
    </row>
    <row r="50">
      <c r="C50" s="82"/>
    </row>
    <row r="51">
      <c r="C51" s="82"/>
    </row>
    <row r="52">
      <c r="C52" s="82"/>
    </row>
    <row r="53">
      <c r="C53" s="82"/>
    </row>
    <row r="54">
      <c r="C54" s="82"/>
    </row>
    <row r="55">
      <c r="C55" s="82"/>
    </row>
    <row r="56">
      <c r="C56" s="82"/>
    </row>
    <row r="57">
      <c r="C57" s="82"/>
    </row>
    <row r="58">
      <c r="C58" s="82"/>
    </row>
    <row r="59">
      <c r="C59" s="82"/>
    </row>
    <row r="60">
      <c r="C60" s="82"/>
    </row>
    <row r="61">
      <c r="C61" s="82"/>
    </row>
    <row r="62">
      <c r="C62" s="82"/>
    </row>
    <row r="63">
      <c r="C63" s="82"/>
    </row>
    <row r="64">
      <c r="C64" s="82"/>
    </row>
    <row r="65">
      <c r="C65" s="82"/>
    </row>
    <row r="66">
      <c r="C66" s="82"/>
    </row>
    <row r="67">
      <c r="C67" s="82"/>
    </row>
    <row r="68">
      <c r="C68" s="82"/>
    </row>
    <row r="69">
      <c r="C69" s="82"/>
    </row>
    <row r="70">
      <c r="C70" s="82"/>
    </row>
    <row r="71">
      <c r="C71" s="82"/>
    </row>
    <row r="72">
      <c r="C72" s="82"/>
    </row>
    <row r="73">
      <c r="C73" s="82"/>
      <c r="D73" s="44"/>
      <c r="E73" s="44"/>
      <c r="F73" s="44"/>
      <c r="G73" s="44"/>
      <c r="H73" s="44"/>
      <c r="I73" s="44"/>
    </row>
    <row r="74">
      <c r="C74" s="82"/>
      <c r="D74" s="44"/>
      <c r="E74" s="44"/>
    </row>
    <row r="75">
      <c r="C75" s="82"/>
      <c r="E75" s="44"/>
    </row>
    <row r="76">
      <c r="C76" s="82"/>
      <c r="D76" s="44"/>
    </row>
    <row r="77">
      <c r="C77" s="82"/>
    </row>
    <row r="78">
      <c r="C78" s="82"/>
    </row>
    <row r="79">
      <c r="C79" s="82"/>
    </row>
    <row r="80">
      <c r="C80" s="82"/>
    </row>
    <row r="81">
      <c r="C81" s="82"/>
    </row>
    <row r="82">
      <c r="C82" s="82"/>
      <c r="D82" s="67"/>
      <c r="E82" s="67"/>
      <c r="F82" s="68"/>
      <c r="G82" s="68"/>
      <c r="H82" s="67"/>
      <c r="I82" s="68"/>
    </row>
    <row r="83">
      <c r="C83" s="82"/>
      <c r="D83" s="68"/>
      <c r="E83" s="68"/>
      <c r="F83" s="68"/>
      <c r="G83" s="68"/>
      <c r="H83" s="68"/>
      <c r="I83" s="68"/>
    </row>
    <row r="84">
      <c r="C84" s="82"/>
    </row>
    <row r="85">
      <c r="C85" s="82"/>
    </row>
    <row r="86">
      <c r="C86" s="82"/>
    </row>
    <row r="87">
      <c r="C87" s="82"/>
    </row>
    <row r="88">
      <c r="C88" s="82"/>
    </row>
    <row r="89">
      <c r="C89" s="82"/>
    </row>
    <row r="90">
      <c r="C90" s="82"/>
    </row>
    <row r="91">
      <c r="C91" s="82"/>
    </row>
    <row r="92">
      <c r="C92" s="82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75"/>
    <col customWidth="1" min="2" max="2" width="32.25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  <c r="M1" s="14" t="s">
        <v>516</v>
      </c>
    </row>
    <row r="2">
      <c r="A2" s="43">
        <v>45984.0</v>
      </c>
      <c r="B2" s="44" t="s">
        <v>1167</v>
      </c>
      <c r="C2" s="30">
        <v>149.9</v>
      </c>
      <c r="D2" s="30"/>
      <c r="E2" s="30"/>
      <c r="F2" s="30">
        <v>149.9</v>
      </c>
      <c r="G2" s="45"/>
      <c r="H2" s="30"/>
      <c r="I2" s="45"/>
      <c r="J2" s="45"/>
      <c r="K2" s="45"/>
      <c r="L2" s="44"/>
    </row>
    <row r="3">
      <c r="A3" s="43">
        <v>45984.0</v>
      </c>
      <c r="B3" s="44" t="s">
        <v>1168</v>
      </c>
      <c r="C3" s="30">
        <v>50.0</v>
      </c>
      <c r="D3" s="30"/>
      <c r="E3" s="30"/>
      <c r="F3" s="30">
        <v>50.0</v>
      </c>
      <c r="G3" s="45"/>
      <c r="H3" s="30"/>
      <c r="I3" s="44"/>
      <c r="J3" s="30"/>
      <c r="K3" s="45"/>
    </row>
    <row r="4">
      <c r="A4" s="43">
        <v>45986.0</v>
      </c>
      <c r="B4" s="44" t="s">
        <v>1169</v>
      </c>
      <c r="C4" s="30">
        <v>6.0</v>
      </c>
      <c r="D4" s="8"/>
      <c r="E4" s="30">
        <v>6.0</v>
      </c>
      <c r="F4" s="30"/>
      <c r="G4" s="30"/>
      <c r="H4" s="30"/>
      <c r="I4" s="30"/>
      <c r="J4" s="30"/>
      <c r="K4" s="30"/>
      <c r="L4" s="30"/>
    </row>
    <row r="5">
      <c r="A5" s="43">
        <v>45986.0</v>
      </c>
      <c r="B5" s="44" t="s">
        <v>1170</v>
      </c>
      <c r="C5" s="30">
        <v>99.9</v>
      </c>
      <c r="D5" s="30"/>
      <c r="E5" s="30"/>
      <c r="F5" s="45"/>
      <c r="G5" s="45"/>
      <c r="H5" s="30"/>
      <c r="I5" s="30">
        <v>99.9</v>
      </c>
      <c r="J5" s="44"/>
      <c r="K5" s="45"/>
    </row>
    <row r="6">
      <c r="A6" s="46">
        <v>45986.0</v>
      </c>
      <c r="B6" s="44" t="s">
        <v>1170</v>
      </c>
      <c r="C6" s="44">
        <v>254.52</v>
      </c>
      <c r="D6" s="30"/>
      <c r="E6" s="30"/>
      <c r="F6" s="1">
        <f>99-19.9</f>
        <v>79.1</v>
      </c>
      <c r="G6" s="45"/>
      <c r="H6" s="30"/>
      <c r="I6" s="30">
        <v>75.42</v>
      </c>
      <c r="J6" s="44"/>
      <c r="K6" s="44">
        <v>100.0</v>
      </c>
      <c r="L6" s="45"/>
    </row>
    <row r="7">
      <c r="A7" s="43">
        <v>45987.0</v>
      </c>
      <c r="B7" s="44" t="s">
        <v>490</v>
      </c>
      <c r="C7" s="30">
        <v>97.8</v>
      </c>
      <c r="D7" s="30"/>
      <c r="E7" s="30"/>
      <c r="F7" s="94">
        <v>97.8</v>
      </c>
      <c r="G7" s="48"/>
      <c r="H7" s="48"/>
      <c r="I7" s="48"/>
      <c r="J7" s="48"/>
      <c r="K7" s="48"/>
      <c r="L7" s="48"/>
    </row>
    <row r="8">
      <c r="A8" s="43">
        <v>45987.0</v>
      </c>
      <c r="B8" s="44" t="s">
        <v>163</v>
      </c>
      <c r="C8" s="30">
        <v>44.9</v>
      </c>
      <c r="D8" s="30"/>
      <c r="E8" s="30"/>
      <c r="F8" s="94">
        <v>44.9</v>
      </c>
      <c r="G8" s="30"/>
      <c r="H8" s="30"/>
      <c r="I8" s="30"/>
      <c r="J8" s="30"/>
      <c r="K8" s="30"/>
      <c r="L8" s="30"/>
    </row>
    <row r="9">
      <c r="A9" s="43">
        <v>45987.0</v>
      </c>
      <c r="B9" s="44" t="s">
        <v>683</v>
      </c>
      <c r="C9" s="30">
        <v>106.4</v>
      </c>
      <c r="D9" s="30"/>
      <c r="E9" s="30">
        <v>106.4</v>
      </c>
      <c r="G9" s="44"/>
      <c r="H9" s="30"/>
      <c r="I9" s="45"/>
      <c r="J9" s="30"/>
      <c r="K9" s="45"/>
      <c r="L9" s="45"/>
    </row>
    <row r="10">
      <c r="A10" s="43">
        <v>45988.0</v>
      </c>
      <c r="B10" s="44" t="s">
        <v>1171</v>
      </c>
      <c r="C10" s="30">
        <v>45.5</v>
      </c>
      <c r="D10" s="30"/>
      <c r="E10" s="30"/>
      <c r="F10" s="94">
        <v>45.5</v>
      </c>
      <c r="G10" s="44"/>
      <c r="H10" s="30"/>
      <c r="I10" s="45"/>
      <c r="J10" s="45"/>
      <c r="K10" s="45"/>
      <c r="L10" s="45"/>
    </row>
    <row r="11">
      <c r="A11" s="90">
        <v>45988.0</v>
      </c>
      <c r="B11" s="44" t="s">
        <v>1172</v>
      </c>
      <c r="C11" s="30">
        <v>34.3</v>
      </c>
      <c r="D11" s="44"/>
      <c r="E11" s="30"/>
      <c r="F11" s="94">
        <v>34.3</v>
      </c>
      <c r="G11" s="44"/>
      <c r="H11" s="30"/>
      <c r="I11" s="45"/>
      <c r="J11" s="45"/>
      <c r="K11" s="45"/>
      <c r="L11" s="45"/>
    </row>
    <row r="12">
      <c r="A12" s="43">
        <v>45989.0</v>
      </c>
      <c r="B12" s="44" t="s">
        <v>1173</v>
      </c>
      <c r="C12" s="30">
        <v>59.0</v>
      </c>
      <c r="D12" s="44"/>
      <c r="E12" s="30"/>
      <c r="F12" s="44"/>
      <c r="G12" s="45"/>
      <c r="H12" s="44"/>
      <c r="I12" s="30">
        <v>59.0</v>
      </c>
      <c r="J12" s="30"/>
      <c r="K12" s="45"/>
      <c r="L12" s="48"/>
      <c r="M12" s="30"/>
    </row>
    <row r="13">
      <c r="A13" s="43">
        <v>45990.0</v>
      </c>
      <c r="B13" s="44" t="s">
        <v>102</v>
      </c>
      <c r="C13" s="30">
        <v>158.0</v>
      </c>
      <c r="D13" s="30"/>
      <c r="E13" s="30"/>
      <c r="F13" s="44">
        <v>49.0</v>
      </c>
      <c r="G13" s="44">
        <v>109.0</v>
      </c>
      <c r="H13" s="44"/>
      <c r="I13" s="44"/>
      <c r="J13" s="44"/>
      <c r="K13" s="44"/>
      <c r="L13" s="44"/>
    </row>
    <row r="14">
      <c r="A14" s="43">
        <v>45985.0</v>
      </c>
      <c r="B14" s="44" t="s">
        <v>1174</v>
      </c>
      <c r="C14" s="30">
        <v>60.48</v>
      </c>
      <c r="D14" s="30"/>
      <c r="E14" s="30"/>
      <c r="F14" s="44"/>
      <c r="G14" s="44"/>
      <c r="H14" s="44"/>
      <c r="I14" s="30">
        <v>60.48</v>
      </c>
      <c r="J14" s="45"/>
      <c r="K14" s="45"/>
      <c r="L14" s="45"/>
    </row>
    <row r="15">
      <c r="A15" s="93">
        <v>45990.0</v>
      </c>
      <c r="B15" s="1" t="s">
        <v>1175</v>
      </c>
      <c r="C15" s="30">
        <v>90.0</v>
      </c>
      <c r="D15" s="30"/>
      <c r="E15" s="30">
        <v>90.0</v>
      </c>
      <c r="F15" s="45"/>
      <c r="G15" s="44"/>
      <c r="H15" s="30"/>
      <c r="I15" s="45"/>
      <c r="J15" s="45"/>
      <c r="K15" s="45"/>
      <c r="L15" s="45"/>
    </row>
    <row r="16">
      <c r="A16" s="43"/>
      <c r="B16" s="44" t="s">
        <v>1176</v>
      </c>
      <c r="C16" s="30">
        <v>59.0</v>
      </c>
      <c r="D16" s="30"/>
      <c r="E16" s="30"/>
      <c r="F16" s="44">
        <v>59.9</v>
      </c>
      <c r="G16" s="44"/>
      <c r="H16" s="30"/>
      <c r="I16" s="45"/>
      <c r="J16" s="30"/>
      <c r="K16" s="45"/>
      <c r="L16" s="45"/>
    </row>
    <row r="17">
      <c r="A17" s="43"/>
      <c r="B17" s="44"/>
      <c r="C17" s="30" t="s">
        <v>176</v>
      </c>
      <c r="D17" s="44">
        <f t="shared" ref="D17:M17" si="1">sum(D2:D16)</f>
        <v>0</v>
      </c>
      <c r="E17" s="95">
        <f t="shared" si="1"/>
        <v>202.4</v>
      </c>
      <c r="F17" s="44">
        <f t="shared" si="1"/>
        <v>610.4</v>
      </c>
      <c r="G17" s="44">
        <f t="shared" si="1"/>
        <v>109</v>
      </c>
      <c r="H17" s="44">
        <f t="shared" si="1"/>
        <v>0</v>
      </c>
      <c r="I17" s="95">
        <f t="shared" si="1"/>
        <v>294.8</v>
      </c>
      <c r="J17" s="44">
        <f t="shared" si="1"/>
        <v>0</v>
      </c>
      <c r="K17" s="95">
        <f t="shared" si="1"/>
        <v>100</v>
      </c>
      <c r="L17" s="44">
        <f t="shared" si="1"/>
        <v>0</v>
      </c>
      <c r="M17" s="44">
        <f t="shared" si="1"/>
        <v>0</v>
      </c>
    </row>
    <row r="18">
      <c r="A18" s="43"/>
      <c r="B18" s="44"/>
      <c r="C18" s="30"/>
      <c r="D18" s="44"/>
      <c r="E18" s="30"/>
      <c r="F18" s="45"/>
      <c r="G18" s="45"/>
      <c r="H18" s="30"/>
      <c r="I18" s="45"/>
      <c r="J18" s="30"/>
      <c r="K18" s="45"/>
      <c r="L18" s="45"/>
    </row>
    <row r="19">
      <c r="A19" s="43"/>
      <c r="B19" s="44"/>
      <c r="C19" s="30"/>
      <c r="D19" s="44"/>
      <c r="E19" s="30"/>
      <c r="F19" s="44"/>
      <c r="G19" s="45"/>
      <c r="H19" s="44"/>
      <c r="I19" s="45"/>
      <c r="J19" s="30"/>
      <c r="K19" s="45"/>
      <c r="L19" s="45"/>
    </row>
    <row r="20">
      <c r="A20" s="43"/>
      <c r="B20" s="44"/>
      <c r="C20" s="30"/>
      <c r="D20" s="30"/>
      <c r="E20" s="48"/>
      <c r="F20" s="48"/>
      <c r="G20" s="48"/>
      <c r="H20" s="30"/>
      <c r="I20" s="48"/>
      <c r="J20" s="30"/>
      <c r="K20" s="48"/>
      <c r="L20" s="48"/>
    </row>
    <row r="21">
      <c r="A21" s="43"/>
      <c r="B21" s="44"/>
      <c r="D21" s="44"/>
      <c r="F21" s="44"/>
      <c r="G21" s="44"/>
      <c r="H21" s="44"/>
      <c r="I21" s="44"/>
      <c r="J21" s="44"/>
      <c r="K21" s="44"/>
      <c r="L21" s="44"/>
    </row>
    <row r="22">
      <c r="A22" s="43"/>
      <c r="B22" s="44"/>
      <c r="C22" s="30"/>
      <c r="D22" s="30"/>
      <c r="E22" s="30"/>
    </row>
    <row r="23">
      <c r="A23" s="41"/>
      <c r="F23" s="1">
        <v>202.4</v>
      </c>
    </row>
    <row r="24">
      <c r="A24" s="46"/>
      <c r="B24" s="44"/>
      <c r="F24" s="1">
        <v>294.8</v>
      </c>
    </row>
    <row r="25">
      <c r="A25" s="43"/>
      <c r="B25" s="44"/>
      <c r="C25" s="30"/>
      <c r="D25" s="30"/>
      <c r="F25" s="1">
        <v>100.0</v>
      </c>
    </row>
    <row r="26">
      <c r="A26" s="43"/>
      <c r="B26" s="44"/>
    </row>
    <row r="27">
      <c r="A27" s="47"/>
      <c r="B27" s="4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>
      <c r="A28" s="43"/>
      <c r="B28" s="44"/>
      <c r="C28" s="30"/>
      <c r="E28" s="30"/>
    </row>
    <row r="29">
      <c r="A29" s="43"/>
    </row>
    <row r="30">
      <c r="A30" s="43"/>
      <c r="B30" s="44"/>
      <c r="C30" s="30"/>
      <c r="D30" s="30"/>
      <c r="E30" s="30"/>
      <c r="F30" s="30"/>
      <c r="G30" s="30"/>
      <c r="H30" s="30"/>
      <c r="I30" s="30"/>
      <c r="J30" s="30"/>
      <c r="K30" s="30"/>
      <c r="L30" s="30"/>
    </row>
    <row r="31">
      <c r="A31" s="43"/>
      <c r="B31" s="44"/>
    </row>
    <row r="32">
      <c r="A32" s="43">
        <v>45979.0</v>
      </c>
      <c r="B32" s="44" t="s">
        <v>1165</v>
      </c>
      <c r="C32" s="4">
        <f>280+561.9</f>
        <v>841.9</v>
      </c>
    </row>
    <row r="33">
      <c r="A33" s="41"/>
    </row>
    <row r="34">
      <c r="A34" s="41"/>
      <c r="F34" s="44"/>
      <c r="I34" s="30"/>
    </row>
    <row r="35">
      <c r="A35" s="25"/>
    </row>
    <row r="36">
      <c r="A36" s="41"/>
    </row>
    <row r="37">
      <c r="A37" s="66"/>
      <c r="B37" s="44"/>
      <c r="C37" s="30"/>
    </row>
    <row r="38">
      <c r="B38" s="44"/>
      <c r="C38" s="30"/>
    </row>
    <row r="39">
      <c r="B39" s="44"/>
      <c r="C39" s="30"/>
      <c r="J39" s="68"/>
    </row>
    <row r="40">
      <c r="C40" s="30"/>
      <c r="J40" s="68"/>
    </row>
    <row r="41">
      <c r="C41" s="91"/>
    </row>
    <row r="42">
      <c r="C42" s="82"/>
    </row>
    <row r="43">
      <c r="C43" s="82"/>
    </row>
    <row r="44">
      <c r="A44" s="41"/>
      <c r="C44" s="82"/>
    </row>
    <row r="45">
      <c r="A45" s="41"/>
      <c r="C45" s="82"/>
    </row>
    <row r="46">
      <c r="A46" s="41"/>
      <c r="C46" s="82"/>
    </row>
    <row r="47">
      <c r="C47" s="82"/>
    </row>
    <row r="48">
      <c r="C48" s="82"/>
    </row>
    <row r="49">
      <c r="C49" s="82"/>
    </row>
    <row r="50">
      <c r="C50" s="82"/>
    </row>
    <row r="51">
      <c r="C51" s="82"/>
    </row>
    <row r="52">
      <c r="C52" s="82"/>
    </row>
    <row r="53">
      <c r="C53" s="82"/>
    </row>
    <row r="54">
      <c r="C54" s="82"/>
    </row>
    <row r="55">
      <c r="C55" s="82"/>
    </row>
    <row r="56">
      <c r="C56" s="82"/>
    </row>
    <row r="57">
      <c r="C57" s="82"/>
    </row>
    <row r="58">
      <c r="C58" s="82"/>
    </row>
    <row r="59">
      <c r="C59" s="82"/>
    </row>
    <row r="60">
      <c r="C60" s="82"/>
    </row>
    <row r="61">
      <c r="C61" s="82"/>
    </row>
    <row r="62">
      <c r="C62" s="82"/>
    </row>
    <row r="63">
      <c r="C63" s="82"/>
    </row>
    <row r="64">
      <c r="C64" s="82"/>
    </row>
    <row r="65">
      <c r="C65" s="82"/>
    </row>
    <row r="66">
      <c r="C66" s="82"/>
    </row>
    <row r="67">
      <c r="C67" s="82"/>
    </row>
    <row r="68">
      <c r="C68" s="82"/>
    </row>
    <row r="69">
      <c r="C69" s="82"/>
    </row>
    <row r="70">
      <c r="C70" s="82"/>
    </row>
    <row r="71">
      <c r="C71" s="82"/>
    </row>
    <row r="72">
      <c r="C72" s="82"/>
    </row>
    <row r="73">
      <c r="C73" s="82"/>
      <c r="D73" s="44"/>
      <c r="E73" s="44"/>
      <c r="F73" s="44"/>
      <c r="G73" s="44"/>
      <c r="H73" s="44"/>
      <c r="I73" s="44"/>
    </row>
    <row r="74">
      <c r="C74" s="82"/>
      <c r="D74" s="44"/>
      <c r="E74" s="44"/>
    </row>
    <row r="75">
      <c r="C75" s="82"/>
      <c r="E75" s="44"/>
    </row>
    <row r="76">
      <c r="C76" s="82"/>
      <c r="D76" s="44"/>
    </row>
    <row r="77">
      <c r="C77" s="82"/>
    </row>
    <row r="78">
      <c r="C78" s="82"/>
    </row>
    <row r="79">
      <c r="C79" s="82"/>
    </row>
    <row r="80">
      <c r="C80" s="82"/>
    </row>
    <row r="81">
      <c r="C81" s="82"/>
    </row>
    <row r="82">
      <c r="C82" s="82"/>
      <c r="D82" s="67"/>
      <c r="E82" s="67"/>
      <c r="F82" s="68"/>
      <c r="G82" s="68"/>
      <c r="H82" s="67"/>
      <c r="I82" s="68"/>
    </row>
    <row r="83">
      <c r="C83" s="82"/>
      <c r="D83" s="68"/>
      <c r="E83" s="68"/>
      <c r="F83" s="68"/>
      <c r="G83" s="68"/>
      <c r="H83" s="68"/>
      <c r="I83" s="68"/>
    </row>
    <row r="84">
      <c r="C84" s="82"/>
    </row>
    <row r="85">
      <c r="C85" s="82"/>
    </row>
    <row r="86">
      <c r="C86" s="82"/>
    </row>
    <row r="87">
      <c r="C87" s="82"/>
    </row>
    <row r="88">
      <c r="C88" s="82"/>
    </row>
    <row r="89">
      <c r="C89" s="82"/>
    </row>
    <row r="90">
      <c r="C90" s="82"/>
    </row>
    <row r="91">
      <c r="C91" s="82"/>
    </row>
    <row r="92">
      <c r="C92" s="82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75"/>
    <col customWidth="1" min="2" max="2" width="32.25"/>
  </cols>
  <sheetData>
    <row r="1">
      <c r="A1" s="14" t="s">
        <v>498</v>
      </c>
      <c r="B1" s="14" t="s">
        <v>0</v>
      </c>
      <c r="C1" s="14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746</v>
      </c>
      <c r="M1" s="14" t="s">
        <v>516</v>
      </c>
    </row>
    <row r="2">
      <c r="A2" s="43">
        <v>45992.0</v>
      </c>
      <c r="B2" s="44" t="s">
        <v>1177</v>
      </c>
      <c r="C2" s="30">
        <v>1199.99</v>
      </c>
      <c r="D2" s="30"/>
      <c r="E2" s="30"/>
      <c r="F2" s="30"/>
      <c r="G2" s="45"/>
      <c r="H2" s="30"/>
      <c r="I2" s="30">
        <v>1199.99</v>
      </c>
      <c r="J2" s="45"/>
      <c r="K2" s="45"/>
      <c r="L2" s="44"/>
    </row>
    <row r="3">
      <c r="A3" s="43">
        <v>45993.0</v>
      </c>
      <c r="B3" s="44" t="s">
        <v>1112</v>
      </c>
      <c r="C3" s="30">
        <v>599.0</v>
      </c>
      <c r="D3" s="30">
        <v>599.0</v>
      </c>
      <c r="E3" s="30"/>
      <c r="F3" s="30"/>
      <c r="G3" s="45"/>
      <c r="H3" s="30"/>
      <c r="I3" s="44"/>
      <c r="J3" s="30"/>
      <c r="K3" s="45"/>
    </row>
    <row r="4">
      <c r="A4" s="43">
        <v>45993.0</v>
      </c>
      <c r="B4" s="44" t="s">
        <v>1152</v>
      </c>
      <c r="C4" s="30">
        <v>75.7</v>
      </c>
      <c r="D4" s="8"/>
      <c r="E4" s="30">
        <v>75.7</v>
      </c>
      <c r="F4" s="30"/>
      <c r="G4" s="30"/>
      <c r="H4" s="30"/>
      <c r="I4" s="30"/>
      <c r="J4" s="30"/>
      <c r="K4" s="30"/>
      <c r="L4" s="30"/>
    </row>
    <row r="5">
      <c r="A5" s="43">
        <v>45995.0</v>
      </c>
      <c r="B5" s="44" t="s">
        <v>1178</v>
      </c>
      <c r="C5" s="91">
        <v>166.0</v>
      </c>
      <c r="D5" s="30"/>
      <c r="E5" s="30"/>
      <c r="F5" s="45"/>
      <c r="G5" s="45"/>
      <c r="H5" s="30"/>
      <c r="I5" s="30"/>
      <c r="J5" s="44"/>
      <c r="K5" s="45"/>
    </row>
    <row r="6">
      <c r="A6" s="46">
        <v>45995.0</v>
      </c>
      <c r="B6" s="44" t="s">
        <v>297</v>
      </c>
      <c r="C6" s="30">
        <v>78.2</v>
      </c>
      <c r="D6" s="30"/>
      <c r="E6" s="30">
        <v>78.2</v>
      </c>
      <c r="G6" s="45"/>
      <c r="H6" s="30"/>
      <c r="I6" s="30"/>
      <c r="J6" s="44"/>
      <c r="K6" s="44"/>
      <c r="L6" s="45"/>
    </row>
    <row r="7">
      <c r="A7" s="43">
        <v>45996.0</v>
      </c>
      <c r="B7" s="44" t="s">
        <v>1179</v>
      </c>
      <c r="C7" s="30">
        <v>59.1</v>
      </c>
      <c r="D7" s="30"/>
      <c r="E7" s="30">
        <v>59.1</v>
      </c>
      <c r="F7" s="94"/>
      <c r="G7" s="48"/>
      <c r="H7" s="48"/>
      <c r="I7" s="48"/>
      <c r="J7" s="48"/>
      <c r="K7" s="48"/>
      <c r="L7" s="48"/>
    </row>
    <row r="8">
      <c r="A8" s="43">
        <v>45997.0</v>
      </c>
      <c r="B8" s="44" t="s">
        <v>1180</v>
      </c>
      <c r="C8" s="30">
        <v>88.0</v>
      </c>
      <c r="D8" s="30"/>
      <c r="E8" s="30">
        <v>88.0</v>
      </c>
      <c r="F8" s="94"/>
      <c r="G8" s="30"/>
      <c r="H8" s="30"/>
      <c r="I8" s="30"/>
      <c r="J8" s="30"/>
      <c r="K8" s="30"/>
      <c r="L8" s="30"/>
    </row>
    <row r="9">
      <c r="A9" s="43">
        <v>45999.0</v>
      </c>
      <c r="B9" s="44" t="s">
        <v>230</v>
      </c>
      <c r="C9" s="30">
        <v>91.0</v>
      </c>
      <c r="D9" s="30"/>
      <c r="E9" s="30">
        <v>91.0</v>
      </c>
      <c r="G9" s="44"/>
      <c r="H9" s="30"/>
      <c r="I9" s="45"/>
      <c r="J9" s="30"/>
      <c r="K9" s="45"/>
      <c r="L9" s="45"/>
    </row>
    <row r="10">
      <c r="A10" s="43">
        <v>46002.0</v>
      </c>
      <c r="B10" s="44" t="s">
        <v>1148</v>
      </c>
      <c r="C10" s="30">
        <v>138.92</v>
      </c>
      <c r="D10" s="30"/>
      <c r="E10" s="30"/>
      <c r="F10" s="94"/>
      <c r="G10" s="44"/>
      <c r="H10" s="30"/>
      <c r="I10" s="45"/>
      <c r="J10" s="30">
        <v>138.92</v>
      </c>
      <c r="K10" s="45"/>
      <c r="L10" s="45"/>
    </row>
    <row r="11">
      <c r="A11" s="90">
        <v>46003.0</v>
      </c>
      <c r="B11" s="44" t="s">
        <v>1181</v>
      </c>
      <c r="C11" s="30">
        <v>509.91</v>
      </c>
      <c r="D11" s="44"/>
      <c r="E11" s="30"/>
      <c r="F11" s="94"/>
      <c r="G11" s="44"/>
      <c r="H11" s="30"/>
      <c r="I11" s="30">
        <v>509.91</v>
      </c>
      <c r="J11" s="45"/>
      <c r="K11" s="45"/>
      <c r="L11" s="45"/>
    </row>
    <row r="12">
      <c r="A12" s="43">
        <v>45998.0</v>
      </c>
      <c r="B12" s="44" t="s">
        <v>1182</v>
      </c>
      <c r="C12" s="30">
        <v>111.0</v>
      </c>
      <c r="D12" s="44"/>
      <c r="E12" s="30">
        <v>111.0</v>
      </c>
      <c r="F12" s="44"/>
      <c r="G12" s="45"/>
      <c r="H12" s="44"/>
      <c r="I12" s="30"/>
      <c r="J12" s="30"/>
      <c r="K12" s="45"/>
      <c r="L12" s="48"/>
      <c r="M12" s="30"/>
    </row>
    <row r="13">
      <c r="A13" s="43">
        <v>45997.0</v>
      </c>
      <c r="B13" s="44" t="s">
        <v>1183</v>
      </c>
      <c r="C13" s="30">
        <v>10.0</v>
      </c>
      <c r="D13" s="30"/>
      <c r="E13" s="30">
        <v>10.0</v>
      </c>
      <c r="F13" s="44"/>
      <c r="G13" s="44"/>
      <c r="H13" s="44"/>
      <c r="I13" s="44"/>
      <c r="J13" s="44"/>
      <c r="K13" s="44"/>
      <c r="L13" s="44"/>
    </row>
    <row r="14">
      <c r="A14" s="43"/>
      <c r="B14" s="44"/>
      <c r="C14" s="30"/>
      <c r="D14" s="30"/>
      <c r="E14" s="30">
        <v>87.8</v>
      </c>
      <c r="F14" s="44"/>
      <c r="G14" s="44"/>
      <c r="H14" s="44"/>
      <c r="I14" s="30"/>
      <c r="J14" s="45"/>
      <c r="K14" s="45"/>
      <c r="L14" s="45"/>
    </row>
    <row r="15">
      <c r="A15" s="93"/>
      <c r="C15" s="30" t="s">
        <v>637</v>
      </c>
      <c r="D15" s="92">
        <f t="shared" ref="D15:M15" si="1">sum(D2:D14)</f>
        <v>599</v>
      </c>
      <c r="E15" s="92">
        <f t="shared" si="1"/>
        <v>600.8</v>
      </c>
      <c r="F15" s="30">
        <f t="shared" si="1"/>
        <v>0</v>
      </c>
      <c r="G15" s="30">
        <f t="shared" si="1"/>
        <v>0</v>
      </c>
      <c r="H15" s="30">
        <f t="shared" si="1"/>
        <v>0</v>
      </c>
      <c r="I15" s="92">
        <f t="shared" si="1"/>
        <v>1709.9</v>
      </c>
      <c r="J15" s="92">
        <f t="shared" si="1"/>
        <v>138.92</v>
      </c>
      <c r="K15" s="30">
        <f t="shared" si="1"/>
        <v>0</v>
      </c>
      <c r="L15" s="30">
        <f t="shared" si="1"/>
        <v>0</v>
      </c>
      <c r="M15" s="30">
        <f t="shared" si="1"/>
        <v>0</v>
      </c>
    </row>
    <row r="16">
      <c r="A16" s="43"/>
      <c r="B16" s="44"/>
      <c r="C16" s="30"/>
      <c r="D16" s="30"/>
      <c r="E16" s="30"/>
      <c r="F16" s="44"/>
      <c r="G16" s="44"/>
      <c r="H16" s="30"/>
      <c r="I16" s="45"/>
      <c r="J16" s="30"/>
      <c r="K16" s="45"/>
      <c r="L16" s="45"/>
    </row>
    <row r="17">
      <c r="A17" s="43"/>
      <c r="B17" s="44"/>
      <c r="C17" s="30"/>
      <c r="D17" s="44"/>
      <c r="E17" s="44"/>
      <c r="F17" s="44"/>
      <c r="G17" s="44"/>
      <c r="H17" s="44"/>
      <c r="I17" s="44"/>
      <c r="J17" s="44"/>
      <c r="K17" s="44"/>
      <c r="L17" s="44"/>
      <c r="M17" s="44"/>
    </row>
    <row r="18">
      <c r="A18" s="43"/>
      <c r="B18" s="44"/>
      <c r="C18" s="30"/>
      <c r="D18" s="44"/>
      <c r="E18" s="30"/>
      <c r="F18" s="45"/>
      <c r="G18" s="45"/>
      <c r="H18" s="30"/>
      <c r="I18" s="45"/>
      <c r="J18" s="30"/>
      <c r="K18" s="45"/>
      <c r="L18" s="45"/>
    </row>
    <row r="19">
      <c r="A19" s="43"/>
      <c r="B19" s="44"/>
      <c r="C19" s="30"/>
      <c r="D19" s="44"/>
      <c r="E19" s="30"/>
      <c r="F19" s="44"/>
      <c r="G19" s="45"/>
      <c r="H19" s="44"/>
      <c r="I19" s="45"/>
      <c r="J19" s="30"/>
      <c r="K19" s="45"/>
      <c r="L19" s="45"/>
    </row>
    <row r="20">
      <c r="A20" s="43"/>
      <c r="B20" s="44"/>
      <c r="C20" s="30"/>
      <c r="D20" s="30"/>
      <c r="E20" s="48"/>
      <c r="F20" s="48"/>
      <c r="G20" s="48" t="s">
        <v>1184</v>
      </c>
      <c r="H20" s="30">
        <v>12276.79</v>
      </c>
      <c r="I20" s="48"/>
      <c r="J20" s="30"/>
      <c r="K20" s="48"/>
      <c r="L20" s="48"/>
    </row>
    <row r="21">
      <c r="A21" s="43"/>
      <c r="B21" s="44"/>
      <c r="C21" s="82"/>
      <c r="D21" s="44"/>
      <c r="F21" s="44"/>
      <c r="G21" s="44" t="s">
        <v>1185</v>
      </c>
      <c r="H21" s="44">
        <v>-1709.9</v>
      </c>
      <c r="I21" s="44"/>
      <c r="J21" s="44"/>
      <c r="K21" s="44"/>
      <c r="L21" s="44"/>
    </row>
    <row r="22">
      <c r="A22" s="43"/>
      <c r="B22" s="44"/>
      <c r="C22" s="30"/>
      <c r="D22" s="30"/>
      <c r="E22" s="30"/>
      <c r="G22" s="1" t="s">
        <v>1186</v>
      </c>
      <c r="H22" s="1">
        <v>-2000.0</v>
      </c>
    </row>
    <row r="23">
      <c r="A23" s="41"/>
      <c r="C23" s="82"/>
    </row>
    <row r="24">
      <c r="A24" s="46"/>
      <c r="B24" s="44"/>
      <c r="C24" s="82"/>
    </row>
    <row r="25">
      <c r="A25" s="43"/>
      <c r="B25" s="44"/>
      <c r="C25" s="30"/>
      <c r="D25" s="30"/>
    </row>
    <row r="26">
      <c r="A26" s="43"/>
      <c r="B26" s="44"/>
      <c r="C26" s="82"/>
      <c r="G26" s="1" t="s">
        <v>1187</v>
      </c>
    </row>
    <row r="27">
      <c r="A27" s="47"/>
      <c r="B27" s="4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>
      <c r="A28" s="43"/>
      <c r="B28" s="44"/>
      <c r="C28" s="30"/>
      <c r="E28" s="30"/>
    </row>
    <row r="29">
      <c r="A29" s="43"/>
      <c r="C29" s="82"/>
    </row>
    <row r="30">
      <c r="A30" s="43"/>
      <c r="B30" s="44"/>
      <c r="C30" s="30"/>
      <c r="D30" s="30"/>
      <c r="E30" s="30"/>
      <c r="F30" s="30"/>
      <c r="G30" s="30"/>
      <c r="H30" s="30"/>
      <c r="I30" s="30"/>
      <c r="J30" s="30"/>
      <c r="K30" s="30"/>
      <c r="L30" s="30"/>
    </row>
    <row r="31">
      <c r="A31" s="43"/>
      <c r="B31" s="44"/>
      <c r="C31" s="82"/>
      <c r="K31" s="1">
        <v>3097.47</v>
      </c>
    </row>
    <row r="32">
      <c r="A32" s="43"/>
      <c r="B32" s="44"/>
      <c r="C32" s="82"/>
    </row>
    <row r="33">
      <c r="A33" s="41"/>
      <c r="C33" s="82"/>
    </row>
    <row r="34">
      <c r="A34" s="41"/>
      <c r="C34" s="82"/>
      <c r="F34" s="44"/>
      <c r="I34" s="30"/>
    </row>
    <row r="35">
      <c r="A35" s="25"/>
      <c r="C35" s="82"/>
    </row>
    <row r="36">
      <c r="A36" s="41"/>
      <c r="C36" s="82"/>
    </row>
    <row r="37">
      <c r="A37" s="66"/>
      <c r="B37" s="44"/>
      <c r="C37" s="30"/>
    </row>
    <row r="38">
      <c r="B38" s="44"/>
      <c r="C38" s="30"/>
    </row>
    <row r="39">
      <c r="B39" s="44"/>
      <c r="C39" s="30"/>
      <c r="J39" s="68"/>
    </row>
    <row r="40">
      <c r="C40" s="30"/>
      <c r="J40" s="68"/>
    </row>
    <row r="41">
      <c r="C41" s="91"/>
    </row>
    <row r="42">
      <c r="C42" s="82"/>
    </row>
    <row r="43">
      <c r="C43" s="82"/>
    </row>
    <row r="44">
      <c r="A44" s="41"/>
      <c r="C44" s="82"/>
    </row>
    <row r="45">
      <c r="A45" s="41"/>
      <c r="C45" s="82"/>
    </row>
    <row r="46">
      <c r="A46" s="41"/>
      <c r="C46" s="82"/>
    </row>
    <row r="47">
      <c r="C47" s="82"/>
    </row>
    <row r="48">
      <c r="C48" s="82"/>
    </row>
    <row r="49">
      <c r="C49" s="82"/>
    </row>
    <row r="50">
      <c r="C50" s="82"/>
    </row>
    <row r="51">
      <c r="C51" s="82"/>
    </row>
    <row r="52">
      <c r="C52" s="82"/>
    </row>
    <row r="53">
      <c r="C53" s="82"/>
    </row>
    <row r="54">
      <c r="C54" s="82"/>
    </row>
    <row r="55">
      <c r="C55" s="82"/>
    </row>
    <row r="56">
      <c r="C56" s="82"/>
    </row>
    <row r="57">
      <c r="C57" s="82"/>
    </row>
    <row r="58">
      <c r="C58" s="82"/>
    </row>
    <row r="59">
      <c r="C59" s="82"/>
    </row>
    <row r="60">
      <c r="C60" s="82"/>
    </row>
    <row r="61">
      <c r="C61" s="82"/>
    </row>
    <row r="62">
      <c r="C62" s="82"/>
    </row>
    <row r="63">
      <c r="C63" s="82"/>
    </row>
    <row r="64">
      <c r="C64" s="82"/>
    </row>
    <row r="65">
      <c r="C65" s="82"/>
    </row>
    <row r="66">
      <c r="C66" s="82"/>
    </row>
    <row r="67">
      <c r="C67" s="82"/>
    </row>
    <row r="68">
      <c r="C68" s="82"/>
    </row>
    <row r="69">
      <c r="C69" s="82"/>
    </row>
    <row r="70">
      <c r="C70" s="82"/>
    </row>
    <row r="71">
      <c r="C71" s="82"/>
    </row>
    <row r="72">
      <c r="C72" s="82"/>
    </row>
    <row r="73">
      <c r="C73" s="82"/>
      <c r="D73" s="44"/>
      <c r="E73" s="44"/>
      <c r="F73" s="44"/>
      <c r="G73" s="44"/>
      <c r="H73" s="44"/>
      <c r="I73" s="44"/>
    </row>
    <row r="74">
      <c r="C74" s="82"/>
      <c r="D74" s="44"/>
      <c r="E74" s="44"/>
    </row>
    <row r="75">
      <c r="C75" s="82"/>
      <c r="E75" s="44"/>
    </row>
    <row r="76">
      <c r="C76" s="82"/>
      <c r="D76" s="44"/>
    </row>
    <row r="77">
      <c r="C77" s="82"/>
    </row>
    <row r="78">
      <c r="C78" s="82"/>
    </row>
    <row r="79">
      <c r="C79" s="82"/>
    </row>
    <row r="80">
      <c r="C80" s="82"/>
    </row>
    <row r="81">
      <c r="C81" s="82"/>
    </row>
    <row r="82">
      <c r="C82" s="82"/>
      <c r="D82" s="67"/>
      <c r="E82" s="67"/>
      <c r="F82" s="68"/>
      <c r="G82" s="68"/>
      <c r="H82" s="67"/>
      <c r="I82" s="68"/>
    </row>
    <row r="83">
      <c r="C83" s="82"/>
      <c r="D83" s="68"/>
      <c r="E83" s="68"/>
      <c r="F83" s="68"/>
      <c r="G83" s="68"/>
      <c r="H83" s="68"/>
      <c r="I83" s="68"/>
    </row>
    <row r="84">
      <c r="C84" s="82"/>
    </row>
    <row r="85">
      <c r="C85" s="82"/>
    </row>
    <row r="86">
      <c r="C86" s="82"/>
    </row>
    <row r="87">
      <c r="C87" s="82"/>
    </row>
    <row r="88">
      <c r="C88" s="82"/>
    </row>
    <row r="89">
      <c r="C89" s="82"/>
    </row>
    <row r="90">
      <c r="C90" s="82"/>
    </row>
    <row r="91">
      <c r="C91" s="82"/>
    </row>
    <row r="92">
      <c r="C92" s="82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.38"/>
    <col customWidth="1" min="2" max="2" width="17.0"/>
    <col customWidth="1" min="3" max="3" width="7.63"/>
  </cols>
  <sheetData>
    <row r="1">
      <c r="A1" s="14" t="s">
        <v>498</v>
      </c>
      <c r="B1" s="14" t="s">
        <v>0</v>
      </c>
      <c r="C1" s="75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1188</v>
      </c>
      <c r="M1" s="14" t="s">
        <v>516</v>
      </c>
    </row>
    <row r="2">
      <c r="A2" s="43"/>
      <c r="B2" s="44"/>
      <c r="C2" s="59"/>
      <c r="D2" s="44"/>
      <c r="E2" s="44"/>
      <c r="F2" s="44"/>
      <c r="G2" s="45"/>
      <c r="H2" s="44"/>
      <c r="I2" s="44"/>
      <c r="J2" s="45"/>
      <c r="K2" s="45"/>
      <c r="L2" s="44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>
      <c r="A3" s="43">
        <v>46005.0</v>
      </c>
      <c r="B3" s="44" t="s">
        <v>1189</v>
      </c>
      <c r="C3" s="59"/>
      <c r="D3" s="30"/>
      <c r="E3" s="30"/>
      <c r="F3" s="30"/>
      <c r="G3" s="45"/>
      <c r="H3" s="30"/>
      <c r="I3" s="44"/>
      <c r="J3" s="30"/>
      <c r="K3" s="45"/>
    </row>
    <row r="4">
      <c r="A4" s="43">
        <v>46005.0</v>
      </c>
      <c r="B4" s="44" t="s">
        <v>1190</v>
      </c>
      <c r="C4" s="59">
        <v>80.0</v>
      </c>
      <c r="D4" s="8"/>
      <c r="E4" s="59">
        <v>80.0</v>
      </c>
      <c r="F4" s="30"/>
      <c r="G4" s="30"/>
      <c r="H4" s="30"/>
      <c r="I4" s="30"/>
      <c r="J4" s="30"/>
      <c r="K4" s="30"/>
      <c r="L4" s="30"/>
    </row>
    <row r="5">
      <c r="A5" s="43">
        <v>46005.0</v>
      </c>
      <c r="B5" s="44" t="s">
        <v>1191</v>
      </c>
      <c r="C5" s="96">
        <v>28.0</v>
      </c>
      <c r="D5" s="30"/>
      <c r="E5" s="96">
        <v>28.0</v>
      </c>
      <c r="F5" s="45"/>
      <c r="G5" s="45"/>
      <c r="H5" s="30"/>
      <c r="I5" s="30"/>
      <c r="J5" s="44"/>
      <c r="K5" s="45"/>
    </row>
    <row r="6">
      <c r="A6" s="46">
        <v>46005.0</v>
      </c>
      <c r="B6" s="44" t="s">
        <v>1192</v>
      </c>
      <c r="C6" s="59">
        <v>325.0</v>
      </c>
      <c r="D6" s="30"/>
      <c r="E6" s="59">
        <v>325.0</v>
      </c>
      <c r="G6" s="45"/>
      <c r="H6" s="30"/>
      <c r="I6" s="30"/>
      <c r="J6" s="44"/>
      <c r="K6" s="44"/>
      <c r="L6" s="45"/>
    </row>
    <row r="7">
      <c r="A7" s="43">
        <v>46005.0</v>
      </c>
      <c r="B7" s="44" t="s">
        <v>1193</v>
      </c>
      <c r="C7" s="59">
        <v>11.4</v>
      </c>
      <c r="D7" s="30"/>
      <c r="E7" s="59">
        <v>11.4</v>
      </c>
      <c r="F7" s="94"/>
      <c r="G7" s="48"/>
      <c r="H7" s="48"/>
      <c r="I7" s="48"/>
      <c r="J7" s="48"/>
      <c r="K7" s="48"/>
      <c r="L7" s="48"/>
    </row>
    <row r="8">
      <c r="A8" s="43">
        <v>46006.0</v>
      </c>
      <c r="B8" s="44" t="s">
        <v>163</v>
      </c>
      <c r="C8" s="59">
        <v>143.52</v>
      </c>
      <c r="D8" s="30">
        <v>143.52</v>
      </c>
      <c r="E8" s="30"/>
      <c r="F8" s="94"/>
      <c r="G8" s="30"/>
      <c r="H8" s="30"/>
      <c r="I8" s="30"/>
      <c r="J8" s="30"/>
      <c r="K8" s="30"/>
      <c r="L8" s="30"/>
    </row>
    <row r="9">
      <c r="A9" s="43">
        <v>46006.0</v>
      </c>
      <c r="B9" s="44" t="s">
        <v>1194</v>
      </c>
      <c r="C9" s="59"/>
      <c r="D9" s="30"/>
      <c r="E9" s="30"/>
      <c r="G9" s="44"/>
      <c r="H9" s="30"/>
      <c r="I9" s="45"/>
      <c r="J9" s="30"/>
      <c r="K9" s="45"/>
      <c r="L9" s="45"/>
    </row>
    <row r="10">
      <c r="A10" s="43">
        <v>46009.0</v>
      </c>
      <c r="B10" s="44" t="s">
        <v>114</v>
      </c>
      <c r="C10" s="59">
        <v>34.0</v>
      </c>
      <c r="D10" s="30"/>
      <c r="E10" s="59">
        <v>34.0</v>
      </c>
      <c r="F10" s="94"/>
      <c r="G10" s="44"/>
      <c r="H10" s="30"/>
      <c r="I10" s="45"/>
      <c r="J10" s="30"/>
      <c r="K10" s="45"/>
      <c r="L10" s="45"/>
    </row>
    <row r="11">
      <c r="A11" s="43">
        <v>46009.0</v>
      </c>
      <c r="B11" s="44" t="s">
        <v>114</v>
      </c>
      <c r="C11" s="59">
        <v>37.5</v>
      </c>
      <c r="D11" s="44"/>
      <c r="E11" s="59">
        <v>37.5</v>
      </c>
      <c r="F11" s="94"/>
      <c r="G11" s="44"/>
      <c r="H11" s="30"/>
      <c r="I11" s="30"/>
      <c r="J11" s="45"/>
      <c r="K11" s="45"/>
      <c r="L11" s="45"/>
    </row>
    <row r="12">
      <c r="A12" s="43">
        <v>46009.0</v>
      </c>
      <c r="B12" s="44" t="s">
        <v>814</v>
      </c>
      <c r="C12" s="59">
        <v>60.0</v>
      </c>
      <c r="D12" s="44"/>
      <c r="E12" s="59">
        <v>60.0</v>
      </c>
      <c r="F12" s="44"/>
      <c r="G12" s="45"/>
      <c r="H12" s="44"/>
      <c r="I12" s="30"/>
      <c r="J12" s="30"/>
      <c r="K12" s="45"/>
      <c r="L12" s="48"/>
      <c r="M12" s="30"/>
    </row>
    <row r="13">
      <c r="A13" s="43">
        <v>46005.0</v>
      </c>
      <c r="B13" s="44" t="s">
        <v>1195</v>
      </c>
      <c r="C13" s="59">
        <v>16.0</v>
      </c>
      <c r="D13" s="30"/>
      <c r="E13" s="59"/>
      <c r="F13" s="44"/>
      <c r="G13" s="44"/>
      <c r="H13" s="44"/>
      <c r="I13" s="44"/>
      <c r="J13" s="44">
        <v>16.0</v>
      </c>
      <c r="K13" s="44"/>
      <c r="L13" s="44"/>
    </row>
    <row r="14">
      <c r="A14" s="43">
        <v>46010.0</v>
      </c>
      <c r="B14" s="44" t="s">
        <v>1128</v>
      </c>
      <c r="C14" s="59">
        <v>57.5</v>
      </c>
      <c r="D14" s="59">
        <v>57.5</v>
      </c>
      <c r="E14" s="30"/>
      <c r="F14" s="44"/>
      <c r="G14" s="44"/>
      <c r="H14" s="44"/>
      <c r="I14" s="30"/>
      <c r="J14" s="45"/>
      <c r="K14" s="45"/>
      <c r="L14" s="45"/>
    </row>
    <row r="15">
      <c r="A15" s="93">
        <v>46010.0</v>
      </c>
      <c r="B15" s="1" t="s">
        <v>1196</v>
      </c>
      <c r="C15" s="60"/>
      <c r="E15" s="30"/>
      <c r="F15" s="30"/>
      <c r="G15" s="30"/>
      <c r="H15" s="30"/>
      <c r="I15" s="30"/>
      <c r="J15" s="30"/>
      <c r="K15" s="30"/>
      <c r="L15" s="30"/>
      <c r="M15" s="30"/>
    </row>
    <row r="16">
      <c r="A16" s="43">
        <v>46011.0</v>
      </c>
      <c r="B16" s="44" t="s">
        <v>1197</v>
      </c>
      <c r="C16" s="60"/>
      <c r="E16" s="30"/>
      <c r="F16" s="44"/>
      <c r="G16" s="44"/>
      <c r="H16" s="30"/>
      <c r="I16" s="45"/>
      <c r="J16" s="30"/>
      <c r="K16" s="45"/>
      <c r="L16" s="45"/>
    </row>
    <row r="17">
      <c r="A17" s="43">
        <v>46011.0</v>
      </c>
      <c r="B17" s="44" t="s">
        <v>1198</v>
      </c>
      <c r="C17" s="60"/>
      <c r="E17" s="44"/>
      <c r="F17" s="44"/>
      <c r="G17" s="44"/>
      <c r="H17" s="44"/>
      <c r="I17" s="44"/>
      <c r="J17" s="44"/>
      <c r="K17" s="44"/>
      <c r="L17" s="44"/>
      <c r="M17" s="44"/>
    </row>
    <row r="18">
      <c r="A18" s="43">
        <v>46011.0</v>
      </c>
      <c r="B18" s="44" t="s">
        <v>1199</v>
      </c>
      <c r="C18" s="60"/>
      <c r="E18" s="44"/>
      <c r="F18" s="44"/>
      <c r="G18" s="44"/>
      <c r="H18" s="44"/>
      <c r="I18" s="44"/>
      <c r="J18" s="44"/>
      <c r="K18" s="44"/>
      <c r="L18" s="44"/>
      <c r="M18" s="44"/>
    </row>
    <row r="19">
      <c r="A19" s="43">
        <v>46012.0</v>
      </c>
      <c r="B19" s="44" t="s">
        <v>471</v>
      </c>
      <c r="C19" s="59">
        <v>56.9</v>
      </c>
      <c r="D19" s="1">
        <v>50.0</v>
      </c>
      <c r="E19" s="30"/>
      <c r="F19" s="44">
        <v>6.9</v>
      </c>
      <c r="G19" s="45"/>
      <c r="H19" s="30"/>
      <c r="I19" s="45"/>
      <c r="J19" s="30"/>
      <c r="K19" s="45"/>
      <c r="L19" s="45"/>
    </row>
    <row r="20">
      <c r="A20" s="43">
        <v>46012.0</v>
      </c>
      <c r="B20" s="44" t="s">
        <v>1200</v>
      </c>
      <c r="C20" s="59">
        <v>64.0</v>
      </c>
      <c r="E20" s="59">
        <v>64.0</v>
      </c>
      <c r="F20" s="44"/>
      <c r="G20" s="45"/>
      <c r="H20" s="44"/>
      <c r="I20" s="45"/>
      <c r="J20" s="30"/>
      <c r="K20" s="45"/>
      <c r="L20" s="45"/>
    </row>
    <row r="21">
      <c r="A21" s="43">
        <v>46012.0</v>
      </c>
      <c r="B21" s="44" t="s">
        <v>187</v>
      </c>
      <c r="C21" s="59">
        <v>63.7</v>
      </c>
      <c r="E21" s="59">
        <v>63.7</v>
      </c>
      <c r="F21" s="48"/>
      <c r="G21" s="48"/>
      <c r="H21" s="30"/>
      <c r="I21" s="48"/>
      <c r="J21" s="30"/>
      <c r="K21" s="48"/>
      <c r="L21" s="48"/>
    </row>
    <row r="22">
      <c r="A22" s="43">
        <v>46012.0</v>
      </c>
      <c r="B22" s="44" t="s">
        <v>1148</v>
      </c>
      <c r="C22" s="59">
        <v>123.09</v>
      </c>
      <c r="F22" s="44"/>
      <c r="G22" s="44"/>
      <c r="H22" s="44"/>
      <c r="I22" s="44"/>
      <c r="J22" s="59">
        <v>123.09</v>
      </c>
      <c r="K22" s="44"/>
      <c r="L22" s="44"/>
    </row>
    <row r="23">
      <c r="A23" s="43">
        <v>46014.0</v>
      </c>
      <c r="B23" s="44" t="s">
        <v>1201</v>
      </c>
      <c r="C23" s="60"/>
      <c r="E23" s="30"/>
    </row>
    <row r="24">
      <c r="A24" s="43">
        <v>46014.0</v>
      </c>
      <c r="B24" s="1" t="s">
        <v>1013</v>
      </c>
      <c r="C24" s="59">
        <v>150.0</v>
      </c>
      <c r="E24" s="59">
        <v>150.0</v>
      </c>
    </row>
    <row r="25">
      <c r="A25" s="46">
        <v>46014.0</v>
      </c>
      <c r="B25" s="44" t="s">
        <v>1202</v>
      </c>
      <c r="C25" s="59">
        <v>89.95</v>
      </c>
      <c r="G25" s="59">
        <v>89.95</v>
      </c>
    </row>
    <row r="26">
      <c r="A26" s="43">
        <v>46014.0</v>
      </c>
      <c r="B26" s="44" t="s">
        <v>1203</v>
      </c>
      <c r="C26" s="59">
        <v>30.8</v>
      </c>
      <c r="E26" s="59">
        <v>30.8</v>
      </c>
    </row>
    <row r="27">
      <c r="A27" s="43">
        <v>46015.0</v>
      </c>
      <c r="B27" s="44" t="s">
        <v>1204</v>
      </c>
      <c r="C27" s="60"/>
    </row>
    <row r="28">
      <c r="A28" s="47">
        <v>46015.0</v>
      </c>
      <c r="B28" s="48" t="s">
        <v>1205</v>
      </c>
      <c r="C28" s="75">
        <v>11.4</v>
      </c>
      <c r="D28" s="75">
        <v>11.4</v>
      </c>
      <c r="F28" s="8"/>
      <c r="G28" s="8"/>
      <c r="H28" s="8"/>
      <c r="I28" s="8"/>
      <c r="J28" s="8"/>
      <c r="K28" s="8"/>
      <c r="L28" s="8"/>
      <c r="M28" s="8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>
      <c r="A29" s="43">
        <v>46015.0</v>
      </c>
      <c r="B29" s="44" t="s">
        <v>1206</v>
      </c>
      <c r="C29" s="59">
        <v>8.0</v>
      </c>
      <c r="D29" s="59">
        <v>8.0</v>
      </c>
      <c r="E29" s="30"/>
    </row>
    <row r="30">
      <c r="A30" s="43">
        <v>46013.0</v>
      </c>
      <c r="B30" s="1" t="s">
        <v>357</v>
      </c>
      <c r="C30" s="59">
        <v>45.0</v>
      </c>
      <c r="D30" s="59">
        <v>45.0</v>
      </c>
    </row>
    <row r="31">
      <c r="A31" s="43">
        <v>46015.0</v>
      </c>
      <c r="B31" s="44" t="s">
        <v>1207</v>
      </c>
      <c r="C31" s="59">
        <v>60.49</v>
      </c>
      <c r="D31" s="30"/>
      <c r="E31" s="30"/>
      <c r="F31" s="30"/>
      <c r="G31" s="30"/>
      <c r="H31" s="30"/>
      <c r="I31" s="30"/>
      <c r="J31" s="30"/>
      <c r="K31" s="59">
        <v>60.49</v>
      </c>
      <c r="L31" s="30"/>
    </row>
    <row r="32">
      <c r="A32" s="43">
        <v>46017.0</v>
      </c>
      <c r="B32" s="44" t="s">
        <v>1208</v>
      </c>
      <c r="C32" s="59">
        <v>25.0</v>
      </c>
      <c r="F32" s="1">
        <v>12.5</v>
      </c>
      <c r="G32" s="1">
        <v>12.5</v>
      </c>
    </row>
    <row r="33">
      <c r="A33" s="43">
        <v>46019.0</v>
      </c>
      <c r="B33" s="44" t="s">
        <v>1209</v>
      </c>
      <c r="C33" s="59">
        <v>17.8</v>
      </c>
      <c r="L33" s="59">
        <v>17.8</v>
      </c>
    </row>
    <row r="34">
      <c r="A34" s="41">
        <v>46019.0</v>
      </c>
      <c r="B34" s="1" t="s">
        <v>1210</v>
      </c>
      <c r="C34" s="59">
        <v>48.0</v>
      </c>
      <c r="L34" s="59">
        <v>48.0</v>
      </c>
    </row>
    <row r="35">
      <c r="A35" s="41">
        <v>46020.0</v>
      </c>
      <c r="B35" s="1" t="s">
        <v>1211</v>
      </c>
      <c r="C35" s="59">
        <v>20.0</v>
      </c>
      <c r="F35" s="44"/>
      <c r="I35" s="30"/>
      <c r="L35" s="1">
        <v>20.0</v>
      </c>
    </row>
    <row r="36">
      <c r="A36" s="25">
        <v>46020.0</v>
      </c>
      <c r="B36" s="1" t="s">
        <v>1212</v>
      </c>
      <c r="C36" s="59">
        <v>100.0</v>
      </c>
      <c r="L36" s="1">
        <v>100.0</v>
      </c>
    </row>
    <row r="37">
      <c r="A37" s="41">
        <v>46021.0</v>
      </c>
      <c r="B37" s="1" t="s">
        <v>1213</v>
      </c>
      <c r="C37" s="59">
        <v>394.02</v>
      </c>
      <c r="D37" s="59">
        <v>394.02</v>
      </c>
    </row>
    <row r="38">
      <c r="A38" s="66">
        <v>46012.0</v>
      </c>
      <c r="B38" s="44" t="s">
        <v>1214</v>
      </c>
      <c r="C38" s="59">
        <v>5.0</v>
      </c>
      <c r="E38" s="59"/>
      <c r="J38" s="1">
        <v>5.0</v>
      </c>
    </row>
    <row r="39">
      <c r="A39" s="25">
        <v>46020.0</v>
      </c>
      <c r="B39" s="44" t="s">
        <v>1215</v>
      </c>
      <c r="C39" s="59">
        <v>69.0</v>
      </c>
      <c r="L39" s="59">
        <v>69.0</v>
      </c>
    </row>
    <row r="40">
      <c r="A40" s="25">
        <v>46020.0</v>
      </c>
      <c r="B40" s="44" t="s">
        <v>1216</v>
      </c>
      <c r="C40" s="59">
        <v>2.0</v>
      </c>
      <c r="J40" s="68"/>
      <c r="L40" s="59">
        <v>2.0</v>
      </c>
    </row>
    <row r="41">
      <c r="B41" s="1" t="s">
        <v>1217</v>
      </c>
      <c r="C41" s="59">
        <v>2.8</v>
      </c>
      <c r="J41" s="68"/>
      <c r="L41" s="59">
        <v>2.8</v>
      </c>
    </row>
    <row r="42">
      <c r="B42" s="1" t="s">
        <v>1218</v>
      </c>
      <c r="C42" s="59">
        <v>4.0</v>
      </c>
      <c r="L42" s="59">
        <v>4.0</v>
      </c>
    </row>
    <row r="43">
      <c r="B43" s="1" t="s">
        <v>1219</v>
      </c>
      <c r="C43" s="59">
        <v>1.0</v>
      </c>
      <c r="L43" s="59">
        <v>1.0</v>
      </c>
    </row>
    <row r="44">
      <c r="B44" s="1" t="s">
        <v>1220</v>
      </c>
      <c r="C44" s="59">
        <v>10.0</v>
      </c>
      <c r="L44" s="59">
        <v>10.0</v>
      </c>
    </row>
    <row r="45">
      <c r="A45" s="41"/>
      <c r="B45" s="1" t="s">
        <v>1221</v>
      </c>
      <c r="C45" s="59">
        <v>6.5</v>
      </c>
      <c r="L45" s="59">
        <v>6.5</v>
      </c>
    </row>
    <row r="46">
      <c r="A46" s="41"/>
      <c r="B46" s="1" t="s">
        <v>1222</v>
      </c>
      <c r="C46" s="59">
        <v>1.0</v>
      </c>
      <c r="L46" s="59">
        <v>1.0</v>
      </c>
    </row>
    <row r="47">
      <c r="A47" s="41"/>
      <c r="B47" s="1" t="s">
        <v>1223</v>
      </c>
      <c r="C47" s="59">
        <v>10.0</v>
      </c>
      <c r="L47" s="59">
        <v>10.0</v>
      </c>
    </row>
    <row r="48">
      <c r="B48" s="1" t="s">
        <v>1224</v>
      </c>
      <c r="C48" s="59">
        <v>140.0</v>
      </c>
      <c r="L48" s="59">
        <v>140.0</v>
      </c>
    </row>
    <row r="49">
      <c r="B49" s="1" t="s">
        <v>1225</v>
      </c>
      <c r="C49" s="59">
        <v>20.0</v>
      </c>
      <c r="L49" s="59">
        <v>20.0</v>
      </c>
    </row>
    <row r="50">
      <c r="B50" s="1" t="s">
        <v>1226</v>
      </c>
      <c r="C50" s="59">
        <v>7.0</v>
      </c>
      <c r="L50" s="59">
        <v>7.0</v>
      </c>
    </row>
    <row r="51">
      <c r="B51" s="1" t="s">
        <v>1227</v>
      </c>
      <c r="C51" s="59">
        <v>70.7</v>
      </c>
      <c r="K51" s="59">
        <v>70.7</v>
      </c>
    </row>
    <row r="52">
      <c r="C52" s="60"/>
      <c r="D52" s="97">
        <v>709.44</v>
      </c>
      <c r="E52" s="4">
        <v>884.4</v>
      </c>
      <c r="F52" s="4">
        <v>19.4</v>
      </c>
      <c r="G52" s="4">
        <v>102.45</v>
      </c>
      <c r="H52" s="4">
        <v>0</v>
      </c>
      <c r="I52" s="4">
        <v>0</v>
      </c>
      <c r="J52" s="97">
        <v>144.09</v>
      </c>
      <c r="K52" s="97">
        <v>131.19</v>
      </c>
      <c r="L52" s="97">
        <v>459.1</v>
      </c>
    </row>
    <row r="53">
      <c r="C53" s="60"/>
    </row>
    <row r="54">
      <c r="C54" s="60"/>
    </row>
    <row r="55">
      <c r="C55" s="60"/>
    </row>
    <row r="56">
      <c r="C56" s="60"/>
    </row>
    <row r="57">
      <c r="C57" s="60"/>
    </row>
    <row r="58">
      <c r="C58" s="60"/>
    </row>
    <row r="59">
      <c r="C59" s="60"/>
    </row>
    <row r="60">
      <c r="C60" s="60"/>
    </row>
    <row r="61">
      <c r="C61" s="60"/>
    </row>
    <row r="62">
      <c r="C62" s="60"/>
    </row>
    <row r="63">
      <c r="C63" s="60"/>
    </row>
    <row r="64">
      <c r="C64" s="60"/>
    </row>
    <row r="65">
      <c r="C65" s="60"/>
    </row>
    <row r="66">
      <c r="C66" s="60"/>
    </row>
    <row r="67">
      <c r="C67" s="60"/>
    </row>
    <row r="68">
      <c r="C68" s="60"/>
    </row>
    <row r="69">
      <c r="C69" s="60"/>
    </row>
    <row r="70">
      <c r="C70" s="59">
        <v>68.9</v>
      </c>
    </row>
    <row r="71">
      <c r="C71" s="59">
        <v>109.0</v>
      </c>
    </row>
    <row r="72">
      <c r="C72" s="59">
        <v>50.26</v>
      </c>
    </row>
    <row r="73">
      <c r="C73" s="59">
        <v>99.8</v>
      </c>
    </row>
    <row r="74">
      <c r="C74" s="59"/>
      <c r="D74" s="44"/>
      <c r="E74" s="44"/>
      <c r="F74" s="44"/>
      <c r="G74" s="44"/>
      <c r="H74" s="44"/>
      <c r="I74" s="44"/>
    </row>
    <row r="75">
      <c r="C75" s="59"/>
      <c r="D75" s="44"/>
      <c r="E75" s="44"/>
    </row>
    <row r="76">
      <c r="C76" s="59"/>
      <c r="E76" s="44"/>
    </row>
    <row r="77">
      <c r="C77" s="59"/>
      <c r="D77" s="44"/>
    </row>
    <row r="78">
      <c r="C78" s="59">
        <v>94.8</v>
      </c>
    </row>
    <row r="79">
      <c r="C79" s="60"/>
    </row>
    <row r="80">
      <c r="C80" s="60"/>
    </row>
    <row r="81">
      <c r="C81" s="59"/>
    </row>
    <row r="82">
      <c r="C82" s="60">
        <f>53.9*2</f>
        <v>107.8</v>
      </c>
    </row>
    <row r="83">
      <c r="C83" s="60"/>
      <c r="D83" s="67"/>
      <c r="E83" s="67"/>
      <c r="F83" s="68"/>
      <c r="G83" s="68"/>
      <c r="H83" s="67"/>
      <c r="I83" s="68"/>
    </row>
    <row r="84">
      <c r="C84" s="60"/>
      <c r="D84" s="68"/>
      <c r="E84" s="68"/>
      <c r="F84" s="68"/>
      <c r="G84" s="68"/>
      <c r="H84" s="68"/>
      <c r="I84" s="68"/>
    </row>
    <row r="85">
      <c r="C85" s="60"/>
    </row>
    <row r="86">
      <c r="C86" s="60"/>
    </row>
    <row r="87">
      <c r="C87" s="60"/>
    </row>
    <row r="88">
      <c r="C88" s="60"/>
    </row>
    <row r="89">
      <c r="C89" s="60"/>
    </row>
    <row r="90">
      <c r="C90" s="60"/>
    </row>
    <row r="91">
      <c r="C91" s="60"/>
    </row>
    <row r="92">
      <c r="C92" s="60"/>
    </row>
    <row r="93">
      <c r="C93" s="60"/>
    </row>
    <row r="94">
      <c r="C94" s="60"/>
    </row>
    <row r="95">
      <c r="C95" s="60"/>
    </row>
    <row r="96">
      <c r="C96" s="60"/>
    </row>
    <row r="97">
      <c r="C97" s="60"/>
    </row>
    <row r="98">
      <c r="C98" s="60"/>
    </row>
    <row r="99">
      <c r="C99" s="60"/>
    </row>
    <row r="100">
      <c r="C100" s="60"/>
    </row>
    <row r="101">
      <c r="C101" s="60"/>
    </row>
    <row r="102">
      <c r="C102" s="60"/>
    </row>
    <row r="103">
      <c r="C103" s="60"/>
    </row>
    <row r="104">
      <c r="C104" s="60"/>
    </row>
    <row r="105">
      <c r="C105" s="60"/>
    </row>
    <row r="106">
      <c r="C106" s="60"/>
    </row>
    <row r="107">
      <c r="C107" s="60"/>
    </row>
    <row r="108">
      <c r="C108" s="60"/>
    </row>
    <row r="109">
      <c r="C109" s="60"/>
    </row>
    <row r="110">
      <c r="C110" s="60"/>
    </row>
    <row r="111">
      <c r="C111" s="60"/>
    </row>
    <row r="112">
      <c r="C112" s="60"/>
    </row>
    <row r="113">
      <c r="C113" s="60"/>
    </row>
    <row r="114">
      <c r="C114" s="60"/>
    </row>
    <row r="115">
      <c r="C115" s="60"/>
    </row>
    <row r="116">
      <c r="C116" s="60"/>
    </row>
    <row r="117">
      <c r="C117" s="60"/>
    </row>
    <row r="118">
      <c r="C118" s="60"/>
    </row>
    <row r="119">
      <c r="C119" s="60"/>
    </row>
    <row r="120">
      <c r="C120" s="60"/>
    </row>
    <row r="121">
      <c r="C121" s="60"/>
    </row>
    <row r="122">
      <c r="C122" s="60"/>
    </row>
    <row r="123">
      <c r="C123" s="60"/>
    </row>
    <row r="124">
      <c r="C124" s="60"/>
    </row>
    <row r="125">
      <c r="C125" s="60"/>
    </row>
    <row r="126">
      <c r="C126" s="60"/>
    </row>
    <row r="127">
      <c r="C127" s="60"/>
    </row>
    <row r="128">
      <c r="C128" s="60"/>
    </row>
    <row r="129">
      <c r="C129" s="60"/>
    </row>
    <row r="130">
      <c r="C130" s="60"/>
    </row>
    <row r="131">
      <c r="C131" s="60"/>
    </row>
    <row r="132">
      <c r="C132" s="60"/>
    </row>
    <row r="133">
      <c r="C133" s="60"/>
    </row>
    <row r="134">
      <c r="C134" s="60"/>
    </row>
    <row r="135">
      <c r="C135" s="60"/>
    </row>
    <row r="136">
      <c r="C136" s="60"/>
    </row>
    <row r="137">
      <c r="C137" s="60"/>
    </row>
    <row r="138">
      <c r="C138" s="60"/>
    </row>
    <row r="139">
      <c r="C139" s="60"/>
    </row>
    <row r="140">
      <c r="C140" s="60"/>
    </row>
    <row r="141">
      <c r="C141" s="60"/>
    </row>
    <row r="142">
      <c r="C142" s="60"/>
    </row>
    <row r="143">
      <c r="C143" s="60"/>
    </row>
    <row r="144">
      <c r="C144" s="60"/>
    </row>
    <row r="145">
      <c r="C145" s="60"/>
    </row>
    <row r="146">
      <c r="C146" s="60"/>
    </row>
    <row r="147">
      <c r="C147" s="60"/>
    </row>
    <row r="148">
      <c r="C148" s="60"/>
    </row>
    <row r="149">
      <c r="C149" s="60"/>
    </row>
    <row r="150">
      <c r="C150" s="60"/>
    </row>
    <row r="151">
      <c r="C151" s="60"/>
    </row>
    <row r="152">
      <c r="C152" s="60"/>
    </row>
    <row r="153">
      <c r="C153" s="60"/>
    </row>
    <row r="154">
      <c r="C154" s="60"/>
    </row>
    <row r="155">
      <c r="C155" s="60"/>
    </row>
    <row r="156">
      <c r="C156" s="60"/>
    </row>
    <row r="157">
      <c r="C157" s="60"/>
    </row>
    <row r="158">
      <c r="C158" s="60"/>
    </row>
    <row r="159">
      <c r="C159" s="60"/>
    </row>
    <row r="160">
      <c r="C160" s="60"/>
    </row>
    <row r="161">
      <c r="C161" s="60"/>
    </row>
    <row r="162">
      <c r="C162" s="60"/>
    </row>
    <row r="163">
      <c r="C163" s="60"/>
    </row>
    <row r="164">
      <c r="C164" s="60"/>
    </row>
    <row r="165">
      <c r="C165" s="60"/>
    </row>
    <row r="166">
      <c r="C166" s="60"/>
    </row>
    <row r="167">
      <c r="C167" s="60"/>
    </row>
    <row r="168">
      <c r="C168" s="60"/>
    </row>
    <row r="169">
      <c r="C169" s="60"/>
    </row>
    <row r="170">
      <c r="C170" s="60"/>
    </row>
    <row r="171">
      <c r="C171" s="60"/>
    </row>
    <row r="172">
      <c r="C172" s="60"/>
    </row>
    <row r="173">
      <c r="C173" s="60"/>
    </row>
    <row r="174">
      <c r="C174" s="60"/>
    </row>
    <row r="175">
      <c r="C175" s="60"/>
    </row>
    <row r="176">
      <c r="C176" s="60"/>
    </row>
    <row r="177">
      <c r="C177" s="60"/>
    </row>
    <row r="178">
      <c r="C178" s="60"/>
    </row>
    <row r="179">
      <c r="C179" s="60"/>
    </row>
    <row r="180">
      <c r="C180" s="60"/>
    </row>
    <row r="181">
      <c r="C181" s="60"/>
    </row>
    <row r="182">
      <c r="C182" s="60"/>
    </row>
    <row r="183">
      <c r="C183" s="60"/>
    </row>
    <row r="184">
      <c r="C184" s="60"/>
    </row>
    <row r="185">
      <c r="C185" s="60"/>
    </row>
    <row r="186">
      <c r="C186" s="60"/>
    </row>
    <row r="187">
      <c r="C187" s="60"/>
    </row>
    <row r="188">
      <c r="C188" s="60"/>
    </row>
    <row r="189">
      <c r="C189" s="60"/>
    </row>
    <row r="190">
      <c r="C190" s="60"/>
    </row>
    <row r="191">
      <c r="C191" s="60"/>
    </row>
    <row r="192">
      <c r="C192" s="60"/>
    </row>
    <row r="193">
      <c r="C193" s="60"/>
    </row>
    <row r="194">
      <c r="C194" s="60"/>
    </row>
    <row r="195">
      <c r="C195" s="60"/>
    </row>
    <row r="196">
      <c r="C196" s="60"/>
    </row>
    <row r="197">
      <c r="C197" s="60"/>
    </row>
    <row r="198">
      <c r="C198" s="60"/>
    </row>
    <row r="199">
      <c r="C199" s="60"/>
    </row>
    <row r="200">
      <c r="C200" s="60"/>
    </row>
    <row r="201">
      <c r="C201" s="60"/>
    </row>
    <row r="202">
      <c r="C202" s="60"/>
    </row>
    <row r="203">
      <c r="C203" s="60"/>
    </row>
    <row r="204">
      <c r="C204" s="60"/>
    </row>
    <row r="205">
      <c r="C205" s="60"/>
    </row>
    <row r="206">
      <c r="C206" s="60"/>
    </row>
    <row r="207">
      <c r="C207" s="60"/>
    </row>
    <row r="208">
      <c r="C208" s="60"/>
    </row>
    <row r="209">
      <c r="C209" s="60"/>
    </row>
    <row r="210">
      <c r="C210" s="60"/>
    </row>
    <row r="211">
      <c r="C211" s="60"/>
    </row>
    <row r="212">
      <c r="C212" s="60"/>
    </row>
    <row r="213">
      <c r="C213" s="60"/>
    </row>
    <row r="214">
      <c r="C214" s="60"/>
    </row>
    <row r="215">
      <c r="C215" s="60"/>
    </row>
    <row r="216">
      <c r="C216" s="60"/>
    </row>
    <row r="217">
      <c r="C217" s="60"/>
    </row>
    <row r="218">
      <c r="C218" s="60"/>
    </row>
    <row r="219">
      <c r="C219" s="60"/>
    </row>
    <row r="220">
      <c r="C220" s="60"/>
    </row>
    <row r="221">
      <c r="C221" s="60"/>
    </row>
    <row r="222">
      <c r="C222" s="60"/>
    </row>
    <row r="223">
      <c r="C223" s="60"/>
    </row>
    <row r="224">
      <c r="C224" s="60"/>
    </row>
    <row r="225">
      <c r="C225" s="60"/>
    </row>
    <row r="226">
      <c r="C226" s="60"/>
    </row>
    <row r="227">
      <c r="C227" s="60"/>
    </row>
    <row r="228">
      <c r="C228" s="60"/>
    </row>
    <row r="229">
      <c r="C229" s="60"/>
    </row>
    <row r="230">
      <c r="C230" s="60"/>
    </row>
    <row r="231">
      <c r="C231" s="60"/>
    </row>
    <row r="232">
      <c r="C232" s="60"/>
    </row>
    <row r="233">
      <c r="C233" s="60"/>
    </row>
    <row r="234">
      <c r="C234" s="60"/>
    </row>
    <row r="235">
      <c r="C235" s="60"/>
    </row>
    <row r="236">
      <c r="C236" s="60"/>
    </row>
    <row r="237">
      <c r="C237" s="60"/>
    </row>
    <row r="238">
      <c r="C238" s="60"/>
    </row>
    <row r="239">
      <c r="C239" s="60"/>
    </row>
    <row r="240">
      <c r="C240" s="60"/>
    </row>
    <row r="241">
      <c r="C241" s="60"/>
    </row>
    <row r="242">
      <c r="C242" s="60"/>
    </row>
    <row r="243">
      <c r="C243" s="60"/>
    </row>
    <row r="244">
      <c r="C244" s="60"/>
    </row>
    <row r="245">
      <c r="C245" s="60"/>
    </row>
    <row r="246">
      <c r="C246" s="60"/>
    </row>
    <row r="247">
      <c r="C247" s="60"/>
    </row>
    <row r="248">
      <c r="C248" s="60"/>
    </row>
    <row r="249">
      <c r="C249" s="60"/>
    </row>
    <row r="250">
      <c r="C250" s="60"/>
    </row>
    <row r="251">
      <c r="C251" s="60"/>
    </row>
    <row r="252">
      <c r="C252" s="60"/>
    </row>
    <row r="253">
      <c r="C253" s="60"/>
    </row>
    <row r="254">
      <c r="C254" s="60"/>
    </row>
    <row r="255">
      <c r="C255" s="60"/>
    </row>
    <row r="256">
      <c r="C256" s="60"/>
    </row>
    <row r="257">
      <c r="C257" s="60"/>
    </row>
    <row r="258">
      <c r="C258" s="60"/>
    </row>
    <row r="259">
      <c r="C259" s="60"/>
    </row>
    <row r="260">
      <c r="C260" s="60"/>
    </row>
    <row r="261">
      <c r="C261" s="60"/>
    </row>
    <row r="262">
      <c r="C262" s="60"/>
    </row>
    <row r="263">
      <c r="C263" s="60"/>
    </row>
    <row r="264">
      <c r="C264" s="60"/>
    </row>
    <row r="265">
      <c r="C265" s="60"/>
    </row>
    <row r="266">
      <c r="C266" s="60"/>
    </row>
    <row r="267">
      <c r="C267" s="60"/>
    </row>
    <row r="268">
      <c r="C268" s="60"/>
    </row>
    <row r="269">
      <c r="C269" s="60"/>
    </row>
    <row r="270">
      <c r="C270" s="60"/>
    </row>
    <row r="271">
      <c r="C271" s="60"/>
    </row>
    <row r="272">
      <c r="C272" s="60"/>
    </row>
    <row r="273">
      <c r="C273" s="60"/>
    </row>
    <row r="274">
      <c r="C274" s="60"/>
    </row>
    <row r="275">
      <c r="C275" s="60"/>
    </row>
    <row r="276">
      <c r="C276" s="60"/>
    </row>
    <row r="277">
      <c r="C277" s="60"/>
    </row>
    <row r="278">
      <c r="C278" s="60"/>
    </row>
    <row r="279">
      <c r="C279" s="60"/>
    </row>
    <row r="280">
      <c r="C280" s="60"/>
    </row>
    <row r="281">
      <c r="C281" s="60"/>
    </row>
    <row r="282">
      <c r="C282" s="60"/>
    </row>
    <row r="283">
      <c r="C283" s="60"/>
    </row>
    <row r="284">
      <c r="C284" s="60"/>
    </row>
    <row r="285">
      <c r="C285" s="60"/>
    </row>
    <row r="286">
      <c r="C286" s="60"/>
    </row>
    <row r="287">
      <c r="C287" s="60"/>
    </row>
    <row r="288">
      <c r="C288" s="60"/>
    </row>
    <row r="289">
      <c r="C289" s="60"/>
    </row>
    <row r="290">
      <c r="C290" s="60"/>
    </row>
    <row r="291">
      <c r="C291" s="60"/>
    </row>
    <row r="292">
      <c r="C292" s="60"/>
    </row>
    <row r="293">
      <c r="C293" s="60"/>
    </row>
    <row r="294">
      <c r="C294" s="60"/>
    </row>
    <row r="295">
      <c r="C295" s="60"/>
    </row>
    <row r="296">
      <c r="C296" s="60"/>
    </row>
    <row r="297">
      <c r="C297" s="60"/>
    </row>
    <row r="298">
      <c r="C298" s="60"/>
    </row>
    <row r="299">
      <c r="C299" s="60"/>
    </row>
    <row r="300">
      <c r="C300" s="60"/>
    </row>
    <row r="301">
      <c r="C301" s="60"/>
    </row>
    <row r="302">
      <c r="C302" s="60"/>
    </row>
    <row r="303">
      <c r="C303" s="60"/>
    </row>
    <row r="304">
      <c r="C304" s="60"/>
    </row>
    <row r="305">
      <c r="C305" s="60"/>
    </row>
    <row r="306">
      <c r="C306" s="60"/>
    </row>
    <row r="307">
      <c r="C307" s="60"/>
    </row>
    <row r="308">
      <c r="C308" s="60"/>
    </row>
    <row r="309">
      <c r="C309" s="60"/>
    </row>
    <row r="310">
      <c r="C310" s="60"/>
    </row>
    <row r="311">
      <c r="C311" s="60"/>
    </row>
    <row r="312">
      <c r="C312" s="60"/>
    </row>
    <row r="313">
      <c r="C313" s="60"/>
    </row>
    <row r="314">
      <c r="C314" s="60"/>
    </row>
    <row r="315">
      <c r="C315" s="60"/>
    </row>
    <row r="316">
      <c r="C316" s="60"/>
    </row>
    <row r="317">
      <c r="C317" s="60"/>
    </row>
    <row r="318">
      <c r="C318" s="60"/>
    </row>
    <row r="319">
      <c r="C319" s="60"/>
    </row>
    <row r="320">
      <c r="C320" s="60"/>
    </row>
    <row r="321">
      <c r="C321" s="60"/>
    </row>
    <row r="322">
      <c r="C322" s="60"/>
    </row>
    <row r="323">
      <c r="C323" s="60"/>
    </row>
    <row r="324">
      <c r="C324" s="60"/>
    </row>
    <row r="325">
      <c r="C325" s="60"/>
    </row>
    <row r="326">
      <c r="C326" s="60"/>
    </row>
    <row r="327">
      <c r="C327" s="60"/>
    </row>
    <row r="328">
      <c r="C328" s="60"/>
    </row>
    <row r="329">
      <c r="C329" s="60"/>
    </row>
    <row r="330">
      <c r="C330" s="60"/>
    </row>
    <row r="331">
      <c r="C331" s="60"/>
    </row>
    <row r="332">
      <c r="C332" s="60"/>
    </row>
    <row r="333">
      <c r="C333" s="60"/>
    </row>
    <row r="334">
      <c r="C334" s="60"/>
    </row>
    <row r="335">
      <c r="C335" s="60"/>
    </row>
    <row r="336">
      <c r="C336" s="60"/>
    </row>
    <row r="337">
      <c r="C337" s="60"/>
    </row>
    <row r="338">
      <c r="C338" s="60"/>
    </row>
    <row r="339">
      <c r="C339" s="60"/>
    </row>
    <row r="340">
      <c r="C340" s="60"/>
    </row>
    <row r="341">
      <c r="C341" s="60"/>
    </row>
    <row r="342">
      <c r="C342" s="60"/>
    </row>
    <row r="343">
      <c r="C343" s="60"/>
    </row>
    <row r="344">
      <c r="C344" s="60"/>
    </row>
    <row r="345">
      <c r="C345" s="60"/>
    </row>
    <row r="346">
      <c r="C346" s="60"/>
    </row>
    <row r="347">
      <c r="C347" s="60"/>
    </row>
    <row r="348">
      <c r="C348" s="60"/>
    </row>
    <row r="349">
      <c r="C349" s="60"/>
    </row>
    <row r="350">
      <c r="C350" s="60"/>
    </row>
    <row r="351">
      <c r="C351" s="60"/>
    </row>
    <row r="352">
      <c r="C352" s="60"/>
    </row>
    <row r="353">
      <c r="C353" s="60"/>
    </row>
    <row r="354">
      <c r="C354" s="60"/>
    </row>
    <row r="355">
      <c r="C355" s="60"/>
    </row>
    <row r="356">
      <c r="C356" s="60"/>
    </row>
    <row r="357">
      <c r="C357" s="60"/>
    </row>
    <row r="358">
      <c r="C358" s="60"/>
    </row>
    <row r="359">
      <c r="C359" s="60"/>
    </row>
    <row r="360">
      <c r="C360" s="60"/>
    </row>
    <row r="361">
      <c r="C361" s="60"/>
    </row>
    <row r="362">
      <c r="C362" s="60"/>
    </row>
    <row r="363">
      <c r="C363" s="60"/>
    </row>
    <row r="364">
      <c r="C364" s="60"/>
    </row>
    <row r="365">
      <c r="C365" s="60"/>
    </row>
    <row r="366">
      <c r="C366" s="60"/>
    </row>
    <row r="367">
      <c r="C367" s="60"/>
    </row>
    <row r="368">
      <c r="C368" s="60"/>
    </row>
    <row r="369">
      <c r="C369" s="60"/>
    </row>
    <row r="370">
      <c r="C370" s="60"/>
    </row>
    <row r="371">
      <c r="C371" s="60"/>
    </row>
    <row r="372">
      <c r="C372" s="60"/>
    </row>
    <row r="373">
      <c r="C373" s="60"/>
    </row>
    <row r="374">
      <c r="C374" s="60"/>
    </row>
    <row r="375">
      <c r="C375" s="60"/>
    </row>
    <row r="376">
      <c r="C376" s="60"/>
    </row>
    <row r="377">
      <c r="C377" s="60"/>
    </row>
    <row r="378">
      <c r="C378" s="60"/>
    </row>
    <row r="379">
      <c r="C379" s="60"/>
    </row>
    <row r="380">
      <c r="C380" s="60"/>
    </row>
    <row r="381">
      <c r="C381" s="60"/>
    </row>
    <row r="382">
      <c r="C382" s="60"/>
    </row>
    <row r="383">
      <c r="C383" s="60"/>
    </row>
    <row r="384">
      <c r="C384" s="60"/>
    </row>
    <row r="385">
      <c r="C385" s="60"/>
    </row>
    <row r="386">
      <c r="C386" s="60"/>
    </row>
    <row r="387">
      <c r="C387" s="60"/>
    </row>
    <row r="388">
      <c r="C388" s="60"/>
    </row>
    <row r="389">
      <c r="C389" s="60"/>
    </row>
    <row r="390">
      <c r="C390" s="60"/>
    </row>
    <row r="391">
      <c r="C391" s="60"/>
    </row>
    <row r="392">
      <c r="C392" s="60"/>
    </row>
    <row r="393">
      <c r="C393" s="60"/>
    </row>
    <row r="394">
      <c r="C394" s="60"/>
    </row>
    <row r="395">
      <c r="C395" s="60"/>
    </row>
    <row r="396">
      <c r="C396" s="60"/>
    </row>
    <row r="397">
      <c r="C397" s="60"/>
    </row>
    <row r="398">
      <c r="C398" s="60"/>
    </row>
    <row r="399">
      <c r="C399" s="60"/>
    </row>
    <row r="400">
      <c r="C400" s="60"/>
    </row>
    <row r="401">
      <c r="C401" s="60"/>
    </row>
    <row r="402">
      <c r="C402" s="60"/>
    </row>
    <row r="403">
      <c r="C403" s="60"/>
    </row>
    <row r="404">
      <c r="C404" s="60"/>
    </row>
    <row r="405">
      <c r="C405" s="60"/>
    </row>
    <row r="406">
      <c r="C406" s="60"/>
    </row>
    <row r="407">
      <c r="C407" s="60"/>
    </row>
    <row r="408">
      <c r="C408" s="60"/>
    </row>
    <row r="409">
      <c r="C409" s="60"/>
    </row>
    <row r="410">
      <c r="C410" s="60"/>
    </row>
    <row r="411">
      <c r="C411" s="60"/>
    </row>
    <row r="412">
      <c r="C412" s="60"/>
    </row>
    <row r="413">
      <c r="C413" s="60"/>
    </row>
    <row r="414">
      <c r="C414" s="60"/>
    </row>
    <row r="415">
      <c r="C415" s="60"/>
    </row>
    <row r="416">
      <c r="C416" s="60"/>
    </row>
    <row r="417">
      <c r="C417" s="60"/>
    </row>
    <row r="418">
      <c r="C418" s="60"/>
    </row>
    <row r="419">
      <c r="C419" s="60"/>
    </row>
    <row r="420">
      <c r="C420" s="60"/>
    </row>
    <row r="421">
      <c r="C421" s="60"/>
    </row>
    <row r="422">
      <c r="C422" s="60"/>
    </row>
    <row r="423">
      <c r="C423" s="60"/>
    </row>
    <row r="424">
      <c r="C424" s="60"/>
    </row>
    <row r="425">
      <c r="C425" s="60"/>
    </row>
    <row r="426">
      <c r="C426" s="60"/>
    </row>
    <row r="427">
      <c r="C427" s="60"/>
    </row>
    <row r="428">
      <c r="C428" s="60"/>
    </row>
    <row r="429">
      <c r="C429" s="60"/>
    </row>
    <row r="430">
      <c r="C430" s="60"/>
    </row>
    <row r="431">
      <c r="C431" s="60"/>
    </row>
    <row r="432">
      <c r="C432" s="60"/>
    </row>
    <row r="433">
      <c r="C433" s="60"/>
    </row>
    <row r="434">
      <c r="C434" s="60"/>
    </row>
    <row r="435">
      <c r="C435" s="60"/>
    </row>
    <row r="436">
      <c r="C436" s="60"/>
    </row>
    <row r="437">
      <c r="C437" s="60"/>
    </row>
    <row r="438">
      <c r="C438" s="60"/>
    </row>
    <row r="439">
      <c r="C439" s="60"/>
    </row>
    <row r="440">
      <c r="C440" s="60"/>
    </row>
    <row r="441">
      <c r="C441" s="60"/>
    </row>
    <row r="442">
      <c r="C442" s="60"/>
    </row>
    <row r="443">
      <c r="C443" s="60"/>
    </row>
    <row r="444">
      <c r="C444" s="60"/>
    </row>
    <row r="445">
      <c r="C445" s="60"/>
    </row>
    <row r="446">
      <c r="C446" s="60"/>
    </row>
    <row r="447">
      <c r="C447" s="60"/>
    </row>
    <row r="448">
      <c r="C448" s="60"/>
    </row>
    <row r="449">
      <c r="C449" s="60"/>
    </row>
    <row r="450">
      <c r="C450" s="60"/>
    </row>
    <row r="451">
      <c r="C451" s="60"/>
    </row>
    <row r="452">
      <c r="C452" s="60"/>
    </row>
    <row r="453">
      <c r="C453" s="60"/>
    </row>
    <row r="454">
      <c r="C454" s="60"/>
    </row>
    <row r="455">
      <c r="C455" s="60"/>
    </row>
    <row r="456">
      <c r="C456" s="60"/>
    </row>
    <row r="457">
      <c r="C457" s="60"/>
    </row>
    <row r="458">
      <c r="C458" s="60"/>
    </row>
    <row r="459">
      <c r="C459" s="60"/>
    </row>
    <row r="460">
      <c r="C460" s="60"/>
    </row>
    <row r="461">
      <c r="C461" s="60"/>
    </row>
    <row r="462">
      <c r="C462" s="60"/>
    </row>
    <row r="463">
      <c r="C463" s="60"/>
    </row>
    <row r="464">
      <c r="C464" s="60"/>
    </row>
    <row r="465">
      <c r="C465" s="60"/>
    </row>
    <row r="466">
      <c r="C466" s="60"/>
    </row>
    <row r="467">
      <c r="C467" s="60"/>
    </row>
    <row r="468">
      <c r="C468" s="60"/>
    </row>
    <row r="469">
      <c r="C469" s="60"/>
    </row>
    <row r="470">
      <c r="C470" s="60"/>
    </row>
    <row r="471">
      <c r="C471" s="60"/>
    </row>
    <row r="472">
      <c r="C472" s="60"/>
    </row>
    <row r="473">
      <c r="C473" s="60"/>
    </row>
    <row r="474">
      <c r="C474" s="60"/>
    </row>
    <row r="475">
      <c r="C475" s="60"/>
    </row>
    <row r="476">
      <c r="C476" s="60"/>
    </row>
    <row r="477">
      <c r="C477" s="60"/>
    </row>
    <row r="478">
      <c r="C478" s="60"/>
    </row>
    <row r="479">
      <c r="C479" s="60"/>
    </row>
    <row r="480">
      <c r="C480" s="60"/>
    </row>
    <row r="481">
      <c r="C481" s="60"/>
    </row>
    <row r="482">
      <c r="C482" s="60"/>
    </row>
    <row r="483">
      <c r="C483" s="60"/>
    </row>
    <row r="484">
      <c r="C484" s="60"/>
    </row>
    <row r="485">
      <c r="C485" s="60"/>
    </row>
    <row r="486">
      <c r="C486" s="60"/>
    </row>
    <row r="487">
      <c r="C487" s="60"/>
    </row>
    <row r="488">
      <c r="C488" s="60"/>
    </row>
    <row r="489">
      <c r="C489" s="60"/>
    </row>
    <row r="490">
      <c r="C490" s="60"/>
    </row>
    <row r="491">
      <c r="C491" s="60"/>
    </row>
    <row r="492">
      <c r="C492" s="60"/>
    </row>
    <row r="493">
      <c r="C493" s="60"/>
    </row>
    <row r="494">
      <c r="C494" s="60"/>
    </row>
    <row r="495">
      <c r="C495" s="60"/>
    </row>
    <row r="496">
      <c r="C496" s="60"/>
    </row>
    <row r="497">
      <c r="C497" s="60"/>
    </row>
    <row r="498">
      <c r="C498" s="60"/>
    </row>
    <row r="499">
      <c r="C499" s="60"/>
    </row>
    <row r="500">
      <c r="C500" s="60"/>
    </row>
    <row r="501">
      <c r="C501" s="60"/>
    </row>
    <row r="502">
      <c r="C502" s="60"/>
    </row>
    <row r="503">
      <c r="C503" s="60"/>
    </row>
    <row r="504">
      <c r="C504" s="60"/>
    </row>
    <row r="505">
      <c r="C505" s="60"/>
    </row>
    <row r="506">
      <c r="C506" s="60"/>
    </row>
    <row r="507">
      <c r="C507" s="60"/>
    </row>
    <row r="508">
      <c r="C508" s="60"/>
    </row>
    <row r="509">
      <c r="C509" s="60"/>
    </row>
    <row r="510">
      <c r="C510" s="60"/>
    </row>
    <row r="511">
      <c r="C511" s="60"/>
    </row>
    <row r="512">
      <c r="C512" s="60"/>
    </row>
    <row r="513">
      <c r="C513" s="60"/>
    </row>
    <row r="514">
      <c r="C514" s="60"/>
    </row>
    <row r="515">
      <c r="C515" s="60"/>
    </row>
    <row r="516">
      <c r="C516" s="60"/>
    </row>
    <row r="517">
      <c r="C517" s="60"/>
    </row>
    <row r="518">
      <c r="C518" s="60"/>
    </row>
    <row r="519">
      <c r="C519" s="60"/>
    </row>
    <row r="520">
      <c r="C520" s="60"/>
    </row>
    <row r="521">
      <c r="C521" s="60"/>
    </row>
    <row r="522">
      <c r="C522" s="60"/>
    </row>
    <row r="523">
      <c r="C523" s="60"/>
    </row>
    <row r="524">
      <c r="C524" s="60"/>
    </row>
    <row r="525">
      <c r="C525" s="60"/>
    </row>
    <row r="526">
      <c r="C526" s="60"/>
    </row>
    <row r="527">
      <c r="C527" s="60"/>
    </row>
    <row r="528">
      <c r="C528" s="60"/>
    </row>
    <row r="529">
      <c r="C529" s="60"/>
    </row>
    <row r="530">
      <c r="C530" s="60"/>
    </row>
    <row r="531">
      <c r="C531" s="60"/>
    </row>
    <row r="532">
      <c r="C532" s="60"/>
    </row>
    <row r="533">
      <c r="C533" s="60"/>
    </row>
    <row r="534">
      <c r="C534" s="60"/>
    </row>
    <row r="535">
      <c r="C535" s="60"/>
    </row>
    <row r="536">
      <c r="C536" s="60"/>
    </row>
    <row r="537">
      <c r="C537" s="60"/>
    </row>
    <row r="538">
      <c r="C538" s="60"/>
    </row>
    <row r="539">
      <c r="C539" s="60"/>
    </row>
    <row r="540">
      <c r="C540" s="60"/>
    </row>
    <row r="541">
      <c r="C541" s="60"/>
    </row>
    <row r="542">
      <c r="C542" s="60"/>
    </row>
    <row r="543">
      <c r="C543" s="60"/>
    </row>
    <row r="544">
      <c r="C544" s="60"/>
    </row>
    <row r="545">
      <c r="C545" s="60"/>
    </row>
    <row r="546">
      <c r="C546" s="60"/>
    </row>
    <row r="547">
      <c r="C547" s="60"/>
    </row>
    <row r="548">
      <c r="C548" s="60"/>
    </row>
    <row r="549">
      <c r="C549" s="60"/>
    </row>
    <row r="550">
      <c r="C550" s="60"/>
    </row>
    <row r="551">
      <c r="C551" s="60"/>
    </row>
    <row r="552">
      <c r="C552" s="60"/>
    </row>
    <row r="553">
      <c r="C553" s="60"/>
    </row>
    <row r="554">
      <c r="C554" s="60"/>
    </row>
    <row r="555">
      <c r="C555" s="60"/>
    </row>
    <row r="556">
      <c r="C556" s="60"/>
    </row>
    <row r="557">
      <c r="C557" s="60"/>
    </row>
    <row r="558">
      <c r="C558" s="60"/>
    </row>
    <row r="559">
      <c r="C559" s="60"/>
    </row>
    <row r="560">
      <c r="C560" s="60"/>
    </row>
    <row r="561">
      <c r="C561" s="60"/>
    </row>
    <row r="562">
      <c r="C562" s="60"/>
    </row>
    <row r="563">
      <c r="C563" s="60"/>
    </row>
    <row r="564">
      <c r="C564" s="60"/>
    </row>
    <row r="565">
      <c r="C565" s="60"/>
    </row>
    <row r="566">
      <c r="C566" s="60"/>
    </row>
    <row r="567">
      <c r="C567" s="60"/>
    </row>
    <row r="568">
      <c r="C568" s="60"/>
    </row>
    <row r="569">
      <c r="C569" s="60"/>
    </row>
    <row r="570">
      <c r="C570" s="60"/>
    </row>
    <row r="571">
      <c r="C571" s="60"/>
    </row>
    <row r="572">
      <c r="C572" s="60"/>
    </row>
    <row r="573">
      <c r="C573" s="60"/>
    </row>
    <row r="574">
      <c r="C574" s="60"/>
    </row>
    <row r="575">
      <c r="C575" s="60"/>
    </row>
    <row r="576">
      <c r="C576" s="60"/>
    </row>
    <row r="577">
      <c r="C577" s="60"/>
    </row>
    <row r="578">
      <c r="C578" s="60"/>
    </row>
    <row r="579">
      <c r="C579" s="60"/>
    </row>
    <row r="580">
      <c r="C580" s="60"/>
    </row>
    <row r="581">
      <c r="C581" s="60"/>
    </row>
    <row r="582">
      <c r="C582" s="60"/>
    </row>
    <row r="583">
      <c r="C583" s="60"/>
    </row>
    <row r="584">
      <c r="C584" s="60"/>
    </row>
    <row r="585">
      <c r="C585" s="60"/>
    </row>
    <row r="586">
      <c r="C586" s="60"/>
    </row>
    <row r="587">
      <c r="C587" s="60"/>
    </row>
    <row r="588">
      <c r="C588" s="60"/>
    </row>
    <row r="589">
      <c r="C589" s="60"/>
    </row>
    <row r="590">
      <c r="C590" s="60"/>
    </row>
    <row r="591">
      <c r="C591" s="60"/>
    </row>
    <row r="592">
      <c r="C592" s="60"/>
    </row>
    <row r="593">
      <c r="C593" s="60"/>
    </row>
    <row r="594">
      <c r="C594" s="60"/>
    </row>
    <row r="595">
      <c r="C595" s="60"/>
    </row>
    <row r="596">
      <c r="C596" s="60"/>
    </row>
    <row r="597">
      <c r="C597" s="60"/>
    </row>
    <row r="598">
      <c r="C598" s="60"/>
    </row>
    <row r="599">
      <c r="C599" s="60"/>
    </row>
    <row r="600">
      <c r="C600" s="60"/>
    </row>
    <row r="601">
      <c r="C601" s="60"/>
    </row>
    <row r="602">
      <c r="C602" s="60"/>
    </row>
    <row r="603">
      <c r="C603" s="60"/>
    </row>
    <row r="604">
      <c r="C604" s="60"/>
    </row>
    <row r="605">
      <c r="C605" s="60"/>
    </row>
    <row r="606">
      <c r="C606" s="60"/>
    </row>
    <row r="607">
      <c r="C607" s="60"/>
    </row>
    <row r="608">
      <c r="C608" s="60"/>
    </row>
    <row r="609">
      <c r="C609" s="60"/>
    </row>
    <row r="610">
      <c r="C610" s="60"/>
    </row>
    <row r="611">
      <c r="C611" s="60"/>
    </row>
    <row r="612">
      <c r="C612" s="60"/>
    </row>
    <row r="613">
      <c r="C613" s="60"/>
    </row>
    <row r="614">
      <c r="C614" s="60"/>
    </row>
    <row r="615">
      <c r="C615" s="60"/>
    </row>
    <row r="616">
      <c r="C616" s="60"/>
    </row>
    <row r="617">
      <c r="C617" s="60"/>
    </row>
    <row r="618">
      <c r="C618" s="60"/>
    </row>
    <row r="619">
      <c r="C619" s="60"/>
    </row>
    <row r="620">
      <c r="C620" s="60"/>
    </row>
    <row r="621">
      <c r="C621" s="60"/>
    </row>
    <row r="622">
      <c r="C622" s="60"/>
    </row>
    <row r="623">
      <c r="C623" s="60"/>
    </row>
    <row r="624">
      <c r="C624" s="60"/>
    </row>
    <row r="625">
      <c r="C625" s="60"/>
    </row>
    <row r="626">
      <c r="C626" s="60"/>
    </row>
    <row r="627">
      <c r="C627" s="60"/>
    </row>
    <row r="628">
      <c r="C628" s="60"/>
    </row>
    <row r="629">
      <c r="C629" s="60"/>
    </row>
    <row r="630">
      <c r="C630" s="60"/>
    </row>
    <row r="631">
      <c r="C631" s="60"/>
    </row>
    <row r="632">
      <c r="C632" s="60"/>
    </row>
    <row r="633">
      <c r="C633" s="60"/>
    </row>
    <row r="634">
      <c r="C634" s="60"/>
    </row>
    <row r="635">
      <c r="C635" s="60"/>
    </row>
    <row r="636">
      <c r="C636" s="60"/>
    </row>
    <row r="637">
      <c r="C637" s="60"/>
    </row>
    <row r="638">
      <c r="C638" s="60"/>
    </row>
    <row r="639">
      <c r="C639" s="60"/>
    </row>
    <row r="640">
      <c r="C640" s="60"/>
    </row>
    <row r="641">
      <c r="C641" s="60"/>
    </row>
    <row r="642">
      <c r="C642" s="60"/>
    </row>
    <row r="643">
      <c r="C643" s="60"/>
    </row>
    <row r="644">
      <c r="C644" s="60"/>
    </row>
    <row r="645">
      <c r="C645" s="60"/>
    </row>
    <row r="646">
      <c r="C646" s="60"/>
    </row>
    <row r="647">
      <c r="C647" s="60"/>
    </row>
    <row r="648">
      <c r="C648" s="60"/>
    </row>
    <row r="649">
      <c r="C649" s="60"/>
    </row>
    <row r="650">
      <c r="C650" s="60"/>
    </row>
    <row r="651">
      <c r="C651" s="60"/>
    </row>
    <row r="652">
      <c r="C652" s="60"/>
    </row>
    <row r="653">
      <c r="C653" s="60"/>
    </row>
    <row r="654">
      <c r="C654" s="60"/>
    </row>
    <row r="655">
      <c r="C655" s="60"/>
    </row>
    <row r="656">
      <c r="C656" s="60"/>
    </row>
    <row r="657">
      <c r="C657" s="60"/>
    </row>
    <row r="658">
      <c r="C658" s="60"/>
    </row>
    <row r="659">
      <c r="C659" s="60"/>
    </row>
    <row r="660">
      <c r="C660" s="60"/>
    </row>
    <row r="661">
      <c r="C661" s="60"/>
    </row>
    <row r="662">
      <c r="C662" s="60"/>
    </row>
    <row r="663">
      <c r="C663" s="60"/>
    </row>
    <row r="664">
      <c r="C664" s="60"/>
    </row>
    <row r="665">
      <c r="C665" s="60"/>
    </row>
    <row r="666">
      <c r="C666" s="60"/>
    </row>
    <row r="667">
      <c r="C667" s="60"/>
    </row>
    <row r="668">
      <c r="C668" s="60"/>
    </row>
    <row r="669">
      <c r="C669" s="60"/>
    </row>
    <row r="670">
      <c r="C670" s="60"/>
    </row>
    <row r="671">
      <c r="C671" s="60"/>
    </row>
    <row r="672">
      <c r="C672" s="60"/>
    </row>
    <row r="673">
      <c r="C673" s="60"/>
    </row>
    <row r="674">
      <c r="C674" s="60"/>
    </row>
    <row r="675">
      <c r="C675" s="60"/>
    </row>
    <row r="676">
      <c r="C676" s="60"/>
    </row>
    <row r="677">
      <c r="C677" s="60"/>
    </row>
    <row r="678">
      <c r="C678" s="60"/>
    </row>
    <row r="679">
      <c r="C679" s="60"/>
    </row>
    <row r="680">
      <c r="C680" s="60"/>
    </row>
    <row r="681">
      <c r="C681" s="60"/>
    </row>
    <row r="682">
      <c r="C682" s="60"/>
    </row>
    <row r="683">
      <c r="C683" s="60"/>
    </row>
    <row r="684">
      <c r="C684" s="60"/>
    </row>
    <row r="685">
      <c r="C685" s="60"/>
    </row>
    <row r="686">
      <c r="C686" s="60"/>
    </row>
    <row r="687">
      <c r="C687" s="60"/>
    </row>
    <row r="688">
      <c r="C688" s="60"/>
    </row>
    <row r="689">
      <c r="C689" s="60"/>
    </row>
    <row r="690">
      <c r="C690" s="60"/>
    </row>
    <row r="691">
      <c r="C691" s="60"/>
    </row>
    <row r="692">
      <c r="C692" s="60"/>
    </row>
    <row r="693">
      <c r="C693" s="60"/>
    </row>
    <row r="694">
      <c r="C694" s="60"/>
    </row>
    <row r="695">
      <c r="C695" s="60"/>
    </row>
    <row r="696">
      <c r="C696" s="60"/>
    </row>
    <row r="697">
      <c r="C697" s="60"/>
    </row>
    <row r="698">
      <c r="C698" s="60"/>
    </row>
    <row r="699">
      <c r="C699" s="60"/>
    </row>
    <row r="700">
      <c r="C700" s="60"/>
    </row>
    <row r="701">
      <c r="C701" s="60"/>
    </row>
    <row r="702">
      <c r="C702" s="60"/>
    </row>
    <row r="703">
      <c r="C703" s="60"/>
    </row>
    <row r="704">
      <c r="C704" s="60"/>
    </row>
    <row r="705">
      <c r="C705" s="60"/>
    </row>
    <row r="706">
      <c r="C706" s="60"/>
    </row>
    <row r="707">
      <c r="C707" s="60"/>
    </row>
    <row r="708">
      <c r="C708" s="60"/>
    </row>
    <row r="709">
      <c r="C709" s="60"/>
    </row>
    <row r="710">
      <c r="C710" s="60"/>
    </row>
    <row r="711">
      <c r="C711" s="60"/>
    </row>
    <row r="712">
      <c r="C712" s="60"/>
    </row>
    <row r="713">
      <c r="C713" s="60"/>
    </row>
    <row r="714">
      <c r="C714" s="60"/>
    </row>
    <row r="715">
      <c r="C715" s="60"/>
    </row>
    <row r="716">
      <c r="C716" s="60"/>
    </row>
    <row r="717">
      <c r="C717" s="60"/>
    </row>
    <row r="718">
      <c r="C718" s="60"/>
    </row>
    <row r="719">
      <c r="C719" s="60"/>
    </row>
    <row r="720">
      <c r="C720" s="60"/>
    </row>
    <row r="721">
      <c r="C721" s="60"/>
    </row>
    <row r="722">
      <c r="C722" s="60"/>
    </row>
    <row r="723">
      <c r="C723" s="60"/>
    </row>
    <row r="724">
      <c r="C724" s="60"/>
    </row>
    <row r="725">
      <c r="C725" s="60"/>
    </row>
    <row r="726">
      <c r="C726" s="60"/>
    </row>
    <row r="727">
      <c r="C727" s="60"/>
    </row>
    <row r="728">
      <c r="C728" s="60"/>
    </row>
    <row r="729">
      <c r="C729" s="60"/>
    </row>
    <row r="730">
      <c r="C730" s="60"/>
    </row>
    <row r="731">
      <c r="C731" s="60"/>
    </row>
    <row r="732">
      <c r="C732" s="60"/>
    </row>
    <row r="733">
      <c r="C733" s="60"/>
    </row>
    <row r="734">
      <c r="C734" s="60"/>
    </row>
    <row r="735">
      <c r="C735" s="60"/>
    </row>
    <row r="736">
      <c r="C736" s="60"/>
    </row>
    <row r="737">
      <c r="C737" s="60"/>
    </row>
    <row r="738">
      <c r="C738" s="60"/>
    </row>
    <row r="739">
      <c r="C739" s="60"/>
    </row>
    <row r="740">
      <c r="C740" s="60"/>
    </row>
    <row r="741">
      <c r="C741" s="60"/>
    </row>
    <row r="742">
      <c r="C742" s="60"/>
    </row>
    <row r="743">
      <c r="C743" s="60"/>
    </row>
    <row r="744">
      <c r="C744" s="60"/>
    </row>
    <row r="745">
      <c r="C745" s="60"/>
    </row>
    <row r="746">
      <c r="C746" s="60"/>
    </row>
    <row r="747">
      <c r="C747" s="60"/>
    </row>
    <row r="748">
      <c r="C748" s="60"/>
    </row>
    <row r="749">
      <c r="C749" s="60"/>
    </row>
    <row r="750">
      <c r="C750" s="60"/>
    </row>
    <row r="751">
      <c r="C751" s="60"/>
    </row>
    <row r="752">
      <c r="C752" s="60"/>
    </row>
    <row r="753">
      <c r="C753" s="60"/>
    </row>
    <row r="754">
      <c r="C754" s="60"/>
    </row>
    <row r="755">
      <c r="C755" s="60"/>
    </row>
    <row r="756">
      <c r="C756" s="60"/>
    </row>
    <row r="757">
      <c r="C757" s="60"/>
    </row>
    <row r="758">
      <c r="C758" s="60"/>
    </row>
    <row r="759">
      <c r="C759" s="60"/>
    </row>
    <row r="760">
      <c r="C760" s="60"/>
    </row>
    <row r="761">
      <c r="C761" s="60"/>
    </row>
    <row r="762">
      <c r="C762" s="60"/>
    </row>
    <row r="763">
      <c r="C763" s="60"/>
    </row>
    <row r="764">
      <c r="C764" s="60"/>
    </row>
    <row r="765">
      <c r="C765" s="60"/>
    </row>
    <row r="766">
      <c r="C766" s="60"/>
    </row>
    <row r="767">
      <c r="C767" s="60"/>
    </row>
    <row r="768">
      <c r="C768" s="60"/>
    </row>
    <row r="769">
      <c r="C769" s="60"/>
    </row>
    <row r="770">
      <c r="C770" s="60"/>
    </row>
    <row r="771">
      <c r="C771" s="60"/>
    </row>
    <row r="772">
      <c r="C772" s="60"/>
    </row>
    <row r="773">
      <c r="C773" s="60"/>
    </row>
    <row r="774">
      <c r="C774" s="60"/>
    </row>
    <row r="775">
      <c r="C775" s="60"/>
    </row>
    <row r="776">
      <c r="C776" s="60"/>
    </row>
    <row r="777">
      <c r="C777" s="60"/>
    </row>
    <row r="778">
      <c r="C778" s="60"/>
    </row>
    <row r="779">
      <c r="C779" s="60"/>
    </row>
    <row r="780">
      <c r="C780" s="60"/>
    </row>
    <row r="781">
      <c r="C781" s="60"/>
    </row>
    <row r="782">
      <c r="C782" s="60"/>
    </row>
    <row r="783">
      <c r="C783" s="60"/>
    </row>
    <row r="784">
      <c r="C784" s="60"/>
    </row>
    <row r="785">
      <c r="C785" s="60"/>
    </row>
    <row r="786">
      <c r="C786" s="60"/>
    </row>
    <row r="787">
      <c r="C787" s="60"/>
    </row>
    <row r="788">
      <c r="C788" s="60"/>
    </row>
    <row r="789">
      <c r="C789" s="60"/>
    </row>
    <row r="790">
      <c r="C790" s="60"/>
    </row>
    <row r="791">
      <c r="C791" s="60"/>
    </row>
    <row r="792">
      <c r="C792" s="60"/>
    </row>
    <row r="793">
      <c r="C793" s="60"/>
    </row>
    <row r="794">
      <c r="C794" s="60"/>
    </row>
    <row r="795">
      <c r="C795" s="60"/>
    </row>
    <row r="796">
      <c r="C796" s="60"/>
    </row>
    <row r="797">
      <c r="C797" s="60"/>
    </row>
    <row r="798">
      <c r="C798" s="60"/>
    </row>
    <row r="799">
      <c r="C799" s="60"/>
    </row>
    <row r="800">
      <c r="C800" s="60"/>
    </row>
    <row r="801">
      <c r="C801" s="60"/>
    </row>
    <row r="802">
      <c r="C802" s="60"/>
    </row>
    <row r="803">
      <c r="C803" s="60"/>
    </row>
    <row r="804">
      <c r="C804" s="60"/>
    </row>
    <row r="805">
      <c r="C805" s="60"/>
    </row>
    <row r="806">
      <c r="C806" s="60"/>
    </row>
    <row r="807">
      <c r="C807" s="60"/>
    </row>
    <row r="808">
      <c r="C808" s="60"/>
    </row>
    <row r="809">
      <c r="C809" s="60"/>
    </row>
    <row r="810">
      <c r="C810" s="60"/>
    </row>
    <row r="811">
      <c r="C811" s="60"/>
    </row>
    <row r="812">
      <c r="C812" s="60"/>
    </row>
    <row r="813">
      <c r="C813" s="60"/>
    </row>
    <row r="814">
      <c r="C814" s="60"/>
    </row>
    <row r="815">
      <c r="C815" s="60"/>
    </row>
    <row r="816">
      <c r="C816" s="60"/>
    </row>
    <row r="817">
      <c r="C817" s="60"/>
    </row>
    <row r="818">
      <c r="C818" s="60"/>
    </row>
    <row r="819">
      <c r="C819" s="60"/>
    </row>
    <row r="820">
      <c r="C820" s="60"/>
    </row>
    <row r="821">
      <c r="C821" s="60"/>
    </row>
    <row r="822">
      <c r="C822" s="60"/>
    </row>
    <row r="823">
      <c r="C823" s="60"/>
    </row>
    <row r="824">
      <c r="C824" s="60"/>
    </row>
    <row r="825">
      <c r="C825" s="60"/>
    </row>
    <row r="826">
      <c r="C826" s="60"/>
    </row>
    <row r="827">
      <c r="C827" s="60"/>
    </row>
    <row r="828">
      <c r="C828" s="60"/>
    </row>
    <row r="829">
      <c r="C829" s="60"/>
    </row>
    <row r="830">
      <c r="C830" s="60"/>
    </row>
    <row r="831">
      <c r="C831" s="60"/>
    </row>
    <row r="832">
      <c r="C832" s="60"/>
    </row>
    <row r="833">
      <c r="C833" s="60"/>
    </row>
    <row r="834">
      <c r="C834" s="60"/>
    </row>
    <row r="835">
      <c r="C835" s="60"/>
    </row>
    <row r="836">
      <c r="C836" s="60"/>
    </row>
    <row r="837">
      <c r="C837" s="60"/>
    </row>
    <row r="838">
      <c r="C838" s="60"/>
    </row>
    <row r="839">
      <c r="C839" s="60"/>
    </row>
    <row r="840">
      <c r="C840" s="60"/>
    </row>
    <row r="841">
      <c r="C841" s="60"/>
    </row>
    <row r="842">
      <c r="C842" s="60"/>
    </row>
    <row r="843">
      <c r="C843" s="60"/>
    </row>
    <row r="844">
      <c r="C844" s="60"/>
    </row>
    <row r="845">
      <c r="C845" s="60"/>
    </row>
    <row r="846">
      <c r="C846" s="60"/>
    </row>
    <row r="847">
      <c r="C847" s="60"/>
    </row>
    <row r="848">
      <c r="C848" s="60"/>
    </row>
    <row r="849">
      <c r="C849" s="60"/>
    </row>
    <row r="850">
      <c r="C850" s="60"/>
    </row>
    <row r="851">
      <c r="C851" s="60"/>
    </row>
    <row r="852">
      <c r="C852" s="60"/>
    </row>
    <row r="853">
      <c r="C853" s="60"/>
    </row>
    <row r="854">
      <c r="C854" s="60"/>
    </row>
    <row r="855">
      <c r="C855" s="60"/>
    </row>
    <row r="856">
      <c r="C856" s="60"/>
    </row>
    <row r="857">
      <c r="C857" s="60"/>
    </row>
    <row r="858">
      <c r="C858" s="60"/>
    </row>
    <row r="859">
      <c r="C859" s="60"/>
    </row>
    <row r="860">
      <c r="C860" s="60"/>
    </row>
    <row r="861">
      <c r="C861" s="60"/>
    </row>
    <row r="862">
      <c r="C862" s="60"/>
    </row>
    <row r="863">
      <c r="C863" s="60"/>
    </row>
    <row r="864">
      <c r="C864" s="60"/>
    </row>
    <row r="865">
      <c r="C865" s="60"/>
    </row>
    <row r="866">
      <c r="C866" s="60"/>
    </row>
    <row r="867">
      <c r="C867" s="60"/>
    </row>
    <row r="868">
      <c r="C868" s="60"/>
    </row>
    <row r="869">
      <c r="C869" s="60"/>
    </row>
    <row r="870">
      <c r="C870" s="60"/>
    </row>
    <row r="871">
      <c r="C871" s="60"/>
    </row>
    <row r="872">
      <c r="C872" s="60"/>
    </row>
    <row r="873">
      <c r="C873" s="60"/>
    </row>
    <row r="874">
      <c r="C874" s="60"/>
    </row>
    <row r="875">
      <c r="C875" s="60"/>
    </row>
    <row r="876">
      <c r="C876" s="60"/>
    </row>
    <row r="877">
      <c r="C877" s="60"/>
    </row>
    <row r="878">
      <c r="C878" s="60"/>
    </row>
    <row r="879">
      <c r="C879" s="60"/>
    </row>
    <row r="880">
      <c r="C880" s="60"/>
    </row>
    <row r="881">
      <c r="C881" s="60"/>
    </row>
    <row r="882">
      <c r="C882" s="60"/>
    </row>
    <row r="883">
      <c r="C883" s="60"/>
    </row>
    <row r="884">
      <c r="C884" s="60"/>
    </row>
    <row r="885">
      <c r="C885" s="60"/>
    </row>
    <row r="886">
      <c r="C886" s="60"/>
    </row>
    <row r="887">
      <c r="C887" s="60"/>
    </row>
    <row r="888">
      <c r="C888" s="60"/>
    </row>
    <row r="889">
      <c r="C889" s="60"/>
    </row>
    <row r="890">
      <c r="C890" s="60"/>
    </row>
    <row r="891">
      <c r="C891" s="60"/>
    </row>
    <row r="892">
      <c r="C892" s="60"/>
    </row>
    <row r="893">
      <c r="C893" s="60"/>
    </row>
    <row r="894">
      <c r="C894" s="60"/>
    </row>
    <row r="895">
      <c r="C895" s="60"/>
    </row>
    <row r="896">
      <c r="C896" s="60"/>
    </row>
    <row r="897">
      <c r="C897" s="60"/>
    </row>
    <row r="898">
      <c r="C898" s="60"/>
    </row>
    <row r="899">
      <c r="C899" s="60"/>
    </row>
    <row r="900">
      <c r="C900" s="60"/>
    </row>
    <row r="901">
      <c r="C901" s="60"/>
    </row>
    <row r="902">
      <c r="C902" s="60"/>
    </row>
    <row r="903">
      <c r="C903" s="60"/>
    </row>
    <row r="904">
      <c r="C904" s="60"/>
    </row>
    <row r="905">
      <c r="C905" s="60"/>
    </row>
    <row r="906">
      <c r="C906" s="60"/>
    </row>
    <row r="907">
      <c r="C907" s="60"/>
    </row>
    <row r="908">
      <c r="C908" s="60"/>
    </row>
    <row r="909">
      <c r="C909" s="60"/>
    </row>
    <row r="910">
      <c r="C910" s="60"/>
    </row>
    <row r="911">
      <c r="C911" s="60"/>
    </row>
    <row r="912">
      <c r="C912" s="60"/>
    </row>
    <row r="913">
      <c r="C913" s="60"/>
    </row>
    <row r="914">
      <c r="C914" s="60"/>
    </row>
    <row r="915">
      <c r="C915" s="60"/>
    </row>
    <row r="916">
      <c r="C916" s="60"/>
    </row>
    <row r="917">
      <c r="C917" s="60"/>
    </row>
    <row r="918">
      <c r="C918" s="60"/>
    </row>
    <row r="919">
      <c r="C919" s="60"/>
    </row>
    <row r="920">
      <c r="C920" s="60"/>
    </row>
    <row r="921">
      <c r="C921" s="60"/>
    </row>
    <row r="922">
      <c r="C922" s="60"/>
    </row>
    <row r="923">
      <c r="C923" s="60"/>
    </row>
    <row r="924">
      <c r="C924" s="60"/>
    </row>
    <row r="925">
      <c r="C925" s="60"/>
    </row>
    <row r="926">
      <c r="C926" s="60"/>
    </row>
    <row r="927">
      <c r="C927" s="60"/>
    </row>
    <row r="928">
      <c r="C928" s="60"/>
    </row>
    <row r="929">
      <c r="C929" s="60"/>
    </row>
    <row r="930">
      <c r="C930" s="60"/>
    </row>
    <row r="931">
      <c r="C931" s="60"/>
    </row>
    <row r="932">
      <c r="C932" s="60"/>
    </row>
    <row r="933">
      <c r="C933" s="60"/>
    </row>
    <row r="934">
      <c r="C934" s="60"/>
    </row>
    <row r="935">
      <c r="C935" s="60"/>
    </row>
    <row r="936">
      <c r="C936" s="60"/>
    </row>
    <row r="937">
      <c r="C937" s="60"/>
    </row>
    <row r="938">
      <c r="C938" s="60"/>
    </row>
    <row r="939">
      <c r="C939" s="60"/>
    </row>
    <row r="940">
      <c r="C940" s="60"/>
    </row>
    <row r="941">
      <c r="C941" s="60"/>
    </row>
    <row r="942">
      <c r="C942" s="60"/>
    </row>
    <row r="943">
      <c r="C943" s="60"/>
    </row>
    <row r="944">
      <c r="C944" s="60"/>
    </row>
    <row r="945">
      <c r="C945" s="60"/>
    </row>
    <row r="946">
      <c r="C946" s="60"/>
    </row>
    <row r="947">
      <c r="C947" s="60"/>
    </row>
    <row r="948">
      <c r="C948" s="60"/>
    </row>
    <row r="949">
      <c r="C949" s="60"/>
    </row>
    <row r="950">
      <c r="C950" s="60"/>
    </row>
    <row r="951">
      <c r="C951" s="60"/>
    </row>
    <row r="952">
      <c r="C952" s="60"/>
    </row>
    <row r="953">
      <c r="C953" s="60"/>
    </row>
    <row r="954">
      <c r="C954" s="60"/>
    </row>
    <row r="955">
      <c r="C955" s="60"/>
    </row>
    <row r="956">
      <c r="C956" s="60"/>
    </row>
    <row r="957">
      <c r="C957" s="60"/>
    </row>
    <row r="958">
      <c r="C958" s="60"/>
    </row>
    <row r="959">
      <c r="C959" s="60"/>
    </row>
    <row r="960">
      <c r="C960" s="60"/>
    </row>
    <row r="961">
      <c r="C961" s="60"/>
    </row>
    <row r="962">
      <c r="C962" s="60"/>
    </row>
    <row r="963">
      <c r="C963" s="60"/>
    </row>
    <row r="964">
      <c r="C964" s="60"/>
    </row>
    <row r="965">
      <c r="C965" s="60"/>
    </row>
    <row r="966">
      <c r="C966" s="60"/>
    </row>
    <row r="967">
      <c r="C967" s="60"/>
    </row>
    <row r="968">
      <c r="C968" s="60"/>
    </row>
    <row r="969">
      <c r="C969" s="60"/>
    </row>
    <row r="970">
      <c r="C970" s="60"/>
    </row>
    <row r="971">
      <c r="C971" s="60"/>
    </row>
    <row r="972">
      <c r="C972" s="60"/>
    </row>
    <row r="973">
      <c r="C973" s="60"/>
    </row>
    <row r="974">
      <c r="C974" s="60"/>
    </row>
    <row r="975">
      <c r="C975" s="60"/>
    </row>
    <row r="976">
      <c r="C976" s="60"/>
    </row>
    <row r="977">
      <c r="C977" s="60"/>
    </row>
    <row r="978">
      <c r="C978" s="60"/>
    </row>
    <row r="979">
      <c r="C979" s="60"/>
    </row>
    <row r="980">
      <c r="C980" s="60"/>
    </row>
    <row r="981">
      <c r="C981" s="60"/>
    </row>
    <row r="982">
      <c r="C982" s="60"/>
    </row>
    <row r="983">
      <c r="C983" s="60"/>
    </row>
    <row r="984">
      <c r="C984" s="60"/>
    </row>
    <row r="985">
      <c r="C985" s="60"/>
    </row>
    <row r="986">
      <c r="C986" s="60"/>
    </row>
    <row r="987">
      <c r="C987" s="60"/>
    </row>
    <row r="988">
      <c r="C988" s="60"/>
    </row>
    <row r="989">
      <c r="C989" s="60"/>
    </row>
    <row r="990">
      <c r="C990" s="60"/>
    </row>
    <row r="991">
      <c r="C991" s="60"/>
    </row>
    <row r="992">
      <c r="C992" s="60"/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63"/>
    <col customWidth="1" min="2" max="2" width="24.88"/>
    <col customWidth="1" min="3" max="3" width="7.63"/>
    <col customWidth="1" min="4" max="4" width="14.5"/>
  </cols>
  <sheetData>
    <row r="1">
      <c r="A1" s="14" t="s">
        <v>498</v>
      </c>
      <c r="B1" s="14" t="s">
        <v>0</v>
      </c>
      <c r="C1" s="75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1188</v>
      </c>
      <c r="M1" s="14" t="s">
        <v>516</v>
      </c>
    </row>
    <row r="2">
      <c r="A2" s="43">
        <v>46024.0</v>
      </c>
      <c r="B2" s="44" t="s">
        <v>1228</v>
      </c>
      <c r="C2" s="59">
        <v>206.0</v>
      </c>
      <c r="D2" s="44"/>
      <c r="E2" s="44"/>
      <c r="F2" s="44"/>
      <c r="G2" s="45"/>
      <c r="H2" s="44"/>
      <c r="I2" s="44"/>
      <c r="J2" s="45"/>
      <c r="K2" s="45"/>
      <c r="L2" s="59">
        <v>206.0</v>
      </c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>
      <c r="A3" s="43">
        <v>46023.0</v>
      </c>
      <c r="B3" s="44" t="s">
        <v>1229</v>
      </c>
      <c r="C3" s="59">
        <v>99.0</v>
      </c>
      <c r="D3" s="30"/>
      <c r="E3" s="30"/>
      <c r="F3" s="30"/>
      <c r="G3" s="45"/>
      <c r="H3" s="30"/>
      <c r="I3" s="44"/>
      <c r="J3" s="30"/>
      <c r="K3" s="45"/>
      <c r="L3" s="59">
        <v>99.0</v>
      </c>
    </row>
    <row r="4">
      <c r="A4" s="43">
        <v>46023.0</v>
      </c>
      <c r="B4" s="44" t="s">
        <v>1230</v>
      </c>
      <c r="C4" s="59">
        <v>30.0</v>
      </c>
      <c r="D4" s="8"/>
      <c r="E4" s="59"/>
      <c r="F4" s="30"/>
      <c r="G4" s="30"/>
      <c r="H4" s="30"/>
      <c r="I4" s="30"/>
      <c r="J4" s="30"/>
      <c r="K4" s="30"/>
      <c r="L4" s="59">
        <v>30.0</v>
      </c>
    </row>
    <row r="5">
      <c r="A5" s="43">
        <v>46023.0</v>
      </c>
      <c r="B5" s="44" t="s">
        <v>1231</v>
      </c>
      <c r="C5" s="96">
        <v>163.0</v>
      </c>
      <c r="D5" s="30"/>
      <c r="E5" s="96"/>
      <c r="F5" s="45"/>
      <c r="G5" s="45"/>
      <c r="H5" s="30"/>
      <c r="I5" s="30"/>
      <c r="J5" s="44"/>
      <c r="K5" s="45"/>
      <c r="L5" s="96">
        <v>163.0</v>
      </c>
    </row>
    <row r="6">
      <c r="A6" s="46">
        <v>46387.0</v>
      </c>
      <c r="B6" s="44" t="s">
        <v>1232</v>
      </c>
      <c r="C6" s="59">
        <v>10.6</v>
      </c>
      <c r="D6" s="30"/>
      <c r="E6" s="59"/>
      <c r="G6" s="45"/>
      <c r="H6" s="30"/>
      <c r="I6" s="30"/>
      <c r="J6" s="44"/>
      <c r="K6" s="44"/>
      <c r="L6" s="59">
        <v>10.6</v>
      </c>
    </row>
    <row r="7">
      <c r="A7" s="43">
        <v>46387.0</v>
      </c>
      <c r="B7" s="44" t="s">
        <v>1233</v>
      </c>
      <c r="C7" s="59">
        <v>378.0</v>
      </c>
      <c r="D7" s="30"/>
      <c r="E7" s="59"/>
      <c r="F7" s="94"/>
      <c r="G7" s="48"/>
      <c r="H7" s="48"/>
      <c r="I7" s="48"/>
      <c r="J7" s="48"/>
      <c r="K7" s="48"/>
      <c r="L7" s="59">
        <v>378.0</v>
      </c>
    </row>
    <row r="8">
      <c r="A8" s="43">
        <v>46025.0</v>
      </c>
      <c r="B8" s="44" t="s">
        <v>1234</v>
      </c>
      <c r="C8" s="59">
        <v>60.0</v>
      </c>
      <c r="D8" s="30"/>
      <c r="E8" s="30"/>
      <c r="F8" s="94"/>
      <c r="G8" s="30"/>
      <c r="H8" s="30"/>
      <c r="I8" s="30"/>
      <c r="J8" s="30"/>
      <c r="K8" s="30"/>
      <c r="L8" s="59">
        <v>60.0</v>
      </c>
    </row>
    <row r="9">
      <c r="A9" s="43">
        <v>46024.0</v>
      </c>
      <c r="B9" s="44" t="s">
        <v>1235</v>
      </c>
      <c r="C9" s="59">
        <v>12.0</v>
      </c>
      <c r="D9" s="30"/>
      <c r="E9" s="30"/>
      <c r="G9" s="44"/>
      <c r="H9" s="30"/>
      <c r="I9" s="45"/>
      <c r="J9" s="30"/>
      <c r="K9" s="45"/>
      <c r="L9" s="59">
        <v>12.0</v>
      </c>
    </row>
    <row r="10">
      <c r="A10" s="43">
        <v>46024.0</v>
      </c>
      <c r="B10" s="44" t="s">
        <v>370</v>
      </c>
      <c r="C10" s="59">
        <v>15.0</v>
      </c>
      <c r="D10" s="30"/>
      <c r="E10" s="59"/>
      <c r="F10" s="94"/>
      <c r="G10" s="44"/>
      <c r="H10" s="30"/>
      <c r="I10" s="45"/>
      <c r="J10" s="30"/>
      <c r="K10" s="45"/>
      <c r="L10" s="59">
        <v>15.0</v>
      </c>
    </row>
    <row r="11">
      <c r="A11" s="43">
        <v>46387.0</v>
      </c>
      <c r="B11" s="44" t="s">
        <v>1236</v>
      </c>
      <c r="C11" s="59">
        <v>10.0</v>
      </c>
      <c r="D11" s="44"/>
      <c r="E11" s="59"/>
      <c r="F11" s="94"/>
      <c r="G11" s="59">
        <v>10.0</v>
      </c>
      <c r="H11" s="30"/>
      <c r="I11" s="30"/>
      <c r="J11" s="45"/>
      <c r="K11" s="45"/>
      <c r="L11" s="45"/>
    </row>
    <row r="12">
      <c r="A12" s="43">
        <v>46025.0</v>
      </c>
      <c r="B12" s="44" t="s">
        <v>1132</v>
      </c>
      <c r="C12" s="59">
        <v>226.7</v>
      </c>
      <c r="D12" s="44"/>
      <c r="E12" s="59">
        <v>226.7</v>
      </c>
      <c r="F12" s="44"/>
      <c r="G12" s="45"/>
      <c r="H12" s="44"/>
      <c r="I12" s="30"/>
      <c r="J12" s="30"/>
      <c r="K12" s="45"/>
      <c r="L12" s="48"/>
      <c r="M12" s="30"/>
    </row>
    <row r="13">
      <c r="A13" s="43">
        <v>46025.0</v>
      </c>
      <c r="B13" s="44" t="s">
        <v>1237</v>
      </c>
      <c r="C13" s="59">
        <v>120.0</v>
      </c>
      <c r="D13" s="30"/>
      <c r="E13" s="59">
        <v>120.0</v>
      </c>
      <c r="F13" s="44"/>
      <c r="G13" s="44"/>
      <c r="H13" s="44"/>
      <c r="I13" s="44"/>
      <c r="J13" s="44"/>
      <c r="K13" s="44"/>
      <c r="L13" s="44"/>
    </row>
    <row r="14">
      <c r="A14" s="43">
        <v>46025.0</v>
      </c>
      <c r="B14" s="44" t="s">
        <v>616</v>
      </c>
      <c r="C14" s="59">
        <f>D14+F14</f>
        <v>144.67</v>
      </c>
      <c r="D14" s="59">
        <v>114.67</v>
      </c>
      <c r="E14" s="30"/>
      <c r="F14" s="44">
        <v>30.0</v>
      </c>
      <c r="G14" s="44"/>
      <c r="H14" s="44"/>
      <c r="I14" s="30"/>
      <c r="J14" s="45"/>
      <c r="K14" s="45"/>
      <c r="L14" s="45"/>
    </row>
    <row r="15">
      <c r="A15" s="43">
        <v>46025.0</v>
      </c>
      <c r="B15" s="95" t="s">
        <v>1238</v>
      </c>
      <c r="C15" s="30">
        <f>38.9+119.9+26.7+29.7+12.9+19.9</f>
        <v>248</v>
      </c>
      <c r="D15" s="59"/>
      <c r="F15" s="44"/>
      <c r="G15" s="44"/>
      <c r="H15" s="44"/>
      <c r="I15" s="30">
        <f>38.9+119.9+26.7+29.7+12.9+19.9</f>
        <v>248</v>
      </c>
      <c r="J15" s="45"/>
      <c r="K15" s="45"/>
      <c r="L15" s="45"/>
    </row>
    <row r="16">
      <c r="A16" s="93">
        <v>46025.0</v>
      </c>
      <c r="B16" s="1" t="s">
        <v>1239</v>
      </c>
      <c r="C16" s="59">
        <v>105.3</v>
      </c>
      <c r="E16" s="30"/>
      <c r="F16" s="30">
        <v>5.3</v>
      </c>
      <c r="G16" s="30"/>
      <c r="H16" s="30"/>
      <c r="I16" s="30"/>
      <c r="J16" s="30"/>
      <c r="K16" s="30">
        <v>100.0</v>
      </c>
      <c r="L16" s="30"/>
      <c r="M16" s="30"/>
    </row>
    <row r="17">
      <c r="A17" s="43">
        <v>46025.0</v>
      </c>
      <c r="B17" s="44" t="s">
        <v>1240</v>
      </c>
      <c r="C17" s="59">
        <v>32.5</v>
      </c>
      <c r="E17" s="59">
        <v>32.5</v>
      </c>
      <c r="F17" s="44"/>
      <c r="G17" s="44"/>
      <c r="H17" s="30"/>
      <c r="I17" s="45"/>
      <c r="J17" s="30"/>
      <c r="K17" s="45"/>
      <c r="L17" s="45"/>
    </row>
    <row r="18">
      <c r="A18" s="43">
        <v>46026.0</v>
      </c>
      <c r="B18" s="44" t="s">
        <v>994</v>
      </c>
      <c r="C18" s="59">
        <v>42.3</v>
      </c>
      <c r="F18" s="59">
        <v>42.3</v>
      </c>
      <c r="G18" s="44"/>
      <c r="H18" s="44"/>
      <c r="I18" s="44"/>
      <c r="J18" s="44"/>
      <c r="K18" s="44"/>
      <c r="L18" s="44"/>
      <c r="M18" s="44"/>
    </row>
    <row r="19">
      <c r="A19" s="43">
        <v>46027.0</v>
      </c>
      <c r="B19" s="44" t="s">
        <v>114</v>
      </c>
      <c r="C19" s="59">
        <v>82.0</v>
      </c>
      <c r="E19" s="59">
        <v>82.0</v>
      </c>
      <c r="F19" s="44"/>
      <c r="G19" s="44"/>
      <c r="H19" s="44"/>
      <c r="I19" s="44"/>
      <c r="J19" s="44"/>
      <c r="K19" s="44"/>
      <c r="L19" s="44"/>
      <c r="M19" s="44"/>
    </row>
    <row r="20">
      <c r="A20" s="43"/>
      <c r="B20" s="44" t="s">
        <v>114</v>
      </c>
      <c r="C20" s="59">
        <v>50.0</v>
      </c>
      <c r="E20" s="59">
        <v>50.0</v>
      </c>
      <c r="F20" s="44"/>
      <c r="G20" s="45"/>
      <c r="H20" s="30"/>
      <c r="I20" s="45"/>
      <c r="J20" s="30"/>
      <c r="K20" s="45"/>
      <c r="L20" s="45"/>
    </row>
    <row r="21">
      <c r="A21" s="43">
        <v>46028.0</v>
      </c>
      <c r="B21" s="44" t="s">
        <v>750</v>
      </c>
      <c r="C21" s="59">
        <v>115.0</v>
      </c>
      <c r="E21" s="59">
        <v>115.0</v>
      </c>
      <c r="F21" s="44"/>
      <c r="G21" s="45"/>
      <c r="H21" s="44"/>
      <c r="I21" s="45"/>
      <c r="J21" s="30"/>
      <c r="K21" s="45"/>
      <c r="L21" s="45"/>
    </row>
    <row r="22">
      <c r="A22" s="43">
        <v>46029.0</v>
      </c>
      <c r="B22" s="44" t="s">
        <v>1241</v>
      </c>
      <c r="C22" s="59">
        <v>24.22</v>
      </c>
      <c r="E22" s="59"/>
      <c r="F22" s="59">
        <v>24.22</v>
      </c>
      <c r="G22" s="48"/>
      <c r="H22" s="30"/>
      <c r="I22" s="48"/>
      <c r="J22" s="30"/>
      <c r="K22" s="48"/>
      <c r="L22" s="48"/>
    </row>
    <row r="23">
      <c r="A23" s="43">
        <v>46029.0</v>
      </c>
      <c r="B23" s="44" t="s">
        <v>1148</v>
      </c>
      <c r="C23" s="59">
        <v>140.55</v>
      </c>
      <c r="F23" s="44"/>
      <c r="G23" s="44"/>
      <c r="H23" s="44"/>
      <c r="I23" s="44"/>
      <c r="J23" s="59">
        <v>140.55</v>
      </c>
      <c r="K23" s="44"/>
      <c r="L23" s="44"/>
    </row>
    <row r="24">
      <c r="A24" s="43"/>
      <c r="B24" s="44" t="s">
        <v>583</v>
      </c>
      <c r="C24" s="59">
        <v>90.0</v>
      </c>
      <c r="E24" s="59">
        <v>90.0</v>
      </c>
    </row>
    <row r="25">
      <c r="A25" s="43"/>
      <c r="B25" s="1" t="s">
        <v>1242</v>
      </c>
      <c r="C25" s="59">
        <v>57.4</v>
      </c>
      <c r="E25" s="59"/>
      <c r="F25" s="59">
        <v>57.4</v>
      </c>
    </row>
    <row r="26">
      <c r="A26" s="46"/>
      <c r="B26" s="44" t="s">
        <v>1243</v>
      </c>
      <c r="C26" s="59">
        <v>48.1</v>
      </c>
      <c r="F26" s="59">
        <v>48.1</v>
      </c>
      <c r="G26" s="59"/>
    </row>
    <row r="27">
      <c r="A27" s="43"/>
      <c r="B27" s="44" t="s">
        <v>1244</v>
      </c>
      <c r="C27" s="59">
        <v>15.0</v>
      </c>
      <c r="E27" s="59"/>
      <c r="F27" s="59">
        <v>15.0</v>
      </c>
    </row>
    <row r="28">
      <c r="A28" s="43"/>
      <c r="B28" s="44" t="s">
        <v>1245</v>
      </c>
      <c r="C28" s="59">
        <v>8.9</v>
      </c>
      <c r="F28" s="59">
        <v>8.9</v>
      </c>
    </row>
    <row r="29">
      <c r="A29" s="47"/>
      <c r="B29" s="48" t="s">
        <v>1246</v>
      </c>
      <c r="C29" s="75">
        <v>105.0</v>
      </c>
      <c r="D29" s="75"/>
      <c r="E29" s="75">
        <v>105.0</v>
      </c>
      <c r="F29" s="8"/>
      <c r="G29" s="8"/>
      <c r="H29" s="8"/>
      <c r="I29" s="8"/>
      <c r="J29" s="8"/>
      <c r="K29" s="8"/>
      <c r="L29" s="8"/>
      <c r="M29" s="8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>
      <c r="A30" s="43"/>
      <c r="B30" s="44" t="s">
        <v>1247</v>
      </c>
      <c r="C30" s="59">
        <v>40.65</v>
      </c>
      <c r="D30" s="59"/>
      <c r="E30" s="30"/>
      <c r="F30" s="4">
        <f t="shared" ref="F30:G30" si="1">40.65/2</f>
        <v>20.325</v>
      </c>
      <c r="G30" s="4">
        <f t="shared" si="1"/>
        <v>20.325</v>
      </c>
    </row>
    <row r="31">
      <c r="A31" s="43">
        <v>46033.0</v>
      </c>
      <c r="B31" s="1" t="s">
        <v>1248</v>
      </c>
      <c r="C31" s="59">
        <v>151.3</v>
      </c>
      <c r="D31" s="59"/>
      <c r="E31" s="59">
        <v>151.3</v>
      </c>
    </row>
    <row r="32">
      <c r="A32" s="43">
        <v>46033.0</v>
      </c>
      <c r="B32" s="44" t="s">
        <v>1249</v>
      </c>
      <c r="C32" s="59">
        <v>13.0</v>
      </c>
      <c r="D32" s="30"/>
      <c r="E32" s="30"/>
      <c r="F32" s="30"/>
      <c r="G32" s="30"/>
      <c r="H32" s="30"/>
      <c r="I32" s="30"/>
      <c r="J32" s="59">
        <v>13.0</v>
      </c>
      <c r="K32" s="59"/>
      <c r="L32" s="30"/>
    </row>
    <row r="33">
      <c r="A33" s="43"/>
      <c r="B33" s="44" t="s">
        <v>117</v>
      </c>
      <c r="C33" s="59">
        <v>83.4</v>
      </c>
      <c r="E33" s="4">
        <f>C33-F33-G33</f>
        <v>53.7</v>
      </c>
      <c r="F33" s="4">
        <f>9.9*2</f>
        <v>19.8</v>
      </c>
      <c r="G33" s="1">
        <v>9.9</v>
      </c>
    </row>
    <row r="34">
      <c r="A34" s="43">
        <v>46035.0</v>
      </c>
      <c r="B34" s="44" t="s">
        <v>616</v>
      </c>
      <c r="C34" s="59">
        <v>61.57</v>
      </c>
      <c r="D34" s="59">
        <v>61.57</v>
      </c>
      <c r="L34" s="59"/>
    </row>
    <row r="35">
      <c r="A35" s="41">
        <v>46026.0</v>
      </c>
      <c r="B35" s="1" t="s">
        <v>1250</v>
      </c>
      <c r="C35" s="59">
        <v>52.0</v>
      </c>
      <c r="E35" s="59">
        <v>52.0</v>
      </c>
      <c r="L35" s="59"/>
    </row>
    <row r="36">
      <c r="A36" s="41">
        <v>46026.0</v>
      </c>
      <c r="B36" s="1" t="s">
        <v>1251</v>
      </c>
      <c r="C36" s="59">
        <v>4.0</v>
      </c>
      <c r="I36" s="30"/>
      <c r="J36" s="59">
        <v>4.0</v>
      </c>
    </row>
    <row r="37">
      <c r="A37" s="25">
        <v>46029.0</v>
      </c>
      <c r="B37" s="1" t="s">
        <v>1252</v>
      </c>
      <c r="C37" s="59">
        <v>5.0</v>
      </c>
      <c r="J37" s="59">
        <v>5.0</v>
      </c>
    </row>
    <row r="38">
      <c r="A38" s="41">
        <v>46032.0</v>
      </c>
      <c r="B38" s="1" t="s">
        <v>1253</v>
      </c>
      <c r="C38" s="59">
        <v>4.0</v>
      </c>
      <c r="D38" s="59"/>
      <c r="E38" s="59">
        <v>4.0</v>
      </c>
    </row>
    <row r="39">
      <c r="A39" s="66"/>
      <c r="B39" s="44"/>
      <c r="C39" s="59"/>
      <c r="E39" s="59"/>
    </row>
    <row r="40">
      <c r="A40" s="25">
        <v>46028.0</v>
      </c>
      <c r="B40" s="44" t="s">
        <v>1254</v>
      </c>
      <c r="C40" s="59">
        <v>42.6</v>
      </c>
      <c r="D40" s="59">
        <v>42.6</v>
      </c>
      <c r="L40" s="59"/>
    </row>
    <row r="41">
      <c r="A41" s="25"/>
      <c r="B41" s="44"/>
      <c r="C41" s="59"/>
      <c r="J41" s="68"/>
      <c r="L41" s="59"/>
    </row>
    <row r="42">
      <c r="C42" s="59"/>
      <c r="D42" s="98"/>
      <c r="E42" s="98"/>
      <c r="F42" s="98"/>
      <c r="G42" s="98"/>
      <c r="I42" s="98"/>
      <c r="J42" s="98"/>
      <c r="K42" s="98"/>
      <c r="L42" s="98"/>
    </row>
    <row r="43">
      <c r="C43" s="59"/>
      <c r="L43" s="59"/>
    </row>
    <row r="44">
      <c r="C44" s="59"/>
      <c r="L44" s="59"/>
    </row>
    <row r="45">
      <c r="C45" s="59"/>
      <c r="L45" s="59"/>
    </row>
    <row r="46">
      <c r="A46" s="41"/>
      <c r="C46" s="59"/>
      <c r="L46" s="59"/>
    </row>
    <row r="47">
      <c r="A47" s="41"/>
      <c r="C47" s="59"/>
      <c r="L47" s="59"/>
    </row>
    <row r="48">
      <c r="A48" s="41"/>
      <c r="C48" s="59"/>
      <c r="E48" s="30"/>
      <c r="L48" s="59"/>
    </row>
    <row r="49">
      <c r="C49" s="59"/>
      <c r="E49" s="44"/>
      <c r="L49" s="59"/>
    </row>
    <row r="50">
      <c r="C50" s="59"/>
      <c r="E50" s="44"/>
      <c r="F50" s="44"/>
      <c r="L50" s="59"/>
    </row>
    <row r="51">
      <c r="C51" s="59"/>
      <c r="L51" s="59"/>
    </row>
    <row r="52">
      <c r="C52" s="59"/>
      <c r="K52" s="59"/>
    </row>
    <row r="53">
      <c r="C53" s="60"/>
    </row>
    <row r="54">
      <c r="C54" s="60"/>
    </row>
    <row r="55">
      <c r="C55" s="60"/>
    </row>
    <row r="56">
      <c r="C56" s="60"/>
    </row>
    <row r="57">
      <c r="C57" s="60"/>
    </row>
    <row r="58">
      <c r="C58" s="60"/>
    </row>
    <row r="59">
      <c r="C59" s="60"/>
    </row>
    <row r="60">
      <c r="C60" s="60"/>
    </row>
    <row r="61">
      <c r="C61" s="60"/>
    </row>
    <row r="62">
      <c r="C62" s="60"/>
    </row>
    <row r="63">
      <c r="C63" s="60"/>
    </row>
    <row r="64">
      <c r="C64" s="60"/>
    </row>
    <row r="65">
      <c r="C65" s="60"/>
    </row>
    <row r="66">
      <c r="C66" s="60"/>
    </row>
    <row r="67">
      <c r="C67" s="60"/>
    </row>
    <row r="68">
      <c r="C68" s="60"/>
    </row>
    <row r="69">
      <c r="C69" s="60"/>
    </row>
    <row r="70">
      <c r="C70" s="60"/>
    </row>
    <row r="71">
      <c r="C71" s="59"/>
    </row>
    <row r="72">
      <c r="C72" s="59"/>
    </row>
    <row r="73">
      <c r="C73" s="59"/>
    </row>
    <row r="74">
      <c r="C74" s="59"/>
    </row>
    <row r="75">
      <c r="C75" s="59"/>
      <c r="D75" s="44"/>
      <c r="E75" s="44"/>
      <c r="F75" s="44"/>
      <c r="G75" s="44"/>
      <c r="H75" s="44"/>
      <c r="I75" s="44"/>
    </row>
    <row r="76">
      <c r="C76" s="59"/>
      <c r="D76" s="44"/>
      <c r="E76" s="44"/>
    </row>
    <row r="77">
      <c r="C77" s="59"/>
      <c r="E77" s="44"/>
    </row>
    <row r="78">
      <c r="C78" s="59"/>
      <c r="D78" s="44"/>
    </row>
    <row r="79">
      <c r="C79" s="59"/>
    </row>
    <row r="80">
      <c r="C80" s="60"/>
    </row>
    <row r="81">
      <c r="C81" s="60"/>
    </row>
    <row r="82">
      <c r="C82" s="59"/>
    </row>
    <row r="83">
      <c r="C83" s="60"/>
    </row>
    <row r="84">
      <c r="C84" s="60"/>
      <c r="D84" s="67"/>
      <c r="E84" s="67"/>
      <c r="F84" s="68"/>
      <c r="G84" s="68"/>
      <c r="H84" s="67"/>
      <c r="I84" s="68"/>
    </row>
    <row r="85">
      <c r="C85" s="60"/>
      <c r="D85" s="68"/>
      <c r="E85" s="68"/>
      <c r="F85" s="68"/>
      <c r="G85" s="68"/>
      <c r="H85" s="68"/>
      <c r="I85" s="68"/>
    </row>
    <row r="86">
      <c r="C86" s="60"/>
    </row>
    <row r="87">
      <c r="C87" s="60"/>
    </row>
    <row r="88">
      <c r="C88" s="60"/>
    </row>
    <row r="89">
      <c r="C89" s="60"/>
    </row>
    <row r="90">
      <c r="C90" s="60"/>
    </row>
    <row r="91">
      <c r="C91" s="60"/>
    </row>
    <row r="92">
      <c r="C92" s="60"/>
    </row>
    <row r="93">
      <c r="C93" s="60"/>
    </row>
    <row r="94">
      <c r="C94" s="60"/>
    </row>
    <row r="95">
      <c r="C95" s="60"/>
    </row>
    <row r="96">
      <c r="C96" s="60"/>
    </row>
    <row r="97">
      <c r="C97" s="60"/>
    </row>
    <row r="98">
      <c r="C98" s="60"/>
    </row>
    <row r="99">
      <c r="C99" s="60"/>
    </row>
    <row r="100">
      <c r="C100" s="60"/>
    </row>
    <row r="101">
      <c r="C101" s="60"/>
    </row>
    <row r="102">
      <c r="C102" s="60"/>
    </row>
    <row r="103">
      <c r="C103" s="60"/>
    </row>
    <row r="104">
      <c r="C104" s="60"/>
    </row>
    <row r="105">
      <c r="C105" s="60"/>
    </row>
    <row r="106">
      <c r="C106" s="60"/>
    </row>
    <row r="107">
      <c r="C107" s="60"/>
    </row>
    <row r="108">
      <c r="C108" s="60"/>
    </row>
    <row r="109">
      <c r="C109" s="60"/>
    </row>
    <row r="110">
      <c r="C110" s="60"/>
    </row>
    <row r="111">
      <c r="C111" s="60"/>
    </row>
    <row r="112">
      <c r="C112" s="60"/>
    </row>
    <row r="113">
      <c r="C113" s="60"/>
    </row>
    <row r="114">
      <c r="C114" s="60"/>
    </row>
    <row r="115">
      <c r="C115" s="60"/>
    </row>
    <row r="116">
      <c r="C116" s="60"/>
    </row>
    <row r="117">
      <c r="C117" s="60"/>
    </row>
    <row r="118">
      <c r="C118" s="60"/>
    </row>
    <row r="119">
      <c r="C119" s="60"/>
    </row>
    <row r="120">
      <c r="C120" s="60"/>
    </row>
    <row r="121">
      <c r="C121" s="60"/>
    </row>
    <row r="122">
      <c r="C122" s="60"/>
    </row>
    <row r="123">
      <c r="C123" s="60"/>
    </row>
    <row r="124">
      <c r="C124" s="60"/>
    </row>
    <row r="125">
      <c r="C125" s="60"/>
    </row>
    <row r="126">
      <c r="C126" s="60"/>
    </row>
    <row r="127">
      <c r="C127" s="60"/>
    </row>
    <row r="128">
      <c r="C128" s="60"/>
    </row>
    <row r="129">
      <c r="C129" s="60"/>
    </row>
    <row r="130">
      <c r="C130" s="60"/>
    </row>
    <row r="131">
      <c r="C131" s="60"/>
    </row>
    <row r="132">
      <c r="C132" s="60"/>
    </row>
    <row r="133">
      <c r="C133" s="60"/>
    </row>
    <row r="134">
      <c r="C134" s="60"/>
    </row>
    <row r="135">
      <c r="C135" s="60"/>
    </row>
    <row r="136">
      <c r="C136" s="60"/>
    </row>
    <row r="137">
      <c r="C137" s="60"/>
    </row>
    <row r="138">
      <c r="C138" s="60"/>
    </row>
    <row r="139">
      <c r="C139" s="60"/>
    </row>
    <row r="140">
      <c r="C140" s="60"/>
    </row>
    <row r="141">
      <c r="C141" s="60"/>
    </row>
    <row r="142">
      <c r="C142" s="60"/>
    </row>
    <row r="143">
      <c r="C143" s="60"/>
    </row>
    <row r="144">
      <c r="C144" s="60"/>
    </row>
    <row r="145">
      <c r="C145" s="60"/>
    </row>
    <row r="146">
      <c r="C146" s="60"/>
    </row>
    <row r="147">
      <c r="C147" s="60"/>
    </row>
    <row r="148">
      <c r="C148" s="60"/>
    </row>
    <row r="149">
      <c r="C149" s="60"/>
    </row>
    <row r="150">
      <c r="C150" s="60"/>
    </row>
    <row r="151">
      <c r="C151" s="60"/>
    </row>
    <row r="152">
      <c r="C152" s="60"/>
    </row>
    <row r="153">
      <c r="C153" s="60"/>
    </row>
    <row r="154">
      <c r="C154" s="60"/>
    </row>
    <row r="155">
      <c r="C155" s="60"/>
    </row>
    <row r="156">
      <c r="C156" s="60"/>
    </row>
    <row r="157">
      <c r="C157" s="60"/>
    </row>
    <row r="158">
      <c r="C158" s="60"/>
    </row>
    <row r="159">
      <c r="C159" s="60"/>
    </row>
    <row r="160">
      <c r="C160" s="60"/>
    </row>
    <row r="161">
      <c r="C161" s="60"/>
    </row>
    <row r="162">
      <c r="C162" s="60"/>
    </row>
    <row r="163">
      <c r="C163" s="60"/>
    </row>
    <row r="164">
      <c r="C164" s="60"/>
    </row>
    <row r="165">
      <c r="C165" s="60"/>
    </row>
    <row r="166">
      <c r="C166" s="60"/>
    </row>
    <row r="167">
      <c r="C167" s="60"/>
    </row>
    <row r="168">
      <c r="C168" s="60"/>
    </row>
    <row r="169">
      <c r="C169" s="60"/>
    </row>
    <row r="170">
      <c r="C170" s="60"/>
    </row>
    <row r="171">
      <c r="C171" s="60"/>
    </row>
    <row r="172">
      <c r="C172" s="60"/>
    </row>
    <row r="173">
      <c r="C173" s="60"/>
    </row>
    <row r="174">
      <c r="C174" s="60"/>
    </row>
    <row r="175">
      <c r="C175" s="60"/>
    </row>
    <row r="176">
      <c r="C176" s="60"/>
    </row>
    <row r="177">
      <c r="C177" s="60"/>
    </row>
    <row r="178">
      <c r="C178" s="60"/>
    </row>
    <row r="179">
      <c r="C179" s="60"/>
    </row>
    <row r="180">
      <c r="C180" s="60"/>
    </row>
    <row r="181">
      <c r="C181" s="60"/>
    </row>
    <row r="182">
      <c r="C182" s="60"/>
    </row>
    <row r="183">
      <c r="C183" s="60"/>
    </row>
    <row r="184">
      <c r="C184" s="60"/>
    </row>
    <row r="185">
      <c r="C185" s="60"/>
    </row>
    <row r="186">
      <c r="C186" s="60"/>
    </row>
    <row r="187">
      <c r="C187" s="60"/>
    </row>
    <row r="188">
      <c r="C188" s="60"/>
    </row>
    <row r="189">
      <c r="C189" s="60"/>
    </row>
    <row r="190">
      <c r="C190" s="60"/>
    </row>
    <row r="191">
      <c r="C191" s="60"/>
    </row>
    <row r="192">
      <c r="C192" s="60"/>
    </row>
    <row r="193">
      <c r="C193" s="60"/>
    </row>
    <row r="194">
      <c r="C194" s="60"/>
    </row>
    <row r="195">
      <c r="C195" s="60"/>
    </row>
    <row r="196">
      <c r="C196" s="60"/>
    </row>
    <row r="197">
      <c r="C197" s="60"/>
    </row>
    <row r="198">
      <c r="C198" s="60"/>
    </row>
    <row r="199">
      <c r="C199" s="60"/>
    </row>
    <row r="200">
      <c r="C200" s="60"/>
    </row>
    <row r="201">
      <c r="C201" s="60"/>
    </row>
    <row r="202">
      <c r="C202" s="60"/>
    </row>
    <row r="203">
      <c r="C203" s="60"/>
    </row>
    <row r="204">
      <c r="C204" s="60"/>
    </row>
    <row r="205">
      <c r="C205" s="60"/>
    </row>
    <row r="206">
      <c r="C206" s="60"/>
    </row>
    <row r="207">
      <c r="C207" s="60"/>
    </row>
    <row r="208">
      <c r="C208" s="60"/>
    </row>
    <row r="209">
      <c r="C209" s="60"/>
    </row>
    <row r="210">
      <c r="C210" s="60"/>
    </row>
    <row r="211">
      <c r="C211" s="60"/>
    </row>
    <row r="212">
      <c r="C212" s="60"/>
    </row>
    <row r="213">
      <c r="C213" s="60"/>
    </row>
    <row r="214">
      <c r="C214" s="60"/>
    </row>
    <row r="215">
      <c r="C215" s="60"/>
    </row>
    <row r="216">
      <c r="C216" s="60"/>
    </row>
    <row r="217">
      <c r="C217" s="60"/>
    </row>
    <row r="218">
      <c r="C218" s="60"/>
    </row>
    <row r="219">
      <c r="C219" s="60"/>
    </row>
    <row r="220">
      <c r="C220" s="60"/>
    </row>
    <row r="221">
      <c r="C221" s="60"/>
    </row>
    <row r="222">
      <c r="C222" s="60"/>
    </row>
    <row r="223">
      <c r="C223" s="60"/>
    </row>
    <row r="224">
      <c r="C224" s="60"/>
    </row>
    <row r="225">
      <c r="C225" s="60"/>
    </row>
    <row r="226">
      <c r="C226" s="60"/>
    </row>
    <row r="227">
      <c r="C227" s="60"/>
    </row>
    <row r="228">
      <c r="C228" s="60"/>
    </row>
    <row r="229">
      <c r="C229" s="60"/>
    </row>
    <row r="230">
      <c r="C230" s="60"/>
    </row>
    <row r="231">
      <c r="C231" s="60"/>
    </row>
    <row r="232">
      <c r="C232" s="60"/>
    </row>
    <row r="233">
      <c r="C233" s="60"/>
    </row>
    <row r="234">
      <c r="C234" s="60"/>
    </row>
    <row r="235">
      <c r="C235" s="60"/>
    </row>
    <row r="236">
      <c r="C236" s="60"/>
    </row>
    <row r="237">
      <c r="C237" s="60"/>
    </row>
    <row r="238">
      <c r="C238" s="60"/>
    </row>
    <row r="239">
      <c r="C239" s="60"/>
    </row>
    <row r="240">
      <c r="C240" s="60"/>
    </row>
    <row r="241">
      <c r="C241" s="60"/>
    </row>
    <row r="242">
      <c r="C242" s="60"/>
    </row>
    <row r="243">
      <c r="C243" s="60"/>
    </row>
    <row r="244">
      <c r="C244" s="60"/>
    </row>
    <row r="245">
      <c r="C245" s="60"/>
    </row>
    <row r="246">
      <c r="C246" s="60"/>
    </row>
    <row r="247">
      <c r="C247" s="60"/>
    </row>
    <row r="248">
      <c r="C248" s="60"/>
    </row>
    <row r="249">
      <c r="C249" s="60"/>
    </row>
    <row r="250">
      <c r="C250" s="60"/>
    </row>
    <row r="251">
      <c r="C251" s="60"/>
    </row>
    <row r="252">
      <c r="C252" s="60"/>
    </row>
    <row r="253">
      <c r="C253" s="60"/>
    </row>
    <row r="254">
      <c r="C254" s="60"/>
    </row>
    <row r="255">
      <c r="C255" s="60"/>
    </row>
    <row r="256">
      <c r="C256" s="60"/>
    </row>
    <row r="257">
      <c r="C257" s="60"/>
    </row>
    <row r="258">
      <c r="C258" s="60"/>
    </row>
    <row r="259">
      <c r="C259" s="60"/>
    </row>
    <row r="260">
      <c r="C260" s="60"/>
    </row>
    <row r="261">
      <c r="C261" s="60"/>
    </row>
    <row r="262">
      <c r="C262" s="60"/>
    </row>
    <row r="263">
      <c r="C263" s="60"/>
    </row>
    <row r="264">
      <c r="C264" s="60"/>
    </row>
    <row r="265">
      <c r="C265" s="60"/>
    </row>
    <row r="266">
      <c r="C266" s="60"/>
    </row>
    <row r="267">
      <c r="C267" s="60"/>
    </row>
    <row r="268">
      <c r="C268" s="60"/>
    </row>
    <row r="269">
      <c r="C269" s="60"/>
    </row>
    <row r="270">
      <c r="C270" s="60"/>
    </row>
    <row r="271">
      <c r="C271" s="60"/>
    </row>
    <row r="272">
      <c r="C272" s="60"/>
    </row>
    <row r="273">
      <c r="C273" s="60"/>
    </row>
    <row r="274">
      <c r="C274" s="60"/>
    </row>
    <row r="275">
      <c r="C275" s="60"/>
    </row>
    <row r="276">
      <c r="C276" s="60"/>
    </row>
    <row r="277">
      <c r="C277" s="60"/>
    </row>
    <row r="278">
      <c r="C278" s="60"/>
    </row>
    <row r="279">
      <c r="C279" s="60"/>
    </row>
    <row r="280">
      <c r="C280" s="60"/>
    </row>
    <row r="281">
      <c r="C281" s="60"/>
    </row>
    <row r="282">
      <c r="C282" s="60"/>
    </row>
    <row r="283">
      <c r="C283" s="60"/>
    </row>
    <row r="284">
      <c r="C284" s="60"/>
    </row>
    <row r="285">
      <c r="C285" s="60"/>
    </row>
    <row r="286">
      <c r="C286" s="60"/>
    </row>
    <row r="287">
      <c r="C287" s="60"/>
    </row>
    <row r="288">
      <c r="C288" s="60"/>
    </row>
    <row r="289">
      <c r="C289" s="60"/>
    </row>
    <row r="290">
      <c r="C290" s="60"/>
    </row>
    <row r="291">
      <c r="C291" s="60"/>
    </row>
    <row r="292">
      <c r="C292" s="60"/>
    </row>
    <row r="293">
      <c r="C293" s="60"/>
    </row>
    <row r="294">
      <c r="C294" s="60"/>
    </row>
    <row r="295">
      <c r="C295" s="60"/>
    </row>
    <row r="296">
      <c r="C296" s="60"/>
    </row>
    <row r="297">
      <c r="C297" s="60"/>
    </row>
    <row r="298">
      <c r="C298" s="60"/>
    </row>
    <row r="299">
      <c r="C299" s="60"/>
    </row>
    <row r="300">
      <c r="C300" s="60"/>
    </row>
    <row r="301">
      <c r="C301" s="60"/>
    </row>
    <row r="302">
      <c r="C302" s="60"/>
    </row>
    <row r="303">
      <c r="C303" s="60"/>
    </row>
    <row r="304">
      <c r="C304" s="60"/>
    </row>
    <row r="305">
      <c r="C305" s="60"/>
    </row>
    <row r="306">
      <c r="C306" s="60"/>
    </row>
    <row r="307">
      <c r="C307" s="60"/>
    </row>
    <row r="308">
      <c r="C308" s="60"/>
    </row>
    <row r="309">
      <c r="C309" s="60"/>
    </row>
    <row r="310">
      <c r="C310" s="60"/>
    </row>
    <row r="311">
      <c r="C311" s="60"/>
    </row>
    <row r="312">
      <c r="C312" s="60"/>
    </row>
    <row r="313">
      <c r="C313" s="60"/>
    </row>
    <row r="314">
      <c r="C314" s="60"/>
    </row>
    <row r="315">
      <c r="C315" s="60"/>
    </row>
    <row r="316">
      <c r="C316" s="60"/>
    </row>
    <row r="317">
      <c r="C317" s="60"/>
    </row>
    <row r="318">
      <c r="C318" s="60"/>
    </row>
    <row r="319">
      <c r="C319" s="60"/>
    </row>
    <row r="320">
      <c r="C320" s="60"/>
    </row>
    <row r="321">
      <c r="C321" s="60"/>
    </row>
    <row r="322">
      <c r="C322" s="60"/>
    </row>
    <row r="323">
      <c r="C323" s="60"/>
    </row>
    <row r="324">
      <c r="C324" s="60"/>
    </row>
    <row r="325">
      <c r="C325" s="60"/>
    </row>
    <row r="326">
      <c r="C326" s="60"/>
    </row>
    <row r="327">
      <c r="C327" s="60"/>
    </row>
    <row r="328">
      <c r="C328" s="60"/>
    </row>
    <row r="329">
      <c r="C329" s="60"/>
    </row>
    <row r="330">
      <c r="C330" s="60"/>
    </row>
    <row r="331">
      <c r="C331" s="60"/>
    </row>
    <row r="332">
      <c r="C332" s="60"/>
    </row>
    <row r="333">
      <c r="C333" s="60"/>
    </row>
    <row r="334">
      <c r="C334" s="60"/>
    </row>
    <row r="335">
      <c r="C335" s="60"/>
    </row>
    <row r="336">
      <c r="C336" s="60"/>
    </row>
    <row r="337">
      <c r="C337" s="60"/>
    </row>
    <row r="338">
      <c r="C338" s="60"/>
    </row>
    <row r="339">
      <c r="C339" s="60"/>
    </row>
    <row r="340">
      <c r="C340" s="60"/>
    </row>
    <row r="341">
      <c r="C341" s="60"/>
    </row>
    <row r="342">
      <c r="C342" s="60"/>
    </row>
    <row r="343">
      <c r="C343" s="60"/>
    </row>
    <row r="344">
      <c r="C344" s="60"/>
    </row>
    <row r="345">
      <c r="C345" s="60"/>
    </row>
    <row r="346">
      <c r="C346" s="60"/>
    </row>
    <row r="347">
      <c r="C347" s="60"/>
    </row>
    <row r="348">
      <c r="C348" s="60"/>
    </row>
    <row r="349">
      <c r="C349" s="60"/>
    </row>
    <row r="350">
      <c r="C350" s="60"/>
    </row>
    <row r="351">
      <c r="C351" s="60"/>
    </row>
    <row r="352">
      <c r="C352" s="60"/>
    </row>
    <row r="353">
      <c r="C353" s="60"/>
    </row>
    <row r="354">
      <c r="C354" s="60"/>
    </row>
    <row r="355">
      <c r="C355" s="60"/>
    </row>
    <row r="356">
      <c r="C356" s="60"/>
    </row>
    <row r="357">
      <c r="C357" s="60"/>
    </row>
    <row r="358">
      <c r="C358" s="60"/>
    </row>
    <row r="359">
      <c r="C359" s="60"/>
    </row>
    <row r="360">
      <c r="C360" s="60"/>
    </row>
    <row r="361">
      <c r="C361" s="60"/>
    </row>
    <row r="362">
      <c r="C362" s="60"/>
    </row>
    <row r="363">
      <c r="C363" s="60"/>
    </row>
    <row r="364">
      <c r="C364" s="60"/>
    </row>
    <row r="365">
      <c r="C365" s="60"/>
    </row>
    <row r="366">
      <c r="C366" s="60"/>
    </row>
    <row r="367">
      <c r="C367" s="60"/>
    </row>
    <row r="368">
      <c r="C368" s="60"/>
    </row>
    <row r="369">
      <c r="C369" s="60"/>
    </row>
    <row r="370">
      <c r="C370" s="60"/>
    </row>
    <row r="371">
      <c r="C371" s="60"/>
    </row>
    <row r="372">
      <c r="C372" s="60"/>
    </row>
    <row r="373">
      <c r="C373" s="60"/>
    </row>
    <row r="374">
      <c r="C374" s="60"/>
    </row>
    <row r="375">
      <c r="C375" s="60"/>
    </row>
    <row r="376">
      <c r="C376" s="60"/>
    </row>
    <row r="377">
      <c r="C377" s="60"/>
    </row>
    <row r="378">
      <c r="C378" s="60"/>
    </row>
    <row r="379">
      <c r="C379" s="60"/>
    </row>
    <row r="380">
      <c r="C380" s="60"/>
    </row>
    <row r="381">
      <c r="C381" s="60"/>
    </row>
    <row r="382">
      <c r="C382" s="60"/>
    </row>
    <row r="383">
      <c r="C383" s="60"/>
    </row>
    <row r="384">
      <c r="C384" s="60"/>
    </row>
    <row r="385">
      <c r="C385" s="60"/>
    </row>
    <row r="386">
      <c r="C386" s="60"/>
    </row>
    <row r="387">
      <c r="C387" s="60"/>
    </row>
    <row r="388">
      <c r="C388" s="60"/>
    </row>
    <row r="389">
      <c r="C389" s="60"/>
    </row>
    <row r="390">
      <c r="C390" s="60"/>
    </row>
    <row r="391">
      <c r="C391" s="60"/>
    </row>
    <row r="392">
      <c r="C392" s="60"/>
    </row>
    <row r="393">
      <c r="C393" s="60"/>
    </row>
    <row r="394">
      <c r="C394" s="60"/>
    </row>
    <row r="395">
      <c r="C395" s="60"/>
    </row>
    <row r="396">
      <c r="C396" s="60"/>
    </row>
    <row r="397">
      <c r="C397" s="60"/>
    </row>
    <row r="398">
      <c r="C398" s="60"/>
    </row>
    <row r="399">
      <c r="C399" s="60"/>
    </row>
    <row r="400">
      <c r="C400" s="60"/>
    </row>
    <row r="401">
      <c r="C401" s="60"/>
    </row>
    <row r="402">
      <c r="C402" s="60"/>
    </row>
    <row r="403">
      <c r="C403" s="60"/>
    </row>
    <row r="404">
      <c r="C404" s="60"/>
    </row>
    <row r="405">
      <c r="C405" s="60"/>
    </row>
    <row r="406">
      <c r="C406" s="60"/>
    </row>
    <row r="407">
      <c r="C407" s="60"/>
    </row>
    <row r="408">
      <c r="C408" s="60"/>
    </row>
    <row r="409">
      <c r="C409" s="60"/>
    </row>
    <row r="410">
      <c r="C410" s="60"/>
    </row>
    <row r="411">
      <c r="C411" s="60"/>
    </row>
    <row r="412">
      <c r="C412" s="60"/>
    </row>
    <row r="413">
      <c r="C413" s="60"/>
    </row>
    <row r="414">
      <c r="C414" s="60"/>
    </row>
    <row r="415">
      <c r="C415" s="60"/>
    </row>
    <row r="416">
      <c r="C416" s="60"/>
    </row>
    <row r="417">
      <c r="C417" s="60"/>
    </row>
    <row r="418">
      <c r="C418" s="60"/>
    </row>
    <row r="419">
      <c r="C419" s="60"/>
    </row>
    <row r="420">
      <c r="C420" s="60"/>
    </row>
    <row r="421">
      <c r="C421" s="60"/>
    </row>
    <row r="422">
      <c r="C422" s="60"/>
    </row>
    <row r="423">
      <c r="C423" s="60"/>
    </row>
    <row r="424">
      <c r="C424" s="60"/>
    </row>
    <row r="425">
      <c r="C425" s="60"/>
    </row>
    <row r="426">
      <c r="C426" s="60"/>
    </row>
    <row r="427">
      <c r="C427" s="60"/>
    </row>
    <row r="428">
      <c r="C428" s="60"/>
    </row>
    <row r="429">
      <c r="C429" s="60"/>
    </row>
    <row r="430">
      <c r="C430" s="60"/>
    </row>
    <row r="431">
      <c r="C431" s="60"/>
    </row>
    <row r="432">
      <c r="C432" s="60"/>
    </row>
    <row r="433">
      <c r="C433" s="60"/>
    </row>
    <row r="434">
      <c r="C434" s="60"/>
    </row>
    <row r="435">
      <c r="C435" s="60"/>
    </row>
    <row r="436">
      <c r="C436" s="60"/>
    </row>
    <row r="437">
      <c r="C437" s="60"/>
    </row>
    <row r="438">
      <c r="C438" s="60"/>
    </row>
    <row r="439">
      <c r="C439" s="60"/>
    </row>
    <row r="440">
      <c r="C440" s="60"/>
    </row>
    <row r="441">
      <c r="C441" s="60"/>
    </row>
    <row r="442">
      <c r="C442" s="60"/>
    </row>
    <row r="443">
      <c r="C443" s="60"/>
    </row>
    <row r="444">
      <c r="C444" s="60"/>
    </row>
    <row r="445">
      <c r="C445" s="60"/>
    </row>
    <row r="446">
      <c r="C446" s="60"/>
    </row>
    <row r="447">
      <c r="C447" s="60"/>
    </row>
    <row r="448">
      <c r="C448" s="60"/>
    </row>
    <row r="449">
      <c r="C449" s="60"/>
    </row>
    <row r="450">
      <c r="C450" s="60"/>
    </row>
    <row r="451">
      <c r="C451" s="60"/>
    </row>
    <row r="452">
      <c r="C452" s="60"/>
    </row>
    <row r="453">
      <c r="C453" s="60"/>
    </row>
    <row r="454">
      <c r="C454" s="60"/>
    </row>
    <row r="455">
      <c r="C455" s="60"/>
    </row>
    <row r="456">
      <c r="C456" s="60"/>
    </row>
    <row r="457">
      <c r="C457" s="60"/>
    </row>
    <row r="458">
      <c r="C458" s="60"/>
    </row>
    <row r="459">
      <c r="C459" s="60"/>
    </row>
    <row r="460">
      <c r="C460" s="60"/>
    </row>
    <row r="461">
      <c r="C461" s="60"/>
    </row>
    <row r="462">
      <c r="C462" s="60"/>
    </row>
    <row r="463">
      <c r="C463" s="60"/>
    </row>
    <row r="464">
      <c r="C464" s="60"/>
    </row>
    <row r="465">
      <c r="C465" s="60"/>
    </row>
    <row r="466">
      <c r="C466" s="60"/>
    </row>
    <row r="467">
      <c r="C467" s="60"/>
    </row>
    <row r="468">
      <c r="C468" s="60"/>
    </row>
    <row r="469">
      <c r="C469" s="60"/>
    </row>
    <row r="470">
      <c r="C470" s="60"/>
    </row>
    <row r="471">
      <c r="C471" s="60"/>
    </row>
    <row r="472">
      <c r="C472" s="60"/>
    </row>
    <row r="473">
      <c r="C473" s="60"/>
    </row>
    <row r="474">
      <c r="C474" s="60"/>
    </row>
    <row r="475">
      <c r="C475" s="60"/>
    </row>
    <row r="476">
      <c r="C476" s="60"/>
    </row>
    <row r="477">
      <c r="C477" s="60"/>
    </row>
    <row r="478">
      <c r="C478" s="60"/>
    </row>
    <row r="479">
      <c r="C479" s="60"/>
    </row>
    <row r="480">
      <c r="C480" s="60"/>
    </row>
    <row r="481">
      <c r="C481" s="60"/>
    </row>
    <row r="482">
      <c r="C482" s="60"/>
    </row>
    <row r="483">
      <c r="C483" s="60"/>
    </row>
    <row r="484">
      <c r="C484" s="60"/>
    </row>
    <row r="485">
      <c r="C485" s="60"/>
    </row>
    <row r="486">
      <c r="C486" s="60"/>
    </row>
    <row r="487">
      <c r="C487" s="60"/>
    </row>
    <row r="488">
      <c r="C488" s="60"/>
    </row>
    <row r="489">
      <c r="C489" s="60"/>
    </row>
    <row r="490">
      <c r="C490" s="60"/>
    </row>
    <row r="491">
      <c r="C491" s="60"/>
    </row>
    <row r="492">
      <c r="C492" s="60"/>
    </row>
    <row r="493">
      <c r="C493" s="60"/>
    </row>
    <row r="494">
      <c r="C494" s="60"/>
    </row>
    <row r="495">
      <c r="C495" s="60"/>
    </row>
    <row r="496">
      <c r="C496" s="60"/>
    </row>
    <row r="497">
      <c r="C497" s="60"/>
    </row>
    <row r="498">
      <c r="C498" s="60"/>
    </row>
    <row r="499">
      <c r="C499" s="60"/>
    </row>
    <row r="500">
      <c r="C500" s="60"/>
    </row>
    <row r="501">
      <c r="C501" s="60"/>
    </row>
    <row r="502">
      <c r="C502" s="60"/>
    </row>
    <row r="503">
      <c r="C503" s="60"/>
    </row>
    <row r="504">
      <c r="C504" s="60"/>
    </row>
    <row r="505">
      <c r="C505" s="60"/>
    </row>
    <row r="506">
      <c r="C506" s="60"/>
    </row>
    <row r="507">
      <c r="C507" s="60"/>
    </row>
    <row r="508">
      <c r="C508" s="60"/>
    </row>
    <row r="509">
      <c r="C509" s="60"/>
    </row>
    <row r="510">
      <c r="C510" s="60"/>
    </row>
    <row r="511">
      <c r="C511" s="60"/>
    </row>
    <row r="512">
      <c r="C512" s="60"/>
    </row>
    <row r="513">
      <c r="C513" s="60"/>
    </row>
    <row r="514">
      <c r="C514" s="60"/>
    </row>
    <row r="515">
      <c r="C515" s="60"/>
    </row>
    <row r="516">
      <c r="C516" s="60"/>
    </row>
    <row r="517">
      <c r="C517" s="60"/>
    </row>
    <row r="518">
      <c r="C518" s="60"/>
    </row>
    <row r="519">
      <c r="C519" s="60"/>
    </row>
    <row r="520">
      <c r="C520" s="60"/>
    </row>
    <row r="521">
      <c r="C521" s="60"/>
    </row>
    <row r="522">
      <c r="C522" s="60"/>
    </row>
    <row r="523">
      <c r="C523" s="60"/>
    </row>
    <row r="524">
      <c r="C524" s="60"/>
    </row>
    <row r="525">
      <c r="C525" s="60"/>
    </row>
    <row r="526">
      <c r="C526" s="60"/>
    </row>
    <row r="527">
      <c r="C527" s="60"/>
    </row>
    <row r="528">
      <c r="C528" s="60"/>
    </row>
    <row r="529">
      <c r="C529" s="60"/>
    </row>
    <row r="530">
      <c r="C530" s="60"/>
    </row>
    <row r="531">
      <c r="C531" s="60"/>
    </row>
    <row r="532">
      <c r="C532" s="60"/>
    </row>
    <row r="533">
      <c r="C533" s="60"/>
    </row>
    <row r="534">
      <c r="C534" s="60"/>
    </row>
    <row r="535">
      <c r="C535" s="60"/>
    </row>
    <row r="536">
      <c r="C536" s="60"/>
    </row>
    <row r="537">
      <c r="C537" s="60"/>
    </row>
    <row r="538">
      <c r="C538" s="60"/>
    </row>
    <row r="539">
      <c r="C539" s="60"/>
    </row>
    <row r="540">
      <c r="C540" s="60"/>
    </row>
    <row r="541">
      <c r="C541" s="60"/>
    </row>
    <row r="542">
      <c r="C542" s="60"/>
    </row>
    <row r="543">
      <c r="C543" s="60"/>
    </row>
    <row r="544">
      <c r="C544" s="60"/>
    </row>
    <row r="545">
      <c r="C545" s="60"/>
    </row>
    <row r="546">
      <c r="C546" s="60"/>
    </row>
    <row r="547">
      <c r="C547" s="60"/>
    </row>
    <row r="548">
      <c r="C548" s="60"/>
    </row>
    <row r="549">
      <c r="C549" s="60"/>
    </row>
    <row r="550">
      <c r="C550" s="60"/>
    </row>
    <row r="551">
      <c r="C551" s="60"/>
    </row>
    <row r="552">
      <c r="C552" s="60"/>
    </row>
    <row r="553">
      <c r="C553" s="60"/>
    </row>
    <row r="554">
      <c r="C554" s="60"/>
    </row>
    <row r="555">
      <c r="C555" s="60"/>
    </row>
    <row r="556">
      <c r="C556" s="60"/>
    </row>
    <row r="557">
      <c r="C557" s="60"/>
    </row>
    <row r="558">
      <c r="C558" s="60"/>
    </row>
    <row r="559">
      <c r="C559" s="60"/>
    </row>
    <row r="560">
      <c r="C560" s="60"/>
    </row>
    <row r="561">
      <c r="C561" s="60"/>
    </row>
    <row r="562">
      <c r="C562" s="60"/>
    </row>
    <row r="563">
      <c r="C563" s="60"/>
    </row>
    <row r="564">
      <c r="C564" s="60"/>
    </row>
    <row r="565">
      <c r="C565" s="60"/>
    </row>
    <row r="566">
      <c r="C566" s="60"/>
    </row>
    <row r="567">
      <c r="C567" s="60"/>
    </row>
    <row r="568">
      <c r="C568" s="60"/>
    </row>
    <row r="569">
      <c r="C569" s="60"/>
    </row>
    <row r="570">
      <c r="C570" s="60"/>
    </row>
    <row r="571">
      <c r="C571" s="60"/>
    </row>
    <row r="572">
      <c r="C572" s="60"/>
    </row>
    <row r="573">
      <c r="C573" s="60"/>
    </row>
    <row r="574">
      <c r="C574" s="60"/>
    </row>
    <row r="575">
      <c r="C575" s="60"/>
    </row>
    <row r="576">
      <c r="C576" s="60"/>
    </row>
    <row r="577">
      <c r="C577" s="60"/>
    </row>
    <row r="578">
      <c r="C578" s="60"/>
    </row>
    <row r="579">
      <c r="C579" s="60"/>
    </row>
    <row r="580">
      <c r="C580" s="60"/>
    </row>
    <row r="581">
      <c r="C581" s="60"/>
    </row>
    <row r="582">
      <c r="C582" s="60"/>
    </row>
    <row r="583">
      <c r="C583" s="60"/>
    </row>
    <row r="584">
      <c r="C584" s="60"/>
    </row>
    <row r="585">
      <c r="C585" s="60"/>
    </row>
    <row r="586">
      <c r="C586" s="60"/>
    </row>
    <row r="587">
      <c r="C587" s="60"/>
    </row>
    <row r="588">
      <c r="C588" s="60"/>
    </row>
    <row r="589">
      <c r="C589" s="60"/>
    </row>
    <row r="590">
      <c r="C590" s="60"/>
    </row>
    <row r="591">
      <c r="C591" s="60"/>
    </row>
    <row r="592">
      <c r="C592" s="60"/>
    </row>
    <row r="593">
      <c r="C593" s="60"/>
    </row>
    <row r="594">
      <c r="C594" s="60"/>
    </row>
    <row r="595">
      <c r="C595" s="60"/>
    </row>
    <row r="596">
      <c r="C596" s="60"/>
    </row>
    <row r="597">
      <c r="C597" s="60"/>
    </row>
    <row r="598">
      <c r="C598" s="60"/>
    </row>
    <row r="599">
      <c r="C599" s="60"/>
    </row>
    <row r="600">
      <c r="C600" s="60"/>
    </row>
    <row r="601">
      <c r="C601" s="60"/>
    </row>
    <row r="602">
      <c r="C602" s="60"/>
    </row>
    <row r="603">
      <c r="C603" s="60"/>
    </row>
    <row r="604">
      <c r="C604" s="60"/>
    </row>
    <row r="605">
      <c r="C605" s="60"/>
    </row>
    <row r="606">
      <c r="C606" s="60"/>
    </row>
    <row r="607">
      <c r="C607" s="60"/>
    </row>
    <row r="608">
      <c r="C608" s="60"/>
    </row>
    <row r="609">
      <c r="C609" s="60"/>
    </row>
    <row r="610">
      <c r="C610" s="60"/>
    </row>
    <row r="611">
      <c r="C611" s="60"/>
    </row>
    <row r="612">
      <c r="C612" s="60"/>
    </row>
    <row r="613">
      <c r="C613" s="60"/>
    </row>
    <row r="614">
      <c r="C614" s="60"/>
    </row>
    <row r="615">
      <c r="C615" s="60"/>
    </row>
    <row r="616">
      <c r="C616" s="60"/>
    </row>
    <row r="617">
      <c r="C617" s="60"/>
    </row>
    <row r="618">
      <c r="C618" s="60"/>
    </row>
    <row r="619">
      <c r="C619" s="60"/>
    </row>
    <row r="620">
      <c r="C620" s="60"/>
    </row>
    <row r="621">
      <c r="C621" s="60"/>
    </row>
    <row r="622">
      <c r="C622" s="60"/>
    </row>
    <row r="623">
      <c r="C623" s="60"/>
    </row>
    <row r="624">
      <c r="C624" s="60"/>
    </row>
    <row r="625">
      <c r="C625" s="60"/>
    </row>
    <row r="626">
      <c r="C626" s="60"/>
    </row>
    <row r="627">
      <c r="C627" s="60"/>
    </row>
    <row r="628">
      <c r="C628" s="60"/>
    </row>
    <row r="629">
      <c r="C629" s="60"/>
    </row>
    <row r="630">
      <c r="C630" s="60"/>
    </row>
    <row r="631">
      <c r="C631" s="60"/>
    </row>
    <row r="632">
      <c r="C632" s="60"/>
    </row>
    <row r="633">
      <c r="C633" s="60"/>
    </row>
    <row r="634">
      <c r="C634" s="60"/>
    </row>
    <row r="635">
      <c r="C635" s="60"/>
    </row>
    <row r="636">
      <c r="C636" s="60"/>
    </row>
    <row r="637">
      <c r="C637" s="60"/>
    </row>
    <row r="638">
      <c r="C638" s="60"/>
    </row>
    <row r="639">
      <c r="C639" s="60"/>
    </row>
    <row r="640">
      <c r="C640" s="60"/>
    </row>
    <row r="641">
      <c r="C641" s="60"/>
    </row>
    <row r="642">
      <c r="C642" s="60"/>
    </row>
    <row r="643">
      <c r="C643" s="60"/>
    </row>
    <row r="644">
      <c r="C644" s="60"/>
    </row>
    <row r="645">
      <c r="C645" s="60"/>
    </row>
    <row r="646">
      <c r="C646" s="60"/>
    </row>
    <row r="647">
      <c r="C647" s="60"/>
    </row>
    <row r="648">
      <c r="C648" s="60"/>
    </row>
    <row r="649">
      <c r="C649" s="60"/>
    </row>
    <row r="650">
      <c r="C650" s="60"/>
    </row>
    <row r="651">
      <c r="C651" s="60"/>
    </row>
    <row r="652">
      <c r="C652" s="60"/>
    </row>
    <row r="653">
      <c r="C653" s="60"/>
    </row>
    <row r="654">
      <c r="C654" s="60"/>
    </row>
    <row r="655">
      <c r="C655" s="60"/>
    </row>
    <row r="656">
      <c r="C656" s="60"/>
    </row>
    <row r="657">
      <c r="C657" s="60"/>
    </row>
    <row r="658">
      <c r="C658" s="60"/>
    </row>
    <row r="659">
      <c r="C659" s="60"/>
    </row>
    <row r="660">
      <c r="C660" s="60"/>
    </row>
    <row r="661">
      <c r="C661" s="60"/>
    </row>
    <row r="662">
      <c r="C662" s="60"/>
    </row>
    <row r="663">
      <c r="C663" s="60"/>
    </row>
    <row r="664">
      <c r="C664" s="60"/>
    </row>
    <row r="665">
      <c r="C665" s="60"/>
    </row>
    <row r="666">
      <c r="C666" s="60"/>
    </row>
    <row r="667">
      <c r="C667" s="60"/>
    </row>
    <row r="668">
      <c r="C668" s="60"/>
    </row>
    <row r="669">
      <c r="C669" s="60"/>
    </row>
    <row r="670">
      <c r="C670" s="60"/>
    </row>
    <row r="671">
      <c r="C671" s="60"/>
    </row>
    <row r="672">
      <c r="C672" s="60"/>
    </row>
    <row r="673">
      <c r="C673" s="60"/>
    </row>
    <row r="674">
      <c r="C674" s="60"/>
    </row>
    <row r="675">
      <c r="C675" s="60"/>
    </row>
    <row r="676">
      <c r="C676" s="60"/>
    </row>
    <row r="677">
      <c r="C677" s="60"/>
    </row>
    <row r="678">
      <c r="C678" s="60"/>
    </row>
    <row r="679">
      <c r="C679" s="60"/>
    </row>
    <row r="680">
      <c r="C680" s="60"/>
    </row>
    <row r="681">
      <c r="C681" s="60"/>
    </row>
    <row r="682">
      <c r="C682" s="60"/>
    </row>
    <row r="683">
      <c r="C683" s="60"/>
    </row>
    <row r="684">
      <c r="C684" s="60"/>
    </row>
    <row r="685">
      <c r="C685" s="60"/>
    </row>
    <row r="686">
      <c r="C686" s="60"/>
    </row>
    <row r="687">
      <c r="C687" s="60"/>
    </row>
    <row r="688">
      <c r="C688" s="60"/>
    </row>
    <row r="689">
      <c r="C689" s="60"/>
    </row>
    <row r="690">
      <c r="C690" s="60"/>
    </row>
    <row r="691">
      <c r="C691" s="60"/>
    </row>
    <row r="692">
      <c r="C692" s="60"/>
    </row>
    <row r="693">
      <c r="C693" s="60"/>
    </row>
    <row r="694">
      <c r="C694" s="60"/>
    </row>
    <row r="695">
      <c r="C695" s="60"/>
    </row>
    <row r="696">
      <c r="C696" s="60"/>
    </row>
    <row r="697">
      <c r="C697" s="60"/>
    </row>
    <row r="698">
      <c r="C698" s="60"/>
    </row>
    <row r="699">
      <c r="C699" s="60"/>
    </row>
    <row r="700">
      <c r="C700" s="60"/>
    </row>
    <row r="701">
      <c r="C701" s="60"/>
    </row>
    <row r="702">
      <c r="C702" s="60"/>
    </row>
    <row r="703">
      <c r="C703" s="60"/>
    </row>
    <row r="704">
      <c r="C704" s="60"/>
    </row>
    <row r="705">
      <c r="C705" s="60"/>
    </row>
    <row r="706">
      <c r="C706" s="60"/>
    </row>
    <row r="707">
      <c r="C707" s="60"/>
    </row>
    <row r="708">
      <c r="C708" s="60"/>
    </row>
    <row r="709">
      <c r="C709" s="60"/>
    </row>
    <row r="710">
      <c r="C710" s="60"/>
    </row>
    <row r="711">
      <c r="C711" s="60"/>
    </row>
    <row r="712">
      <c r="C712" s="60"/>
    </row>
    <row r="713">
      <c r="C713" s="60"/>
    </row>
    <row r="714">
      <c r="C714" s="60"/>
    </row>
    <row r="715">
      <c r="C715" s="60"/>
    </row>
    <row r="716">
      <c r="C716" s="60"/>
    </row>
    <row r="717">
      <c r="C717" s="60"/>
    </row>
    <row r="718">
      <c r="C718" s="60"/>
    </row>
    <row r="719">
      <c r="C719" s="60"/>
    </row>
    <row r="720">
      <c r="C720" s="60"/>
    </row>
    <row r="721">
      <c r="C721" s="60"/>
    </row>
    <row r="722">
      <c r="C722" s="60"/>
    </row>
    <row r="723">
      <c r="C723" s="60"/>
    </row>
    <row r="724">
      <c r="C724" s="60"/>
    </row>
    <row r="725">
      <c r="C725" s="60"/>
    </row>
    <row r="726">
      <c r="C726" s="60"/>
    </row>
    <row r="727">
      <c r="C727" s="60"/>
    </row>
    <row r="728">
      <c r="C728" s="60"/>
    </row>
    <row r="729">
      <c r="C729" s="60"/>
    </row>
    <row r="730">
      <c r="C730" s="60"/>
    </row>
    <row r="731">
      <c r="C731" s="60"/>
    </row>
    <row r="732">
      <c r="C732" s="60"/>
    </row>
    <row r="733">
      <c r="C733" s="60"/>
    </row>
    <row r="734">
      <c r="C734" s="60"/>
    </row>
    <row r="735">
      <c r="C735" s="60"/>
    </row>
    <row r="736">
      <c r="C736" s="60"/>
    </row>
    <row r="737">
      <c r="C737" s="60"/>
    </row>
    <row r="738">
      <c r="C738" s="60"/>
    </row>
    <row r="739">
      <c r="C739" s="60"/>
    </row>
    <row r="740">
      <c r="C740" s="60"/>
    </row>
    <row r="741">
      <c r="C741" s="60"/>
    </row>
    <row r="742">
      <c r="C742" s="60"/>
    </row>
    <row r="743">
      <c r="C743" s="60"/>
    </row>
    <row r="744">
      <c r="C744" s="60"/>
    </row>
    <row r="745">
      <c r="C745" s="60"/>
    </row>
    <row r="746">
      <c r="C746" s="60"/>
    </row>
    <row r="747">
      <c r="C747" s="60"/>
    </row>
    <row r="748">
      <c r="C748" s="60"/>
    </row>
    <row r="749">
      <c r="C749" s="60"/>
    </row>
    <row r="750">
      <c r="C750" s="60"/>
    </row>
    <row r="751">
      <c r="C751" s="60"/>
    </row>
    <row r="752">
      <c r="C752" s="60"/>
    </row>
    <row r="753">
      <c r="C753" s="60"/>
    </row>
    <row r="754">
      <c r="C754" s="60"/>
    </row>
    <row r="755">
      <c r="C755" s="60"/>
    </row>
    <row r="756">
      <c r="C756" s="60"/>
    </row>
    <row r="757">
      <c r="C757" s="60"/>
    </row>
    <row r="758">
      <c r="C758" s="60"/>
    </row>
    <row r="759">
      <c r="C759" s="60"/>
    </row>
    <row r="760">
      <c r="C760" s="60"/>
    </row>
    <row r="761">
      <c r="C761" s="60"/>
    </row>
    <row r="762">
      <c r="C762" s="60"/>
    </row>
    <row r="763">
      <c r="C763" s="60"/>
    </row>
    <row r="764">
      <c r="C764" s="60"/>
    </row>
    <row r="765">
      <c r="C765" s="60"/>
    </row>
    <row r="766">
      <c r="C766" s="60"/>
    </row>
    <row r="767">
      <c r="C767" s="60"/>
    </row>
    <row r="768">
      <c r="C768" s="60"/>
    </row>
    <row r="769">
      <c r="C769" s="60"/>
    </row>
    <row r="770">
      <c r="C770" s="60"/>
    </row>
    <row r="771">
      <c r="C771" s="60"/>
    </row>
    <row r="772">
      <c r="C772" s="60"/>
    </row>
    <row r="773">
      <c r="C773" s="60"/>
    </row>
    <row r="774">
      <c r="C774" s="60"/>
    </row>
    <row r="775">
      <c r="C775" s="60"/>
    </row>
    <row r="776">
      <c r="C776" s="60"/>
    </row>
    <row r="777">
      <c r="C777" s="60"/>
    </row>
    <row r="778">
      <c r="C778" s="60"/>
    </row>
    <row r="779">
      <c r="C779" s="60"/>
    </row>
    <row r="780">
      <c r="C780" s="60"/>
    </row>
    <row r="781">
      <c r="C781" s="60"/>
    </row>
    <row r="782">
      <c r="C782" s="60"/>
    </row>
    <row r="783">
      <c r="C783" s="60"/>
    </row>
    <row r="784">
      <c r="C784" s="60"/>
    </row>
    <row r="785">
      <c r="C785" s="60"/>
    </row>
    <row r="786">
      <c r="C786" s="60"/>
    </row>
    <row r="787">
      <c r="C787" s="60"/>
    </row>
    <row r="788">
      <c r="C788" s="60"/>
    </row>
    <row r="789">
      <c r="C789" s="60"/>
    </row>
    <row r="790">
      <c r="C790" s="60"/>
    </row>
    <row r="791">
      <c r="C791" s="60"/>
    </row>
    <row r="792">
      <c r="C792" s="60"/>
    </row>
    <row r="793">
      <c r="C793" s="60"/>
    </row>
    <row r="794">
      <c r="C794" s="60"/>
    </row>
    <row r="795">
      <c r="C795" s="60"/>
    </row>
    <row r="796">
      <c r="C796" s="60"/>
    </row>
    <row r="797">
      <c r="C797" s="60"/>
    </row>
    <row r="798">
      <c r="C798" s="60"/>
    </row>
    <row r="799">
      <c r="C799" s="60"/>
    </row>
    <row r="800">
      <c r="C800" s="60"/>
    </row>
    <row r="801">
      <c r="C801" s="60"/>
    </row>
    <row r="802">
      <c r="C802" s="60"/>
    </row>
    <row r="803">
      <c r="C803" s="60"/>
    </row>
    <row r="804">
      <c r="C804" s="60"/>
    </row>
    <row r="805">
      <c r="C805" s="60"/>
    </row>
    <row r="806">
      <c r="C806" s="60"/>
    </row>
    <row r="807">
      <c r="C807" s="60"/>
    </row>
    <row r="808">
      <c r="C808" s="60"/>
    </row>
    <row r="809">
      <c r="C809" s="60"/>
    </row>
    <row r="810">
      <c r="C810" s="60"/>
    </row>
    <row r="811">
      <c r="C811" s="60"/>
    </row>
    <row r="812">
      <c r="C812" s="60"/>
    </row>
    <row r="813">
      <c r="C813" s="60"/>
    </row>
    <row r="814">
      <c r="C814" s="60"/>
    </row>
    <row r="815">
      <c r="C815" s="60"/>
    </row>
    <row r="816">
      <c r="C816" s="60"/>
    </row>
    <row r="817">
      <c r="C817" s="60"/>
    </row>
    <row r="818">
      <c r="C818" s="60"/>
    </row>
    <row r="819">
      <c r="C819" s="60"/>
    </row>
    <row r="820">
      <c r="C820" s="60"/>
    </row>
    <row r="821">
      <c r="C821" s="60"/>
    </row>
    <row r="822">
      <c r="C822" s="60"/>
    </row>
    <row r="823">
      <c r="C823" s="60"/>
    </row>
    <row r="824">
      <c r="C824" s="60"/>
    </row>
    <row r="825">
      <c r="C825" s="60"/>
    </row>
    <row r="826">
      <c r="C826" s="60"/>
    </row>
    <row r="827">
      <c r="C827" s="60"/>
    </row>
    <row r="828">
      <c r="C828" s="60"/>
    </row>
    <row r="829">
      <c r="C829" s="60"/>
    </row>
    <row r="830">
      <c r="C830" s="60"/>
    </row>
    <row r="831">
      <c r="C831" s="60"/>
    </row>
    <row r="832">
      <c r="C832" s="60"/>
    </row>
    <row r="833">
      <c r="C833" s="60"/>
    </row>
    <row r="834">
      <c r="C834" s="60"/>
    </row>
    <row r="835">
      <c r="C835" s="60"/>
    </row>
    <row r="836">
      <c r="C836" s="60"/>
    </row>
    <row r="837">
      <c r="C837" s="60"/>
    </row>
    <row r="838">
      <c r="C838" s="60"/>
    </row>
    <row r="839">
      <c r="C839" s="60"/>
    </row>
    <row r="840">
      <c r="C840" s="60"/>
    </row>
    <row r="841">
      <c r="C841" s="60"/>
    </row>
    <row r="842">
      <c r="C842" s="60"/>
    </row>
    <row r="843">
      <c r="C843" s="60"/>
    </row>
    <row r="844">
      <c r="C844" s="60"/>
    </row>
    <row r="845">
      <c r="C845" s="60"/>
    </row>
    <row r="846">
      <c r="C846" s="60"/>
    </row>
    <row r="847">
      <c r="C847" s="60"/>
    </row>
    <row r="848">
      <c r="C848" s="60"/>
    </row>
    <row r="849">
      <c r="C849" s="60"/>
    </row>
    <row r="850">
      <c r="C850" s="60"/>
    </row>
    <row r="851">
      <c r="C851" s="60"/>
    </row>
    <row r="852">
      <c r="C852" s="60"/>
    </row>
    <row r="853">
      <c r="C853" s="60"/>
    </row>
    <row r="854">
      <c r="C854" s="60"/>
    </row>
    <row r="855">
      <c r="C855" s="60"/>
    </row>
    <row r="856">
      <c r="C856" s="60"/>
    </row>
    <row r="857">
      <c r="C857" s="60"/>
    </row>
    <row r="858">
      <c r="C858" s="60"/>
    </row>
    <row r="859">
      <c r="C859" s="60"/>
    </row>
    <row r="860">
      <c r="C860" s="60"/>
    </row>
    <row r="861">
      <c r="C861" s="60"/>
    </row>
    <row r="862">
      <c r="C862" s="60"/>
    </row>
    <row r="863">
      <c r="C863" s="60"/>
    </row>
    <row r="864">
      <c r="C864" s="60"/>
    </row>
    <row r="865">
      <c r="C865" s="60"/>
    </row>
    <row r="866">
      <c r="C866" s="60"/>
    </row>
    <row r="867">
      <c r="C867" s="60"/>
    </row>
    <row r="868">
      <c r="C868" s="60"/>
    </row>
    <row r="869">
      <c r="C869" s="60"/>
    </row>
    <row r="870">
      <c r="C870" s="60"/>
    </row>
    <row r="871">
      <c r="C871" s="60"/>
    </row>
    <row r="872">
      <c r="C872" s="60"/>
    </row>
    <row r="873">
      <c r="C873" s="60"/>
    </row>
    <row r="874">
      <c r="C874" s="60"/>
    </row>
    <row r="875">
      <c r="C875" s="60"/>
    </row>
    <row r="876">
      <c r="C876" s="60"/>
    </row>
    <row r="877">
      <c r="C877" s="60"/>
    </row>
    <row r="878">
      <c r="C878" s="60"/>
    </row>
    <row r="879">
      <c r="C879" s="60"/>
    </row>
    <row r="880">
      <c r="C880" s="60"/>
    </row>
    <row r="881">
      <c r="C881" s="60"/>
    </row>
    <row r="882">
      <c r="C882" s="60"/>
    </row>
    <row r="883">
      <c r="C883" s="60"/>
    </row>
    <row r="884">
      <c r="C884" s="60"/>
    </row>
    <row r="885">
      <c r="C885" s="60"/>
    </row>
    <row r="886">
      <c r="C886" s="60"/>
    </row>
    <row r="887">
      <c r="C887" s="60"/>
    </row>
    <row r="888">
      <c r="C888" s="60"/>
    </row>
    <row r="889">
      <c r="C889" s="60"/>
    </row>
    <row r="890">
      <c r="C890" s="60"/>
    </row>
    <row r="891">
      <c r="C891" s="60"/>
    </row>
    <row r="892">
      <c r="C892" s="60"/>
    </row>
    <row r="893">
      <c r="C893" s="60"/>
    </row>
    <row r="894">
      <c r="C894" s="60"/>
    </row>
    <row r="895">
      <c r="C895" s="60"/>
    </row>
    <row r="896">
      <c r="C896" s="60"/>
    </row>
    <row r="897">
      <c r="C897" s="60"/>
    </row>
    <row r="898">
      <c r="C898" s="60"/>
    </row>
    <row r="899">
      <c r="C899" s="60"/>
    </row>
    <row r="900">
      <c r="C900" s="60"/>
    </row>
    <row r="901">
      <c r="C901" s="60"/>
    </row>
    <row r="902">
      <c r="C902" s="60"/>
    </row>
    <row r="903">
      <c r="C903" s="60"/>
    </row>
    <row r="904">
      <c r="C904" s="60"/>
    </row>
    <row r="905">
      <c r="C905" s="60"/>
    </row>
    <row r="906">
      <c r="C906" s="60"/>
    </row>
    <row r="907">
      <c r="C907" s="60"/>
    </row>
    <row r="908">
      <c r="C908" s="60"/>
    </row>
    <row r="909">
      <c r="C909" s="60"/>
    </row>
    <row r="910">
      <c r="C910" s="60"/>
    </row>
    <row r="911">
      <c r="C911" s="60"/>
    </row>
    <row r="912">
      <c r="C912" s="60"/>
    </row>
    <row r="913">
      <c r="C913" s="60"/>
    </row>
    <row r="914">
      <c r="C914" s="60"/>
    </row>
    <row r="915">
      <c r="C915" s="60"/>
    </row>
    <row r="916">
      <c r="C916" s="60"/>
    </row>
    <row r="917">
      <c r="C917" s="60"/>
    </row>
    <row r="918">
      <c r="C918" s="60"/>
    </row>
    <row r="919">
      <c r="C919" s="60"/>
    </row>
    <row r="920">
      <c r="C920" s="60"/>
    </row>
    <row r="921">
      <c r="C921" s="60"/>
    </row>
    <row r="922">
      <c r="C922" s="60"/>
    </row>
    <row r="923">
      <c r="C923" s="60"/>
    </row>
    <row r="924">
      <c r="C924" s="60"/>
    </row>
    <row r="925">
      <c r="C925" s="60"/>
    </row>
    <row r="926">
      <c r="C926" s="60"/>
    </row>
    <row r="927">
      <c r="C927" s="60"/>
    </row>
    <row r="928">
      <c r="C928" s="60"/>
    </row>
    <row r="929">
      <c r="C929" s="60"/>
    </row>
    <row r="930">
      <c r="C930" s="60"/>
    </row>
    <row r="931">
      <c r="C931" s="60"/>
    </row>
    <row r="932">
      <c r="C932" s="60"/>
    </row>
    <row r="933">
      <c r="C933" s="60"/>
    </row>
    <row r="934">
      <c r="C934" s="60"/>
    </row>
    <row r="935">
      <c r="C935" s="60"/>
    </row>
    <row r="936">
      <c r="C936" s="60"/>
    </row>
    <row r="937">
      <c r="C937" s="60"/>
    </row>
    <row r="938">
      <c r="C938" s="60"/>
    </row>
    <row r="939">
      <c r="C939" s="60"/>
    </row>
    <row r="940">
      <c r="C940" s="60"/>
    </row>
    <row r="941">
      <c r="C941" s="60"/>
    </row>
    <row r="942">
      <c r="C942" s="60"/>
    </row>
    <row r="943">
      <c r="C943" s="60"/>
    </row>
    <row r="944">
      <c r="C944" s="60"/>
    </row>
    <row r="945">
      <c r="C945" s="60"/>
    </row>
    <row r="946">
      <c r="C946" s="60"/>
    </row>
    <row r="947">
      <c r="C947" s="60"/>
    </row>
    <row r="948">
      <c r="C948" s="60"/>
    </row>
    <row r="949">
      <c r="C949" s="60"/>
    </row>
    <row r="950">
      <c r="C950" s="60"/>
    </row>
    <row r="951">
      <c r="C951" s="60"/>
    </row>
    <row r="952">
      <c r="C952" s="60"/>
    </row>
    <row r="953">
      <c r="C953" s="60"/>
    </row>
    <row r="954">
      <c r="C954" s="60"/>
    </row>
    <row r="955">
      <c r="C955" s="60"/>
    </row>
    <row r="956">
      <c r="C956" s="60"/>
    </row>
    <row r="957">
      <c r="C957" s="60"/>
    </row>
    <row r="958">
      <c r="C958" s="60"/>
    </row>
    <row r="959">
      <c r="C959" s="60"/>
    </row>
    <row r="960">
      <c r="C960" s="60"/>
    </row>
    <row r="961">
      <c r="C961" s="60"/>
    </row>
    <row r="962">
      <c r="C962" s="60"/>
    </row>
    <row r="963">
      <c r="C963" s="60"/>
    </row>
    <row r="964">
      <c r="C964" s="60"/>
    </row>
    <row r="965">
      <c r="C965" s="60"/>
    </row>
    <row r="966">
      <c r="C966" s="60"/>
    </row>
    <row r="967">
      <c r="C967" s="60"/>
    </row>
    <row r="968">
      <c r="C968" s="60"/>
    </row>
    <row r="969">
      <c r="C969" s="60"/>
    </row>
    <row r="970">
      <c r="C970" s="60"/>
    </row>
    <row r="971">
      <c r="C971" s="60"/>
    </row>
    <row r="972">
      <c r="C972" s="60"/>
    </row>
    <row r="973">
      <c r="C973" s="60"/>
    </row>
    <row r="974">
      <c r="C974" s="60"/>
    </row>
    <row r="975">
      <c r="C975" s="60"/>
    </row>
    <row r="976">
      <c r="C976" s="60"/>
    </row>
    <row r="977">
      <c r="C977" s="60"/>
    </row>
    <row r="978">
      <c r="C978" s="60"/>
    </row>
    <row r="979">
      <c r="C979" s="60"/>
    </row>
    <row r="980">
      <c r="C980" s="60"/>
    </row>
    <row r="981">
      <c r="C981" s="60"/>
    </row>
    <row r="982">
      <c r="C982" s="60"/>
    </row>
    <row r="983">
      <c r="C983" s="60"/>
    </row>
    <row r="984">
      <c r="C984" s="60"/>
    </row>
    <row r="985">
      <c r="C985" s="60"/>
    </row>
    <row r="986">
      <c r="C986" s="60"/>
    </row>
    <row r="987">
      <c r="C987" s="60"/>
    </row>
    <row r="988">
      <c r="C988" s="60"/>
    </row>
    <row r="989">
      <c r="C989" s="60"/>
    </row>
    <row r="990">
      <c r="C990" s="60"/>
    </row>
    <row r="991">
      <c r="C991" s="60"/>
    </row>
    <row r="992">
      <c r="C992" s="60"/>
    </row>
    <row r="993">
      <c r="C993" s="60"/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63"/>
    <col customWidth="1" min="2" max="2" width="24.88"/>
    <col customWidth="1" min="3" max="3" width="7.63"/>
    <col customWidth="1" min="4" max="4" width="14.5"/>
  </cols>
  <sheetData>
    <row r="1">
      <c r="A1" s="14" t="s">
        <v>498</v>
      </c>
      <c r="B1" s="14" t="s">
        <v>0</v>
      </c>
      <c r="C1" s="75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1188</v>
      </c>
      <c r="M1" s="14" t="s">
        <v>516</v>
      </c>
    </row>
    <row r="2">
      <c r="A2" s="43">
        <v>46039.0</v>
      </c>
      <c r="B2" s="44" t="s">
        <v>1255</v>
      </c>
      <c r="C2" s="59">
        <v>164.8</v>
      </c>
      <c r="D2" s="44"/>
      <c r="E2" s="59">
        <v>164.8</v>
      </c>
      <c r="F2" s="44"/>
      <c r="G2" s="44"/>
      <c r="H2" s="44"/>
      <c r="I2" s="44"/>
      <c r="J2" s="45"/>
      <c r="K2" s="45"/>
      <c r="L2" s="59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>
      <c r="A3" s="43">
        <v>46039.0</v>
      </c>
      <c r="B3" s="44" t="s">
        <v>1256</v>
      </c>
      <c r="C3" s="59">
        <v>1834.0</v>
      </c>
      <c r="D3" s="30"/>
      <c r="E3" s="30"/>
      <c r="F3" s="30"/>
      <c r="G3" s="45"/>
      <c r="H3" s="30"/>
      <c r="I3" s="59">
        <v>1834.0</v>
      </c>
      <c r="J3" s="30"/>
      <c r="K3" s="45"/>
      <c r="L3" s="59"/>
    </row>
    <row r="4">
      <c r="A4" s="43"/>
      <c r="B4" s="44" t="s">
        <v>1257</v>
      </c>
      <c r="C4" s="59">
        <v>108.2</v>
      </c>
      <c r="D4" s="8"/>
      <c r="E4" s="59">
        <f>C4/2</f>
        <v>54.1</v>
      </c>
      <c r="F4" s="30"/>
      <c r="G4" s="30"/>
      <c r="H4" s="30"/>
      <c r="I4" s="30"/>
      <c r="J4" s="30"/>
      <c r="K4" s="30"/>
      <c r="L4" s="59"/>
    </row>
    <row r="5">
      <c r="A5" s="43"/>
      <c r="B5" s="44" t="s">
        <v>1148</v>
      </c>
      <c r="C5" s="96">
        <v>109.3</v>
      </c>
      <c r="D5" s="30"/>
      <c r="E5" s="96"/>
      <c r="F5" s="45"/>
      <c r="G5" s="45"/>
      <c r="H5" s="30"/>
      <c r="I5" s="30"/>
      <c r="J5" s="96">
        <v>109.3</v>
      </c>
      <c r="K5" s="45"/>
      <c r="L5" s="96"/>
    </row>
    <row r="6">
      <c r="A6" s="46">
        <v>46040.0</v>
      </c>
      <c r="B6" s="44" t="s">
        <v>1258</v>
      </c>
      <c r="C6" s="59">
        <v>62.2</v>
      </c>
      <c r="D6" s="30"/>
      <c r="E6" s="59">
        <v>62.2</v>
      </c>
      <c r="G6" s="45"/>
      <c r="H6" s="30"/>
      <c r="I6" s="30"/>
      <c r="J6" s="44"/>
      <c r="K6" s="44"/>
      <c r="L6" s="59"/>
    </row>
    <row r="7">
      <c r="A7" s="43"/>
      <c r="B7" s="44" t="s">
        <v>1259</v>
      </c>
      <c r="C7" s="59">
        <v>42.0</v>
      </c>
      <c r="D7" s="30"/>
      <c r="E7" s="59"/>
      <c r="F7" s="99">
        <v>21.0</v>
      </c>
      <c r="G7" s="48">
        <v>21.0</v>
      </c>
      <c r="H7" s="48"/>
      <c r="I7" s="48"/>
      <c r="J7" s="48"/>
      <c r="K7" s="48"/>
      <c r="L7" s="59"/>
    </row>
    <row r="8">
      <c r="A8" s="43"/>
      <c r="B8" s="44" t="s">
        <v>1260</v>
      </c>
      <c r="C8" s="59">
        <v>75.0</v>
      </c>
      <c r="D8" s="30"/>
      <c r="E8" s="59">
        <v>75.0</v>
      </c>
      <c r="F8" s="94"/>
      <c r="G8" s="30"/>
      <c r="H8" s="30"/>
      <c r="I8" s="30"/>
      <c r="J8" s="30"/>
      <c r="K8" s="30"/>
      <c r="L8" s="59"/>
    </row>
    <row r="9">
      <c r="A9" s="43"/>
      <c r="B9" s="44" t="s">
        <v>1261</v>
      </c>
      <c r="C9" s="59">
        <v>45.6</v>
      </c>
      <c r="D9" s="30"/>
      <c r="E9" s="30"/>
      <c r="F9" s="59">
        <v>45.6</v>
      </c>
      <c r="G9" s="44"/>
      <c r="H9" s="30"/>
      <c r="I9" s="45"/>
      <c r="J9" s="30"/>
      <c r="K9" s="45"/>
      <c r="L9" s="59"/>
    </row>
    <row r="10">
      <c r="A10" s="43"/>
      <c r="B10" s="44" t="s">
        <v>1262</v>
      </c>
      <c r="C10" s="59">
        <v>110.0</v>
      </c>
      <c r="D10" s="30">
        <v>50.0</v>
      </c>
      <c r="E10" s="59">
        <v>60.0</v>
      </c>
      <c r="F10" s="94"/>
      <c r="G10" s="44"/>
      <c r="H10" s="30"/>
      <c r="I10" s="45"/>
      <c r="J10" s="30"/>
      <c r="K10" s="45"/>
      <c r="L10" s="59"/>
    </row>
    <row r="11">
      <c r="A11" s="43"/>
      <c r="B11" s="44" t="s">
        <v>371</v>
      </c>
      <c r="C11" s="59">
        <v>10.0</v>
      </c>
      <c r="D11" s="44"/>
      <c r="E11" s="59"/>
      <c r="F11" s="94"/>
      <c r="G11" s="59">
        <v>10.0</v>
      </c>
      <c r="H11" s="30"/>
      <c r="I11" s="30"/>
      <c r="J11" s="45"/>
      <c r="K11" s="45"/>
      <c r="L11" s="45"/>
    </row>
    <row r="12">
      <c r="A12" s="43"/>
      <c r="B12" s="44" t="s">
        <v>1263</v>
      </c>
      <c r="C12" s="59">
        <v>42.15</v>
      </c>
      <c r="D12" s="44"/>
      <c r="E12" s="59">
        <v>42.15</v>
      </c>
      <c r="F12" s="44"/>
      <c r="G12" s="45"/>
      <c r="H12" s="44"/>
      <c r="I12" s="30"/>
      <c r="J12" s="30"/>
      <c r="K12" s="45"/>
      <c r="L12" s="48"/>
      <c r="M12" s="30"/>
    </row>
    <row r="13">
      <c r="A13" s="43"/>
      <c r="B13" s="44"/>
      <c r="C13" s="59"/>
      <c r="D13" s="100"/>
      <c r="E13" s="100"/>
      <c r="F13" s="44"/>
      <c r="G13" s="100"/>
      <c r="H13" s="44"/>
      <c r="I13" s="100"/>
      <c r="J13" s="100"/>
      <c r="K13" s="44"/>
      <c r="L13" s="44"/>
      <c r="M13" s="30"/>
    </row>
    <row r="14">
      <c r="A14" s="43"/>
      <c r="B14" s="44"/>
      <c r="C14" s="59"/>
      <c r="D14" s="30"/>
      <c r="E14" s="59"/>
      <c r="F14" s="44"/>
      <c r="G14" s="44"/>
      <c r="H14" s="44"/>
      <c r="I14" s="44"/>
      <c r="J14" s="44"/>
      <c r="K14" s="44"/>
      <c r="L14" s="44"/>
    </row>
    <row r="15">
      <c r="A15" s="43"/>
      <c r="B15" s="44"/>
      <c r="C15" s="59"/>
      <c r="D15" s="59"/>
      <c r="E15" s="30"/>
      <c r="F15" s="44"/>
      <c r="G15" s="44"/>
      <c r="H15" s="44"/>
      <c r="I15" s="30"/>
      <c r="J15" s="45"/>
      <c r="K15" s="45"/>
      <c r="L15" s="45"/>
    </row>
    <row r="16">
      <c r="A16" s="43"/>
      <c r="B16" s="95"/>
      <c r="C16" s="30"/>
      <c r="D16" s="59"/>
      <c r="F16" s="44"/>
      <c r="G16" s="44"/>
      <c r="H16" s="44"/>
      <c r="I16" s="30"/>
      <c r="J16" s="45"/>
      <c r="K16" s="45"/>
      <c r="L16" s="45"/>
    </row>
    <row r="17">
      <c r="A17" s="93"/>
      <c r="C17" s="59"/>
      <c r="E17" s="30"/>
      <c r="F17" s="30"/>
      <c r="G17" s="30"/>
      <c r="H17" s="30"/>
      <c r="I17" s="30"/>
      <c r="J17" s="30"/>
      <c r="K17" s="30"/>
      <c r="L17" s="30"/>
      <c r="M17" s="30"/>
    </row>
    <row r="18">
      <c r="A18" s="43"/>
      <c r="B18" s="44"/>
      <c r="C18" s="59"/>
      <c r="E18" s="59"/>
      <c r="F18" s="44"/>
      <c r="G18" s="44"/>
      <c r="H18" s="30"/>
      <c r="I18" s="45"/>
      <c r="J18" s="30"/>
      <c r="K18" s="45"/>
      <c r="L18" s="45"/>
    </row>
    <row r="19">
      <c r="A19" s="43"/>
      <c r="B19" s="44"/>
      <c r="C19" s="59"/>
      <c r="F19" s="59"/>
      <c r="G19" s="44"/>
      <c r="H19" s="44"/>
      <c r="I19" s="44"/>
      <c r="J19" s="44"/>
      <c r="K19" s="44"/>
      <c r="L19" s="44"/>
      <c r="M19" s="44"/>
    </row>
    <row r="20">
      <c r="A20" s="43"/>
      <c r="B20" s="44"/>
      <c r="C20" s="59"/>
      <c r="E20" s="59"/>
      <c r="F20" s="44"/>
      <c r="G20" s="44"/>
      <c r="H20" s="44"/>
      <c r="I20" s="44"/>
      <c r="J20" s="44"/>
      <c r="K20" s="44"/>
      <c r="L20" s="44"/>
      <c r="M20" s="44"/>
    </row>
    <row r="21">
      <c r="A21" s="43"/>
      <c r="B21" s="44"/>
      <c r="C21" s="59"/>
      <c r="E21" s="59"/>
      <c r="F21" s="44"/>
      <c r="G21" s="45"/>
      <c r="H21" s="30"/>
      <c r="I21" s="45"/>
      <c r="J21" s="30"/>
      <c r="K21" s="45"/>
      <c r="L21" s="45"/>
    </row>
    <row r="22">
      <c r="A22" s="43"/>
      <c r="B22" s="44"/>
      <c r="C22" s="59"/>
      <c r="E22" s="59"/>
      <c r="F22" s="44"/>
      <c r="G22" s="45"/>
      <c r="H22" s="44"/>
      <c r="I22" s="45"/>
      <c r="J22" s="30"/>
      <c r="K22" s="45"/>
      <c r="L22" s="45"/>
    </row>
    <row r="23">
      <c r="A23" s="43"/>
      <c r="B23" s="44"/>
      <c r="C23" s="59"/>
      <c r="E23" s="59"/>
      <c r="F23" s="59"/>
      <c r="G23" s="48"/>
      <c r="H23" s="30"/>
      <c r="I23" s="48"/>
      <c r="J23" s="30"/>
      <c r="K23" s="48"/>
      <c r="L23" s="48"/>
    </row>
    <row r="24">
      <c r="A24" s="43"/>
      <c r="B24" s="44"/>
      <c r="C24" s="59"/>
      <c r="F24" s="44"/>
      <c r="G24" s="44"/>
      <c r="H24" s="44"/>
      <c r="I24" s="44"/>
      <c r="J24" s="59"/>
      <c r="K24" s="44"/>
      <c r="L24" s="44"/>
    </row>
    <row r="25">
      <c r="A25" s="43"/>
      <c r="B25" s="44"/>
      <c r="C25" s="59"/>
      <c r="E25" s="59"/>
    </row>
    <row r="26">
      <c r="A26" s="43"/>
      <c r="C26" s="59"/>
      <c r="E26" s="59"/>
      <c r="F26" s="59"/>
    </row>
    <row r="27">
      <c r="A27" s="46"/>
      <c r="B27" s="44"/>
      <c r="C27" s="59"/>
      <c r="F27" s="59"/>
      <c r="G27" s="59"/>
    </row>
    <row r="28">
      <c r="A28" s="43"/>
      <c r="B28" s="44"/>
      <c r="C28" s="59"/>
      <c r="E28" s="59"/>
      <c r="F28" s="59"/>
    </row>
    <row r="29">
      <c r="A29" s="43"/>
      <c r="B29" s="44"/>
      <c r="C29" s="59"/>
      <c r="F29" s="59"/>
    </row>
    <row r="30">
      <c r="A30" s="47"/>
      <c r="B30" s="48"/>
      <c r="C30" s="75"/>
      <c r="D30" s="75"/>
      <c r="E30" s="75"/>
      <c r="F30" s="8"/>
      <c r="G30" s="8"/>
      <c r="H30" s="8"/>
      <c r="I30" s="8"/>
      <c r="J30" s="8"/>
      <c r="K30" s="8"/>
      <c r="L30" s="8"/>
      <c r="M30" s="8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>
      <c r="A31" s="43"/>
      <c r="B31" s="44"/>
      <c r="C31" s="59"/>
      <c r="D31" s="59"/>
      <c r="E31" s="30"/>
    </row>
    <row r="32">
      <c r="A32" s="43"/>
      <c r="C32" s="59"/>
      <c r="D32" s="59"/>
      <c r="E32" s="59"/>
    </row>
    <row r="33">
      <c r="A33" s="43"/>
      <c r="B33" s="44"/>
      <c r="C33" s="59"/>
      <c r="D33" s="30"/>
      <c r="E33" s="30"/>
      <c r="F33" s="30"/>
      <c r="G33" s="30"/>
      <c r="H33" s="30"/>
      <c r="I33" s="30"/>
      <c r="J33" s="59"/>
      <c r="K33" s="59"/>
      <c r="L33" s="30"/>
    </row>
    <row r="34">
      <c r="A34" s="43"/>
      <c r="B34" s="44"/>
      <c r="C34" s="59"/>
    </row>
    <row r="35">
      <c r="A35" s="43"/>
      <c r="B35" s="44"/>
      <c r="C35" s="59"/>
      <c r="D35" s="59"/>
      <c r="L35" s="59"/>
    </row>
    <row r="36">
      <c r="A36" s="41"/>
      <c r="C36" s="59"/>
      <c r="E36" s="59"/>
      <c r="L36" s="59"/>
    </row>
    <row r="37">
      <c r="A37" s="41"/>
      <c r="C37" s="59"/>
      <c r="I37" s="30"/>
      <c r="J37" s="59"/>
    </row>
    <row r="38">
      <c r="A38" s="25"/>
      <c r="C38" s="59"/>
      <c r="J38" s="59"/>
    </row>
    <row r="39">
      <c r="A39" s="41"/>
      <c r="C39" s="59"/>
      <c r="D39" s="59"/>
      <c r="E39" s="59"/>
    </row>
    <row r="40">
      <c r="A40" s="66"/>
      <c r="B40" s="44"/>
      <c r="C40" s="59"/>
      <c r="E40" s="59"/>
    </row>
    <row r="41">
      <c r="A41" s="25"/>
      <c r="B41" s="44"/>
      <c r="C41" s="59"/>
      <c r="D41" s="59"/>
      <c r="L41" s="59"/>
    </row>
    <row r="42">
      <c r="A42" s="25"/>
      <c r="B42" s="44"/>
      <c r="C42" s="59"/>
      <c r="J42" s="68"/>
      <c r="L42" s="59"/>
    </row>
    <row r="43">
      <c r="C43" s="59"/>
      <c r="D43" s="98"/>
      <c r="E43" s="98"/>
      <c r="F43" s="98"/>
      <c r="G43" s="98"/>
      <c r="I43" s="98"/>
      <c r="J43" s="98"/>
      <c r="K43" s="98"/>
      <c r="L43" s="98"/>
    </row>
    <row r="44">
      <c r="C44" s="59"/>
      <c r="L44" s="59"/>
    </row>
    <row r="45">
      <c r="C45" s="59"/>
      <c r="L45" s="59"/>
    </row>
    <row r="46">
      <c r="C46" s="59"/>
      <c r="L46" s="59"/>
    </row>
    <row r="47">
      <c r="A47" s="41"/>
      <c r="C47" s="59"/>
      <c r="L47" s="59"/>
    </row>
    <row r="48">
      <c r="A48" s="41"/>
      <c r="C48" s="59"/>
      <c r="L48" s="59"/>
    </row>
    <row r="49">
      <c r="A49" s="41"/>
      <c r="C49" s="59"/>
      <c r="E49" s="30"/>
      <c r="L49" s="59"/>
    </row>
    <row r="50">
      <c r="C50" s="59"/>
      <c r="E50" s="44"/>
      <c r="L50" s="59"/>
    </row>
    <row r="51">
      <c r="C51" s="59"/>
      <c r="E51" s="44"/>
      <c r="F51" s="44"/>
      <c r="L51" s="59"/>
    </row>
    <row r="52">
      <c r="C52" s="59"/>
      <c r="L52" s="59"/>
    </row>
    <row r="53">
      <c r="C53" s="59"/>
      <c r="K53" s="59"/>
    </row>
    <row r="54">
      <c r="C54" s="60"/>
    </row>
    <row r="55">
      <c r="C55" s="60"/>
    </row>
    <row r="56">
      <c r="C56" s="60"/>
    </row>
    <row r="57">
      <c r="C57" s="60"/>
    </row>
    <row r="58">
      <c r="C58" s="60"/>
    </row>
    <row r="59">
      <c r="C59" s="60"/>
    </row>
    <row r="60">
      <c r="C60" s="60"/>
    </row>
    <row r="61">
      <c r="C61" s="60"/>
    </row>
    <row r="62">
      <c r="C62" s="60"/>
    </row>
    <row r="63">
      <c r="C63" s="60"/>
    </row>
    <row r="64">
      <c r="C64" s="60"/>
    </row>
    <row r="65">
      <c r="C65" s="60"/>
    </row>
    <row r="66">
      <c r="C66" s="60"/>
    </row>
    <row r="67">
      <c r="C67" s="60"/>
    </row>
    <row r="68">
      <c r="C68" s="60"/>
    </row>
    <row r="69">
      <c r="C69" s="60"/>
    </row>
    <row r="70">
      <c r="C70" s="60"/>
    </row>
    <row r="71">
      <c r="C71" s="60"/>
    </row>
    <row r="72">
      <c r="C72" s="59"/>
    </row>
    <row r="73">
      <c r="C73" s="59"/>
    </row>
    <row r="74">
      <c r="C74" s="59"/>
    </row>
    <row r="75">
      <c r="C75" s="59"/>
    </row>
    <row r="76">
      <c r="C76" s="59"/>
      <c r="D76" s="44"/>
      <c r="E76" s="44"/>
      <c r="F76" s="44"/>
      <c r="G76" s="44"/>
      <c r="H76" s="44"/>
      <c r="I76" s="44"/>
    </row>
    <row r="77">
      <c r="C77" s="59"/>
      <c r="D77" s="44"/>
      <c r="E77" s="44"/>
    </row>
    <row r="78">
      <c r="C78" s="59"/>
      <c r="E78" s="44"/>
    </row>
    <row r="79">
      <c r="C79" s="59"/>
      <c r="D79" s="44"/>
    </row>
    <row r="80">
      <c r="C80" s="59"/>
    </row>
    <row r="81">
      <c r="C81" s="60"/>
    </row>
    <row r="82">
      <c r="C82" s="60"/>
    </row>
    <row r="83">
      <c r="C83" s="59"/>
    </row>
    <row r="84">
      <c r="C84" s="60"/>
    </row>
    <row r="85">
      <c r="C85" s="60"/>
      <c r="D85" s="67"/>
      <c r="E85" s="67"/>
      <c r="F85" s="68"/>
      <c r="G85" s="68"/>
      <c r="H85" s="67"/>
      <c r="I85" s="68"/>
    </row>
    <row r="86">
      <c r="C86" s="60"/>
      <c r="D86" s="68"/>
      <c r="E86" s="68"/>
      <c r="F86" s="68"/>
      <c r="G86" s="68"/>
      <c r="H86" s="68"/>
      <c r="I86" s="68"/>
    </row>
    <row r="87">
      <c r="C87" s="60"/>
    </row>
    <row r="88">
      <c r="C88" s="60"/>
    </row>
    <row r="89">
      <c r="C89" s="60"/>
    </row>
    <row r="90">
      <c r="C90" s="60"/>
    </row>
    <row r="91">
      <c r="C91" s="60"/>
    </row>
    <row r="92">
      <c r="C92" s="60"/>
    </row>
    <row r="93">
      <c r="C93" s="60"/>
    </row>
    <row r="94">
      <c r="C94" s="60"/>
    </row>
    <row r="95">
      <c r="C95" s="60"/>
    </row>
    <row r="96">
      <c r="C96" s="60"/>
    </row>
    <row r="97">
      <c r="C97" s="60"/>
    </row>
    <row r="98">
      <c r="C98" s="60"/>
    </row>
    <row r="99">
      <c r="C99" s="60"/>
    </row>
    <row r="100">
      <c r="C100" s="60"/>
    </row>
    <row r="101">
      <c r="C101" s="60"/>
    </row>
    <row r="102">
      <c r="C102" s="60"/>
    </row>
    <row r="103">
      <c r="C103" s="60"/>
    </row>
    <row r="104">
      <c r="C104" s="60"/>
    </row>
    <row r="105">
      <c r="C105" s="60"/>
    </row>
    <row r="106">
      <c r="C106" s="60"/>
    </row>
    <row r="107">
      <c r="C107" s="60"/>
    </row>
    <row r="108">
      <c r="C108" s="60"/>
    </row>
    <row r="109">
      <c r="C109" s="60"/>
    </row>
    <row r="110">
      <c r="C110" s="60"/>
    </row>
    <row r="111">
      <c r="C111" s="60"/>
    </row>
    <row r="112">
      <c r="C112" s="60"/>
    </row>
    <row r="113">
      <c r="C113" s="60"/>
    </row>
    <row r="114">
      <c r="C114" s="60"/>
    </row>
    <row r="115">
      <c r="C115" s="60"/>
    </row>
    <row r="116">
      <c r="C116" s="60"/>
    </row>
    <row r="117">
      <c r="C117" s="60"/>
    </row>
    <row r="118">
      <c r="C118" s="60"/>
    </row>
    <row r="119">
      <c r="C119" s="60"/>
    </row>
    <row r="120">
      <c r="C120" s="60"/>
    </row>
    <row r="121">
      <c r="C121" s="60"/>
    </row>
    <row r="122">
      <c r="C122" s="60"/>
    </row>
    <row r="123">
      <c r="C123" s="60"/>
    </row>
    <row r="124">
      <c r="C124" s="60"/>
    </row>
    <row r="125">
      <c r="C125" s="60"/>
    </row>
    <row r="126">
      <c r="C126" s="60"/>
    </row>
    <row r="127">
      <c r="C127" s="60"/>
    </row>
    <row r="128">
      <c r="C128" s="60"/>
    </row>
    <row r="129">
      <c r="C129" s="60"/>
    </row>
    <row r="130">
      <c r="C130" s="60"/>
    </row>
    <row r="131">
      <c r="C131" s="60"/>
    </row>
    <row r="132">
      <c r="C132" s="60"/>
    </row>
    <row r="133">
      <c r="C133" s="60"/>
    </row>
    <row r="134">
      <c r="C134" s="60"/>
    </row>
    <row r="135">
      <c r="C135" s="60"/>
    </row>
    <row r="136">
      <c r="C136" s="60"/>
    </row>
    <row r="137">
      <c r="C137" s="60"/>
    </row>
    <row r="138">
      <c r="C138" s="60"/>
    </row>
    <row r="139">
      <c r="C139" s="60"/>
    </row>
    <row r="140">
      <c r="C140" s="60"/>
    </row>
    <row r="141">
      <c r="C141" s="60"/>
    </row>
    <row r="142">
      <c r="C142" s="60"/>
    </row>
    <row r="143">
      <c r="C143" s="60"/>
    </row>
    <row r="144">
      <c r="C144" s="60"/>
    </row>
    <row r="145">
      <c r="C145" s="60"/>
    </row>
    <row r="146">
      <c r="C146" s="60"/>
    </row>
    <row r="147">
      <c r="C147" s="60"/>
    </row>
    <row r="148">
      <c r="C148" s="60"/>
    </row>
    <row r="149">
      <c r="C149" s="60"/>
    </row>
    <row r="150">
      <c r="C150" s="60"/>
    </row>
    <row r="151">
      <c r="C151" s="60"/>
    </row>
    <row r="152">
      <c r="C152" s="60"/>
    </row>
    <row r="153">
      <c r="C153" s="60"/>
    </row>
    <row r="154">
      <c r="C154" s="60"/>
    </row>
    <row r="155">
      <c r="C155" s="60"/>
    </row>
    <row r="156">
      <c r="C156" s="60"/>
    </row>
    <row r="157">
      <c r="C157" s="60"/>
    </row>
    <row r="158">
      <c r="C158" s="60"/>
    </row>
    <row r="159">
      <c r="C159" s="60"/>
    </row>
    <row r="160">
      <c r="C160" s="60"/>
    </row>
    <row r="161">
      <c r="C161" s="60"/>
    </row>
    <row r="162">
      <c r="C162" s="60"/>
    </row>
    <row r="163">
      <c r="C163" s="60"/>
    </row>
    <row r="164">
      <c r="C164" s="60"/>
    </row>
    <row r="165">
      <c r="C165" s="60"/>
    </row>
    <row r="166">
      <c r="C166" s="60"/>
    </row>
    <row r="167">
      <c r="C167" s="60"/>
    </row>
    <row r="168">
      <c r="C168" s="60"/>
    </row>
    <row r="169">
      <c r="C169" s="60"/>
    </row>
    <row r="170">
      <c r="C170" s="60"/>
    </row>
    <row r="171">
      <c r="C171" s="60"/>
    </row>
    <row r="172">
      <c r="C172" s="60"/>
    </row>
    <row r="173">
      <c r="C173" s="60"/>
    </row>
    <row r="174">
      <c r="C174" s="60"/>
    </row>
    <row r="175">
      <c r="C175" s="60"/>
    </row>
    <row r="176">
      <c r="C176" s="60"/>
    </row>
    <row r="177">
      <c r="C177" s="60"/>
    </row>
    <row r="178">
      <c r="C178" s="60"/>
    </row>
    <row r="179">
      <c r="C179" s="60"/>
    </row>
    <row r="180">
      <c r="C180" s="60"/>
    </row>
    <row r="181">
      <c r="C181" s="60"/>
    </row>
    <row r="182">
      <c r="C182" s="60"/>
    </row>
    <row r="183">
      <c r="C183" s="60"/>
    </row>
    <row r="184">
      <c r="C184" s="60"/>
    </row>
    <row r="185">
      <c r="C185" s="60"/>
    </row>
    <row r="186">
      <c r="C186" s="60"/>
    </row>
    <row r="187">
      <c r="C187" s="60"/>
    </row>
    <row r="188">
      <c r="C188" s="60"/>
    </row>
    <row r="189">
      <c r="C189" s="60"/>
    </row>
    <row r="190">
      <c r="C190" s="60"/>
    </row>
    <row r="191">
      <c r="C191" s="60"/>
    </row>
    <row r="192">
      <c r="C192" s="60"/>
    </row>
    <row r="193">
      <c r="C193" s="60"/>
    </row>
    <row r="194">
      <c r="C194" s="60"/>
    </row>
    <row r="195">
      <c r="C195" s="60"/>
    </row>
    <row r="196">
      <c r="C196" s="60"/>
    </row>
    <row r="197">
      <c r="C197" s="60"/>
    </row>
    <row r="198">
      <c r="C198" s="60"/>
    </row>
    <row r="199">
      <c r="C199" s="60"/>
    </row>
    <row r="200">
      <c r="C200" s="60"/>
    </row>
    <row r="201">
      <c r="C201" s="60"/>
    </row>
    <row r="202">
      <c r="C202" s="60"/>
    </row>
    <row r="203">
      <c r="C203" s="60"/>
    </row>
    <row r="204">
      <c r="C204" s="60"/>
    </row>
    <row r="205">
      <c r="C205" s="60"/>
    </row>
    <row r="206">
      <c r="C206" s="60"/>
    </row>
    <row r="207">
      <c r="C207" s="60"/>
    </row>
    <row r="208">
      <c r="C208" s="60"/>
    </row>
    <row r="209">
      <c r="C209" s="60"/>
    </row>
    <row r="210">
      <c r="C210" s="60"/>
    </row>
    <row r="211">
      <c r="C211" s="60"/>
    </row>
    <row r="212">
      <c r="C212" s="60"/>
    </row>
    <row r="213">
      <c r="C213" s="60"/>
    </row>
    <row r="214">
      <c r="C214" s="60"/>
    </row>
    <row r="215">
      <c r="C215" s="60"/>
    </row>
    <row r="216">
      <c r="C216" s="60"/>
    </row>
    <row r="217">
      <c r="C217" s="60"/>
    </row>
    <row r="218">
      <c r="C218" s="60"/>
    </row>
    <row r="219">
      <c r="C219" s="60"/>
    </row>
    <row r="220">
      <c r="C220" s="60"/>
    </row>
    <row r="221">
      <c r="C221" s="60"/>
    </row>
    <row r="222">
      <c r="C222" s="60"/>
    </row>
    <row r="223">
      <c r="C223" s="60"/>
    </row>
    <row r="224">
      <c r="C224" s="60"/>
    </row>
    <row r="225">
      <c r="C225" s="60"/>
    </row>
    <row r="226">
      <c r="C226" s="60"/>
    </row>
    <row r="227">
      <c r="C227" s="60"/>
    </row>
    <row r="228">
      <c r="C228" s="60"/>
    </row>
    <row r="229">
      <c r="C229" s="60"/>
    </row>
    <row r="230">
      <c r="C230" s="60"/>
    </row>
    <row r="231">
      <c r="C231" s="60"/>
    </row>
    <row r="232">
      <c r="C232" s="60"/>
    </row>
    <row r="233">
      <c r="C233" s="60"/>
    </row>
    <row r="234">
      <c r="C234" s="60"/>
    </row>
    <row r="235">
      <c r="C235" s="60"/>
    </row>
    <row r="236">
      <c r="C236" s="60"/>
    </row>
    <row r="237">
      <c r="C237" s="60"/>
    </row>
    <row r="238">
      <c r="C238" s="60"/>
    </row>
    <row r="239">
      <c r="C239" s="60"/>
    </row>
    <row r="240">
      <c r="C240" s="60"/>
    </row>
    <row r="241">
      <c r="C241" s="60"/>
    </row>
    <row r="242">
      <c r="C242" s="60"/>
    </row>
    <row r="243">
      <c r="C243" s="60"/>
    </row>
    <row r="244">
      <c r="C244" s="60"/>
    </row>
    <row r="245">
      <c r="C245" s="60"/>
    </row>
    <row r="246">
      <c r="C246" s="60"/>
    </row>
    <row r="247">
      <c r="C247" s="60"/>
    </row>
    <row r="248">
      <c r="C248" s="60"/>
    </row>
    <row r="249">
      <c r="C249" s="60"/>
    </row>
    <row r="250">
      <c r="C250" s="60"/>
    </row>
    <row r="251">
      <c r="C251" s="60"/>
    </row>
    <row r="252">
      <c r="C252" s="60"/>
    </row>
    <row r="253">
      <c r="C253" s="60"/>
    </row>
    <row r="254">
      <c r="C254" s="60"/>
    </row>
    <row r="255">
      <c r="C255" s="60"/>
    </row>
    <row r="256">
      <c r="C256" s="60"/>
    </row>
    <row r="257">
      <c r="C257" s="60"/>
    </row>
    <row r="258">
      <c r="C258" s="60"/>
    </row>
    <row r="259">
      <c r="C259" s="60"/>
    </row>
    <row r="260">
      <c r="C260" s="60"/>
    </row>
    <row r="261">
      <c r="C261" s="60"/>
    </row>
    <row r="262">
      <c r="C262" s="60"/>
    </row>
    <row r="263">
      <c r="C263" s="60"/>
    </row>
    <row r="264">
      <c r="C264" s="60"/>
    </row>
    <row r="265">
      <c r="C265" s="60"/>
    </row>
    <row r="266">
      <c r="C266" s="60"/>
    </row>
    <row r="267">
      <c r="C267" s="60"/>
    </row>
    <row r="268">
      <c r="C268" s="60"/>
    </row>
    <row r="269">
      <c r="C269" s="60"/>
    </row>
    <row r="270">
      <c r="C270" s="60"/>
    </row>
    <row r="271">
      <c r="C271" s="60"/>
    </row>
    <row r="272">
      <c r="C272" s="60"/>
    </row>
    <row r="273">
      <c r="C273" s="60"/>
    </row>
    <row r="274">
      <c r="C274" s="60"/>
    </row>
    <row r="275">
      <c r="C275" s="60"/>
    </row>
    <row r="276">
      <c r="C276" s="60"/>
    </row>
    <row r="277">
      <c r="C277" s="60"/>
    </row>
    <row r="278">
      <c r="C278" s="60"/>
    </row>
    <row r="279">
      <c r="C279" s="60"/>
    </row>
    <row r="280">
      <c r="C280" s="60"/>
    </row>
    <row r="281">
      <c r="C281" s="60"/>
    </row>
    <row r="282">
      <c r="C282" s="60"/>
    </row>
    <row r="283">
      <c r="C283" s="60"/>
    </row>
    <row r="284">
      <c r="C284" s="60"/>
    </row>
    <row r="285">
      <c r="C285" s="60"/>
    </row>
    <row r="286">
      <c r="C286" s="60"/>
    </row>
    <row r="287">
      <c r="C287" s="60"/>
    </row>
    <row r="288">
      <c r="C288" s="60"/>
    </row>
    <row r="289">
      <c r="C289" s="60"/>
    </row>
    <row r="290">
      <c r="C290" s="60"/>
    </row>
    <row r="291">
      <c r="C291" s="60"/>
    </row>
    <row r="292">
      <c r="C292" s="60"/>
    </row>
    <row r="293">
      <c r="C293" s="60"/>
    </row>
    <row r="294">
      <c r="C294" s="60"/>
    </row>
    <row r="295">
      <c r="C295" s="60"/>
    </row>
    <row r="296">
      <c r="C296" s="60"/>
    </row>
    <row r="297">
      <c r="C297" s="60"/>
    </row>
    <row r="298">
      <c r="C298" s="60"/>
    </row>
    <row r="299">
      <c r="C299" s="60"/>
    </row>
    <row r="300">
      <c r="C300" s="60"/>
    </row>
    <row r="301">
      <c r="C301" s="60"/>
    </row>
    <row r="302">
      <c r="C302" s="60"/>
    </row>
    <row r="303">
      <c r="C303" s="60"/>
    </row>
    <row r="304">
      <c r="C304" s="60"/>
    </row>
    <row r="305">
      <c r="C305" s="60"/>
    </row>
    <row r="306">
      <c r="C306" s="60"/>
    </row>
    <row r="307">
      <c r="C307" s="60"/>
    </row>
    <row r="308">
      <c r="C308" s="60"/>
    </row>
    <row r="309">
      <c r="C309" s="60"/>
    </row>
    <row r="310">
      <c r="C310" s="60"/>
    </row>
    <row r="311">
      <c r="C311" s="60"/>
    </row>
    <row r="312">
      <c r="C312" s="60"/>
    </row>
    <row r="313">
      <c r="C313" s="60"/>
    </row>
    <row r="314">
      <c r="C314" s="60"/>
    </row>
    <row r="315">
      <c r="C315" s="60"/>
    </row>
    <row r="316">
      <c r="C316" s="60"/>
    </row>
    <row r="317">
      <c r="C317" s="60"/>
    </row>
    <row r="318">
      <c r="C318" s="60"/>
    </row>
    <row r="319">
      <c r="C319" s="60"/>
    </row>
    <row r="320">
      <c r="C320" s="60"/>
    </row>
    <row r="321">
      <c r="C321" s="60"/>
    </row>
    <row r="322">
      <c r="C322" s="60"/>
    </row>
    <row r="323">
      <c r="C323" s="60"/>
    </row>
    <row r="324">
      <c r="C324" s="60"/>
    </row>
    <row r="325">
      <c r="C325" s="60"/>
    </row>
    <row r="326">
      <c r="C326" s="60"/>
    </row>
    <row r="327">
      <c r="C327" s="60"/>
    </row>
    <row r="328">
      <c r="C328" s="60"/>
    </row>
    <row r="329">
      <c r="C329" s="60"/>
    </row>
    <row r="330">
      <c r="C330" s="60"/>
    </row>
    <row r="331">
      <c r="C331" s="60"/>
    </row>
    <row r="332">
      <c r="C332" s="60"/>
    </row>
    <row r="333">
      <c r="C333" s="60"/>
    </row>
    <row r="334">
      <c r="C334" s="60"/>
    </row>
    <row r="335">
      <c r="C335" s="60"/>
    </row>
    <row r="336">
      <c r="C336" s="60"/>
    </row>
    <row r="337">
      <c r="C337" s="60"/>
    </row>
    <row r="338">
      <c r="C338" s="60"/>
    </row>
    <row r="339">
      <c r="C339" s="60"/>
    </row>
    <row r="340">
      <c r="C340" s="60"/>
    </row>
    <row r="341">
      <c r="C341" s="60"/>
    </row>
    <row r="342">
      <c r="C342" s="60"/>
    </row>
    <row r="343">
      <c r="C343" s="60"/>
    </row>
    <row r="344">
      <c r="C344" s="60"/>
    </row>
    <row r="345">
      <c r="C345" s="60"/>
    </row>
    <row r="346">
      <c r="C346" s="60"/>
    </row>
    <row r="347">
      <c r="C347" s="60"/>
    </row>
    <row r="348">
      <c r="C348" s="60"/>
    </row>
    <row r="349">
      <c r="C349" s="60"/>
    </row>
    <row r="350">
      <c r="C350" s="60"/>
    </row>
    <row r="351">
      <c r="C351" s="60"/>
    </row>
    <row r="352">
      <c r="C352" s="60"/>
    </row>
    <row r="353">
      <c r="C353" s="60"/>
    </row>
    <row r="354">
      <c r="C354" s="60"/>
    </row>
    <row r="355">
      <c r="C355" s="60"/>
    </row>
    <row r="356">
      <c r="C356" s="60"/>
    </row>
    <row r="357">
      <c r="C357" s="60"/>
    </row>
    <row r="358">
      <c r="C358" s="60"/>
    </row>
    <row r="359">
      <c r="C359" s="60"/>
    </row>
    <row r="360">
      <c r="C360" s="60"/>
    </row>
    <row r="361">
      <c r="C361" s="60"/>
    </row>
    <row r="362">
      <c r="C362" s="60"/>
    </row>
    <row r="363">
      <c r="C363" s="60"/>
    </row>
    <row r="364">
      <c r="C364" s="60"/>
    </row>
    <row r="365">
      <c r="C365" s="60"/>
    </row>
    <row r="366">
      <c r="C366" s="60"/>
    </row>
    <row r="367">
      <c r="C367" s="60"/>
    </row>
    <row r="368">
      <c r="C368" s="60"/>
    </row>
    <row r="369">
      <c r="C369" s="60"/>
    </row>
    <row r="370">
      <c r="C370" s="60"/>
    </row>
    <row r="371">
      <c r="C371" s="60"/>
    </row>
    <row r="372">
      <c r="C372" s="60"/>
    </row>
    <row r="373">
      <c r="C373" s="60"/>
    </row>
    <row r="374">
      <c r="C374" s="60"/>
    </row>
    <row r="375">
      <c r="C375" s="60"/>
    </row>
    <row r="376">
      <c r="C376" s="60"/>
    </row>
    <row r="377">
      <c r="C377" s="60"/>
    </row>
    <row r="378">
      <c r="C378" s="60"/>
    </row>
    <row r="379">
      <c r="C379" s="60"/>
    </row>
    <row r="380">
      <c r="C380" s="60"/>
    </row>
    <row r="381">
      <c r="C381" s="60"/>
    </row>
    <row r="382">
      <c r="C382" s="60"/>
    </row>
    <row r="383">
      <c r="C383" s="60"/>
    </row>
    <row r="384">
      <c r="C384" s="60"/>
    </row>
    <row r="385">
      <c r="C385" s="60"/>
    </row>
    <row r="386">
      <c r="C386" s="60"/>
    </row>
    <row r="387">
      <c r="C387" s="60"/>
    </row>
    <row r="388">
      <c r="C388" s="60"/>
    </row>
    <row r="389">
      <c r="C389" s="60"/>
    </row>
    <row r="390">
      <c r="C390" s="60"/>
    </row>
    <row r="391">
      <c r="C391" s="60"/>
    </row>
    <row r="392">
      <c r="C392" s="60"/>
    </row>
    <row r="393">
      <c r="C393" s="60"/>
    </row>
    <row r="394">
      <c r="C394" s="60"/>
    </row>
    <row r="395">
      <c r="C395" s="60"/>
    </row>
    <row r="396">
      <c r="C396" s="60"/>
    </row>
    <row r="397">
      <c r="C397" s="60"/>
    </row>
    <row r="398">
      <c r="C398" s="60"/>
    </row>
    <row r="399">
      <c r="C399" s="60"/>
    </row>
    <row r="400">
      <c r="C400" s="60"/>
    </row>
    <row r="401">
      <c r="C401" s="60"/>
    </row>
    <row r="402">
      <c r="C402" s="60"/>
    </row>
    <row r="403">
      <c r="C403" s="60"/>
    </row>
    <row r="404">
      <c r="C404" s="60"/>
    </row>
    <row r="405">
      <c r="C405" s="60"/>
    </row>
    <row r="406">
      <c r="C406" s="60"/>
    </row>
    <row r="407">
      <c r="C407" s="60"/>
    </row>
    <row r="408">
      <c r="C408" s="60"/>
    </row>
    <row r="409">
      <c r="C409" s="60"/>
    </row>
    <row r="410">
      <c r="C410" s="60"/>
    </row>
    <row r="411">
      <c r="C411" s="60"/>
    </row>
    <row r="412">
      <c r="C412" s="60"/>
    </row>
    <row r="413">
      <c r="C413" s="60"/>
    </row>
    <row r="414">
      <c r="C414" s="60"/>
    </row>
    <row r="415">
      <c r="C415" s="60"/>
    </row>
    <row r="416">
      <c r="C416" s="60"/>
    </row>
    <row r="417">
      <c r="C417" s="60"/>
    </row>
    <row r="418">
      <c r="C418" s="60"/>
    </row>
    <row r="419">
      <c r="C419" s="60"/>
    </row>
    <row r="420">
      <c r="C420" s="60"/>
    </row>
    <row r="421">
      <c r="C421" s="60"/>
    </row>
    <row r="422">
      <c r="C422" s="60"/>
    </row>
    <row r="423">
      <c r="C423" s="60"/>
    </row>
    <row r="424">
      <c r="C424" s="60"/>
    </row>
    <row r="425">
      <c r="C425" s="60"/>
    </row>
    <row r="426">
      <c r="C426" s="60"/>
    </row>
    <row r="427">
      <c r="C427" s="60"/>
    </row>
    <row r="428">
      <c r="C428" s="60"/>
    </row>
    <row r="429">
      <c r="C429" s="60"/>
    </row>
    <row r="430">
      <c r="C430" s="60"/>
    </row>
    <row r="431">
      <c r="C431" s="60"/>
    </row>
    <row r="432">
      <c r="C432" s="60"/>
    </row>
    <row r="433">
      <c r="C433" s="60"/>
    </row>
    <row r="434">
      <c r="C434" s="60"/>
    </row>
    <row r="435">
      <c r="C435" s="60"/>
    </row>
    <row r="436">
      <c r="C436" s="60"/>
    </row>
    <row r="437">
      <c r="C437" s="60"/>
    </row>
    <row r="438">
      <c r="C438" s="60"/>
    </row>
    <row r="439">
      <c r="C439" s="60"/>
    </row>
    <row r="440">
      <c r="C440" s="60"/>
    </row>
    <row r="441">
      <c r="C441" s="60"/>
    </row>
    <row r="442">
      <c r="C442" s="60"/>
    </row>
    <row r="443">
      <c r="C443" s="60"/>
    </row>
    <row r="444">
      <c r="C444" s="60"/>
    </row>
    <row r="445">
      <c r="C445" s="60"/>
    </row>
    <row r="446">
      <c r="C446" s="60"/>
    </row>
    <row r="447">
      <c r="C447" s="60"/>
    </row>
    <row r="448">
      <c r="C448" s="60"/>
    </row>
    <row r="449">
      <c r="C449" s="60"/>
    </row>
    <row r="450">
      <c r="C450" s="60"/>
    </row>
    <row r="451">
      <c r="C451" s="60"/>
    </row>
    <row r="452">
      <c r="C452" s="60"/>
    </row>
    <row r="453">
      <c r="C453" s="60"/>
    </row>
    <row r="454">
      <c r="C454" s="60"/>
    </row>
    <row r="455">
      <c r="C455" s="60"/>
    </row>
    <row r="456">
      <c r="C456" s="60"/>
    </row>
    <row r="457">
      <c r="C457" s="60"/>
    </row>
    <row r="458">
      <c r="C458" s="60"/>
    </row>
    <row r="459">
      <c r="C459" s="60"/>
    </row>
    <row r="460">
      <c r="C460" s="60"/>
    </row>
    <row r="461">
      <c r="C461" s="60"/>
    </row>
    <row r="462">
      <c r="C462" s="60"/>
    </row>
    <row r="463">
      <c r="C463" s="60"/>
    </row>
    <row r="464">
      <c r="C464" s="60"/>
    </row>
    <row r="465">
      <c r="C465" s="60"/>
    </row>
    <row r="466">
      <c r="C466" s="60"/>
    </row>
    <row r="467">
      <c r="C467" s="60"/>
    </row>
    <row r="468">
      <c r="C468" s="60"/>
    </row>
    <row r="469">
      <c r="C469" s="60"/>
    </row>
    <row r="470">
      <c r="C470" s="60"/>
    </row>
    <row r="471">
      <c r="C471" s="60"/>
    </row>
    <row r="472">
      <c r="C472" s="60"/>
    </row>
    <row r="473">
      <c r="C473" s="60"/>
    </row>
    <row r="474">
      <c r="C474" s="60"/>
    </row>
    <row r="475">
      <c r="C475" s="60"/>
    </row>
    <row r="476">
      <c r="C476" s="60"/>
    </row>
    <row r="477">
      <c r="C477" s="60"/>
    </row>
    <row r="478">
      <c r="C478" s="60"/>
    </row>
    <row r="479">
      <c r="C479" s="60"/>
    </row>
    <row r="480">
      <c r="C480" s="60"/>
    </row>
    <row r="481">
      <c r="C481" s="60"/>
    </row>
    <row r="482">
      <c r="C482" s="60"/>
    </row>
    <row r="483">
      <c r="C483" s="60"/>
    </row>
    <row r="484">
      <c r="C484" s="60"/>
    </row>
    <row r="485">
      <c r="C485" s="60"/>
    </row>
    <row r="486">
      <c r="C486" s="60"/>
    </row>
    <row r="487">
      <c r="C487" s="60"/>
    </row>
    <row r="488">
      <c r="C488" s="60"/>
    </row>
    <row r="489">
      <c r="C489" s="60"/>
    </row>
    <row r="490">
      <c r="C490" s="60"/>
    </row>
    <row r="491">
      <c r="C491" s="60"/>
    </row>
    <row r="492">
      <c r="C492" s="60"/>
    </row>
    <row r="493">
      <c r="C493" s="60"/>
    </row>
    <row r="494">
      <c r="C494" s="60"/>
    </row>
    <row r="495">
      <c r="C495" s="60"/>
    </row>
    <row r="496">
      <c r="C496" s="60"/>
    </row>
    <row r="497">
      <c r="C497" s="60"/>
    </row>
    <row r="498">
      <c r="C498" s="60"/>
    </row>
    <row r="499">
      <c r="C499" s="60"/>
    </row>
    <row r="500">
      <c r="C500" s="60"/>
    </row>
    <row r="501">
      <c r="C501" s="60"/>
    </row>
    <row r="502">
      <c r="C502" s="60"/>
    </row>
    <row r="503">
      <c r="C503" s="60"/>
    </row>
    <row r="504">
      <c r="C504" s="60"/>
    </row>
    <row r="505">
      <c r="C505" s="60"/>
    </row>
    <row r="506">
      <c r="C506" s="60"/>
    </row>
    <row r="507">
      <c r="C507" s="60"/>
    </row>
    <row r="508">
      <c r="C508" s="60"/>
    </row>
    <row r="509">
      <c r="C509" s="60"/>
    </row>
    <row r="510">
      <c r="C510" s="60"/>
    </row>
    <row r="511">
      <c r="C511" s="60"/>
    </row>
    <row r="512">
      <c r="C512" s="60"/>
    </row>
    <row r="513">
      <c r="C513" s="60"/>
    </row>
    <row r="514">
      <c r="C514" s="60"/>
    </row>
    <row r="515">
      <c r="C515" s="60"/>
    </row>
    <row r="516">
      <c r="C516" s="60"/>
    </row>
    <row r="517">
      <c r="C517" s="60"/>
    </row>
    <row r="518">
      <c r="C518" s="60"/>
    </row>
    <row r="519">
      <c r="C519" s="60"/>
    </row>
    <row r="520">
      <c r="C520" s="60"/>
    </row>
    <row r="521">
      <c r="C521" s="60"/>
    </row>
    <row r="522">
      <c r="C522" s="60"/>
    </row>
    <row r="523">
      <c r="C523" s="60"/>
    </row>
    <row r="524">
      <c r="C524" s="60"/>
    </row>
    <row r="525">
      <c r="C525" s="60"/>
    </row>
    <row r="526">
      <c r="C526" s="60"/>
    </row>
    <row r="527">
      <c r="C527" s="60"/>
    </row>
    <row r="528">
      <c r="C528" s="60"/>
    </row>
    <row r="529">
      <c r="C529" s="60"/>
    </row>
    <row r="530">
      <c r="C530" s="60"/>
    </row>
    <row r="531">
      <c r="C531" s="60"/>
    </row>
    <row r="532">
      <c r="C532" s="60"/>
    </row>
    <row r="533">
      <c r="C533" s="60"/>
    </row>
    <row r="534">
      <c r="C534" s="60"/>
    </row>
    <row r="535">
      <c r="C535" s="60"/>
    </row>
    <row r="536">
      <c r="C536" s="60"/>
    </row>
    <row r="537">
      <c r="C537" s="60"/>
    </row>
    <row r="538">
      <c r="C538" s="60"/>
    </row>
    <row r="539">
      <c r="C539" s="60"/>
    </row>
    <row r="540">
      <c r="C540" s="60"/>
    </row>
    <row r="541">
      <c r="C541" s="60"/>
    </row>
    <row r="542">
      <c r="C542" s="60"/>
    </row>
    <row r="543">
      <c r="C543" s="60"/>
    </row>
    <row r="544">
      <c r="C544" s="60"/>
    </row>
    <row r="545">
      <c r="C545" s="60"/>
    </row>
    <row r="546">
      <c r="C546" s="60"/>
    </row>
    <row r="547">
      <c r="C547" s="60"/>
    </row>
    <row r="548">
      <c r="C548" s="60"/>
    </row>
    <row r="549">
      <c r="C549" s="60"/>
    </row>
    <row r="550">
      <c r="C550" s="60"/>
    </row>
    <row r="551">
      <c r="C551" s="60"/>
    </row>
    <row r="552">
      <c r="C552" s="60"/>
    </row>
    <row r="553">
      <c r="C553" s="60"/>
    </row>
    <row r="554">
      <c r="C554" s="60"/>
    </row>
    <row r="555">
      <c r="C555" s="60"/>
    </row>
    <row r="556">
      <c r="C556" s="60"/>
    </row>
    <row r="557">
      <c r="C557" s="60"/>
    </row>
    <row r="558">
      <c r="C558" s="60"/>
    </row>
    <row r="559">
      <c r="C559" s="60"/>
    </row>
    <row r="560">
      <c r="C560" s="60"/>
    </row>
    <row r="561">
      <c r="C561" s="60"/>
    </row>
    <row r="562">
      <c r="C562" s="60"/>
    </row>
    <row r="563">
      <c r="C563" s="60"/>
    </row>
    <row r="564">
      <c r="C564" s="60"/>
    </row>
    <row r="565">
      <c r="C565" s="60"/>
    </row>
    <row r="566">
      <c r="C566" s="60"/>
    </row>
    <row r="567">
      <c r="C567" s="60"/>
    </row>
    <row r="568">
      <c r="C568" s="60"/>
    </row>
    <row r="569">
      <c r="C569" s="60"/>
    </row>
    <row r="570">
      <c r="C570" s="60"/>
    </row>
    <row r="571">
      <c r="C571" s="60"/>
    </row>
    <row r="572">
      <c r="C572" s="60"/>
    </row>
    <row r="573">
      <c r="C573" s="60"/>
    </row>
    <row r="574">
      <c r="C574" s="60"/>
    </row>
    <row r="575">
      <c r="C575" s="60"/>
    </row>
    <row r="576">
      <c r="C576" s="60"/>
    </row>
    <row r="577">
      <c r="C577" s="60"/>
    </row>
    <row r="578">
      <c r="C578" s="60"/>
    </row>
    <row r="579">
      <c r="C579" s="60"/>
    </row>
    <row r="580">
      <c r="C580" s="60"/>
    </row>
    <row r="581">
      <c r="C581" s="60"/>
    </row>
    <row r="582">
      <c r="C582" s="60"/>
    </row>
    <row r="583">
      <c r="C583" s="60"/>
    </row>
    <row r="584">
      <c r="C584" s="60"/>
    </row>
    <row r="585">
      <c r="C585" s="60"/>
    </row>
    <row r="586">
      <c r="C586" s="60"/>
    </row>
    <row r="587">
      <c r="C587" s="60"/>
    </row>
    <row r="588">
      <c r="C588" s="60"/>
    </row>
    <row r="589">
      <c r="C589" s="60"/>
    </row>
    <row r="590">
      <c r="C590" s="60"/>
    </row>
    <row r="591">
      <c r="C591" s="60"/>
    </row>
    <row r="592">
      <c r="C592" s="60"/>
    </row>
    <row r="593">
      <c r="C593" s="60"/>
    </row>
    <row r="594">
      <c r="C594" s="60"/>
    </row>
    <row r="595">
      <c r="C595" s="60"/>
    </row>
    <row r="596">
      <c r="C596" s="60"/>
    </row>
    <row r="597">
      <c r="C597" s="60"/>
    </row>
    <row r="598">
      <c r="C598" s="60"/>
    </row>
    <row r="599">
      <c r="C599" s="60"/>
    </row>
    <row r="600">
      <c r="C600" s="60"/>
    </row>
    <row r="601">
      <c r="C601" s="60"/>
    </row>
    <row r="602">
      <c r="C602" s="60"/>
    </row>
    <row r="603">
      <c r="C603" s="60"/>
    </row>
    <row r="604">
      <c r="C604" s="60"/>
    </row>
    <row r="605">
      <c r="C605" s="60"/>
    </row>
    <row r="606">
      <c r="C606" s="60"/>
    </row>
    <row r="607">
      <c r="C607" s="60"/>
    </row>
    <row r="608">
      <c r="C608" s="60"/>
    </row>
    <row r="609">
      <c r="C609" s="60"/>
    </row>
    <row r="610">
      <c r="C610" s="60"/>
    </row>
    <row r="611">
      <c r="C611" s="60"/>
    </row>
    <row r="612">
      <c r="C612" s="60"/>
    </row>
    <row r="613">
      <c r="C613" s="60"/>
    </row>
    <row r="614">
      <c r="C614" s="60"/>
    </row>
    <row r="615">
      <c r="C615" s="60"/>
    </row>
    <row r="616">
      <c r="C616" s="60"/>
    </row>
    <row r="617">
      <c r="C617" s="60"/>
    </row>
    <row r="618">
      <c r="C618" s="60"/>
    </row>
    <row r="619">
      <c r="C619" s="60"/>
    </row>
    <row r="620">
      <c r="C620" s="60"/>
    </row>
    <row r="621">
      <c r="C621" s="60"/>
    </row>
    <row r="622">
      <c r="C622" s="60"/>
    </row>
    <row r="623">
      <c r="C623" s="60"/>
    </row>
    <row r="624">
      <c r="C624" s="60"/>
    </row>
    <row r="625">
      <c r="C625" s="60"/>
    </row>
    <row r="626">
      <c r="C626" s="60"/>
    </row>
    <row r="627">
      <c r="C627" s="60"/>
    </row>
    <row r="628">
      <c r="C628" s="60"/>
    </row>
    <row r="629">
      <c r="C629" s="60"/>
    </row>
    <row r="630">
      <c r="C630" s="60"/>
    </row>
    <row r="631">
      <c r="C631" s="60"/>
    </row>
    <row r="632">
      <c r="C632" s="60"/>
    </row>
    <row r="633">
      <c r="C633" s="60"/>
    </row>
    <row r="634">
      <c r="C634" s="60"/>
    </row>
    <row r="635">
      <c r="C635" s="60"/>
    </row>
    <row r="636">
      <c r="C636" s="60"/>
    </row>
    <row r="637">
      <c r="C637" s="60"/>
    </row>
    <row r="638">
      <c r="C638" s="60"/>
    </row>
    <row r="639">
      <c r="C639" s="60"/>
    </row>
    <row r="640">
      <c r="C640" s="60"/>
    </row>
    <row r="641">
      <c r="C641" s="60"/>
    </row>
    <row r="642">
      <c r="C642" s="60"/>
    </row>
    <row r="643">
      <c r="C643" s="60"/>
    </row>
    <row r="644">
      <c r="C644" s="60"/>
    </row>
    <row r="645">
      <c r="C645" s="60"/>
    </row>
    <row r="646">
      <c r="C646" s="60"/>
    </row>
    <row r="647">
      <c r="C647" s="60"/>
    </row>
    <row r="648">
      <c r="C648" s="60"/>
    </row>
    <row r="649">
      <c r="C649" s="60"/>
    </row>
    <row r="650">
      <c r="C650" s="60"/>
    </row>
    <row r="651">
      <c r="C651" s="60"/>
    </row>
    <row r="652">
      <c r="C652" s="60"/>
    </row>
    <row r="653">
      <c r="C653" s="60"/>
    </row>
    <row r="654">
      <c r="C654" s="60"/>
    </row>
    <row r="655">
      <c r="C655" s="60"/>
    </row>
    <row r="656">
      <c r="C656" s="60"/>
    </row>
    <row r="657">
      <c r="C657" s="60"/>
    </row>
    <row r="658">
      <c r="C658" s="60"/>
    </row>
    <row r="659">
      <c r="C659" s="60"/>
    </row>
    <row r="660">
      <c r="C660" s="60"/>
    </row>
    <row r="661">
      <c r="C661" s="60"/>
    </row>
    <row r="662">
      <c r="C662" s="60"/>
    </row>
    <row r="663">
      <c r="C663" s="60"/>
    </row>
    <row r="664">
      <c r="C664" s="60"/>
    </row>
    <row r="665">
      <c r="C665" s="60"/>
    </row>
    <row r="666">
      <c r="C666" s="60"/>
    </row>
    <row r="667">
      <c r="C667" s="60"/>
    </row>
    <row r="668">
      <c r="C668" s="60"/>
    </row>
    <row r="669">
      <c r="C669" s="60"/>
    </row>
    <row r="670">
      <c r="C670" s="60"/>
    </row>
    <row r="671">
      <c r="C671" s="60"/>
    </row>
    <row r="672">
      <c r="C672" s="60"/>
    </row>
    <row r="673">
      <c r="C673" s="60"/>
    </row>
    <row r="674">
      <c r="C674" s="60"/>
    </row>
    <row r="675">
      <c r="C675" s="60"/>
    </row>
    <row r="676">
      <c r="C676" s="60"/>
    </row>
    <row r="677">
      <c r="C677" s="60"/>
    </row>
    <row r="678">
      <c r="C678" s="60"/>
    </row>
    <row r="679">
      <c r="C679" s="60"/>
    </row>
    <row r="680">
      <c r="C680" s="60"/>
    </row>
    <row r="681">
      <c r="C681" s="60"/>
    </row>
    <row r="682">
      <c r="C682" s="60"/>
    </row>
    <row r="683">
      <c r="C683" s="60"/>
    </row>
    <row r="684">
      <c r="C684" s="60"/>
    </row>
    <row r="685">
      <c r="C685" s="60"/>
    </row>
    <row r="686">
      <c r="C686" s="60"/>
    </row>
    <row r="687">
      <c r="C687" s="60"/>
    </row>
    <row r="688">
      <c r="C688" s="60"/>
    </row>
    <row r="689">
      <c r="C689" s="60"/>
    </row>
    <row r="690">
      <c r="C690" s="60"/>
    </row>
    <row r="691">
      <c r="C691" s="60"/>
    </row>
    <row r="692">
      <c r="C692" s="60"/>
    </row>
    <row r="693">
      <c r="C693" s="60"/>
    </row>
    <row r="694">
      <c r="C694" s="60"/>
    </row>
    <row r="695">
      <c r="C695" s="60"/>
    </row>
    <row r="696">
      <c r="C696" s="60"/>
    </row>
    <row r="697">
      <c r="C697" s="60"/>
    </row>
    <row r="698">
      <c r="C698" s="60"/>
    </row>
    <row r="699">
      <c r="C699" s="60"/>
    </row>
    <row r="700">
      <c r="C700" s="60"/>
    </row>
    <row r="701">
      <c r="C701" s="60"/>
    </row>
    <row r="702">
      <c r="C702" s="60"/>
    </row>
    <row r="703">
      <c r="C703" s="60"/>
    </row>
    <row r="704">
      <c r="C704" s="60"/>
    </row>
    <row r="705">
      <c r="C705" s="60"/>
    </row>
    <row r="706">
      <c r="C706" s="60"/>
    </row>
    <row r="707">
      <c r="C707" s="60"/>
    </row>
    <row r="708">
      <c r="C708" s="60"/>
    </row>
    <row r="709">
      <c r="C709" s="60"/>
    </row>
    <row r="710">
      <c r="C710" s="60"/>
    </row>
    <row r="711">
      <c r="C711" s="60"/>
    </row>
    <row r="712">
      <c r="C712" s="60"/>
    </row>
    <row r="713">
      <c r="C713" s="60"/>
    </row>
    <row r="714">
      <c r="C714" s="60"/>
    </row>
    <row r="715">
      <c r="C715" s="60"/>
    </row>
    <row r="716">
      <c r="C716" s="60"/>
    </row>
    <row r="717">
      <c r="C717" s="60"/>
    </row>
    <row r="718">
      <c r="C718" s="60"/>
    </row>
    <row r="719">
      <c r="C719" s="60"/>
    </row>
    <row r="720">
      <c r="C720" s="60"/>
    </row>
    <row r="721">
      <c r="C721" s="60"/>
    </row>
    <row r="722">
      <c r="C722" s="60"/>
    </row>
    <row r="723">
      <c r="C723" s="60"/>
    </row>
    <row r="724">
      <c r="C724" s="60"/>
    </row>
    <row r="725">
      <c r="C725" s="60"/>
    </row>
    <row r="726">
      <c r="C726" s="60"/>
    </row>
    <row r="727">
      <c r="C727" s="60"/>
    </row>
    <row r="728">
      <c r="C728" s="60"/>
    </row>
    <row r="729">
      <c r="C729" s="60"/>
    </row>
    <row r="730">
      <c r="C730" s="60"/>
    </row>
    <row r="731">
      <c r="C731" s="60"/>
    </row>
    <row r="732">
      <c r="C732" s="60"/>
    </row>
    <row r="733">
      <c r="C733" s="60"/>
    </row>
    <row r="734">
      <c r="C734" s="60"/>
    </row>
    <row r="735">
      <c r="C735" s="60"/>
    </row>
    <row r="736">
      <c r="C736" s="60"/>
    </row>
    <row r="737">
      <c r="C737" s="60"/>
    </row>
    <row r="738">
      <c r="C738" s="60"/>
    </row>
    <row r="739">
      <c r="C739" s="60"/>
    </row>
    <row r="740">
      <c r="C740" s="60"/>
    </row>
    <row r="741">
      <c r="C741" s="60"/>
    </row>
    <row r="742">
      <c r="C742" s="60"/>
    </row>
    <row r="743">
      <c r="C743" s="60"/>
    </row>
    <row r="744">
      <c r="C744" s="60"/>
    </row>
    <row r="745">
      <c r="C745" s="60"/>
    </row>
    <row r="746">
      <c r="C746" s="60"/>
    </row>
    <row r="747">
      <c r="C747" s="60"/>
    </row>
    <row r="748">
      <c r="C748" s="60"/>
    </row>
    <row r="749">
      <c r="C749" s="60"/>
    </row>
    <row r="750">
      <c r="C750" s="60"/>
    </row>
    <row r="751">
      <c r="C751" s="60"/>
    </row>
    <row r="752">
      <c r="C752" s="60"/>
    </row>
    <row r="753">
      <c r="C753" s="60"/>
    </row>
    <row r="754">
      <c r="C754" s="60"/>
    </row>
    <row r="755">
      <c r="C755" s="60"/>
    </row>
    <row r="756">
      <c r="C756" s="60"/>
    </row>
    <row r="757">
      <c r="C757" s="60"/>
    </row>
    <row r="758">
      <c r="C758" s="60"/>
    </row>
    <row r="759">
      <c r="C759" s="60"/>
    </row>
    <row r="760">
      <c r="C760" s="60"/>
    </row>
    <row r="761">
      <c r="C761" s="60"/>
    </row>
    <row r="762">
      <c r="C762" s="60"/>
    </row>
    <row r="763">
      <c r="C763" s="60"/>
    </row>
    <row r="764">
      <c r="C764" s="60"/>
    </row>
    <row r="765">
      <c r="C765" s="60"/>
    </row>
    <row r="766">
      <c r="C766" s="60"/>
    </row>
    <row r="767">
      <c r="C767" s="60"/>
    </row>
    <row r="768">
      <c r="C768" s="60"/>
    </row>
    <row r="769">
      <c r="C769" s="60"/>
    </row>
    <row r="770">
      <c r="C770" s="60"/>
    </row>
    <row r="771">
      <c r="C771" s="60"/>
    </row>
    <row r="772">
      <c r="C772" s="60"/>
    </row>
    <row r="773">
      <c r="C773" s="60"/>
    </row>
    <row r="774">
      <c r="C774" s="60"/>
    </row>
    <row r="775">
      <c r="C775" s="60"/>
    </row>
    <row r="776">
      <c r="C776" s="60"/>
    </row>
    <row r="777">
      <c r="C777" s="60"/>
    </row>
    <row r="778">
      <c r="C778" s="60"/>
    </row>
    <row r="779">
      <c r="C779" s="60"/>
    </row>
    <row r="780">
      <c r="C780" s="60"/>
    </row>
    <row r="781">
      <c r="C781" s="60"/>
    </row>
    <row r="782">
      <c r="C782" s="60"/>
    </row>
    <row r="783">
      <c r="C783" s="60"/>
    </row>
    <row r="784">
      <c r="C784" s="60"/>
    </row>
    <row r="785">
      <c r="C785" s="60"/>
    </row>
    <row r="786">
      <c r="C786" s="60"/>
    </row>
    <row r="787">
      <c r="C787" s="60"/>
    </row>
    <row r="788">
      <c r="C788" s="60"/>
    </row>
    <row r="789">
      <c r="C789" s="60"/>
    </row>
    <row r="790">
      <c r="C790" s="60"/>
    </row>
    <row r="791">
      <c r="C791" s="60"/>
    </row>
    <row r="792">
      <c r="C792" s="60"/>
    </row>
    <row r="793">
      <c r="C793" s="60"/>
    </row>
    <row r="794">
      <c r="C794" s="60"/>
    </row>
    <row r="795">
      <c r="C795" s="60"/>
    </row>
    <row r="796">
      <c r="C796" s="60"/>
    </row>
    <row r="797">
      <c r="C797" s="60"/>
    </row>
    <row r="798">
      <c r="C798" s="60"/>
    </row>
    <row r="799">
      <c r="C799" s="60"/>
    </row>
    <row r="800">
      <c r="C800" s="60"/>
    </row>
    <row r="801">
      <c r="C801" s="60"/>
    </row>
    <row r="802">
      <c r="C802" s="60"/>
    </row>
    <row r="803">
      <c r="C803" s="60"/>
    </row>
    <row r="804">
      <c r="C804" s="60"/>
    </row>
    <row r="805">
      <c r="C805" s="60"/>
    </row>
    <row r="806">
      <c r="C806" s="60"/>
    </row>
    <row r="807">
      <c r="C807" s="60"/>
    </row>
    <row r="808">
      <c r="C808" s="60"/>
    </row>
    <row r="809">
      <c r="C809" s="60"/>
    </row>
    <row r="810">
      <c r="C810" s="60"/>
    </row>
    <row r="811">
      <c r="C811" s="60"/>
    </row>
    <row r="812">
      <c r="C812" s="60"/>
    </row>
    <row r="813">
      <c r="C813" s="60"/>
    </row>
    <row r="814">
      <c r="C814" s="60"/>
    </row>
    <row r="815">
      <c r="C815" s="60"/>
    </row>
    <row r="816">
      <c r="C816" s="60"/>
    </row>
    <row r="817">
      <c r="C817" s="60"/>
    </row>
    <row r="818">
      <c r="C818" s="60"/>
    </row>
    <row r="819">
      <c r="C819" s="60"/>
    </row>
    <row r="820">
      <c r="C820" s="60"/>
    </row>
    <row r="821">
      <c r="C821" s="60"/>
    </row>
    <row r="822">
      <c r="C822" s="60"/>
    </row>
    <row r="823">
      <c r="C823" s="60"/>
    </row>
    <row r="824">
      <c r="C824" s="60"/>
    </row>
    <row r="825">
      <c r="C825" s="60"/>
    </row>
    <row r="826">
      <c r="C826" s="60"/>
    </row>
    <row r="827">
      <c r="C827" s="60"/>
    </row>
    <row r="828">
      <c r="C828" s="60"/>
    </row>
    <row r="829">
      <c r="C829" s="60"/>
    </row>
    <row r="830">
      <c r="C830" s="60"/>
    </row>
    <row r="831">
      <c r="C831" s="60"/>
    </row>
    <row r="832">
      <c r="C832" s="60"/>
    </row>
    <row r="833">
      <c r="C833" s="60"/>
    </row>
    <row r="834">
      <c r="C834" s="60"/>
    </row>
    <row r="835">
      <c r="C835" s="60"/>
    </row>
    <row r="836">
      <c r="C836" s="60"/>
    </row>
    <row r="837">
      <c r="C837" s="60"/>
    </row>
    <row r="838">
      <c r="C838" s="60"/>
    </row>
    <row r="839">
      <c r="C839" s="60"/>
    </row>
    <row r="840">
      <c r="C840" s="60"/>
    </row>
    <row r="841">
      <c r="C841" s="60"/>
    </row>
    <row r="842">
      <c r="C842" s="60"/>
    </row>
    <row r="843">
      <c r="C843" s="60"/>
    </row>
    <row r="844">
      <c r="C844" s="60"/>
    </row>
    <row r="845">
      <c r="C845" s="60"/>
    </row>
    <row r="846">
      <c r="C846" s="60"/>
    </row>
    <row r="847">
      <c r="C847" s="60"/>
    </row>
    <row r="848">
      <c r="C848" s="60"/>
    </row>
    <row r="849">
      <c r="C849" s="60"/>
    </row>
    <row r="850">
      <c r="C850" s="60"/>
    </row>
    <row r="851">
      <c r="C851" s="60"/>
    </row>
    <row r="852">
      <c r="C852" s="60"/>
    </row>
    <row r="853">
      <c r="C853" s="60"/>
    </row>
    <row r="854">
      <c r="C854" s="60"/>
    </row>
    <row r="855">
      <c r="C855" s="60"/>
    </row>
    <row r="856">
      <c r="C856" s="60"/>
    </row>
    <row r="857">
      <c r="C857" s="60"/>
    </row>
    <row r="858">
      <c r="C858" s="60"/>
    </row>
    <row r="859">
      <c r="C859" s="60"/>
    </row>
    <row r="860">
      <c r="C860" s="60"/>
    </row>
    <row r="861">
      <c r="C861" s="60"/>
    </row>
    <row r="862">
      <c r="C862" s="60"/>
    </row>
    <row r="863">
      <c r="C863" s="60"/>
    </row>
    <row r="864">
      <c r="C864" s="60"/>
    </row>
    <row r="865">
      <c r="C865" s="60"/>
    </row>
    <row r="866">
      <c r="C866" s="60"/>
    </row>
    <row r="867">
      <c r="C867" s="60"/>
    </row>
    <row r="868">
      <c r="C868" s="60"/>
    </row>
    <row r="869">
      <c r="C869" s="60"/>
    </row>
    <row r="870">
      <c r="C870" s="60"/>
    </row>
    <row r="871">
      <c r="C871" s="60"/>
    </row>
    <row r="872">
      <c r="C872" s="60"/>
    </row>
    <row r="873">
      <c r="C873" s="60"/>
    </row>
    <row r="874">
      <c r="C874" s="60"/>
    </row>
    <row r="875">
      <c r="C875" s="60"/>
    </row>
    <row r="876">
      <c r="C876" s="60"/>
    </row>
    <row r="877">
      <c r="C877" s="60"/>
    </row>
    <row r="878">
      <c r="C878" s="60"/>
    </row>
    <row r="879">
      <c r="C879" s="60"/>
    </row>
    <row r="880">
      <c r="C880" s="60"/>
    </row>
    <row r="881">
      <c r="C881" s="60"/>
    </row>
    <row r="882">
      <c r="C882" s="60"/>
    </row>
    <row r="883">
      <c r="C883" s="60"/>
    </row>
    <row r="884">
      <c r="C884" s="60"/>
    </row>
    <row r="885">
      <c r="C885" s="60"/>
    </row>
    <row r="886">
      <c r="C886" s="60"/>
    </row>
    <row r="887">
      <c r="C887" s="60"/>
    </row>
    <row r="888">
      <c r="C888" s="60"/>
    </row>
    <row r="889">
      <c r="C889" s="60"/>
    </row>
    <row r="890">
      <c r="C890" s="60"/>
    </row>
    <row r="891">
      <c r="C891" s="60"/>
    </row>
    <row r="892">
      <c r="C892" s="60"/>
    </row>
    <row r="893">
      <c r="C893" s="60"/>
    </row>
    <row r="894">
      <c r="C894" s="60"/>
    </row>
    <row r="895">
      <c r="C895" s="60"/>
    </row>
    <row r="896">
      <c r="C896" s="60"/>
    </row>
    <row r="897">
      <c r="C897" s="60"/>
    </row>
    <row r="898">
      <c r="C898" s="60"/>
    </row>
    <row r="899">
      <c r="C899" s="60"/>
    </row>
    <row r="900">
      <c r="C900" s="60"/>
    </row>
    <row r="901">
      <c r="C901" s="60"/>
    </row>
    <row r="902">
      <c r="C902" s="60"/>
    </row>
    <row r="903">
      <c r="C903" s="60"/>
    </row>
    <row r="904">
      <c r="C904" s="60"/>
    </row>
    <row r="905">
      <c r="C905" s="60"/>
    </row>
    <row r="906">
      <c r="C906" s="60"/>
    </row>
    <row r="907">
      <c r="C907" s="60"/>
    </row>
    <row r="908">
      <c r="C908" s="60"/>
    </row>
    <row r="909">
      <c r="C909" s="60"/>
    </row>
    <row r="910">
      <c r="C910" s="60"/>
    </row>
    <row r="911">
      <c r="C911" s="60"/>
    </row>
    <row r="912">
      <c r="C912" s="60"/>
    </row>
    <row r="913">
      <c r="C913" s="60"/>
    </row>
    <row r="914">
      <c r="C914" s="60"/>
    </row>
    <row r="915">
      <c r="C915" s="60"/>
    </row>
    <row r="916">
      <c r="C916" s="60"/>
    </row>
    <row r="917">
      <c r="C917" s="60"/>
    </row>
    <row r="918">
      <c r="C918" s="60"/>
    </row>
    <row r="919">
      <c r="C919" s="60"/>
    </row>
    <row r="920">
      <c r="C920" s="60"/>
    </row>
    <row r="921">
      <c r="C921" s="60"/>
    </row>
    <row r="922">
      <c r="C922" s="60"/>
    </row>
    <row r="923">
      <c r="C923" s="60"/>
    </row>
    <row r="924">
      <c r="C924" s="60"/>
    </row>
    <row r="925">
      <c r="C925" s="60"/>
    </row>
    <row r="926">
      <c r="C926" s="60"/>
    </row>
    <row r="927">
      <c r="C927" s="60"/>
    </row>
    <row r="928">
      <c r="C928" s="60"/>
    </row>
    <row r="929">
      <c r="C929" s="60"/>
    </row>
    <row r="930">
      <c r="C930" s="60"/>
    </row>
    <row r="931">
      <c r="C931" s="60"/>
    </row>
    <row r="932">
      <c r="C932" s="60"/>
    </row>
    <row r="933">
      <c r="C933" s="60"/>
    </row>
    <row r="934">
      <c r="C934" s="60"/>
    </row>
    <row r="935">
      <c r="C935" s="60"/>
    </row>
    <row r="936">
      <c r="C936" s="60"/>
    </row>
    <row r="937">
      <c r="C937" s="60"/>
    </row>
    <row r="938">
      <c r="C938" s="60"/>
    </row>
    <row r="939">
      <c r="C939" s="60"/>
    </row>
    <row r="940">
      <c r="C940" s="60"/>
    </row>
    <row r="941">
      <c r="C941" s="60"/>
    </row>
    <row r="942">
      <c r="C942" s="60"/>
    </row>
    <row r="943">
      <c r="C943" s="60"/>
    </row>
    <row r="944">
      <c r="C944" s="60"/>
    </row>
    <row r="945">
      <c r="C945" s="60"/>
    </row>
    <row r="946">
      <c r="C946" s="60"/>
    </row>
    <row r="947">
      <c r="C947" s="60"/>
    </row>
    <row r="948">
      <c r="C948" s="60"/>
    </row>
    <row r="949">
      <c r="C949" s="60"/>
    </row>
    <row r="950">
      <c r="C950" s="60"/>
    </row>
    <row r="951">
      <c r="C951" s="60"/>
    </row>
    <row r="952">
      <c r="C952" s="60"/>
    </row>
    <row r="953">
      <c r="C953" s="60"/>
    </row>
    <row r="954">
      <c r="C954" s="60"/>
    </row>
    <row r="955">
      <c r="C955" s="60"/>
    </row>
    <row r="956">
      <c r="C956" s="60"/>
    </row>
    <row r="957">
      <c r="C957" s="60"/>
    </row>
    <row r="958">
      <c r="C958" s="60"/>
    </row>
    <row r="959">
      <c r="C959" s="60"/>
    </row>
    <row r="960">
      <c r="C960" s="60"/>
    </row>
    <row r="961">
      <c r="C961" s="60"/>
    </row>
    <row r="962">
      <c r="C962" s="60"/>
    </row>
    <row r="963">
      <c r="C963" s="60"/>
    </row>
    <row r="964">
      <c r="C964" s="60"/>
    </row>
    <row r="965">
      <c r="C965" s="60"/>
    </row>
    <row r="966">
      <c r="C966" s="60"/>
    </row>
    <row r="967">
      <c r="C967" s="60"/>
    </row>
    <row r="968">
      <c r="C968" s="60"/>
    </row>
    <row r="969">
      <c r="C969" s="60"/>
    </row>
    <row r="970">
      <c r="C970" s="60"/>
    </row>
    <row r="971">
      <c r="C971" s="60"/>
    </row>
    <row r="972">
      <c r="C972" s="60"/>
    </row>
    <row r="973">
      <c r="C973" s="60"/>
    </row>
    <row r="974">
      <c r="C974" s="60"/>
    </row>
    <row r="975">
      <c r="C975" s="60"/>
    </row>
    <row r="976">
      <c r="C976" s="60"/>
    </row>
    <row r="977">
      <c r="C977" s="60"/>
    </row>
    <row r="978">
      <c r="C978" s="60"/>
    </row>
    <row r="979">
      <c r="C979" s="60"/>
    </row>
    <row r="980">
      <c r="C980" s="60"/>
    </row>
    <row r="981">
      <c r="C981" s="60"/>
    </row>
    <row r="982">
      <c r="C982" s="60"/>
    </row>
    <row r="983">
      <c r="C983" s="60"/>
    </row>
    <row r="984">
      <c r="C984" s="60"/>
    </row>
    <row r="985">
      <c r="C985" s="60"/>
    </row>
    <row r="986">
      <c r="C986" s="60"/>
    </row>
    <row r="987">
      <c r="C987" s="60"/>
    </row>
    <row r="988">
      <c r="C988" s="60"/>
    </row>
    <row r="989">
      <c r="C989" s="60"/>
    </row>
    <row r="990">
      <c r="C990" s="60"/>
    </row>
    <row r="991">
      <c r="C991" s="60"/>
    </row>
    <row r="992">
      <c r="C992" s="60"/>
    </row>
    <row r="993">
      <c r="C993" s="60"/>
    </row>
    <row r="994">
      <c r="C994" s="60"/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63"/>
    <col customWidth="1" min="2" max="2" width="24.88"/>
    <col customWidth="1" min="3" max="3" width="7.63"/>
    <col customWidth="1" min="4" max="4" width="14.5"/>
  </cols>
  <sheetData>
    <row r="1">
      <c r="A1" s="14" t="s">
        <v>498</v>
      </c>
      <c r="B1" s="14" t="s">
        <v>0</v>
      </c>
      <c r="C1" s="75" t="s">
        <v>2</v>
      </c>
      <c r="D1" s="14" t="s">
        <v>4</v>
      </c>
      <c r="E1" s="14" t="s">
        <v>5</v>
      </c>
      <c r="F1" s="14" t="s">
        <v>249</v>
      </c>
      <c r="G1" s="14" t="s">
        <v>52</v>
      </c>
      <c r="H1" s="14" t="s">
        <v>1021</v>
      </c>
      <c r="I1" s="14" t="s">
        <v>250</v>
      </c>
      <c r="J1" s="14" t="s">
        <v>497</v>
      </c>
      <c r="K1" s="14" t="s">
        <v>1022</v>
      </c>
      <c r="L1" s="14" t="s">
        <v>1188</v>
      </c>
      <c r="M1" s="14" t="s">
        <v>1264</v>
      </c>
    </row>
    <row r="2">
      <c r="A2" s="43">
        <v>46043.0</v>
      </c>
      <c r="B2" s="44" t="s">
        <v>1265</v>
      </c>
      <c r="C2" s="59">
        <v>56.9</v>
      </c>
      <c r="D2" s="44">
        <v>50.0</v>
      </c>
      <c r="E2" s="59"/>
      <c r="F2" s="44">
        <v>6.9</v>
      </c>
      <c r="G2" s="44"/>
      <c r="H2" s="44"/>
      <c r="I2" s="44"/>
      <c r="J2" s="45"/>
      <c r="K2" s="45"/>
      <c r="L2" s="59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>
      <c r="A3" s="43">
        <v>46043.0</v>
      </c>
      <c r="B3" s="44" t="s">
        <v>736</v>
      </c>
      <c r="C3" s="59">
        <v>396.73</v>
      </c>
      <c r="D3" s="59">
        <v>396.73</v>
      </c>
      <c r="E3" s="30"/>
      <c r="F3" s="30"/>
      <c r="G3" s="45"/>
      <c r="H3" s="30"/>
      <c r="I3" s="59"/>
      <c r="J3" s="30"/>
      <c r="K3" s="45"/>
      <c r="L3" s="59"/>
    </row>
    <row r="4">
      <c r="A4" s="43">
        <v>46044.0</v>
      </c>
      <c r="B4" s="44" t="s">
        <v>1266</v>
      </c>
      <c r="C4" s="101">
        <v>1432.72</v>
      </c>
      <c r="D4" s="8"/>
      <c r="E4" s="59"/>
      <c r="F4" s="30"/>
      <c r="G4" s="30"/>
      <c r="H4" s="30"/>
      <c r="I4" s="30"/>
      <c r="J4" s="30"/>
      <c r="K4" s="30"/>
      <c r="L4" s="59"/>
    </row>
    <row r="5">
      <c r="A5" s="43">
        <v>46045.0</v>
      </c>
      <c r="B5" s="44" t="s">
        <v>1267</v>
      </c>
      <c r="C5" s="96">
        <v>663.2</v>
      </c>
      <c r="D5" s="30"/>
      <c r="E5" s="96"/>
      <c r="F5" s="45"/>
      <c r="G5" s="45"/>
      <c r="H5" s="30"/>
      <c r="I5" s="96">
        <v>663.2</v>
      </c>
      <c r="J5" s="96"/>
      <c r="K5" s="45"/>
      <c r="L5" s="96"/>
    </row>
    <row r="6">
      <c r="A6" s="46">
        <v>46045.0</v>
      </c>
      <c r="B6" s="44" t="s">
        <v>1268</v>
      </c>
      <c r="C6" s="59">
        <v>73.0</v>
      </c>
      <c r="D6" s="30"/>
      <c r="E6" s="59">
        <v>73.0</v>
      </c>
      <c r="G6" s="45"/>
      <c r="H6" s="30"/>
      <c r="I6" s="30"/>
      <c r="J6" s="44"/>
      <c r="K6" s="44"/>
      <c r="L6" s="59"/>
    </row>
    <row r="7">
      <c r="A7" s="43">
        <v>46047.0</v>
      </c>
      <c r="B7" s="44" t="s">
        <v>1269</v>
      </c>
      <c r="C7" s="101">
        <v>317.42</v>
      </c>
      <c r="D7" s="30"/>
      <c r="E7" s="59"/>
      <c r="F7" s="99"/>
      <c r="G7" s="48"/>
      <c r="H7" s="48"/>
      <c r="I7" s="48"/>
      <c r="J7" s="48"/>
      <c r="K7" s="48"/>
      <c r="L7" s="59"/>
    </row>
    <row r="8">
      <c r="A8" s="43">
        <v>46047.0</v>
      </c>
      <c r="B8" s="44" t="s">
        <v>565</v>
      </c>
      <c r="C8" s="59">
        <v>13.0</v>
      </c>
      <c r="D8" s="30"/>
      <c r="E8" s="59"/>
      <c r="F8" s="94"/>
      <c r="G8" s="30"/>
      <c r="H8" s="30"/>
      <c r="I8" s="30"/>
      <c r="J8" s="59">
        <v>13.0</v>
      </c>
      <c r="K8" s="30"/>
      <c r="L8" s="59"/>
    </row>
    <row r="9">
      <c r="A9" s="43">
        <v>46047.0</v>
      </c>
      <c r="B9" s="44" t="s">
        <v>1270</v>
      </c>
      <c r="C9" s="59">
        <v>159.0</v>
      </c>
      <c r="D9" s="30"/>
      <c r="E9" s="30"/>
      <c r="F9" s="59">
        <v>159.0</v>
      </c>
      <c r="G9" s="44"/>
      <c r="H9" s="30"/>
      <c r="I9" s="45"/>
      <c r="J9" s="30"/>
      <c r="K9" s="45"/>
      <c r="L9" s="59"/>
    </row>
    <row r="10">
      <c r="A10" s="43">
        <v>46047.0</v>
      </c>
      <c r="B10" s="44" t="s">
        <v>1108</v>
      </c>
      <c r="C10" s="59">
        <v>5.0</v>
      </c>
      <c r="D10" s="30"/>
      <c r="E10" s="59"/>
      <c r="F10" s="94"/>
      <c r="G10" s="44"/>
      <c r="H10" s="30"/>
      <c r="I10" s="45"/>
      <c r="J10" s="59">
        <v>5.0</v>
      </c>
      <c r="K10" s="45"/>
      <c r="L10" s="59"/>
    </row>
    <row r="11">
      <c r="A11" s="43">
        <v>46049.0</v>
      </c>
      <c r="B11" s="44" t="s">
        <v>1148</v>
      </c>
      <c r="C11" s="59">
        <v>127.61</v>
      </c>
      <c r="D11" s="44"/>
      <c r="E11" s="59"/>
      <c r="F11" s="94"/>
      <c r="G11" s="59"/>
      <c r="H11" s="30"/>
      <c r="I11" s="30"/>
      <c r="J11" s="59">
        <v>127.61</v>
      </c>
      <c r="K11" s="45"/>
      <c r="L11" s="45"/>
    </row>
    <row r="12">
      <c r="A12" s="43"/>
      <c r="B12" s="44" t="s">
        <v>598</v>
      </c>
      <c r="C12" s="59">
        <v>19.3</v>
      </c>
      <c r="D12" s="44"/>
      <c r="E12" s="59"/>
      <c r="F12" s="59">
        <v>19.3</v>
      </c>
      <c r="G12" s="45"/>
      <c r="H12" s="44"/>
      <c r="I12" s="30"/>
      <c r="J12" s="30"/>
      <c r="K12" s="45"/>
      <c r="L12" s="48"/>
      <c r="M12" s="30"/>
    </row>
    <row r="13">
      <c r="A13" s="43"/>
      <c r="B13" s="44" t="s">
        <v>1271</v>
      </c>
      <c r="C13" s="59">
        <v>127.0</v>
      </c>
      <c r="D13" s="100"/>
      <c r="E13" s="100"/>
      <c r="F13" s="59">
        <v>127.0</v>
      </c>
      <c r="G13" s="100"/>
      <c r="H13" s="44"/>
      <c r="I13" s="100"/>
      <c r="J13" s="100"/>
      <c r="K13" s="44"/>
      <c r="L13" s="44"/>
      <c r="M13" s="30"/>
    </row>
    <row r="14">
      <c r="A14" s="43"/>
      <c r="B14" s="44" t="s">
        <v>668</v>
      </c>
      <c r="C14" s="59">
        <v>41.9</v>
      </c>
      <c r="D14" s="30"/>
      <c r="E14" s="59"/>
      <c r="F14" s="59">
        <v>41.9</v>
      </c>
      <c r="G14" s="44"/>
      <c r="H14" s="44"/>
      <c r="I14" s="44"/>
      <c r="J14" s="44"/>
      <c r="K14" s="44"/>
      <c r="L14" s="44"/>
    </row>
    <row r="15">
      <c r="A15" s="43"/>
      <c r="B15" s="44" t="s">
        <v>598</v>
      </c>
      <c r="C15" s="59">
        <v>21.2</v>
      </c>
      <c r="D15" s="59"/>
      <c r="E15" s="30"/>
      <c r="F15" s="59">
        <v>21.2</v>
      </c>
      <c r="G15" s="44"/>
      <c r="H15" s="44"/>
      <c r="I15" s="30"/>
      <c r="J15" s="45"/>
      <c r="K15" s="45"/>
      <c r="L15" s="45"/>
    </row>
    <row r="16">
      <c r="A16" s="43"/>
      <c r="B16" s="95" t="s">
        <v>598</v>
      </c>
      <c r="C16" s="30">
        <v>14.6</v>
      </c>
      <c r="D16" s="59"/>
      <c r="F16" s="30">
        <v>14.6</v>
      </c>
      <c r="G16" s="44"/>
      <c r="H16" s="44"/>
      <c r="I16" s="30"/>
      <c r="J16" s="45"/>
      <c r="K16" s="45"/>
      <c r="L16" s="45"/>
    </row>
    <row r="17">
      <c r="A17" s="93"/>
      <c r="B17" s="1" t="s">
        <v>152</v>
      </c>
      <c r="C17" s="59">
        <v>54.9</v>
      </c>
      <c r="E17" s="30"/>
      <c r="F17" s="30"/>
      <c r="G17" s="59">
        <v>54.9</v>
      </c>
      <c r="H17" s="30"/>
      <c r="I17" s="30"/>
      <c r="J17" s="30"/>
      <c r="K17" s="30"/>
      <c r="L17" s="30"/>
      <c r="M17" s="30"/>
    </row>
    <row r="18">
      <c r="A18" s="43"/>
      <c r="B18" s="44"/>
      <c r="C18" s="59"/>
      <c r="E18" s="59"/>
      <c r="F18" s="44"/>
      <c r="G18" s="44"/>
      <c r="H18" s="30"/>
      <c r="I18" s="45"/>
      <c r="J18" s="30"/>
      <c r="K18" s="45"/>
      <c r="L18" s="45"/>
    </row>
    <row r="19">
      <c r="A19" s="43"/>
      <c r="B19" s="44" t="s">
        <v>1272</v>
      </c>
      <c r="C19" s="59">
        <v>20.0</v>
      </c>
      <c r="F19" s="59"/>
      <c r="G19" s="44"/>
      <c r="H19" s="44"/>
      <c r="I19" s="44"/>
      <c r="J19" s="59">
        <v>20.0</v>
      </c>
      <c r="K19" s="44"/>
      <c r="L19" s="44"/>
      <c r="M19" s="44"/>
    </row>
    <row r="20">
      <c r="A20" s="43"/>
      <c r="B20" s="44" t="s">
        <v>1273</v>
      </c>
      <c r="C20" s="59">
        <v>40.0</v>
      </c>
      <c r="D20" s="59">
        <v>40.0</v>
      </c>
      <c r="E20" s="59"/>
      <c r="F20" s="44"/>
      <c r="G20" s="44"/>
      <c r="H20" s="44"/>
      <c r="I20" s="44"/>
      <c r="J20" s="44"/>
      <c r="K20" s="44"/>
      <c r="L20" s="44"/>
      <c r="M20" s="44"/>
    </row>
    <row r="21">
      <c r="A21" s="43"/>
      <c r="B21" s="44" t="s">
        <v>1274</v>
      </c>
      <c r="C21" s="59">
        <v>79.8</v>
      </c>
      <c r="E21" s="59"/>
      <c r="F21" s="44"/>
      <c r="G21" s="45"/>
      <c r="H21" s="30"/>
      <c r="I21" s="45"/>
      <c r="J21" s="30"/>
      <c r="K21" s="45"/>
      <c r="L21" s="45"/>
      <c r="M21" s="59">
        <v>79.8</v>
      </c>
    </row>
    <row r="22">
      <c r="A22" s="43"/>
      <c r="B22" s="44" t="s">
        <v>1275</v>
      </c>
      <c r="C22" s="59">
        <v>59.66</v>
      </c>
      <c r="E22" s="59"/>
      <c r="F22" s="44"/>
      <c r="G22" s="45"/>
      <c r="H22" s="44"/>
      <c r="I22" s="45"/>
      <c r="J22" s="30"/>
      <c r="K22" s="45"/>
      <c r="L22" s="45"/>
      <c r="M22" s="59">
        <v>59.66</v>
      </c>
    </row>
    <row r="23">
      <c r="A23" s="43"/>
      <c r="B23" s="44"/>
      <c r="C23" s="59"/>
      <c r="E23" s="59"/>
      <c r="F23" s="59"/>
      <c r="G23" s="48"/>
      <c r="H23" s="30"/>
      <c r="I23" s="48"/>
      <c r="J23" s="30"/>
      <c r="K23" s="48"/>
      <c r="L23" s="48"/>
    </row>
    <row r="24">
      <c r="A24" s="43"/>
      <c r="B24" s="44"/>
      <c r="C24" s="59"/>
      <c r="D24" s="98"/>
      <c r="E24" s="98"/>
      <c r="G24" s="98"/>
      <c r="I24" s="98"/>
      <c r="J24" s="98"/>
      <c r="M24" s="98"/>
    </row>
    <row r="25">
      <c r="A25" s="43"/>
      <c r="B25" s="44"/>
      <c r="C25" s="59"/>
      <c r="E25" s="59"/>
    </row>
    <row r="26">
      <c r="A26" s="43"/>
      <c r="C26" s="59"/>
      <c r="E26" s="59"/>
      <c r="F26" s="59"/>
    </row>
    <row r="27">
      <c r="A27" s="46"/>
      <c r="B27" s="44"/>
      <c r="C27" s="59"/>
      <c r="F27" s="59"/>
      <c r="G27" s="59"/>
    </row>
    <row r="28">
      <c r="A28" s="43"/>
      <c r="B28" s="44"/>
      <c r="C28" s="59"/>
      <c r="E28" s="59"/>
      <c r="F28" s="59"/>
    </row>
    <row r="29">
      <c r="A29" s="43"/>
      <c r="B29" s="44"/>
      <c r="C29" s="59"/>
      <c r="F29" s="59"/>
    </row>
    <row r="30">
      <c r="A30" s="47"/>
      <c r="B30" s="48"/>
      <c r="C30" s="75"/>
      <c r="D30" s="75"/>
      <c r="E30" s="75"/>
      <c r="F30" s="8"/>
      <c r="G30" s="8"/>
      <c r="H30" s="8"/>
      <c r="I30" s="8"/>
      <c r="J30" s="8"/>
      <c r="K30" s="8"/>
      <c r="L30" s="8"/>
      <c r="M30" s="8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>
      <c r="A31" s="43"/>
      <c r="B31" s="44"/>
      <c r="C31" s="59"/>
      <c r="D31" s="59"/>
      <c r="E31" s="30"/>
    </row>
    <row r="32">
      <c r="A32" s="43"/>
      <c r="C32" s="59"/>
      <c r="D32" s="59"/>
      <c r="E32" s="59"/>
    </row>
    <row r="33">
      <c r="A33" s="43"/>
      <c r="B33" s="44"/>
      <c r="C33" s="59"/>
      <c r="D33" s="30"/>
      <c r="E33" s="30"/>
      <c r="F33" s="30"/>
      <c r="G33" s="30"/>
      <c r="H33" s="30"/>
      <c r="I33" s="30"/>
      <c r="J33" s="59"/>
      <c r="K33" s="59"/>
      <c r="L33" s="30"/>
    </row>
    <row r="34">
      <c r="A34" s="43"/>
      <c r="B34" s="44"/>
      <c r="C34" s="59"/>
    </row>
    <row r="35">
      <c r="A35" s="43"/>
      <c r="B35" s="44"/>
      <c r="C35" s="59"/>
      <c r="D35" s="59"/>
      <c r="L35" s="59"/>
    </row>
    <row r="36">
      <c r="A36" s="41"/>
      <c r="C36" s="59"/>
      <c r="E36" s="59"/>
      <c r="L36" s="59"/>
    </row>
    <row r="37">
      <c r="A37" s="41"/>
      <c r="C37" s="59"/>
      <c r="I37" s="30"/>
      <c r="J37" s="59"/>
    </row>
    <row r="38">
      <c r="A38" s="25"/>
      <c r="C38" s="59"/>
      <c r="J38" s="59"/>
    </row>
    <row r="39">
      <c r="A39" s="41"/>
      <c r="C39" s="59"/>
      <c r="D39" s="59"/>
      <c r="E39" s="59"/>
    </row>
    <row r="40">
      <c r="A40" s="66"/>
      <c r="B40" s="44"/>
      <c r="C40" s="59"/>
      <c r="E40" s="59"/>
    </row>
    <row r="41">
      <c r="A41" s="25"/>
      <c r="B41" s="44"/>
      <c r="C41" s="59"/>
      <c r="D41" s="59"/>
      <c r="L41" s="59"/>
    </row>
    <row r="42">
      <c r="A42" s="25"/>
      <c r="B42" s="44"/>
      <c r="C42" s="59"/>
      <c r="J42" s="68"/>
      <c r="L42" s="59"/>
    </row>
    <row r="43">
      <c r="C43" s="59"/>
      <c r="D43" s="98"/>
      <c r="E43" s="98"/>
      <c r="F43" s="98"/>
      <c r="G43" s="98"/>
      <c r="I43" s="98"/>
      <c r="J43" s="98"/>
      <c r="K43" s="98"/>
      <c r="L43" s="98"/>
    </row>
    <row r="44">
      <c r="C44" s="59"/>
      <c r="L44" s="59"/>
    </row>
    <row r="45">
      <c r="C45" s="59"/>
      <c r="L45" s="59"/>
    </row>
    <row r="46">
      <c r="C46" s="59"/>
      <c r="L46" s="59"/>
    </row>
    <row r="47">
      <c r="A47" s="41"/>
      <c r="C47" s="59"/>
      <c r="L47" s="59"/>
    </row>
    <row r="48">
      <c r="A48" s="41"/>
      <c r="C48" s="59"/>
      <c r="L48" s="59"/>
    </row>
    <row r="49">
      <c r="A49" s="41"/>
      <c r="C49" s="59"/>
      <c r="E49" s="30"/>
      <c r="L49" s="59"/>
    </row>
    <row r="50">
      <c r="C50" s="59"/>
      <c r="E50" s="44"/>
      <c r="L50" s="59"/>
    </row>
    <row r="51">
      <c r="C51" s="59"/>
      <c r="E51" s="44"/>
      <c r="F51" s="44"/>
      <c r="L51" s="59"/>
    </row>
    <row r="52">
      <c r="C52" s="59"/>
      <c r="L52" s="59"/>
    </row>
    <row r="53">
      <c r="C53" s="59"/>
      <c r="K53" s="59"/>
    </row>
    <row r="54">
      <c r="C54" s="60"/>
    </row>
    <row r="55">
      <c r="C55" s="60"/>
    </row>
    <row r="56">
      <c r="C56" s="60"/>
    </row>
    <row r="57">
      <c r="C57" s="60"/>
    </row>
    <row r="58">
      <c r="C58" s="60"/>
    </row>
    <row r="59">
      <c r="C59" s="60"/>
    </row>
    <row r="60">
      <c r="C60" s="60"/>
    </row>
    <row r="61">
      <c r="C61" s="60"/>
    </row>
    <row r="62">
      <c r="C62" s="60"/>
    </row>
    <row r="63">
      <c r="C63" s="60"/>
    </row>
    <row r="64">
      <c r="C64" s="60"/>
    </row>
    <row r="65">
      <c r="C65" s="60"/>
    </row>
    <row r="66">
      <c r="C66" s="60"/>
    </row>
    <row r="67">
      <c r="C67" s="60"/>
    </row>
    <row r="68">
      <c r="C68" s="60"/>
    </row>
    <row r="69">
      <c r="C69" s="60"/>
    </row>
    <row r="70">
      <c r="C70" s="60"/>
    </row>
    <row r="71">
      <c r="C71" s="60"/>
    </row>
    <row r="72">
      <c r="C72" s="59"/>
    </row>
    <row r="73">
      <c r="C73" s="59"/>
    </row>
    <row r="74">
      <c r="C74" s="59"/>
    </row>
    <row r="75">
      <c r="C75" s="59"/>
    </row>
    <row r="76">
      <c r="C76" s="59"/>
      <c r="D76" s="44"/>
      <c r="E76" s="44"/>
      <c r="F76" s="44"/>
      <c r="G76" s="44"/>
      <c r="H76" s="44"/>
      <c r="I76" s="44"/>
    </row>
    <row r="77">
      <c r="C77" s="59"/>
      <c r="D77" s="44"/>
      <c r="E77" s="44"/>
    </row>
    <row r="78">
      <c r="C78" s="59"/>
      <c r="E78" s="44"/>
    </row>
    <row r="79">
      <c r="C79" s="59"/>
      <c r="D79" s="44"/>
    </row>
    <row r="80">
      <c r="C80" s="59"/>
    </row>
    <row r="81">
      <c r="C81" s="60"/>
    </row>
    <row r="82">
      <c r="C82" s="60"/>
    </row>
    <row r="83">
      <c r="C83" s="59"/>
    </row>
    <row r="84">
      <c r="C84" s="60"/>
    </row>
    <row r="85">
      <c r="C85" s="60"/>
      <c r="D85" s="67"/>
      <c r="E85" s="67"/>
      <c r="F85" s="68"/>
      <c r="G85" s="68"/>
      <c r="H85" s="67"/>
      <c r="I85" s="68"/>
    </row>
    <row r="86">
      <c r="C86" s="60"/>
      <c r="D86" s="68"/>
      <c r="E86" s="68"/>
      <c r="F86" s="68"/>
      <c r="G86" s="68"/>
      <c r="H86" s="68"/>
      <c r="I86" s="68"/>
    </row>
    <row r="87">
      <c r="C87" s="60"/>
    </row>
    <row r="88">
      <c r="C88" s="60"/>
    </row>
    <row r="89">
      <c r="C89" s="60"/>
    </row>
    <row r="90">
      <c r="C90" s="60"/>
    </row>
    <row r="91">
      <c r="C91" s="60"/>
    </row>
    <row r="92">
      <c r="C92" s="60"/>
    </row>
    <row r="93">
      <c r="C93" s="60"/>
    </row>
    <row r="94">
      <c r="C94" s="60"/>
    </row>
    <row r="95">
      <c r="C95" s="60"/>
    </row>
    <row r="96">
      <c r="C96" s="60"/>
    </row>
    <row r="97">
      <c r="C97" s="60"/>
    </row>
    <row r="98">
      <c r="C98" s="60"/>
    </row>
    <row r="99">
      <c r="C99" s="60"/>
    </row>
    <row r="100">
      <c r="C100" s="60"/>
    </row>
    <row r="101">
      <c r="C101" s="60"/>
    </row>
    <row r="102">
      <c r="C102" s="60"/>
    </row>
    <row r="103">
      <c r="C103" s="60"/>
    </row>
    <row r="104">
      <c r="C104" s="60"/>
    </row>
    <row r="105">
      <c r="C105" s="60"/>
    </row>
    <row r="106">
      <c r="C106" s="60"/>
    </row>
    <row r="107">
      <c r="C107" s="60"/>
    </row>
    <row r="108">
      <c r="C108" s="60"/>
    </row>
    <row r="109">
      <c r="C109" s="60"/>
    </row>
    <row r="110">
      <c r="C110" s="60"/>
    </row>
    <row r="111">
      <c r="C111" s="60"/>
    </row>
    <row r="112">
      <c r="C112" s="60"/>
    </row>
    <row r="113">
      <c r="C113" s="60"/>
    </row>
    <row r="114">
      <c r="C114" s="60"/>
    </row>
    <row r="115">
      <c r="C115" s="60"/>
    </row>
    <row r="116">
      <c r="C116" s="60"/>
    </row>
    <row r="117">
      <c r="C117" s="60"/>
    </row>
    <row r="118">
      <c r="C118" s="60"/>
    </row>
    <row r="119">
      <c r="C119" s="60"/>
    </row>
    <row r="120">
      <c r="C120" s="60"/>
    </row>
    <row r="121">
      <c r="C121" s="60"/>
    </row>
    <row r="122">
      <c r="C122" s="60"/>
    </row>
    <row r="123">
      <c r="C123" s="60"/>
    </row>
    <row r="124">
      <c r="C124" s="60"/>
    </row>
    <row r="125">
      <c r="C125" s="60"/>
    </row>
    <row r="126">
      <c r="C126" s="60"/>
    </row>
    <row r="127">
      <c r="C127" s="60"/>
    </row>
    <row r="128">
      <c r="C128" s="60"/>
    </row>
    <row r="129">
      <c r="C129" s="60"/>
    </row>
    <row r="130">
      <c r="C130" s="60"/>
    </row>
    <row r="131">
      <c r="C131" s="60"/>
    </row>
    <row r="132">
      <c r="C132" s="60"/>
    </row>
    <row r="133">
      <c r="C133" s="60"/>
    </row>
    <row r="134">
      <c r="C134" s="60"/>
    </row>
    <row r="135">
      <c r="C135" s="60"/>
    </row>
    <row r="136">
      <c r="C136" s="60"/>
    </row>
    <row r="137">
      <c r="C137" s="60"/>
    </row>
    <row r="138">
      <c r="C138" s="60"/>
    </row>
    <row r="139">
      <c r="C139" s="60"/>
    </row>
    <row r="140">
      <c r="C140" s="60"/>
    </row>
    <row r="141">
      <c r="C141" s="60"/>
    </row>
    <row r="142">
      <c r="C142" s="60"/>
    </row>
    <row r="143">
      <c r="C143" s="60"/>
    </row>
    <row r="144">
      <c r="C144" s="60"/>
    </row>
    <row r="145">
      <c r="C145" s="60"/>
    </row>
    <row r="146">
      <c r="C146" s="60"/>
    </row>
    <row r="147">
      <c r="C147" s="60"/>
    </row>
    <row r="148">
      <c r="C148" s="60"/>
    </row>
    <row r="149">
      <c r="C149" s="60"/>
    </row>
    <row r="150">
      <c r="C150" s="60"/>
    </row>
    <row r="151">
      <c r="C151" s="60"/>
    </row>
    <row r="152">
      <c r="C152" s="60"/>
    </row>
    <row r="153">
      <c r="C153" s="60"/>
    </row>
    <row r="154">
      <c r="C154" s="60"/>
    </row>
    <row r="155">
      <c r="C155" s="60"/>
    </row>
    <row r="156">
      <c r="C156" s="60"/>
    </row>
    <row r="157">
      <c r="C157" s="60"/>
    </row>
    <row r="158">
      <c r="C158" s="60"/>
    </row>
    <row r="159">
      <c r="C159" s="60"/>
    </row>
    <row r="160">
      <c r="C160" s="60"/>
    </row>
    <row r="161">
      <c r="C161" s="60"/>
    </row>
    <row r="162">
      <c r="C162" s="60"/>
    </row>
    <row r="163">
      <c r="C163" s="60"/>
    </row>
    <row r="164">
      <c r="C164" s="60"/>
    </row>
    <row r="165">
      <c r="C165" s="60"/>
    </row>
    <row r="166">
      <c r="C166" s="60"/>
    </row>
    <row r="167">
      <c r="C167" s="60"/>
    </row>
    <row r="168">
      <c r="C168" s="60"/>
    </row>
    <row r="169">
      <c r="C169" s="60"/>
    </row>
    <row r="170">
      <c r="C170" s="60"/>
    </row>
    <row r="171">
      <c r="C171" s="60"/>
    </row>
    <row r="172">
      <c r="C172" s="60"/>
    </row>
    <row r="173">
      <c r="C173" s="60"/>
    </row>
    <row r="174">
      <c r="C174" s="60"/>
    </row>
    <row r="175">
      <c r="C175" s="60"/>
    </row>
    <row r="176">
      <c r="C176" s="60"/>
    </row>
    <row r="177">
      <c r="C177" s="60"/>
    </row>
    <row r="178">
      <c r="C178" s="60"/>
    </row>
    <row r="179">
      <c r="C179" s="60"/>
    </row>
    <row r="180">
      <c r="C180" s="60"/>
    </row>
    <row r="181">
      <c r="C181" s="60"/>
    </row>
    <row r="182">
      <c r="C182" s="60"/>
    </row>
    <row r="183">
      <c r="C183" s="60"/>
    </row>
    <row r="184">
      <c r="C184" s="60"/>
    </row>
    <row r="185">
      <c r="C185" s="60"/>
    </row>
    <row r="186">
      <c r="C186" s="60"/>
    </row>
    <row r="187">
      <c r="C187" s="60"/>
    </row>
    <row r="188">
      <c r="C188" s="60"/>
    </row>
    <row r="189">
      <c r="C189" s="60"/>
    </row>
    <row r="190">
      <c r="C190" s="60"/>
    </row>
    <row r="191">
      <c r="C191" s="60"/>
    </row>
    <row r="192">
      <c r="C192" s="60"/>
    </row>
    <row r="193">
      <c r="C193" s="60"/>
    </row>
    <row r="194">
      <c r="C194" s="60"/>
    </row>
    <row r="195">
      <c r="C195" s="60"/>
    </row>
    <row r="196">
      <c r="C196" s="60"/>
    </row>
    <row r="197">
      <c r="C197" s="60"/>
    </row>
    <row r="198">
      <c r="C198" s="60"/>
    </row>
    <row r="199">
      <c r="C199" s="60"/>
    </row>
    <row r="200">
      <c r="C200" s="60"/>
    </row>
    <row r="201">
      <c r="C201" s="60"/>
    </row>
    <row r="202">
      <c r="C202" s="60"/>
    </row>
    <row r="203">
      <c r="C203" s="60"/>
    </row>
    <row r="204">
      <c r="C204" s="60"/>
    </row>
    <row r="205">
      <c r="C205" s="60"/>
    </row>
    <row r="206">
      <c r="C206" s="60"/>
    </row>
    <row r="207">
      <c r="C207" s="60"/>
    </row>
    <row r="208">
      <c r="C208" s="60"/>
    </row>
    <row r="209">
      <c r="C209" s="60"/>
    </row>
    <row r="210">
      <c r="C210" s="60"/>
    </row>
    <row r="211">
      <c r="C211" s="60"/>
    </row>
    <row r="212">
      <c r="C212" s="60"/>
    </row>
    <row r="213">
      <c r="C213" s="60"/>
    </row>
    <row r="214">
      <c r="C214" s="60"/>
    </row>
    <row r="215">
      <c r="C215" s="60"/>
    </row>
    <row r="216">
      <c r="C216" s="60"/>
    </row>
    <row r="217">
      <c r="C217" s="60"/>
    </row>
    <row r="218">
      <c r="C218" s="60"/>
    </row>
    <row r="219">
      <c r="C219" s="60"/>
    </row>
    <row r="220">
      <c r="C220" s="60"/>
    </row>
    <row r="221">
      <c r="C221" s="60"/>
    </row>
    <row r="222">
      <c r="C222" s="60"/>
    </row>
    <row r="223">
      <c r="C223" s="60"/>
    </row>
    <row r="224">
      <c r="C224" s="60"/>
    </row>
    <row r="225">
      <c r="C225" s="60"/>
    </row>
    <row r="226">
      <c r="C226" s="60"/>
    </row>
    <row r="227">
      <c r="C227" s="60"/>
    </row>
    <row r="228">
      <c r="C228" s="60"/>
    </row>
    <row r="229">
      <c r="C229" s="60"/>
    </row>
    <row r="230">
      <c r="C230" s="60"/>
    </row>
    <row r="231">
      <c r="C231" s="60"/>
    </row>
    <row r="232">
      <c r="C232" s="60"/>
    </row>
    <row r="233">
      <c r="C233" s="60"/>
    </row>
    <row r="234">
      <c r="C234" s="60"/>
    </row>
    <row r="235">
      <c r="C235" s="60"/>
    </row>
    <row r="236">
      <c r="C236" s="60"/>
    </row>
    <row r="237">
      <c r="C237" s="60"/>
    </row>
    <row r="238">
      <c r="C238" s="60"/>
    </row>
    <row r="239">
      <c r="C239" s="60"/>
    </row>
    <row r="240">
      <c r="C240" s="60"/>
    </row>
    <row r="241">
      <c r="C241" s="60"/>
    </row>
    <row r="242">
      <c r="C242" s="60"/>
    </row>
    <row r="243">
      <c r="C243" s="60"/>
    </row>
    <row r="244">
      <c r="C244" s="60"/>
    </row>
    <row r="245">
      <c r="C245" s="60"/>
    </row>
    <row r="246">
      <c r="C246" s="60"/>
    </row>
    <row r="247">
      <c r="C247" s="60"/>
    </row>
    <row r="248">
      <c r="C248" s="60"/>
    </row>
    <row r="249">
      <c r="C249" s="60"/>
    </row>
    <row r="250">
      <c r="C250" s="60"/>
    </row>
    <row r="251">
      <c r="C251" s="60"/>
    </row>
    <row r="252">
      <c r="C252" s="60"/>
    </row>
    <row r="253">
      <c r="C253" s="60"/>
    </row>
    <row r="254">
      <c r="C254" s="60"/>
    </row>
    <row r="255">
      <c r="C255" s="60"/>
    </row>
    <row r="256">
      <c r="C256" s="60"/>
    </row>
    <row r="257">
      <c r="C257" s="60"/>
    </row>
    <row r="258">
      <c r="C258" s="60"/>
    </row>
    <row r="259">
      <c r="C259" s="60"/>
    </row>
    <row r="260">
      <c r="C260" s="60"/>
    </row>
    <row r="261">
      <c r="C261" s="60"/>
    </row>
    <row r="262">
      <c r="C262" s="60"/>
    </row>
    <row r="263">
      <c r="C263" s="60"/>
    </row>
    <row r="264">
      <c r="C264" s="60"/>
    </row>
    <row r="265">
      <c r="C265" s="60"/>
    </row>
    <row r="266">
      <c r="C266" s="60"/>
    </row>
    <row r="267">
      <c r="C267" s="60"/>
    </row>
    <row r="268">
      <c r="C268" s="60"/>
    </row>
    <row r="269">
      <c r="C269" s="60"/>
    </row>
    <row r="270">
      <c r="C270" s="60"/>
    </row>
    <row r="271">
      <c r="C271" s="60"/>
    </row>
    <row r="272">
      <c r="C272" s="60"/>
    </row>
    <row r="273">
      <c r="C273" s="60"/>
    </row>
    <row r="274">
      <c r="C274" s="60"/>
    </row>
    <row r="275">
      <c r="C275" s="60"/>
    </row>
    <row r="276">
      <c r="C276" s="60"/>
    </row>
    <row r="277">
      <c r="C277" s="60"/>
    </row>
    <row r="278">
      <c r="C278" s="60"/>
    </row>
    <row r="279">
      <c r="C279" s="60"/>
    </row>
    <row r="280">
      <c r="C280" s="60"/>
    </row>
    <row r="281">
      <c r="C281" s="60"/>
    </row>
    <row r="282">
      <c r="C282" s="60"/>
    </row>
    <row r="283">
      <c r="C283" s="60"/>
    </row>
    <row r="284">
      <c r="C284" s="60"/>
    </row>
    <row r="285">
      <c r="C285" s="60"/>
    </row>
    <row r="286">
      <c r="C286" s="60"/>
    </row>
    <row r="287">
      <c r="C287" s="60"/>
    </row>
    <row r="288">
      <c r="C288" s="60"/>
    </row>
    <row r="289">
      <c r="C289" s="60"/>
    </row>
    <row r="290">
      <c r="C290" s="60"/>
    </row>
    <row r="291">
      <c r="C291" s="60"/>
    </row>
    <row r="292">
      <c r="C292" s="60"/>
    </row>
    <row r="293">
      <c r="C293" s="60"/>
    </row>
    <row r="294">
      <c r="C294" s="60"/>
    </row>
    <row r="295">
      <c r="C295" s="60"/>
    </row>
    <row r="296">
      <c r="C296" s="60"/>
    </row>
    <row r="297">
      <c r="C297" s="60"/>
    </row>
    <row r="298">
      <c r="C298" s="60"/>
    </row>
    <row r="299">
      <c r="C299" s="60"/>
    </row>
    <row r="300">
      <c r="C300" s="60"/>
    </row>
    <row r="301">
      <c r="C301" s="60"/>
    </row>
    <row r="302">
      <c r="C302" s="60"/>
    </row>
    <row r="303">
      <c r="C303" s="60"/>
    </row>
    <row r="304">
      <c r="C304" s="60"/>
    </row>
    <row r="305">
      <c r="C305" s="60"/>
    </row>
    <row r="306">
      <c r="C306" s="60"/>
    </row>
    <row r="307">
      <c r="C307" s="60"/>
    </row>
    <row r="308">
      <c r="C308" s="60"/>
    </row>
    <row r="309">
      <c r="C309" s="60"/>
    </row>
    <row r="310">
      <c r="C310" s="60"/>
    </row>
    <row r="311">
      <c r="C311" s="60"/>
    </row>
    <row r="312">
      <c r="C312" s="60"/>
    </row>
    <row r="313">
      <c r="C313" s="60"/>
    </row>
    <row r="314">
      <c r="C314" s="60"/>
    </row>
    <row r="315">
      <c r="C315" s="60"/>
    </row>
    <row r="316">
      <c r="C316" s="60"/>
    </row>
    <row r="317">
      <c r="C317" s="60"/>
    </row>
    <row r="318">
      <c r="C318" s="60"/>
    </row>
    <row r="319">
      <c r="C319" s="60"/>
    </row>
    <row r="320">
      <c r="C320" s="60"/>
    </row>
    <row r="321">
      <c r="C321" s="60"/>
    </row>
    <row r="322">
      <c r="C322" s="60"/>
    </row>
    <row r="323">
      <c r="C323" s="60"/>
    </row>
    <row r="324">
      <c r="C324" s="60"/>
    </row>
    <row r="325">
      <c r="C325" s="60"/>
    </row>
    <row r="326">
      <c r="C326" s="60"/>
    </row>
    <row r="327">
      <c r="C327" s="60"/>
    </row>
    <row r="328">
      <c r="C328" s="60"/>
    </row>
    <row r="329">
      <c r="C329" s="60"/>
    </row>
    <row r="330">
      <c r="C330" s="60"/>
    </row>
    <row r="331">
      <c r="C331" s="60"/>
    </row>
    <row r="332">
      <c r="C332" s="60"/>
    </row>
    <row r="333">
      <c r="C333" s="60"/>
    </row>
    <row r="334">
      <c r="C334" s="60"/>
    </row>
    <row r="335">
      <c r="C335" s="60"/>
    </row>
    <row r="336">
      <c r="C336" s="60"/>
    </row>
    <row r="337">
      <c r="C337" s="60"/>
    </row>
    <row r="338">
      <c r="C338" s="60"/>
    </row>
    <row r="339">
      <c r="C339" s="60"/>
    </row>
    <row r="340">
      <c r="C340" s="60"/>
    </row>
    <row r="341">
      <c r="C341" s="60"/>
    </row>
    <row r="342">
      <c r="C342" s="60"/>
    </row>
    <row r="343">
      <c r="C343" s="60"/>
    </row>
    <row r="344">
      <c r="C344" s="60"/>
    </row>
    <row r="345">
      <c r="C345" s="60"/>
    </row>
    <row r="346">
      <c r="C346" s="60"/>
    </row>
    <row r="347">
      <c r="C347" s="60"/>
    </row>
    <row r="348">
      <c r="C348" s="60"/>
    </row>
    <row r="349">
      <c r="C349" s="60"/>
    </row>
    <row r="350">
      <c r="C350" s="60"/>
    </row>
    <row r="351">
      <c r="C351" s="60"/>
    </row>
    <row r="352">
      <c r="C352" s="60"/>
    </row>
    <row r="353">
      <c r="C353" s="60"/>
    </row>
    <row r="354">
      <c r="C354" s="60"/>
    </row>
    <row r="355">
      <c r="C355" s="60"/>
    </row>
    <row r="356">
      <c r="C356" s="60"/>
    </row>
    <row r="357">
      <c r="C357" s="60"/>
    </row>
    <row r="358">
      <c r="C358" s="60"/>
    </row>
    <row r="359">
      <c r="C359" s="60"/>
    </row>
    <row r="360">
      <c r="C360" s="60"/>
    </row>
    <row r="361">
      <c r="C361" s="60"/>
    </row>
    <row r="362">
      <c r="C362" s="60"/>
    </row>
    <row r="363">
      <c r="C363" s="60"/>
    </row>
    <row r="364">
      <c r="C364" s="60"/>
    </row>
    <row r="365">
      <c r="C365" s="60"/>
    </row>
    <row r="366">
      <c r="C366" s="60"/>
    </row>
    <row r="367">
      <c r="C367" s="60"/>
    </row>
    <row r="368">
      <c r="C368" s="60"/>
    </row>
    <row r="369">
      <c r="C369" s="60"/>
    </row>
    <row r="370">
      <c r="C370" s="60"/>
    </row>
    <row r="371">
      <c r="C371" s="60"/>
    </row>
    <row r="372">
      <c r="C372" s="60"/>
    </row>
    <row r="373">
      <c r="C373" s="60"/>
    </row>
    <row r="374">
      <c r="C374" s="60"/>
    </row>
    <row r="375">
      <c r="C375" s="60"/>
    </row>
    <row r="376">
      <c r="C376" s="60"/>
    </row>
    <row r="377">
      <c r="C377" s="60"/>
    </row>
    <row r="378">
      <c r="C378" s="60"/>
    </row>
    <row r="379">
      <c r="C379" s="60"/>
    </row>
    <row r="380">
      <c r="C380" s="60"/>
    </row>
    <row r="381">
      <c r="C381" s="60"/>
    </row>
    <row r="382">
      <c r="C382" s="60"/>
    </row>
    <row r="383">
      <c r="C383" s="60"/>
    </row>
    <row r="384">
      <c r="C384" s="60"/>
    </row>
    <row r="385">
      <c r="C385" s="60"/>
    </row>
    <row r="386">
      <c r="C386" s="60"/>
    </row>
    <row r="387">
      <c r="C387" s="60"/>
    </row>
    <row r="388">
      <c r="C388" s="60"/>
    </row>
    <row r="389">
      <c r="C389" s="60"/>
    </row>
    <row r="390">
      <c r="C390" s="60"/>
    </row>
    <row r="391">
      <c r="C391" s="60"/>
    </row>
    <row r="392">
      <c r="C392" s="60"/>
    </row>
    <row r="393">
      <c r="C393" s="60"/>
    </row>
    <row r="394">
      <c r="C394" s="60"/>
    </row>
    <row r="395">
      <c r="C395" s="60"/>
    </row>
    <row r="396">
      <c r="C396" s="60"/>
    </row>
    <row r="397">
      <c r="C397" s="60"/>
    </row>
    <row r="398">
      <c r="C398" s="60"/>
    </row>
    <row r="399">
      <c r="C399" s="60"/>
    </row>
    <row r="400">
      <c r="C400" s="60"/>
    </row>
    <row r="401">
      <c r="C401" s="60"/>
    </row>
    <row r="402">
      <c r="C402" s="60"/>
    </row>
    <row r="403">
      <c r="C403" s="60"/>
    </row>
    <row r="404">
      <c r="C404" s="60"/>
    </row>
    <row r="405">
      <c r="C405" s="60"/>
    </row>
    <row r="406">
      <c r="C406" s="60"/>
    </row>
    <row r="407">
      <c r="C407" s="60"/>
    </row>
    <row r="408">
      <c r="C408" s="60"/>
    </row>
    <row r="409">
      <c r="C409" s="60"/>
    </row>
    <row r="410">
      <c r="C410" s="60"/>
    </row>
    <row r="411">
      <c r="C411" s="60"/>
    </row>
    <row r="412">
      <c r="C412" s="60"/>
    </row>
    <row r="413">
      <c r="C413" s="60"/>
    </row>
    <row r="414">
      <c r="C414" s="60"/>
    </row>
    <row r="415">
      <c r="C415" s="60"/>
    </row>
    <row r="416">
      <c r="C416" s="60"/>
    </row>
    <row r="417">
      <c r="C417" s="60"/>
    </row>
    <row r="418">
      <c r="C418" s="60"/>
    </row>
    <row r="419">
      <c r="C419" s="60"/>
    </row>
    <row r="420">
      <c r="C420" s="60"/>
    </row>
    <row r="421">
      <c r="C421" s="60"/>
    </row>
    <row r="422">
      <c r="C422" s="60"/>
    </row>
    <row r="423">
      <c r="C423" s="60"/>
    </row>
    <row r="424">
      <c r="C424" s="60"/>
    </row>
    <row r="425">
      <c r="C425" s="60"/>
    </row>
    <row r="426">
      <c r="C426" s="60"/>
    </row>
    <row r="427">
      <c r="C427" s="60"/>
    </row>
    <row r="428">
      <c r="C428" s="60"/>
    </row>
    <row r="429">
      <c r="C429" s="60"/>
    </row>
    <row r="430">
      <c r="C430" s="60"/>
    </row>
    <row r="431">
      <c r="C431" s="60"/>
    </row>
    <row r="432">
      <c r="C432" s="60"/>
    </row>
    <row r="433">
      <c r="C433" s="60"/>
    </row>
    <row r="434">
      <c r="C434" s="60"/>
    </row>
    <row r="435">
      <c r="C435" s="60"/>
    </row>
    <row r="436">
      <c r="C436" s="60"/>
    </row>
    <row r="437">
      <c r="C437" s="60"/>
    </row>
    <row r="438">
      <c r="C438" s="60"/>
    </row>
    <row r="439">
      <c r="C439" s="60"/>
    </row>
    <row r="440">
      <c r="C440" s="60"/>
    </row>
    <row r="441">
      <c r="C441" s="60"/>
    </row>
    <row r="442">
      <c r="C442" s="60"/>
    </row>
    <row r="443">
      <c r="C443" s="60"/>
    </row>
    <row r="444">
      <c r="C444" s="60"/>
    </row>
    <row r="445">
      <c r="C445" s="60"/>
    </row>
    <row r="446">
      <c r="C446" s="60"/>
    </row>
    <row r="447">
      <c r="C447" s="60"/>
    </row>
    <row r="448">
      <c r="C448" s="60"/>
    </row>
    <row r="449">
      <c r="C449" s="60"/>
    </row>
    <row r="450">
      <c r="C450" s="60"/>
    </row>
    <row r="451">
      <c r="C451" s="60"/>
    </row>
    <row r="452">
      <c r="C452" s="60"/>
    </row>
    <row r="453">
      <c r="C453" s="60"/>
    </row>
    <row r="454">
      <c r="C454" s="60"/>
    </row>
    <row r="455">
      <c r="C455" s="60"/>
    </row>
    <row r="456">
      <c r="C456" s="60"/>
    </row>
    <row r="457">
      <c r="C457" s="60"/>
    </row>
    <row r="458">
      <c r="C458" s="60"/>
    </row>
    <row r="459">
      <c r="C459" s="60"/>
    </row>
    <row r="460">
      <c r="C460" s="60"/>
    </row>
    <row r="461">
      <c r="C461" s="60"/>
    </row>
    <row r="462">
      <c r="C462" s="60"/>
    </row>
    <row r="463">
      <c r="C463" s="60"/>
    </row>
    <row r="464">
      <c r="C464" s="60"/>
    </row>
    <row r="465">
      <c r="C465" s="60"/>
    </row>
    <row r="466">
      <c r="C466" s="60"/>
    </row>
    <row r="467">
      <c r="C467" s="60"/>
    </row>
    <row r="468">
      <c r="C468" s="60"/>
    </row>
    <row r="469">
      <c r="C469" s="60"/>
    </row>
    <row r="470">
      <c r="C470" s="60"/>
    </row>
    <row r="471">
      <c r="C471" s="60"/>
    </row>
    <row r="472">
      <c r="C472" s="60"/>
    </row>
    <row r="473">
      <c r="C473" s="60"/>
    </row>
    <row r="474">
      <c r="C474" s="60"/>
    </row>
    <row r="475">
      <c r="C475" s="60"/>
    </row>
    <row r="476">
      <c r="C476" s="60"/>
    </row>
    <row r="477">
      <c r="C477" s="60"/>
    </row>
    <row r="478">
      <c r="C478" s="60"/>
    </row>
    <row r="479">
      <c r="C479" s="60"/>
    </row>
    <row r="480">
      <c r="C480" s="60"/>
    </row>
    <row r="481">
      <c r="C481" s="60"/>
    </row>
    <row r="482">
      <c r="C482" s="60"/>
    </row>
    <row r="483">
      <c r="C483" s="60"/>
    </row>
    <row r="484">
      <c r="C484" s="60"/>
    </row>
    <row r="485">
      <c r="C485" s="60"/>
    </row>
    <row r="486">
      <c r="C486" s="60"/>
    </row>
    <row r="487">
      <c r="C487" s="60"/>
    </row>
    <row r="488">
      <c r="C488" s="60"/>
    </row>
    <row r="489">
      <c r="C489" s="60"/>
    </row>
    <row r="490">
      <c r="C490" s="60"/>
    </row>
    <row r="491">
      <c r="C491" s="60"/>
    </row>
    <row r="492">
      <c r="C492" s="60"/>
    </row>
    <row r="493">
      <c r="C493" s="60"/>
    </row>
    <row r="494">
      <c r="C494" s="60"/>
    </row>
    <row r="495">
      <c r="C495" s="60"/>
    </row>
    <row r="496">
      <c r="C496" s="60"/>
    </row>
    <row r="497">
      <c r="C497" s="60"/>
    </row>
    <row r="498">
      <c r="C498" s="60"/>
    </row>
    <row r="499">
      <c r="C499" s="60"/>
    </row>
    <row r="500">
      <c r="C500" s="60"/>
    </row>
    <row r="501">
      <c r="C501" s="60"/>
    </row>
    <row r="502">
      <c r="C502" s="60"/>
    </row>
    <row r="503">
      <c r="C503" s="60"/>
    </row>
    <row r="504">
      <c r="C504" s="60"/>
    </row>
    <row r="505">
      <c r="C505" s="60"/>
    </row>
    <row r="506">
      <c r="C506" s="60"/>
    </row>
    <row r="507">
      <c r="C507" s="60"/>
    </row>
    <row r="508">
      <c r="C508" s="60"/>
    </row>
    <row r="509">
      <c r="C509" s="60"/>
    </row>
    <row r="510">
      <c r="C510" s="60"/>
    </row>
    <row r="511">
      <c r="C511" s="60"/>
    </row>
    <row r="512">
      <c r="C512" s="60"/>
    </row>
    <row r="513">
      <c r="C513" s="60"/>
    </row>
    <row r="514">
      <c r="C514" s="60"/>
    </row>
    <row r="515">
      <c r="C515" s="60"/>
    </row>
    <row r="516">
      <c r="C516" s="60"/>
    </row>
    <row r="517">
      <c r="C517" s="60"/>
    </row>
    <row r="518">
      <c r="C518" s="60"/>
    </row>
    <row r="519">
      <c r="C519" s="60"/>
    </row>
    <row r="520">
      <c r="C520" s="60"/>
    </row>
    <row r="521">
      <c r="C521" s="60"/>
    </row>
    <row r="522">
      <c r="C522" s="60"/>
    </row>
    <row r="523">
      <c r="C523" s="60"/>
    </row>
    <row r="524">
      <c r="C524" s="60"/>
    </row>
    <row r="525">
      <c r="C525" s="60"/>
    </row>
    <row r="526">
      <c r="C526" s="60"/>
    </row>
    <row r="527">
      <c r="C527" s="60"/>
    </row>
    <row r="528">
      <c r="C528" s="60"/>
    </row>
    <row r="529">
      <c r="C529" s="60"/>
    </row>
    <row r="530">
      <c r="C530" s="60"/>
    </row>
    <row r="531">
      <c r="C531" s="60"/>
    </row>
    <row r="532">
      <c r="C532" s="60"/>
    </row>
    <row r="533">
      <c r="C533" s="60"/>
    </row>
    <row r="534">
      <c r="C534" s="60"/>
    </row>
    <row r="535">
      <c r="C535" s="60"/>
    </row>
    <row r="536">
      <c r="C536" s="60"/>
    </row>
    <row r="537">
      <c r="C537" s="60"/>
    </row>
    <row r="538">
      <c r="C538" s="60"/>
    </row>
    <row r="539">
      <c r="C539" s="60"/>
    </row>
    <row r="540">
      <c r="C540" s="60"/>
    </row>
    <row r="541">
      <c r="C541" s="60"/>
    </row>
    <row r="542">
      <c r="C542" s="60"/>
    </row>
    <row r="543">
      <c r="C543" s="60"/>
    </row>
    <row r="544">
      <c r="C544" s="60"/>
    </row>
    <row r="545">
      <c r="C545" s="60"/>
    </row>
    <row r="546">
      <c r="C546" s="60"/>
    </row>
    <row r="547">
      <c r="C547" s="60"/>
    </row>
    <row r="548">
      <c r="C548" s="60"/>
    </row>
    <row r="549">
      <c r="C549" s="60"/>
    </row>
    <row r="550">
      <c r="C550" s="60"/>
    </row>
    <row r="551">
      <c r="C551" s="60"/>
    </row>
    <row r="552">
      <c r="C552" s="60"/>
    </row>
    <row r="553">
      <c r="C553" s="60"/>
    </row>
    <row r="554">
      <c r="C554" s="60"/>
    </row>
    <row r="555">
      <c r="C555" s="60"/>
    </row>
    <row r="556">
      <c r="C556" s="60"/>
    </row>
    <row r="557">
      <c r="C557" s="60"/>
    </row>
    <row r="558">
      <c r="C558" s="60"/>
    </row>
    <row r="559">
      <c r="C559" s="60"/>
    </row>
    <row r="560">
      <c r="C560" s="60"/>
    </row>
    <row r="561">
      <c r="C561" s="60"/>
    </row>
    <row r="562">
      <c r="C562" s="60"/>
    </row>
    <row r="563">
      <c r="C563" s="60"/>
    </row>
    <row r="564">
      <c r="C564" s="60"/>
    </row>
    <row r="565">
      <c r="C565" s="60"/>
    </row>
    <row r="566">
      <c r="C566" s="60"/>
    </row>
    <row r="567">
      <c r="C567" s="60"/>
    </row>
    <row r="568">
      <c r="C568" s="60"/>
    </row>
    <row r="569">
      <c r="C569" s="60"/>
    </row>
    <row r="570">
      <c r="C570" s="60"/>
    </row>
    <row r="571">
      <c r="C571" s="60"/>
    </row>
    <row r="572">
      <c r="C572" s="60"/>
    </row>
    <row r="573">
      <c r="C573" s="60"/>
    </row>
    <row r="574">
      <c r="C574" s="60"/>
    </row>
    <row r="575">
      <c r="C575" s="60"/>
    </row>
    <row r="576">
      <c r="C576" s="60"/>
    </row>
    <row r="577">
      <c r="C577" s="60"/>
    </row>
    <row r="578">
      <c r="C578" s="60"/>
    </row>
    <row r="579">
      <c r="C579" s="60"/>
    </row>
    <row r="580">
      <c r="C580" s="60"/>
    </row>
    <row r="581">
      <c r="C581" s="60"/>
    </row>
    <row r="582">
      <c r="C582" s="60"/>
    </row>
    <row r="583">
      <c r="C583" s="60"/>
    </row>
    <row r="584">
      <c r="C584" s="60"/>
    </row>
    <row r="585">
      <c r="C585" s="60"/>
    </row>
    <row r="586">
      <c r="C586" s="60"/>
    </row>
    <row r="587">
      <c r="C587" s="60"/>
    </row>
    <row r="588">
      <c r="C588" s="60"/>
    </row>
    <row r="589">
      <c r="C589" s="60"/>
    </row>
    <row r="590">
      <c r="C590" s="60"/>
    </row>
    <row r="591">
      <c r="C591" s="60"/>
    </row>
    <row r="592">
      <c r="C592" s="60"/>
    </row>
    <row r="593">
      <c r="C593" s="60"/>
    </row>
    <row r="594">
      <c r="C594" s="60"/>
    </row>
    <row r="595">
      <c r="C595" s="60"/>
    </row>
    <row r="596">
      <c r="C596" s="60"/>
    </row>
    <row r="597">
      <c r="C597" s="60"/>
    </row>
    <row r="598">
      <c r="C598" s="60"/>
    </row>
    <row r="599">
      <c r="C599" s="60"/>
    </row>
    <row r="600">
      <c r="C600" s="60"/>
    </row>
    <row r="601">
      <c r="C601" s="60"/>
    </row>
    <row r="602">
      <c r="C602" s="60"/>
    </row>
    <row r="603">
      <c r="C603" s="60"/>
    </row>
    <row r="604">
      <c r="C604" s="60"/>
    </row>
    <row r="605">
      <c r="C605" s="60"/>
    </row>
    <row r="606">
      <c r="C606" s="60"/>
    </row>
    <row r="607">
      <c r="C607" s="60"/>
    </row>
    <row r="608">
      <c r="C608" s="60"/>
    </row>
    <row r="609">
      <c r="C609" s="60"/>
    </row>
    <row r="610">
      <c r="C610" s="60"/>
    </row>
    <row r="611">
      <c r="C611" s="60"/>
    </row>
    <row r="612">
      <c r="C612" s="60"/>
    </row>
    <row r="613">
      <c r="C613" s="60"/>
    </row>
    <row r="614">
      <c r="C614" s="60"/>
    </row>
    <row r="615">
      <c r="C615" s="60"/>
    </row>
    <row r="616">
      <c r="C616" s="60"/>
    </row>
    <row r="617">
      <c r="C617" s="60"/>
    </row>
    <row r="618">
      <c r="C618" s="60"/>
    </row>
    <row r="619">
      <c r="C619" s="60"/>
    </row>
    <row r="620">
      <c r="C620" s="60"/>
    </row>
    <row r="621">
      <c r="C621" s="60"/>
    </row>
    <row r="622">
      <c r="C622" s="60"/>
    </row>
    <row r="623">
      <c r="C623" s="60"/>
    </row>
    <row r="624">
      <c r="C624" s="60"/>
    </row>
    <row r="625">
      <c r="C625" s="60"/>
    </row>
    <row r="626">
      <c r="C626" s="60"/>
    </row>
    <row r="627">
      <c r="C627" s="60"/>
    </row>
    <row r="628">
      <c r="C628" s="60"/>
    </row>
    <row r="629">
      <c r="C629" s="60"/>
    </row>
    <row r="630">
      <c r="C630" s="60"/>
    </row>
    <row r="631">
      <c r="C631" s="60"/>
    </row>
    <row r="632">
      <c r="C632" s="60"/>
    </row>
    <row r="633">
      <c r="C633" s="60"/>
    </row>
    <row r="634">
      <c r="C634" s="60"/>
    </row>
    <row r="635">
      <c r="C635" s="60"/>
    </row>
    <row r="636">
      <c r="C636" s="60"/>
    </row>
    <row r="637">
      <c r="C637" s="60"/>
    </row>
    <row r="638">
      <c r="C638" s="60"/>
    </row>
    <row r="639">
      <c r="C639" s="60"/>
    </row>
    <row r="640">
      <c r="C640" s="60"/>
    </row>
    <row r="641">
      <c r="C641" s="60"/>
    </row>
    <row r="642">
      <c r="C642" s="60"/>
    </row>
    <row r="643">
      <c r="C643" s="60"/>
    </row>
    <row r="644">
      <c r="C644" s="60"/>
    </row>
    <row r="645">
      <c r="C645" s="60"/>
    </row>
    <row r="646">
      <c r="C646" s="60"/>
    </row>
    <row r="647">
      <c r="C647" s="60"/>
    </row>
    <row r="648">
      <c r="C648" s="60"/>
    </row>
    <row r="649">
      <c r="C649" s="60"/>
    </row>
    <row r="650">
      <c r="C650" s="60"/>
    </row>
    <row r="651">
      <c r="C651" s="60"/>
    </row>
    <row r="652">
      <c r="C652" s="60"/>
    </row>
    <row r="653">
      <c r="C653" s="60"/>
    </row>
    <row r="654">
      <c r="C654" s="60"/>
    </row>
    <row r="655">
      <c r="C655" s="60"/>
    </row>
    <row r="656">
      <c r="C656" s="60"/>
    </row>
    <row r="657">
      <c r="C657" s="60"/>
    </row>
    <row r="658">
      <c r="C658" s="60"/>
    </row>
    <row r="659">
      <c r="C659" s="60"/>
    </row>
    <row r="660">
      <c r="C660" s="60"/>
    </row>
    <row r="661">
      <c r="C661" s="60"/>
    </row>
    <row r="662">
      <c r="C662" s="60"/>
    </row>
    <row r="663">
      <c r="C663" s="60"/>
    </row>
    <row r="664">
      <c r="C664" s="60"/>
    </row>
    <row r="665">
      <c r="C665" s="60"/>
    </row>
    <row r="666">
      <c r="C666" s="60"/>
    </row>
    <row r="667">
      <c r="C667" s="60"/>
    </row>
    <row r="668">
      <c r="C668" s="60"/>
    </row>
    <row r="669">
      <c r="C669" s="60"/>
    </row>
    <row r="670">
      <c r="C670" s="60"/>
    </row>
    <row r="671">
      <c r="C671" s="60"/>
    </row>
    <row r="672">
      <c r="C672" s="60"/>
    </row>
    <row r="673">
      <c r="C673" s="60"/>
    </row>
    <row r="674">
      <c r="C674" s="60"/>
    </row>
    <row r="675">
      <c r="C675" s="60"/>
    </row>
    <row r="676">
      <c r="C676" s="60"/>
    </row>
    <row r="677">
      <c r="C677" s="60"/>
    </row>
    <row r="678">
      <c r="C678" s="60"/>
    </row>
    <row r="679">
      <c r="C679" s="60"/>
    </row>
    <row r="680">
      <c r="C680" s="60"/>
    </row>
    <row r="681">
      <c r="C681" s="60"/>
    </row>
    <row r="682">
      <c r="C682" s="60"/>
    </row>
    <row r="683">
      <c r="C683" s="60"/>
    </row>
    <row r="684">
      <c r="C684" s="60"/>
    </row>
    <row r="685">
      <c r="C685" s="60"/>
    </row>
    <row r="686">
      <c r="C686" s="60"/>
    </row>
    <row r="687">
      <c r="C687" s="60"/>
    </row>
    <row r="688">
      <c r="C688" s="60"/>
    </row>
    <row r="689">
      <c r="C689" s="60"/>
    </row>
    <row r="690">
      <c r="C690" s="60"/>
    </row>
    <row r="691">
      <c r="C691" s="60"/>
    </row>
    <row r="692">
      <c r="C692" s="60"/>
    </row>
    <row r="693">
      <c r="C693" s="60"/>
    </row>
    <row r="694">
      <c r="C694" s="60"/>
    </row>
    <row r="695">
      <c r="C695" s="60"/>
    </row>
    <row r="696">
      <c r="C696" s="60"/>
    </row>
    <row r="697">
      <c r="C697" s="60"/>
    </row>
    <row r="698">
      <c r="C698" s="60"/>
    </row>
    <row r="699">
      <c r="C699" s="60"/>
    </row>
    <row r="700">
      <c r="C700" s="60"/>
    </row>
    <row r="701">
      <c r="C701" s="60"/>
    </row>
    <row r="702">
      <c r="C702" s="60"/>
    </row>
    <row r="703">
      <c r="C703" s="60"/>
    </row>
    <row r="704">
      <c r="C704" s="60"/>
    </row>
    <row r="705">
      <c r="C705" s="60"/>
    </row>
    <row r="706">
      <c r="C706" s="60"/>
    </row>
    <row r="707">
      <c r="C707" s="60"/>
    </row>
    <row r="708">
      <c r="C708" s="60"/>
    </row>
    <row r="709">
      <c r="C709" s="60"/>
    </row>
    <row r="710">
      <c r="C710" s="60"/>
    </row>
    <row r="711">
      <c r="C711" s="60"/>
    </row>
    <row r="712">
      <c r="C712" s="60"/>
    </row>
    <row r="713">
      <c r="C713" s="60"/>
    </row>
    <row r="714">
      <c r="C714" s="60"/>
    </row>
    <row r="715">
      <c r="C715" s="60"/>
    </row>
    <row r="716">
      <c r="C716" s="60"/>
    </row>
    <row r="717">
      <c r="C717" s="60"/>
    </row>
    <row r="718">
      <c r="C718" s="60"/>
    </row>
    <row r="719">
      <c r="C719" s="60"/>
    </row>
    <row r="720">
      <c r="C720" s="60"/>
    </row>
    <row r="721">
      <c r="C721" s="60"/>
    </row>
    <row r="722">
      <c r="C722" s="60"/>
    </row>
    <row r="723">
      <c r="C723" s="60"/>
    </row>
    <row r="724">
      <c r="C724" s="60"/>
    </row>
    <row r="725">
      <c r="C725" s="60"/>
    </row>
    <row r="726">
      <c r="C726" s="60"/>
    </row>
    <row r="727">
      <c r="C727" s="60"/>
    </row>
    <row r="728">
      <c r="C728" s="60"/>
    </row>
    <row r="729">
      <c r="C729" s="60"/>
    </row>
    <row r="730">
      <c r="C730" s="60"/>
    </row>
    <row r="731">
      <c r="C731" s="60"/>
    </row>
    <row r="732">
      <c r="C732" s="60"/>
    </row>
    <row r="733">
      <c r="C733" s="60"/>
    </row>
    <row r="734">
      <c r="C734" s="60"/>
    </row>
    <row r="735">
      <c r="C735" s="60"/>
    </row>
    <row r="736">
      <c r="C736" s="60"/>
    </row>
    <row r="737">
      <c r="C737" s="60"/>
    </row>
    <row r="738">
      <c r="C738" s="60"/>
    </row>
    <row r="739">
      <c r="C739" s="60"/>
    </row>
    <row r="740">
      <c r="C740" s="60"/>
    </row>
    <row r="741">
      <c r="C741" s="60"/>
    </row>
    <row r="742">
      <c r="C742" s="60"/>
    </row>
    <row r="743">
      <c r="C743" s="60"/>
    </row>
    <row r="744">
      <c r="C744" s="60"/>
    </row>
    <row r="745">
      <c r="C745" s="60"/>
    </row>
    <row r="746">
      <c r="C746" s="60"/>
    </row>
    <row r="747">
      <c r="C747" s="60"/>
    </row>
    <row r="748">
      <c r="C748" s="60"/>
    </row>
    <row r="749">
      <c r="C749" s="60"/>
    </row>
    <row r="750">
      <c r="C750" s="60"/>
    </row>
    <row r="751">
      <c r="C751" s="60"/>
    </row>
    <row r="752">
      <c r="C752" s="60"/>
    </row>
    <row r="753">
      <c r="C753" s="60"/>
    </row>
    <row r="754">
      <c r="C754" s="60"/>
    </row>
    <row r="755">
      <c r="C755" s="60"/>
    </row>
    <row r="756">
      <c r="C756" s="60"/>
    </row>
    <row r="757">
      <c r="C757" s="60"/>
    </row>
    <row r="758">
      <c r="C758" s="60"/>
    </row>
    <row r="759">
      <c r="C759" s="60"/>
    </row>
    <row r="760">
      <c r="C760" s="60"/>
    </row>
    <row r="761">
      <c r="C761" s="60"/>
    </row>
    <row r="762">
      <c r="C762" s="60"/>
    </row>
    <row r="763">
      <c r="C763" s="60"/>
    </row>
    <row r="764">
      <c r="C764" s="60"/>
    </row>
    <row r="765">
      <c r="C765" s="60"/>
    </row>
    <row r="766">
      <c r="C766" s="60"/>
    </row>
    <row r="767">
      <c r="C767" s="60"/>
    </row>
    <row r="768">
      <c r="C768" s="60"/>
    </row>
    <row r="769">
      <c r="C769" s="60"/>
    </row>
    <row r="770">
      <c r="C770" s="60"/>
    </row>
    <row r="771">
      <c r="C771" s="60"/>
    </row>
    <row r="772">
      <c r="C772" s="60"/>
    </row>
    <row r="773">
      <c r="C773" s="60"/>
    </row>
    <row r="774">
      <c r="C774" s="60"/>
    </row>
    <row r="775">
      <c r="C775" s="60"/>
    </row>
    <row r="776">
      <c r="C776" s="60"/>
    </row>
    <row r="777">
      <c r="C777" s="60"/>
    </row>
    <row r="778">
      <c r="C778" s="60"/>
    </row>
    <row r="779">
      <c r="C779" s="60"/>
    </row>
    <row r="780">
      <c r="C780" s="60"/>
    </row>
    <row r="781">
      <c r="C781" s="60"/>
    </row>
    <row r="782">
      <c r="C782" s="60"/>
    </row>
    <row r="783">
      <c r="C783" s="60"/>
    </row>
    <row r="784">
      <c r="C784" s="60"/>
    </row>
    <row r="785">
      <c r="C785" s="60"/>
    </row>
    <row r="786">
      <c r="C786" s="60"/>
    </row>
    <row r="787">
      <c r="C787" s="60"/>
    </row>
    <row r="788">
      <c r="C788" s="60"/>
    </row>
    <row r="789">
      <c r="C789" s="60"/>
    </row>
    <row r="790">
      <c r="C790" s="60"/>
    </row>
    <row r="791">
      <c r="C791" s="60"/>
    </row>
    <row r="792">
      <c r="C792" s="60"/>
    </row>
    <row r="793">
      <c r="C793" s="60"/>
    </row>
    <row r="794">
      <c r="C794" s="60"/>
    </row>
    <row r="795">
      <c r="C795" s="60"/>
    </row>
    <row r="796">
      <c r="C796" s="60"/>
    </row>
    <row r="797">
      <c r="C797" s="60"/>
    </row>
    <row r="798">
      <c r="C798" s="60"/>
    </row>
    <row r="799">
      <c r="C799" s="60"/>
    </row>
    <row r="800">
      <c r="C800" s="60"/>
    </row>
    <row r="801">
      <c r="C801" s="60"/>
    </row>
    <row r="802">
      <c r="C802" s="60"/>
    </row>
    <row r="803">
      <c r="C803" s="60"/>
    </row>
    <row r="804">
      <c r="C804" s="60"/>
    </row>
    <row r="805">
      <c r="C805" s="60"/>
    </row>
    <row r="806">
      <c r="C806" s="60"/>
    </row>
    <row r="807">
      <c r="C807" s="60"/>
    </row>
    <row r="808">
      <c r="C808" s="60"/>
    </row>
    <row r="809">
      <c r="C809" s="60"/>
    </row>
    <row r="810">
      <c r="C810" s="60"/>
    </row>
    <row r="811">
      <c r="C811" s="60"/>
    </row>
    <row r="812">
      <c r="C812" s="60"/>
    </row>
    <row r="813">
      <c r="C813" s="60"/>
    </row>
    <row r="814">
      <c r="C814" s="60"/>
    </row>
    <row r="815">
      <c r="C815" s="60"/>
    </row>
    <row r="816">
      <c r="C816" s="60"/>
    </row>
    <row r="817">
      <c r="C817" s="60"/>
    </row>
    <row r="818">
      <c r="C818" s="60"/>
    </row>
    <row r="819">
      <c r="C819" s="60"/>
    </row>
    <row r="820">
      <c r="C820" s="60"/>
    </row>
    <row r="821">
      <c r="C821" s="60"/>
    </row>
    <row r="822">
      <c r="C822" s="60"/>
    </row>
    <row r="823">
      <c r="C823" s="60"/>
    </row>
    <row r="824">
      <c r="C824" s="60"/>
    </row>
    <row r="825">
      <c r="C825" s="60"/>
    </row>
    <row r="826">
      <c r="C826" s="60"/>
    </row>
    <row r="827">
      <c r="C827" s="60"/>
    </row>
    <row r="828">
      <c r="C828" s="60"/>
    </row>
    <row r="829">
      <c r="C829" s="60"/>
    </row>
    <row r="830">
      <c r="C830" s="60"/>
    </row>
    <row r="831">
      <c r="C831" s="60"/>
    </row>
    <row r="832">
      <c r="C832" s="60"/>
    </row>
    <row r="833">
      <c r="C833" s="60"/>
    </row>
    <row r="834">
      <c r="C834" s="60"/>
    </row>
    <row r="835">
      <c r="C835" s="60"/>
    </row>
    <row r="836">
      <c r="C836" s="60"/>
    </row>
    <row r="837">
      <c r="C837" s="60"/>
    </row>
    <row r="838">
      <c r="C838" s="60"/>
    </row>
    <row r="839">
      <c r="C839" s="60"/>
    </row>
    <row r="840">
      <c r="C840" s="60"/>
    </row>
    <row r="841">
      <c r="C841" s="60"/>
    </row>
    <row r="842">
      <c r="C842" s="60"/>
    </row>
    <row r="843">
      <c r="C843" s="60"/>
    </row>
    <row r="844">
      <c r="C844" s="60"/>
    </row>
    <row r="845">
      <c r="C845" s="60"/>
    </row>
    <row r="846">
      <c r="C846" s="60"/>
    </row>
    <row r="847">
      <c r="C847" s="60"/>
    </row>
    <row r="848">
      <c r="C848" s="60"/>
    </row>
    <row r="849">
      <c r="C849" s="60"/>
    </row>
    <row r="850">
      <c r="C850" s="60"/>
    </row>
    <row r="851">
      <c r="C851" s="60"/>
    </row>
    <row r="852">
      <c r="C852" s="60"/>
    </row>
    <row r="853">
      <c r="C853" s="60"/>
    </row>
    <row r="854">
      <c r="C854" s="60"/>
    </row>
    <row r="855">
      <c r="C855" s="60"/>
    </row>
    <row r="856">
      <c r="C856" s="60"/>
    </row>
    <row r="857">
      <c r="C857" s="60"/>
    </row>
    <row r="858">
      <c r="C858" s="60"/>
    </row>
    <row r="859">
      <c r="C859" s="60"/>
    </row>
    <row r="860">
      <c r="C860" s="60"/>
    </row>
    <row r="861">
      <c r="C861" s="60"/>
    </row>
    <row r="862">
      <c r="C862" s="60"/>
    </row>
    <row r="863">
      <c r="C863" s="60"/>
    </row>
    <row r="864">
      <c r="C864" s="60"/>
    </row>
    <row r="865">
      <c r="C865" s="60"/>
    </row>
    <row r="866">
      <c r="C866" s="60"/>
    </row>
    <row r="867">
      <c r="C867" s="60"/>
    </row>
    <row r="868">
      <c r="C868" s="60"/>
    </row>
    <row r="869">
      <c r="C869" s="60"/>
    </row>
    <row r="870">
      <c r="C870" s="60"/>
    </row>
    <row r="871">
      <c r="C871" s="60"/>
    </row>
    <row r="872">
      <c r="C872" s="60"/>
    </row>
    <row r="873">
      <c r="C873" s="60"/>
    </row>
    <row r="874">
      <c r="C874" s="60"/>
    </row>
    <row r="875">
      <c r="C875" s="60"/>
    </row>
    <row r="876">
      <c r="C876" s="60"/>
    </row>
    <row r="877">
      <c r="C877" s="60"/>
    </row>
    <row r="878">
      <c r="C878" s="60"/>
    </row>
    <row r="879">
      <c r="C879" s="60"/>
    </row>
    <row r="880">
      <c r="C880" s="60"/>
    </row>
    <row r="881">
      <c r="C881" s="60"/>
    </row>
    <row r="882">
      <c r="C882" s="60"/>
    </row>
    <row r="883">
      <c r="C883" s="60"/>
    </row>
    <row r="884">
      <c r="C884" s="60"/>
    </row>
    <row r="885">
      <c r="C885" s="60"/>
    </row>
    <row r="886">
      <c r="C886" s="60"/>
    </row>
    <row r="887">
      <c r="C887" s="60"/>
    </row>
    <row r="888">
      <c r="C888" s="60"/>
    </row>
    <row r="889">
      <c r="C889" s="60"/>
    </row>
    <row r="890">
      <c r="C890" s="60"/>
    </row>
    <row r="891">
      <c r="C891" s="60"/>
    </row>
    <row r="892">
      <c r="C892" s="60"/>
    </row>
    <row r="893">
      <c r="C893" s="60"/>
    </row>
    <row r="894">
      <c r="C894" s="60"/>
    </row>
    <row r="895">
      <c r="C895" s="60"/>
    </row>
    <row r="896">
      <c r="C896" s="60"/>
    </row>
    <row r="897">
      <c r="C897" s="60"/>
    </row>
    <row r="898">
      <c r="C898" s="60"/>
    </row>
    <row r="899">
      <c r="C899" s="60"/>
    </row>
    <row r="900">
      <c r="C900" s="60"/>
    </row>
    <row r="901">
      <c r="C901" s="60"/>
    </row>
    <row r="902">
      <c r="C902" s="60"/>
    </row>
    <row r="903">
      <c r="C903" s="60"/>
    </row>
    <row r="904">
      <c r="C904" s="60"/>
    </row>
    <row r="905">
      <c r="C905" s="60"/>
    </row>
    <row r="906">
      <c r="C906" s="60"/>
    </row>
    <row r="907">
      <c r="C907" s="60"/>
    </row>
    <row r="908">
      <c r="C908" s="60"/>
    </row>
    <row r="909">
      <c r="C909" s="60"/>
    </row>
    <row r="910">
      <c r="C910" s="60"/>
    </row>
    <row r="911">
      <c r="C911" s="60"/>
    </row>
    <row r="912">
      <c r="C912" s="60"/>
    </row>
    <row r="913">
      <c r="C913" s="60"/>
    </row>
    <row r="914">
      <c r="C914" s="60"/>
    </row>
    <row r="915">
      <c r="C915" s="60"/>
    </row>
    <row r="916">
      <c r="C916" s="60"/>
    </row>
    <row r="917">
      <c r="C917" s="60"/>
    </row>
    <row r="918">
      <c r="C918" s="60"/>
    </row>
    <row r="919">
      <c r="C919" s="60"/>
    </row>
    <row r="920">
      <c r="C920" s="60"/>
    </row>
    <row r="921">
      <c r="C921" s="60"/>
    </row>
    <row r="922">
      <c r="C922" s="60"/>
    </row>
    <row r="923">
      <c r="C923" s="60"/>
    </row>
    <row r="924">
      <c r="C924" s="60"/>
    </row>
    <row r="925">
      <c r="C925" s="60"/>
    </row>
    <row r="926">
      <c r="C926" s="60"/>
    </row>
    <row r="927">
      <c r="C927" s="60"/>
    </row>
    <row r="928">
      <c r="C928" s="60"/>
    </row>
    <row r="929">
      <c r="C929" s="60"/>
    </row>
    <row r="930">
      <c r="C930" s="60"/>
    </row>
    <row r="931">
      <c r="C931" s="60"/>
    </row>
    <row r="932">
      <c r="C932" s="60"/>
    </row>
    <row r="933">
      <c r="C933" s="60"/>
    </row>
    <row r="934">
      <c r="C934" s="60"/>
    </row>
    <row r="935">
      <c r="C935" s="60"/>
    </row>
    <row r="936">
      <c r="C936" s="60"/>
    </row>
    <row r="937">
      <c r="C937" s="60"/>
    </row>
    <row r="938">
      <c r="C938" s="60"/>
    </row>
    <row r="939">
      <c r="C939" s="60"/>
    </row>
    <row r="940">
      <c r="C940" s="60"/>
    </row>
    <row r="941">
      <c r="C941" s="60"/>
    </row>
    <row r="942">
      <c r="C942" s="60"/>
    </row>
    <row r="943">
      <c r="C943" s="60"/>
    </row>
    <row r="944">
      <c r="C944" s="60"/>
    </row>
    <row r="945">
      <c r="C945" s="60"/>
    </row>
    <row r="946">
      <c r="C946" s="60"/>
    </row>
    <row r="947">
      <c r="C947" s="60"/>
    </row>
    <row r="948">
      <c r="C948" s="60"/>
    </row>
    <row r="949">
      <c r="C949" s="60"/>
    </row>
    <row r="950">
      <c r="C950" s="60"/>
    </row>
    <row r="951">
      <c r="C951" s="60"/>
    </row>
    <row r="952">
      <c r="C952" s="60"/>
    </row>
    <row r="953">
      <c r="C953" s="60"/>
    </row>
    <row r="954">
      <c r="C954" s="60"/>
    </row>
    <row r="955">
      <c r="C955" s="60"/>
    </row>
    <row r="956">
      <c r="C956" s="60"/>
    </row>
    <row r="957">
      <c r="C957" s="60"/>
    </row>
    <row r="958">
      <c r="C958" s="60"/>
    </row>
    <row r="959">
      <c r="C959" s="60"/>
    </row>
    <row r="960">
      <c r="C960" s="60"/>
    </row>
    <row r="961">
      <c r="C961" s="60"/>
    </row>
    <row r="962">
      <c r="C962" s="60"/>
    </row>
    <row r="963">
      <c r="C963" s="60"/>
    </row>
    <row r="964">
      <c r="C964" s="60"/>
    </row>
    <row r="965">
      <c r="C965" s="60"/>
    </row>
    <row r="966">
      <c r="C966" s="60"/>
    </row>
    <row r="967">
      <c r="C967" s="60"/>
    </row>
    <row r="968">
      <c r="C968" s="60"/>
    </row>
    <row r="969">
      <c r="C969" s="60"/>
    </row>
    <row r="970">
      <c r="C970" s="60"/>
    </row>
    <row r="971">
      <c r="C971" s="60"/>
    </row>
    <row r="972">
      <c r="C972" s="60"/>
    </row>
    <row r="973">
      <c r="C973" s="60"/>
    </row>
    <row r="974">
      <c r="C974" s="60"/>
    </row>
    <row r="975">
      <c r="C975" s="60"/>
    </row>
    <row r="976">
      <c r="C976" s="60"/>
    </row>
    <row r="977">
      <c r="C977" s="60"/>
    </row>
    <row r="978">
      <c r="C978" s="60"/>
    </row>
    <row r="979">
      <c r="C979" s="60"/>
    </row>
    <row r="980">
      <c r="C980" s="60"/>
    </row>
    <row r="981">
      <c r="C981" s="60"/>
    </row>
    <row r="982">
      <c r="C982" s="60"/>
    </row>
    <row r="983">
      <c r="C983" s="60"/>
    </row>
    <row r="984">
      <c r="C984" s="60"/>
    </row>
    <row r="985">
      <c r="C985" s="60"/>
    </row>
    <row r="986">
      <c r="C986" s="60"/>
    </row>
    <row r="987">
      <c r="C987" s="60"/>
    </row>
    <row r="988">
      <c r="C988" s="60"/>
    </row>
    <row r="989">
      <c r="C989" s="60"/>
    </row>
    <row r="990">
      <c r="C990" s="60"/>
    </row>
    <row r="991">
      <c r="C991" s="60"/>
    </row>
    <row r="992">
      <c r="C992" s="60"/>
    </row>
    <row r="993">
      <c r="C993" s="60"/>
    </row>
    <row r="994">
      <c r="C994" s="60"/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63"/>
    <col customWidth="1" min="2" max="2" width="24.88"/>
    <col customWidth="1" min="3" max="4" width="7.63"/>
    <col customWidth="1" min="5" max="5" width="14.5"/>
    <col customWidth="1" min="7" max="7" width="10.25"/>
    <col customWidth="1" hidden="1" min="8" max="8" width="14.38"/>
    <col hidden="1" min="9" max="9" width="12.63"/>
    <col hidden="1" min="11" max="11" width="12.63"/>
    <col customWidth="1" hidden="1" min="12" max="12" width="7.0"/>
    <col customWidth="1" min="13" max="13" width="14.0"/>
    <col customWidth="1" min="14" max="14" width="17.38"/>
  </cols>
  <sheetData>
    <row r="1">
      <c r="A1" s="14" t="s">
        <v>498</v>
      </c>
      <c r="B1" s="14" t="s">
        <v>0</v>
      </c>
      <c r="C1" s="75" t="s">
        <v>3</v>
      </c>
      <c r="D1" s="75" t="s">
        <v>2</v>
      </c>
      <c r="E1" s="14" t="s">
        <v>4</v>
      </c>
      <c r="F1" s="14" t="s">
        <v>5</v>
      </c>
      <c r="G1" s="14" t="s">
        <v>249</v>
      </c>
      <c r="H1" s="14" t="s">
        <v>52</v>
      </c>
      <c r="I1" s="14" t="s">
        <v>1021</v>
      </c>
      <c r="J1" s="14" t="s">
        <v>250</v>
      </c>
      <c r="K1" s="14" t="s">
        <v>497</v>
      </c>
      <c r="L1" s="14" t="s">
        <v>1022</v>
      </c>
      <c r="M1" s="14" t="s">
        <v>1276</v>
      </c>
      <c r="N1" s="14" t="s">
        <v>1277</v>
      </c>
      <c r="O1" s="1" t="s">
        <v>1278</v>
      </c>
      <c r="P1" s="1" t="s">
        <v>1279</v>
      </c>
    </row>
    <row r="2">
      <c r="A2" s="43">
        <v>46052.0</v>
      </c>
      <c r="B2" s="44" t="s">
        <v>1280</v>
      </c>
      <c r="C2" s="59">
        <v>23.75</v>
      </c>
      <c r="D2" s="59"/>
      <c r="E2" s="44"/>
      <c r="F2" s="59"/>
      <c r="G2" s="44"/>
      <c r="H2" s="44"/>
      <c r="I2" s="44"/>
      <c r="J2" s="44"/>
      <c r="K2" s="45"/>
      <c r="L2" s="45"/>
      <c r="M2" s="59">
        <v>23.75</v>
      </c>
      <c r="N2" s="45"/>
      <c r="O2" s="45"/>
      <c r="P2" s="102"/>
      <c r="Q2" s="45"/>
      <c r="R2" s="45"/>
      <c r="S2" s="45"/>
      <c r="T2" s="45"/>
      <c r="U2" s="45"/>
      <c r="V2" s="45"/>
      <c r="W2" s="45"/>
      <c r="X2" s="45"/>
    </row>
    <row r="3">
      <c r="A3" s="43">
        <v>46052.0</v>
      </c>
      <c r="B3" s="44" t="s">
        <v>598</v>
      </c>
      <c r="C3" s="59">
        <v>4.16</v>
      </c>
      <c r="D3" s="59"/>
      <c r="E3" s="59"/>
      <c r="F3" s="30"/>
      <c r="G3" s="30"/>
      <c r="H3" s="45"/>
      <c r="I3" s="30"/>
      <c r="J3" s="59"/>
      <c r="K3" s="30"/>
      <c r="L3" s="45"/>
      <c r="M3" s="59">
        <v>4.16</v>
      </c>
      <c r="P3" s="98"/>
    </row>
    <row r="4">
      <c r="A4" s="43"/>
      <c r="B4" s="44" t="s">
        <v>598</v>
      </c>
      <c r="C4" s="59">
        <v>4.74</v>
      </c>
      <c r="D4" s="59"/>
      <c r="E4" s="30"/>
      <c r="F4" s="59"/>
      <c r="G4" s="30"/>
      <c r="H4" s="30"/>
      <c r="I4" s="30"/>
      <c r="J4" s="30"/>
      <c r="K4" s="30"/>
      <c r="L4" s="30"/>
      <c r="M4" s="59">
        <v>4.74</v>
      </c>
      <c r="P4" s="98"/>
    </row>
    <row r="5">
      <c r="A5" s="43"/>
      <c r="B5" s="44" t="s">
        <v>1281</v>
      </c>
      <c r="C5" s="59">
        <v>19.69</v>
      </c>
      <c r="D5" s="59"/>
      <c r="E5" s="30"/>
      <c r="F5" s="59"/>
      <c r="G5" s="45"/>
      <c r="H5" s="45"/>
      <c r="I5" s="30"/>
      <c r="J5" s="59"/>
      <c r="K5" s="59"/>
      <c r="L5" s="45"/>
      <c r="M5" s="59">
        <v>19.69</v>
      </c>
      <c r="P5" s="98"/>
    </row>
    <row r="6">
      <c r="A6" s="46"/>
      <c r="B6" s="44" t="s">
        <v>668</v>
      </c>
      <c r="C6" s="59">
        <v>6.63</v>
      </c>
      <c r="D6" s="59"/>
      <c r="E6" s="30"/>
      <c r="F6" s="59"/>
      <c r="H6" s="45"/>
      <c r="I6" s="30"/>
      <c r="J6" s="30"/>
      <c r="K6" s="44"/>
      <c r="L6" s="44"/>
      <c r="M6" s="59">
        <v>6.63</v>
      </c>
      <c r="P6" s="98"/>
    </row>
    <row r="7">
      <c r="A7" s="43"/>
      <c r="B7" s="44" t="s">
        <v>598</v>
      </c>
      <c r="D7" s="59">
        <v>54.05</v>
      </c>
      <c r="E7" s="30"/>
      <c r="F7" s="59"/>
      <c r="G7" s="99"/>
      <c r="H7" s="44"/>
      <c r="I7" s="44"/>
      <c r="J7" s="44"/>
      <c r="K7" s="44"/>
      <c r="L7" s="44"/>
      <c r="M7" s="59"/>
      <c r="N7" s="59">
        <v>54.05</v>
      </c>
      <c r="P7" s="98"/>
    </row>
    <row r="8">
      <c r="A8" s="43">
        <v>46053.0</v>
      </c>
      <c r="B8" s="44" t="s">
        <v>1282</v>
      </c>
      <c r="C8" s="59">
        <v>20.67</v>
      </c>
      <c r="D8" s="59"/>
      <c r="E8" s="30"/>
      <c r="F8" s="59"/>
      <c r="G8" s="94"/>
      <c r="H8" s="30"/>
      <c r="I8" s="30"/>
      <c r="J8" s="30"/>
      <c r="K8" s="59"/>
      <c r="L8" s="30"/>
      <c r="M8" s="59">
        <v>20.67</v>
      </c>
      <c r="P8" s="98"/>
    </row>
    <row r="9">
      <c r="A9" s="43"/>
      <c r="B9" s="44" t="s">
        <v>668</v>
      </c>
      <c r="C9" s="59">
        <v>3.96</v>
      </c>
      <c r="D9" s="59"/>
      <c r="E9" s="30"/>
      <c r="F9" s="30"/>
      <c r="G9" s="59"/>
      <c r="H9" s="44"/>
      <c r="I9" s="30"/>
      <c r="J9" s="45"/>
      <c r="K9" s="30"/>
      <c r="L9" s="45"/>
      <c r="M9" s="59">
        <v>3.96</v>
      </c>
      <c r="P9" s="98"/>
    </row>
    <row r="10">
      <c r="A10" s="43"/>
      <c r="B10" s="44" t="s">
        <v>1283</v>
      </c>
      <c r="C10" s="59">
        <v>6.61</v>
      </c>
      <c r="D10" s="59"/>
      <c r="E10" s="30"/>
      <c r="F10" s="59"/>
      <c r="G10" s="99"/>
      <c r="H10" s="44"/>
      <c r="I10" s="30"/>
      <c r="J10" s="45"/>
      <c r="K10" s="59"/>
      <c r="L10" s="45"/>
      <c r="M10" s="59">
        <v>6.61</v>
      </c>
      <c r="P10" s="98"/>
    </row>
    <row r="11">
      <c r="A11" s="43"/>
      <c r="B11" s="44" t="s">
        <v>1284</v>
      </c>
      <c r="C11" s="59">
        <v>4.36</v>
      </c>
      <c r="D11" s="59"/>
      <c r="E11" s="44"/>
      <c r="F11" s="59"/>
      <c r="G11" s="99"/>
      <c r="H11" s="59"/>
      <c r="I11" s="30"/>
      <c r="J11" s="30"/>
      <c r="K11" s="59"/>
      <c r="L11" s="45"/>
      <c r="M11" s="59">
        <v>4.36</v>
      </c>
      <c r="P11" s="98"/>
    </row>
    <row r="12">
      <c r="A12" s="43"/>
      <c r="B12" s="44" t="s">
        <v>1284</v>
      </c>
      <c r="C12" s="59">
        <v>20.74</v>
      </c>
      <c r="D12" s="59"/>
      <c r="E12" s="44"/>
      <c r="F12" s="59"/>
      <c r="G12" s="59"/>
      <c r="H12" s="45"/>
      <c r="I12" s="44"/>
      <c r="J12" s="30"/>
      <c r="K12" s="30"/>
      <c r="L12" s="45"/>
      <c r="M12" s="59">
        <v>20.74</v>
      </c>
      <c r="N12" s="30"/>
      <c r="P12" s="98"/>
    </row>
    <row r="13">
      <c r="A13" s="43"/>
      <c r="B13" s="44" t="s">
        <v>1285</v>
      </c>
      <c r="C13" s="59">
        <v>9.17</v>
      </c>
      <c r="D13" s="59"/>
      <c r="E13" s="44"/>
      <c r="F13" s="44"/>
      <c r="G13" s="59"/>
      <c r="H13" s="44"/>
      <c r="I13" s="44"/>
      <c r="J13" s="44"/>
      <c r="K13" s="44"/>
      <c r="L13" s="44"/>
      <c r="M13" s="59">
        <v>9.17</v>
      </c>
      <c r="N13" s="30"/>
      <c r="P13" s="98"/>
    </row>
    <row r="14">
      <c r="A14" s="43"/>
      <c r="B14" s="44" t="s">
        <v>1286</v>
      </c>
      <c r="C14" s="59">
        <v>3.61</v>
      </c>
      <c r="D14" s="59"/>
      <c r="E14" s="30"/>
      <c r="F14" s="59"/>
      <c r="G14" s="59"/>
      <c r="H14" s="44"/>
      <c r="I14" s="44"/>
      <c r="J14" s="44"/>
      <c r="K14" s="44"/>
      <c r="L14" s="44"/>
      <c r="M14" s="59">
        <v>3.61</v>
      </c>
      <c r="P14" s="98"/>
    </row>
    <row r="15">
      <c r="A15" s="43"/>
      <c r="B15" s="44" t="s">
        <v>1287</v>
      </c>
      <c r="C15" s="59">
        <v>27.96</v>
      </c>
      <c r="D15" s="59"/>
      <c r="E15" s="59"/>
      <c r="F15" s="30"/>
      <c r="G15" s="59"/>
      <c r="H15" s="44"/>
      <c r="I15" s="44"/>
      <c r="J15" s="30"/>
      <c r="K15" s="45"/>
      <c r="L15" s="45"/>
      <c r="M15" s="45">
        <f>C15-O15</f>
        <v>22.55</v>
      </c>
      <c r="O15" s="1">
        <v>5.41</v>
      </c>
      <c r="P15" s="98"/>
      <c r="Q15" s="59"/>
    </row>
    <row r="16">
      <c r="A16" s="43">
        <v>46023.0</v>
      </c>
      <c r="B16" s="44" t="s">
        <v>1288</v>
      </c>
      <c r="C16" s="30">
        <v>2.18</v>
      </c>
      <c r="D16" s="30"/>
      <c r="E16" s="59"/>
      <c r="G16" s="30"/>
      <c r="H16" s="44"/>
      <c r="I16" s="44"/>
      <c r="J16" s="30"/>
      <c r="K16" s="45"/>
      <c r="L16" s="45"/>
      <c r="M16" s="30">
        <v>2.18</v>
      </c>
      <c r="P16" s="98"/>
    </row>
    <row r="17">
      <c r="A17" s="93"/>
      <c r="B17" s="1" t="s">
        <v>668</v>
      </c>
      <c r="C17" s="59">
        <v>4.65</v>
      </c>
      <c r="D17" s="59"/>
      <c r="F17" s="30"/>
      <c r="G17" s="30"/>
      <c r="H17" s="59"/>
      <c r="I17" s="30"/>
      <c r="J17" s="30"/>
      <c r="K17" s="30"/>
      <c r="L17" s="30"/>
      <c r="M17" s="59">
        <v>4.65</v>
      </c>
      <c r="N17" s="30"/>
      <c r="P17" s="98"/>
    </row>
    <row r="18">
      <c r="A18" s="43"/>
      <c r="B18" s="44" t="s">
        <v>668</v>
      </c>
      <c r="C18" s="59">
        <v>4.47</v>
      </c>
      <c r="D18" s="59"/>
      <c r="F18" s="59"/>
      <c r="G18" s="44"/>
      <c r="H18" s="44"/>
      <c r="I18" s="30"/>
      <c r="J18" s="45"/>
      <c r="K18" s="30"/>
      <c r="L18" s="45"/>
      <c r="M18" s="59">
        <v>4.47</v>
      </c>
      <c r="P18" s="98"/>
    </row>
    <row r="19">
      <c r="A19" s="43"/>
      <c r="B19" s="44" t="s">
        <v>668</v>
      </c>
      <c r="C19" s="59">
        <v>4.4</v>
      </c>
      <c r="D19" s="59"/>
      <c r="G19" s="59"/>
      <c r="H19" s="44"/>
      <c r="I19" s="44"/>
      <c r="J19" s="44"/>
      <c r="K19" s="59"/>
      <c r="L19" s="44"/>
      <c r="M19" s="59">
        <v>4.4</v>
      </c>
      <c r="N19" s="44"/>
      <c r="P19" s="98"/>
    </row>
    <row r="20">
      <c r="A20" s="43"/>
      <c r="B20" s="44" t="s">
        <v>668</v>
      </c>
      <c r="C20" s="59">
        <v>6.84</v>
      </c>
      <c r="D20" s="59"/>
      <c r="E20" s="59"/>
      <c r="F20" s="59"/>
      <c r="G20" s="44"/>
      <c r="H20" s="44"/>
      <c r="I20" s="44"/>
      <c r="J20" s="44"/>
      <c r="K20" s="44"/>
      <c r="L20" s="44"/>
      <c r="M20" s="59">
        <v>6.84</v>
      </c>
      <c r="N20" s="44"/>
      <c r="P20" s="98"/>
    </row>
    <row r="21">
      <c r="A21" s="43"/>
      <c r="B21" s="44" t="s">
        <v>668</v>
      </c>
      <c r="C21" s="59">
        <v>3.75</v>
      </c>
      <c r="D21" s="59"/>
      <c r="F21" s="59"/>
      <c r="G21" s="44"/>
      <c r="H21" s="45"/>
      <c r="I21" s="30"/>
      <c r="J21" s="45"/>
      <c r="K21" s="30"/>
      <c r="L21" s="45"/>
      <c r="M21" s="59">
        <v>3.75</v>
      </c>
      <c r="N21" s="59"/>
      <c r="P21" s="98"/>
    </row>
    <row r="22">
      <c r="A22" s="43"/>
      <c r="B22" s="44" t="s">
        <v>1289</v>
      </c>
      <c r="C22" s="59">
        <v>8.27</v>
      </c>
      <c r="D22" s="59"/>
      <c r="F22" s="59"/>
      <c r="G22" s="44"/>
      <c r="H22" s="45"/>
      <c r="I22" s="44"/>
      <c r="J22" s="45"/>
      <c r="K22" s="30"/>
      <c r="L22" s="45"/>
      <c r="M22" s="59">
        <v>8.27</v>
      </c>
      <c r="N22" s="59"/>
      <c r="P22" s="98"/>
    </row>
    <row r="23">
      <c r="A23" s="43"/>
      <c r="B23" s="44" t="s">
        <v>668</v>
      </c>
      <c r="C23" s="59">
        <v>3.75</v>
      </c>
      <c r="D23" s="59"/>
      <c r="F23" s="59"/>
      <c r="G23" s="59"/>
      <c r="H23" s="44"/>
      <c r="I23" s="30"/>
      <c r="J23" s="44"/>
      <c r="K23" s="30"/>
      <c r="L23" s="44"/>
      <c r="M23" s="59">
        <v>3.75</v>
      </c>
      <c r="P23" s="98"/>
    </row>
    <row r="24">
      <c r="A24" s="43">
        <v>46024.0</v>
      </c>
      <c r="B24" s="44" t="s">
        <v>1290</v>
      </c>
      <c r="C24" s="59">
        <v>49.23</v>
      </c>
      <c r="D24" s="59"/>
      <c r="M24" s="59">
        <v>49.23</v>
      </c>
      <c r="P24" s="98"/>
    </row>
    <row r="25">
      <c r="A25" s="43"/>
      <c r="B25" s="44" t="s">
        <v>1291</v>
      </c>
      <c r="C25" s="59">
        <v>58.64</v>
      </c>
      <c r="D25" s="59"/>
      <c r="F25" s="59"/>
      <c r="M25" s="59">
        <v>58.64</v>
      </c>
      <c r="P25" s="98"/>
    </row>
    <row r="26">
      <c r="A26" s="43"/>
      <c r="B26" s="1" t="s">
        <v>668</v>
      </c>
      <c r="C26" s="59">
        <v>4.32</v>
      </c>
      <c r="D26" s="59"/>
      <c r="G26" s="59"/>
      <c r="M26" s="59">
        <v>4.32</v>
      </c>
      <c r="P26" s="98"/>
    </row>
    <row r="27">
      <c r="A27" s="46"/>
      <c r="B27" s="44" t="s">
        <v>668</v>
      </c>
      <c r="C27" s="59">
        <v>4.04</v>
      </c>
      <c r="D27" s="59"/>
      <c r="G27" s="59"/>
      <c r="H27" s="59"/>
      <c r="M27" s="59">
        <v>4.04</v>
      </c>
      <c r="P27" s="98"/>
    </row>
    <row r="28">
      <c r="A28" s="43"/>
      <c r="B28" s="44" t="s">
        <v>1292</v>
      </c>
      <c r="C28" s="59">
        <v>11.58</v>
      </c>
      <c r="D28" s="59"/>
      <c r="G28" s="59"/>
      <c r="M28" s="59">
        <v>11.58</v>
      </c>
      <c r="P28" s="98"/>
    </row>
    <row r="29">
      <c r="A29" s="43"/>
      <c r="B29" s="44" t="s">
        <v>668</v>
      </c>
      <c r="C29" s="59">
        <v>3.87</v>
      </c>
      <c r="D29" s="59"/>
      <c r="G29" s="59"/>
      <c r="M29" s="59">
        <v>3.87</v>
      </c>
      <c r="P29" s="98"/>
    </row>
    <row r="30">
      <c r="A30" s="43">
        <v>46025.0</v>
      </c>
      <c r="B30" s="44" t="s">
        <v>1293</v>
      </c>
      <c r="C30" s="59">
        <v>6.0</v>
      </c>
      <c r="D30" s="59"/>
      <c r="G30" s="30"/>
      <c r="H30" s="30"/>
      <c r="I30" s="30"/>
      <c r="J30" s="30"/>
      <c r="K30" s="30"/>
      <c r="L30" s="30"/>
      <c r="M30" s="59">
        <v>6.0</v>
      </c>
      <c r="N30" s="30"/>
      <c r="P30" s="103"/>
      <c r="Q30" s="16"/>
      <c r="R30" s="16"/>
      <c r="S30" s="16"/>
      <c r="T30" s="16"/>
      <c r="U30" s="16"/>
      <c r="V30" s="16"/>
      <c r="W30" s="16"/>
      <c r="X30" s="16"/>
    </row>
    <row r="31">
      <c r="A31" s="43"/>
      <c r="B31" s="44" t="s">
        <v>1294</v>
      </c>
      <c r="C31" s="59">
        <v>20.0</v>
      </c>
      <c r="D31" s="59"/>
      <c r="E31" s="59"/>
      <c r="F31" s="30"/>
      <c r="M31" s="1">
        <v>10.0</v>
      </c>
      <c r="P31" s="104">
        <v>10.0</v>
      </c>
    </row>
    <row r="32">
      <c r="A32" s="43"/>
      <c r="B32" s="1" t="s">
        <v>1295</v>
      </c>
      <c r="C32" s="59">
        <v>25.74</v>
      </c>
      <c r="D32" s="59"/>
      <c r="E32" s="59"/>
      <c r="F32" s="59"/>
      <c r="M32" s="59">
        <v>25.74</v>
      </c>
      <c r="P32" s="98"/>
    </row>
    <row r="33">
      <c r="A33" s="43"/>
      <c r="B33" s="44" t="s">
        <v>272</v>
      </c>
      <c r="C33" s="59">
        <v>21.66</v>
      </c>
      <c r="D33" s="59"/>
      <c r="E33" s="30"/>
      <c r="F33" s="30"/>
      <c r="G33" s="30"/>
      <c r="H33" s="30"/>
      <c r="I33" s="30"/>
      <c r="J33" s="30"/>
      <c r="K33" s="59"/>
      <c r="L33" s="59"/>
      <c r="M33" s="59">
        <v>21.66</v>
      </c>
      <c r="P33" s="98"/>
    </row>
    <row r="34">
      <c r="A34" s="43"/>
      <c r="B34" s="44" t="s">
        <v>668</v>
      </c>
      <c r="C34" s="59">
        <v>8.0</v>
      </c>
      <c r="D34" s="59"/>
      <c r="M34" s="59">
        <v>8.0</v>
      </c>
      <c r="P34" s="98"/>
    </row>
    <row r="35">
      <c r="A35" s="43"/>
      <c r="B35" s="44" t="s">
        <v>668</v>
      </c>
      <c r="C35" s="59">
        <v>4.39</v>
      </c>
      <c r="D35" s="59"/>
      <c r="E35" s="59"/>
      <c r="M35" s="59">
        <v>4.39</v>
      </c>
      <c r="P35" s="98"/>
    </row>
    <row r="36">
      <c r="A36" s="41"/>
      <c r="B36" s="1" t="s">
        <v>598</v>
      </c>
      <c r="C36" s="59">
        <v>2.97</v>
      </c>
      <c r="D36" s="59"/>
      <c r="F36" s="59"/>
      <c r="M36" s="59">
        <v>2.97</v>
      </c>
      <c r="P36" s="98"/>
    </row>
    <row r="37">
      <c r="A37" s="41"/>
      <c r="B37" s="1" t="s">
        <v>668</v>
      </c>
      <c r="C37" s="59">
        <v>3.01</v>
      </c>
      <c r="D37" s="59"/>
      <c r="J37" s="30"/>
      <c r="K37" s="59"/>
      <c r="M37" s="59">
        <v>3.01</v>
      </c>
      <c r="P37" s="98"/>
    </row>
    <row r="38">
      <c r="A38" s="25">
        <v>46027.0</v>
      </c>
      <c r="B38" s="1" t="s">
        <v>668</v>
      </c>
      <c r="C38" s="59"/>
      <c r="D38" s="59">
        <v>14.9</v>
      </c>
      <c r="G38" s="59">
        <v>14.9</v>
      </c>
      <c r="K38" s="59"/>
      <c r="P38" s="98"/>
    </row>
    <row r="39">
      <c r="A39" s="41"/>
      <c r="B39" s="1" t="s">
        <v>668</v>
      </c>
      <c r="C39" s="59"/>
      <c r="D39" s="59">
        <v>15.9</v>
      </c>
      <c r="E39" s="59"/>
      <c r="G39" s="59">
        <v>15.9</v>
      </c>
      <c r="P39" s="98"/>
    </row>
    <row r="40">
      <c r="A40" s="66"/>
      <c r="B40" s="44" t="s">
        <v>1296</v>
      </c>
      <c r="C40" s="59"/>
      <c r="D40" s="59">
        <v>24.0</v>
      </c>
      <c r="F40" s="59">
        <v>24.0</v>
      </c>
      <c r="P40" s="98"/>
    </row>
    <row r="41">
      <c r="A41" s="25">
        <v>46028.0</v>
      </c>
      <c r="B41" s="44" t="s">
        <v>1297</v>
      </c>
      <c r="C41" s="59"/>
      <c r="D41" s="59">
        <v>45.0</v>
      </c>
      <c r="E41" s="59"/>
      <c r="J41" s="59">
        <v>45.0</v>
      </c>
      <c r="M41" s="59"/>
      <c r="P41" s="98"/>
    </row>
    <row r="42">
      <c r="A42" s="25"/>
      <c r="B42" s="44" t="s">
        <v>1298</v>
      </c>
      <c r="C42" s="59"/>
      <c r="D42" s="59">
        <v>9.38</v>
      </c>
      <c r="J42" s="59">
        <v>9.38</v>
      </c>
      <c r="M42" s="59"/>
      <c r="P42" s="98"/>
    </row>
    <row r="43">
      <c r="B43" s="1" t="s">
        <v>1299</v>
      </c>
      <c r="C43" s="59"/>
      <c r="D43" s="59">
        <v>9.0</v>
      </c>
      <c r="J43" s="59">
        <v>9.0</v>
      </c>
      <c r="P43" s="98"/>
    </row>
    <row r="44">
      <c r="A44" s="41">
        <v>46029.0</v>
      </c>
      <c r="B44" s="1" t="s">
        <v>616</v>
      </c>
      <c r="C44" s="59"/>
      <c r="D44" s="59">
        <v>108.35</v>
      </c>
      <c r="E44" s="59">
        <v>108.35</v>
      </c>
      <c r="M44" s="59"/>
      <c r="P44" s="98"/>
    </row>
    <row r="45">
      <c r="B45" s="1" t="s">
        <v>1132</v>
      </c>
      <c r="C45" s="59"/>
      <c r="D45" s="59">
        <v>219.7</v>
      </c>
      <c r="F45" s="59">
        <v>219.7</v>
      </c>
      <c r="M45" s="59"/>
      <c r="P45" s="98"/>
    </row>
    <row r="46">
      <c r="B46" s="1" t="s">
        <v>565</v>
      </c>
      <c r="C46" s="59"/>
      <c r="D46" s="59">
        <v>13.0</v>
      </c>
      <c r="F46" s="59">
        <v>13.0</v>
      </c>
      <c r="M46" s="59"/>
      <c r="P46" s="98"/>
    </row>
    <row r="47">
      <c r="A47" s="41"/>
      <c r="B47" s="1" t="s">
        <v>1300</v>
      </c>
      <c r="C47" s="59"/>
      <c r="D47" s="59">
        <v>22.9</v>
      </c>
      <c r="F47" s="59">
        <v>22.9</v>
      </c>
      <c r="M47" s="59"/>
      <c r="P47" s="98"/>
    </row>
    <row r="48">
      <c r="A48" s="41"/>
      <c r="B48" s="1" t="s">
        <v>1301</v>
      </c>
      <c r="C48" s="59">
        <v>6.0</v>
      </c>
      <c r="D48" s="59"/>
      <c r="M48" s="59"/>
      <c r="P48" s="105">
        <v>6.0</v>
      </c>
    </row>
    <row r="49">
      <c r="A49" s="41"/>
      <c r="B49" s="1" t="s">
        <v>1301</v>
      </c>
      <c r="C49" s="1">
        <v>9.01</v>
      </c>
      <c r="D49" s="59"/>
      <c r="F49" s="30"/>
      <c r="M49" s="59"/>
      <c r="P49" s="104">
        <v>9.01</v>
      </c>
    </row>
    <row r="50">
      <c r="B50" s="1" t="s">
        <v>1301</v>
      </c>
      <c r="C50" s="59">
        <v>45.06</v>
      </c>
      <c r="D50" s="59"/>
      <c r="F50" s="44"/>
      <c r="M50" s="59">
        <v>37.87</v>
      </c>
      <c r="P50" s="105">
        <f>45.06-M50</f>
        <v>7.19</v>
      </c>
    </row>
    <row r="51">
      <c r="B51" s="1" t="s">
        <v>1302</v>
      </c>
      <c r="C51" s="1">
        <v>67.8</v>
      </c>
      <c r="D51" s="59"/>
      <c r="F51" s="44"/>
      <c r="G51" s="44"/>
      <c r="M51" s="59"/>
      <c r="P51" s="104">
        <v>67.8</v>
      </c>
    </row>
    <row r="52">
      <c r="B52" s="59" t="s">
        <v>1303</v>
      </c>
      <c r="D52" s="59">
        <v>40.9</v>
      </c>
      <c r="F52" s="59">
        <v>40.9</v>
      </c>
      <c r="M52" s="59"/>
      <c r="P52" s="98"/>
    </row>
    <row r="53">
      <c r="C53" s="59"/>
      <c r="D53" s="59"/>
      <c r="L53" s="59"/>
      <c r="P53" s="98"/>
    </row>
    <row r="54">
      <c r="A54" s="41">
        <v>46056.0</v>
      </c>
      <c r="B54" s="1" t="s">
        <v>1304</v>
      </c>
      <c r="C54" s="60"/>
      <c r="D54" s="59">
        <v>60.0</v>
      </c>
      <c r="N54" s="59">
        <v>60.0</v>
      </c>
      <c r="P54" s="98"/>
    </row>
    <row r="55">
      <c r="B55" s="1" t="s">
        <v>1305</v>
      </c>
      <c r="C55" s="60"/>
      <c r="D55" s="59">
        <v>136.0</v>
      </c>
      <c r="F55" s="59">
        <v>136.0</v>
      </c>
      <c r="P55" s="98"/>
    </row>
    <row r="56">
      <c r="B56" s="1" t="s">
        <v>1306</v>
      </c>
      <c r="C56" s="60"/>
      <c r="D56" s="59">
        <v>5.0</v>
      </c>
      <c r="F56" s="59">
        <v>5.0</v>
      </c>
      <c r="P56" s="98"/>
    </row>
    <row r="57">
      <c r="B57" s="1" t="s">
        <v>1307</v>
      </c>
      <c r="C57" s="59"/>
      <c r="D57" s="59">
        <v>4.0</v>
      </c>
      <c r="F57" s="59">
        <v>4.0</v>
      </c>
      <c r="P57" s="98"/>
    </row>
    <row r="58">
      <c r="C58" s="60"/>
      <c r="D58" s="60"/>
      <c r="P58" s="98"/>
    </row>
    <row r="59">
      <c r="C59" s="60"/>
      <c r="D59" s="60"/>
      <c r="E59" s="98"/>
      <c r="F59" s="98"/>
      <c r="J59" s="98"/>
      <c r="M59" s="106"/>
      <c r="N59" s="106"/>
      <c r="P59" s="98"/>
    </row>
    <row r="60">
      <c r="C60" s="60"/>
      <c r="D60" s="60"/>
    </row>
    <row r="61">
      <c r="C61" s="60"/>
      <c r="D61" s="60"/>
    </row>
    <row r="62">
      <c r="C62" s="60"/>
      <c r="D62" s="60"/>
    </row>
    <row r="63">
      <c r="C63" s="60"/>
      <c r="D63" s="60"/>
    </row>
    <row r="64">
      <c r="C64" s="60"/>
      <c r="D64" s="60"/>
    </row>
    <row r="65">
      <c r="C65" s="60"/>
      <c r="D65" s="60"/>
    </row>
    <row r="66">
      <c r="C66" s="60"/>
      <c r="D66" s="60"/>
    </row>
    <row r="67">
      <c r="C67" s="60"/>
      <c r="D67" s="60"/>
    </row>
    <row r="68">
      <c r="C68" s="60"/>
      <c r="D68" s="60"/>
    </row>
    <row r="69">
      <c r="C69" s="60"/>
      <c r="D69" s="60"/>
    </row>
    <row r="70">
      <c r="C70" s="60"/>
      <c r="D70" s="60"/>
    </row>
    <row r="71">
      <c r="C71" s="60"/>
      <c r="D71" s="60"/>
    </row>
    <row r="72">
      <c r="C72" s="59"/>
      <c r="D72" s="59"/>
    </row>
    <row r="73">
      <c r="C73" s="59"/>
      <c r="D73" s="59"/>
    </row>
    <row r="74">
      <c r="C74" s="59"/>
      <c r="D74" s="59"/>
    </row>
    <row r="75">
      <c r="C75" s="59"/>
      <c r="D75" s="59"/>
    </row>
    <row r="76">
      <c r="C76" s="59"/>
      <c r="D76" s="59"/>
      <c r="E76" s="44"/>
      <c r="F76" s="44"/>
      <c r="G76" s="44"/>
      <c r="H76" s="44"/>
      <c r="I76" s="44"/>
      <c r="J76" s="44"/>
    </row>
    <row r="77">
      <c r="C77" s="59"/>
      <c r="D77" s="59"/>
      <c r="E77" s="44"/>
      <c r="F77" s="44"/>
    </row>
    <row r="78">
      <c r="C78" s="59"/>
      <c r="D78" s="59"/>
      <c r="F78" s="44"/>
    </row>
    <row r="79">
      <c r="C79" s="59"/>
      <c r="D79" s="59"/>
      <c r="E79" s="44"/>
    </row>
    <row r="80">
      <c r="C80" s="59"/>
      <c r="D80" s="59"/>
    </row>
    <row r="81">
      <c r="C81" s="60"/>
      <c r="D81" s="60"/>
    </row>
    <row r="82">
      <c r="C82" s="60"/>
      <c r="D82" s="60"/>
    </row>
    <row r="83">
      <c r="C83" s="59"/>
      <c r="D83" s="59"/>
    </row>
    <row r="84">
      <c r="C84" s="60"/>
      <c r="D84" s="60"/>
    </row>
    <row r="85">
      <c r="C85" s="60"/>
      <c r="D85" s="60"/>
      <c r="E85" s="67"/>
      <c r="F85" s="67"/>
      <c r="G85" s="68"/>
      <c r="H85" s="68"/>
      <c r="I85" s="67"/>
      <c r="J85" s="68"/>
    </row>
    <row r="86">
      <c r="C86" s="60"/>
      <c r="D86" s="60"/>
      <c r="E86" s="68"/>
      <c r="F86" s="68"/>
      <c r="G86" s="68"/>
      <c r="H86" s="68"/>
      <c r="I86" s="68"/>
      <c r="J86" s="68"/>
    </row>
    <row r="87">
      <c r="C87" s="60"/>
      <c r="D87" s="60"/>
    </row>
    <row r="88">
      <c r="C88" s="60"/>
      <c r="D88" s="60"/>
    </row>
    <row r="89">
      <c r="C89" s="60"/>
      <c r="D89" s="60"/>
    </row>
    <row r="90">
      <c r="C90" s="60"/>
      <c r="D90" s="60"/>
    </row>
    <row r="91">
      <c r="C91" s="60"/>
      <c r="D91" s="60"/>
    </row>
    <row r="92">
      <c r="C92" s="60"/>
      <c r="D92" s="60"/>
    </row>
    <row r="93">
      <c r="C93" s="60"/>
      <c r="D93" s="60"/>
    </row>
    <row r="94">
      <c r="C94" s="60"/>
      <c r="D94" s="60"/>
    </row>
    <row r="95">
      <c r="C95" s="60"/>
      <c r="D95" s="60"/>
    </row>
    <row r="96">
      <c r="C96" s="60"/>
      <c r="D96" s="60"/>
    </row>
    <row r="97">
      <c r="C97" s="60"/>
      <c r="D97" s="60"/>
    </row>
    <row r="98">
      <c r="C98" s="60"/>
      <c r="D98" s="60"/>
    </row>
    <row r="99">
      <c r="C99" s="60"/>
      <c r="D99" s="60"/>
    </row>
    <row r="100">
      <c r="C100" s="60"/>
      <c r="D100" s="60"/>
    </row>
    <row r="101">
      <c r="C101" s="60"/>
      <c r="D101" s="60"/>
    </row>
    <row r="102">
      <c r="C102" s="60"/>
      <c r="D102" s="60"/>
    </row>
    <row r="103">
      <c r="C103" s="60"/>
      <c r="D103" s="60"/>
    </row>
    <row r="104">
      <c r="C104" s="60"/>
      <c r="D104" s="60"/>
    </row>
    <row r="105">
      <c r="C105" s="60"/>
      <c r="D105" s="60"/>
    </row>
    <row r="106">
      <c r="C106" s="60"/>
      <c r="D106" s="60"/>
    </row>
    <row r="107">
      <c r="C107" s="60"/>
      <c r="D107" s="60"/>
    </row>
    <row r="108">
      <c r="C108" s="60"/>
      <c r="D108" s="60"/>
    </row>
    <row r="109">
      <c r="C109" s="60"/>
      <c r="D109" s="60"/>
    </row>
    <row r="110">
      <c r="C110" s="60"/>
      <c r="D110" s="60"/>
    </row>
    <row r="111">
      <c r="C111" s="60"/>
      <c r="D111" s="60"/>
    </row>
    <row r="112">
      <c r="C112" s="60"/>
      <c r="D112" s="60"/>
    </row>
    <row r="113">
      <c r="C113" s="60"/>
      <c r="D113" s="60"/>
    </row>
    <row r="114">
      <c r="C114" s="60"/>
      <c r="D114" s="60"/>
    </row>
    <row r="115">
      <c r="C115" s="60"/>
      <c r="D115" s="60"/>
    </row>
    <row r="116">
      <c r="C116" s="60"/>
      <c r="D116" s="60"/>
    </row>
    <row r="117">
      <c r="C117" s="60"/>
      <c r="D117" s="60"/>
    </row>
    <row r="118">
      <c r="C118" s="60"/>
      <c r="D118" s="60"/>
    </row>
    <row r="119">
      <c r="C119" s="60"/>
      <c r="D119" s="60"/>
    </row>
    <row r="120">
      <c r="C120" s="60"/>
      <c r="D120" s="60"/>
    </row>
    <row r="121">
      <c r="C121" s="60"/>
      <c r="D121" s="60"/>
    </row>
    <row r="122">
      <c r="C122" s="60"/>
      <c r="D122" s="60"/>
    </row>
    <row r="123">
      <c r="C123" s="60"/>
      <c r="D123" s="60"/>
    </row>
    <row r="124">
      <c r="C124" s="60"/>
      <c r="D124" s="60"/>
    </row>
    <row r="125">
      <c r="C125" s="60"/>
      <c r="D125" s="60"/>
    </row>
    <row r="126">
      <c r="C126" s="60"/>
      <c r="D126" s="60"/>
    </row>
    <row r="127">
      <c r="C127" s="60"/>
      <c r="D127" s="60"/>
    </row>
    <row r="128">
      <c r="C128" s="60"/>
      <c r="D128" s="60"/>
    </row>
    <row r="129">
      <c r="C129" s="60"/>
      <c r="D129" s="60"/>
    </row>
    <row r="130">
      <c r="C130" s="60"/>
      <c r="D130" s="60"/>
    </row>
    <row r="131">
      <c r="C131" s="60"/>
      <c r="D131" s="60"/>
    </row>
    <row r="132">
      <c r="C132" s="60"/>
      <c r="D132" s="60"/>
    </row>
    <row r="133">
      <c r="C133" s="60"/>
      <c r="D133" s="60"/>
    </row>
    <row r="134">
      <c r="C134" s="60"/>
      <c r="D134" s="60"/>
    </row>
    <row r="135">
      <c r="C135" s="60"/>
      <c r="D135" s="60"/>
    </row>
    <row r="136">
      <c r="C136" s="60"/>
      <c r="D136" s="60"/>
    </row>
    <row r="137">
      <c r="C137" s="60"/>
      <c r="D137" s="60"/>
    </row>
    <row r="138">
      <c r="C138" s="60"/>
      <c r="D138" s="60"/>
    </row>
    <row r="139">
      <c r="C139" s="60"/>
      <c r="D139" s="60"/>
    </row>
    <row r="140">
      <c r="C140" s="60"/>
      <c r="D140" s="60"/>
    </row>
    <row r="141">
      <c r="C141" s="60"/>
      <c r="D141" s="60"/>
    </row>
    <row r="142">
      <c r="C142" s="60"/>
      <c r="D142" s="60"/>
    </row>
    <row r="143">
      <c r="C143" s="60"/>
      <c r="D143" s="60"/>
    </row>
    <row r="144">
      <c r="C144" s="60"/>
      <c r="D144" s="60"/>
    </row>
    <row r="145">
      <c r="C145" s="60"/>
      <c r="D145" s="60"/>
    </row>
    <row r="146">
      <c r="C146" s="60"/>
      <c r="D146" s="60"/>
    </row>
    <row r="147">
      <c r="C147" s="60"/>
      <c r="D147" s="60"/>
    </row>
    <row r="148">
      <c r="C148" s="60"/>
      <c r="D148" s="60"/>
    </row>
    <row r="149">
      <c r="C149" s="60"/>
      <c r="D149" s="60"/>
    </row>
    <row r="150">
      <c r="C150" s="60"/>
      <c r="D150" s="60"/>
    </row>
    <row r="151">
      <c r="C151" s="60"/>
      <c r="D151" s="60"/>
    </row>
    <row r="152">
      <c r="C152" s="60"/>
      <c r="D152" s="60"/>
    </row>
    <row r="153">
      <c r="C153" s="60"/>
      <c r="D153" s="60"/>
    </row>
    <row r="154">
      <c r="C154" s="60"/>
      <c r="D154" s="60"/>
    </row>
    <row r="155">
      <c r="C155" s="60"/>
      <c r="D155" s="60"/>
    </row>
    <row r="156">
      <c r="C156" s="60"/>
      <c r="D156" s="60"/>
    </row>
    <row r="157">
      <c r="C157" s="60"/>
      <c r="D157" s="60"/>
    </row>
    <row r="158">
      <c r="C158" s="60"/>
      <c r="D158" s="60"/>
    </row>
    <row r="159">
      <c r="C159" s="60"/>
      <c r="D159" s="60"/>
    </row>
    <row r="160">
      <c r="C160" s="60"/>
      <c r="D160" s="60"/>
    </row>
    <row r="161">
      <c r="C161" s="60"/>
      <c r="D161" s="60"/>
    </row>
    <row r="162">
      <c r="C162" s="60"/>
      <c r="D162" s="60"/>
    </row>
    <row r="163">
      <c r="C163" s="60"/>
      <c r="D163" s="60"/>
    </row>
    <row r="164">
      <c r="C164" s="60"/>
      <c r="D164" s="60"/>
    </row>
    <row r="165">
      <c r="C165" s="60"/>
      <c r="D165" s="60"/>
    </row>
    <row r="166">
      <c r="C166" s="60"/>
      <c r="D166" s="60"/>
    </row>
    <row r="167">
      <c r="C167" s="60"/>
      <c r="D167" s="60"/>
    </row>
    <row r="168">
      <c r="C168" s="60"/>
      <c r="D168" s="60"/>
    </row>
    <row r="169">
      <c r="C169" s="60"/>
      <c r="D169" s="60"/>
    </row>
    <row r="170">
      <c r="C170" s="60"/>
      <c r="D170" s="60"/>
    </row>
    <row r="171">
      <c r="C171" s="60"/>
      <c r="D171" s="60"/>
    </row>
    <row r="172">
      <c r="C172" s="60"/>
      <c r="D172" s="60"/>
    </row>
    <row r="173">
      <c r="C173" s="60"/>
      <c r="D173" s="60"/>
    </row>
    <row r="174">
      <c r="C174" s="60"/>
      <c r="D174" s="60"/>
    </row>
    <row r="175">
      <c r="C175" s="60"/>
      <c r="D175" s="60"/>
    </row>
    <row r="176">
      <c r="C176" s="60"/>
      <c r="D176" s="60"/>
    </row>
    <row r="177">
      <c r="C177" s="60"/>
      <c r="D177" s="60"/>
    </row>
    <row r="178">
      <c r="C178" s="60"/>
      <c r="D178" s="60"/>
    </row>
    <row r="179">
      <c r="C179" s="60"/>
      <c r="D179" s="60"/>
    </row>
    <row r="180">
      <c r="C180" s="60"/>
      <c r="D180" s="60"/>
    </row>
    <row r="181">
      <c r="C181" s="60"/>
      <c r="D181" s="60"/>
    </row>
    <row r="182">
      <c r="C182" s="60"/>
      <c r="D182" s="60"/>
    </row>
    <row r="183">
      <c r="C183" s="60"/>
      <c r="D183" s="60"/>
    </row>
    <row r="184">
      <c r="C184" s="60"/>
      <c r="D184" s="60"/>
    </row>
    <row r="185">
      <c r="C185" s="60"/>
      <c r="D185" s="60"/>
    </row>
    <row r="186">
      <c r="C186" s="60"/>
      <c r="D186" s="60"/>
    </row>
    <row r="187">
      <c r="C187" s="60"/>
      <c r="D187" s="60"/>
    </row>
    <row r="188">
      <c r="C188" s="60"/>
      <c r="D188" s="60"/>
    </row>
    <row r="189">
      <c r="C189" s="60"/>
      <c r="D189" s="60"/>
    </row>
    <row r="190">
      <c r="C190" s="60"/>
      <c r="D190" s="60"/>
    </row>
    <row r="191">
      <c r="C191" s="60"/>
      <c r="D191" s="60"/>
    </row>
    <row r="192">
      <c r="C192" s="60"/>
      <c r="D192" s="60"/>
    </row>
    <row r="193">
      <c r="C193" s="60"/>
      <c r="D193" s="60"/>
    </row>
    <row r="194">
      <c r="C194" s="60"/>
      <c r="D194" s="60"/>
    </row>
    <row r="195">
      <c r="C195" s="60"/>
      <c r="D195" s="60"/>
    </row>
    <row r="196">
      <c r="C196" s="60"/>
      <c r="D196" s="60"/>
    </row>
    <row r="197">
      <c r="C197" s="60"/>
      <c r="D197" s="60"/>
    </row>
    <row r="198">
      <c r="C198" s="60"/>
      <c r="D198" s="60"/>
    </row>
    <row r="199">
      <c r="C199" s="60"/>
      <c r="D199" s="60"/>
    </row>
    <row r="200">
      <c r="C200" s="60"/>
      <c r="D200" s="60"/>
    </row>
    <row r="201">
      <c r="C201" s="60"/>
      <c r="D201" s="60"/>
    </row>
    <row r="202">
      <c r="C202" s="60"/>
      <c r="D202" s="60"/>
    </row>
    <row r="203">
      <c r="C203" s="60"/>
      <c r="D203" s="60"/>
    </row>
    <row r="204">
      <c r="C204" s="60"/>
      <c r="D204" s="60"/>
    </row>
    <row r="205">
      <c r="C205" s="60"/>
      <c r="D205" s="60"/>
    </row>
    <row r="206">
      <c r="C206" s="60"/>
      <c r="D206" s="60"/>
    </row>
    <row r="207">
      <c r="C207" s="60"/>
      <c r="D207" s="60"/>
    </row>
    <row r="208">
      <c r="C208" s="60"/>
      <c r="D208" s="60"/>
    </row>
    <row r="209">
      <c r="C209" s="60"/>
      <c r="D209" s="60"/>
    </row>
    <row r="210">
      <c r="C210" s="60"/>
      <c r="D210" s="60"/>
    </row>
    <row r="211">
      <c r="C211" s="60"/>
      <c r="D211" s="60"/>
    </row>
    <row r="212">
      <c r="C212" s="60"/>
      <c r="D212" s="60"/>
    </row>
    <row r="213">
      <c r="C213" s="60"/>
      <c r="D213" s="60"/>
    </row>
    <row r="214">
      <c r="C214" s="60"/>
      <c r="D214" s="60"/>
    </row>
    <row r="215">
      <c r="C215" s="60"/>
      <c r="D215" s="60"/>
    </row>
    <row r="216">
      <c r="C216" s="60"/>
      <c r="D216" s="60"/>
    </row>
    <row r="217">
      <c r="C217" s="60"/>
      <c r="D217" s="60"/>
    </row>
    <row r="218">
      <c r="C218" s="60"/>
      <c r="D218" s="60"/>
    </row>
    <row r="219">
      <c r="C219" s="60"/>
      <c r="D219" s="60"/>
    </row>
    <row r="220">
      <c r="C220" s="60"/>
      <c r="D220" s="60"/>
    </row>
    <row r="221">
      <c r="C221" s="60"/>
      <c r="D221" s="60"/>
    </row>
    <row r="222">
      <c r="C222" s="60"/>
      <c r="D222" s="60"/>
    </row>
    <row r="223">
      <c r="C223" s="60"/>
      <c r="D223" s="60"/>
    </row>
    <row r="224">
      <c r="C224" s="60"/>
      <c r="D224" s="60"/>
    </row>
    <row r="225">
      <c r="C225" s="60"/>
      <c r="D225" s="60"/>
    </row>
    <row r="226">
      <c r="C226" s="60"/>
      <c r="D226" s="60"/>
    </row>
    <row r="227">
      <c r="C227" s="60"/>
      <c r="D227" s="60"/>
    </row>
    <row r="228">
      <c r="C228" s="60"/>
      <c r="D228" s="60"/>
    </row>
    <row r="229">
      <c r="C229" s="60"/>
      <c r="D229" s="60"/>
    </row>
    <row r="230">
      <c r="C230" s="60"/>
      <c r="D230" s="60"/>
    </row>
    <row r="231">
      <c r="C231" s="60"/>
      <c r="D231" s="60"/>
    </row>
    <row r="232">
      <c r="C232" s="60"/>
      <c r="D232" s="60"/>
    </row>
    <row r="233">
      <c r="C233" s="60"/>
      <c r="D233" s="60"/>
    </row>
    <row r="234">
      <c r="C234" s="60"/>
      <c r="D234" s="60"/>
    </row>
    <row r="235">
      <c r="C235" s="60"/>
      <c r="D235" s="60"/>
    </row>
    <row r="236">
      <c r="C236" s="60"/>
      <c r="D236" s="60"/>
    </row>
    <row r="237">
      <c r="C237" s="60"/>
      <c r="D237" s="60"/>
    </row>
    <row r="238">
      <c r="C238" s="60"/>
      <c r="D238" s="60"/>
    </row>
    <row r="239">
      <c r="C239" s="60"/>
      <c r="D239" s="60"/>
    </row>
    <row r="240">
      <c r="C240" s="60"/>
      <c r="D240" s="60"/>
    </row>
    <row r="241">
      <c r="C241" s="60"/>
      <c r="D241" s="60"/>
    </row>
    <row r="242">
      <c r="C242" s="60"/>
      <c r="D242" s="60"/>
    </row>
    <row r="243">
      <c r="C243" s="60"/>
      <c r="D243" s="60"/>
    </row>
    <row r="244">
      <c r="C244" s="60"/>
      <c r="D244" s="60"/>
    </row>
    <row r="245">
      <c r="C245" s="60"/>
      <c r="D245" s="60"/>
    </row>
    <row r="246">
      <c r="C246" s="60"/>
      <c r="D246" s="60"/>
    </row>
    <row r="247">
      <c r="C247" s="60"/>
      <c r="D247" s="60"/>
    </row>
    <row r="248">
      <c r="C248" s="60"/>
      <c r="D248" s="60"/>
    </row>
    <row r="249">
      <c r="C249" s="60"/>
      <c r="D249" s="60"/>
    </row>
    <row r="250">
      <c r="C250" s="60"/>
      <c r="D250" s="60"/>
    </row>
    <row r="251">
      <c r="C251" s="60"/>
      <c r="D251" s="60"/>
    </row>
    <row r="252">
      <c r="C252" s="60"/>
      <c r="D252" s="60"/>
    </row>
    <row r="253">
      <c r="C253" s="60"/>
      <c r="D253" s="60"/>
    </row>
    <row r="254">
      <c r="C254" s="60"/>
      <c r="D254" s="60"/>
    </row>
    <row r="255">
      <c r="C255" s="60"/>
      <c r="D255" s="60"/>
    </row>
    <row r="256">
      <c r="C256" s="60"/>
      <c r="D256" s="60"/>
    </row>
    <row r="257">
      <c r="C257" s="60"/>
      <c r="D257" s="60"/>
    </row>
    <row r="258">
      <c r="C258" s="60"/>
      <c r="D258" s="60"/>
    </row>
    <row r="259">
      <c r="C259" s="60"/>
      <c r="D259" s="60"/>
    </row>
    <row r="260">
      <c r="C260" s="60"/>
      <c r="D260" s="60"/>
    </row>
    <row r="261">
      <c r="C261" s="60"/>
      <c r="D261" s="60"/>
    </row>
    <row r="262">
      <c r="C262" s="60"/>
      <c r="D262" s="60"/>
    </row>
    <row r="263">
      <c r="C263" s="60"/>
      <c r="D263" s="60"/>
    </row>
    <row r="264">
      <c r="C264" s="60"/>
      <c r="D264" s="60"/>
    </row>
    <row r="265">
      <c r="C265" s="60"/>
      <c r="D265" s="60"/>
    </row>
    <row r="266">
      <c r="C266" s="60"/>
      <c r="D266" s="60"/>
    </row>
    <row r="267">
      <c r="C267" s="60"/>
      <c r="D267" s="60"/>
    </row>
    <row r="268">
      <c r="C268" s="60"/>
      <c r="D268" s="60"/>
    </row>
    <row r="269">
      <c r="C269" s="60"/>
      <c r="D269" s="60"/>
    </row>
    <row r="270">
      <c r="C270" s="60"/>
      <c r="D270" s="60"/>
    </row>
    <row r="271">
      <c r="C271" s="60"/>
      <c r="D271" s="60"/>
    </row>
    <row r="272">
      <c r="C272" s="60"/>
      <c r="D272" s="60"/>
    </row>
    <row r="273">
      <c r="C273" s="60"/>
      <c r="D273" s="60"/>
    </row>
    <row r="274">
      <c r="C274" s="60"/>
      <c r="D274" s="60"/>
    </row>
    <row r="275">
      <c r="C275" s="60"/>
      <c r="D275" s="60"/>
    </row>
    <row r="276">
      <c r="C276" s="60"/>
      <c r="D276" s="60"/>
    </row>
    <row r="277">
      <c r="C277" s="60"/>
      <c r="D277" s="60"/>
    </row>
    <row r="278">
      <c r="C278" s="60"/>
      <c r="D278" s="60"/>
    </row>
    <row r="279">
      <c r="C279" s="60"/>
      <c r="D279" s="60"/>
    </row>
    <row r="280">
      <c r="C280" s="60"/>
      <c r="D280" s="60"/>
    </row>
    <row r="281">
      <c r="C281" s="60"/>
      <c r="D281" s="60"/>
    </row>
    <row r="282">
      <c r="C282" s="60"/>
      <c r="D282" s="60"/>
    </row>
    <row r="283">
      <c r="C283" s="60"/>
      <c r="D283" s="60"/>
    </row>
    <row r="284">
      <c r="C284" s="60"/>
      <c r="D284" s="60"/>
    </row>
    <row r="285">
      <c r="C285" s="60"/>
      <c r="D285" s="60"/>
    </row>
    <row r="286">
      <c r="C286" s="60"/>
      <c r="D286" s="60"/>
    </row>
    <row r="287">
      <c r="C287" s="60"/>
      <c r="D287" s="60"/>
    </row>
    <row r="288">
      <c r="C288" s="60"/>
      <c r="D288" s="60"/>
    </row>
    <row r="289">
      <c r="C289" s="60"/>
      <c r="D289" s="60"/>
    </row>
    <row r="290">
      <c r="C290" s="60"/>
      <c r="D290" s="60"/>
    </row>
    <row r="291">
      <c r="C291" s="60"/>
      <c r="D291" s="60"/>
    </row>
    <row r="292">
      <c r="C292" s="60"/>
      <c r="D292" s="60"/>
    </row>
    <row r="293">
      <c r="C293" s="60"/>
      <c r="D293" s="60"/>
    </row>
    <row r="294">
      <c r="C294" s="60"/>
      <c r="D294" s="60"/>
    </row>
    <row r="295">
      <c r="C295" s="60"/>
      <c r="D295" s="60"/>
    </row>
    <row r="296">
      <c r="C296" s="60"/>
      <c r="D296" s="60"/>
    </row>
    <row r="297">
      <c r="C297" s="60"/>
      <c r="D297" s="60"/>
    </row>
    <row r="298">
      <c r="C298" s="60"/>
      <c r="D298" s="60"/>
    </row>
    <row r="299">
      <c r="C299" s="60"/>
      <c r="D299" s="60"/>
    </row>
    <row r="300">
      <c r="C300" s="60"/>
      <c r="D300" s="60"/>
    </row>
    <row r="301">
      <c r="C301" s="60"/>
      <c r="D301" s="60"/>
    </row>
    <row r="302">
      <c r="C302" s="60"/>
      <c r="D302" s="60"/>
    </row>
    <row r="303">
      <c r="C303" s="60"/>
      <c r="D303" s="60"/>
    </row>
    <row r="304">
      <c r="C304" s="60"/>
      <c r="D304" s="60"/>
    </row>
    <row r="305">
      <c r="C305" s="60"/>
      <c r="D305" s="60"/>
    </row>
    <row r="306">
      <c r="C306" s="60"/>
      <c r="D306" s="60"/>
    </row>
    <row r="307">
      <c r="C307" s="60"/>
      <c r="D307" s="60"/>
    </row>
    <row r="308">
      <c r="C308" s="60"/>
      <c r="D308" s="60"/>
    </row>
    <row r="309">
      <c r="C309" s="60"/>
      <c r="D309" s="60"/>
    </row>
    <row r="310">
      <c r="C310" s="60"/>
      <c r="D310" s="60"/>
    </row>
    <row r="311">
      <c r="C311" s="60"/>
      <c r="D311" s="60"/>
    </row>
    <row r="312">
      <c r="C312" s="60"/>
      <c r="D312" s="60"/>
    </row>
    <row r="313">
      <c r="C313" s="60"/>
      <c r="D313" s="60"/>
    </row>
    <row r="314">
      <c r="C314" s="60"/>
      <c r="D314" s="60"/>
    </row>
    <row r="315">
      <c r="C315" s="60"/>
      <c r="D315" s="60"/>
    </row>
    <row r="316">
      <c r="C316" s="60"/>
      <c r="D316" s="60"/>
    </row>
    <row r="317">
      <c r="C317" s="60"/>
      <c r="D317" s="60"/>
    </row>
    <row r="318">
      <c r="C318" s="60"/>
      <c r="D318" s="60"/>
    </row>
    <row r="319">
      <c r="C319" s="60"/>
      <c r="D319" s="60"/>
    </row>
    <row r="320">
      <c r="C320" s="60"/>
      <c r="D320" s="60"/>
    </row>
    <row r="321">
      <c r="C321" s="60"/>
      <c r="D321" s="60"/>
    </row>
    <row r="322">
      <c r="C322" s="60"/>
      <c r="D322" s="60"/>
    </row>
    <row r="323">
      <c r="C323" s="60"/>
      <c r="D323" s="60"/>
    </row>
    <row r="324">
      <c r="C324" s="60"/>
      <c r="D324" s="60"/>
    </row>
    <row r="325">
      <c r="C325" s="60"/>
      <c r="D325" s="60"/>
    </row>
    <row r="326">
      <c r="C326" s="60"/>
      <c r="D326" s="60"/>
    </row>
    <row r="327">
      <c r="C327" s="60"/>
      <c r="D327" s="60"/>
    </row>
    <row r="328">
      <c r="C328" s="60"/>
      <c r="D328" s="60"/>
    </row>
    <row r="329">
      <c r="C329" s="60"/>
      <c r="D329" s="60"/>
    </row>
    <row r="330">
      <c r="C330" s="60"/>
      <c r="D330" s="60"/>
    </row>
    <row r="331">
      <c r="C331" s="60"/>
      <c r="D331" s="60"/>
    </row>
    <row r="332">
      <c r="C332" s="60"/>
      <c r="D332" s="60"/>
    </row>
    <row r="333">
      <c r="C333" s="60"/>
      <c r="D333" s="60"/>
    </row>
    <row r="334">
      <c r="C334" s="60"/>
      <c r="D334" s="60"/>
    </row>
    <row r="335">
      <c r="C335" s="60"/>
      <c r="D335" s="60"/>
    </row>
    <row r="336">
      <c r="C336" s="60"/>
      <c r="D336" s="60"/>
    </row>
    <row r="337">
      <c r="C337" s="60"/>
      <c r="D337" s="60"/>
    </row>
    <row r="338">
      <c r="C338" s="60"/>
      <c r="D338" s="60"/>
    </row>
    <row r="339">
      <c r="C339" s="60"/>
      <c r="D339" s="60"/>
    </row>
    <row r="340">
      <c r="C340" s="60"/>
      <c r="D340" s="60"/>
    </row>
    <row r="341">
      <c r="C341" s="60"/>
      <c r="D341" s="60"/>
    </row>
    <row r="342">
      <c r="C342" s="60"/>
      <c r="D342" s="60"/>
    </row>
    <row r="343">
      <c r="C343" s="60"/>
      <c r="D343" s="60"/>
    </row>
    <row r="344">
      <c r="C344" s="60"/>
      <c r="D344" s="60"/>
    </row>
    <row r="345">
      <c r="C345" s="60"/>
      <c r="D345" s="60"/>
    </row>
    <row r="346">
      <c r="C346" s="60"/>
      <c r="D346" s="60"/>
    </row>
    <row r="347">
      <c r="C347" s="60"/>
      <c r="D347" s="60"/>
    </row>
    <row r="348">
      <c r="C348" s="60"/>
      <c r="D348" s="60"/>
    </row>
    <row r="349">
      <c r="C349" s="60"/>
      <c r="D349" s="60"/>
    </row>
    <row r="350">
      <c r="C350" s="60"/>
      <c r="D350" s="60"/>
    </row>
    <row r="351">
      <c r="C351" s="60"/>
      <c r="D351" s="60"/>
    </row>
    <row r="352">
      <c r="C352" s="60"/>
      <c r="D352" s="60"/>
    </row>
    <row r="353">
      <c r="C353" s="60"/>
      <c r="D353" s="60"/>
    </row>
    <row r="354">
      <c r="C354" s="60"/>
      <c r="D354" s="60"/>
    </row>
    <row r="355">
      <c r="C355" s="60"/>
      <c r="D355" s="60"/>
    </row>
    <row r="356">
      <c r="C356" s="60"/>
      <c r="D356" s="60"/>
    </row>
    <row r="357">
      <c r="C357" s="60"/>
      <c r="D357" s="60"/>
    </row>
    <row r="358">
      <c r="C358" s="60"/>
      <c r="D358" s="60"/>
    </row>
    <row r="359">
      <c r="C359" s="60"/>
      <c r="D359" s="60"/>
    </row>
    <row r="360">
      <c r="C360" s="60"/>
      <c r="D360" s="60"/>
    </row>
    <row r="361">
      <c r="C361" s="60"/>
      <c r="D361" s="60"/>
    </row>
    <row r="362">
      <c r="C362" s="60"/>
      <c r="D362" s="60"/>
    </row>
    <row r="363">
      <c r="C363" s="60"/>
      <c r="D363" s="60"/>
    </row>
    <row r="364">
      <c r="C364" s="60"/>
      <c r="D364" s="60"/>
    </row>
    <row r="365">
      <c r="C365" s="60"/>
      <c r="D365" s="60"/>
    </row>
    <row r="366">
      <c r="C366" s="60"/>
      <c r="D366" s="60"/>
    </row>
    <row r="367">
      <c r="C367" s="60"/>
      <c r="D367" s="60"/>
    </row>
    <row r="368">
      <c r="C368" s="60"/>
      <c r="D368" s="60"/>
    </row>
    <row r="369">
      <c r="C369" s="60"/>
      <c r="D369" s="60"/>
    </row>
    <row r="370">
      <c r="C370" s="60"/>
      <c r="D370" s="60"/>
    </row>
    <row r="371">
      <c r="C371" s="60"/>
      <c r="D371" s="60"/>
    </row>
    <row r="372">
      <c r="C372" s="60"/>
      <c r="D372" s="60"/>
    </row>
    <row r="373">
      <c r="C373" s="60"/>
      <c r="D373" s="60"/>
    </row>
    <row r="374">
      <c r="C374" s="60"/>
      <c r="D374" s="60"/>
    </row>
    <row r="375">
      <c r="C375" s="60"/>
      <c r="D375" s="60"/>
    </row>
    <row r="376">
      <c r="C376" s="60"/>
      <c r="D376" s="60"/>
    </row>
    <row r="377">
      <c r="C377" s="60"/>
      <c r="D377" s="60"/>
    </row>
    <row r="378">
      <c r="C378" s="60"/>
      <c r="D378" s="60"/>
    </row>
    <row r="379">
      <c r="C379" s="60"/>
      <c r="D379" s="60"/>
    </row>
    <row r="380">
      <c r="C380" s="60"/>
      <c r="D380" s="60"/>
    </row>
    <row r="381">
      <c r="C381" s="60"/>
      <c r="D381" s="60"/>
    </row>
    <row r="382">
      <c r="C382" s="60"/>
      <c r="D382" s="60"/>
    </row>
    <row r="383">
      <c r="C383" s="60"/>
      <c r="D383" s="60"/>
    </row>
    <row r="384">
      <c r="C384" s="60"/>
      <c r="D384" s="60"/>
    </row>
    <row r="385">
      <c r="C385" s="60"/>
      <c r="D385" s="60"/>
    </row>
    <row r="386">
      <c r="C386" s="60"/>
      <c r="D386" s="60"/>
    </row>
    <row r="387">
      <c r="C387" s="60"/>
      <c r="D387" s="60"/>
    </row>
    <row r="388">
      <c r="C388" s="60"/>
      <c r="D388" s="60"/>
    </row>
    <row r="389">
      <c r="C389" s="60"/>
      <c r="D389" s="60"/>
    </row>
    <row r="390">
      <c r="C390" s="60"/>
      <c r="D390" s="60"/>
    </row>
    <row r="391">
      <c r="C391" s="60"/>
      <c r="D391" s="60"/>
    </row>
    <row r="392">
      <c r="C392" s="60"/>
      <c r="D392" s="60"/>
    </row>
    <row r="393">
      <c r="C393" s="60"/>
      <c r="D393" s="60"/>
    </row>
    <row r="394">
      <c r="C394" s="60"/>
      <c r="D394" s="60"/>
    </row>
    <row r="395">
      <c r="C395" s="60"/>
      <c r="D395" s="60"/>
    </row>
    <row r="396">
      <c r="C396" s="60"/>
      <c r="D396" s="60"/>
    </row>
    <row r="397">
      <c r="C397" s="60"/>
      <c r="D397" s="60"/>
    </row>
    <row r="398">
      <c r="C398" s="60"/>
      <c r="D398" s="60"/>
    </row>
    <row r="399">
      <c r="C399" s="60"/>
      <c r="D399" s="60"/>
    </row>
    <row r="400">
      <c r="C400" s="60"/>
      <c r="D400" s="60"/>
    </row>
    <row r="401">
      <c r="C401" s="60"/>
      <c r="D401" s="60"/>
    </row>
    <row r="402">
      <c r="C402" s="60"/>
      <c r="D402" s="60"/>
    </row>
    <row r="403">
      <c r="C403" s="60"/>
      <c r="D403" s="60"/>
    </row>
    <row r="404">
      <c r="C404" s="60"/>
      <c r="D404" s="60"/>
    </row>
    <row r="405">
      <c r="C405" s="60"/>
      <c r="D405" s="60"/>
    </row>
    <row r="406">
      <c r="C406" s="60"/>
      <c r="D406" s="60"/>
    </row>
    <row r="407">
      <c r="C407" s="60"/>
      <c r="D407" s="60"/>
    </row>
    <row r="408">
      <c r="C408" s="60"/>
      <c r="D408" s="60"/>
    </row>
    <row r="409">
      <c r="C409" s="60"/>
      <c r="D409" s="60"/>
    </row>
    <row r="410">
      <c r="C410" s="60"/>
      <c r="D410" s="60"/>
    </row>
    <row r="411">
      <c r="C411" s="60"/>
      <c r="D411" s="60"/>
    </row>
    <row r="412">
      <c r="C412" s="60"/>
      <c r="D412" s="60"/>
    </row>
    <row r="413">
      <c r="C413" s="60"/>
      <c r="D413" s="60"/>
    </row>
    <row r="414">
      <c r="C414" s="60"/>
      <c r="D414" s="60"/>
    </row>
    <row r="415">
      <c r="C415" s="60"/>
      <c r="D415" s="60"/>
    </row>
    <row r="416">
      <c r="C416" s="60"/>
      <c r="D416" s="60"/>
    </row>
    <row r="417">
      <c r="C417" s="60"/>
      <c r="D417" s="60"/>
    </row>
    <row r="418">
      <c r="C418" s="60"/>
      <c r="D418" s="60"/>
    </row>
    <row r="419">
      <c r="C419" s="60"/>
      <c r="D419" s="60"/>
    </row>
    <row r="420">
      <c r="C420" s="60"/>
      <c r="D420" s="60"/>
    </row>
    <row r="421">
      <c r="C421" s="60"/>
      <c r="D421" s="60"/>
    </row>
    <row r="422">
      <c r="C422" s="60"/>
      <c r="D422" s="60"/>
    </row>
    <row r="423">
      <c r="C423" s="60"/>
      <c r="D423" s="60"/>
    </row>
    <row r="424">
      <c r="C424" s="60"/>
      <c r="D424" s="60"/>
    </row>
    <row r="425">
      <c r="C425" s="60"/>
      <c r="D425" s="60"/>
    </row>
    <row r="426">
      <c r="C426" s="60"/>
      <c r="D426" s="60"/>
    </row>
    <row r="427">
      <c r="C427" s="60"/>
      <c r="D427" s="60"/>
    </row>
    <row r="428">
      <c r="C428" s="60"/>
      <c r="D428" s="60"/>
    </row>
    <row r="429">
      <c r="C429" s="60"/>
      <c r="D429" s="60"/>
    </row>
    <row r="430">
      <c r="C430" s="60"/>
      <c r="D430" s="60"/>
    </row>
    <row r="431">
      <c r="C431" s="60"/>
      <c r="D431" s="60"/>
    </row>
    <row r="432">
      <c r="C432" s="60"/>
      <c r="D432" s="60"/>
    </row>
    <row r="433">
      <c r="C433" s="60"/>
      <c r="D433" s="60"/>
    </row>
    <row r="434">
      <c r="C434" s="60"/>
      <c r="D434" s="60"/>
    </row>
    <row r="435">
      <c r="C435" s="60"/>
      <c r="D435" s="60"/>
    </row>
    <row r="436">
      <c r="C436" s="60"/>
      <c r="D436" s="60"/>
    </row>
    <row r="437">
      <c r="C437" s="60"/>
      <c r="D437" s="60"/>
    </row>
    <row r="438">
      <c r="C438" s="60"/>
      <c r="D438" s="60"/>
    </row>
    <row r="439">
      <c r="C439" s="60"/>
      <c r="D439" s="60"/>
    </row>
    <row r="440">
      <c r="C440" s="60"/>
      <c r="D440" s="60"/>
    </row>
    <row r="441">
      <c r="C441" s="60"/>
      <c r="D441" s="60"/>
    </row>
    <row r="442">
      <c r="C442" s="60"/>
      <c r="D442" s="60"/>
    </row>
    <row r="443">
      <c r="C443" s="60"/>
      <c r="D443" s="60"/>
    </row>
    <row r="444">
      <c r="C444" s="60"/>
      <c r="D444" s="60"/>
    </row>
    <row r="445">
      <c r="C445" s="60"/>
      <c r="D445" s="60"/>
    </row>
    <row r="446">
      <c r="C446" s="60"/>
      <c r="D446" s="60"/>
    </row>
    <row r="447">
      <c r="C447" s="60"/>
      <c r="D447" s="60"/>
    </row>
    <row r="448">
      <c r="C448" s="60"/>
      <c r="D448" s="60"/>
    </row>
    <row r="449">
      <c r="C449" s="60"/>
      <c r="D449" s="60"/>
    </row>
    <row r="450">
      <c r="C450" s="60"/>
      <c r="D450" s="60"/>
    </row>
    <row r="451">
      <c r="C451" s="60"/>
      <c r="D451" s="60"/>
    </row>
    <row r="452">
      <c r="C452" s="60"/>
      <c r="D452" s="60"/>
    </row>
    <row r="453">
      <c r="C453" s="60"/>
      <c r="D453" s="60"/>
    </row>
    <row r="454">
      <c r="C454" s="60"/>
      <c r="D454" s="60"/>
    </row>
    <row r="455">
      <c r="C455" s="60"/>
      <c r="D455" s="60"/>
    </row>
    <row r="456">
      <c r="C456" s="60"/>
      <c r="D456" s="60"/>
    </row>
    <row r="457">
      <c r="C457" s="60"/>
      <c r="D457" s="60"/>
    </row>
    <row r="458">
      <c r="C458" s="60"/>
      <c r="D458" s="60"/>
    </row>
    <row r="459">
      <c r="C459" s="60"/>
      <c r="D459" s="60"/>
    </row>
    <row r="460">
      <c r="C460" s="60"/>
      <c r="D460" s="60"/>
    </row>
    <row r="461">
      <c r="C461" s="60"/>
      <c r="D461" s="60"/>
    </row>
    <row r="462">
      <c r="C462" s="60"/>
      <c r="D462" s="60"/>
    </row>
    <row r="463">
      <c r="C463" s="60"/>
      <c r="D463" s="60"/>
    </row>
    <row r="464">
      <c r="C464" s="60"/>
      <c r="D464" s="60"/>
    </row>
    <row r="465">
      <c r="C465" s="60"/>
      <c r="D465" s="60"/>
    </row>
    <row r="466">
      <c r="C466" s="60"/>
      <c r="D466" s="60"/>
    </row>
    <row r="467">
      <c r="C467" s="60"/>
      <c r="D467" s="60"/>
    </row>
    <row r="468">
      <c r="C468" s="60"/>
      <c r="D468" s="60"/>
    </row>
    <row r="469">
      <c r="C469" s="60"/>
      <c r="D469" s="60"/>
    </row>
    <row r="470">
      <c r="C470" s="60"/>
      <c r="D470" s="60"/>
    </row>
    <row r="471">
      <c r="C471" s="60"/>
      <c r="D471" s="60"/>
    </row>
    <row r="472">
      <c r="C472" s="60"/>
      <c r="D472" s="60"/>
    </row>
    <row r="473">
      <c r="C473" s="60"/>
      <c r="D473" s="60"/>
    </row>
    <row r="474">
      <c r="C474" s="60"/>
      <c r="D474" s="60"/>
    </row>
    <row r="475">
      <c r="C475" s="60"/>
      <c r="D475" s="60"/>
    </row>
    <row r="476">
      <c r="C476" s="60"/>
      <c r="D476" s="60"/>
    </row>
    <row r="477">
      <c r="C477" s="60"/>
      <c r="D477" s="60"/>
    </row>
    <row r="478">
      <c r="C478" s="60"/>
      <c r="D478" s="60"/>
    </row>
    <row r="479">
      <c r="C479" s="60"/>
      <c r="D479" s="60"/>
    </row>
    <row r="480">
      <c r="C480" s="60"/>
      <c r="D480" s="60"/>
    </row>
    <row r="481">
      <c r="C481" s="60"/>
      <c r="D481" s="60"/>
    </row>
    <row r="482">
      <c r="C482" s="60"/>
      <c r="D482" s="60"/>
    </row>
    <row r="483">
      <c r="C483" s="60"/>
      <c r="D483" s="60"/>
    </row>
    <row r="484">
      <c r="C484" s="60"/>
      <c r="D484" s="60"/>
    </row>
    <row r="485">
      <c r="C485" s="60"/>
      <c r="D485" s="60"/>
    </row>
    <row r="486">
      <c r="C486" s="60"/>
      <c r="D486" s="60"/>
    </row>
    <row r="487">
      <c r="C487" s="60"/>
      <c r="D487" s="60"/>
    </row>
    <row r="488">
      <c r="C488" s="60"/>
      <c r="D488" s="60"/>
    </row>
    <row r="489">
      <c r="C489" s="60"/>
      <c r="D489" s="60"/>
    </row>
    <row r="490">
      <c r="C490" s="60"/>
      <c r="D490" s="60"/>
    </row>
    <row r="491">
      <c r="C491" s="60"/>
      <c r="D491" s="60"/>
    </row>
    <row r="492">
      <c r="C492" s="60"/>
      <c r="D492" s="60"/>
    </row>
    <row r="493">
      <c r="C493" s="60"/>
      <c r="D493" s="60"/>
    </row>
    <row r="494">
      <c r="C494" s="60"/>
      <c r="D494" s="60"/>
    </row>
    <row r="495">
      <c r="C495" s="60"/>
      <c r="D495" s="60"/>
    </row>
    <row r="496">
      <c r="C496" s="60"/>
      <c r="D496" s="60"/>
    </row>
    <row r="497">
      <c r="C497" s="60"/>
      <c r="D497" s="60"/>
    </row>
    <row r="498">
      <c r="C498" s="60"/>
      <c r="D498" s="60"/>
    </row>
    <row r="499">
      <c r="C499" s="60"/>
      <c r="D499" s="60"/>
    </row>
    <row r="500">
      <c r="C500" s="60"/>
      <c r="D500" s="60"/>
    </row>
    <row r="501">
      <c r="C501" s="60"/>
      <c r="D501" s="60"/>
    </row>
    <row r="502">
      <c r="C502" s="60"/>
      <c r="D502" s="60"/>
    </row>
    <row r="503">
      <c r="C503" s="60"/>
      <c r="D503" s="60"/>
    </row>
    <row r="504">
      <c r="C504" s="60"/>
      <c r="D504" s="60"/>
    </row>
    <row r="505">
      <c r="C505" s="60"/>
      <c r="D505" s="60"/>
    </row>
    <row r="506">
      <c r="C506" s="60"/>
      <c r="D506" s="60"/>
    </row>
    <row r="507">
      <c r="C507" s="60"/>
      <c r="D507" s="60"/>
    </row>
    <row r="508">
      <c r="C508" s="60"/>
      <c r="D508" s="60"/>
    </row>
    <row r="509">
      <c r="C509" s="60"/>
      <c r="D509" s="60"/>
    </row>
    <row r="510">
      <c r="C510" s="60"/>
      <c r="D510" s="60"/>
    </row>
    <row r="511">
      <c r="C511" s="60"/>
      <c r="D511" s="60"/>
    </row>
    <row r="512">
      <c r="C512" s="60"/>
      <c r="D512" s="60"/>
    </row>
    <row r="513">
      <c r="C513" s="60"/>
      <c r="D513" s="60"/>
    </row>
    <row r="514">
      <c r="C514" s="60"/>
      <c r="D514" s="60"/>
    </row>
    <row r="515">
      <c r="C515" s="60"/>
      <c r="D515" s="60"/>
    </row>
    <row r="516">
      <c r="C516" s="60"/>
      <c r="D516" s="60"/>
    </row>
    <row r="517">
      <c r="C517" s="60"/>
      <c r="D517" s="60"/>
    </row>
    <row r="518">
      <c r="C518" s="60"/>
      <c r="D518" s="60"/>
    </row>
    <row r="519">
      <c r="C519" s="60"/>
      <c r="D519" s="60"/>
    </row>
    <row r="520">
      <c r="C520" s="60"/>
      <c r="D520" s="60"/>
    </row>
    <row r="521">
      <c r="C521" s="60"/>
      <c r="D521" s="60"/>
    </row>
    <row r="522">
      <c r="C522" s="60"/>
      <c r="D522" s="60"/>
    </row>
    <row r="523">
      <c r="C523" s="60"/>
      <c r="D523" s="60"/>
    </row>
    <row r="524">
      <c r="C524" s="60"/>
      <c r="D524" s="60"/>
    </row>
    <row r="525">
      <c r="C525" s="60"/>
      <c r="D525" s="60"/>
    </row>
    <row r="526">
      <c r="C526" s="60"/>
      <c r="D526" s="60"/>
    </row>
    <row r="527">
      <c r="C527" s="60"/>
      <c r="D527" s="60"/>
    </row>
    <row r="528">
      <c r="C528" s="60"/>
      <c r="D528" s="60"/>
    </row>
    <row r="529">
      <c r="C529" s="60"/>
      <c r="D529" s="60"/>
    </row>
    <row r="530">
      <c r="C530" s="60"/>
      <c r="D530" s="60"/>
    </row>
    <row r="531">
      <c r="C531" s="60"/>
      <c r="D531" s="60"/>
    </row>
    <row r="532">
      <c r="C532" s="60"/>
      <c r="D532" s="60"/>
    </row>
    <row r="533">
      <c r="C533" s="60"/>
      <c r="D533" s="60"/>
    </row>
    <row r="534">
      <c r="C534" s="60"/>
      <c r="D534" s="60"/>
    </row>
    <row r="535">
      <c r="C535" s="60"/>
      <c r="D535" s="60"/>
    </row>
    <row r="536">
      <c r="C536" s="60"/>
      <c r="D536" s="60"/>
    </row>
    <row r="537">
      <c r="C537" s="60"/>
      <c r="D537" s="60"/>
    </row>
    <row r="538">
      <c r="C538" s="60"/>
      <c r="D538" s="60"/>
    </row>
    <row r="539">
      <c r="C539" s="60"/>
      <c r="D539" s="60"/>
    </row>
    <row r="540">
      <c r="C540" s="60"/>
      <c r="D540" s="60"/>
    </row>
    <row r="541">
      <c r="C541" s="60"/>
      <c r="D541" s="60"/>
    </row>
    <row r="542">
      <c r="C542" s="60"/>
      <c r="D542" s="60"/>
    </row>
    <row r="543">
      <c r="C543" s="60"/>
      <c r="D543" s="60"/>
    </row>
    <row r="544">
      <c r="C544" s="60"/>
      <c r="D544" s="60"/>
    </row>
    <row r="545">
      <c r="C545" s="60"/>
      <c r="D545" s="60"/>
    </row>
    <row r="546">
      <c r="C546" s="60"/>
      <c r="D546" s="60"/>
    </row>
    <row r="547">
      <c r="C547" s="60"/>
      <c r="D547" s="60"/>
    </row>
    <row r="548">
      <c r="C548" s="60"/>
      <c r="D548" s="60"/>
    </row>
    <row r="549">
      <c r="C549" s="60"/>
      <c r="D549" s="60"/>
    </row>
    <row r="550">
      <c r="C550" s="60"/>
      <c r="D550" s="60"/>
    </row>
    <row r="551">
      <c r="C551" s="60"/>
      <c r="D551" s="60"/>
    </row>
    <row r="552">
      <c r="C552" s="60"/>
      <c r="D552" s="60"/>
    </row>
    <row r="553">
      <c r="C553" s="60"/>
      <c r="D553" s="60"/>
    </row>
    <row r="554">
      <c r="C554" s="60"/>
      <c r="D554" s="60"/>
    </row>
    <row r="555">
      <c r="C555" s="60"/>
      <c r="D555" s="60"/>
    </row>
    <row r="556">
      <c r="C556" s="60"/>
      <c r="D556" s="60"/>
    </row>
    <row r="557">
      <c r="C557" s="60"/>
      <c r="D557" s="60"/>
    </row>
    <row r="558">
      <c r="C558" s="60"/>
      <c r="D558" s="60"/>
    </row>
    <row r="559">
      <c r="C559" s="60"/>
      <c r="D559" s="60"/>
    </row>
    <row r="560">
      <c r="C560" s="60"/>
      <c r="D560" s="60"/>
    </row>
    <row r="561">
      <c r="C561" s="60"/>
      <c r="D561" s="60"/>
    </row>
    <row r="562">
      <c r="C562" s="60"/>
      <c r="D562" s="60"/>
    </row>
    <row r="563">
      <c r="C563" s="60"/>
      <c r="D563" s="60"/>
    </row>
    <row r="564">
      <c r="C564" s="60"/>
      <c r="D564" s="60"/>
    </row>
    <row r="565">
      <c r="C565" s="60"/>
      <c r="D565" s="60"/>
    </row>
    <row r="566">
      <c r="C566" s="60"/>
      <c r="D566" s="60"/>
    </row>
    <row r="567">
      <c r="C567" s="60"/>
      <c r="D567" s="60"/>
    </row>
    <row r="568">
      <c r="C568" s="60"/>
      <c r="D568" s="60"/>
    </row>
    <row r="569">
      <c r="C569" s="60"/>
      <c r="D569" s="60"/>
    </row>
    <row r="570">
      <c r="C570" s="60"/>
      <c r="D570" s="60"/>
    </row>
    <row r="571">
      <c r="C571" s="60"/>
      <c r="D571" s="60"/>
    </row>
    <row r="572">
      <c r="C572" s="60"/>
      <c r="D572" s="60"/>
    </row>
    <row r="573">
      <c r="C573" s="60"/>
      <c r="D573" s="60"/>
    </row>
    <row r="574">
      <c r="C574" s="60"/>
      <c r="D574" s="60"/>
    </row>
    <row r="575">
      <c r="C575" s="60"/>
      <c r="D575" s="60"/>
    </row>
    <row r="576">
      <c r="C576" s="60"/>
      <c r="D576" s="60"/>
    </row>
    <row r="577">
      <c r="C577" s="60"/>
      <c r="D577" s="60"/>
    </row>
    <row r="578">
      <c r="C578" s="60"/>
      <c r="D578" s="60"/>
    </row>
    <row r="579">
      <c r="C579" s="60"/>
      <c r="D579" s="60"/>
    </row>
    <row r="580">
      <c r="C580" s="60"/>
      <c r="D580" s="60"/>
    </row>
    <row r="581">
      <c r="C581" s="60"/>
      <c r="D581" s="60"/>
    </row>
    <row r="582">
      <c r="C582" s="60"/>
      <c r="D582" s="60"/>
    </row>
    <row r="583">
      <c r="C583" s="60"/>
      <c r="D583" s="60"/>
    </row>
    <row r="584">
      <c r="C584" s="60"/>
      <c r="D584" s="60"/>
    </row>
    <row r="585">
      <c r="C585" s="60"/>
      <c r="D585" s="60"/>
    </row>
    <row r="586">
      <c r="C586" s="60"/>
      <c r="D586" s="60"/>
    </row>
    <row r="587">
      <c r="C587" s="60"/>
      <c r="D587" s="60"/>
    </row>
    <row r="588">
      <c r="C588" s="60"/>
      <c r="D588" s="60"/>
    </row>
    <row r="589">
      <c r="C589" s="60"/>
      <c r="D589" s="60"/>
    </row>
    <row r="590">
      <c r="C590" s="60"/>
      <c r="D590" s="60"/>
    </row>
    <row r="591">
      <c r="C591" s="60"/>
      <c r="D591" s="60"/>
    </row>
    <row r="592">
      <c r="C592" s="60"/>
      <c r="D592" s="60"/>
    </row>
    <row r="593">
      <c r="C593" s="60"/>
      <c r="D593" s="60"/>
    </row>
    <row r="594">
      <c r="C594" s="60"/>
      <c r="D594" s="60"/>
    </row>
    <row r="595">
      <c r="C595" s="60"/>
      <c r="D595" s="60"/>
    </row>
    <row r="596">
      <c r="C596" s="60"/>
      <c r="D596" s="60"/>
    </row>
    <row r="597">
      <c r="C597" s="60"/>
      <c r="D597" s="60"/>
    </row>
    <row r="598">
      <c r="C598" s="60"/>
      <c r="D598" s="60"/>
    </row>
    <row r="599">
      <c r="C599" s="60"/>
      <c r="D599" s="60"/>
    </row>
    <row r="600">
      <c r="C600" s="60"/>
      <c r="D600" s="60"/>
    </row>
    <row r="601">
      <c r="C601" s="60"/>
      <c r="D601" s="60"/>
    </row>
    <row r="602">
      <c r="C602" s="60"/>
      <c r="D602" s="60"/>
    </row>
    <row r="603">
      <c r="C603" s="60"/>
      <c r="D603" s="60"/>
    </row>
    <row r="604">
      <c r="C604" s="60"/>
      <c r="D604" s="60"/>
    </row>
    <row r="605">
      <c r="C605" s="60"/>
      <c r="D605" s="60"/>
    </row>
    <row r="606">
      <c r="C606" s="60"/>
      <c r="D606" s="60"/>
    </row>
    <row r="607">
      <c r="C607" s="60"/>
      <c r="D607" s="60"/>
    </row>
    <row r="608">
      <c r="C608" s="60"/>
      <c r="D608" s="60"/>
    </row>
    <row r="609">
      <c r="C609" s="60"/>
      <c r="D609" s="60"/>
    </row>
    <row r="610">
      <c r="C610" s="60"/>
      <c r="D610" s="60"/>
    </row>
    <row r="611">
      <c r="C611" s="60"/>
      <c r="D611" s="60"/>
    </row>
    <row r="612">
      <c r="C612" s="60"/>
      <c r="D612" s="60"/>
    </row>
    <row r="613">
      <c r="C613" s="60"/>
      <c r="D613" s="60"/>
    </row>
    <row r="614">
      <c r="C614" s="60"/>
      <c r="D614" s="60"/>
    </row>
    <row r="615">
      <c r="C615" s="60"/>
      <c r="D615" s="60"/>
    </row>
    <row r="616">
      <c r="C616" s="60"/>
      <c r="D616" s="60"/>
    </row>
    <row r="617">
      <c r="C617" s="60"/>
      <c r="D617" s="60"/>
    </row>
    <row r="618">
      <c r="C618" s="60"/>
      <c r="D618" s="60"/>
    </row>
    <row r="619">
      <c r="C619" s="60"/>
      <c r="D619" s="60"/>
    </row>
    <row r="620">
      <c r="C620" s="60"/>
      <c r="D620" s="60"/>
    </row>
    <row r="621">
      <c r="C621" s="60"/>
      <c r="D621" s="60"/>
    </row>
    <row r="622">
      <c r="C622" s="60"/>
      <c r="D622" s="60"/>
    </row>
    <row r="623">
      <c r="C623" s="60"/>
      <c r="D623" s="60"/>
    </row>
    <row r="624">
      <c r="C624" s="60"/>
      <c r="D624" s="60"/>
    </row>
    <row r="625">
      <c r="C625" s="60"/>
      <c r="D625" s="60"/>
    </row>
    <row r="626">
      <c r="C626" s="60"/>
      <c r="D626" s="60"/>
    </row>
    <row r="627">
      <c r="C627" s="60"/>
      <c r="D627" s="60"/>
    </row>
    <row r="628">
      <c r="C628" s="60"/>
      <c r="D628" s="60"/>
    </row>
    <row r="629">
      <c r="C629" s="60"/>
      <c r="D629" s="60"/>
    </row>
    <row r="630">
      <c r="C630" s="60"/>
      <c r="D630" s="60"/>
    </row>
    <row r="631">
      <c r="C631" s="60"/>
      <c r="D631" s="60"/>
    </row>
    <row r="632">
      <c r="C632" s="60"/>
      <c r="D632" s="60"/>
    </row>
    <row r="633">
      <c r="C633" s="60"/>
      <c r="D633" s="60"/>
    </row>
    <row r="634">
      <c r="C634" s="60"/>
      <c r="D634" s="60"/>
    </row>
    <row r="635">
      <c r="C635" s="60"/>
      <c r="D635" s="60"/>
    </row>
    <row r="636">
      <c r="C636" s="60"/>
      <c r="D636" s="60"/>
    </row>
    <row r="637">
      <c r="C637" s="60"/>
      <c r="D637" s="60"/>
    </row>
    <row r="638">
      <c r="C638" s="60"/>
      <c r="D638" s="60"/>
    </row>
    <row r="639">
      <c r="C639" s="60"/>
      <c r="D639" s="60"/>
    </row>
    <row r="640">
      <c r="C640" s="60"/>
      <c r="D640" s="60"/>
    </row>
    <row r="641">
      <c r="C641" s="60"/>
      <c r="D641" s="60"/>
    </row>
    <row r="642">
      <c r="C642" s="60"/>
      <c r="D642" s="60"/>
    </row>
    <row r="643">
      <c r="C643" s="60"/>
      <c r="D643" s="60"/>
    </row>
    <row r="644">
      <c r="C644" s="60"/>
      <c r="D644" s="60"/>
    </row>
    <row r="645">
      <c r="C645" s="60"/>
      <c r="D645" s="60"/>
    </row>
    <row r="646">
      <c r="C646" s="60"/>
      <c r="D646" s="60"/>
    </row>
    <row r="647">
      <c r="C647" s="60"/>
      <c r="D647" s="60"/>
    </row>
    <row r="648">
      <c r="C648" s="60"/>
      <c r="D648" s="60"/>
    </row>
    <row r="649">
      <c r="C649" s="60"/>
      <c r="D649" s="60"/>
    </row>
    <row r="650">
      <c r="C650" s="60"/>
      <c r="D650" s="60"/>
    </row>
    <row r="651">
      <c r="C651" s="60"/>
      <c r="D651" s="60"/>
    </row>
    <row r="652">
      <c r="C652" s="60"/>
      <c r="D652" s="60"/>
    </row>
    <row r="653">
      <c r="C653" s="60"/>
      <c r="D653" s="60"/>
    </row>
    <row r="654">
      <c r="C654" s="60"/>
      <c r="D654" s="60"/>
    </row>
    <row r="655">
      <c r="C655" s="60"/>
      <c r="D655" s="60"/>
    </row>
    <row r="656">
      <c r="C656" s="60"/>
      <c r="D656" s="60"/>
    </row>
    <row r="657">
      <c r="C657" s="60"/>
      <c r="D657" s="60"/>
    </row>
    <row r="658">
      <c r="C658" s="60"/>
      <c r="D658" s="60"/>
    </row>
    <row r="659">
      <c r="C659" s="60"/>
      <c r="D659" s="60"/>
    </row>
    <row r="660">
      <c r="C660" s="60"/>
      <c r="D660" s="60"/>
    </row>
    <row r="661">
      <c r="C661" s="60"/>
      <c r="D661" s="60"/>
    </row>
    <row r="662">
      <c r="C662" s="60"/>
      <c r="D662" s="60"/>
    </row>
    <row r="663">
      <c r="C663" s="60"/>
      <c r="D663" s="60"/>
    </row>
    <row r="664">
      <c r="C664" s="60"/>
      <c r="D664" s="60"/>
    </row>
    <row r="665">
      <c r="C665" s="60"/>
      <c r="D665" s="60"/>
    </row>
    <row r="666">
      <c r="C666" s="60"/>
      <c r="D666" s="60"/>
    </row>
    <row r="667">
      <c r="C667" s="60"/>
      <c r="D667" s="60"/>
    </row>
    <row r="668">
      <c r="C668" s="60"/>
      <c r="D668" s="60"/>
    </row>
    <row r="669">
      <c r="C669" s="60"/>
      <c r="D669" s="60"/>
    </row>
    <row r="670">
      <c r="C670" s="60"/>
      <c r="D670" s="60"/>
    </row>
    <row r="671">
      <c r="C671" s="60"/>
      <c r="D671" s="60"/>
    </row>
    <row r="672">
      <c r="C672" s="60"/>
      <c r="D672" s="60"/>
    </row>
    <row r="673">
      <c r="C673" s="60"/>
      <c r="D673" s="60"/>
    </row>
    <row r="674">
      <c r="C674" s="60"/>
      <c r="D674" s="60"/>
    </row>
    <row r="675">
      <c r="C675" s="60"/>
      <c r="D675" s="60"/>
    </row>
    <row r="676">
      <c r="C676" s="60"/>
      <c r="D676" s="60"/>
    </row>
    <row r="677">
      <c r="C677" s="60"/>
      <c r="D677" s="60"/>
    </row>
    <row r="678">
      <c r="C678" s="60"/>
      <c r="D678" s="60"/>
    </row>
    <row r="679">
      <c r="C679" s="60"/>
      <c r="D679" s="60"/>
    </row>
    <row r="680">
      <c r="C680" s="60"/>
      <c r="D680" s="60"/>
    </row>
    <row r="681">
      <c r="C681" s="60"/>
      <c r="D681" s="60"/>
    </row>
    <row r="682">
      <c r="C682" s="60"/>
      <c r="D682" s="60"/>
    </row>
    <row r="683">
      <c r="C683" s="60"/>
      <c r="D683" s="60"/>
    </row>
    <row r="684">
      <c r="C684" s="60"/>
      <c r="D684" s="60"/>
    </row>
    <row r="685">
      <c r="C685" s="60"/>
      <c r="D685" s="60"/>
    </row>
    <row r="686">
      <c r="C686" s="60"/>
      <c r="D686" s="60"/>
    </row>
    <row r="687">
      <c r="C687" s="60"/>
      <c r="D687" s="60"/>
    </row>
    <row r="688">
      <c r="C688" s="60"/>
      <c r="D688" s="60"/>
    </row>
    <row r="689">
      <c r="C689" s="60"/>
      <c r="D689" s="60"/>
    </row>
    <row r="690">
      <c r="C690" s="60"/>
      <c r="D690" s="60"/>
    </row>
    <row r="691">
      <c r="C691" s="60"/>
      <c r="D691" s="60"/>
    </row>
    <row r="692">
      <c r="C692" s="60"/>
      <c r="D692" s="60"/>
    </row>
    <row r="693">
      <c r="C693" s="60"/>
      <c r="D693" s="60"/>
    </row>
    <row r="694">
      <c r="C694" s="60"/>
      <c r="D694" s="60"/>
    </row>
    <row r="695">
      <c r="C695" s="60"/>
      <c r="D695" s="60"/>
    </row>
    <row r="696">
      <c r="C696" s="60"/>
      <c r="D696" s="60"/>
    </row>
    <row r="697">
      <c r="C697" s="60"/>
      <c r="D697" s="60"/>
    </row>
    <row r="698">
      <c r="C698" s="60"/>
      <c r="D698" s="60"/>
    </row>
    <row r="699">
      <c r="C699" s="60"/>
      <c r="D699" s="60"/>
    </row>
    <row r="700">
      <c r="C700" s="60"/>
      <c r="D700" s="60"/>
    </row>
    <row r="701">
      <c r="C701" s="60"/>
      <c r="D701" s="60"/>
    </row>
    <row r="702">
      <c r="C702" s="60"/>
      <c r="D702" s="60"/>
    </row>
    <row r="703">
      <c r="C703" s="60"/>
      <c r="D703" s="60"/>
    </row>
    <row r="704">
      <c r="C704" s="60"/>
      <c r="D704" s="60"/>
    </row>
    <row r="705">
      <c r="C705" s="60"/>
      <c r="D705" s="60"/>
    </row>
    <row r="706">
      <c r="C706" s="60"/>
      <c r="D706" s="60"/>
    </row>
    <row r="707">
      <c r="C707" s="60"/>
      <c r="D707" s="60"/>
    </row>
    <row r="708">
      <c r="C708" s="60"/>
      <c r="D708" s="60"/>
    </row>
    <row r="709">
      <c r="C709" s="60"/>
      <c r="D709" s="60"/>
    </row>
    <row r="710">
      <c r="C710" s="60"/>
      <c r="D710" s="60"/>
    </row>
    <row r="711">
      <c r="C711" s="60"/>
      <c r="D711" s="60"/>
    </row>
    <row r="712">
      <c r="C712" s="60"/>
      <c r="D712" s="60"/>
    </row>
    <row r="713">
      <c r="C713" s="60"/>
      <c r="D713" s="60"/>
    </row>
    <row r="714">
      <c r="C714" s="60"/>
      <c r="D714" s="60"/>
    </row>
    <row r="715">
      <c r="C715" s="60"/>
      <c r="D715" s="60"/>
    </row>
    <row r="716">
      <c r="C716" s="60"/>
      <c r="D716" s="60"/>
    </row>
    <row r="717">
      <c r="C717" s="60"/>
      <c r="D717" s="60"/>
    </row>
    <row r="718">
      <c r="C718" s="60"/>
      <c r="D718" s="60"/>
    </row>
    <row r="719">
      <c r="C719" s="60"/>
      <c r="D719" s="60"/>
    </row>
    <row r="720">
      <c r="C720" s="60"/>
      <c r="D720" s="60"/>
    </row>
    <row r="721">
      <c r="C721" s="60"/>
      <c r="D721" s="60"/>
    </row>
    <row r="722">
      <c r="C722" s="60"/>
      <c r="D722" s="60"/>
    </row>
    <row r="723">
      <c r="C723" s="60"/>
      <c r="D723" s="60"/>
    </row>
    <row r="724">
      <c r="C724" s="60"/>
      <c r="D724" s="60"/>
    </row>
    <row r="725">
      <c r="C725" s="60"/>
      <c r="D725" s="60"/>
    </row>
    <row r="726">
      <c r="C726" s="60"/>
      <c r="D726" s="60"/>
    </row>
    <row r="727">
      <c r="C727" s="60"/>
      <c r="D727" s="60"/>
    </row>
    <row r="728">
      <c r="C728" s="60"/>
      <c r="D728" s="60"/>
    </row>
    <row r="729">
      <c r="C729" s="60"/>
      <c r="D729" s="60"/>
    </row>
    <row r="730">
      <c r="C730" s="60"/>
      <c r="D730" s="60"/>
    </row>
    <row r="731">
      <c r="C731" s="60"/>
      <c r="D731" s="60"/>
    </row>
    <row r="732">
      <c r="C732" s="60"/>
      <c r="D732" s="60"/>
    </row>
    <row r="733">
      <c r="C733" s="60"/>
      <c r="D733" s="60"/>
    </row>
    <row r="734">
      <c r="C734" s="60"/>
      <c r="D734" s="60"/>
    </row>
    <row r="735">
      <c r="C735" s="60"/>
      <c r="D735" s="60"/>
    </row>
    <row r="736">
      <c r="C736" s="60"/>
      <c r="D736" s="60"/>
    </row>
    <row r="737">
      <c r="C737" s="60"/>
      <c r="D737" s="60"/>
    </row>
    <row r="738">
      <c r="C738" s="60"/>
      <c r="D738" s="60"/>
    </row>
    <row r="739">
      <c r="C739" s="60"/>
      <c r="D739" s="60"/>
    </row>
    <row r="740">
      <c r="C740" s="60"/>
      <c r="D740" s="60"/>
    </row>
    <row r="741">
      <c r="C741" s="60"/>
      <c r="D741" s="60"/>
    </row>
    <row r="742">
      <c r="C742" s="60"/>
      <c r="D742" s="60"/>
    </row>
    <row r="743">
      <c r="C743" s="60"/>
      <c r="D743" s="60"/>
    </row>
    <row r="744">
      <c r="C744" s="60"/>
      <c r="D744" s="60"/>
    </row>
    <row r="745">
      <c r="C745" s="60"/>
      <c r="D745" s="60"/>
    </row>
    <row r="746">
      <c r="C746" s="60"/>
      <c r="D746" s="60"/>
    </row>
    <row r="747">
      <c r="C747" s="60"/>
      <c r="D747" s="60"/>
    </row>
    <row r="748">
      <c r="C748" s="60"/>
      <c r="D748" s="60"/>
    </row>
    <row r="749">
      <c r="C749" s="60"/>
      <c r="D749" s="60"/>
    </row>
    <row r="750">
      <c r="C750" s="60"/>
      <c r="D750" s="60"/>
    </row>
    <row r="751">
      <c r="C751" s="60"/>
      <c r="D751" s="60"/>
    </row>
    <row r="752">
      <c r="C752" s="60"/>
      <c r="D752" s="60"/>
    </row>
    <row r="753">
      <c r="C753" s="60"/>
      <c r="D753" s="60"/>
    </row>
    <row r="754">
      <c r="C754" s="60"/>
      <c r="D754" s="60"/>
    </row>
    <row r="755">
      <c r="C755" s="60"/>
      <c r="D755" s="60"/>
    </row>
    <row r="756">
      <c r="C756" s="60"/>
      <c r="D756" s="60"/>
    </row>
    <row r="757">
      <c r="C757" s="60"/>
      <c r="D757" s="60"/>
    </row>
    <row r="758">
      <c r="C758" s="60"/>
      <c r="D758" s="60"/>
    </row>
    <row r="759">
      <c r="C759" s="60"/>
      <c r="D759" s="60"/>
    </row>
    <row r="760">
      <c r="C760" s="60"/>
      <c r="D760" s="60"/>
    </row>
    <row r="761">
      <c r="C761" s="60"/>
      <c r="D761" s="60"/>
    </row>
    <row r="762">
      <c r="C762" s="60"/>
      <c r="D762" s="60"/>
    </row>
    <row r="763">
      <c r="C763" s="60"/>
      <c r="D763" s="60"/>
    </row>
    <row r="764">
      <c r="C764" s="60"/>
      <c r="D764" s="60"/>
    </row>
    <row r="765">
      <c r="C765" s="60"/>
      <c r="D765" s="60"/>
    </row>
    <row r="766">
      <c r="C766" s="60"/>
      <c r="D766" s="60"/>
    </row>
    <row r="767">
      <c r="C767" s="60"/>
      <c r="D767" s="60"/>
    </row>
    <row r="768">
      <c r="C768" s="60"/>
      <c r="D768" s="60"/>
    </row>
    <row r="769">
      <c r="C769" s="60"/>
      <c r="D769" s="60"/>
    </row>
    <row r="770">
      <c r="C770" s="60"/>
      <c r="D770" s="60"/>
    </row>
    <row r="771">
      <c r="C771" s="60"/>
      <c r="D771" s="60"/>
    </row>
    <row r="772">
      <c r="C772" s="60"/>
      <c r="D772" s="60"/>
    </row>
    <row r="773">
      <c r="C773" s="60"/>
      <c r="D773" s="60"/>
    </row>
    <row r="774">
      <c r="C774" s="60"/>
      <c r="D774" s="60"/>
    </row>
    <row r="775">
      <c r="C775" s="60"/>
      <c r="D775" s="60"/>
    </row>
    <row r="776">
      <c r="C776" s="60"/>
      <c r="D776" s="60"/>
    </row>
    <row r="777">
      <c r="C777" s="60"/>
      <c r="D777" s="60"/>
    </row>
    <row r="778">
      <c r="C778" s="60"/>
      <c r="D778" s="60"/>
    </row>
    <row r="779">
      <c r="C779" s="60"/>
      <c r="D779" s="60"/>
    </row>
    <row r="780">
      <c r="C780" s="60"/>
      <c r="D780" s="60"/>
    </row>
    <row r="781">
      <c r="C781" s="60"/>
      <c r="D781" s="60"/>
    </row>
    <row r="782">
      <c r="C782" s="60"/>
      <c r="D782" s="60"/>
    </row>
    <row r="783">
      <c r="C783" s="60"/>
      <c r="D783" s="60"/>
    </row>
    <row r="784">
      <c r="C784" s="60"/>
      <c r="D784" s="60"/>
    </row>
    <row r="785">
      <c r="C785" s="60"/>
      <c r="D785" s="60"/>
    </row>
    <row r="786">
      <c r="C786" s="60"/>
      <c r="D786" s="60"/>
    </row>
    <row r="787">
      <c r="C787" s="60"/>
      <c r="D787" s="60"/>
    </row>
    <row r="788">
      <c r="C788" s="60"/>
      <c r="D788" s="60"/>
    </row>
    <row r="789">
      <c r="C789" s="60"/>
      <c r="D789" s="60"/>
    </row>
    <row r="790">
      <c r="C790" s="60"/>
      <c r="D790" s="60"/>
    </row>
    <row r="791">
      <c r="C791" s="60"/>
      <c r="D791" s="60"/>
    </row>
    <row r="792">
      <c r="C792" s="60"/>
      <c r="D792" s="60"/>
    </row>
    <row r="793">
      <c r="C793" s="60"/>
      <c r="D793" s="60"/>
    </row>
    <row r="794">
      <c r="C794" s="60"/>
      <c r="D794" s="60"/>
    </row>
    <row r="795">
      <c r="C795" s="60"/>
      <c r="D795" s="60"/>
    </row>
    <row r="796">
      <c r="C796" s="60"/>
      <c r="D796" s="60"/>
    </row>
    <row r="797">
      <c r="C797" s="60"/>
      <c r="D797" s="60"/>
    </row>
    <row r="798">
      <c r="C798" s="60"/>
      <c r="D798" s="60"/>
    </row>
    <row r="799">
      <c r="C799" s="60"/>
      <c r="D799" s="60"/>
    </row>
    <row r="800">
      <c r="C800" s="60"/>
      <c r="D800" s="60"/>
    </row>
    <row r="801">
      <c r="C801" s="60"/>
      <c r="D801" s="60"/>
    </row>
    <row r="802">
      <c r="C802" s="60"/>
      <c r="D802" s="60"/>
    </row>
    <row r="803">
      <c r="C803" s="60"/>
      <c r="D803" s="60"/>
    </row>
    <row r="804">
      <c r="C804" s="60"/>
      <c r="D804" s="60"/>
    </row>
    <row r="805">
      <c r="C805" s="60"/>
      <c r="D805" s="60"/>
    </row>
    <row r="806">
      <c r="C806" s="60"/>
      <c r="D806" s="60"/>
    </row>
    <row r="807">
      <c r="C807" s="60"/>
      <c r="D807" s="60"/>
    </row>
    <row r="808">
      <c r="C808" s="60"/>
      <c r="D808" s="60"/>
    </row>
    <row r="809">
      <c r="C809" s="60"/>
      <c r="D809" s="60"/>
    </row>
    <row r="810">
      <c r="C810" s="60"/>
      <c r="D810" s="60"/>
    </row>
    <row r="811">
      <c r="C811" s="60"/>
      <c r="D811" s="60"/>
    </row>
    <row r="812">
      <c r="C812" s="60"/>
      <c r="D812" s="60"/>
    </row>
    <row r="813">
      <c r="C813" s="60"/>
      <c r="D813" s="60"/>
    </row>
    <row r="814">
      <c r="C814" s="60"/>
      <c r="D814" s="60"/>
    </row>
    <row r="815">
      <c r="C815" s="60"/>
      <c r="D815" s="60"/>
    </row>
    <row r="816">
      <c r="C816" s="60"/>
      <c r="D816" s="60"/>
    </row>
    <row r="817">
      <c r="C817" s="60"/>
      <c r="D817" s="60"/>
    </row>
    <row r="818">
      <c r="C818" s="60"/>
      <c r="D818" s="60"/>
    </row>
    <row r="819">
      <c r="C819" s="60"/>
      <c r="D819" s="60"/>
    </row>
    <row r="820">
      <c r="C820" s="60"/>
      <c r="D820" s="60"/>
    </row>
    <row r="821">
      <c r="C821" s="60"/>
      <c r="D821" s="60"/>
    </row>
    <row r="822">
      <c r="C822" s="60"/>
      <c r="D822" s="60"/>
    </row>
    <row r="823">
      <c r="C823" s="60"/>
      <c r="D823" s="60"/>
    </row>
    <row r="824">
      <c r="C824" s="60"/>
      <c r="D824" s="60"/>
    </row>
    <row r="825">
      <c r="C825" s="60"/>
      <c r="D825" s="60"/>
    </row>
    <row r="826">
      <c r="C826" s="60"/>
      <c r="D826" s="60"/>
    </row>
    <row r="827">
      <c r="C827" s="60"/>
      <c r="D827" s="60"/>
    </row>
    <row r="828">
      <c r="C828" s="60"/>
      <c r="D828" s="60"/>
    </row>
    <row r="829">
      <c r="C829" s="60"/>
      <c r="D829" s="60"/>
    </row>
    <row r="830">
      <c r="C830" s="60"/>
      <c r="D830" s="60"/>
    </row>
    <row r="831">
      <c r="C831" s="60"/>
      <c r="D831" s="60"/>
    </row>
    <row r="832">
      <c r="C832" s="60"/>
      <c r="D832" s="60"/>
    </row>
    <row r="833">
      <c r="C833" s="60"/>
      <c r="D833" s="60"/>
    </row>
    <row r="834">
      <c r="C834" s="60"/>
      <c r="D834" s="60"/>
    </row>
    <row r="835">
      <c r="C835" s="60"/>
      <c r="D835" s="60"/>
    </row>
    <row r="836">
      <c r="C836" s="60"/>
      <c r="D836" s="60"/>
    </row>
    <row r="837">
      <c r="C837" s="60"/>
      <c r="D837" s="60"/>
    </row>
    <row r="838">
      <c r="C838" s="60"/>
      <c r="D838" s="60"/>
    </row>
    <row r="839">
      <c r="C839" s="60"/>
      <c r="D839" s="60"/>
    </row>
    <row r="840">
      <c r="C840" s="60"/>
      <c r="D840" s="60"/>
    </row>
    <row r="841">
      <c r="C841" s="60"/>
      <c r="D841" s="60"/>
    </row>
    <row r="842">
      <c r="C842" s="60"/>
      <c r="D842" s="60"/>
    </row>
    <row r="843">
      <c r="C843" s="60"/>
      <c r="D843" s="60"/>
    </row>
    <row r="844">
      <c r="C844" s="60"/>
      <c r="D844" s="60"/>
    </row>
    <row r="845">
      <c r="C845" s="60"/>
      <c r="D845" s="60"/>
    </row>
    <row r="846">
      <c r="C846" s="60"/>
      <c r="D846" s="60"/>
    </row>
    <row r="847">
      <c r="C847" s="60"/>
      <c r="D847" s="60"/>
    </row>
    <row r="848">
      <c r="C848" s="60"/>
      <c r="D848" s="60"/>
    </row>
    <row r="849">
      <c r="C849" s="60"/>
      <c r="D849" s="60"/>
    </row>
    <row r="850">
      <c r="C850" s="60"/>
      <c r="D850" s="60"/>
    </row>
    <row r="851">
      <c r="C851" s="60"/>
      <c r="D851" s="60"/>
    </row>
    <row r="852">
      <c r="C852" s="60"/>
      <c r="D852" s="60"/>
    </row>
    <row r="853">
      <c r="C853" s="60"/>
      <c r="D853" s="60"/>
    </row>
    <row r="854">
      <c r="C854" s="60"/>
      <c r="D854" s="60"/>
    </row>
    <row r="855">
      <c r="C855" s="60"/>
      <c r="D855" s="60"/>
    </row>
    <row r="856">
      <c r="C856" s="60"/>
      <c r="D856" s="60"/>
    </row>
    <row r="857">
      <c r="C857" s="60"/>
      <c r="D857" s="60"/>
    </row>
    <row r="858">
      <c r="C858" s="60"/>
      <c r="D858" s="60"/>
    </row>
    <row r="859">
      <c r="C859" s="60"/>
      <c r="D859" s="60"/>
    </row>
    <row r="860">
      <c r="C860" s="60"/>
      <c r="D860" s="60"/>
    </row>
    <row r="861">
      <c r="C861" s="60"/>
      <c r="D861" s="60"/>
    </row>
    <row r="862">
      <c r="C862" s="60"/>
      <c r="D862" s="60"/>
    </row>
    <row r="863">
      <c r="C863" s="60"/>
      <c r="D863" s="60"/>
    </row>
    <row r="864">
      <c r="C864" s="60"/>
      <c r="D864" s="60"/>
    </row>
    <row r="865">
      <c r="C865" s="60"/>
      <c r="D865" s="60"/>
    </row>
    <row r="866">
      <c r="C866" s="60"/>
      <c r="D866" s="60"/>
    </row>
    <row r="867">
      <c r="C867" s="60"/>
      <c r="D867" s="60"/>
    </row>
    <row r="868">
      <c r="C868" s="60"/>
      <c r="D868" s="60"/>
    </row>
    <row r="869">
      <c r="C869" s="60"/>
      <c r="D869" s="60"/>
    </row>
    <row r="870">
      <c r="C870" s="60"/>
      <c r="D870" s="60"/>
    </row>
    <row r="871">
      <c r="C871" s="60"/>
      <c r="D871" s="60"/>
    </row>
    <row r="872">
      <c r="C872" s="60"/>
      <c r="D872" s="60"/>
    </row>
    <row r="873">
      <c r="C873" s="60"/>
      <c r="D873" s="60"/>
    </row>
    <row r="874">
      <c r="C874" s="60"/>
      <c r="D874" s="60"/>
    </row>
    <row r="875">
      <c r="C875" s="60"/>
      <c r="D875" s="60"/>
    </row>
    <row r="876">
      <c r="C876" s="60"/>
      <c r="D876" s="60"/>
    </row>
    <row r="877">
      <c r="C877" s="60"/>
      <c r="D877" s="60"/>
    </row>
    <row r="878">
      <c r="C878" s="60"/>
      <c r="D878" s="60"/>
    </row>
    <row r="879">
      <c r="C879" s="60"/>
      <c r="D879" s="60"/>
    </row>
    <row r="880">
      <c r="C880" s="60"/>
      <c r="D880" s="60"/>
    </row>
    <row r="881">
      <c r="C881" s="60"/>
      <c r="D881" s="60"/>
    </row>
    <row r="882">
      <c r="C882" s="60"/>
      <c r="D882" s="60"/>
    </row>
    <row r="883">
      <c r="C883" s="60"/>
      <c r="D883" s="60"/>
    </row>
    <row r="884">
      <c r="C884" s="60"/>
      <c r="D884" s="60"/>
    </row>
    <row r="885">
      <c r="C885" s="60"/>
      <c r="D885" s="60"/>
    </row>
    <row r="886">
      <c r="C886" s="60"/>
      <c r="D886" s="60"/>
    </row>
    <row r="887">
      <c r="C887" s="60"/>
      <c r="D887" s="60"/>
    </row>
    <row r="888">
      <c r="C888" s="60"/>
      <c r="D888" s="60"/>
    </row>
    <row r="889">
      <c r="C889" s="60"/>
      <c r="D889" s="60"/>
    </row>
    <row r="890">
      <c r="C890" s="60"/>
      <c r="D890" s="60"/>
    </row>
    <row r="891">
      <c r="C891" s="60"/>
      <c r="D891" s="60"/>
    </row>
    <row r="892">
      <c r="C892" s="60"/>
      <c r="D892" s="60"/>
    </row>
    <row r="893">
      <c r="C893" s="60"/>
      <c r="D893" s="60"/>
    </row>
    <row r="894">
      <c r="C894" s="60"/>
      <c r="D894" s="60"/>
    </row>
    <row r="895">
      <c r="C895" s="60"/>
      <c r="D895" s="60"/>
    </row>
    <row r="896">
      <c r="C896" s="60"/>
      <c r="D896" s="60"/>
    </row>
    <row r="897">
      <c r="C897" s="60"/>
      <c r="D897" s="60"/>
    </row>
    <row r="898">
      <c r="C898" s="60"/>
      <c r="D898" s="60"/>
    </row>
    <row r="899">
      <c r="C899" s="60"/>
      <c r="D899" s="60"/>
    </row>
    <row r="900">
      <c r="C900" s="60"/>
      <c r="D900" s="60"/>
    </row>
    <row r="901">
      <c r="C901" s="60"/>
      <c r="D901" s="60"/>
    </row>
    <row r="902">
      <c r="C902" s="60"/>
      <c r="D902" s="60"/>
    </row>
    <row r="903">
      <c r="C903" s="60"/>
      <c r="D903" s="60"/>
    </row>
    <row r="904">
      <c r="C904" s="60"/>
      <c r="D904" s="60"/>
    </row>
    <row r="905">
      <c r="C905" s="60"/>
      <c r="D905" s="60"/>
    </row>
    <row r="906">
      <c r="C906" s="60"/>
      <c r="D906" s="60"/>
    </row>
    <row r="907">
      <c r="C907" s="60"/>
      <c r="D907" s="60"/>
    </row>
    <row r="908">
      <c r="C908" s="60"/>
      <c r="D908" s="60"/>
    </row>
    <row r="909">
      <c r="C909" s="60"/>
      <c r="D909" s="60"/>
    </row>
    <row r="910">
      <c r="C910" s="60"/>
      <c r="D910" s="60"/>
    </row>
    <row r="911">
      <c r="C911" s="60"/>
      <c r="D911" s="60"/>
    </row>
    <row r="912">
      <c r="C912" s="60"/>
      <c r="D912" s="60"/>
    </row>
    <row r="913">
      <c r="C913" s="60"/>
      <c r="D913" s="60"/>
    </row>
    <row r="914">
      <c r="C914" s="60"/>
      <c r="D914" s="60"/>
    </row>
    <row r="915">
      <c r="C915" s="60"/>
      <c r="D915" s="60"/>
    </row>
    <row r="916">
      <c r="C916" s="60"/>
      <c r="D916" s="60"/>
    </row>
    <row r="917">
      <c r="C917" s="60"/>
      <c r="D917" s="60"/>
    </row>
    <row r="918">
      <c r="C918" s="60"/>
      <c r="D918" s="60"/>
    </row>
    <row r="919">
      <c r="C919" s="60"/>
      <c r="D919" s="60"/>
    </row>
    <row r="920">
      <c r="C920" s="60"/>
      <c r="D920" s="60"/>
    </row>
    <row r="921">
      <c r="C921" s="60"/>
      <c r="D921" s="60"/>
    </row>
    <row r="922">
      <c r="C922" s="60"/>
      <c r="D922" s="60"/>
    </row>
    <row r="923">
      <c r="C923" s="60"/>
      <c r="D923" s="60"/>
    </row>
    <row r="924">
      <c r="C924" s="60"/>
      <c r="D924" s="60"/>
    </row>
    <row r="925">
      <c r="C925" s="60"/>
      <c r="D925" s="60"/>
    </row>
    <row r="926">
      <c r="C926" s="60"/>
      <c r="D926" s="60"/>
    </row>
    <row r="927">
      <c r="C927" s="60"/>
      <c r="D927" s="60"/>
    </row>
    <row r="928">
      <c r="C928" s="60"/>
      <c r="D928" s="60"/>
    </row>
    <row r="929">
      <c r="C929" s="60"/>
      <c r="D929" s="60"/>
    </row>
    <row r="930">
      <c r="C930" s="60"/>
      <c r="D930" s="60"/>
    </row>
    <row r="931">
      <c r="C931" s="60"/>
      <c r="D931" s="60"/>
    </row>
    <row r="932">
      <c r="C932" s="60"/>
      <c r="D932" s="60"/>
    </row>
    <row r="933">
      <c r="C933" s="60"/>
      <c r="D933" s="60"/>
    </row>
    <row r="934">
      <c r="C934" s="60"/>
      <c r="D934" s="60"/>
    </row>
    <row r="935">
      <c r="C935" s="60"/>
      <c r="D935" s="60"/>
    </row>
    <row r="936">
      <c r="C936" s="60"/>
      <c r="D936" s="60"/>
    </row>
    <row r="937">
      <c r="C937" s="60"/>
      <c r="D937" s="60"/>
    </row>
    <row r="938">
      <c r="C938" s="60"/>
      <c r="D938" s="60"/>
    </row>
    <row r="939">
      <c r="C939" s="60"/>
      <c r="D939" s="60"/>
    </row>
    <row r="940">
      <c r="C940" s="60"/>
      <c r="D940" s="60"/>
    </row>
    <row r="941">
      <c r="C941" s="60"/>
      <c r="D941" s="60"/>
    </row>
    <row r="942">
      <c r="C942" s="60"/>
      <c r="D942" s="60"/>
    </row>
    <row r="943">
      <c r="C943" s="60"/>
      <c r="D943" s="60"/>
    </row>
    <row r="944">
      <c r="C944" s="60"/>
      <c r="D944" s="60"/>
    </row>
    <row r="945">
      <c r="C945" s="60"/>
      <c r="D945" s="60"/>
    </row>
    <row r="946">
      <c r="C946" s="60"/>
      <c r="D946" s="60"/>
    </row>
    <row r="947">
      <c r="C947" s="60"/>
      <c r="D947" s="60"/>
    </row>
    <row r="948">
      <c r="C948" s="60"/>
      <c r="D948" s="60"/>
    </row>
    <row r="949">
      <c r="C949" s="60"/>
      <c r="D949" s="60"/>
    </row>
    <row r="950">
      <c r="C950" s="60"/>
      <c r="D950" s="60"/>
    </row>
    <row r="951">
      <c r="C951" s="60"/>
      <c r="D951" s="60"/>
    </row>
    <row r="952">
      <c r="C952" s="60"/>
      <c r="D952" s="60"/>
    </row>
    <row r="953">
      <c r="C953" s="60"/>
      <c r="D953" s="60"/>
    </row>
    <row r="954">
      <c r="C954" s="60"/>
      <c r="D954" s="60"/>
    </row>
    <row r="955">
      <c r="C955" s="60"/>
      <c r="D955" s="60"/>
    </row>
    <row r="956">
      <c r="C956" s="60"/>
      <c r="D956" s="60"/>
    </row>
    <row r="957">
      <c r="C957" s="60"/>
      <c r="D957" s="60"/>
    </row>
    <row r="958">
      <c r="C958" s="60"/>
      <c r="D958" s="60"/>
    </row>
    <row r="959">
      <c r="C959" s="60"/>
      <c r="D959" s="60"/>
    </row>
    <row r="960">
      <c r="C960" s="60"/>
      <c r="D960" s="60"/>
    </row>
    <row r="961">
      <c r="C961" s="60"/>
      <c r="D961" s="60"/>
    </row>
    <row r="962">
      <c r="C962" s="60"/>
      <c r="D962" s="60"/>
    </row>
    <row r="963">
      <c r="C963" s="60"/>
      <c r="D963" s="60"/>
    </row>
    <row r="964">
      <c r="C964" s="60"/>
      <c r="D964" s="60"/>
    </row>
    <row r="965">
      <c r="C965" s="60"/>
      <c r="D965" s="60"/>
    </row>
    <row r="966">
      <c r="C966" s="60"/>
      <c r="D966" s="60"/>
    </row>
    <row r="967">
      <c r="C967" s="60"/>
      <c r="D967" s="60"/>
    </row>
    <row r="968">
      <c r="C968" s="60"/>
      <c r="D968" s="60"/>
    </row>
    <row r="969">
      <c r="C969" s="60"/>
      <c r="D969" s="60"/>
    </row>
    <row r="970">
      <c r="C970" s="60"/>
      <c r="D970" s="60"/>
    </row>
    <row r="971">
      <c r="C971" s="60"/>
      <c r="D971" s="60"/>
    </row>
    <row r="972">
      <c r="C972" s="60"/>
      <c r="D972" s="60"/>
    </row>
    <row r="973">
      <c r="C973" s="60"/>
      <c r="D973" s="60"/>
    </row>
    <row r="974">
      <c r="C974" s="60"/>
      <c r="D974" s="60"/>
    </row>
    <row r="975">
      <c r="C975" s="60"/>
      <c r="D975" s="60"/>
    </row>
    <row r="976">
      <c r="C976" s="60"/>
      <c r="D976" s="60"/>
    </row>
    <row r="977">
      <c r="C977" s="60"/>
      <c r="D977" s="60"/>
    </row>
    <row r="978">
      <c r="C978" s="60"/>
      <c r="D978" s="60"/>
    </row>
    <row r="979">
      <c r="C979" s="60"/>
      <c r="D979" s="60"/>
    </row>
    <row r="980">
      <c r="C980" s="60"/>
      <c r="D980" s="60"/>
    </row>
    <row r="981">
      <c r="C981" s="60"/>
      <c r="D981" s="60"/>
    </row>
    <row r="982">
      <c r="C982" s="60"/>
      <c r="D982" s="60"/>
    </row>
    <row r="983">
      <c r="C983" s="60"/>
      <c r="D983" s="60"/>
    </row>
    <row r="984">
      <c r="C984" s="60"/>
      <c r="D984" s="60"/>
    </row>
    <row r="985">
      <c r="C985" s="60"/>
      <c r="D985" s="60"/>
    </row>
    <row r="986">
      <c r="C986" s="60"/>
      <c r="D986" s="60"/>
    </row>
    <row r="987">
      <c r="C987" s="60"/>
      <c r="D987" s="60"/>
    </row>
    <row r="988">
      <c r="C988" s="60"/>
      <c r="D988" s="60"/>
    </row>
    <row r="989">
      <c r="C989" s="60"/>
      <c r="D989" s="60"/>
    </row>
    <row r="990">
      <c r="C990" s="60"/>
      <c r="D990" s="60"/>
    </row>
    <row r="991">
      <c r="C991" s="60"/>
      <c r="D991" s="60"/>
    </row>
    <row r="992">
      <c r="C992" s="60"/>
      <c r="D992" s="60"/>
    </row>
    <row r="993">
      <c r="C993" s="60"/>
      <c r="D993" s="60"/>
    </row>
    <row r="994">
      <c r="C994" s="60"/>
      <c r="D994" s="60"/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63"/>
    <col customWidth="1" min="2" max="2" width="24.88"/>
    <col customWidth="1" hidden="1" min="3" max="3" width="7.63"/>
    <col customWidth="1" min="4" max="4" width="10.5"/>
    <col customWidth="1" min="5" max="5" width="14.5"/>
    <col customWidth="1" min="7" max="7" width="10.25"/>
    <col customWidth="1" min="8" max="8" width="14.38"/>
  </cols>
  <sheetData>
    <row r="1">
      <c r="A1" s="14" t="s">
        <v>498</v>
      </c>
      <c r="B1" s="14" t="s">
        <v>0</v>
      </c>
      <c r="C1" s="75" t="s">
        <v>3</v>
      </c>
      <c r="D1" s="75" t="s">
        <v>2</v>
      </c>
      <c r="E1" s="14" t="s">
        <v>4</v>
      </c>
      <c r="F1" s="14" t="s">
        <v>5</v>
      </c>
      <c r="G1" s="14" t="s">
        <v>249</v>
      </c>
      <c r="H1" s="14" t="s">
        <v>52</v>
      </c>
      <c r="I1" s="14" t="s">
        <v>1021</v>
      </c>
      <c r="J1" s="14" t="s">
        <v>250</v>
      </c>
      <c r="K1" s="14" t="s">
        <v>497</v>
      </c>
      <c r="L1" s="14" t="s">
        <v>1022</v>
      </c>
      <c r="M1" s="14" t="s">
        <v>1308</v>
      </c>
      <c r="N1" s="14" t="s">
        <v>1309</v>
      </c>
    </row>
    <row r="2">
      <c r="A2" s="43"/>
      <c r="B2" s="44" t="s">
        <v>1310</v>
      </c>
      <c r="C2" s="59"/>
      <c r="D2" s="59"/>
      <c r="E2" s="44"/>
      <c r="F2" s="59"/>
      <c r="G2" s="44"/>
      <c r="H2" s="44"/>
      <c r="I2" s="44"/>
      <c r="J2" s="44"/>
      <c r="K2" s="45"/>
      <c r="L2" s="45"/>
      <c r="M2" s="59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>
      <c r="A3" s="43">
        <v>46067.0</v>
      </c>
      <c r="B3" s="44" t="s">
        <v>1311</v>
      </c>
      <c r="C3" s="59"/>
      <c r="D3" s="59">
        <v>10.0</v>
      </c>
      <c r="E3" s="59"/>
      <c r="F3" s="30"/>
      <c r="G3" s="30"/>
      <c r="H3" s="45"/>
      <c r="I3" s="30"/>
      <c r="J3" s="59"/>
      <c r="K3" s="30"/>
      <c r="L3" s="45"/>
      <c r="M3" s="59">
        <v>10.0</v>
      </c>
    </row>
    <row r="4">
      <c r="A4" s="43"/>
      <c r="B4" s="44" t="s">
        <v>1312</v>
      </c>
      <c r="C4" s="59"/>
      <c r="D4" s="59">
        <v>20.0</v>
      </c>
      <c r="E4" s="30"/>
      <c r="F4" s="59"/>
      <c r="G4" s="30"/>
      <c r="H4" s="30"/>
      <c r="I4" s="30"/>
      <c r="J4" s="30"/>
      <c r="K4" s="30"/>
      <c r="L4" s="30"/>
      <c r="M4" s="59">
        <v>20.0</v>
      </c>
    </row>
    <row r="5">
      <c r="A5" s="43"/>
      <c r="B5" s="44" t="s">
        <v>1313</v>
      </c>
      <c r="C5" s="59"/>
      <c r="D5" s="59">
        <v>30.0</v>
      </c>
      <c r="E5" s="30"/>
      <c r="F5" s="59">
        <v>30.0</v>
      </c>
      <c r="G5" s="45"/>
      <c r="H5" s="45"/>
      <c r="I5" s="30"/>
      <c r="J5" s="59"/>
      <c r="K5" s="59"/>
      <c r="L5" s="45"/>
    </row>
    <row r="6">
      <c r="A6" s="46">
        <v>46068.0</v>
      </c>
      <c r="B6" s="44" t="s">
        <v>1314</v>
      </c>
      <c r="C6" s="59"/>
      <c r="D6" s="59">
        <v>29.0</v>
      </c>
      <c r="E6" s="30"/>
      <c r="F6" s="59"/>
      <c r="H6" s="45"/>
      <c r="I6" s="30"/>
      <c r="J6" s="30"/>
      <c r="K6" s="44"/>
      <c r="L6" s="44"/>
      <c r="M6" s="59">
        <v>29.0</v>
      </c>
    </row>
    <row r="7">
      <c r="A7" s="43"/>
      <c r="B7" s="44" t="s">
        <v>1315</v>
      </c>
      <c r="D7" s="59">
        <v>2.0</v>
      </c>
      <c r="E7" s="30"/>
      <c r="F7" s="59"/>
      <c r="G7" s="99"/>
      <c r="H7" s="44"/>
      <c r="I7" s="44"/>
      <c r="J7" s="44"/>
      <c r="K7" s="44"/>
      <c r="L7" s="44"/>
      <c r="M7" s="59">
        <v>2.0</v>
      </c>
      <c r="N7" s="59"/>
    </row>
    <row r="8">
      <c r="A8" s="43"/>
      <c r="B8" s="44" t="s">
        <v>1316</v>
      </c>
      <c r="C8" s="59"/>
      <c r="D8" s="59">
        <v>20.0</v>
      </c>
      <c r="E8" s="30"/>
      <c r="F8" s="59"/>
      <c r="G8" s="94"/>
      <c r="H8" s="30"/>
      <c r="I8" s="30"/>
      <c r="J8" s="30"/>
      <c r="K8" s="59"/>
      <c r="L8" s="30"/>
      <c r="M8" s="59">
        <v>20.0</v>
      </c>
    </row>
    <row r="9">
      <c r="A9" s="43"/>
      <c r="B9" s="44" t="s">
        <v>1317</v>
      </c>
      <c r="C9" s="59"/>
      <c r="D9" s="59">
        <v>1.2</v>
      </c>
      <c r="E9" s="30"/>
      <c r="F9" s="30"/>
      <c r="G9" s="59"/>
      <c r="H9" s="44"/>
      <c r="I9" s="30"/>
      <c r="J9" s="45"/>
      <c r="K9" s="30"/>
      <c r="L9" s="45"/>
      <c r="M9" s="59">
        <v>1.2</v>
      </c>
    </row>
    <row r="10">
      <c r="A10" s="43">
        <v>46069.0</v>
      </c>
      <c r="B10" s="44" t="s">
        <v>1318</v>
      </c>
      <c r="C10" s="59"/>
      <c r="D10" s="59">
        <v>5.0</v>
      </c>
      <c r="E10" s="30"/>
      <c r="F10" s="59">
        <v>5.0</v>
      </c>
      <c r="G10" s="99"/>
      <c r="H10" s="44"/>
      <c r="I10" s="30"/>
      <c r="J10" s="45"/>
      <c r="K10" s="59"/>
      <c r="L10" s="45"/>
      <c r="M10" s="59"/>
    </row>
    <row r="11">
      <c r="A11" s="43">
        <v>46075.0</v>
      </c>
      <c r="B11" s="44" t="s">
        <v>1319</v>
      </c>
      <c r="C11" s="59"/>
      <c r="D11" s="59"/>
      <c r="E11" s="44"/>
      <c r="F11" s="59"/>
      <c r="G11" s="99"/>
      <c r="H11" s="59"/>
      <c r="I11" s="30"/>
      <c r="J11" s="30"/>
      <c r="K11" s="59"/>
      <c r="L11" s="45"/>
      <c r="M11" s="59"/>
    </row>
    <row r="12">
      <c r="A12" s="43">
        <v>46077.0</v>
      </c>
      <c r="B12" s="44" t="s">
        <v>1320</v>
      </c>
      <c r="C12" s="59"/>
      <c r="D12" s="59">
        <f t="shared" ref="D12:E12" si="1">18.9+0.7</f>
        <v>19.6</v>
      </c>
      <c r="E12" s="59">
        <f t="shared" si="1"/>
        <v>19.6</v>
      </c>
      <c r="F12" s="59"/>
      <c r="G12" s="59"/>
      <c r="H12" s="45"/>
      <c r="I12" s="44"/>
      <c r="J12" s="30"/>
      <c r="K12" s="30"/>
      <c r="L12" s="45"/>
      <c r="M12" s="59"/>
      <c r="N12" s="30"/>
    </row>
    <row r="13">
      <c r="A13" s="43">
        <v>46072.0</v>
      </c>
      <c r="B13" s="44" t="s">
        <v>1321</v>
      </c>
      <c r="C13" s="59"/>
      <c r="D13" s="59">
        <v>48.64</v>
      </c>
      <c r="E13" s="44"/>
      <c r="F13" s="44"/>
      <c r="G13" s="59"/>
      <c r="H13" s="44"/>
      <c r="I13" s="44"/>
      <c r="J13" s="44"/>
      <c r="K13" s="44"/>
      <c r="L13" s="44"/>
      <c r="M13" s="59"/>
      <c r="N13" s="59">
        <v>48.64</v>
      </c>
    </row>
    <row r="14">
      <c r="A14" s="43">
        <v>46077.0</v>
      </c>
      <c r="B14" s="44" t="s">
        <v>1207</v>
      </c>
      <c r="C14" s="59"/>
      <c r="D14" s="59">
        <v>60.55</v>
      </c>
      <c r="E14" s="30"/>
      <c r="F14" s="59"/>
      <c r="G14" s="59"/>
      <c r="H14" s="44"/>
      <c r="I14" s="44"/>
      <c r="J14" s="44"/>
      <c r="K14" s="44"/>
      <c r="L14" s="44"/>
      <c r="M14" s="59"/>
      <c r="N14" s="59">
        <v>60.55</v>
      </c>
    </row>
    <row r="15">
      <c r="A15" s="43"/>
      <c r="B15" s="44" t="s">
        <v>1322</v>
      </c>
      <c r="C15" s="59"/>
      <c r="D15" s="59"/>
      <c r="E15" s="59"/>
      <c r="F15" s="30"/>
      <c r="G15" s="59"/>
      <c r="H15" s="44"/>
      <c r="I15" s="44"/>
      <c r="J15" s="30"/>
      <c r="K15" s="45"/>
      <c r="L15" s="45"/>
      <c r="M15" s="45"/>
      <c r="Q15" s="59"/>
    </row>
    <row r="16">
      <c r="A16" s="43"/>
      <c r="B16" s="44" t="s">
        <v>1148</v>
      </c>
      <c r="C16" s="30"/>
      <c r="D16" s="30">
        <v>141.11</v>
      </c>
      <c r="E16" s="59"/>
      <c r="G16" s="30"/>
      <c r="H16" s="44"/>
      <c r="I16" s="44"/>
      <c r="J16" s="30"/>
      <c r="K16" s="30">
        <v>141.11</v>
      </c>
      <c r="L16" s="45"/>
      <c r="M16" s="30"/>
    </row>
    <row r="17">
      <c r="A17" s="93"/>
      <c r="B17" s="1" t="s">
        <v>1323</v>
      </c>
      <c r="C17" s="59"/>
      <c r="D17" s="59"/>
      <c r="F17" s="30"/>
      <c r="G17" s="30"/>
      <c r="H17" s="59"/>
      <c r="I17" s="30"/>
      <c r="J17" s="30"/>
      <c r="K17" s="30"/>
      <c r="L17" s="30"/>
      <c r="M17" s="59"/>
      <c r="N17" s="30"/>
    </row>
    <row r="18">
      <c r="A18" s="43"/>
      <c r="B18" s="44" t="s">
        <v>1324</v>
      </c>
      <c r="C18" s="59"/>
      <c r="D18" s="59">
        <v>55.4</v>
      </c>
      <c r="F18" s="59">
        <v>55.4</v>
      </c>
      <c r="G18" s="44"/>
      <c r="H18" s="44"/>
      <c r="I18" s="30"/>
      <c r="J18" s="45"/>
      <c r="K18" s="30"/>
      <c r="L18" s="45"/>
      <c r="M18" s="59"/>
    </row>
    <row r="19">
      <c r="A19" s="43">
        <v>46066.0</v>
      </c>
      <c r="B19" s="44" t="s">
        <v>1325</v>
      </c>
      <c r="C19" s="59"/>
      <c r="D19" s="59">
        <v>12.0</v>
      </c>
      <c r="G19" s="59"/>
      <c r="H19" s="44"/>
      <c r="I19" s="44"/>
      <c r="J19" s="44"/>
      <c r="K19" s="59"/>
      <c r="L19" s="44"/>
      <c r="M19" s="59">
        <v>12.0</v>
      </c>
      <c r="N19" s="44"/>
    </row>
    <row r="20">
      <c r="A20" s="43">
        <v>46068.0</v>
      </c>
      <c r="B20" s="44" t="s">
        <v>1326</v>
      </c>
      <c r="C20" s="59"/>
      <c r="D20" s="59">
        <v>5.1</v>
      </c>
      <c r="E20" s="59"/>
      <c r="F20" s="59"/>
      <c r="G20" s="44"/>
      <c r="H20" s="44"/>
      <c r="I20" s="44"/>
      <c r="J20" s="44"/>
      <c r="K20" s="44"/>
      <c r="L20" s="44"/>
      <c r="M20" s="59">
        <v>5.1</v>
      </c>
      <c r="N20" s="44"/>
    </row>
    <row r="21">
      <c r="A21" s="43">
        <v>46069.0</v>
      </c>
      <c r="B21" s="44" t="s">
        <v>1327</v>
      </c>
      <c r="C21" s="59"/>
      <c r="D21" s="59">
        <v>19.55</v>
      </c>
      <c r="F21" s="59"/>
      <c r="G21" s="44"/>
      <c r="H21" s="45"/>
      <c r="I21" s="30"/>
      <c r="J21" s="45"/>
      <c r="K21" s="30"/>
      <c r="L21" s="45"/>
      <c r="M21" s="59">
        <v>19.55</v>
      </c>
      <c r="N21" s="59"/>
    </row>
    <row r="22">
      <c r="A22" s="43"/>
      <c r="B22" s="44" t="s">
        <v>460</v>
      </c>
      <c r="C22" s="59"/>
      <c r="D22" s="59">
        <v>63.29</v>
      </c>
      <c r="F22" s="59">
        <v>63.29</v>
      </c>
      <c r="G22" s="44"/>
      <c r="H22" s="45"/>
      <c r="I22" s="44"/>
      <c r="J22" s="45"/>
      <c r="K22" s="30"/>
      <c r="L22" s="45"/>
      <c r="M22" s="59"/>
      <c r="N22" s="59"/>
    </row>
    <row r="23">
      <c r="A23" s="43"/>
      <c r="B23" s="44" t="s">
        <v>19</v>
      </c>
      <c r="C23" s="59"/>
      <c r="D23" s="59">
        <v>89.5</v>
      </c>
      <c r="F23" s="59">
        <v>89.5</v>
      </c>
      <c r="G23" s="59"/>
      <c r="H23" s="44"/>
      <c r="I23" s="30"/>
      <c r="J23" s="44"/>
      <c r="K23" s="30"/>
      <c r="L23" s="44"/>
      <c r="M23" s="59"/>
    </row>
    <row r="24">
      <c r="A24" s="43">
        <v>46073.0</v>
      </c>
      <c r="B24" s="44" t="s">
        <v>1328</v>
      </c>
      <c r="C24" s="59"/>
      <c r="D24" s="59">
        <v>48.3</v>
      </c>
      <c r="F24" s="59">
        <v>48.3</v>
      </c>
      <c r="M24" s="59"/>
    </row>
    <row r="25">
      <c r="A25" s="43">
        <v>46074.0</v>
      </c>
      <c r="B25" s="44" t="s">
        <v>1148</v>
      </c>
      <c r="C25" s="59"/>
      <c r="D25" s="59">
        <v>85.65</v>
      </c>
      <c r="F25" s="59"/>
      <c r="K25" s="59">
        <v>85.65</v>
      </c>
      <c r="M25" s="59"/>
    </row>
    <row r="26">
      <c r="A26" s="43"/>
      <c r="B26" s="1" t="s">
        <v>1329</v>
      </c>
      <c r="C26" s="59"/>
      <c r="D26" s="59">
        <v>56.9</v>
      </c>
      <c r="E26" s="1">
        <v>50.0</v>
      </c>
      <c r="G26" s="59">
        <v>6.9</v>
      </c>
      <c r="M26" s="59"/>
    </row>
    <row r="27">
      <c r="A27" s="46"/>
      <c r="B27" s="44" t="s">
        <v>1330</v>
      </c>
      <c r="C27" s="59"/>
      <c r="D27" s="59">
        <v>51.6</v>
      </c>
      <c r="F27" s="59">
        <v>51.6</v>
      </c>
      <c r="G27" s="59"/>
      <c r="H27" s="59"/>
      <c r="M27" s="59"/>
    </row>
    <row r="28">
      <c r="A28" s="43"/>
      <c r="B28" s="44" t="s">
        <v>1331</v>
      </c>
      <c r="C28" s="59"/>
      <c r="D28" s="59">
        <v>5.0</v>
      </c>
      <c r="F28" s="59">
        <v>5.0</v>
      </c>
      <c r="G28" s="59"/>
      <c r="M28" s="59"/>
    </row>
    <row r="29">
      <c r="A29" s="43"/>
      <c r="B29" s="44"/>
      <c r="C29" s="59"/>
      <c r="D29" s="59"/>
      <c r="G29" s="59"/>
      <c r="M29" s="59"/>
    </row>
    <row r="30">
      <c r="A30" s="43"/>
      <c r="B30" s="44" t="s">
        <v>1332</v>
      </c>
      <c r="C30" s="59"/>
      <c r="D30" s="59"/>
      <c r="G30" s="30"/>
      <c r="H30" s="30"/>
      <c r="I30" s="30"/>
      <c r="J30" s="92"/>
      <c r="K30" s="30"/>
      <c r="L30" s="30"/>
      <c r="M30" s="59">
        <v>50.0</v>
      </c>
      <c r="N30" s="30"/>
      <c r="P30" s="16"/>
      <c r="Q30" s="16"/>
      <c r="R30" s="16"/>
      <c r="S30" s="16"/>
      <c r="T30" s="16"/>
      <c r="U30" s="16"/>
      <c r="V30" s="16"/>
      <c r="W30" s="16"/>
      <c r="X30" s="16"/>
    </row>
    <row r="31">
      <c r="A31" s="43">
        <v>46080.0</v>
      </c>
      <c r="B31" s="44" t="s">
        <v>1333</v>
      </c>
      <c r="C31" s="59"/>
      <c r="D31" s="59"/>
      <c r="E31" s="59"/>
      <c r="F31" s="30"/>
      <c r="P31" s="1"/>
    </row>
    <row r="32">
      <c r="A32" s="43"/>
      <c r="C32" s="59"/>
      <c r="D32" s="59"/>
      <c r="E32" s="59"/>
      <c r="F32" s="59"/>
      <c r="M32" s="59"/>
    </row>
    <row r="33">
      <c r="A33" s="43"/>
      <c r="B33" s="44"/>
      <c r="C33" s="59"/>
      <c r="D33" s="59"/>
      <c r="E33" s="92"/>
      <c r="F33" s="92"/>
      <c r="G33" s="30"/>
      <c r="H33" s="30"/>
      <c r="I33" s="30"/>
      <c r="J33" s="30"/>
      <c r="K33" s="92"/>
      <c r="L33" s="30"/>
      <c r="M33" s="92"/>
      <c r="N33" s="92"/>
    </row>
    <row r="34">
      <c r="A34" s="43"/>
      <c r="B34" s="44"/>
      <c r="C34" s="59"/>
      <c r="D34" s="59"/>
      <c r="M34" s="59"/>
    </row>
    <row r="35">
      <c r="A35" s="43"/>
      <c r="B35" s="44"/>
      <c r="C35" s="59"/>
      <c r="D35" s="59"/>
      <c r="E35" s="59"/>
      <c r="M35" s="59"/>
    </row>
    <row r="36">
      <c r="A36" s="41"/>
      <c r="C36" s="59"/>
      <c r="D36" s="59"/>
      <c r="F36" s="59"/>
      <c r="M36" s="59"/>
    </row>
    <row r="37">
      <c r="A37" s="41"/>
      <c r="C37" s="59"/>
      <c r="D37" s="59"/>
      <c r="J37" s="30"/>
      <c r="K37" s="59"/>
      <c r="M37" s="59"/>
    </row>
    <row r="38">
      <c r="A38" s="25"/>
      <c r="C38" s="59"/>
      <c r="D38" s="59"/>
      <c r="G38" s="59"/>
      <c r="K38" s="59"/>
    </row>
    <row r="39">
      <c r="A39" s="41"/>
      <c r="C39" s="59"/>
      <c r="D39" s="59"/>
      <c r="E39" s="59"/>
      <c r="G39" s="59"/>
    </row>
    <row r="40">
      <c r="A40" s="66"/>
      <c r="B40" s="44"/>
      <c r="C40" s="59"/>
      <c r="D40" s="59"/>
      <c r="F40" s="59"/>
    </row>
    <row r="41">
      <c r="A41" s="25"/>
      <c r="B41" s="44"/>
      <c r="C41" s="59"/>
      <c r="D41" s="59"/>
      <c r="E41" s="59"/>
      <c r="J41" s="59"/>
      <c r="M41" s="59"/>
    </row>
    <row r="42">
      <c r="A42" s="25"/>
      <c r="B42" s="44"/>
      <c r="C42" s="59"/>
      <c r="D42" s="59"/>
      <c r="J42" s="59"/>
      <c r="M42" s="59"/>
    </row>
    <row r="43">
      <c r="C43" s="59"/>
      <c r="D43" s="59"/>
      <c r="J43" s="59"/>
    </row>
    <row r="44">
      <c r="A44" s="41"/>
      <c r="C44" s="59"/>
      <c r="D44" s="59"/>
      <c r="E44" s="59"/>
      <c r="M44" s="59"/>
    </row>
    <row r="45">
      <c r="C45" s="59"/>
      <c r="D45" s="59"/>
      <c r="F45" s="59"/>
      <c r="M45" s="59"/>
    </row>
    <row r="46">
      <c r="C46" s="59"/>
      <c r="D46" s="59"/>
      <c r="F46" s="59"/>
      <c r="M46" s="59"/>
    </row>
    <row r="47">
      <c r="A47" s="41"/>
      <c r="C47" s="59"/>
      <c r="D47" s="59"/>
      <c r="F47" s="59"/>
      <c r="M47" s="59"/>
    </row>
    <row r="48">
      <c r="A48" s="41"/>
      <c r="C48" s="59"/>
      <c r="D48" s="59"/>
      <c r="M48" s="59"/>
      <c r="P48" s="59"/>
    </row>
    <row r="49">
      <c r="A49" s="41"/>
      <c r="D49" s="59"/>
      <c r="F49" s="30"/>
      <c r="M49" s="59"/>
      <c r="P49" s="1"/>
    </row>
    <row r="50">
      <c r="C50" s="59"/>
      <c r="D50" s="59"/>
      <c r="F50" s="44"/>
      <c r="M50" s="59"/>
      <c r="P50" s="59"/>
    </row>
    <row r="51">
      <c r="D51" s="59"/>
      <c r="F51" s="44"/>
      <c r="G51" s="44"/>
      <c r="M51" s="59"/>
      <c r="P51" s="1"/>
    </row>
    <row r="52">
      <c r="B52" s="59"/>
      <c r="D52" s="59"/>
      <c r="F52" s="59"/>
      <c r="M52" s="59"/>
    </row>
    <row r="53">
      <c r="C53" s="59"/>
      <c r="D53" s="59"/>
      <c r="L53" s="59"/>
    </row>
    <row r="54">
      <c r="A54" s="41"/>
      <c r="C54" s="60"/>
      <c r="D54" s="59"/>
      <c r="N54" s="59"/>
    </row>
    <row r="55">
      <c r="C55" s="60"/>
      <c r="D55" s="59"/>
      <c r="F55" s="59"/>
    </row>
    <row r="56">
      <c r="C56" s="60"/>
      <c r="D56" s="59"/>
      <c r="F56" s="59"/>
    </row>
    <row r="57">
      <c r="C57" s="59"/>
      <c r="D57" s="59"/>
      <c r="F57" s="59"/>
    </row>
    <row r="58">
      <c r="C58" s="60"/>
      <c r="D58" s="60"/>
    </row>
    <row r="59">
      <c r="C59" s="60"/>
      <c r="D59" s="60"/>
    </row>
    <row r="60">
      <c r="C60" s="60"/>
      <c r="D60" s="60"/>
    </row>
    <row r="61">
      <c r="C61" s="60"/>
      <c r="D61" s="60"/>
    </row>
    <row r="62">
      <c r="C62" s="60"/>
      <c r="D62" s="60"/>
    </row>
    <row r="63">
      <c r="C63" s="60"/>
      <c r="D63" s="60"/>
    </row>
    <row r="64">
      <c r="C64" s="60"/>
      <c r="D64" s="60"/>
    </row>
    <row r="65">
      <c r="C65" s="60"/>
      <c r="D65" s="60"/>
    </row>
    <row r="66">
      <c r="C66" s="60"/>
      <c r="D66" s="60"/>
    </row>
    <row r="67">
      <c r="C67" s="60"/>
      <c r="D67" s="60"/>
    </row>
    <row r="68">
      <c r="C68" s="60"/>
      <c r="D68" s="60"/>
    </row>
    <row r="69">
      <c r="C69" s="60"/>
      <c r="D69" s="60"/>
    </row>
    <row r="70">
      <c r="C70" s="60"/>
      <c r="D70" s="60"/>
    </row>
    <row r="71">
      <c r="C71" s="60"/>
      <c r="D71" s="60"/>
    </row>
    <row r="72">
      <c r="C72" s="59"/>
      <c r="D72" s="59"/>
    </row>
    <row r="73">
      <c r="C73" s="59"/>
      <c r="D73" s="59"/>
    </row>
    <row r="74">
      <c r="C74" s="59"/>
      <c r="D74" s="59"/>
    </row>
    <row r="75">
      <c r="C75" s="59"/>
      <c r="D75" s="59"/>
    </row>
    <row r="76">
      <c r="C76" s="59"/>
      <c r="D76" s="59"/>
      <c r="E76" s="44"/>
      <c r="F76" s="44"/>
      <c r="G76" s="44"/>
      <c r="H76" s="44"/>
      <c r="I76" s="44"/>
      <c r="J76" s="44"/>
    </row>
    <row r="77">
      <c r="C77" s="59"/>
      <c r="D77" s="59"/>
      <c r="E77" s="44"/>
      <c r="F77" s="44"/>
    </row>
    <row r="78">
      <c r="C78" s="59"/>
      <c r="D78" s="59"/>
      <c r="F78" s="44"/>
    </row>
    <row r="79">
      <c r="C79" s="59"/>
      <c r="D79" s="59"/>
      <c r="E79" s="44"/>
    </row>
    <row r="80">
      <c r="C80" s="59"/>
      <c r="D80" s="59"/>
    </row>
    <row r="81">
      <c r="C81" s="60"/>
      <c r="D81" s="60"/>
    </row>
    <row r="82">
      <c r="C82" s="60"/>
      <c r="D82" s="60"/>
    </row>
    <row r="83">
      <c r="C83" s="59"/>
      <c r="D83" s="59"/>
    </row>
    <row r="84">
      <c r="C84" s="60"/>
      <c r="D84" s="60"/>
    </row>
    <row r="85">
      <c r="C85" s="60"/>
      <c r="D85" s="60"/>
      <c r="E85" s="67"/>
      <c r="F85" s="67"/>
      <c r="G85" s="68"/>
      <c r="H85" s="68"/>
      <c r="I85" s="67"/>
      <c r="J85" s="68"/>
    </row>
    <row r="86">
      <c r="C86" s="60"/>
      <c r="D86" s="60"/>
      <c r="E86" s="68"/>
      <c r="F86" s="68"/>
      <c r="G86" s="68"/>
      <c r="H86" s="68"/>
      <c r="I86" s="68"/>
      <c r="J86" s="68"/>
    </row>
    <row r="87">
      <c r="C87" s="60"/>
      <c r="D87" s="60"/>
    </row>
    <row r="88">
      <c r="C88" s="60"/>
      <c r="D88" s="60"/>
    </row>
    <row r="89">
      <c r="C89" s="60"/>
      <c r="D89" s="60"/>
    </row>
    <row r="90">
      <c r="C90" s="60"/>
      <c r="D90" s="60"/>
    </row>
    <row r="91">
      <c r="C91" s="60"/>
      <c r="D91" s="60"/>
    </row>
    <row r="92">
      <c r="C92" s="60"/>
      <c r="D92" s="60"/>
    </row>
    <row r="93">
      <c r="C93" s="60"/>
      <c r="D93" s="60"/>
    </row>
    <row r="94">
      <c r="C94" s="60"/>
      <c r="D94" s="60"/>
    </row>
    <row r="95">
      <c r="C95" s="60"/>
      <c r="D95" s="60"/>
    </row>
    <row r="96">
      <c r="C96" s="60"/>
      <c r="D96" s="60"/>
    </row>
    <row r="97">
      <c r="C97" s="60"/>
      <c r="D97" s="60"/>
    </row>
    <row r="98">
      <c r="C98" s="60"/>
      <c r="D98" s="60"/>
    </row>
    <row r="99">
      <c r="C99" s="60"/>
      <c r="D99" s="60"/>
    </row>
    <row r="100">
      <c r="C100" s="60"/>
      <c r="D100" s="60"/>
    </row>
    <row r="101">
      <c r="C101" s="60"/>
      <c r="D101" s="60"/>
    </row>
    <row r="102">
      <c r="C102" s="60"/>
      <c r="D102" s="60"/>
    </row>
    <row r="103">
      <c r="C103" s="60"/>
      <c r="D103" s="60"/>
    </row>
    <row r="104">
      <c r="C104" s="60"/>
      <c r="D104" s="60"/>
    </row>
    <row r="105">
      <c r="C105" s="60"/>
      <c r="D105" s="60"/>
    </row>
    <row r="106">
      <c r="C106" s="60"/>
      <c r="D106" s="60"/>
    </row>
    <row r="107">
      <c r="C107" s="60"/>
      <c r="D107" s="60"/>
    </row>
    <row r="108">
      <c r="C108" s="60"/>
      <c r="D108" s="60"/>
    </row>
    <row r="109">
      <c r="C109" s="60"/>
      <c r="D109" s="60"/>
    </row>
    <row r="110">
      <c r="C110" s="60"/>
      <c r="D110" s="60"/>
    </row>
    <row r="111">
      <c r="C111" s="60"/>
      <c r="D111" s="60"/>
    </row>
    <row r="112">
      <c r="C112" s="60"/>
      <c r="D112" s="60"/>
    </row>
    <row r="113">
      <c r="C113" s="60"/>
      <c r="D113" s="60"/>
    </row>
    <row r="114">
      <c r="C114" s="60"/>
      <c r="D114" s="60"/>
    </row>
    <row r="115">
      <c r="C115" s="60"/>
      <c r="D115" s="60"/>
    </row>
    <row r="116">
      <c r="C116" s="60"/>
      <c r="D116" s="60"/>
    </row>
    <row r="117">
      <c r="C117" s="60"/>
      <c r="D117" s="60"/>
    </row>
    <row r="118">
      <c r="C118" s="60"/>
      <c r="D118" s="60"/>
    </row>
    <row r="119">
      <c r="C119" s="60"/>
      <c r="D119" s="60"/>
    </row>
    <row r="120">
      <c r="C120" s="60"/>
      <c r="D120" s="60"/>
    </row>
    <row r="121">
      <c r="C121" s="60"/>
      <c r="D121" s="60"/>
    </row>
    <row r="122">
      <c r="C122" s="60"/>
      <c r="D122" s="60"/>
    </row>
    <row r="123">
      <c r="C123" s="60"/>
      <c r="D123" s="60"/>
    </row>
    <row r="124">
      <c r="C124" s="60"/>
      <c r="D124" s="60"/>
    </row>
    <row r="125">
      <c r="C125" s="60"/>
      <c r="D125" s="60"/>
    </row>
    <row r="126">
      <c r="C126" s="60"/>
      <c r="D126" s="60"/>
    </row>
    <row r="127">
      <c r="C127" s="60"/>
      <c r="D127" s="60"/>
    </row>
    <row r="128">
      <c r="C128" s="60"/>
      <c r="D128" s="60"/>
    </row>
    <row r="129">
      <c r="C129" s="60"/>
      <c r="D129" s="60"/>
    </row>
    <row r="130">
      <c r="C130" s="60"/>
      <c r="D130" s="60"/>
    </row>
    <row r="131">
      <c r="C131" s="60"/>
      <c r="D131" s="60"/>
    </row>
    <row r="132">
      <c r="C132" s="60"/>
      <c r="D132" s="60"/>
    </row>
    <row r="133">
      <c r="C133" s="60"/>
      <c r="D133" s="60"/>
    </row>
    <row r="134">
      <c r="C134" s="60"/>
      <c r="D134" s="60"/>
    </row>
    <row r="135">
      <c r="C135" s="60"/>
      <c r="D135" s="60"/>
    </row>
    <row r="136">
      <c r="C136" s="60"/>
      <c r="D136" s="60"/>
    </row>
    <row r="137">
      <c r="C137" s="60"/>
      <c r="D137" s="60"/>
    </row>
    <row r="138">
      <c r="C138" s="60"/>
      <c r="D138" s="60"/>
    </row>
    <row r="139">
      <c r="C139" s="60"/>
      <c r="D139" s="60"/>
    </row>
    <row r="140">
      <c r="C140" s="60"/>
      <c r="D140" s="60"/>
    </row>
    <row r="141">
      <c r="C141" s="60"/>
      <c r="D141" s="60"/>
    </row>
    <row r="142">
      <c r="C142" s="60"/>
      <c r="D142" s="60"/>
    </row>
    <row r="143">
      <c r="C143" s="60"/>
      <c r="D143" s="60"/>
    </row>
    <row r="144">
      <c r="C144" s="60"/>
      <c r="D144" s="60"/>
    </row>
    <row r="145">
      <c r="C145" s="60"/>
      <c r="D145" s="60"/>
    </row>
    <row r="146">
      <c r="C146" s="60"/>
      <c r="D146" s="60"/>
    </row>
    <row r="147">
      <c r="C147" s="60"/>
      <c r="D147" s="60"/>
    </row>
    <row r="148">
      <c r="C148" s="60"/>
      <c r="D148" s="60"/>
    </row>
    <row r="149">
      <c r="C149" s="60"/>
      <c r="D149" s="60"/>
    </row>
    <row r="150">
      <c r="C150" s="60"/>
      <c r="D150" s="60"/>
    </row>
    <row r="151">
      <c r="C151" s="60"/>
      <c r="D151" s="60"/>
    </row>
    <row r="152">
      <c r="C152" s="60"/>
      <c r="D152" s="60"/>
    </row>
    <row r="153">
      <c r="C153" s="60"/>
      <c r="D153" s="60"/>
    </row>
    <row r="154">
      <c r="C154" s="60"/>
      <c r="D154" s="60"/>
    </row>
    <row r="155">
      <c r="C155" s="60"/>
      <c r="D155" s="60"/>
    </row>
    <row r="156">
      <c r="C156" s="60"/>
      <c r="D156" s="60"/>
    </row>
    <row r="157">
      <c r="C157" s="60"/>
      <c r="D157" s="60"/>
    </row>
    <row r="158">
      <c r="C158" s="60"/>
      <c r="D158" s="60"/>
    </row>
    <row r="159">
      <c r="C159" s="60"/>
      <c r="D159" s="60"/>
    </row>
    <row r="160">
      <c r="C160" s="60"/>
      <c r="D160" s="60"/>
    </row>
    <row r="161">
      <c r="C161" s="60"/>
      <c r="D161" s="60"/>
    </row>
    <row r="162">
      <c r="C162" s="60"/>
      <c r="D162" s="60"/>
    </row>
    <row r="163">
      <c r="C163" s="60"/>
      <c r="D163" s="60"/>
    </row>
    <row r="164">
      <c r="C164" s="60"/>
      <c r="D164" s="60"/>
    </row>
    <row r="165">
      <c r="C165" s="60"/>
      <c r="D165" s="60"/>
    </row>
    <row r="166">
      <c r="C166" s="60"/>
      <c r="D166" s="60"/>
    </row>
    <row r="167">
      <c r="C167" s="60"/>
      <c r="D167" s="60"/>
    </row>
    <row r="168">
      <c r="C168" s="60"/>
      <c r="D168" s="60"/>
    </row>
    <row r="169">
      <c r="C169" s="60"/>
      <c r="D169" s="60"/>
    </row>
    <row r="170">
      <c r="C170" s="60"/>
      <c r="D170" s="60"/>
    </row>
    <row r="171">
      <c r="C171" s="60"/>
      <c r="D171" s="60"/>
    </row>
    <row r="172">
      <c r="C172" s="60"/>
      <c r="D172" s="60"/>
    </row>
    <row r="173">
      <c r="C173" s="60"/>
      <c r="D173" s="60"/>
    </row>
    <row r="174">
      <c r="C174" s="60"/>
      <c r="D174" s="60"/>
    </row>
    <row r="175">
      <c r="C175" s="60"/>
      <c r="D175" s="60"/>
    </row>
    <row r="176">
      <c r="C176" s="60"/>
      <c r="D176" s="60"/>
    </row>
    <row r="177">
      <c r="C177" s="60"/>
      <c r="D177" s="60"/>
    </row>
    <row r="178">
      <c r="C178" s="60"/>
      <c r="D178" s="60"/>
    </row>
    <row r="179">
      <c r="C179" s="60"/>
      <c r="D179" s="60"/>
    </row>
    <row r="180">
      <c r="C180" s="60"/>
      <c r="D180" s="60"/>
    </row>
    <row r="181">
      <c r="C181" s="60"/>
      <c r="D181" s="60"/>
    </row>
    <row r="182">
      <c r="C182" s="60"/>
      <c r="D182" s="60"/>
    </row>
    <row r="183">
      <c r="C183" s="60"/>
      <c r="D183" s="60"/>
    </row>
    <row r="184">
      <c r="C184" s="60"/>
      <c r="D184" s="60"/>
    </row>
    <row r="185">
      <c r="C185" s="60"/>
      <c r="D185" s="60"/>
    </row>
    <row r="186">
      <c r="C186" s="60"/>
      <c r="D186" s="60"/>
    </row>
    <row r="187">
      <c r="C187" s="60"/>
      <c r="D187" s="60"/>
    </row>
    <row r="188">
      <c r="C188" s="60"/>
      <c r="D188" s="60"/>
    </row>
    <row r="189">
      <c r="C189" s="60"/>
      <c r="D189" s="60"/>
    </row>
    <row r="190">
      <c r="C190" s="60"/>
      <c r="D190" s="60"/>
    </row>
    <row r="191">
      <c r="C191" s="60"/>
      <c r="D191" s="60"/>
    </row>
    <row r="192">
      <c r="C192" s="60"/>
      <c r="D192" s="60"/>
    </row>
    <row r="193">
      <c r="C193" s="60"/>
      <c r="D193" s="60"/>
    </row>
    <row r="194">
      <c r="C194" s="60"/>
      <c r="D194" s="60"/>
    </row>
    <row r="195">
      <c r="C195" s="60"/>
      <c r="D195" s="60"/>
    </row>
    <row r="196">
      <c r="C196" s="60"/>
      <c r="D196" s="60"/>
    </row>
    <row r="197">
      <c r="C197" s="60"/>
      <c r="D197" s="60"/>
    </row>
    <row r="198">
      <c r="C198" s="60"/>
      <c r="D198" s="60"/>
    </row>
    <row r="199">
      <c r="C199" s="60"/>
      <c r="D199" s="60"/>
    </row>
    <row r="200">
      <c r="C200" s="60"/>
      <c r="D200" s="60"/>
    </row>
    <row r="201">
      <c r="C201" s="60"/>
      <c r="D201" s="60"/>
    </row>
    <row r="202">
      <c r="C202" s="60"/>
      <c r="D202" s="60"/>
    </row>
    <row r="203">
      <c r="C203" s="60"/>
      <c r="D203" s="60"/>
    </row>
    <row r="204">
      <c r="C204" s="60"/>
      <c r="D204" s="60"/>
    </row>
    <row r="205">
      <c r="C205" s="60"/>
      <c r="D205" s="60"/>
    </row>
    <row r="206">
      <c r="C206" s="60"/>
      <c r="D206" s="60"/>
    </row>
    <row r="207">
      <c r="C207" s="60"/>
      <c r="D207" s="60"/>
    </row>
    <row r="208">
      <c r="C208" s="60"/>
      <c r="D208" s="60"/>
    </row>
    <row r="209">
      <c r="C209" s="60"/>
      <c r="D209" s="60"/>
    </row>
    <row r="210">
      <c r="C210" s="60"/>
      <c r="D210" s="60"/>
    </row>
    <row r="211">
      <c r="C211" s="60"/>
      <c r="D211" s="60"/>
    </row>
    <row r="212">
      <c r="C212" s="60"/>
      <c r="D212" s="60"/>
    </row>
    <row r="213">
      <c r="C213" s="60"/>
      <c r="D213" s="60"/>
    </row>
    <row r="214">
      <c r="C214" s="60"/>
      <c r="D214" s="60"/>
    </row>
    <row r="215">
      <c r="C215" s="60"/>
      <c r="D215" s="60"/>
    </row>
    <row r="216">
      <c r="C216" s="60"/>
      <c r="D216" s="60"/>
    </row>
    <row r="217">
      <c r="C217" s="60"/>
      <c r="D217" s="60"/>
    </row>
    <row r="218">
      <c r="C218" s="60"/>
      <c r="D218" s="60"/>
    </row>
    <row r="219">
      <c r="C219" s="60"/>
      <c r="D219" s="60"/>
    </row>
    <row r="220">
      <c r="C220" s="60"/>
      <c r="D220" s="60"/>
    </row>
    <row r="221">
      <c r="C221" s="60"/>
      <c r="D221" s="60"/>
    </row>
    <row r="222">
      <c r="C222" s="60"/>
      <c r="D222" s="60"/>
    </row>
    <row r="223">
      <c r="C223" s="60"/>
      <c r="D223" s="60"/>
    </row>
    <row r="224">
      <c r="C224" s="60"/>
      <c r="D224" s="60"/>
    </row>
    <row r="225">
      <c r="C225" s="60"/>
      <c r="D225" s="60"/>
    </row>
    <row r="226">
      <c r="C226" s="60"/>
      <c r="D226" s="60"/>
    </row>
    <row r="227">
      <c r="C227" s="60"/>
      <c r="D227" s="60"/>
    </row>
    <row r="228">
      <c r="C228" s="60"/>
      <c r="D228" s="60"/>
    </row>
    <row r="229">
      <c r="C229" s="60"/>
      <c r="D229" s="60"/>
    </row>
    <row r="230">
      <c r="C230" s="60"/>
      <c r="D230" s="60"/>
    </row>
    <row r="231">
      <c r="C231" s="60"/>
      <c r="D231" s="60"/>
    </row>
    <row r="232">
      <c r="C232" s="60"/>
      <c r="D232" s="60"/>
    </row>
    <row r="233">
      <c r="C233" s="60"/>
      <c r="D233" s="60"/>
    </row>
    <row r="234">
      <c r="C234" s="60"/>
      <c r="D234" s="60"/>
    </row>
    <row r="235">
      <c r="C235" s="60"/>
      <c r="D235" s="60"/>
    </row>
    <row r="236">
      <c r="C236" s="60"/>
      <c r="D236" s="60"/>
    </row>
    <row r="237">
      <c r="C237" s="60"/>
      <c r="D237" s="60"/>
    </row>
    <row r="238">
      <c r="C238" s="60"/>
      <c r="D238" s="60"/>
    </row>
    <row r="239">
      <c r="C239" s="60"/>
      <c r="D239" s="60"/>
    </row>
    <row r="240">
      <c r="C240" s="60"/>
      <c r="D240" s="60"/>
    </row>
    <row r="241">
      <c r="C241" s="60"/>
      <c r="D241" s="60"/>
    </row>
    <row r="242">
      <c r="C242" s="60"/>
      <c r="D242" s="60"/>
    </row>
    <row r="243">
      <c r="C243" s="60"/>
      <c r="D243" s="60"/>
    </row>
    <row r="244">
      <c r="C244" s="60"/>
      <c r="D244" s="60"/>
    </row>
    <row r="245">
      <c r="C245" s="60"/>
      <c r="D245" s="60"/>
    </row>
    <row r="246">
      <c r="C246" s="60"/>
      <c r="D246" s="60"/>
    </row>
    <row r="247">
      <c r="C247" s="60"/>
      <c r="D247" s="60"/>
    </row>
    <row r="248">
      <c r="C248" s="60"/>
      <c r="D248" s="60"/>
    </row>
    <row r="249">
      <c r="C249" s="60"/>
      <c r="D249" s="60"/>
    </row>
    <row r="250">
      <c r="C250" s="60"/>
      <c r="D250" s="60"/>
    </row>
    <row r="251">
      <c r="C251" s="60"/>
      <c r="D251" s="60"/>
    </row>
    <row r="252">
      <c r="C252" s="60"/>
      <c r="D252" s="60"/>
    </row>
    <row r="253">
      <c r="C253" s="60"/>
      <c r="D253" s="60"/>
    </row>
    <row r="254">
      <c r="C254" s="60"/>
      <c r="D254" s="60"/>
    </row>
    <row r="255">
      <c r="C255" s="60"/>
      <c r="D255" s="60"/>
    </row>
    <row r="256">
      <c r="C256" s="60"/>
      <c r="D256" s="60"/>
    </row>
    <row r="257">
      <c r="C257" s="60"/>
      <c r="D257" s="60"/>
    </row>
    <row r="258">
      <c r="C258" s="60"/>
      <c r="D258" s="60"/>
    </row>
    <row r="259">
      <c r="C259" s="60"/>
      <c r="D259" s="60"/>
    </row>
    <row r="260">
      <c r="C260" s="60"/>
      <c r="D260" s="60"/>
    </row>
    <row r="261">
      <c r="C261" s="60"/>
      <c r="D261" s="60"/>
    </row>
    <row r="262">
      <c r="C262" s="60"/>
      <c r="D262" s="60"/>
    </row>
    <row r="263">
      <c r="C263" s="60"/>
      <c r="D263" s="60"/>
    </row>
    <row r="264">
      <c r="C264" s="60"/>
      <c r="D264" s="60"/>
    </row>
    <row r="265">
      <c r="C265" s="60"/>
      <c r="D265" s="60"/>
    </row>
    <row r="266">
      <c r="C266" s="60"/>
      <c r="D266" s="60"/>
    </row>
    <row r="267">
      <c r="C267" s="60"/>
      <c r="D267" s="60"/>
    </row>
    <row r="268">
      <c r="C268" s="60"/>
      <c r="D268" s="60"/>
    </row>
    <row r="269">
      <c r="C269" s="60"/>
      <c r="D269" s="60"/>
    </row>
    <row r="270">
      <c r="C270" s="60"/>
      <c r="D270" s="60"/>
    </row>
    <row r="271">
      <c r="C271" s="60"/>
      <c r="D271" s="60"/>
    </row>
    <row r="272">
      <c r="C272" s="60"/>
      <c r="D272" s="60"/>
    </row>
    <row r="273">
      <c r="C273" s="60"/>
      <c r="D273" s="60"/>
    </row>
    <row r="274">
      <c r="C274" s="60"/>
      <c r="D274" s="60"/>
    </row>
    <row r="275">
      <c r="C275" s="60"/>
      <c r="D275" s="60"/>
    </row>
    <row r="276">
      <c r="C276" s="60"/>
      <c r="D276" s="60"/>
    </row>
    <row r="277">
      <c r="C277" s="60"/>
      <c r="D277" s="60"/>
    </row>
    <row r="278">
      <c r="C278" s="60"/>
      <c r="D278" s="60"/>
    </row>
    <row r="279">
      <c r="C279" s="60"/>
      <c r="D279" s="60"/>
    </row>
    <row r="280">
      <c r="C280" s="60"/>
      <c r="D280" s="60"/>
    </row>
    <row r="281">
      <c r="C281" s="60"/>
      <c r="D281" s="60"/>
    </row>
    <row r="282">
      <c r="C282" s="60"/>
      <c r="D282" s="60"/>
    </row>
    <row r="283">
      <c r="C283" s="60"/>
      <c r="D283" s="60"/>
    </row>
    <row r="284">
      <c r="C284" s="60"/>
      <c r="D284" s="60"/>
    </row>
    <row r="285">
      <c r="C285" s="60"/>
      <c r="D285" s="60"/>
    </row>
    <row r="286">
      <c r="C286" s="60"/>
      <c r="D286" s="60"/>
    </row>
    <row r="287">
      <c r="C287" s="60"/>
      <c r="D287" s="60"/>
    </row>
    <row r="288">
      <c r="C288" s="60"/>
      <c r="D288" s="60"/>
    </row>
    <row r="289">
      <c r="C289" s="60"/>
      <c r="D289" s="60"/>
    </row>
    <row r="290">
      <c r="C290" s="60"/>
      <c r="D290" s="60"/>
    </row>
    <row r="291">
      <c r="C291" s="60"/>
      <c r="D291" s="60"/>
    </row>
    <row r="292">
      <c r="C292" s="60"/>
      <c r="D292" s="60"/>
    </row>
    <row r="293">
      <c r="C293" s="60"/>
      <c r="D293" s="60"/>
    </row>
    <row r="294">
      <c r="C294" s="60"/>
      <c r="D294" s="60"/>
    </row>
    <row r="295">
      <c r="C295" s="60"/>
      <c r="D295" s="60"/>
    </row>
    <row r="296">
      <c r="C296" s="60"/>
      <c r="D296" s="60"/>
    </row>
    <row r="297">
      <c r="C297" s="60"/>
      <c r="D297" s="60"/>
    </row>
    <row r="298">
      <c r="C298" s="60"/>
      <c r="D298" s="60"/>
    </row>
    <row r="299">
      <c r="C299" s="60"/>
      <c r="D299" s="60"/>
    </row>
    <row r="300">
      <c r="C300" s="60"/>
      <c r="D300" s="60"/>
    </row>
    <row r="301">
      <c r="C301" s="60"/>
      <c r="D301" s="60"/>
    </row>
    <row r="302">
      <c r="C302" s="60"/>
      <c r="D302" s="60"/>
    </row>
    <row r="303">
      <c r="C303" s="60"/>
      <c r="D303" s="60"/>
    </row>
    <row r="304">
      <c r="C304" s="60"/>
      <c r="D304" s="60"/>
    </row>
    <row r="305">
      <c r="C305" s="60"/>
      <c r="D305" s="60"/>
    </row>
    <row r="306">
      <c r="C306" s="60"/>
      <c r="D306" s="60"/>
    </row>
    <row r="307">
      <c r="C307" s="60"/>
      <c r="D307" s="60"/>
    </row>
    <row r="308">
      <c r="C308" s="60"/>
      <c r="D308" s="60"/>
    </row>
    <row r="309">
      <c r="C309" s="60"/>
      <c r="D309" s="60"/>
    </row>
    <row r="310">
      <c r="C310" s="60"/>
      <c r="D310" s="60"/>
    </row>
    <row r="311">
      <c r="C311" s="60"/>
      <c r="D311" s="60"/>
    </row>
    <row r="312">
      <c r="C312" s="60"/>
      <c r="D312" s="60"/>
    </row>
    <row r="313">
      <c r="C313" s="60"/>
      <c r="D313" s="60"/>
    </row>
    <row r="314">
      <c r="C314" s="60"/>
      <c r="D314" s="60"/>
    </row>
    <row r="315">
      <c r="C315" s="60"/>
      <c r="D315" s="60"/>
    </row>
    <row r="316">
      <c r="C316" s="60"/>
      <c r="D316" s="60"/>
    </row>
    <row r="317">
      <c r="C317" s="60"/>
      <c r="D317" s="60"/>
    </row>
    <row r="318">
      <c r="C318" s="60"/>
      <c r="D318" s="60"/>
    </row>
    <row r="319">
      <c r="C319" s="60"/>
      <c r="D319" s="60"/>
    </row>
    <row r="320">
      <c r="C320" s="60"/>
      <c r="D320" s="60"/>
    </row>
    <row r="321">
      <c r="C321" s="60"/>
      <c r="D321" s="60"/>
    </row>
    <row r="322">
      <c r="C322" s="60"/>
      <c r="D322" s="60"/>
    </row>
    <row r="323">
      <c r="C323" s="60"/>
      <c r="D323" s="60"/>
    </row>
    <row r="324">
      <c r="C324" s="60"/>
      <c r="D324" s="60"/>
    </row>
    <row r="325">
      <c r="C325" s="60"/>
      <c r="D325" s="60"/>
    </row>
    <row r="326">
      <c r="C326" s="60"/>
      <c r="D326" s="60"/>
    </row>
    <row r="327">
      <c r="C327" s="60"/>
      <c r="D327" s="60"/>
    </row>
    <row r="328">
      <c r="C328" s="60"/>
      <c r="D328" s="60"/>
    </row>
    <row r="329">
      <c r="C329" s="60"/>
      <c r="D329" s="60"/>
    </row>
    <row r="330">
      <c r="C330" s="60"/>
      <c r="D330" s="60"/>
    </row>
    <row r="331">
      <c r="C331" s="60"/>
      <c r="D331" s="60"/>
    </row>
    <row r="332">
      <c r="C332" s="60"/>
      <c r="D332" s="60"/>
    </row>
    <row r="333">
      <c r="C333" s="60"/>
      <c r="D333" s="60"/>
    </row>
    <row r="334">
      <c r="C334" s="60"/>
      <c r="D334" s="60"/>
    </row>
    <row r="335">
      <c r="C335" s="60"/>
      <c r="D335" s="60"/>
    </row>
    <row r="336">
      <c r="C336" s="60"/>
      <c r="D336" s="60"/>
    </row>
    <row r="337">
      <c r="C337" s="60"/>
      <c r="D337" s="60"/>
    </row>
    <row r="338">
      <c r="C338" s="60"/>
      <c r="D338" s="60"/>
    </row>
    <row r="339">
      <c r="C339" s="60"/>
      <c r="D339" s="60"/>
    </row>
    <row r="340">
      <c r="C340" s="60"/>
      <c r="D340" s="60"/>
    </row>
    <row r="341">
      <c r="C341" s="60"/>
      <c r="D341" s="60"/>
    </row>
    <row r="342">
      <c r="C342" s="60"/>
      <c r="D342" s="60"/>
    </row>
    <row r="343">
      <c r="C343" s="60"/>
      <c r="D343" s="60"/>
    </row>
    <row r="344">
      <c r="C344" s="60"/>
      <c r="D344" s="60"/>
    </row>
    <row r="345">
      <c r="C345" s="60"/>
      <c r="D345" s="60"/>
    </row>
    <row r="346">
      <c r="C346" s="60"/>
      <c r="D346" s="60"/>
    </row>
    <row r="347">
      <c r="C347" s="60"/>
      <c r="D347" s="60"/>
    </row>
    <row r="348">
      <c r="C348" s="60"/>
      <c r="D348" s="60"/>
    </row>
    <row r="349">
      <c r="C349" s="60"/>
      <c r="D349" s="60"/>
    </row>
    <row r="350">
      <c r="C350" s="60"/>
      <c r="D350" s="60"/>
    </row>
    <row r="351">
      <c r="C351" s="60"/>
      <c r="D351" s="60"/>
    </row>
    <row r="352">
      <c r="C352" s="60"/>
      <c r="D352" s="60"/>
    </row>
    <row r="353">
      <c r="C353" s="60"/>
      <c r="D353" s="60"/>
    </row>
    <row r="354">
      <c r="C354" s="60"/>
      <c r="D354" s="60"/>
    </row>
    <row r="355">
      <c r="C355" s="60"/>
      <c r="D355" s="60"/>
    </row>
    <row r="356">
      <c r="C356" s="60"/>
      <c r="D356" s="60"/>
    </row>
    <row r="357">
      <c r="C357" s="60"/>
      <c r="D357" s="60"/>
    </row>
    <row r="358">
      <c r="C358" s="60"/>
      <c r="D358" s="60"/>
    </row>
    <row r="359">
      <c r="C359" s="60"/>
      <c r="D359" s="60"/>
    </row>
    <row r="360">
      <c r="C360" s="60"/>
      <c r="D360" s="60"/>
    </row>
    <row r="361">
      <c r="C361" s="60"/>
      <c r="D361" s="60"/>
    </row>
    <row r="362">
      <c r="C362" s="60"/>
      <c r="D362" s="60"/>
    </row>
    <row r="363">
      <c r="C363" s="60"/>
      <c r="D363" s="60"/>
    </row>
    <row r="364">
      <c r="C364" s="60"/>
      <c r="D364" s="60"/>
    </row>
    <row r="365">
      <c r="C365" s="60"/>
      <c r="D365" s="60"/>
    </row>
    <row r="366">
      <c r="C366" s="60"/>
      <c r="D366" s="60"/>
    </row>
    <row r="367">
      <c r="C367" s="60"/>
      <c r="D367" s="60"/>
    </row>
    <row r="368">
      <c r="C368" s="60"/>
      <c r="D368" s="60"/>
    </row>
    <row r="369">
      <c r="C369" s="60"/>
      <c r="D369" s="60"/>
    </row>
    <row r="370">
      <c r="C370" s="60"/>
      <c r="D370" s="60"/>
    </row>
    <row r="371">
      <c r="C371" s="60"/>
      <c r="D371" s="60"/>
    </row>
    <row r="372">
      <c r="C372" s="60"/>
      <c r="D372" s="60"/>
    </row>
    <row r="373">
      <c r="C373" s="60"/>
      <c r="D373" s="60"/>
    </row>
    <row r="374">
      <c r="C374" s="60"/>
      <c r="D374" s="60"/>
    </row>
    <row r="375">
      <c r="C375" s="60"/>
      <c r="D375" s="60"/>
    </row>
    <row r="376">
      <c r="C376" s="60"/>
      <c r="D376" s="60"/>
    </row>
    <row r="377">
      <c r="C377" s="60"/>
      <c r="D377" s="60"/>
    </row>
    <row r="378">
      <c r="C378" s="60"/>
      <c r="D378" s="60"/>
    </row>
    <row r="379">
      <c r="C379" s="60"/>
      <c r="D379" s="60"/>
    </row>
    <row r="380">
      <c r="C380" s="60"/>
      <c r="D380" s="60"/>
    </row>
    <row r="381">
      <c r="C381" s="60"/>
      <c r="D381" s="60"/>
    </row>
    <row r="382">
      <c r="C382" s="60"/>
      <c r="D382" s="60"/>
    </row>
    <row r="383">
      <c r="C383" s="60"/>
      <c r="D383" s="60"/>
    </row>
    <row r="384">
      <c r="C384" s="60"/>
      <c r="D384" s="60"/>
    </row>
    <row r="385">
      <c r="C385" s="60"/>
      <c r="D385" s="60"/>
    </row>
    <row r="386">
      <c r="C386" s="60"/>
      <c r="D386" s="60"/>
    </row>
    <row r="387">
      <c r="C387" s="60"/>
      <c r="D387" s="60"/>
    </row>
    <row r="388">
      <c r="C388" s="60"/>
      <c r="D388" s="60"/>
    </row>
    <row r="389">
      <c r="C389" s="60"/>
      <c r="D389" s="60"/>
    </row>
    <row r="390">
      <c r="C390" s="60"/>
      <c r="D390" s="60"/>
    </row>
    <row r="391">
      <c r="C391" s="60"/>
      <c r="D391" s="60"/>
    </row>
    <row r="392">
      <c r="C392" s="60"/>
      <c r="D392" s="60"/>
    </row>
    <row r="393">
      <c r="C393" s="60"/>
      <c r="D393" s="60"/>
    </row>
    <row r="394">
      <c r="C394" s="60"/>
      <c r="D394" s="60"/>
    </row>
    <row r="395">
      <c r="C395" s="60"/>
      <c r="D395" s="60"/>
    </row>
    <row r="396">
      <c r="C396" s="60"/>
      <c r="D396" s="60"/>
    </row>
    <row r="397">
      <c r="C397" s="60"/>
      <c r="D397" s="60"/>
    </row>
    <row r="398">
      <c r="C398" s="60"/>
      <c r="D398" s="60"/>
    </row>
    <row r="399">
      <c r="C399" s="60"/>
      <c r="D399" s="60"/>
    </row>
    <row r="400">
      <c r="C400" s="60"/>
      <c r="D400" s="60"/>
    </row>
    <row r="401">
      <c r="C401" s="60"/>
      <c r="D401" s="60"/>
    </row>
    <row r="402">
      <c r="C402" s="60"/>
      <c r="D402" s="60"/>
    </row>
    <row r="403">
      <c r="C403" s="60"/>
      <c r="D403" s="60"/>
    </row>
    <row r="404">
      <c r="C404" s="60"/>
      <c r="D404" s="60"/>
    </row>
    <row r="405">
      <c r="C405" s="60"/>
      <c r="D405" s="60"/>
    </row>
    <row r="406">
      <c r="C406" s="60"/>
      <c r="D406" s="60"/>
    </row>
    <row r="407">
      <c r="C407" s="60"/>
      <c r="D407" s="60"/>
    </row>
    <row r="408">
      <c r="C408" s="60"/>
      <c r="D408" s="60"/>
    </row>
    <row r="409">
      <c r="C409" s="60"/>
      <c r="D409" s="60"/>
    </row>
    <row r="410">
      <c r="C410" s="60"/>
      <c r="D410" s="60"/>
    </row>
    <row r="411">
      <c r="C411" s="60"/>
      <c r="D411" s="60"/>
    </row>
    <row r="412">
      <c r="C412" s="60"/>
      <c r="D412" s="60"/>
    </row>
    <row r="413">
      <c r="C413" s="60"/>
      <c r="D413" s="60"/>
    </row>
    <row r="414">
      <c r="C414" s="60"/>
      <c r="D414" s="60"/>
    </row>
    <row r="415">
      <c r="C415" s="60"/>
      <c r="D415" s="60"/>
    </row>
    <row r="416">
      <c r="C416" s="60"/>
      <c r="D416" s="60"/>
    </row>
    <row r="417">
      <c r="C417" s="60"/>
      <c r="D417" s="60"/>
    </row>
    <row r="418">
      <c r="C418" s="60"/>
      <c r="D418" s="60"/>
    </row>
    <row r="419">
      <c r="C419" s="60"/>
      <c r="D419" s="60"/>
    </row>
    <row r="420">
      <c r="C420" s="60"/>
      <c r="D420" s="60"/>
    </row>
    <row r="421">
      <c r="C421" s="60"/>
      <c r="D421" s="60"/>
    </row>
    <row r="422">
      <c r="C422" s="60"/>
      <c r="D422" s="60"/>
    </row>
    <row r="423">
      <c r="C423" s="60"/>
      <c r="D423" s="60"/>
    </row>
    <row r="424">
      <c r="C424" s="60"/>
      <c r="D424" s="60"/>
    </row>
    <row r="425">
      <c r="C425" s="60"/>
      <c r="D425" s="60"/>
    </row>
    <row r="426">
      <c r="C426" s="60"/>
      <c r="D426" s="60"/>
    </row>
    <row r="427">
      <c r="C427" s="60"/>
      <c r="D427" s="60"/>
    </row>
    <row r="428">
      <c r="C428" s="60"/>
      <c r="D428" s="60"/>
    </row>
    <row r="429">
      <c r="C429" s="60"/>
      <c r="D429" s="60"/>
    </row>
    <row r="430">
      <c r="C430" s="60"/>
      <c r="D430" s="60"/>
    </row>
    <row r="431">
      <c r="C431" s="60"/>
      <c r="D431" s="60"/>
    </row>
    <row r="432">
      <c r="C432" s="60"/>
      <c r="D432" s="60"/>
    </row>
    <row r="433">
      <c r="C433" s="60"/>
      <c r="D433" s="60"/>
    </row>
    <row r="434">
      <c r="C434" s="60"/>
      <c r="D434" s="60"/>
    </row>
    <row r="435">
      <c r="C435" s="60"/>
      <c r="D435" s="60"/>
    </row>
    <row r="436">
      <c r="C436" s="60"/>
      <c r="D436" s="60"/>
    </row>
    <row r="437">
      <c r="C437" s="60"/>
      <c r="D437" s="60"/>
    </row>
    <row r="438">
      <c r="C438" s="60"/>
      <c r="D438" s="60"/>
    </row>
    <row r="439">
      <c r="C439" s="60"/>
      <c r="D439" s="60"/>
    </row>
    <row r="440">
      <c r="C440" s="60"/>
      <c r="D440" s="60"/>
    </row>
    <row r="441">
      <c r="C441" s="60"/>
      <c r="D441" s="60"/>
    </row>
    <row r="442">
      <c r="C442" s="60"/>
      <c r="D442" s="60"/>
    </row>
    <row r="443">
      <c r="C443" s="60"/>
      <c r="D443" s="60"/>
    </row>
    <row r="444">
      <c r="C444" s="60"/>
      <c r="D444" s="60"/>
    </row>
    <row r="445">
      <c r="C445" s="60"/>
      <c r="D445" s="60"/>
    </row>
    <row r="446">
      <c r="C446" s="60"/>
      <c r="D446" s="60"/>
    </row>
    <row r="447">
      <c r="C447" s="60"/>
      <c r="D447" s="60"/>
    </row>
    <row r="448">
      <c r="C448" s="60"/>
      <c r="D448" s="60"/>
    </row>
    <row r="449">
      <c r="C449" s="60"/>
      <c r="D449" s="60"/>
    </row>
    <row r="450">
      <c r="C450" s="60"/>
      <c r="D450" s="60"/>
    </row>
    <row r="451">
      <c r="C451" s="60"/>
      <c r="D451" s="60"/>
    </row>
    <row r="452">
      <c r="C452" s="60"/>
      <c r="D452" s="60"/>
    </row>
    <row r="453">
      <c r="C453" s="60"/>
      <c r="D453" s="60"/>
    </row>
    <row r="454">
      <c r="C454" s="60"/>
      <c r="D454" s="60"/>
    </row>
    <row r="455">
      <c r="C455" s="60"/>
      <c r="D455" s="60"/>
    </row>
    <row r="456">
      <c r="C456" s="60"/>
      <c r="D456" s="60"/>
    </row>
    <row r="457">
      <c r="C457" s="60"/>
      <c r="D457" s="60"/>
    </row>
    <row r="458">
      <c r="C458" s="60"/>
      <c r="D458" s="60"/>
    </row>
    <row r="459">
      <c r="C459" s="60"/>
      <c r="D459" s="60"/>
    </row>
    <row r="460">
      <c r="C460" s="60"/>
      <c r="D460" s="60"/>
    </row>
    <row r="461">
      <c r="C461" s="60"/>
      <c r="D461" s="60"/>
    </row>
    <row r="462">
      <c r="C462" s="60"/>
      <c r="D462" s="60"/>
    </row>
    <row r="463">
      <c r="C463" s="60"/>
      <c r="D463" s="60"/>
    </row>
    <row r="464">
      <c r="C464" s="60"/>
      <c r="D464" s="60"/>
    </row>
    <row r="465">
      <c r="C465" s="60"/>
      <c r="D465" s="60"/>
    </row>
    <row r="466">
      <c r="C466" s="60"/>
      <c r="D466" s="60"/>
    </row>
    <row r="467">
      <c r="C467" s="60"/>
      <c r="D467" s="60"/>
    </row>
    <row r="468">
      <c r="C468" s="60"/>
      <c r="D468" s="60"/>
    </row>
    <row r="469">
      <c r="C469" s="60"/>
      <c r="D469" s="60"/>
    </row>
    <row r="470">
      <c r="C470" s="60"/>
      <c r="D470" s="60"/>
    </row>
    <row r="471">
      <c r="C471" s="60"/>
      <c r="D471" s="60"/>
    </row>
    <row r="472">
      <c r="C472" s="60"/>
      <c r="D472" s="60"/>
    </row>
    <row r="473">
      <c r="C473" s="60"/>
      <c r="D473" s="60"/>
    </row>
    <row r="474">
      <c r="C474" s="60"/>
      <c r="D474" s="60"/>
    </row>
    <row r="475">
      <c r="C475" s="60"/>
      <c r="D475" s="60"/>
    </row>
    <row r="476">
      <c r="C476" s="60"/>
      <c r="D476" s="60"/>
    </row>
    <row r="477">
      <c r="C477" s="60"/>
      <c r="D477" s="60"/>
    </row>
    <row r="478">
      <c r="C478" s="60"/>
      <c r="D478" s="60"/>
    </row>
    <row r="479">
      <c r="C479" s="60"/>
      <c r="D479" s="60"/>
    </row>
    <row r="480">
      <c r="C480" s="60"/>
      <c r="D480" s="60"/>
    </row>
    <row r="481">
      <c r="C481" s="60"/>
      <c r="D481" s="60"/>
    </row>
    <row r="482">
      <c r="C482" s="60"/>
      <c r="D482" s="60"/>
    </row>
    <row r="483">
      <c r="C483" s="60"/>
      <c r="D483" s="60"/>
    </row>
    <row r="484">
      <c r="C484" s="60"/>
      <c r="D484" s="60"/>
    </row>
    <row r="485">
      <c r="C485" s="60"/>
      <c r="D485" s="60"/>
    </row>
    <row r="486">
      <c r="C486" s="60"/>
      <c r="D486" s="60"/>
    </row>
    <row r="487">
      <c r="C487" s="60"/>
      <c r="D487" s="60"/>
    </row>
    <row r="488">
      <c r="C488" s="60"/>
      <c r="D488" s="60"/>
    </row>
    <row r="489">
      <c r="C489" s="60"/>
      <c r="D489" s="60"/>
    </row>
    <row r="490">
      <c r="C490" s="60"/>
      <c r="D490" s="60"/>
    </row>
    <row r="491">
      <c r="C491" s="60"/>
      <c r="D491" s="60"/>
    </row>
    <row r="492">
      <c r="C492" s="60"/>
      <c r="D492" s="60"/>
    </row>
    <row r="493">
      <c r="C493" s="60"/>
      <c r="D493" s="60"/>
    </row>
    <row r="494">
      <c r="C494" s="60"/>
      <c r="D494" s="60"/>
    </row>
    <row r="495">
      <c r="C495" s="60"/>
      <c r="D495" s="60"/>
    </row>
    <row r="496">
      <c r="C496" s="60"/>
      <c r="D496" s="60"/>
    </row>
    <row r="497">
      <c r="C497" s="60"/>
      <c r="D497" s="60"/>
    </row>
    <row r="498">
      <c r="C498" s="60"/>
      <c r="D498" s="60"/>
    </row>
    <row r="499">
      <c r="C499" s="60"/>
      <c r="D499" s="60"/>
    </row>
    <row r="500">
      <c r="C500" s="60"/>
      <c r="D500" s="60"/>
    </row>
    <row r="501">
      <c r="C501" s="60"/>
      <c r="D501" s="60"/>
    </row>
    <row r="502">
      <c r="C502" s="60"/>
      <c r="D502" s="60"/>
    </row>
    <row r="503">
      <c r="C503" s="60"/>
      <c r="D503" s="60"/>
    </row>
    <row r="504">
      <c r="C504" s="60"/>
      <c r="D504" s="60"/>
    </row>
    <row r="505">
      <c r="C505" s="60"/>
      <c r="D505" s="60"/>
    </row>
    <row r="506">
      <c r="C506" s="60"/>
      <c r="D506" s="60"/>
    </row>
    <row r="507">
      <c r="C507" s="60"/>
      <c r="D507" s="60"/>
    </row>
    <row r="508">
      <c r="C508" s="60"/>
      <c r="D508" s="60"/>
    </row>
    <row r="509">
      <c r="C509" s="60"/>
      <c r="D509" s="60"/>
    </row>
    <row r="510">
      <c r="C510" s="60"/>
      <c r="D510" s="60"/>
    </row>
    <row r="511">
      <c r="C511" s="60"/>
      <c r="D511" s="60"/>
    </row>
    <row r="512">
      <c r="C512" s="60"/>
      <c r="D512" s="60"/>
    </row>
    <row r="513">
      <c r="C513" s="60"/>
      <c r="D513" s="60"/>
    </row>
    <row r="514">
      <c r="C514" s="60"/>
      <c r="D514" s="60"/>
    </row>
    <row r="515">
      <c r="C515" s="60"/>
      <c r="D515" s="60"/>
    </row>
    <row r="516">
      <c r="C516" s="60"/>
      <c r="D516" s="60"/>
    </row>
    <row r="517">
      <c r="C517" s="60"/>
      <c r="D517" s="60"/>
    </row>
    <row r="518">
      <c r="C518" s="60"/>
      <c r="D518" s="60"/>
    </row>
    <row r="519">
      <c r="C519" s="60"/>
      <c r="D519" s="60"/>
    </row>
    <row r="520">
      <c r="C520" s="60"/>
      <c r="D520" s="60"/>
    </row>
    <row r="521">
      <c r="C521" s="60"/>
      <c r="D521" s="60"/>
    </row>
    <row r="522">
      <c r="C522" s="60"/>
      <c r="D522" s="60"/>
    </row>
    <row r="523">
      <c r="C523" s="60"/>
      <c r="D523" s="60"/>
    </row>
    <row r="524">
      <c r="C524" s="60"/>
      <c r="D524" s="60"/>
    </row>
    <row r="525">
      <c r="C525" s="60"/>
      <c r="D525" s="60"/>
    </row>
    <row r="526">
      <c r="C526" s="60"/>
      <c r="D526" s="60"/>
    </row>
    <row r="527">
      <c r="C527" s="60"/>
      <c r="D527" s="60"/>
    </row>
    <row r="528">
      <c r="C528" s="60"/>
      <c r="D528" s="60"/>
    </row>
    <row r="529">
      <c r="C529" s="60"/>
      <c r="D529" s="60"/>
    </row>
    <row r="530">
      <c r="C530" s="60"/>
      <c r="D530" s="60"/>
    </row>
    <row r="531">
      <c r="C531" s="60"/>
      <c r="D531" s="60"/>
    </row>
    <row r="532">
      <c r="C532" s="60"/>
      <c r="D532" s="60"/>
    </row>
    <row r="533">
      <c r="C533" s="60"/>
      <c r="D533" s="60"/>
    </row>
    <row r="534">
      <c r="C534" s="60"/>
      <c r="D534" s="60"/>
    </row>
    <row r="535">
      <c r="C535" s="60"/>
      <c r="D535" s="60"/>
    </row>
    <row r="536">
      <c r="C536" s="60"/>
      <c r="D536" s="60"/>
    </row>
    <row r="537">
      <c r="C537" s="60"/>
      <c r="D537" s="60"/>
    </row>
    <row r="538">
      <c r="C538" s="60"/>
      <c r="D538" s="60"/>
    </row>
    <row r="539">
      <c r="C539" s="60"/>
      <c r="D539" s="60"/>
    </row>
    <row r="540">
      <c r="C540" s="60"/>
      <c r="D540" s="60"/>
    </row>
    <row r="541">
      <c r="C541" s="60"/>
      <c r="D541" s="60"/>
    </row>
    <row r="542">
      <c r="C542" s="60"/>
      <c r="D542" s="60"/>
    </row>
    <row r="543">
      <c r="C543" s="60"/>
      <c r="D543" s="60"/>
    </row>
    <row r="544">
      <c r="C544" s="60"/>
      <c r="D544" s="60"/>
    </row>
    <row r="545">
      <c r="C545" s="60"/>
      <c r="D545" s="60"/>
    </row>
    <row r="546">
      <c r="C546" s="60"/>
      <c r="D546" s="60"/>
    </row>
    <row r="547">
      <c r="C547" s="60"/>
      <c r="D547" s="60"/>
    </row>
    <row r="548">
      <c r="C548" s="60"/>
      <c r="D548" s="60"/>
    </row>
    <row r="549">
      <c r="C549" s="60"/>
      <c r="D549" s="60"/>
    </row>
    <row r="550">
      <c r="C550" s="60"/>
      <c r="D550" s="60"/>
    </row>
    <row r="551">
      <c r="C551" s="60"/>
      <c r="D551" s="60"/>
    </row>
    <row r="552">
      <c r="C552" s="60"/>
      <c r="D552" s="60"/>
    </row>
    <row r="553">
      <c r="C553" s="60"/>
      <c r="D553" s="60"/>
    </row>
    <row r="554">
      <c r="C554" s="60"/>
      <c r="D554" s="60"/>
    </row>
    <row r="555">
      <c r="C555" s="60"/>
      <c r="D555" s="60"/>
    </row>
    <row r="556">
      <c r="C556" s="60"/>
      <c r="D556" s="60"/>
    </row>
    <row r="557">
      <c r="C557" s="60"/>
      <c r="D557" s="60"/>
    </row>
    <row r="558">
      <c r="C558" s="60"/>
      <c r="D558" s="60"/>
    </row>
    <row r="559">
      <c r="C559" s="60"/>
      <c r="D559" s="60"/>
    </row>
    <row r="560">
      <c r="C560" s="60"/>
      <c r="D560" s="60"/>
    </row>
    <row r="561">
      <c r="C561" s="60"/>
      <c r="D561" s="60"/>
    </row>
    <row r="562">
      <c r="C562" s="60"/>
      <c r="D562" s="60"/>
    </row>
    <row r="563">
      <c r="C563" s="60"/>
      <c r="D563" s="60"/>
    </row>
    <row r="564">
      <c r="C564" s="60"/>
      <c r="D564" s="60"/>
    </row>
    <row r="565">
      <c r="C565" s="60"/>
      <c r="D565" s="60"/>
    </row>
    <row r="566">
      <c r="C566" s="60"/>
      <c r="D566" s="60"/>
    </row>
    <row r="567">
      <c r="C567" s="60"/>
      <c r="D567" s="60"/>
    </row>
    <row r="568">
      <c r="C568" s="60"/>
      <c r="D568" s="60"/>
    </row>
    <row r="569">
      <c r="C569" s="60"/>
      <c r="D569" s="60"/>
    </row>
    <row r="570">
      <c r="C570" s="60"/>
      <c r="D570" s="60"/>
    </row>
    <row r="571">
      <c r="C571" s="60"/>
      <c r="D571" s="60"/>
    </row>
    <row r="572">
      <c r="C572" s="60"/>
      <c r="D572" s="60"/>
    </row>
    <row r="573">
      <c r="C573" s="60"/>
      <c r="D573" s="60"/>
    </row>
    <row r="574">
      <c r="C574" s="60"/>
      <c r="D574" s="60"/>
    </row>
    <row r="575">
      <c r="C575" s="60"/>
      <c r="D575" s="60"/>
    </row>
    <row r="576">
      <c r="C576" s="60"/>
      <c r="D576" s="60"/>
    </row>
    <row r="577">
      <c r="C577" s="60"/>
      <c r="D577" s="60"/>
    </row>
    <row r="578">
      <c r="C578" s="60"/>
      <c r="D578" s="60"/>
    </row>
    <row r="579">
      <c r="C579" s="60"/>
      <c r="D579" s="60"/>
    </row>
    <row r="580">
      <c r="C580" s="60"/>
      <c r="D580" s="60"/>
    </row>
    <row r="581">
      <c r="C581" s="60"/>
      <c r="D581" s="60"/>
    </row>
    <row r="582">
      <c r="C582" s="60"/>
      <c r="D582" s="60"/>
    </row>
    <row r="583">
      <c r="C583" s="60"/>
      <c r="D583" s="60"/>
    </row>
    <row r="584">
      <c r="C584" s="60"/>
      <c r="D584" s="60"/>
    </row>
    <row r="585">
      <c r="C585" s="60"/>
      <c r="D585" s="60"/>
    </row>
    <row r="586">
      <c r="C586" s="60"/>
      <c r="D586" s="60"/>
    </row>
    <row r="587">
      <c r="C587" s="60"/>
      <c r="D587" s="60"/>
    </row>
    <row r="588">
      <c r="C588" s="60"/>
      <c r="D588" s="60"/>
    </row>
    <row r="589">
      <c r="C589" s="60"/>
      <c r="D589" s="60"/>
    </row>
    <row r="590">
      <c r="C590" s="60"/>
      <c r="D590" s="60"/>
    </row>
    <row r="591">
      <c r="C591" s="60"/>
      <c r="D591" s="60"/>
    </row>
    <row r="592">
      <c r="C592" s="60"/>
      <c r="D592" s="60"/>
    </row>
    <row r="593">
      <c r="C593" s="60"/>
      <c r="D593" s="60"/>
    </row>
    <row r="594">
      <c r="C594" s="60"/>
      <c r="D594" s="60"/>
    </row>
    <row r="595">
      <c r="C595" s="60"/>
      <c r="D595" s="60"/>
    </row>
    <row r="596">
      <c r="C596" s="60"/>
      <c r="D596" s="60"/>
    </row>
    <row r="597">
      <c r="C597" s="60"/>
      <c r="D597" s="60"/>
    </row>
    <row r="598">
      <c r="C598" s="60"/>
      <c r="D598" s="60"/>
    </row>
    <row r="599">
      <c r="C599" s="60"/>
      <c r="D599" s="60"/>
    </row>
    <row r="600">
      <c r="C600" s="60"/>
      <c r="D600" s="60"/>
    </row>
    <row r="601">
      <c r="C601" s="60"/>
      <c r="D601" s="60"/>
    </row>
    <row r="602">
      <c r="C602" s="60"/>
      <c r="D602" s="60"/>
    </row>
    <row r="603">
      <c r="C603" s="60"/>
      <c r="D603" s="60"/>
    </row>
    <row r="604">
      <c r="C604" s="60"/>
      <c r="D604" s="60"/>
    </row>
    <row r="605">
      <c r="C605" s="60"/>
      <c r="D605" s="60"/>
    </row>
    <row r="606">
      <c r="C606" s="60"/>
      <c r="D606" s="60"/>
    </row>
    <row r="607">
      <c r="C607" s="60"/>
      <c r="D607" s="60"/>
    </row>
    <row r="608">
      <c r="C608" s="60"/>
      <c r="D608" s="60"/>
    </row>
    <row r="609">
      <c r="C609" s="60"/>
      <c r="D609" s="60"/>
    </row>
    <row r="610">
      <c r="C610" s="60"/>
      <c r="D610" s="60"/>
    </row>
    <row r="611">
      <c r="C611" s="60"/>
      <c r="D611" s="60"/>
    </row>
    <row r="612">
      <c r="C612" s="60"/>
      <c r="D612" s="60"/>
    </row>
    <row r="613">
      <c r="C613" s="60"/>
      <c r="D613" s="60"/>
    </row>
    <row r="614">
      <c r="C614" s="60"/>
      <c r="D614" s="60"/>
    </row>
    <row r="615">
      <c r="C615" s="60"/>
      <c r="D615" s="60"/>
    </row>
    <row r="616">
      <c r="C616" s="60"/>
      <c r="D616" s="60"/>
    </row>
    <row r="617">
      <c r="C617" s="60"/>
      <c r="D617" s="60"/>
    </row>
    <row r="618">
      <c r="C618" s="60"/>
      <c r="D618" s="60"/>
    </row>
    <row r="619">
      <c r="C619" s="60"/>
      <c r="D619" s="60"/>
    </row>
    <row r="620">
      <c r="C620" s="60"/>
      <c r="D620" s="60"/>
    </row>
    <row r="621">
      <c r="C621" s="60"/>
      <c r="D621" s="60"/>
    </row>
    <row r="622">
      <c r="C622" s="60"/>
      <c r="D622" s="60"/>
    </row>
    <row r="623">
      <c r="C623" s="60"/>
      <c r="D623" s="60"/>
    </row>
    <row r="624">
      <c r="C624" s="60"/>
      <c r="D624" s="60"/>
    </row>
    <row r="625">
      <c r="C625" s="60"/>
      <c r="D625" s="60"/>
    </row>
    <row r="626">
      <c r="C626" s="60"/>
      <c r="D626" s="60"/>
    </row>
    <row r="627">
      <c r="C627" s="60"/>
      <c r="D627" s="60"/>
    </row>
    <row r="628">
      <c r="C628" s="60"/>
      <c r="D628" s="60"/>
    </row>
    <row r="629">
      <c r="C629" s="60"/>
      <c r="D629" s="60"/>
    </row>
    <row r="630">
      <c r="C630" s="60"/>
      <c r="D630" s="60"/>
    </row>
    <row r="631">
      <c r="C631" s="60"/>
      <c r="D631" s="60"/>
    </row>
    <row r="632">
      <c r="C632" s="60"/>
      <c r="D632" s="60"/>
    </row>
    <row r="633">
      <c r="C633" s="60"/>
      <c r="D633" s="60"/>
    </row>
    <row r="634">
      <c r="C634" s="60"/>
      <c r="D634" s="60"/>
    </row>
    <row r="635">
      <c r="C635" s="60"/>
      <c r="D635" s="60"/>
    </row>
    <row r="636">
      <c r="C636" s="60"/>
      <c r="D636" s="60"/>
    </row>
    <row r="637">
      <c r="C637" s="60"/>
      <c r="D637" s="60"/>
    </row>
    <row r="638">
      <c r="C638" s="60"/>
      <c r="D638" s="60"/>
    </row>
    <row r="639">
      <c r="C639" s="60"/>
      <c r="D639" s="60"/>
    </row>
    <row r="640">
      <c r="C640" s="60"/>
      <c r="D640" s="60"/>
    </row>
    <row r="641">
      <c r="C641" s="60"/>
      <c r="D641" s="60"/>
    </row>
    <row r="642">
      <c r="C642" s="60"/>
      <c r="D642" s="60"/>
    </row>
    <row r="643">
      <c r="C643" s="60"/>
      <c r="D643" s="60"/>
    </row>
    <row r="644">
      <c r="C644" s="60"/>
      <c r="D644" s="60"/>
    </row>
    <row r="645">
      <c r="C645" s="60"/>
      <c r="D645" s="60"/>
    </row>
    <row r="646">
      <c r="C646" s="60"/>
      <c r="D646" s="60"/>
    </row>
    <row r="647">
      <c r="C647" s="60"/>
      <c r="D647" s="60"/>
    </row>
    <row r="648">
      <c r="C648" s="60"/>
      <c r="D648" s="60"/>
    </row>
    <row r="649">
      <c r="C649" s="60"/>
      <c r="D649" s="60"/>
    </row>
    <row r="650">
      <c r="C650" s="60"/>
      <c r="D650" s="60"/>
    </row>
    <row r="651">
      <c r="C651" s="60"/>
      <c r="D651" s="60"/>
    </row>
    <row r="652">
      <c r="C652" s="60"/>
      <c r="D652" s="60"/>
    </row>
    <row r="653">
      <c r="C653" s="60"/>
      <c r="D653" s="60"/>
    </row>
    <row r="654">
      <c r="C654" s="60"/>
      <c r="D654" s="60"/>
    </row>
    <row r="655">
      <c r="C655" s="60"/>
      <c r="D655" s="60"/>
    </row>
    <row r="656">
      <c r="C656" s="60"/>
      <c r="D656" s="60"/>
    </row>
    <row r="657">
      <c r="C657" s="60"/>
      <c r="D657" s="60"/>
    </row>
    <row r="658">
      <c r="C658" s="60"/>
      <c r="D658" s="60"/>
    </row>
    <row r="659">
      <c r="C659" s="60"/>
      <c r="D659" s="60"/>
    </row>
    <row r="660">
      <c r="C660" s="60"/>
      <c r="D660" s="60"/>
    </row>
    <row r="661">
      <c r="C661" s="60"/>
      <c r="D661" s="60"/>
    </row>
    <row r="662">
      <c r="C662" s="60"/>
      <c r="D662" s="60"/>
    </row>
    <row r="663">
      <c r="C663" s="60"/>
      <c r="D663" s="60"/>
    </row>
    <row r="664">
      <c r="C664" s="60"/>
      <c r="D664" s="60"/>
    </row>
    <row r="665">
      <c r="C665" s="60"/>
      <c r="D665" s="60"/>
    </row>
    <row r="666">
      <c r="C666" s="60"/>
      <c r="D666" s="60"/>
    </row>
    <row r="667">
      <c r="C667" s="60"/>
      <c r="D667" s="60"/>
    </row>
    <row r="668">
      <c r="C668" s="60"/>
      <c r="D668" s="60"/>
    </row>
    <row r="669">
      <c r="C669" s="60"/>
      <c r="D669" s="60"/>
    </row>
    <row r="670">
      <c r="C670" s="60"/>
      <c r="D670" s="60"/>
    </row>
    <row r="671">
      <c r="C671" s="60"/>
      <c r="D671" s="60"/>
    </row>
    <row r="672">
      <c r="C672" s="60"/>
      <c r="D672" s="60"/>
    </row>
    <row r="673">
      <c r="C673" s="60"/>
      <c r="D673" s="60"/>
    </row>
    <row r="674">
      <c r="C674" s="60"/>
      <c r="D674" s="60"/>
    </row>
    <row r="675">
      <c r="C675" s="60"/>
      <c r="D675" s="60"/>
    </row>
    <row r="676">
      <c r="C676" s="60"/>
      <c r="D676" s="60"/>
    </row>
    <row r="677">
      <c r="C677" s="60"/>
      <c r="D677" s="60"/>
    </row>
    <row r="678">
      <c r="C678" s="60"/>
      <c r="D678" s="60"/>
    </row>
    <row r="679">
      <c r="C679" s="60"/>
      <c r="D679" s="60"/>
    </row>
    <row r="680">
      <c r="C680" s="60"/>
      <c r="D680" s="60"/>
    </row>
    <row r="681">
      <c r="C681" s="60"/>
      <c r="D681" s="60"/>
    </row>
    <row r="682">
      <c r="C682" s="60"/>
      <c r="D682" s="60"/>
    </row>
    <row r="683">
      <c r="C683" s="60"/>
      <c r="D683" s="60"/>
    </row>
    <row r="684">
      <c r="C684" s="60"/>
      <c r="D684" s="60"/>
    </row>
    <row r="685">
      <c r="C685" s="60"/>
      <c r="D685" s="60"/>
    </row>
    <row r="686">
      <c r="C686" s="60"/>
      <c r="D686" s="60"/>
    </row>
    <row r="687">
      <c r="C687" s="60"/>
      <c r="D687" s="60"/>
    </row>
    <row r="688">
      <c r="C688" s="60"/>
      <c r="D688" s="60"/>
    </row>
    <row r="689">
      <c r="C689" s="60"/>
      <c r="D689" s="60"/>
    </row>
    <row r="690">
      <c r="C690" s="60"/>
      <c r="D690" s="60"/>
    </row>
    <row r="691">
      <c r="C691" s="60"/>
      <c r="D691" s="60"/>
    </row>
    <row r="692">
      <c r="C692" s="60"/>
      <c r="D692" s="60"/>
    </row>
    <row r="693">
      <c r="C693" s="60"/>
      <c r="D693" s="60"/>
    </row>
    <row r="694">
      <c r="C694" s="60"/>
      <c r="D694" s="60"/>
    </row>
    <row r="695">
      <c r="C695" s="60"/>
      <c r="D695" s="60"/>
    </row>
    <row r="696">
      <c r="C696" s="60"/>
      <c r="D696" s="60"/>
    </row>
    <row r="697">
      <c r="C697" s="60"/>
      <c r="D697" s="60"/>
    </row>
    <row r="698">
      <c r="C698" s="60"/>
      <c r="D698" s="60"/>
    </row>
    <row r="699">
      <c r="C699" s="60"/>
      <c r="D699" s="60"/>
    </row>
    <row r="700">
      <c r="C700" s="60"/>
      <c r="D700" s="60"/>
    </row>
    <row r="701">
      <c r="C701" s="60"/>
      <c r="D701" s="60"/>
    </row>
    <row r="702">
      <c r="C702" s="60"/>
      <c r="D702" s="60"/>
    </row>
    <row r="703">
      <c r="C703" s="60"/>
      <c r="D703" s="60"/>
    </row>
    <row r="704">
      <c r="C704" s="60"/>
      <c r="D704" s="60"/>
    </row>
    <row r="705">
      <c r="C705" s="60"/>
      <c r="D705" s="60"/>
    </row>
    <row r="706">
      <c r="C706" s="60"/>
      <c r="D706" s="60"/>
    </row>
    <row r="707">
      <c r="C707" s="60"/>
      <c r="D707" s="60"/>
    </row>
    <row r="708">
      <c r="C708" s="60"/>
      <c r="D708" s="60"/>
    </row>
    <row r="709">
      <c r="C709" s="60"/>
      <c r="D709" s="60"/>
    </row>
    <row r="710">
      <c r="C710" s="60"/>
      <c r="D710" s="60"/>
    </row>
    <row r="711">
      <c r="C711" s="60"/>
      <c r="D711" s="60"/>
    </row>
    <row r="712">
      <c r="C712" s="60"/>
      <c r="D712" s="60"/>
    </row>
    <row r="713">
      <c r="C713" s="60"/>
      <c r="D713" s="60"/>
    </row>
    <row r="714">
      <c r="C714" s="60"/>
      <c r="D714" s="60"/>
    </row>
    <row r="715">
      <c r="C715" s="60"/>
      <c r="D715" s="60"/>
    </row>
    <row r="716">
      <c r="C716" s="60"/>
      <c r="D716" s="60"/>
    </row>
    <row r="717">
      <c r="C717" s="60"/>
      <c r="D717" s="60"/>
    </row>
    <row r="718">
      <c r="C718" s="60"/>
      <c r="D718" s="60"/>
    </row>
    <row r="719">
      <c r="C719" s="60"/>
      <c r="D719" s="60"/>
    </row>
    <row r="720">
      <c r="C720" s="60"/>
      <c r="D720" s="60"/>
    </row>
    <row r="721">
      <c r="C721" s="60"/>
      <c r="D721" s="60"/>
    </row>
    <row r="722">
      <c r="C722" s="60"/>
      <c r="D722" s="60"/>
    </row>
    <row r="723">
      <c r="C723" s="60"/>
      <c r="D723" s="60"/>
    </row>
    <row r="724">
      <c r="C724" s="60"/>
      <c r="D724" s="60"/>
    </row>
    <row r="725">
      <c r="C725" s="60"/>
      <c r="D725" s="60"/>
    </row>
    <row r="726">
      <c r="C726" s="60"/>
      <c r="D726" s="60"/>
    </row>
    <row r="727">
      <c r="C727" s="60"/>
      <c r="D727" s="60"/>
    </row>
    <row r="728">
      <c r="C728" s="60"/>
      <c r="D728" s="60"/>
    </row>
    <row r="729">
      <c r="C729" s="60"/>
      <c r="D729" s="60"/>
    </row>
    <row r="730">
      <c r="C730" s="60"/>
      <c r="D730" s="60"/>
    </row>
    <row r="731">
      <c r="C731" s="60"/>
      <c r="D731" s="60"/>
    </row>
    <row r="732">
      <c r="C732" s="60"/>
      <c r="D732" s="60"/>
    </row>
    <row r="733">
      <c r="C733" s="60"/>
      <c r="D733" s="60"/>
    </row>
    <row r="734">
      <c r="C734" s="60"/>
      <c r="D734" s="60"/>
    </row>
    <row r="735">
      <c r="C735" s="60"/>
      <c r="D735" s="60"/>
    </row>
    <row r="736">
      <c r="C736" s="60"/>
      <c r="D736" s="60"/>
    </row>
    <row r="737">
      <c r="C737" s="60"/>
      <c r="D737" s="60"/>
    </row>
    <row r="738">
      <c r="C738" s="60"/>
      <c r="D738" s="60"/>
    </row>
    <row r="739">
      <c r="C739" s="60"/>
      <c r="D739" s="60"/>
    </row>
    <row r="740">
      <c r="C740" s="60"/>
      <c r="D740" s="60"/>
    </row>
    <row r="741">
      <c r="C741" s="60"/>
      <c r="D741" s="60"/>
    </row>
    <row r="742">
      <c r="C742" s="60"/>
      <c r="D742" s="60"/>
    </row>
    <row r="743">
      <c r="C743" s="60"/>
      <c r="D743" s="60"/>
    </row>
    <row r="744">
      <c r="C744" s="60"/>
      <c r="D744" s="60"/>
    </row>
    <row r="745">
      <c r="C745" s="60"/>
      <c r="D745" s="60"/>
    </row>
    <row r="746">
      <c r="C746" s="60"/>
      <c r="D746" s="60"/>
    </row>
    <row r="747">
      <c r="C747" s="60"/>
      <c r="D747" s="60"/>
    </row>
    <row r="748">
      <c r="C748" s="60"/>
      <c r="D748" s="60"/>
    </row>
    <row r="749">
      <c r="C749" s="60"/>
      <c r="D749" s="60"/>
    </row>
    <row r="750">
      <c r="C750" s="60"/>
      <c r="D750" s="60"/>
    </row>
    <row r="751">
      <c r="C751" s="60"/>
      <c r="D751" s="60"/>
    </row>
    <row r="752">
      <c r="C752" s="60"/>
      <c r="D752" s="60"/>
    </row>
    <row r="753">
      <c r="C753" s="60"/>
      <c r="D753" s="60"/>
    </row>
    <row r="754">
      <c r="C754" s="60"/>
      <c r="D754" s="60"/>
    </row>
    <row r="755">
      <c r="C755" s="60"/>
      <c r="D755" s="60"/>
    </row>
    <row r="756">
      <c r="C756" s="60"/>
      <c r="D756" s="60"/>
    </row>
    <row r="757">
      <c r="C757" s="60"/>
      <c r="D757" s="60"/>
    </row>
    <row r="758">
      <c r="C758" s="60"/>
      <c r="D758" s="60"/>
    </row>
    <row r="759">
      <c r="C759" s="60"/>
      <c r="D759" s="60"/>
    </row>
    <row r="760">
      <c r="C760" s="60"/>
      <c r="D760" s="60"/>
    </row>
    <row r="761">
      <c r="C761" s="60"/>
      <c r="D761" s="60"/>
    </row>
    <row r="762">
      <c r="C762" s="60"/>
      <c r="D762" s="60"/>
    </row>
    <row r="763">
      <c r="C763" s="60"/>
      <c r="D763" s="60"/>
    </row>
    <row r="764">
      <c r="C764" s="60"/>
      <c r="D764" s="60"/>
    </row>
    <row r="765">
      <c r="C765" s="60"/>
      <c r="D765" s="60"/>
    </row>
    <row r="766">
      <c r="C766" s="60"/>
      <c r="D766" s="60"/>
    </row>
    <row r="767">
      <c r="C767" s="60"/>
      <c r="D767" s="60"/>
    </row>
    <row r="768">
      <c r="C768" s="60"/>
      <c r="D768" s="60"/>
    </row>
    <row r="769">
      <c r="C769" s="60"/>
      <c r="D769" s="60"/>
    </row>
    <row r="770">
      <c r="C770" s="60"/>
      <c r="D770" s="60"/>
    </row>
    <row r="771">
      <c r="C771" s="60"/>
      <c r="D771" s="60"/>
    </row>
    <row r="772">
      <c r="C772" s="60"/>
      <c r="D772" s="60"/>
    </row>
    <row r="773">
      <c r="C773" s="60"/>
      <c r="D773" s="60"/>
    </row>
    <row r="774">
      <c r="C774" s="60"/>
      <c r="D774" s="60"/>
    </row>
    <row r="775">
      <c r="C775" s="60"/>
      <c r="D775" s="60"/>
    </row>
    <row r="776">
      <c r="C776" s="60"/>
      <c r="D776" s="60"/>
    </row>
    <row r="777">
      <c r="C777" s="60"/>
      <c r="D777" s="60"/>
    </row>
    <row r="778">
      <c r="C778" s="60"/>
      <c r="D778" s="60"/>
    </row>
    <row r="779">
      <c r="C779" s="60"/>
      <c r="D779" s="60"/>
    </row>
    <row r="780">
      <c r="C780" s="60"/>
      <c r="D780" s="60"/>
    </row>
    <row r="781">
      <c r="C781" s="60"/>
      <c r="D781" s="60"/>
    </row>
    <row r="782">
      <c r="C782" s="60"/>
      <c r="D782" s="60"/>
    </row>
    <row r="783">
      <c r="C783" s="60"/>
      <c r="D783" s="60"/>
    </row>
    <row r="784">
      <c r="C784" s="60"/>
      <c r="D784" s="60"/>
    </row>
    <row r="785">
      <c r="C785" s="60"/>
      <c r="D785" s="60"/>
    </row>
    <row r="786">
      <c r="C786" s="60"/>
      <c r="D786" s="60"/>
    </row>
    <row r="787">
      <c r="C787" s="60"/>
      <c r="D787" s="60"/>
    </row>
    <row r="788">
      <c r="C788" s="60"/>
      <c r="D788" s="60"/>
    </row>
    <row r="789">
      <c r="C789" s="60"/>
      <c r="D789" s="60"/>
    </row>
    <row r="790">
      <c r="C790" s="60"/>
      <c r="D790" s="60"/>
    </row>
    <row r="791">
      <c r="C791" s="60"/>
      <c r="D791" s="60"/>
    </row>
    <row r="792">
      <c r="C792" s="60"/>
      <c r="D792" s="60"/>
    </row>
    <row r="793">
      <c r="C793" s="60"/>
      <c r="D793" s="60"/>
    </row>
    <row r="794">
      <c r="C794" s="60"/>
      <c r="D794" s="60"/>
    </row>
    <row r="795">
      <c r="C795" s="60"/>
      <c r="D795" s="60"/>
    </row>
    <row r="796">
      <c r="C796" s="60"/>
      <c r="D796" s="60"/>
    </row>
    <row r="797">
      <c r="C797" s="60"/>
      <c r="D797" s="60"/>
    </row>
    <row r="798">
      <c r="C798" s="60"/>
      <c r="D798" s="60"/>
    </row>
    <row r="799">
      <c r="C799" s="60"/>
      <c r="D799" s="60"/>
    </row>
    <row r="800">
      <c r="C800" s="60"/>
      <c r="D800" s="60"/>
    </row>
    <row r="801">
      <c r="C801" s="60"/>
      <c r="D801" s="60"/>
    </row>
    <row r="802">
      <c r="C802" s="60"/>
      <c r="D802" s="60"/>
    </row>
    <row r="803">
      <c r="C803" s="60"/>
      <c r="D803" s="60"/>
    </row>
    <row r="804">
      <c r="C804" s="60"/>
      <c r="D804" s="60"/>
    </row>
    <row r="805">
      <c r="C805" s="60"/>
      <c r="D805" s="60"/>
    </row>
    <row r="806">
      <c r="C806" s="60"/>
      <c r="D806" s="60"/>
    </row>
    <row r="807">
      <c r="C807" s="60"/>
      <c r="D807" s="60"/>
    </row>
    <row r="808">
      <c r="C808" s="60"/>
      <c r="D808" s="60"/>
    </row>
    <row r="809">
      <c r="C809" s="60"/>
      <c r="D809" s="60"/>
    </row>
    <row r="810">
      <c r="C810" s="60"/>
      <c r="D810" s="60"/>
    </row>
    <row r="811">
      <c r="C811" s="60"/>
      <c r="D811" s="60"/>
    </row>
    <row r="812">
      <c r="C812" s="60"/>
      <c r="D812" s="60"/>
    </row>
    <row r="813">
      <c r="C813" s="60"/>
      <c r="D813" s="60"/>
    </row>
    <row r="814">
      <c r="C814" s="60"/>
      <c r="D814" s="60"/>
    </row>
    <row r="815">
      <c r="C815" s="60"/>
      <c r="D815" s="60"/>
    </row>
    <row r="816">
      <c r="C816" s="60"/>
      <c r="D816" s="60"/>
    </row>
    <row r="817">
      <c r="C817" s="60"/>
      <c r="D817" s="60"/>
    </row>
    <row r="818">
      <c r="C818" s="60"/>
      <c r="D818" s="60"/>
    </row>
    <row r="819">
      <c r="C819" s="60"/>
      <c r="D819" s="60"/>
    </row>
    <row r="820">
      <c r="C820" s="60"/>
      <c r="D820" s="60"/>
    </row>
    <row r="821">
      <c r="C821" s="60"/>
      <c r="D821" s="60"/>
    </row>
    <row r="822">
      <c r="C822" s="60"/>
      <c r="D822" s="60"/>
    </row>
    <row r="823">
      <c r="C823" s="60"/>
      <c r="D823" s="60"/>
    </row>
    <row r="824">
      <c r="C824" s="60"/>
      <c r="D824" s="60"/>
    </row>
    <row r="825">
      <c r="C825" s="60"/>
      <c r="D825" s="60"/>
    </row>
    <row r="826">
      <c r="C826" s="60"/>
      <c r="D826" s="60"/>
    </row>
    <row r="827">
      <c r="C827" s="60"/>
      <c r="D827" s="60"/>
    </row>
    <row r="828">
      <c r="C828" s="60"/>
      <c r="D828" s="60"/>
    </row>
    <row r="829">
      <c r="C829" s="60"/>
      <c r="D829" s="60"/>
    </row>
    <row r="830">
      <c r="C830" s="60"/>
      <c r="D830" s="60"/>
    </row>
    <row r="831">
      <c r="C831" s="60"/>
      <c r="D831" s="60"/>
    </row>
    <row r="832">
      <c r="C832" s="60"/>
      <c r="D832" s="60"/>
    </row>
    <row r="833">
      <c r="C833" s="60"/>
      <c r="D833" s="60"/>
    </row>
    <row r="834">
      <c r="C834" s="60"/>
      <c r="D834" s="60"/>
    </row>
    <row r="835">
      <c r="C835" s="60"/>
      <c r="D835" s="60"/>
    </row>
    <row r="836">
      <c r="C836" s="60"/>
      <c r="D836" s="60"/>
    </row>
    <row r="837">
      <c r="C837" s="60"/>
      <c r="D837" s="60"/>
    </row>
    <row r="838">
      <c r="C838" s="60"/>
      <c r="D838" s="60"/>
    </row>
    <row r="839">
      <c r="C839" s="60"/>
      <c r="D839" s="60"/>
    </row>
    <row r="840">
      <c r="C840" s="60"/>
      <c r="D840" s="60"/>
    </row>
    <row r="841">
      <c r="C841" s="60"/>
      <c r="D841" s="60"/>
    </row>
    <row r="842">
      <c r="C842" s="60"/>
      <c r="D842" s="60"/>
    </row>
    <row r="843">
      <c r="C843" s="60"/>
      <c r="D843" s="60"/>
    </row>
    <row r="844">
      <c r="C844" s="60"/>
      <c r="D844" s="60"/>
    </row>
    <row r="845">
      <c r="C845" s="60"/>
      <c r="D845" s="60"/>
    </row>
    <row r="846">
      <c r="C846" s="60"/>
      <c r="D846" s="60"/>
    </row>
    <row r="847">
      <c r="C847" s="60"/>
      <c r="D847" s="60"/>
    </row>
    <row r="848">
      <c r="C848" s="60"/>
      <c r="D848" s="60"/>
    </row>
    <row r="849">
      <c r="C849" s="60"/>
      <c r="D849" s="60"/>
    </row>
    <row r="850">
      <c r="C850" s="60"/>
      <c r="D850" s="60"/>
    </row>
    <row r="851">
      <c r="C851" s="60"/>
      <c r="D851" s="60"/>
    </row>
    <row r="852">
      <c r="C852" s="60"/>
      <c r="D852" s="60"/>
    </row>
    <row r="853">
      <c r="C853" s="60"/>
      <c r="D853" s="60"/>
    </row>
    <row r="854">
      <c r="C854" s="60"/>
      <c r="D854" s="60"/>
    </row>
    <row r="855">
      <c r="C855" s="60"/>
      <c r="D855" s="60"/>
    </row>
    <row r="856">
      <c r="C856" s="60"/>
      <c r="D856" s="60"/>
    </row>
    <row r="857">
      <c r="C857" s="60"/>
      <c r="D857" s="60"/>
    </row>
    <row r="858">
      <c r="C858" s="60"/>
      <c r="D858" s="60"/>
    </row>
    <row r="859">
      <c r="C859" s="60"/>
      <c r="D859" s="60"/>
    </row>
    <row r="860">
      <c r="C860" s="60"/>
      <c r="D860" s="60"/>
    </row>
    <row r="861">
      <c r="C861" s="60"/>
      <c r="D861" s="60"/>
    </row>
    <row r="862">
      <c r="C862" s="60"/>
      <c r="D862" s="60"/>
    </row>
    <row r="863">
      <c r="C863" s="60"/>
      <c r="D863" s="60"/>
    </row>
    <row r="864">
      <c r="C864" s="60"/>
      <c r="D864" s="60"/>
    </row>
    <row r="865">
      <c r="C865" s="60"/>
      <c r="D865" s="60"/>
    </row>
    <row r="866">
      <c r="C866" s="60"/>
      <c r="D866" s="60"/>
    </row>
    <row r="867">
      <c r="C867" s="60"/>
      <c r="D867" s="60"/>
    </row>
    <row r="868">
      <c r="C868" s="60"/>
      <c r="D868" s="60"/>
    </row>
    <row r="869">
      <c r="C869" s="60"/>
      <c r="D869" s="60"/>
    </row>
    <row r="870">
      <c r="C870" s="60"/>
      <c r="D870" s="60"/>
    </row>
    <row r="871">
      <c r="C871" s="60"/>
      <c r="D871" s="60"/>
    </row>
    <row r="872">
      <c r="C872" s="60"/>
      <c r="D872" s="60"/>
    </row>
    <row r="873">
      <c r="C873" s="60"/>
      <c r="D873" s="60"/>
    </row>
    <row r="874">
      <c r="C874" s="60"/>
      <c r="D874" s="60"/>
    </row>
    <row r="875">
      <c r="C875" s="60"/>
      <c r="D875" s="60"/>
    </row>
    <row r="876">
      <c r="C876" s="60"/>
      <c r="D876" s="60"/>
    </row>
    <row r="877">
      <c r="C877" s="60"/>
      <c r="D877" s="60"/>
    </row>
    <row r="878">
      <c r="C878" s="60"/>
      <c r="D878" s="60"/>
    </row>
    <row r="879">
      <c r="C879" s="60"/>
      <c r="D879" s="60"/>
    </row>
    <row r="880">
      <c r="C880" s="60"/>
      <c r="D880" s="60"/>
    </row>
    <row r="881">
      <c r="C881" s="60"/>
      <c r="D881" s="60"/>
    </row>
    <row r="882">
      <c r="C882" s="60"/>
      <c r="D882" s="60"/>
    </row>
    <row r="883">
      <c r="C883" s="60"/>
      <c r="D883" s="60"/>
    </row>
    <row r="884">
      <c r="C884" s="60"/>
      <c r="D884" s="60"/>
    </row>
    <row r="885">
      <c r="C885" s="60"/>
      <c r="D885" s="60"/>
    </row>
    <row r="886">
      <c r="C886" s="60"/>
      <c r="D886" s="60"/>
    </row>
    <row r="887">
      <c r="C887" s="60"/>
      <c r="D887" s="60"/>
    </row>
    <row r="888">
      <c r="C888" s="60"/>
      <c r="D888" s="60"/>
    </row>
    <row r="889">
      <c r="C889" s="60"/>
      <c r="D889" s="60"/>
    </row>
    <row r="890">
      <c r="C890" s="60"/>
      <c r="D890" s="60"/>
    </row>
    <row r="891">
      <c r="C891" s="60"/>
      <c r="D891" s="60"/>
    </row>
    <row r="892">
      <c r="C892" s="60"/>
      <c r="D892" s="60"/>
    </row>
    <row r="893">
      <c r="C893" s="60"/>
      <c r="D893" s="60"/>
    </row>
    <row r="894">
      <c r="C894" s="60"/>
      <c r="D894" s="60"/>
    </row>
    <row r="895">
      <c r="C895" s="60"/>
      <c r="D895" s="60"/>
    </row>
    <row r="896">
      <c r="C896" s="60"/>
      <c r="D896" s="60"/>
    </row>
    <row r="897">
      <c r="C897" s="60"/>
      <c r="D897" s="60"/>
    </row>
    <row r="898">
      <c r="C898" s="60"/>
      <c r="D898" s="60"/>
    </row>
    <row r="899">
      <c r="C899" s="60"/>
      <c r="D899" s="60"/>
    </row>
    <row r="900">
      <c r="C900" s="60"/>
      <c r="D900" s="60"/>
    </row>
    <row r="901">
      <c r="C901" s="60"/>
      <c r="D901" s="60"/>
    </row>
    <row r="902">
      <c r="C902" s="60"/>
      <c r="D902" s="60"/>
    </row>
    <row r="903">
      <c r="C903" s="60"/>
      <c r="D903" s="60"/>
    </row>
    <row r="904">
      <c r="C904" s="60"/>
      <c r="D904" s="60"/>
    </row>
    <row r="905">
      <c r="C905" s="60"/>
      <c r="D905" s="60"/>
    </row>
    <row r="906">
      <c r="C906" s="60"/>
      <c r="D906" s="60"/>
    </row>
    <row r="907">
      <c r="C907" s="60"/>
      <c r="D907" s="60"/>
    </row>
    <row r="908">
      <c r="C908" s="60"/>
      <c r="D908" s="60"/>
    </row>
    <row r="909">
      <c r="C909" s="60"/>
      <c r="D909" s="60"/>
    </row>
    <row r="910">
      <c r="C910" s="60"/>
      <c r="D910" s="60"/>
    </row>
    <row r="911">
      <c r="C911" s="60"/>
      <c r="D911" s="60"/>
    </row>
    <row r="912">
      <c r="C912" s="60"/>
      <c r="D912" s="60"/>
    </row>
    <row r="913">
      <c r="C913" s="60"/>
      <c r="D913" s="60"/>
    </row>
    <row r="914">
      <c r="C914" s="60"/>
      <c r="D914" s="60"/>
    </row>
    <row r="915">
      <c r="C915" s="60"/>
      <c r="D915" s="60"/>
    </row>
    <row r="916">
      <c r="C916" s="60"/>
      <c r="D916" s="60"/>
    </row>
    <row r="917">
      <c r="C917" s="60"/>
      <c r="D917" s="60"/>
    </row>
    <row r="918">
      <c r="C918" s="60"/>
      <c r="D918" s="60"/>
    </row>
    <row r="919">
      <c r="C919" s="60"/>
      <c r="D919" s="60"/>
    </row>
    <row r="920">
      <c r="C920" s="60"/>
      <c r="D920" s="60"/>
    </row>
    <row r="921">
      <c r="C921" s="60"/>
      <c r="D921" s="60"/>
    </row>
    <row r="922">
      <c r="C922" s="60"/>
      <c r="D922" s="60"/>
    </row>
    <row r="923">
      <c r="C923" s="60"/>
      <c r="D923" s="60"/>
    </row>
    <row r="924">
      <c r="C924" s="60"/>
      <c r="D924" s="60"/>
    </row>
    <row r="925">
      <c r="C925" s="60"/>
      <c r="D925" s="60"/>
    </row>
    <row r="926">
      <c r="C926" s="60"/>
      <c r="D926" s="60"/>
    </row>
    <row r="927">
      <c r="C927" s="60"/>
      <c r="D927" s="60"/>
    </row>
    <row r="928">
      <c r="C928" s="60"/>
      <c r="D928" s="60"/>
    </row>
    <row r="929">
      <c r="C929" s="60"/>
      <c r="D929" s="60"/>
    </row>
    <row r="930">
      <c r="C930" s="60"/>
      <c r="D930" s="60"/>
    </row>
    <row r="931">
      <c r="C931" s="60"/>
      <c r="D931" s="60"/>
    </row>
    <row r="932">
      <c r="C932" s="60"/>
      <c r="D932" s="60"/>
    </row>
    <row r="933">
      <c r="C933" s="60"/>
      <c r="D933" s="60"/>
    </row>
    <row r="934">
      <c r="C934" s="60"/>
      <c r="D934" s="60"/>
    </row>
    <row r="935">
      <c r="C935" s="60"/>
      <c r="D935" s="60"/>
    </row>
    <row r="936">
      <c r="C936" s="60"/>
      <c r="D936" s="60"/>
    </row>
    <row r="937">
      <c r="C937" s="60"/>
      <c r="D937" s="60"/>
    </row>
    <row r="938">
      <c r="C938" s="60"/>
      <c r="D938" s="60"/>
    </row>
    <row r="939">
      <c r="C939" s="60"/>
      <c r="D939" s="60"/>
    </row>
    <row r="940">
      <c r="C940" s="60"/>
      <c r="D940" s="60"/>
    </row>
    <row r="941">
      <c r="C941" s="60"/>
      <c r="D941" s="60"/>
    </row>
    <row r="942">
      <c r="C942" s="60"/>
      <c r="D942" s="60"/>
    </row>
    <row r="943">
      <c r="C943" s="60"/>
      <c r="D943" s="60"/>
    </row>
    <row r="944">
      <c r="C944" s="60"/>
      <c r="D944" s="60"/>
    </row>
    <row r="945">
      <c r="C945" s="60"/>
      <c r="D945" s="60"/>
    </row>
    <row r="946">
      <c r="C946" s="60"/>
      <c r="D946" s="60"/>
    </row>
    <row r="947">
      <c r="C947" s="60"/>
      <c r="D947" s="60"/>
    </row>
    <row r="948">
      <c r="C948" s="60"/>
      <c r="D948" s="60"/>
    </row>
    <row r="949">
      <c r="C949" s="60"/>
      <c r="D949" s="60"/>
    </row>
    <row r="950">
      <c r="C950" s="60"/>
      <c r="D950" s="60"/>
    </row>
    <row r="951">
      <c r="C951" s="60"/>
      <c r="D951" s="60"/>
    </row>
    <row r="952">
      <c r="C952" s="60"/>
      <c r="D952" s="60"/>
    </row>
    <row r="953">
      <c r="C953" s="60"/>
      <c r="D953" s="60"/>
    </row>
    <row r="954">
      <c r="C954" s="60"/>
      <c r="D954" s="60"/>
    </row>
    <row r="955">
      <c r="C955" s="60"/>
      <c r="D955" s="60"/>
    </row>
    <row r="956">
      <c r="C956" s="60"/>
      <c r="D956" s="60"/>
    </row>
    <row r="957">
      <c r="C957" s="60"/>
      <c r="D957" s="60"/>
    </row>
    <row r="958">
      <c r="C958" s="60"/>
      <c r="D958" s="60"/>
    </row>
    <row r="959">
      <c r="C959" s="60"/>
      <c r="D959" s="60"/>
    </row>
    <row r="960">
      <c r="C960" s="60"/>
      <c r="D960" s="60"/>
    </row>
    <row r="961">
      <c r="C961" s="60"/>
      <c r="D961" s="60"/>
    </row>
    <row r="962">
      <c r="C962" s="60"/>
      <c r="D962" s="60"/>
    </row>
    <row r="963">
      <c r="C963" s="60"/>
      <c r="D963" s="60"/>
    </row>
    <row r="964">
      <c r="C964" s="60"/>
      <c r="D964" s="60"/>
    </row>
    <row r="965">
      <c r="C965" s="60"/>
      <c r="D965" s="60"/>
    </row>
    <row r="966">
      <c r="C966" s="60"/>
      <c r="D966" s="60"/>
    </row>
    <row r="967">
      <c r="C967" s="60"/>
      <c r="D967" s="60"/>
    </row>
    <row r="968">
      <c r="C968" s="60"/>
      <c r="D968" s="60"/>
    </row>
    <row r="969">
      <c r="C969" s="60"/>
      <c r="D969" s="60"/>
    </row>
    <row r="970">
      <c r="C970" s="60"/>
      <c r="D970" s="60"/>
    </row>
    <row r="971">
      <c r="C971" s="60"/>
      <c r="D971" s="60"/>
    </row>
    <row r="972">
      <c r="C972" s="60"/>
      <c r="D972" s="60"/>
    </row>
    <row r="973">
      <c r="C973" s="60"/>
      <c r="D973" s="60"/>
    </row>
    <row r="974">
      <c r="C974" s="60"/>
      <c r="D974" s="60"/>
    </row>
    <row r="975">
      <c r="C975" s="60"/>
      <c r="D975" s="60"/>
    </row>
    <row r="976">
      <c r="C976" s="60"/>
      <c r="D976" s="60"/>
    </row>
    <row r="977">
      <c r="C977" s="60"/>
      <c r="D977" s="60"/>
    </row>
    <row r="978">
      <c r="C978" s="60"/>
      <c r="D978" s="60"/>
    </row>
    <row r="979">
      <c r="C979" s="60"/>
      <c r="D979" s="60"/>
    </row>
    <row r="980">
      <c r="C980" s="60"/>
      <c r="D980" s="60"/>
    </row>
    <row r="981">
      <c r="C981" s="60"/>
      <c r="D981" s="60"/>
    </row>
    <row r="982">
      <c r="C982" s="60"/>
      <c r="D982" s="60"/>
    </row>
    <row r="983">
      <c r="C983" s="60"/>
      <c r="D983" s="60"/>
    </row>
    <row r="984">
      <c r="C984" s="60"/>
      <c r="D984" s="60"/>
    </row>
    <row r="985">
      <c r="C985" s="60"/>
      <c r="D985" s="60"/>
    </row>
    <row r="986">
      <c r="C986" s="60"/>
      <c r="D986" s="60"/>
    </row>
    <row r="987">
      <c r="C987" s="60"/>
      <c r="D987" s="60"/>
    </row>
    <row r="988">
      <c r="C988" s="60"/>
      <c r="D988" s="60"/>
    </row>
    <row r="989">
      <c r="C989" s="60"/>
      <c r="D989" s="60"/>
    </row>
    <row r="990">
      <c r="C990" s="60"/>
      <c r="D990" s="60"/>
    </row>
    <row r="991">
      <c r="C991" s="60"/>
      <c r="D991" s="60"/>
    </row>
    <row r="992">
      <c r="C992" s="60"/>
      <c r="D992" s="60"/>
    </row>
    <row r="993">
      <c r="C993" s="60"/>
      <c r="D993" s="60"/>
    </row>
    <row r="994">
      <c r="C994" s="60"/>
      <c r="D994" s="60"/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63"/>
    <col customWidth="1" min="2" max="2" width="24.88"/>
    <col customWidth="1" hidden="1" min="3" max="3" width="7.63"/>
    <col customWidth="1" min="4" max="4" width="10.5"/>
    <col customWidth="1" min="5" max="5" width="14.5"/>
    <col customWidth="1" min="7" max="7" width="10.25"/>
    <col customWidth="1" min="8" max="8" width="14.38"/>
  </cols>
  <sheetData>
    <row r="1">
      <c r="A1" s="14" t="s">
        <v>498</v>
      </c>
      <c r="B1" s="14" t="s">
        <v>0</v>
      </c>
      <c r="C1" s="75" t="s">
        <v>3</v>
      </c>
      <c r="D1" s="75" t="s">
        <v>2</v>
      </c>
      <c r="E1" s="14" t="s">
        <v>4</v>
      </c>
      <c r="F1" s="14" t="s">
        <v>5</v>
      </c>
      <c r="G1" s="14" t="s">
        <v>249</v>
      </c>
      <c r="H1" s="14" t="s">
        <v>52</v>
      </c>
      <c r="I1" s="14" t="s">
        <v>1021</v>
      </c>
      <c r="J1" s="14" t="s">
        <v>250</v>
      </c>
      <c r="K1" s="14" t="s">
        <v>497</v>
      </c>
      <c r="L1" s="14" t="s">
        <v>1022</v>
      </c>
      <c r="M1" s="14" t="s">
        <v>1334</v>
      </c>
      <c r="N1" s="14" t="s">
        <v>1309</v>
      </c>
    </row>
    <row r="2">
      <c r="A2" s="43"/>
      <c r="B2" s="75" t="s">
        <v>1335</v>
      </c>
      <c r="C2" s="59"/>
      <c r="D2" s="59"/>
      <c r="E2" s="44"/>
      <c r="F2" s="59"/>
      <c r="G2" s="44"/>
      <c r="H2" s="44"/>
      <c r="I2" s="44"/>
      <c r="J2" s="44"/>
      <c r="K2" s="45"/>
      <c r="L2" s="45"/>
      <c r="M2" s="59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>
      <c r="A3" s="43"/>
      <c r="B3" s="107" t="s">
        <v>1336</v>
      </c>
      <c r="C3" s="59"/>
      <c r="D3" s="59">
        <v>17.0</v>
      </c>
      <c r="E3" s="44"/>
      <c r="F3" s="59"/>
      <c r="G3" s="44"/>
      <c r="H3" s="44"/>
      <c r="I3" s="44"/>
      <c r="J3" s="44"/>
      <c r="K3" s="45"/>
      <c r="L3" s="45"/>
      <c r="M3" s="59">
        <v>17.0</v>
      </c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>
      <c r="A4" s="43"/>
      <c r="B4" s="107" t="s">
        <v>1337</v>
      </c>
      <c r="C4" s="59"/>
      <c r="D4" s="59">
        <v>7.0</v>
      </c>
      <c r="E4" s="59"/>
      <c r="F4" s="30"/>
      <c r="G4" s="30"/>
      <c r="H4" s="45"/>
      <c r="I4" s="30"/>
      <c r="J4" s="59"/>
      <c r="K4" s="30"/>
      <c r="L4" s="45"/>
      <c r="M4" s="59">
        <v>7.0</v>
      </c>
    </row>
    <row r="5">
      <c r="A5" s="43"/>
      <c r="B5" s="107" t="s">
        <v>1338</v>
      </c>
      <c r="C5" s="59"/>
      <c r="D5" s="59">
        <v>15.0</v>
      </c>
      <c r="E5" s="30"/>
      <c r="F5" s="59"/>
      <c r="G5" s="30"/>
      <c r="H5" s="30"/>
      <c r="I5" s="30"/>
      <c r="J5" s="30"/>
      <c r="K5" s="30"/>
      <c r="L5" s="30"/>
      <c r="M5" s="59">
        <v>15.0</v>
      </c>
    </row>
    <row r="6">
      <c r="A6" s="43"/>
      <c r="B6" s="107" t="s">
        <v>1339</v>
      </c>
      <c r="C6" s="59"/>
      <c r="D6" s="59">
        <v>18.0</v>
      </c>
      <c r="E6" s="30"/>
      <c r="F6" s="59"/>
      <c r="G6" s="45"/>
      <c r="H6" s="45"/>
      <c r="I6" s="30"/>
      <c r="J6" s="59"/>
      <c r="K6" s="59"/>
      <c r="L6" s="45"/>
      <c r="M6" s="59">
        <v>18.0</v>
      </c>
    </row>
    <row r="7">
      <c r="A7" s="43"/>
      <c r="B7" s="44" t="s">
        <v>1340</v>
      </c>
      <c r="C7" s="59"/>
      <c r="D7" s="59">
        <v>307.29</v>
      </c>
      <c r="E7" s="59">
        <v>307.29</v>
      </c>
      <c r="F7" s="59"/>
      <c r="G7" s="45"/>
      <c r="H7" s="45"/>
      <c r="I7" s="30"/>
      <c r="J7" s="59"/>
      <c r="K7" s="59"/>
      <c r="L7" s="45"/>
    </row>
    <row r="8">
      <c r="A8" s="46"/>
      <c r="B8" s="44" t="s">
        <v>1341</v>
      </c>
      <c r="C8" s="59"/>
      <c r="D8" s="59">
        <v>53.07</v>
      </c>
      <c r="E8" s="30"/>
      <c r="F8" s="59"/>
      <c r="H8" s="45"/>
      <c r="I8" s="30"/>
      <c r="J8" s="30"/>
      <c r="K8" s="44"/>
      <c r="L8" s="44"/>
      <c r="M8" s="59">
        <v>53.07</v>
      </c>
    </row>
    <row r="9">
      <c r="A9" s="43"/>
      <c r="B9" s="44" t="s">
        <v>1342</v>
      </c>
      <c r="D9" s="59">
        <v>85.0</v>
      </c>
      <c r="E9" s="30"/>
      <c r="F9" s="59"/>
      <c r="G9" s="99"/>
      <c r="H9" s="44"/>
      <c r="I9" s="44"/>
      <c r="J9" s="44"/>
      <c r="K9" s="44"/>
      <c r="L9" s="44"/>
      <c r="M9" s="59">
        <v>85.0</v>
      </c>
      <c r="N9" s="59"/>
    </row>
    <row r="10">
      <c r="A10" s="43"/>
      <c r="B10" s="44" t="s">
        <v>1343</v>
      </c>
      <c r="C10" s="59"/>
      <c r="D10" s="59">
        <v>76.82</v>
      </c>
      <c r="E10" s="30"/>
      <c r="F10" s="59"/>
      <c r="G10" s="94"/>
      <c r="H10" s="30"/>
      <c r="I10" s="30"/>
      <c r="J10" s="30"/>
      <c r="K10" s="59"/>
      <c r="L10" s="30"/>
      <c r="M10" s="59">
        <v>76.82</v>
      </c>
    </row>
    <row r="11">
      <c r="A11" s="43"/>
      <c r="B11" s="44" t="s">
        <v>1344</v>
      </c>
      <c r="C11" s="59"/>
      <c r="D11" s="59">
        <v>10.0</v>
      </c>
      <c r="E11" s="30"/>
      <c r="F11" s="30"/>
      <c r="G11" s="59"/>
      <c r="H11" s="44"/>
      <c r="I11" s="30"/>
      <c r="J11" s="45"/>
      <c r="K11" s="30"/>
      <c r="L11" s="45"/>
      <c r="M11" s="59">
        <v>10.0</v>
      </c>
    </row>
    <row r="12">
      <c r="A12" s="43"/>
      <c r="B12" s="44" t="s">
        <v>1345</v>
      </c>
      <c r="C12" s="59"/>
      <c r="D12" s="59">
        <v>213.0</v>
      </c>
      <c r="E12" s="30"/>
      <c r="F12" s="59"/>
      <c r="G12" s="99"/>
      <c r="H12" s="44">
        <v>147.5</v>
      </c>
      <c r="I12" s="30"/>
      <c r="J12" s="45"/>
      <c r="K12" s="59"/>
      <c r="L12" s="45"/>
      <c r="M12" s="59">
        <v>65.5</v>
      </c>
    </row>
    <row r="13">
      <c r="A13" s="43"/>
      <c r="B13" s="44" t="s">
        <v>1346</v>
      </c>
      <c r="C13" s="59"/>
      <c r="D13" s="59">
        <v>51.0</v>
      </c>
      <c r="E13" s="44"/>
      <c r="F13" s="59"/>
      <c r="G13" s="99"/>
      <c r="H13" s="59"/>
      <c r="I13" s="30"/>
      <c r="J13" s="30"/>
      <c r="K13" s="59"/>
      <c r="L13" s="45"/>
      <c r="M13" s="59">
        <v>51.0</v>
      </c>
    </row>
    <row r="14">
      <c r="A14" s="43"/>
      <c r="B14" s="44" t="s">
        <v>1347</v>
      </c>
      <c r="C14" s="59"/>
      <c r="D14" s="59">
        <v>70.0</v>
      </c>
      <c r="E14" s="59"/>
      <c r="F14" s="59"/>
      <c r="G14" s="59">
        <v>70.0</v>
      </c>
      <c r="H14" s="45"/>
      <c r="I14" s="44"/>
      <c r="J14" s="30"/>
      <c r="K14" s="30"/>
      <c r="L14" s="45"/>
      <c r="M14" s="59"/>
      <c r="N14" s="30"/>
    </row>
    <row r="15">
      <c r="A15" s="43"/>
      <c r="B15" s="44" t="s">
        <v>1348</v>
      </c>
      <c r="C15" s="59"/>
      <c r="D15" s="59">
        <v>12.5</v>
      </c>
      <c r="E15" s="44"/>
      <c r="F15" s="44"/>
      <c r="G15" s="59"/>
      <c r="H15" s="44"/>
      <c r="I15" s="44"/>
      <c r="J15" s="44"/>
      <c r="K15" s="44"/>
      <c r="L15" s="44"/>
      <c r="M15" s="59">
        <v>12.5</v>
      </c>
      <c r="N15" s="59"/>
    </row>
    <row r="16">
      <c r="A16" s="43"/>
      <c r="B16" s="44"/>
      <c r="C16" s="59"/>
      <c r="D16" s="59"/>
      <c r="E16" s="92"/>
      <c r="F16" s="30"/>
      <c r="G16" s="30"/>
      <c r="H16" s="92"/>
      <c r="I16" s="30"/>
      <c r="J16" s="30"/>
      <c r="K16" s="30"/>
      <c r="L16" s="30"/>
      <c r="M16" s="92"/>
      <c r="N16" s="30"/>
    </row>
    <row r="17">
      <c r="A17" s="43"/>
      <c r="B17" s="44"/>
      <c r="C17" s="59"/>
      <c r="D17" s="59"/>
      <c r="E17" s="30"/>
      <c r="F17" s="59"/>
      <c r="G17" s="59"/>
      <c r="H17" s="44"/>
      <c r="I17" s="44"/>
      <c r="J17" s="44"/>
      <c r="K17" s="44"/>
      <c r="L17" s="44"/>
      <c r="M17" s="59"/>
      <c r="N17" s="59"/>
    </row>
    <row r="18">
      <c r="A18" s="43"/>
      <c r="B18" s="75"/>
      <c r="C18" s="59"/>
      <c r="D18" s="59"/>
      <c r="E18" s="59"/>
      <c r="F18" s="30"/>
      <c r="G18" s="59"/>
      <c r="H18" s="44"/>
      <c r="I18" s="44"/>
      <c r="J18" s="30"/>
      <c r="K18" s="45"/>
      <c r="L18" s="45"/>
      <c r="M18" s="45"/>
      <c r="Q18" s="59"/>
    </row>
    <row r="19">
      <c r="A19" s="43"/>
      <c r="B19" s="44"/>
      <c r="C19" s="30"/>
      <c r="D19" s="30"/>
      <c r="E19" s="59"/>
      <c r="G19" s="30"/>
      <c r="H19" s="44"/>
      <c r="I19" s="44"/>
      <c r="J19" s="30"/>
      <c r="K19" s="30"/>
      <c r="L19" s="30"/>
      <c r="M19" s="30"/>
    </row>
    <row r="20">
      <c r="A20" s="93"/>
      <c r="C20" s="59"/>
      <c r="D20" s="59"/>
      <c r="F20" s="30"/>
      <c r="G20" s="30"/>
      <c r="H20" s="59"/>
      <c r="I20" s="30"/>
      <c r="J20" s="30"/>
      <c r="K20" s="30"/>
      <c r="L20" s="30"/>
      <c r="M20" s="59"/>
      <c r="N20" s="30"/>
    </row>
    <row r="21">
      <c r="A21" s="43"/>
      <c r="B21" s="44"/>
      <c r="C21" s="59"/>
      <c r="D21" s="59"/>
      <c r="F21" s="59"/>
      <c r="G21" s="44"/>
      <c r="H21" s="44"/>
      <c r="I21" s="30"/>
      <c r="J21" s="45"/>
      <c r="K21" s="30"/>
      <c r="L21" s="59"/>
    </row>
    <row r="22">
      <c r="A22" s="43"/>
      <c r="B22" s="44"/>
      <c r="C22" s="59"/>
      <c r="D22" s="59"/>
      <c r="G22" s="59"/>
      <c r="H22" s="44"/>
      <c r="I22" s="44"/>
      <c r="J22" s="44"/>
      <c r="K22" s="59"/>
      <c r="L22" s="44"/>
      <c r="M22" s="59"/>
      <c r="N22" s="44"/>
    </row>
    <row r="23">
      <c r="A23" s="43"/>
      <c r="B23" s="44"/>
      <c r="C23" s="59"/>
      <c r="D23" s="59"/>
      <c r="E23" s="59"/>
      <c r="F23" s="59"/>
      <c r="G23" s="44"/>
      <c r="H23" s="44"/>
      <c r="I23" s="44"/>
      <c r="J23" s="44"/>
      <c r="K23" s="44"/>
      <c r="L23" s="44"/>
      <c r="M23" s="59"/>
      <c r="N23" s="44"/>
    </row>
    <row r="24">
      <c r="A24" s="43"/>
      <c r="B24" s="44"/>
      <c r="C24" s="59"/>
      <c r="D24" s="59"/>
      <c r="F24" s="59"/>
      <c r="G24" s="44"/>
      <c r="H24" s="45"/>
      <c r="I24" s="30"/>
      <c r="J24" s="45"/>
      <c r="K24" s="30"/>
      <c r="L24" s="59"/>
      <c r="M24" s="59"/>
      <c r="N24" s="59"/>
    </row>
    <row r="25">
      <c r="A25" s="43"/>
      <c r="B25" s="44"/>
      <c r="C25" s="59"/>
      <c r="D25" s="59"/>
      <c r="F25" s="59"/>
      <c r="G25" s="44"/>
      <c r="H25" s="45"/>
      <c r="I25" s="44"/>
      <c r="J25" s="45"/>
      <c r="K25" s="30"/>
      <c r="L25" s="59"/>
      <c r="M25" s="59"/>
      <c r="N25" s="59"/>
    </row>
    <row r="26">
      <c r="A26" s="43"/>
      <c r="B26" s="44"/>
      <c r="C26" s="59"/>
      <c r="D26" s="59"/>
      <c r="F26" s="59"/>
      <c r="G26" s="59"/>
      <c r="H26" s="44"/>
      <c r="I26" s="30"/>
      <c r="J26" s="44"/>
      <c r="K26" s="30"/>
      <c r="L26" s="44"/>
      <c r="M26" s="59"/>
    </row>
    <row r="27">
      <c r="A27" s="43"/>
      <c r="B27" s="44"/>
      <c r="C27" s="59"/>
      <c r="D27" s="59"/>
      <c r="H27" s="103"/>
      <c r="L27" s="98"/>
      <c r="M27" s="98"/>
    </row>
    <row r="28">
      <c r="A28" s="43"/>
      <c r="B28" s="44"/>
      <c r="C28" s="59"/>
      <c r="D28" s="59"/>
      <c r="F28" s="59"/>
      <c r="K28" s="59"/>
      <c r="M28" s="59"/>
    </row>
    <row r="29">
      <c r="A29" s="43"/>
      <c r="C29" s="59"/>
      <c r="D29" s="59"/>
      <c r="G29" s="59"/>
      <c r="M29" s="59"/>
    </row>
    <row r="30">
      <c r="A30" s="46"/>
      <c r="B30" s="44"/>
      <c r="C30" s="59"/>
      <c r="D30" s="59"/>
      <c r="F30" s="59"/>
      <c r="G30" s="59"/>
      <c r="H30" s="59"/>
      <c r="M30" s="59"/>
    </row>
    <row r="31">
      <c r="A31" s="43"/>
      <c r="B31" s="44"/>
      <c r="C31" s="59"/>
      <c r="D31" s="59"/>
      <c r="F31" s="59"/>
      <c r="G31" s="59"/>
      <c r="M31" s="59"/>
    </row>
    <row r="32">
      <c r="A32" s="43"/>
      <c r="B32" s="44"/>
      <c r="C32" s="59"/>
      <c r="D32" s="59"/>
      <c r="G32" s="59"/>
      <c r="M32" s="59"/>
    </row>
    <row r="33">
      <c r="A33" s="43"/>
      <c r="B33" s="44"/>
      <c r="C33" s="59"/>
      <c r="D33" s="59"/>
      <c r="G33" s="30"/>
      <c r="H33" s="30"/>
      <c r="I33" s="30"/>
      <c r="J33" s="30"/>
      <c r="K33" s="30"/>
      <c r="L33" s="30"/>
      <c r="M33" s="59"/>
      <c r="N33" s="30"/>
      <c r="P33" s="16"/>
      <c r="Q33" s="16"/>
      <c r="R33" s="16"/>
      <c r="S33" s="16"/>
      <c r="T33" s="16"/>
      <c r="U33" s="16"/>
      <c r="V33" s="16"/>
      <c r="W33" s="16"/>
      <c r="X33" s="16"/>
    </row>
    <row r="34">
      <c r="A34" s="43"/>
      <c r="B34" s="44"/>
      <c r="C34" s="59"/>
      <c r="D34" s="59"/>
      <c r="E34" s="59"/>
      <c r="F34" s="30"/>
      <c r="P34" s="1"/>
    </row>
    <row r="35">
      <c r="A35" s="43"/>
      <c r="C35" s="59"/>
      <c r="D35" s="59"/>
      <c r="E35" s="59"/>
      <c r="F35" s="59"/>
      <c r="M35" s="59"/>
    </row>
    <row r="36">
      <c r="A36" s="43"/>
      <c r="B36" s="44"/>
      <c r="C36" s="59"/>
      <c r="D36" s="59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>
      <c r="A37" s="43"/>
      <c r="B37" s="44"/>
      <c r="C37" s="59"/>
      <c r="D37" s="59"/>
      <c r="M37" s="59"/>
    </row>
    <row r="38">
      <c r="A38" s="43"/>
      <c r="B38" s="44"/>
      <c r="C38" s="59"/>
      <c r="D38" s="59"/>
      <c r="E38" s="59"/>
      <c r="M38" s="59"/>
    </row>
    <row r="39">
      <c r="A39" s="41"/>
      <c r="C39" s="59"/>
      <c r="D39" s="59"/>
      <c r="F39" s="59"/>
      <c r="M39" s="59"/>
    </row>
    <row r="40">
      <c r="A40" s="41"/>
      <c r="C40" s="59"/>
      <c r="D40" s="59"/>
      <c r="J40" s="30"/>
      <c r="K40" s="59"/>
      <c r="M40" s="59"/>
    </row>
    <row r="41">
      <c r="A41" s="25"/>
      <c r="C41" s="59"/>
      <c r="D41" s="59"/>
      <c r="G41" s="59"/>
      <c r="K41" s="59"/>
    </row>
    <row r="42">
      <c r="A42" s="41"/>
      <c r="C42" s="59"/>
      <c r="D42" s="59"/>
      <c r="E42" s="59"/>
      <c r="G42" s="59"/>
    </row>
    <row r="43">
      <c r="A43" s="66"/>
      <c r="B43" s="44"/>
      <c r="C43" s="59"/>
      <c r="D43" s="59"/>
      <c r="F43" s="59"/>
    </row>
    <row r="44">
      <c r="A44" s="25"/>
      <c r="B44" s="44"/>
      <c r="C44" s="59"/>
      <c r="D44" s="59"/>
      <c r="E44" s="59"/>
      <c r="J44" s="59"/>
      <c r="M44" s="59"/>
    </row>
    <row r="45">
      <c r="A45" s="25"/>
      <c r="B45" s="44"/>
      <c r="C45" s="59"/>
      <c r="D45" s="59"/>
      <c r="J45" s="59"/>
      <c r="M45" s="59"/>
    </row>
    <row r="46">
      <c r="C46" s="59"/>
      <c r="D46" s="59"/>
      <c r="J46" s="59"/>
    </row>
    <row r="47">
      <c r="A47" s="41"/>
      <c r="C47" s="59"/>
      <c r="D47" s="59"/>
      <c r="E47" s="59"/>
      <c r="M47" s="59"/>
    </row>
    <row r="48">
      <c r="C48" s="59"/>
      <c r="D48" s="59"/>
      <c r="F48" s="59"/>
      <c r="M48" s="59"/>
    </row>
    <row r="49">
      <c r="C49" s="59"/>
      <c r="D49" s="59"/>
      <c r="F49" s="59"/>
      <c r="M49" s="59"/>
    </row>
    <row r="50">
      <c r="A50" s="41"/>
      <c r="C50" s="59"/>
      <c r="D50" s="59"/>
      <c r="F50" s="59"/>
      <c r="M50" s="59"/>
    </row>
    <row r="51">
      <c r="A51" s="41"/>
      <c r="C51" s="59"/>
      <c r="D51" s="59"/>
      <c r="M51" s="59"/>
      <c r="P51" s="59"/>
    </row>
    <row r="52">
      <c r="A52" s="41"/>
      <c r="D52" s="59"/>
      <c r="F52" s="30"/>
      <c r="M52" s="59"/>
      <c r="P52" s="1"/>
    </row>
    <row r="53">
      <c r="C53" s="59"/>
      <c r="D53" s="59"/>
      <c r="F53" s="44"/>
      <c r="M53" s="59"/>
      <c r="P53" s="59"/>
    </row>
    <row r="54">
      <c r="D54" s="59"/>
      <c r="F54" s="44"/>
      <c r="G54" s="44"/>
      <c r="M54" s="59"/>
      <c r="P54" s="1"/>
    </row>
    <row r="55">
      <c r="B55" s="59"/>
      <c r="D55" s="59"/>
      <c r="F55" s="59"/>
      <c r="M55" s="59"/>
    </row>
    <row r="56">
      <c r="C56" s="59"/>
      <c r="D56" s="59"/>
      <c r="L56" s="59"/>
    </row>
    <row r="57">
      <c r="A57" s="41"/>
      <c r="C57" s="60"/>
      <c r="D57" s="59"/>
      <c r="N57" s="59"/>
    </row>
    <row r="58">
      <c r="C58" s="60"/>
      <c r="D58" s="59"/>
      <c r="F58" s="59"/>
    </row>
    <row r="59">
      <c r="C59" s="60"/>
      <c r="D59" s="59"/>
      <c r="F59" s="59"/>
    </row>
    <row r="60">
      <c r="C60" s="59"/>
      <c r="D60" s="59"/>
      <c r="F60" s="59"/>
    </row>
    <row r="61">
      <c r="C61" s="60"/>
      <c r="D61" s="60"/>
    </row>
    <row r="62">
      <c r="C62" s="60"/>
      <c r="D62" s="60"/>
    </row>
    <row r="63">
      <c r="C63" s="60"/>
      <c r="D63" s="60"/>
    </row>
    <row r="64">
      <c r="C64" s="60"/>
      <c r="D64" s="60"/>
    </row>
    <row r="65">
      <c r="C65" s="60"/>
      <c r="D65" s="60"/>
    </row>
    <row r="66">
      <c r="C66" s="60"/>
      <c r="D66" s="60"/>
    </row>
    <row r="67">
      <c r="C67" s="60"/>
      <c r="D67" s="60"/>
    </row>
    <row r="68">
      <c r="C68" s="60"/>
      <c r="D68" s="60"/>
    </row>
    <row r="69">
      <c r="C69" s="60"/>
      <c r="D69" s="60"/>
    </row>
    <row r="70">
      <c r="C70" s="60"/>
      <c r="D70" s="60"/>
    </row>
    <row r="71">
      <c r="C71" s="60"/>
      <c r="D71" s="60"/>
    </row>
    <row r="72">
      <c r="C72" s="60"/>
      <c r="D72" s="60"/>
    </row>
    <row r="73">
      <c r="C73" s="60"/>
      <c r="D73" s="60"/>
    </row>
    <row r="74">
      <c r="C74" s="60"/>
      <c r="D74" s="60"/>
    </row>
    <row r="75">
      <c r="C75" s="59"/>
      <c r="D75" s="59"/>
    </row>
    <row r="76">
      <c r="C76" s="59"/>
      <c r="D76" s="59"/>
    </row>
    <row r="77">
      <c r="C77" s="59"/>
      <c r="D77" s="59"/>
    </row>
    <row r="78">
      <c r="C78" s="59"/>
      <c r="D78" s="59"/>
    </row>
    <row r="79">
      <c r="C79" s="59"/>
      <c r="D79" s="59"/>
      <c r="E79" s="44"/>
      <c r="F79" s="44"/>
      <c r="G79" s="44"/>
      <c r="H79" s="44"/>
      <c r="I79" s="44"/>
      <c r="J79" s="44"/>
    </row>
    <row r="80">
      <c r="C80" s="59"/>
      <c r="D80" s="59"/>
      <c r="E80" s="44"/>
      <c r="F80" s="44"/>
    </row>
    <row r="81">
      <c r="C81" s="59"/>
      <c r="D81" s="59"/>
      <c r="F81" s="44"/>
    </row>
    <row r="82">
      <c r="C82" s="59"/>
      <c r="D82" s="59"/>
      <c r="E82" s="44"/>
    </row>
    <row r="83">
      <c r="C83" s="59"/>
      <c r="D83" s="59"/>
    </row>
    <row r="84">
      <c r="C84" s="60"/>
      <c r="D84" s="60"/>
    </row>
    <row r="85">
      <c r="C85" s="60"/>
      <c r="D85" s="60"/>
    </row>
    <row r="86">
      <c r="C86" s="59"/>
      <c r="D86" s="59"/>
    </row>
    <row r="87">
      <c r="C87" s="60"/>
      <c r="D87" s="60"/>
    </row>
    <row r="88">
      <c r="C88" s="60"/>
      <c r="D88" s="60"/>
      <c r="E88" s="67"/>
      <c r="F88" s="67"/>
      <c r="G88" s="68"/>
      <c r="H88" s="68"/>
      <c r="I88" s="67"/>
      <c r="J88" s="68"/>
    </row>
    <row r="89">
      <c r="C89" s="60"/>
      <c r="D89" s="60"/>
      <c r="E89" s="68"/>
      <c r="F89" s="68"/>
      <c r="G89" s="68"/>
      <c r="H89" s="68"/>
      <c r="I89" s="68"/>
      <c r="J89" s="68"/>
    </row>
    <row r="90">
      <c r="C90" s="60"/>
      <c r="D90" s="60"/>
    </row>
    <row r="91">
      <c r="C91" s="60"/>
      <c r="D91" s="60"/>
    </row>
    <row r="92">
      <c r="C92" s="60"/>
      <c r="D92" s="60"/>
    </row>
    <row r="93">
      <c r="C93" s="60"/>
      <c r="D93" s="60"/>
    </row>
    <row r="94">
      <c r="C94" s="60"/>
      <c r="D94" s="60"/>
    </row>
    <row r="95">
      <c r="C95" s="60"/>
      <c r="D95" s="60"/>
    </row>
    <row r="96">
      <c r="C96" s="60"/>
      <c r="D96" s="60"/>
    </row>
    <row r="97">
      <c r="C97" s="60"/>
      <c r="D97" s="60"/>
    </row>
    <row r="98">
      <c r="C98" s="60"/>
      <c r="D98" s="60"/>
    </row>
    <row r="99">
      <c r="C99" s="60"/>
      <c r="D99" s="60"/>
    </row>
    <row r="100">
      <c r="C100" s="60"/>
      <c r="D100" s="60"/>
    </row>
    <row r="101">
      <c r="C101" s="60"/>
      <c r="D101" s="60"/>
    </row>
    <row r="102">
      <c r="C102" s="60"/>
      <c r="D102" s="60"/>
    </row>
    <row r="103">
      <c r="C103" s="60"/>
      <c r="D103" s="60"/>
    </row>
    <row r="104">
      <c r="C104" s="60"/>
      <c r="D104" s="60"/>
    </row>
    <row r="105">
      <c r="C105" s="60"/>
      <c r="D105" s="60"/>
    </row>
    <row r="106">
      <c r="C106" s="60"/>
      <c r="D106" s="60"/>
    </row>
    <row r="107">
      <c r="C107" s="60"/>
      <c r="D107" s="60"/>
    </row>
    <row r="108">
      <c r="C108" s="60"/>
      <c r="D108" s="60"/>
    </row>
    <row r="109">
      <c r="C109" s="60"/>
      <c r="D109" s="60"/>
    </row>
    <row r="110">
      <c r="C110" s="60"/>
      <c r="D110" s="60"/>
    </row>
    <row r="111">
      <c r="C111" s="60"/>
      <c r="D111" s="60"/>
    </row>
    <row r="112">
      <c r="C112" s="60"/>
      <c r="D112" s="60"/>
    </row>
    <row r="113">
      <c r="C113" s="60"/>
      <c r="D113" s="60"/>
    </row>
    <row r="114">
      <c r="C114" s="60"/>
      <c r="D114" s="60"/>
    </row>
    <row r="115">
      <c r="C115" s="60"/>
      <c r="D115" s="60"/>
    </row>
    <row r="116">
      <c r="C116" s="60"/>
      <c r="D116" s="60"/>
    </row>
    <row r="117">
      <c r="C117" s="60"/>
      <c r="D117" s="60"/>
    </row>
    <row r="118">
      <c r="C118" s="60"/>
      <c r="D118" s="60"/>
    </row>
    <row r="119">
      <c r="C119" s="60"/>
      <c r="D119" s="60"/>
    </row>
    <row r="120">
      <c r="C120" s="60"/>
      <c r="D120" s="60"/>
    </row>
    <row r="121">
      <c r="C121" s="60"/>
      <c r="D121" s="60"/>
    </row>
    <row r="122">
      <c r="C122" s="60"/>
      <c r="D122" s="60"/>
    </row>
    <row r="123">
      <c r="C123" s="60"/>
      <c r="D123" s="60"/>
    </row>
    <row r="124">
      <c r="C124" s="60"/>
      <c r="D124" s="60"/>
    </row>
    <row r="125">
      <c r="C125" s="60"/>
      <c r="D125" s="60"/>
    </row>
    <row r="126">
      <c r="C126" s="60"/>
      <c r="D126" s="60"/>
    </row>
    <row r="127">
      <c r="C127" s="60"/>
      <c r="D127" s="60"/>
    </row>
    <row r="128">
      <c r="C128" s="60"/>
      <c r="D128" s="60"/>
    </row>
    <row r="129">
      <c r="C129" s="60"/>
      <c r="D129" s="60"/>
    </row>
    <row r="130">
      <c r="C130" s="60"/>
      <c r="D130" s="60"/>
    </row>
    <row r="131">
      <c r="C131" s="60"/>
      <c r="D131" s="60"/>
    </row>
    <row r="132">
      <c r="C132" s="60"/>
      <c r="D132" s="60"/>
    </row>
    <row r="133">
      <c r="C133" s="60"/>
      <c r="D133" s="60"/>
    </row>
    <row r="134">
      <c r="C134" s="60"/>
      <c r="D134" s="60"/>
    </row>
    <row r="135">
      <c r="C135" s="60"/>
      <c r="D135" s="60"/>
    </row>
    <row r="136">
      <c r="C136" s="60"/>
      <c r="D136" s="60"/>
    </row>
    <row r="137">
      <c r="C137" s="60"/>
      <c r="D137" s="60"/>
    </row>
    <row r="138">
      <c r="C138" s="60"/>
      <c r="D138" s="60"/>
    </row>
    <row r="139">
      <c r="C139" s="60"/>
      <c r="D139" s="60"/>
    </row>
    <row r="140">
      <c r="C140" s="60"/>
      <c r="D140" s="60"/>
    </row>
    <row r="141">
      <c r="C141" s="60"/>
      <c r="D141" s="60"/>
    </row>
    <row r="142">
      <c r="C142" s="60"/>
      <c r="D142" s="60"/>
    </row>
    <row r="143">
      <c r="C143" s="60"/>
      <c r="D143" s="60"/>
    </row>
    <row r="144">
      <c r="C144" s="60"/>
      <c r="D144" s="60"/>
    </row>
    <row r="145">
      <c r="C145" s="60"/>
      <c r="D145" s="60"/>
    </row>
    <row r="146">
      <c r="C146" s="60"/>
      <c r="D146" s="60"/>
    </row>
    <row r="147">
      <c r="C147" s="60"/>
      <c r="D147" s="60"/>
    </row>
    <row r="148">
      <c r="C148" s="60"/>
      <c r="D148" s="60"/>
    </row>
    <row r="149">
      <c r="C149" s="60"/>
      <c r="D149" s="60"/>
    </row>
    <row r="150">
      <c r="C150" s="60"/>
      <c r="D150" s="60"/>
    </row>
    <row r="151">
      <c r="C151" s="60"/>
      <c r="D151" s="60"/>
    </row>
    <row r="152">
      <c r="C152" s="60"/>
      <c r="D152" s="60"/>
    </row>
    <row r="153">
      <c r="C153" s="60"/>
      <c r="D153" s="60"/>
    </row>
    <row r="154">
      <c r="C154" s="60"/>
      <c r="D154" s="60"/>
    </row>
    <row r="155">
      <c r="C155" s="60"/>
      <c r="D155" s="60"/>
    </row>
    <row r="156">
      <c r="C156" s="60"/>
      <c r="D156" s="60"/>
    </row>
    <row r="157">
      <c r="C157" s="60"/>
      <c r="D157" s="60"/>
    </row>
    <row r="158">
      <c r="C158" s="60"/>
      <c r="D158" s="60"/>
    </row>
    <row r="159">
      <c r="C159" s="60"/>
      <c r="D159" s="60"/>
    </row>
    <row r="160">
      <c r="C160" s="60"/>
      <c r="D160" s="60"/>
    </row>
    <row r="161">
      <c r="C161" s="60"/>
      <c r="D161" s="60"/>
    </row>
    <row r="162">
      <c r="C162" s="60"/>
      <c r="D162" s="60"/>
    </row>
    <row r="163">
      <c r="C163" s="60"/>
      <c r="D163" s="60"/>
    </row>
    <row r="164">
      <c r="C164" s="60"/>
      <c r="D164" s="60"/>
    </row>
    <row r="165">
      <c r="C165" s="60"/>
      <c r="D165" s="60"/>
    </row>
    <row r="166">
      <c r="C166" s="60"/>
      <c r="D166" s="60"/>
    </row>
    <row r="167">
      <c r="C167" s="60"/>
      <c r="D167" s="60"/>
    </row>
    <row r="168">
      <c r="C168" s="60"/>
      <c r="D168" s="60"/>
    </row>
    <row r="169">
      <c r="C169" s="60"/>
      <c r="D169" s="60"/>
    </row>
    <row r="170">
      <c r="C170" s="60"/>
      <c r="D170" s="60"/>
    </row>
    <row r="171">
      <c r="C171" s="60"/>
      <c r="D171" s="60"/>
    </row>
    <row r="172">
      <c r="C172" s="60"/>
      <c r="D172" s="60"/>
    </row>
    <row r="173">
      <c r="C173" s="60"/>
      <c r="D173" s="60"/>
    </row>
    <row r="174">
      <c r="C174" s="60"/>
      <c r="D174" s="60"/>
    </row>
    <row r="175">
      <c r="C175" s="60"/>
      <c r="D175" s="60"/>
    </row>
    <row r="176">
      <c r="C176" s="60"/>
      <c r="D176" s="60"/>
    </row>
    <row r="177">
      <c r="C177" s="60"/>
      <c r="D177" s="60"/>
    </row>
    <row r="178">
      <c r="C178" s="60"/>
      <c r="D178" s="60"/>
    </row>
    <row r="179">
      <c r="C179" s="60"/>
      <c r="D179" s="60"/>
    </row>
    <row r="180">
      <c r="C180" s="60"/>
      <c r="D180" s="60"/>
    </row>
    <row r="181">
      <c r="C181" s="60"/>
      <c r="D181" s="60"/>
    </row>
    <row r="182">
      <c r="C182" s="60"/>
      <c r="D182" s="60"/>
    </row>
    <row r="183">
      <c r="C183" s="60"/>
      <c r="D183" s="60"/>
    </row>
    <row r="184">
      <c r="C184" s="60"/>
      <c r="D184" s="60"/>
    </row>
    <row r="185">
      <c r="C185" s="60"/>
      <c r="D185" s="60"/>
    </row>
    <row r="186">
      <c r="C186" s="60"/>
      <c r="D186" s="60"/>
    </row>
    <row r="187">
      <c r="C187" s="60"/>
      <c r="D187" s="60"/>
    </row>
    <row r="188">
      <c r="C188" s="60"/>
      <c r="D188" s="60"/>
    </row>
    <row r="189">
      <c r="C189" s="60"/>
      <c r="D189" s="60"/>
    </row>
    <row r="190">
      <c r="C190" s="60"/>
      <c r="D190" s="60"/>
    </row>
    <row r="191">
      <c r="C191" s="60"/>
      <c r="D191" s="60"/>
    </row>
    <row r="192">
      <c r="C192" s="60"/>
      <c r="D192" s="60"/>
    </row>
    <row r="193">
      <c r="C193" s="60"/>
      <c r="D193" s="60"/>
    </row>
    <row r="194">
      <c r="C194" s="60"/>
      <c r="D194" s="60"/>
    </row>
    <row r="195">
      <c r="C195" s="60"/>
      <c r="D195" s="60"/>
    </row>
    <row r="196">
      <c r="C196" s="60"/>
      <c r="D196" s="60"/>
    </row>
    <row r="197">
      <c r="C197" s="60"/>
      <c r="D197" s="60"/>
    </row>
    <row r="198">
      <c r="C198" s="60"/>
      <c r="D198" s="60"/>
    </row>
    <row r="199">
      <c r="C199" s="60"/>
      <c r="D199" s="60"/>
    </row>
    <row r="200">
      <c r="C200" s="60"/>
      <c r="D200" s="60"/>
    </row>
    <row r="201">
      <c r="C201" s="60"/>
      <c r="D201" s="60"/>
    </row>
    <row r="202">
      <c r="C202" s="60"/>
      <c r="D202" s="60"/>
    </row>
    <row r="203">
      <c r="C203" s="60"/>
      <c r="D203" s="60"/>
    </row>
    <row r="204">
      <c r="C204" s="60"/>
      <c r="D204" s="60"/>
    </row>
    <row r="205">
      <c r="C205" s="60"/>
      <c r="D205" s="60"/>
    </row>
    <row r="206">
      <c r="C206" s="60"/>
      <c r="D206" s="60"/>
    </row>
    <row r="207">
      <c r="C207" s="60"/>
      <c r="D207" s="60"/>
    </row>
    <row r="208">
      <c r="C208" s="60"/>
      <c r="D208" s="60"/>
    </row>
    <row r="209">
      <c r="C209" s="60"/>
      <c r="D209" s="60"/>
    </row>
    <row r="210">
      <c r="C210" s="60"/>
      <c r="D210" s="60"/>
    </row>
    <row r="211">
      <c r="C211" s="60"/>
      <c r="D211" s="60"/>
    </row>
    <row r="212">
      <c r="C212" s="60"/>
      <c r="D212" s="60"/>
    </row>
    <row r="213">
      <c r="C213" s="60"/>
      <c r="D213" s="60"/>
    </row>
    <row r="214">
      <c r="C214" s="60"/>
      <c r="D214" s="60"/>
    </row>
    <row r="215">
      <c r="C215" s="60"/>
      <c r="D215" s="60"/>
    </row>
    <row r="216">
      <c r="C216" s="60"/>
      <c r="D216" s="60"/>
    </row>
    <row r="217">
      <c r="C217" s="60"/>
      <c r="D217" s="60"/>
    </row>
    <row r="218">
      <c r="C218" s="60"/>
      <c r="D218" s="60"/>
    </row>
    <row r="219">
      <c r="C219" s="60"/>
      <c r="D219" s="60"/>
    </row>
    <row r="220">
      <c r="C220" s="60"/>
      <c r="D220" s="60"/>
    </row>
    <row r="221">
      <c r="C221" s="60"/>
      <c r="D221" s="60"/>
    </row>
    <row r="222">
      <c r="C222" s="60"/>
      <c r="D222" s="60"/>
    </row>
    <row r="223">
      <c r="C223" s="60"/>
      <c r="D223" s="60"/>
    </row>
    <row r="224">
      <c r="C224" s="60"/>
      <c r="D224" s="60"/>
    </row>
    <row r="225">
      <c r="C225" s="60"/>
      <c r="D225" s="60"/>
    </row>
    <row r="226">
      <c r="C226" s="60"/>
      <c r="D226" s="60"/>
    </row>
    <row r="227">
      <c r="C227" s="60"/>
      <c r="D227" s="60"/>
    </row>
    <row r="228">
      <c r="C228" s="60"/>
      <c r="D228" s="60"/>
    </row>
    <row r="229">
      <c r="C229" s="60"/>
      <c r="D229" s="60"/>
    </row>
    <row r="230">
      <c r="C230" s="60"/>
      <c r="D230" s="60"/>
    </row>
    <row r="231">
      <c r="C231" s="60"/>
      <c r="D231" s="60"/>
    </row>
    <row r="232">
      <c r="C232" s="60"/>
      <c r="D232" s="60"/>
    </row>
    <row r="233">
      <c r="C233" s="60"/>
      <c r="D233" s="60"/>
    </row>
    <row r="234">
      <c r="C234" s="60"/>
      <c r="D234" s="60"/>
    </row>
    <row r="235">
      <c r="C235" s="60"/>
      <c r="D235" s="60"/>
    </row>
    <row r="236">
      <c r="C236" s="60"/>
      <c r="D236" s="60"/>
    </row>
    <row r="237">
      <c r="C237" s="60"/>
      <c r="D237" s="60"/>
    </row>
    <row r="238">
      <c r="C238" s="60"/>
      <c r="D238" s="60"/>
    </row>
    <row r="239">
      <c r="C239" s="60"/>
      <c r="D239" s="60"/>
    </row>
    <row r="240">
      <c r="C240" s="60"/>
      <c r="D240" s="60"/>
    </row>
    <row r="241">
      <c r="C241" s="60"/>
      <c r="D241" s="60"/>
    </row>
    <row r="242">
      <c r="C242" s="60"/>
      <c r="D242" s="60"/>
    </row>
    <row r="243">
      <c r="C243" s="60"/>
      <c r="D243" s="60"/>
    </row>
    <row r="244">
      <c r="C244" s="60"/>
      <c r="D244" s="60"/>
    </row>
    <row r="245">
      <c r="C245" s="60"/>
      <c r="D245" s="60"/>
    </row>
    <row r="246">
      <c r="C246" s="60"/>
      <c r="D246" s="60"/>
    </row>
    <row r="247">
      <c r="C247" s="60"/>
      <c r="D247" s="60"/>
    </row>
    <row r="248">
      <c r="C248" s="60"/>
      <c r="D248" s="60"/>
    </row>
    <row r="249">
      <c r="C249" s="60"/>
      <c r="D249" s="60"/>
    </row>
    <row r="250">
      <c r="C250" s="60"/>
      <c r="D250" s="60"/>
    </row>
    <row r="251">
      <c r="C251" s="60"/>
      <c r="D251" s="60"/>
    </row>
    <row r="252">
      <c r="C252" s="60"/>
      <c r="D252" s="60"/>
    </row>
    <row r="253">
      <c r="C253" s="60"/>
      <c r="D253" s="60"/>
    </row>
    <row r="254">
      <c r="C254" s="60"/>
      <c r="D254" s="60"/>
    </row>
    <row r="255">
      <c r="C255" s="60"/>
      <c r="D255" s="60"/>
    </row>
    <row r="256">
      <c r="C256" s="60"/>
      <c r="D256" s="60"/>
    </row>
    <row r="257">
      <c r="C257" s="60"/>
      <c r="D257" s="60"/>
    </row>
    <row r="258">
      <c r="C258" s="60"/>
      <c r="D258" s="60"/>
    </row>
    <row r="259">
      <c r="C259" s="60"/>
      <c r="D259" s="60"/>
    </row>
    <row r="260">
      <c r="C260" s="60"/>
      <c r="D260" s="60"/>
    </row>
    <row r="261">
      <c r="C261" s="60"/>
      <c r="D261" s="60"/>
    </row>
    <row r="262">
      <c r="C262" s="60"/>
      <c r="D262" s="60"/>
    </row>
    <row r="263">
      <c r="C263" s="60"/>
      <c r="D263" s="60"/>
    </row>
    <row r="264">
      <c r="C264" s="60"/>
      <c r="D264" s="60"/>
    </row>
    <row r="265">
      <c r="C265" s="60"/>
      <c r="D265" s="60"/>
    </row>
    <row r="266">
      <c r="C266" s="60"/>
      <c r="D266" s="60"/>
    </row>
    <row r="267">
      <c r="C267" s="60"/>
      <c r="D267" s="60"/>
    </row>
    <row r="268">
      <c r="C268" s="60"/>
      <c r="D268" s="60"/>
    </row>
    <row r="269">
      <c r="C269" s="60"/>
      <c r="D269" s="60"/>
    </row>
    <row r="270">
      <c r="C270" s="60"/>
      <c r="D270" s="60"/>
    </row>
    <row r="271">
      <c r="C271" s="60"/>
      <c r="D271" s="60"/>
    </row>
    <row r="272">
      <c r="C272" s="60"/>
      <c r="D272" s="60"/>
    </row>
    <row r="273">
      <c r="C273" s="60"/>
      <c r="D273" s="60"/>
    </row>
    <row r="274">
      <c r="C274" s="60"/>
      <c r="D274" s="60"/>
    </row>
    <row r="275">
      <c r="C275" s="60"/>
      <c r="D275" s="60"/>
    </row>
    <row r="276">
      <c r="C276" s="60"/>
      <c r="D276" s="60"/>
    </row>
    <row r="277">
      <c r="C277" s="60"/>
      <c r="D277" s="60"/>
    </row>
    <row r="278">
      <c r="C278" s="60"/>
      <c r="D278" s="60"/>
    </row>
    <row r="279">
      <c r="C279" s="60"/>
      <c r="D279" s="60"/>
    </row>
    <row r="280">
      <c r="C280" s="60"/>
      <c r="D280" s="60"/>
    </row>
    <row r="281">
      <c r="C281" s="60"/>
      <c r="D281" s="60"/>
    </row>
    <row r="282">
      <c r="C282" s="60"/>
      <c r="D282" s="60"/>
    </row>
    <row r="283">
      <c r="C283" s="60"/>
      <c r="D283" s="60"/>
    </row>
    <row r="284">
      <c r="C284" s="60"/>
      <c r="D284" s="60"/>
    </row>
    <row r="285">
      <c r="C285" s="60"/>
      <c r="D285" s="60"/>
    </row>
    <row r="286">
      <c r="C286" s="60"/>
      <c r="D286" s="60"/>
    </row>
    <row r="287">
      <c r="C287" s="60"/>
      <c r="D287" s="60"/>
    </row>
    <row r="288">
      <c r="C288" s="60"/>
      <c r="D288" s="60"/>
    </row>
    <row r="289">
      <c r="C289" s="60"/>
      <c r="D289" s="60"/>
    </row>
    <row r="290">
      <c r="C290" s="60"/>
      <c r="D290" s="60"/>
    </row>
    <row r="291">
      <c r="C291" s="60"/>
      <c r="D291" s="60"/>
    </row>
    <row r="292">
      <c r="C292" s="60"/>
      <c r="D292" s="60"/>
    </row>
    <row r="293">
      <c r="C293" s="60"/>
      <c r="D293" s="60"/>
    </row>
    <row r="294">
      <c r="C294" s="60"/>
      <c r="D294" s="60"/>
    </row>
    <row r="295">
      <c r="C295" s="60"/>
      <c r="D295" s="60"/>
    </row>
    <row r="296">
      <c r="C296" s="60"/>
      <c r="D296" s="60"/>
    </row>
    <row r="297">
      <c r="C297" s="60"/>
      <c r="D297" s="60"/>
    </row>
    <row r="298">
      <c r="C298" s="60"/>
      <c r="D298" s="60"/>
    </row>
    <row r="299">
      <c r="C299" s="60"/>
      <c r="D299" s="60"/>
    </row>
    <row r="300">
      <c r="C300" s="60"/>
      <c r="D300" s="60"/>
    </row>
    <row r="301">
      <c r="C301" s="60"/>
      <c r="D301" s="60"/>
    </row>
    <row r="302">
      <c r="C302" s="60"/>
      <c r="D302" s="60"/>
    </row>
    <row r="303">
      <c r="C303" s="60"/>
      <c r="D303" s="60"/>
    </row>
    <row r="304">
      <c r="C304" s="60"/>
      <c r="D304" s="60"/>
    </row>
    <row r="305">
      <c r="C305" s="60"/>
      <c r="D305" s="60"/>
    </row>
    <row r="306">
      <c r="C306" s="60"/>
      <c r="D306" s="60"/>
    </row>
    <row r="307">
      <c r="C307" s="60"/>
      <c r="D307" s="60"/>
    </row>
    <row r="308">
      <c r="C308" s="60"/>
      <c r="D308" s="60"/>
    </row>
    <row r="309">
      <c r="C309" s="60"/>
      <c r="D309" s="60"/>
    </row>
    <row r="310">
      <c r="C310" s="60"/>
      <c r="D310" s="60"/>
    </row>
    <row r="311">
      <c r="C311" s="60"/>
      <c r="D311" s="60"/>
    </row>
    <row r="312">
      <c r="C312" s="60"/>
      <c r="D312" s="60"/>
    </row>
    <row r="313">
      <c r="C313" s="60"/>
      <c r="D313" s="60"/>
    </row>
    <row r="314">
      <c r="C314" s="60"/>
      <c r="D314" s="60"/>
    </row>
    <row r="315">
      <c r="C315" s="60"/>
      <c r="D315" s="60"/>
    </row>
    <row r="316">
      <c r="C316" s="60"/>
      <c r="D316" s="60"/>
    </row>
    <row r="317">
      <c r="C317" s="60"/>
      <c r="D317" s="60"/>
    </row>
    <row r="318">
      <c r="C318" s="60"/>
      <c r="D318" s="60"/>
    </row>
    <row r="319">
      <c r="C319" s="60"/>
      <c r="D319" s="60"/>
    </row>
    <row r="320">
      <c r="C320" s="60"/>
      <c r="D320" s="60"/>
    </row>
    <row r="321">
      <c r="C321" s="60"/>
      <c r="D321" s="60"/>
    </row>
    <row r="322">
      <c r="C322" s="60"/>
      <c r="D322" s="60"/>
    </row>
    <row r="323">
      <c r="C323" s="60"/>
      <c r="D323" s="60"/>
    </row>
    <row r="324">
      <c r="C324" s="60"/>
      <c r="D324" s="60"/>
    </row>
    <row r="325">
      <c r="C325" s="60"/>
      <c r="D325" s="60"/>
    </row>
    <row r="326">
      <c r="C326" s="60"/>
      <c r="D326" s="60"/>
    </row>
    <row r="327">
      <c r="C327" s="60"/>
      <c r="D327" s="60"/>
    </row>
    <row r="328">
      <c r="C328" s="60"/>
      <c r="D328" s="60"/>
    </row>
    <row r="329">
      <c r="C329" s="60"/>
      <c r="D329" s="60"/>
    </row>
    <row r="330">
      <c r="C330" s="60"/>
      <c r="D330" s="60"/>
    </row>
    <row r="331">
      <c r="C331" s="60"/>
      <c r="D331" s="60"/>
    </row>
    <row r="332">
      <c r="C332" s="60"/>
      <c r="D332" s="60"/>
    </row>
    <row r="333">
      <c r="C333" s="60"/>
      <c r="D333" s="60"/>
    </row>
    <row r="334">
      <c r="C334" s="60"/>
      <c r="D334" s="60"/>
    </row>
    <row r="335">
      <c r="C335" s="60"/>
      <c r="D335" s="60"/>
    </row>
    <row r="336">
      <c r="C336" s="60"/>
      <c r="D336" s="60"/>
    </row>
    <row r="337">
      <c r="C337" s="60"/>
      <c r="D337" s="60"/>
    </row>
    <row r="338">
      <c r="C338" s="60"/>
      <c r="D338" s="60"/>
    </row>
    <row r="339">
      <c r="C339" s="60"/>
      <c r="D339" s="60"/>
    </row>
    <row r="340">
      <c r="C340" s="60"/>
      <c r="D340" s="60"/>
    </row>
    <row r="341">
      <c r="C341" s="60"/>
      <c r="D341" s="60"/>
    </row>
    <row r="342">
      <c r="C342" s="60"/>
      <c r="D342" s="60"/>
    </row>
    <row r="343">
      <c r="C343" s="60"/>
      <c r="D343" s="60"/>
    </row>
    <row r="344">
      <c r="C344" s="60"/>
      <c r="D344" s="60"/>
    </row>
    <row r="345">
      <c r="C345" s="60"/>
      <c r="D345" s="60"/>
    </row>
    <row r="346">
      <c r="C346" s="60"/>
      <c r="D346" s="60"/>
    </row>
    <row r="347">
      <c r="C347" s="60"/>
      <c r="D347" s="60"/>
    </row>
    <row r="348">
      <c r="C348" s="60"/>
      <c r="D348" s="60"/>
    </row>
    <row r="349">
      <c r="C349" s="60"/>
      <c r="D349" s="60"/>
    </row>
    <row r="350">
      <c r="C350" s="60"/>
      <c r="D350" s="60"/>
    </row>
    <row r="351">
      <c r="C351" s="60"/>
      <c r="D351" s="60"/>
    </row>
    <row r="352">
      <c r="C352" s="60"/>
      <c r="D352" s="60"/>
    </row>
    <row r="353">
      <c r="C353" s="60"/>
      <c r="D353" s="60"/>
    </row>
    <row r="354">
      <c r="C354" s="60"/>
      <c r="D354" s="60"/>
    </row>
    <row r="355">
      <c r="C355" s="60"/>
      <c r="D355" s="60"/>
    </row>
    <row r="356">
      <c r="C356" s="60"/>
      <c r="D356" s="60"/>
    </row>
    <row r="357">
      <c r="C357" s="60"/>
      <c r="D357" s="60"/>
    </row>
    <row r="358">
      <c r="C358" s="60"/>
      <c r="D358" s="60"/>
    </row>
    <row r="359">
      <c r="C359" s="60"/>
      <c r="D359" s="60"/>
    </row>
    <row r="360">
      <c r="C360" s="60"/>
      <c r="D360" s="60"/>
    </row>
    <row r="361">
      <c r="C361" s="60"/>
      <c r="D361" s="60"/>
    </row>
    <row r="362">
      <c r="C362" s="60"/>
      <c r="D362" s="60"/>
    </row>
    <row r="363">
      <c r="C363" s="60"/>
      <c r="D363" s="60"/>
    </row>
    <row r="364">
      <c r="C364" s="60"/>
      <c r="D364" s="60"/>
    </row>
    <row r="365">
      <c r="C365" s="60"/>
      <c r="D365" s="60"/>
    </row>
    <row r="366">
      <c r="C366" s="60"/>
      <c r="D366" s="60"/>
    </row>
    <row r="367">
      <c r="C367" s="60"/>
      <c r="D367" s="60"/>
    </row>
    <row r="368">
      <c r="C368" s="60"/>
      <c r="D368" s="60"/>
    </row>
    <row r="369">
      <c r="C369" s="60"/>
      <c r="D369" s="60"/>
    </row>
    <row r="370">
      <c r="C370" s="60"/>
      <c r="D370" s="60"/>
    </row>
    <row r="371">
      <c r="C371" s="60"/>
      <c r="D371" s="60"/>
    </row>
    <row r="372">
      <c r="C372" s="60"/>
      <c r="D372" s="60"/>
    </row>
    <row r="373">
      <c r="C373" s="60"/>
      <c r="D373" s="60"/>
    </row>
    <row r="374">
      <c r="C374" s="60"/>
      <c r="D374" s="60"/>
    </row>
    <row r="375">
      <c r="C375" s="60"/>
      <c r="D375" s="60"/>
    </row>
    <row r="376">
      <c r="C376" s="60"/>
      <c r="D376" s="60"/>
    </row>
    <row r="377">
      <c r="C377" s="60"/>
      <c r="D377" s="60"/>
    </row>
    <row r="378">
      <c r="C378" s="60"/>
      <c r="D378" s="60"/>
    </row>
    <row r="379">
      <c r="C379" s="60"/>
      <c r="D379" s="60"/>
    </row>
    <row r="380">
      <c r="C380" s="60"/>
      <c r="D380" s="60"/>
    </row>
    <row r="381">
      <c r="C381" s="60"/>
      <c r="D381" s="60"/>
    </row>
    <row r="382">
      <c r="C382" s="60"/>
      <c r="D382" s="60"/>
    </row>
    <row r="383">
      <c r="C383" s="60"/>
      <c r="D383" s="60"/>
    </row>
    <row r="384">
      <c r="C384" s="60"/>
      <c r="D384" s="60"/>
    </row>
    <row r="385">
      <c r="C385" s="60"/>
      <c r="D385" s="60"/>
    </row>
    <row r="386">
      <c r="C386" s="60"/>
      <c r="D386" s="60"/>
    </row>
    <row r="387">
      <c r="C387" s="60"/>
      <c r="D387" s="60"/>
    </row>
    <row r="388">
      <c r="C388" s="60"/>
      <c r="D388" s="60"/>
    </row>
    <row r="389">
      <c r="C389" s="60"/>
      <c r="D389" s="60"/>
    </row>
    <row r="390">
      <c r="C390" s="60"/>
      <c r="D390" s="60"/>
    </row>
    <row r="391">
      <c r="C391" s="60"/>
      <c r="D391" s="60"/>
    </row>
    <row r="392">
      <c r="C392" s="60"/>
      <c r="D392" s="60"/>
    </row>
    <row r="393">
      <c r="C393" s="60"/>
      <c r="D393" s="60"/>
    </row>
    <row r="394">
      <c r="C394" s="60"/>
      <c r="D394" s="60"/>
    </row>
    <row r="395">
      <c r="C395" s="60"/>
      <c r="D395" s="60"/>
    </row>
    <row r="396">
      <c r="C396" s="60"/>
      <c r="D396" s="60"/>
    </row>
    <row r="397">
      <c r="C397" s="60"/>
      <c r="D397" s="60"/>
    </row>
    <row r="398">
      <c r="C398" s="60"/>
      <c r="D398" s="60"/>
    </row>
    <row r="399">
      <c r="C399" s="60"/>
      <c r="D399" s="60"/>
    </row>
    <row r="400">
      <c r="C400" s="60"/>
      <c r="D400" s="60"/>
    </row>
    <row r="401">
      <c r="C401" s="60"/>
      <c r="D401" s="60"/>
    </row>
    <row r="402">
      <c r="C402" s="60"/>
      <c r="D402" s="60"/>
    </row>
    <row r="403">
      <c r="C403" s="60"/>
      <c r="D403" s="60"/>
    </row>
    <row r="404">
      <c r="C404" s="60"/>
      <c r="D404" s="60"/>
    </row>
    <row r="405">
      <c r="C405" s="60"/>
      <c r="D405" s="60"/>
    </row>
    <row r="406">
      <c r="C406" s="60"/>
      <c r="D406" s="60"/>
    </row>
    <row r="407">
      <c r="C407" s="60"/>
      <c r="D407" s="60"/>
    </row>
    <row r="408">
      <c r="C408" s="60"/>
      <c r="D408" s="60"/>
    </row>
    <row r="409">
      <c r="C409" s="60"/>
      <c r="D409" s="60"/>
    </row>
    <row r="410">
      <c r="C410" s="60"/>
      <c r="D410" s="60"/>
    </row>
    <row r="411">
      <c r="C411" s="60"/>
      <c r="D411" s="60"/>
    </row>
    <row r="412">
      <c r="C412" s="60"/>
      <c r="D412" s="60"/>
    </row>
    <row r="413">
      <c r="C413" s="60"/>
      <c r="D413" s="60"/>
    </row>
    <row r="414">
      <c r="C414" s="60"/>
      <c r="D414" s="60"/>
    </row>
    <row r="415">
      <c r="C415" s="60"/>
      <c r="D415" s="60"/>
    </row>
    <row r="416">
      <c r="C416" s="60"/>
      <c r="D416" s="60"/>
    </row>
    <row r="417">
      <c r="C417" s="60"/>
      <c r="D417" s="60"/>
    </row>
    <row r="418">
      <c r="C418" s="60"/>
      <c r="D418" s="60"/>
    </row>
    <row r="419">
      <c r="C419" s="60"/>
      <c r="D419" s="60"/>
    </row>
    <row r="420">
      <c r="C420" s="60"/>
      <c r="D420" s="60"/>
    </row>
    <row r="421">
      <c r="C421" s="60"/>
      <c r="D421" s="60"/>
    </row>
    <row r="422">
      <c r="C422" s="60"/>
      <c r="D422" s="60"/>
    </row>
    <row r="423">
      <c r="C423" s="60"/>
      <c r="D423" s="60"/>
    </row>
    <row r="424">
      <c r="C424" s="60"/>
      <c r="D424" s="60"/>
    </row>
    <row r="425">
      <c r="C425" s="60"/>
      <c r="D425" s="60"/>
    </row>
    <row r="426">
      <c r="C426" s="60"/>
      <c r="D426" s="60"/>
    </row>
    <row r="427">
      <c r="C427" s="60"/>
      <c r="D427" s="60"/>
    </row>
    <row r="428">
      <c r="C428" s="60"/>
      <c r="D428" s="60"/>
    </row>
    <row r="429">
      <c r="C429" s="60"/>
      <c r="D429" s="60"/>
    </row>
    <row r="430">
      <c r="C430" s="60"/>
      <c r="D430" s="60"/>
    </row>
    <row r="431">
      <c r="C431" s="60"/>
      <c r="D431" s="60"/>
    </row>
    <row r="432">
      <c r="C432" s="60"/>
      <c r="D432" s="60"/>
    </row>
    <row r="433">
      <c r="C433" s="60"/>
      <c r="D433" s="60"/>
    </row>
    <row r="434">
      <c r="C434" s="60"/>
      <c r="D434" s="60"/>
    </row>
    <row r="435">
      <c r="C435" s="60"/>
      <c r="D435" s="60"/>
    </row>
    <row r="436">
      <c r="C436" s="60"/>
      <c r="D436" s="60"/>
    </row>
    <row r="437">
      <c r="C437" s="60"/>
      <c r="D437" s="60"/>
    </row>
    <row r="438">
      <c r="C438" s="60"/>
      <c r="D438" s="60"/>
    </row>
    <row r="439">
      <c r="C439" s="60"/>
      <c r="D439" s="60"/>
    </row>
    <row r="440">
      <c r="C440" s="60"/>
      <c r="D440" s="60"/>
    </row>
    <row r="441">
      <c r="C441" s="60"/>
      <c r="D441" s="60"/>
    </row>
    <row r="442">
      <c r="C442" s="60"/>
      <c r="D442" s="60"/>
    </row>
    <row r="443">
      <c r="C443" s="60"/>
      <c r="D443" s="60"/>
    </row>
    <row r="444">
      <c r="C444" s="60"/>
      <c r="D444" s="60"/>
    </row>
    <row r="445">
      <c r="C445" s="60"/>
      <c r="D445" s="60"/>
    </row>
    <row r="446">
      <c r="C446" s="60"/>
      <c r="D446" s="60"/>
    </row>
    <row r="447">
      <c r="C447" s="60"/>
      <c r="D447" s="60"/>
    </row>
    <row r="448">
      <c r="C448" s="60"/>
      <c r="D448" s="60"/>
    </row>
    <row r="449">
      <c r="C449" s="60"/>
      <c r="D449" s="60"/>
    </row>
    <row r="450">
      <c r="C450" s="60"/>
      <c r="D450" s="60"/>
    </row>
    <row r="451">
      <c r="C451" s="60"/>
      <c r="D451" s="60"/>
    </row>
    <row r="452">
      <c r="C452" s="60"/>
      <c r="D452" s="60"/>
    </row>
    <row r="453">
      <c r="C453" s="60"/>
      <c r="D453" s="60"/>
    </row>
    <row r="454">
      <c r="C454" s="60"/>
      <c r="D454" s="60"/>
    </row>
    <row r="455">
      <c r="C455" s="60"/>
      <c r="D455" s="60"/>
    </row>
    <row r="456">
      <c r="C456" s="60"/>
      <c r="D456" s="60"/>
    </row>
    <row r="457">
      <c r="C457" s="60"/>
      <c r="D457" s="60"/>
    </row>
    <row r="458">
      <c r="C458" s="60"/>
      <c r="D458" s="60"/>
    </row>
    <row r="459">
      <c r="C459" s="60"/>
      <c r="D459" s="60"/>
    </row>
    <row r="460">
      <c r="C460" s="60"/>
      <c r="D460" s="60"/>
    </row>
    <row r="461">
      <c r="C461" s="60"/>
      <c r="D461" s="60"/>
    </row>
    <row r="462">
      <c r="C462" s="60"/>
      <c r="D462" s="60"/>
    </row>
    <row r="463">
      <c r="C463" s="60"/>
      <c r="D463" s="60"/>
    </row>
    <row r="464">
      <c r="C464" s="60"/>
      <c r="D464" s="60"/>
    </row>
    <row r="465">
      <c r="C465" s="60"/>
      <c r="D465" s="60"/>
    </row>
    <row r="466">
      <c r="C466" s="60"/>
      <c r="D466" s="60"/>
    </row>
    <row r="467">
      <c r="C467" s="60"/>
      <c r="D467" s="60"/>
    </row>
    <row r="468">
      <c r="C468" s="60"/>
      <c r="D468" s="60"/>
    </row>
    <row r="469">
      <c r="C469" s="60"/>
      <c r="D469" s="60"/>
    </row>
    <row r="470">
      <c r="C470" s="60"/>
      <c r="D470" s="60"/>
    </row>
    <row r="471">
      <c r="C471" s="60"/>
      <c r="D471" s="60"/>
    </row>
    <row r="472">
      <c r="C472" s="60"/>
      <c r="D472" s="60"/>
    </row>
    <row r="473">
      <c r="C473" s="60"/>
      <c r="D473" s="60"/>
    </row>
    <row r="474">
      <c r="C474" s="60"/>
      <c r="D474" s="60"/>
    </row>
    <row r="475">
      <c r="C475" s="60"/>
      <c r="D475" s="60"/>
    </row>
    <row r="476">
      <c r="C476" s="60"/>
      <c r="D476" s="60"/>
    </row>
    <row r="477">
      <c r="C477" s="60"/>
      <c r="D477" s="60"/>
    </row>
    <row r="478">
      <c r="C478" s="60"/>
      <c r="D478" s="60"/>
    </row>
    <row r="479">
      <c r="C479" s="60"/>
      <c r="D479" s="60"/>
    </row>
    <row r="480">
      <c r="C480" s="60"/>
      <c r="D480" s="60"/>
    </row>
    <row r="481">
      <c r="C481" s="60"/>
      <c r="D481" s="60"/>
    </row>
    <row r="482">
      <c r="C482" s="60"/>
      <c r="D482" s="60"/>
    </row>
    <row r="483">
      <c r="C483" s="60"/>
      <c r="D483" s="60"/>
    </row>
    <row r="484">
      <c r="C484" s="60"/>
      <c r="D484" s="60"/>
    </row>
    <row r="485">
      <c r="C485" s="60"/>
      <c r="D485" s="60"/>
    </row>
    <row r="486">
      <c r="C486" s="60"/>
      <c r="D486" s="60"/>
    </row>
    <row r="487">
      <c r="C487" s="60"/>
      <c r="D487" s="60"/>
    </row>
    <row r="488">
      <c r="C488" s="60"/>
      <c r="D488" s="60"/>
    </row>
    <row r="489">
      <c r="C489" s="60"/>
      <c r="D489" s="60"/>
    </row>
    <row r="490">
      <c r="C490" s="60"/>
      <c r="D490" s="60"/>
    </row>
    <row r="491">
      <c r="C491" s="60"/>
      <c r="D491" s="60"/>
    </row>
    <row r="492">
      <c r="C492" s="60"/>
      <c r="D492" s="60"/>
    </row>
    <row r="493">
      <c r="C493" s="60"/>
      <c r="D493" s="60"/>
    </row>
    <row r="494">
      <c r="C494" s="60"/>
      <c r="D494" s="60"/>
    </row>
    <row r="495">
      <c r="C495" s="60"/>
      <c r="D495" s="60"/>
    </row>
    <row r="496">
      <c r="C496" s="60"/>
      <c r="D496" s="60"/>
    </row>
    <row r="497">
      <c r="C497" s="60"/>
      <c r="D497" s="60"/>
    </row>
    <row r="498">
      <c r="C498" s="60"/>
      <c r="D498" s="60"/>
    </row>
    <row r="499">
      <c r="C499" s="60"/>
      <c r="D499" s="60"/>
    </row>
    <row r="500">
      <c r="C500" s="60"/>
      <c r="D500" s="60"/>
    </row>
    <row r="501">
      <c r="C501" s="60"/>
      <c r="D501" s="60"/>
    </row>
    <row r="502">
      <c r="C502" s="60"/>
      <c r="D502" s="60"/>
    </row>
    <row r="503">
      <c r="C503" s="60"/>
      <c r="D503" s="60"/>
    </row>
    <row r="504">
      <c r="C504" s="60"/>
      <c r="D504" s="60"/>
    </row>
    <row r="505">
      <c r="C505" s="60"/>
      <c r="D505" s="60"/>
    </row>
    <row r="506">
      <c r="C506" s="60"/>
      <c r="D506" s="60"/>
    </row>
    <row r="507">
      <c r="C507" s="60"/>
      <c r="D507" s="60"/>
    </row>
    <row r="508">
      <c r="C508" s="60"/>
      <c r="D508" s="60"/>
    </row>
    <row r="509">
      <c r="C509" s="60"/>
      <c r="D509" s="60"/>
    </row>
    <row r="510">
      <c r="C510" s="60"/>
      <c r="D510" s="60"/>
    </row>
    <row r="511">
      <c r="C511" s="60"/>
      <c r="D511" s="60"/>
    </row>
    <row r="512">
      <c r="C512" s="60"/>
      <c r="D512" s="60"/>
    </row>
    <row r="513">
      <c r="C513" s="60"/>
      <c r="D513" s="60"/>
    </row>
    <row r="514">
      <c r="C514" s="60"/>
      <c r="D514" s="60"/>
    </row>
    <row r="515">
      <c r="C515" s="60"/>
      <c r="D515" s="60"/>
    </row>
    <row r="516">
      <c r="C516" s="60"/>
      <c r="D516" s="60"/>
    </row>
    <row r="517">
      <c r="C517" s="60"/>
      <c r="D517" s="60"/>
    </row>
    <row r="518">
      <c r="C518" s="60"/>
      <c r="D518" s="60"/>
    </row>
    <row r="519">
      <c r="C519" s="60"/>
      <c r="D519" s="60"/>
    </row>
    <row r="520">
      <c r="C520" s="60"/>
      <c r="D520" s="60"/>
    </row>
    <row r="521">
      <c r="C521" s="60"/>
      <c r="D521" s="60"/>
    </row>
    <row r="522">
      <c r="C522" s="60"/>
      <c r="D522" s="60"/>
    </row>
    <row r="523">
      <c r="C523" s="60"/>
      <c r="D523" s="60"/>
    </row>
    <row r="524">
      <c r="C524" s="60"/>
      <c r="D524" s="60"/>
    </row>
    <row r="525">
      <c r="C525" s="60"/>
      <c r="D525" s="60"/>
    </row>
    <row r="526">
      <c r="C526" s="60"/>
      <c r="D526" s="60"/>
    </row>
    <row r="527">
      <c r="C527" s="60"/>
      <c r="D527" s="60"/>
    </row>
    <row r="528">
      <c r="C528" s="60"/>
      <c r="D528" s="60"/>
    </row>
    <row r="529">
      <c r="C529" s="60"/>
      <c r="D529" s="60"/>
    </row>
    <row r="530">
      <c r="C530" s="60"/>
      <c r="D530" s="60"/>
    </row>
    <row r="531">
      <c r="C531" s="60"/>
      <c r="D531" s="60"/>
    </row>
    <row r="532">
      <c r="C532" s="60"/>
      <c r="D532" s="60"/>
    </row>
    <row r="533">
      <c r="C533" s="60"/>
      <c r="D533" s="60"/>
    </row>
    <row r="534">
      <c r="C534" s="60"/>
      <c r="D534" s="60"/>
    </row>
    <row r="535">
      <c r="C535" s="60"/>
      <c r="D535" s="60"/>
    </row>
    <row r="536">
      <c r="C536" s="60"/>
      <c r="D536" s="60"/>
    </row>
    <row r="537">
      <c r="C537" s="60"/>
      <c r="D537" s="60"/>
    </row>
    <row r="538">
      <c r="C538" s="60"/>
      <c r="D538" s="60"/>
    </row>
    <row r="539">
      <c r="C539" s="60"/>
      <c r="D539" s="60"/>
    </row>
    <row r="540">
      <c r="C540" s="60"/>
      <c r="D540" s="60"/>
    </row>
    <row r="541">
      <c r="C541" s="60"/>
      <c r="D541" s="60"/>
    </row>
    <row r="542">
      <c r="C542" s="60"/>
      <c r="D542" s="60"/>
    </row>
    <row r="543">
      <c r="C543" s="60"/>
      <c r="D543" s="60"/>
    </row>
    <row r="544">
      <c r="C544" s="60"/>
      <c r="D544" s="60"/>
    </row>
    <row r="545">
      <c r="C545" s="60"/>
      <c r="D545" s="60"/>
    </row>
    <row r="546">
      <c r="C546" s="60"/>
      <c r="D546" s="60"/>
    </row>
    <row r="547">
      <c r="C547" s="60"/>
      <c r="D547" s="60"/>
    </row>
    <row r="548">
      <c r="C548" s="60"/>
      <c r="D548" s="60"/>
    </row>
    <row r="549">
      <c r="C549" s="60"/>
      <c r="D549" s="60"/>
    </row>
    <row r="550">
      <c r="C550" s="60"/>
      <c r="D550" s="60"/>
    </row>
    <row r="551">
      <c r="C551" s="60"/>
      <c r="D551" s="60"/>
    </row>
    <row r="552">
      <c r="C552" s="60"/>
      <c r="D552" s="60"/>
    </row>
    <row r="553">
      <c r="C553" s="60"/>
      <c r="D553" s="60"/>
    </row>
    <row r="554">
      <c r="C554" s="60"/>
      <c r="D554" s="60"/>
    </row>
    <row r="555">
      <c r="C555" s="60"/>
      <c r="D555" s="60"/>
    </row>
    <row r="556">
      <c r="C556" s="60"/>
      <c r="D556" s="60"/>
    </row>
    <row r="557">
      <c r="C557" s="60"/>
      <c r="D557" s="60"/>
    </row>
    <row r="558">
      <c r="C558" s="60"/>
      <c r="D558" s="60"/>
    </row>
    <row r="559">
      <c r="C559" s="60"/>
      <c r="D559" s="60"/>
    </row>
    <row r="560">
      <c r="C560" s="60"/>
      <c r="D560" s="60"/>
    </row>
    <row r="561">
      <c r="C561" s="60"/>
      <c r="D561" s="60"/>
    </row>
    <row r="562">
      <c r="C562" s="60"/>
      <c r="D562" s="60"/>
    </row>
    <row r="563">
      <c r="C563" s="60"/>
      <c r="D563" s="60"/>
    </row>
    <row r="564">
      <c r="C564" s="60"/>
      <c r="D564" s="60"/>
    </row>
    <row r="565">
      <c r="C565" s="60"/>
      <c r="D565" s="60"/>
    </row>
    <row r="566">
      <c r="C566" s="60"/>
      <c r="D566" s="60"/>
    </row>
    <row r="567">
      <c r="C567" s="60"/>
      <c r="D567" s="60"/>
    </row>
    <row r="568">
      <c r="C568" s="60"/>
      <c r="D568" s="60"/>
    </row>
    <row r="569">
      <c r="C569" s="60"/>
      <c r="D569" s="60"/>
    </row>
    <row r="570">
      <c r="C570" s="60"/>
      <c r="D570" s="60"/>
    </row>
    <row r="571">
      <c r="C571" s="60"/>
      <c r="D571" s="60"/>
    </row>
    <row r="572">
      <c r="C572" s="60"/>
      <c r="D572" s="60"/>
    </row>
    <row r="573">
      <c r="C573" s="60"/>
      <c r="D573" s="60"/>
    </row>
    <row r="574">
      <c r="C574" s="60"/>
      <c r="D574" s="60"/>
    </row>
    <row r="575">
      <c r="C575" s="60"/>
      <c r="D575" s="60"/>
    </row>
    <row r="576">
      <c r="C576" s="60"/>
      <c r="D576" s="60"/>
    </row>
    <row r="577">
      <c r="C577" s="60"/>
      <c r="D577" s="60"/>
    </row>
    <row r="578">
      <c r="C578" s="60"/>
      <c r="D578" s="60"/>
    </row>
    <row r="579">
      <c r="C579" s="60"/>
      <c r="D579" s="60"/>
    </row>
    <row r="580">
      <c r="C580" s="60"/>
      <c r="D580" s="60"/>
    </row>
    <row r="581">
      <c r="C581" s="60"/>
      <c r="D581" s="60"/>
    </row>
    <row r="582">
      <c r="C582" s="60"/>
      <c r="D582" s="60"/>
    </row>
    <row r="583">
      <c r="C583" s="60"/>
      <c r="D583" s="60"/>
    </row>
    <row r="584">
      <c r="C584" s="60"/>
      <c r="D584" s="60"/>
    </row>
    <row r="585">
      <c r="C585" s="60"/>
      <c r="D585" s="60"/>
    </row>
    <row r="586">
      <c r="C586" s="60"/>
      <c r="D586" s="60"/>
    </row>
    <row r="587">
      <c r="C587" s="60"/>
      <c r="D587" s="60"/>
    </row>
    <row r="588">
      <c r="C588" s="60"/>
      <c r="D588" s="60"/>
    </row>
    <row r="589">
      <c r="C589" s="60"/>
      <c r="D589" s="60"/>
    </row>
    <row r="590">
      <c r="C590" s="60"/>
      <c r="D590" s="60"/>
    </row>
    <row r="591">
      <c r="C591" s="60"/>
      <c r="D591" s="60"/>
    </row>
    <row r="592">
      <c r="C592" s="60"/>
      <c r="D592" s="60"/>
    </row>
    <row r="593">
      <c r="C593" s="60"/>
      <c r="D593" s="60"/>
    </row>
    <row r="594">
      <c r="C594" s="60"/>
      <c r="D594" s="60"/>
    </row>
    <row r="595">
      <c r="C595" s="60"/>
      <c r="D595" s="60"/>
    </row>
    <row r="596">
      <c r="C596" s="60"/>
      <c r="D596" s="60"/>
    </row>
    <row r="597">
      <c r="C597" s="60"/>
      <c r="D597" s="60"/>
    </row>
    <row r="598">
      <c r="C598" s="60"/>
      <c r="D598" s="60"/>
    </row>
    <row r="599">
      <c r="C599" s="60"/>
      <c r="D599" s="60"/>
    </row>
    <row r="600">
      <c r="C600" s="60"/>
      <c r="D600" s="60"/>
    </row>
    <row r="601">
      <c r="C601" s="60"/>
      <c r="D601" s="60"/>
    </row>
    <row r="602">
      <c r="C602" s="60"/>
      <c r="D602" s="60"/>
    </row>
    <row r="603">
      <c r="C603" s="60"/>
      <c r="D603" s="60"/>
    </row>
    <row r="604">
      <c r="C604" s="60"/>
      <c r="D604" s="60"/>
    </row>
    <row r="605">
      <c r="C605" s="60"/>
      <c r="D605" s="60"/>
    </row>
    <row r="606">
      <c r="C606" s="60"/>
      <c r="D606" s="60"/>
    </row>
    <row r="607">
      <c r="C607" s="60"/>
      <c r="D607" s="60"/>
    </row>
    <row r="608">
      <c r="C608" s="60"/>
      <c r="D608" s="60"/>
    </row>
    <row r="609">
      <c r="C609" s="60"/>
      <c r="D609" s="60"/>
    </row>
    <row r="610">
      <c r="C610" s="60"/>
      <c r="D610" s="60"/>
    </row>
    <row r="611">
      <c r="C611" s="60"/>
      <c r="D611" s="60"/>
    </row>
    <row r="612">
      <c r="C612" s="60"/>
      <c r="D612" s="60"/>
    </row>
    <row r="613">
      <c r="C613" s="60"/>
      <c r="D613" s="60"/>
    </row>
    <row r="614">
      <c r="C614" s="60"/>
      <c r="D614" s="60"/>
    </row>
    <row r="615">
      <c r="C615" s="60"/>
      <c r="D615" s="60"/>
    </row>
    <row r="616">
      <c r="C616" s="60"/>
      <c r="D616" s="60"/>
    </row>
    <row r="617">
      <c r="C617" s="60"/>
      <c r="D617" s="60"/>
    </row>
    <row r="618">
      <c r="C618" s="60"/>
      <c r="D618" s="60"/>
    </row>
    <row r="619">
      <c r="C619" s="60"/>
      <c r="D619" s="60"/>
    </row>
    <row r="620">
      <c r="C620" s="60"/>
      <c r="D620" s="60"/>
    </row>
    <row r="621">
      <c r="C621" s="60"/>
      <c r="D621" s="60"/>
    </row>
    <row r="622">
      <c r="C622" s="60"/>
      <c r="D622" s="60"/>
    </row>
    <row r="623">
      <c r="C623" s="60"/>
      <c r="D623" s="60"/>
    </row>
    <row r="624">
      <c r="C624" s="60"/>
      <c r="D624" s="60"/>
    </row>
    <row r="625">
      <c r="C625" s="60"/>
      <c r="D625" s="60"/>
    </row>
    <row r="626">
      <c r="C626" s="60"/>
      <c r="D626" s="60"/>
    </row>
    <row r="627">
      <c r="C627" s="60"/>
      <c r="D627" s="60"/>
    </row>
    <row r="628">
      <c r="C628" s="60"/>
      <c r="D628" s="60"/>
    </row>
    <row r="629">
      <c r="C629" s="60"/>
      <c r="D629" s="60"/>
    </row>
    <row r="630">
      <c r="C630" s="60"/>
      <c r="D630" s="60"/>
    </row>
    <row r="631">
      <c r="C631" s="60"/>
      <c r="D631" s="60"/>
    </row>
    <row r="632">
      <c r="C632" s="60"/>
      <c r="D632" s="60"/>
    </row>
    <row r="633">
      <c r="C633" s="60"/>
      <c r="D633" s="60"/>
    </row>
    <row r="634">
      <c r="C634" s="60"/>
      <c r="D634" s="60"/>
    </row>
    <row r="635">
      <c r="C635" s="60"/>
      <c r="D635" s="60"/>
    </row>
    <row r="636">
      <c r="C636" s="60"/>
      <c r="D636" s="60"/>
    </row>
    <row r="637">
      <c r="C637" s="60"/>
      <c r="D637" s="60"/>
    </row>
    <row r="638">
      <c r="C638" s="60"/>
      <c r="D638" s="60"/>
    </row>
    <row r="639">
      <c r="C639" s="60"/>
      <c r="D639" s="60"/>
    </row>
    <row r="640">
      <c r="C640" s="60"/>
      <c r="D640" s="60"/>
    </row>
    <row r="641">
      <c r="C641" s="60"/>
      <c r="D641" s="60"/>
    </row>
    <row r="642">
      <c r="C642" s="60"/>
      <c r="D642" s="60"/>
    </row>
    <row r="643">
      <c r="C643" s="60"/>
      <c r="D643" s="60"/>
    </row>
    <row r="644">
      <c r="C644" s="60"/>
      <c r="D644" s="60"/>
    </row>
    <row r="645">
      <c r="C645" s="60"/>
      <c r="D645" s="60"/>
    </row>
    <row r="646">
      <c r="C646" s="60"/>
      <c r="D646" s="60"/>
    </row>
    <row r="647">
      <c r="C647" s="60"/>
      <c r="D647" s="60"/>
    </row>
    <row r="648">
      <c r="C648" s="60"/>
      <c r="D648" s="60"/>
    </row>
    <row r="649">
      <c r="C649" s="60"/>
      <c r="D649" s="60"/>
    </row>
    <row r="650">
      <c r="C650" s="60"/>
      <c r="D650" s="60"/>
    </row>
    <row r="651">
      <c r="C651" s="60"/>
      <c r="D651" s="60"/>
    </row>
    <row r="652">
      <c r="C652" s="60"/>
      <c r="D652" s="60"/>
    </row>
    <row r="653">
      <c r="C653" s="60"/>
      <c r="D653" s="60"/>
    </row>
    <row r="654">
      <c r="C654" s="60"/>
      <c r="D654" s="60"/>
    </row>
    <row r="655">
      <c r="C655" s="60"/>
      <c r="D655" s="60"/>
    </row>
    <row r="656">
      <c r="C656" s="60"/>
      <c r="D656" s="60"/>
    </row>
    <row r="657">
      <c r="C657" s="60"/>
      <c r="D657" s="60"/>
    </row>
    <row r="658">
      <c r="C658" s="60"/>
      <c r="D658" s="60"/>
    </row>
    <row r="659">
      <c r="C659" s="60"/>
      <c r="D659" s="60"/>
    </row>
    <row r="660">
      <c r="C660" s="60"/>
      <c r="D660" s="60"/>
    </row>
    <row r="661">
      <c r="C661" s="60"/>
      <c r="D661" s="60"/>
    </row>
    <row r="662">
      <c r="C662" s="60"/>
      <c r="D662" s="60"/>
    </row>
    <row r="663">
      <c r="C663" s="60"/>
      <c r="D663" s="60"/>
    </row>
    <row r="664">
      <c r="C664" s="60"/>
      <c r="D664" s="60"/>
    </row>
    <row r="665">
      <c r="C665" s="60"/>
      <c r="D665" s="60"/>
    </row>
    <row r="666">
      <c r="C666" s="60"/>
      <c r="D666" s="60"/>
    </row>
    <row r="667">
      <c r="C667" s="60"/>
      <c r="D667" s="60"/>
    </row>
    <row r="668">
      <c r="C668" s="60"/>
      <c r="D668" s="60"/>
    </row>
    <row r="669">
      <c r="C669" s="60"/>
      <c r="D669" s="60"/>
    </row>
    <row r="670">
      <c r="C670" s="60"/>
      <c r="D670" s="60"/>
    </row>
    <row r="671">
      <c r="C671" s="60"/>
      <c r="D671" s="60"/>
    </row>
    <row r="672">
      <c r="C672" s="60"/>
      <c r="D672" s="60"/>
    </row>
    <row r="673">
      <c r="C673" s="60"/>
      <c r="D673" s="60"/>
    </row>
    <row r="674">
      <c r="C674" s="60"/>
      <c r="D674" s="60"/>
    </row>
    <row r="675">
      <c r="C675" s="60"/>
      <c r="D675" s="60"/>
    </row>
    <row r="676">
      <c r="C676" s="60"/>
      <c r="D676" s="60"/>
    </row>
    <row r="677">
      <c r="C677" s="60"/>
      <c r="D677" s="60"/>
    </row>
    <row r="678">
      <c r="C678" s="60"/>
      <c r="D678" s="60"/>
    </row>
    <row r="679">
      <c r="C679" s="60"/>
      <c r="D679" s="60"/>
    </row>
    <row r="680">
      <c r="C680" s="60"/>
      <c r="D680" s="60"/>
    </row>
    <row r="681">
      <c r="C681" s="60"/>
      <c r="D681" s="60"/>
    </row>
    <row r="682">
      <c r="C682" s="60"/>
      <c r="D682" s="60"/>
    </row>
    <row r="683">
      <c r="C683" s="60"/>
      <c r="D683" s="60"/>
    </row>
    <row r="684">
      <c r="C684" s="60"/>
      <c r="D684" s="60"/>
    </row>
    <row r="685">
      <c r="C685" s="60"/>
      <c r="D685" s="60"/>
    </row>
    <row r="686">
      <c r="C686" s="60"/>
      <c r="D686" s="60"/>
    </row>
    <row r="687">
      <c r="C687" s="60"/>
      <c r="D687" s="60"/>
    </row>
    <row r="688">
      <c r="C688" s="60"/>
      <c r="D688" s="60"/>
    </row>
    <row r="689">
      <c r="C689" s="60"/>
      <c r="D689" s="60"/>
    </row>
    <row r="690">
      <c r="C690" s="60"/>
      <c r="D690" s="60"/>
    </row>
    <row r="691">
      <c r="C691" s="60"/>
      <c r="D691" s="60"/>
    </row>
    <row r="692">
      <c r="C692" s="60"/>
      <c r="D692" s="60"/>
    </row>
    <row r="693">
      <c r="C693" s="60"/>
      <c r="D693" s="60"/>
    </row>
    <row r="694">
      <c r="C694" s="60"/>
      <c r="D694" s="60"/>
    </row>
    <row r="695">
      <c r="C695" s="60"/>
      <c r="D695" s="60"/>
    </row>
    <row r="696">
      <c r="C696" s="60"/>
      <c r="D696" s="60"/>
    </row>
    <row r="697">
      <c r="C697" s="60"/>
      <c r="D697" s="60"/>
    </row>
    <row r="698">
      <c r="C698" s="60"/>
      <c r="D698" s="60"/>
    </row>
    <row r="699">
      <c r="C699" s="60"/>
      <c r="D699" s="60"/>
    </row>
    <row r="700">
      <c r="C700" s="60"/>
      <c r="D700" s="60"/>
    </row>
    <row r="701">
      <c r="C701" s="60"/>
      <c r="D701" s="60"/>
    </row>
    <row r="702">
      <c r="C702" s="60"/>
      <c r="D702" s="60"/>
    </row>
    <row r="703">
      <c r="C703" s="60"/>
      <c r="D703" s="60"/>
    </row>
    <row r="704">
      <c r="C704" s="60"/>
      <c r="D704" s="60"/>
    </row>
    <row r="705">
      <c r="C705" s="60"/>
      <c r="D705" s="60"/>
    </row>
    <row r="706">
      <c r="C706" s="60"/>
      <c r="D706" s="60"/>
    </row>
    <row r="707">
      <c r="C707" s="60"/>
      <c r="D707" s="60"/>
    </row>
    <row r="708">
      <c r="C708" s="60"/>
      <c r="D708" s="60"/>
    </row>
    <row r="709">
      <c r="C709" s="60"/>
      <c r="D709" s="60"/>
    </row>
    <row r="710">
      <c r="C710" s="60"/>
      <c r="D710" s="60"/>
    </row>
    <row r="711">
      <c r="C711" s="60"/>
      <c r="D711" s="60"/>
    </row>
    <row r="712">
      <c r="C712" s="60"/>
      <c r="D712" s="60"/>
    </row>
    <row r="713">
      <c r="C713" s="60"/>
      <c r="D713" s="60"/>
    </row>
    <row r="714">
      <c r="C714" s="60"/>
      <c r="D714" s="60"/>
    </row>
    <row r="715">
      <c r="C715" s="60"/>
      <c r="D715" s="60"/>
    </row>
    <row r="716">
      <c r="C716" s="60"/>
      <c r="D716" s="60"/>
    </row>
    <row r="717">
      <c r="C717" s="60"/>
      <c r="D717" s="60"/>
    </row>
    <row r="718">
      <c r="C718" s="60"/>
      <c r="D718" s="60"/>
    </row>
    <row r="719">
      <c r="C719" s="60"/>
      <c r="D719" s="60"/>
    </row>
    <row r="720">
      <c r="C720" s="60"/>
      <c r="D720" s="60"/>
    </row>
    <row r="721">
      <c r="C721" s="60"/>
      <c r="D721" s="60"/>
    </row>
    <row r="722">
      <c r="C722" s="60"/>
      <c r="D722" s="60"/>
    </row>
    <row r="723">
      <c r="C723" s="60"/>
      <c r="D723" s="60"/>
    </row>
    <row r="724">
      <c r="C724" s="60"/>
      <c r="D724" s="60"/>
    </row>
    <row r="725">
      <c r="C725" s="60"/>
      <c r="D725" s="60"/>
    </row>
    <row r="726">
      <c r="C726" s="60"/>
      <c r="D726" s="60"/>
    </row>
    <row r="727">
      <c r="C727" s="60"/>
      <c r="D727" s="60"/>
    </row>
    <row r="728">
      <c r="C728" s="60"/>
      <c r="D728" s="60"/>
    </row>
    <row r="729">
      <c r="C729" s="60"/>
      <c r="D729" s="60"/>
    </row>
    <row r="730">
      <c r="C730" s="60"/>
      <c r="D730" s="60"/>
    </row>
    <row r="731">
      <c r="C731" s="60"/>
      <c r="D731" s="60"/>
    </row>
    <row r="732">
      <c r="C732" s="60"/>
      <c r="D732" s="60"/>
    </row>
    <row r="733">
      <c r="C733" s="60"/>
      <c r="D733" s="60"/>
    </row>
    <row r="734">
      <c r="C734" s="60"/>
      <c r="D734" s="60"/>
    </row>
    <row r="735">
      <c r="C735" s="60"/>
      <c r="D735" s="60"/>
    </row>
    <row r="736">
      <c r="C736" s="60"/>
      <c r="D736" s="60"/>
    </row>
    <row r="737">
      <c r="C737" s="60"/>
      <c r="D737" s="60"/>
    </row>
    <row r="738">
      <c r="C738" s="60"/>
      <c r="D738" s="60"/>
    </row>
    <row r="739">
      <c r="C739" s="60"/>
      <c r="D739" s="60"/>
    </row>
    <row r="740">
      <c r="C740" s="60"/>
      <c r="D740" s="60"/>
    </row>
    <row r="741">
      <c r="C741" s="60"/>
      <c r="D741" s="60"/>
    </row>
    <row r="742">
      <c r="C742" s="60"/>
      <c r="D742" s="60"/>
    </row>
    <row r="743">
      <c r="C743" s="60"/>
      <c r="D743" s="60"/>
    </row>
    <row r="744">
      <c r="C744" s="60"/>
      <c r="D744" s="60"/>
    </row>
    <row r="745">
      <c r="C745" s="60"/>
      <c r="D745" s="60"/>
    </row>
    <row r="746">
      <c r="C746" s="60"/>
      <c r="D746" s="60"/>
    </row>
    <row r="747">
      <c r="C747" s="60"/>
      <c r="D747" s="60"/>
    </row>
    <row r="748">
      <c r="C748" s="60"/>
      <c r="D748" s="60"/>
    </row>
    <row r="749">
      <c r="C749" s="60"/>
      <c r="D749" s="60"/>
    </row>
    <row r="750">
      <c r="C750" s="60"/>
      <c r="D750" s="60"/>
    </row>
    <row r="751">
      <c r="C751" s="60"/>
      <c r="D751" s="60"/>
    </row>
    <row r="752">
      <c r="C752" s="60"/>
      <c r="D752" s="60"/>
    </row>
    <row r="753">
      <c r="C753" s="60"/>
      <c r="D753" s="60"/>
    </row>
    <row r="754">
      <c r="C754" s="60"/>
      <c r="D754" s="60"/>
    </row>
    <row r="755">
      <c r="C755" s="60"/>
      <c r="D755" s="60"/>
    </row>
    <row r="756">
      <c r="C756" s="60"/>
      <c r="D756" s="60"/>
    </row>
    <row r="757">
      <c r="C757" s="60"/>
      <c r="D757" s="60"/>
    </row>
    <row r="758">
      <c r="C758" s="60"/>
      <c r="D758" s="60"/>
    </row>
    <row r="759">
      <c r="C759" s="60"/>
      <c r="D759" s="60"/>
    </row>
    <row r="760">
      <c r="C760" s="60"/>
      <c r="D760" s="60"/>
    </row>
    <row r="761">
      <c r="C761" s="60"/>
      <c r="D761" s="60"/>
    </row>
    <row r="762">
      <c r="C762" s="60"/>
      <c r="D762" s="60"/>
    </row>
    <row r="763">
      <c r="C763" s="60"/>
      <c r="D763" s="60"/>
    </row>
    <row r="764">
      <c r="C764" s="60"/>
      <c r="D764" s="60"/>
    </row>
    <row r="765">
      <c r="C765" s="60"/>
      <c r="D765" s="60"/>
    </row>
    <row r="766">
      <c r="C766" s="60"/>
      <c r="D766" s="60"/>
    </row>
    <row r="767">
      <c r="C767" s="60"/>
      <c r="D767" s="60"/>
    </row>
    <row r="768">
      <c r="C768" s="60"/>
      <c r="D768" s="60"/>
    </row>
    <row r="769">
      <c r="C769" s="60"/>
      <c r="D769" s="60"/>
    </row>
    <row r="770">
      <c r="C770" s="60"/>
      <c r="D770" s="60"/>
    </row>
    <row r="771">
      <c r="C771" s="60"/>
      <c r="D771" s="60"/>
    </row>
    <row r="772">
      <c r="C772" s="60"/>
      <c r="D772" s="60"/>
    </row>
    <row r="773">
      <c r="C773" s="60"/>
      <c r="D773" s="60"/>
    </row>
    <row r="774">
      <c r="C774" s="60"/>
      <c r="D774" s="60"/>
    </row>
    <row r="775">
      <c r="C775" s="60"/>
      <c r="D775" s="60"/>
    </row>
    <row r="776">
      <c r="C776" s="60"/>
      <c r="D776" s="60"/>
    </row>
    <row r="777">
      <c r="C777" s="60"/>
      <c r="D777" s="60"/>
    </row>
    <row r="778">
      <c r="C778" s="60"/>
      <c r="D778" s="60"/>
    </row>
    <row r="779">
      <c r="C779" s="60"/>
      <c r="D779" s="60"/>
    </row>
    <row r="780">
      <c r="C780" s="60"/>
      <c r="D780" s="60"/>
    </row>
    <row r="781">
      <c r="C781" s="60"/>
      <c r="D781" s="60"/>
    </row>
    <row r="782">
      <c r="C782" s="60"/>
      <c r="D782" s="60"/>
    </row>
    <row r="783">
      <c r="C783" s="60"/>
      <c r="D783" s="60"/>
    </row>
    <row r="784">
      <c r="C784" s="60"/>
      <c r="D784" s="60"/>
    </row>
    <row r="785">
      <c r="C785" s="60"/>
      <c r="D785" s="60"/>
    </row>
    <row r="786">
      <c r="C786" s="60"/>
      <c r="D786" s="60"/>
    </row>
    <row r="787">
      <c r="C787" s="60"/>
      <c r="D787" s="60"/>
    </row>
    <row r="788">
      <c r="C788" s="60"/>
      <c r="D788" s="60"/>
    </row>
    <row r="789">
      <c r="C789" s="60"/>
      <c r="D789" s="60"/>
    </row>
    <row r="790">
      <c r="C790" s="60"/>
      <c r="D790" s="60"/>
    </row>
    <row r="791">
      <c r="C791" s="60"/>
      <c r="D791" s="60"/>
    </row>
    <row r="792">
      <c r="C792" s="60"/>
      <c r="D792" s="60"/>
    </row>
    <row r="793">
      <c r="C793" s="60"/>
      <c r="D793" s="60"/>
    </row>
    <row r="794">
      <c r="C794" s="60"/>
      <c r="D794" s="60"/>
    </row>
    <row r="795">
      <c r="C795" s="60"/>
      <c r="D795" s="60"/>
    </row>
    <row r="796">
      <c r="C796" s="60"/>
      <c r="D796" s="60"/>
    </row>
    <row r="797">
      <c r="C797" s="60"/>
      <c r="D797" s="60"/>
    </row>
    <row r="798">
      <c r="C798" s="60"/>
      <c r="D798" s="60"/>
    </row>
    <row r="799">
      <c r="C799" s="60"/>
      <c r="D799" s="60"/>
    </row>
    <row r="800">
      <c r="C800" s="60"/>
      <c r="D800" s="60"/>
    </row>
    <row r="801">
      <c r="C801" s="60"/>
      <c r="D801" s="60"/>
    </row>
    <row r="802">
      <c r="C802" s="60"/>
      <c r="D802" s="60"/>
    </row>
    <row r="803">
      <c r="C803" s="60"/>
      <c r="D803" s="60"/>
    </row>
    <row r="804">
      <c r="C804" s="60"/>
      <c r="D804" s="60"/>
    </row>
    <row r="805">
      <c r="C805" s="60"/>
      <c r="D805" s="60"/>
    </row>
    <row r="806">
      <c r="C806" s="60"/>
      <c r="D806" s="60"/>
    </row>
    <row r="807">
      <c r="C807" s="60"/>
      <c r="D807" s="60"/>
    </row>
    <row r="808">
      <c r="C808" s="60"/>
      <c r="D808" s="60"/>
    </row>
    <row r="809">
      <c r="C809" s="60"/>
      <c r="D809" s="60"/>
    </row>
    <row r="810">
      <c r="C810" s="60"/>
      <c r="D810" s="60"/>
    </row>
    <row r="811">
      <c r="C811" s="60"/>
      <c r="D811" s="60"/>
    </row>
    <row r="812">
      <c r="C812" s="60"/>
      <c r="D812" s="60"/>
    </row>
    <row r="813">
      <c r="C813" s="60"/>
      <c r="D813" s="60"/>
    </row>
    <row r="814">
      <c r="C814" s="60"/>
      <c r="D814" s="60"/>
    </row>
    <row r="815">
      <c r="C815" s="60"/>
      <c r="D815" s="60"/>
    </row>
    <row r="816">
      <c r="C816" s="60"/>
      <c r="D816" s="60"/>
    </row>
    <row r="817">
      <c r="C817" s="60"/>
      <c r="D817" s="60"/>
    </row>
    <row r="818">
      <c r="C818" s="60"/>
      <c r="D818" s="60"/>
    </row>
    <row r="819">
      <c r="C819" s="60"/>
      <c r="D819" s="60"/>
    </row>
    <row r="820">
      <c r="C820" s="60"/>
      <c r="D820" s="60"/>
    </row>
    <row r="821">
      <c r="C821" s="60"/>
      <c r="D821" s="60"/>
    </row>
    <row r="822">
      <c r="C822" s="60"/>
      <c r="D822" s="60"/>
    </row>
    <row r="823">
      <c r="C823" s="60"/>
      <c r="D823" s="60"/>
    </row>
    <row r="824">
      <c r="C824" s="60"/>
      <c r="D824" s="60"/>
    </row>
    <row r="825">
      <c r="C825" s="60"/>
      <c r="D825" s="60"/>
    </row>
    <row r="826">
      <c r="C826" s="60"/>
      <c r="D826" s="60"/>
    </row>
    <row r="827">
      <c r="C827" s="60"/>
      <c r="D827" s="60"/>
    </row>
    <row r="828">
      <c r="C828" s="60"/>
      <c r="D828" s="60"/>
    </row>
    <row r="829">
      <c r="C829" s="60"/>
      <c r="D829" s="60"/>
    </row>
    <row r="830">
      <c r="C830" s="60"/>
      <c r="D830" s="60"/>
    </row>
    <row r="831">
      <c r="C831" s="60"/>
      <c r="D831" s="60"/>
    </row>
    <row r="832">
      <c r="C832" s="60"/>
      <c r="D832" s="60"/>
    </row>
    <row r="833">
      <c r="C833" s="60"/>
      <c r="D833" s="60"/>
    </row>
    <row r="834">
      <c r="C834" s="60"/>
      <c r="D834" s="60"/>
    </row>
    <row r="835">
      <c r="C835" s="60"/>
      <c r="D835" s="60"/>
    </row>
    <row r="836">
      <c r="C836" s="60"/>
      <c r="D836" s="60"/>
    </row>
    <row r="837">
      <c r="C837" s="60"/>
      <c r="D837" s="60"/>
    </row>
    <row r="838">
      <c r="C838" s="60"/>
      <c r="D838" s="60"/>
    </row>
    <row r="839">
      <c r="C839" s="60"/>
      <c r="D839" s="60"/>
    </row>
    <row r="840">
      <c r="C840" s="60"/>
      <c r="D840" s="60"/>
    </row>
    <row r="841">
      <c r="C841" s="60"/>
      <c r="D841" s="60"/>
    </row>
    <row r="842">
      <c r="C842" s="60"/>
      <c r="D842" s="60"/>
    </row>
    <row r="843">
      <c r="C843" s="60"/>
      <c r="D843" s="60"/>
    </row>
    <row r="844">
      <c r="C844" s="60"/>
      <c r="D844" s="60"/>
    </row>
    <row r="845">
      <c r="C845" s="60"/>
      <c r="D845" s="60"/>
    </row>
    <row r="846">
      <c r="C846" s="60"/>
      <c r="D846" s="60"/>
    </row>
    <row r="847">
      <c r="C847" s="60"/>
      <c r="D847" s="60"/>
    </row>
    <row r="848">
      <c r="C848" s="60"/>
      <c r="D848" s="60"/>
    </row>
    <row r="849">
      <c r="C849" s="60"/>
      <c r="D849" s="60"/>
    </row>
    <row r="850">
      <c r="C850" s="60"/>
      <c r="D850" s="60"/>
    </row>
    <row r="851">
      <c r="C851" s="60"/>
      <c r="D851" s="60"/>
    </row>
    <row r="852">
      <c r="C852" s="60"/>
      <c r="D852" s="60"/>
    </row>
    <row r="853">
      <c r="C853" s="60"/>
      <c r="D853" s="60"/>
    </row>
    <row r="854">
      <c r="C854" s="60"/>
      <c r="D854" s="60"/>
    </row>
    <row r="855">
      <c r="C855" s="60"/>
      <c r="D855" s="60"/>
    </row>
    <row r="856">
      <c r="C856" s="60"/>
      <c r="D856" s="60"/>
    </row>
    <row r="857">
      <c r="C857" s="60"/>
      <c r="D857" s="60"/>
    </row>
    <row r="858">
      <c r="C858" s="60"/>
      <c r="D858" s="60"/>
    </row>
    <row r="859">
      <c r="C859" s="60"/>
      <c r="D859" s="60"/>
    </row>
    <row r="860">
      <c r="C860" s="60"/>
      <c r="D860" s="60"/>
    </row>
    <row r="861">
      <c r="C861" s="60"/>
      <c r="D861" s="60"/>
    </row>
    <row r="862">
      <c r="C862" s="60"/>
      <c r="D862" s="60"/>
    </row>
    <row r="863">
      <c r="C863" s="60"/>
      <c r="D863" s="60"/>
    </row>
    <row r="864">
      <c r="C864" s="60"/>
      <c r="D864" s="60"/>
    </row>
    <row r="865">
      <c r="C865" s="60"/>
      <c r="D865" s="60"/>
    </row>
    <row r="866">
      <c r="C866" s="60"/>
      <c r="D866" s="60"/>
    </row>
    <row r="867">
      <c r="C867" s="60"/>
      <c r="D867" s="60"/>
    </row>
    <row r="868">
      <c r="C868" s="60"/>
      <c r="D868" s="60"/>
    </row>
    <row r="869">
      <c r="C869" s="60"/>
      <c r="D869" s="60"/>
    </row>
    <row r="870">
      <c r="C870" s="60"/>
      <c r="D870" s="60"/>
    </row>
    <row r="871">
      <c r="C871" s="60"/>
      <c r="D871" s="60"/>
    </row>
    <row r="872">
      <c r="C872" s="60"/>
      <c r="D872" s="60"/>
    </row>
    <row r="873">
      <c r="C873" s="60"/>
      <c r="D873" s="60"/>
    </row>
    <row r="874">
      <c r="C874" s="60"/>
      <c r="D874" s="60"/>
    </row>
    <row r="875">
      <c r="C875" s="60"/>
      <c r="D875" s="60"/>
    </row>
    <row r="876">
      <c r="C876" s="60"/>
      <c r="D876" s="60"/>
    </row>
    <row r="877">
      <c r="C877" s="60"/>
      <c r="D877" s="60"/>
    </row>
    <row r="878">
      <c r="C878" s="60"/>
      <c r="D878" s="60"/>
    </row>
    <row r="879">
      <c r="C879" s="60"/>
      <c r="D879" s="60"/>
    </row>
    <row r="880">
      <c r="C880" s="60"/>
      <c r="D880" s="60"/>
    </row>
    <row r="881">
      <c r="C881" s="60"/>
      <c r="D881" s="60"/>
    </row>
    <row r="882">
      <c r="C882" s="60"/>
      <c r="D882" s="60"/>
    </row>
    <row r="883">
      <c r="C883" s="60"/>
      <c r="D883" s="60"/>
    </row>
    <row r="884">
      <c r="C884" s="60"/>
      <c r="D884" s="60"/>
    </row>
    <row r="885">
      <c r="C885" s="60"/>
      <c r="D885" s="60"/>
    </row>
    <row r="886">
      <c r="C886" s="60"/>
      <c r="D886" s="60"/>
    </row>
    <row r="887">
      <c r="C887" s="60"/>
      <c r="D887" s="60"/>
    </row>
    <row r="888">
      <c r="C888" s="60"/>
      <c r="D888" s="60"/>
    </row>
    <row r="889">
      <c r="C889" s="60"/>
      <c r="D889" s="60"/>
    </row>
    <row r="890">
      <c r="C890" s="60"/>
      <c r="D890" s="60"/>
    </row>
    <row r="891">
      <c r="C891" s="60"/>
      <c r="D891" s="60"/>
    </row>
    <row r="892">
      <c r="C892" s="60"/>
      <c r="D892" s="60"/>
    </row>
    <row r="893">
      <c r="C893" s="60"/>
      <c r="D893" s="60"/>
    </row>
    <row r="894">
      <c r="C894" s="60"/>
      <c r="D894" s="60"/>
    </row>
    <row r="895">
      <c r="C895" s="60"/>
      <c r="D895" s="60"/>
    </row>
    <row r="896">
      <c r="C896" s="60"/>
      <c r="D896" s="60"/>
    </row>
    <row r="897">
      <c r="C897" s="60"/>
      <c r="D897" s="60"/>
    </row>
    <row r="898">
      <c r="C898" s="60"/>
      <c r="D898" s="60"/>
    </row>
    <row r="899">
      <c r="C899" s="60"/>
      <c r="D899" s="60"/>
    </row>
    <row r="900">
      <c r="C900" s="60"/>
      <c r="D900" s="60"/>
    </row>
    <row r="901">
      <c r="C901" s="60"/>
      <c r="D901" s="60"/>
    </row>
    <row r="902">
      <c r="C902" s="60"/>
      <c r="D902" s="60"/>
    </row>
    <row r="903">
      <c r="C903" s="60"/>
      <c r="D903" s="60"/>
    </row>
    <row r="904">
      <c r="C904" s="60"/>
      <c r="D904" s="60"/>
    </row>
    <row r="905">
      <c r="C905" s="60"/>
      <c r="D905" s="60"/>
    </row>
    <row r="906">
      <c r="C906" s="60"/>
      <c r="D906" s="60"/>
    </row>
    <row r="907">
      <c r="C907" s="60"/>
      <c r="D907" s="60"/>
    </row>
    <row r="908">
      <c r="C908" s="60"/>
      <c r="D908" s="60"/>
    </row>
    <row r="909">
      <c r="C909" s="60"/>
      <c r="D909" s="60"/>
    </row>
    <row r="910">
      <c r="C910" s="60"/>
      <c r="D910" s="60"/>
    </row>
    <row r="911">
      <c r="C911" s="60"/>
      <c r="D911" s="60"/>
    </row>
    <row r="912">
      <c r="C912" s="60"/>
      <c r="D912" s="60"/>
    </row>
    <row r="913">
      <c r="C913" s="60"/>
      <c r="D913" s="60"/>
    </row>
    <row r="914">
      <c r="C914" s="60"/>
      <c r="D914" s="60"/>
    </row>
    <row r="915">
      <c r="C915" s="60"/>
      <c r="D915" s="60"/>
    </row>
    <row r="916">
      <c r="C916" s="60"/>
      <c r="D916" s="60"/>
    </row>
    <row r="917">
      <c r="C917" s="60"/>
      <c r="D917" s="60"/>
    </row>
    <row r="918">
      <c r="C918" s="60"/>
      <c r="D918" s="60"/>
    </row>
    <row r="919">
      <c r="C919" s="60"/>
      <c r="D919" s="60"/>
    </row>
    <row r="920">
      <c r="C920" s="60"/>
      <c r="D920" s="60"/>
    </row>
    <row r="921">
      <c r="C921" s="60"/>
      <c r="D921" s="60"/>
    </row>
    <row r="922">
      <c r="C922" s="60"/>
      <c r="D922" s="60"/>
    </row>
    <row r="923">
      <c r="C923" s="60"/>
      <c r="D923" s="60"/>
    </row>
    <row r="924">
      <c r="C924" s="60"/>
      <c r="D924" s="60"/>
    </row>
    <row r="925">
      <c r="C925" s="60"/>
      <c r="D925" s="60"/>
    </row>
    <row r="926">
      <c r="C926" s="60"/>
      <c r="D926" s="60"/>
    </row>
    <row r="927">
      <c r="C927" s="60"/>
      <c r="D927" s="60"/>
    </row>
    <row r="928">
      <c r="C928" s="60"/>
      <c r="D928" s="60"/>
    </row>
    <row r="929">
      <c r="C929" s="60"/>
      <c r="D929" s="60"/>
    </row>
    <row r="930">
      <c r="C930" s="60"/>
      <c r="D930" s="60"/>
    </row>
    <row r="931">
      <c r="C931" s="60"/>
      <c r="D931" s="60"/>
    </row>
    <row r="932">
      <c r="C932" s="60"/>
      <c r="D932" s="60"/>
    </row>
    <row r="933">
      <c r="C933" s="60"/>
      <c r="D933" s="60"/>
    </row>
    <row r="934">
      <c r="C934" s="60"/>
      <c r="D934" s="60"/>
    </row>
    <row r="935">
      <c r="C935" s="60"/>
      <c r="D935" s="60"/>
    </row>
    <row r="936">
      <c r="C936" s="60"/>
      <c r="D936" s="60"/>
    </row>
    <row r="937">
      <c r="C937" s="60"/>
      <c r="D937" s="60"/>
    </row>
    <row r="938">
      <c r="C938" s="60"/>
      <c r="D938" s="60"/>
    </row>
    <row r="939">
      <c r="C939" s="60"/>
      <c r="D939" s="60"/>
    </row>
    <row r="940">
      <c r="C940" s="60"/>
      <c r="D940" s="60"/>
    </row>
    <row r="941">
      <c r="C941" s="60"/>
      <c r="D941" s="60"/>
    </row>
    <row r="942">
      <c r="C942" s="60"/>
      <c r="D942" s="60"/>
    </row>
    <row r="943">
      <c r="C943" s="60"/>
      <c r="D943" s="60"/>
    </row>
    <row r="944">
      <c r="C944" s="60"/>
      <c r="D944" s="60"/>
    </row>
    <row r="945">
      <c r="C945" s="60"/>
      <c r="D945" s="60"/>
    </row>
    <row r="946">
      <c r="C946" s="60"/>
      <c r="D946" s="60"/>
    </row>
    <row r="947">
      <c r="C947" s="60"/>
      <c r="D947" s="60"/>
    </row>
    <row r="948">
      <c r="C948" s="60"/>
      <c r="D948" s="60"/>
    </row>
    <row r="949">
      <c r="C949" s="60"/>
      <c r="D949" s="60"/>
    </row>
    <row r="950">
      <c r="C950" s="60"/>
      <c r="D950" s="60"/>
    </row>
    <row r="951">
      <c r="C951" s="60"/>
      <c r="D951" s="60"/>
    </row>
    <row r="952">
      <c r="C952" s="60"/>
      <c r="D952" s="60"/>
    </row>
    <row r="953">
      <c r="C953" s="60"/>
      <c r="D953" s="60"/>
    </row>
    <row r="954">
      <c r="C954" s="60"/>
      <c r="D954" s="60"/>
    </row>
    <row r="955">
      <c r="C955" s="60"/>
      <c r="D955" s="60"/>
    </row>
    <row r="956">
      <c r="C956" s="60"/>
      <c r="D956" s="60"/>
    </row>
    <row r="957">
      <c r="C957" s="60"/>
      <c r="D957" s="60"/>
    </row>
    <row r="958">
      <c r="C958" s="60"/>
      <c r="D958" s="60"/>
    </row>
    <row r="959">
      <c r="C959" s="60"/>
      <c r="D959" s="60"/>
    </row>
    <row r="960">
      <c r="C960" s="60"/>
      <c r="D960" s="60"/>
    </row>
    <row r="961">
      <c r="C961" s="60"/>
      <c r="D961" s="60"/>
    </row>
    <row r="962">
      <c r="C962" s="60"/>
      <c r="D962" s="60"/>
    </row>
    <row r="963">
      <c r="C963" s="60"/>
      <c r="D963" s="60"/>
    </row>
    <row r="964">
      <c r="C964" s="60"/>
      <c r="D964" s="60"/>
    </row>
    <row r="965">
      <c r="C965" s="60"/>
      <c r="D965" s="60"/>
    </row>
    <row r="966">
      <c r="C966" s="60"/>
      <c r="D966" s="60"/>
    </row>
    <row r="967">
      <c r="C967" s="60"/>
      <c r="D967" s="60"/>
    </row>
    <row r="968">
      <c r="C968" s="60"/>
      <c r="D968" s="60"/>
    </row>
    <row r="969">
      <c r="C969" s="60"/>
      <c r="D969" s="60"/>
    </row>
    <row r="970">
      <c r="C970" s="60"/>
      <c r="D970" s="60"/>
    </row>
    <row r="971">
      <c r="C971" s="60"/>
      <c r="D971" s="60"/>
    </row>
    <row r="972">
      <c r="C972" s="60"/>
      <c r="D972" s="60"/>
    </row>
    <row r="973">
      <c r="C973" s="60"/>
      <c r="D973" s="60"/>
    </row>
    <row r="974">
      <c r="C974" s="60"/>
      <c r="D974" s="60"/>
    </row>
    <row r="975">
      <c r="C975" s="60"/>
      <c r="D975" s="60"/>
    </row>
    <row r="976">
      <c r="C976" s="60"/>
      <c r="D976" s="60"/>
    </row>
    <row r="977">
      <c r="C977" s="60"/>
      <c r="D977" s="60"/>
    </row>
    <row r="978">
      <c r="C978" s="60"/>
      <c r="D978" s="60"/>
    </row>
    <row r="979">
      <c r="C979" s="60"/>
      <c r="D979" s="60"/>
    </row>
    <row r="980">
      <c r="C980" s="60"/>
      <c r="D980" s="60"/>
    </row>
    <row r="981">
      <c r="C981" s="60"/>
      <c r="D981" s="60"/>
    </row>
    <row r="982">
      <c r="C982" s="60"/>
      <c r="D982" s="60"/>
    </row>
    <row r="983">
      <c r="C983" s="60"/>
      <c r="D983" s="60"/>
    </row>
    <row r="984">
      <c r="C984" s="60"/>
      <c r="D984" s="60"/>
    </row>
    <row r="985">
      <c r="C985" s="60"/>
      <c r="D985" s="60"/>
    </row>
    <row r="986">
      <c r="C986" s="60"/>
      <c r="D986" s="60"/>
    </row>
    <row r="987">
      <c r="C987" s="60"/>
      <c r="D987" s="60"/>
    </row>
    <row r="988">
      <c r="C988" s="60"/>
      <c r="D988" s="60"/>
    </row>
    <row r="989">
      <c r="C989" s="60"/>
      <c r="D989" s="60"/>
    </row>
    <row r="990">
      <c r="C990" s="60"/>
      <c r="D990" s="60"/>
    </row>
    <row r="991">
      <c r="C991" s="60"/>
      <c r="D991" s="60"/>
    </row>
    <row r="992">
      <c r="C992" s="60"/>
      <c r="D992" s="60"/>
    </row>
    <row r="993">
      <c r="C993" s="60"/>
      <c r="D993" s="60"/>
    </row>
    <row r="994">
      <c r="C994" s="60"/>
      <c r="D994" s="60"/>
    </row>
    <row r="995">
      <c r="C995" s="60"/>
      <c r="D995" s="60"/>
    </row>
    <row r="996">
      <c r="C996" s="60"/>
      <c r="D996" s="60"/>
    </row>
    <row r="997">
      <c r="C997" s="60"/>
      <c r="D997" s="60"/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63"/>
    <col customWidth="1" min="2" max="2" width="24.88"/>
    <col customWidth="1" hidden="1" min="3" max="3" width="7.63"/>
    <col customWidth="1" min="4" max="4" width="10.5"/>
    <col customWidth="1" min="5" max="5" width="14.5"/>
    <col customWidth="1" min="7" max="7" width="10.25"/>
    <col customWidth="1" min="8" max="8" width="14.38"/>
  </cols>
  <sheetData>
    <row r="1">
      <c r="A1" s="14" t="s">
        <v>498</v>
      </c>
      <c r="B1" s="14" t="s">
        <v>0</v>
      </c>
      <c r="C1" s="75" t="s">
        <v>3</v>
      </c>
      <c r="D1" s="75" t="s">
        <v>2</v>
      </c>
      <c r="E1" s="14" t="s">
        <v>4</v>
      </c>
      <c r="F1" s="14" t="s">
        <v>5</v>
      </c>
      <c r="G1" s="14" t="s">
        <v>249</v>
      </c>
      <c r="H1" s="14" t="s">
        <v>52</v>
      </c>
      <c r="I1" s="14" t="s">
        <v>1021</v>
      </c>
      <c r="J1" s="14" t="s">
        <v>250</v>
      </c>
      <c r="K1" s="14" t="s">
        <v>497</v>
      </c>
      <c r="L1" s="14" t="s">
        <v>1022</v>
      </c>
      <c r="M1" s="14" t="s">
        <v>90</v>
      </c>
      <c r="N1" s="14" t="s">
        <v>1309</v>
      </c>
    </row>
    <row r="2">
      <c r="A2" s="43">
        <v>46083.0</v>
      </c>
      <c r="B2" s="75" t="s">
        <v>1340</v>
      </c>
      <c r="C2" s="59"/>
      <c r="D2" s="59">
        <v>267.27</v>
      </c>
      <c r="E2" s="59">
        <v>267.27</v>
      </c>
      <c r="F2" s="59"/>
      <c r="G2" s="44"/>
      <c r="H2" s="44"/>
      <c r="I2" s="44"/>
      <c r="J2" s="44"/>
      <c r="K2" s="45"/>
      <c r="L2" s="45"/>
      <c r="M2" s="59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>
      <c r="A3" s="43">
        <v>46085.0</v>
      </c>
      <c r="B3" s="44" t="s">
        <v>653</v>
      </c>
      <c r="C3" s="59"/>
      <c r="D3" s="59">
        <v>47.2</v>
      </c>
      <c r="E3" s="44"/>
      <c r="F3" s="59">
        <v>47.2</v>
      </c>
      <c r="G3" s="44"/>
      <c r="H3" s="44"/>
      <c r="I3" s="44"/>
      <c r="J3" s="44"/>
      <c r="K3" s="45"/>
      <c r="L3" s="45"/>
      <c r="M3" s="59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>
      <c r="A4" s="43">
        <v>46086.0</v>
      </c>
      <c r="B4" s="44" t="s">
        <v>268</v>
      </c>
      <c r="C4" s="59"/>
      <c r="D4" s="59">
        <v>91.0</v>
      </c>
      <c r="E4" s="59"/>
      <c r="F4" s="59">
        <v>91.0</v>
      </c>
      <c r="G4" s="30"/>
      <c r="H4" s="45"/>
      <c r="I4" s="30"/>
      <c r="J4" s="59"/>
      <c r="K4" s="30"/>
      <c r="L4" s="45"/>
      <c r="M4" s="59"/>
    </row>
    <row r="5">
      <c r="A5" s="43"/>
      <c r="B5" s="44" t="s">
        <v>1148</v>
      </c>
      <c r="C5" s="59"/>
      <c r="D5" s="59">
        <v>176.45</v>
      </c>
      <c r="E5" s="30"/>
      <c r="F5" s="59"/>
      <c r="G5" s="30"/>
      <c r="H5" s="30"/>
      <c r="I5" s="30"/>
      <c r="J5" s="30"/>
      <c r="K5" s="59">
        <v>176.45</v>
      </c>
      <c r="L5" s="30"/>
      <c r="M5" s="59"/>
    </row>
    <row r="6">
      <c r="A6" s="43"/>
      <c r="B6" s="44" t="s">
        <v>1349</v>
      </c>
      <c r="C6" s="59"/>
      <c r="D6" s="59">
        <v>41.5</v>
      </c>
      <c r="E6" s="30"/>
      <c r="F6" s="59"/>
      <c r="G6" s="45"/>
      <c r="H6" s="45"/>
      <c r="I6" s="30"/>
      <c r="J6" s="59">
        <v>41.5</v>
      </c>
      <c r="K6" s="59"/>
      <c r="L6" s="45"/>
      <c r="M6" s="59"/>
    </row>
    <row r="7">
      <c r="A7" s="43"/>
      <c r="B7" s="44" t="s">
        <v>1350</v>
      </c>
      <c r="C7" s="59"/>
      <c r="D7" s="59">
        <v>48.0</v>
      </c>
      <c r="E7" s="59"/>
      <c r="F7" s="59">
        <v>48.0</v>
      </c>
      <c r="G7" s="45"/>
      <c r="H7" s="45"/>
      <c r="I7" s="30"/>
      <c r="J7" s="59"/>
      <c r="K7" s="59"/>
      <c r="L7" s="45"/>
    </row>
    <row r="8">
      <c r="A8" s="46"/>
      <c r="B8" s="44" t="s">
        <v>114</v>
      </c>
      <c r="C8" s="59"/>
      <c r="D8" s="59">
        <v>30.0</v>
      </c>
      <c r="E8" s="30"/>
      <c r="F8" s="59">
        <v>30.0</v>
      </c>
      <c r="H8" s="45"/>
      <c r="I8" s="30"/>
      <c r="J8" s="30"/>
      <c r="K8" s="44"/>
      <c r="L8" s="44"/>
      <c r="M8" s="59"/>
    </row>
    <row r="9">
      <c r="A9" s="43"/>
      <c r="B9" s="44" t="s">
        <v>114</v>
      </c>
      <c r="D9" s="59">
        <v>37.5</v>
      </c>
      <c r="E9" s="30"/>
      <c r="F9" s="59">
        <v>37.5</v>
      </c>
      <c r="G9" s="99"/>
      <c r="H9" s="44"/>
      <c r="I9" s="44"/>
      <c r="J9" s="44"/>
      <c r="K9" s="44"/>
      <c r="L9" s="44"/>
      <c r="M9" s="59"/>
      <c r="N9" s="59"/>
    </row>
    <row r="10">
      <c r="A10" s="43">
        <v>46094.0</v>
      </c>
      <c r="B10" s="44" t="s">
        <v>1351</v>
      </c>
      <c r="C10" s="59"/>
      <c r="D10" s="59">
        <v>60.3</v>
      </c>
      <c r="E10" s="30"/>
      <c r="F10" s="59">
        <v>60.3</v>
      </c>
      <c r="G10" s="94"/>
      <c r="H10" s="30"/>
      <c r="I10" s="30"/>
      <c r="J10" s="30"/>
      <c r="K10" s="59"/>
      <c r="L10" s="30"/>
      <c r="M10" s="59"/>
    </row>
    <row r="11">
      <c r="A11" s="43"/>
      <c r="B11" s="44" t="s">
        <v>1352</v>
      </c>
      <c r="C11" s="59"/>
      <c r="D11" s="59">
        <v>1572.1</v>
      </c>
      <c r="E11" s="30"/>
      <c r="F11" s="30"/>
      <c r="G11" s="59">
        <v>95.4</v>
      </c>
      <c r="H11" s="44"/>
      <c r="I11" s="30"/>
      <c r="J11" s="45"/>
      <c r="K11" s="30"/>
      <c r="L11" s="45"/>
      <c r="M11" s="59">
        <f>D11-G11</f>
        <v>1476.7</v>
      </c>
    </row>
    <row r="12">
      <c r="A12" s="43"/>
      <c r="B12" s="44" t="s">
        <v>256</v>
      </c>
      <c r="C12" s="59"/>
      <c r="D12" s="59">
        <v>328.93</v>
      </c>
      <c r="E12" s="30"/>
      <c r="F12" s="59"/>
      <c r="G12" s="99"/>
      <c r="H12" s="44"/>
      <c r="I12" s="30"/>
      <c r="J12" s="45"/>
      <c r="K12" s="59"/>
      <c r="L12" s="45"/>
      <c r="M12" s="59">
        <v>328.93</v>
      </c>
    </row>
    <row r="13">
      <c r="A13" s="43">
        <v>46095.0</v>
      </c>
      <c r="B13" s="44" t="s">
        <v>1353</v>
      </c>
      <c r="C13" s="59"/>
      <c r="D13" s="59">
        <v>80.6</v>
      </c>
      <c r="E13" s="44"/>
      <c r="F13" s="59">
        <v>80.6</v>
      </c>
      <c r="G13" s="99"/>
      <c r="H13" s="59"/>
      <c r="I13" s="30"/>
      <c r="J13" s="30"/>
      <c r="K13" s="59"/>
      <c r="L13" s="45"/>
      <c r="M13" s="59"/>
    </row>
    <row r="14">
      <c r="A14" s="43"/>
      <c r="B14" s="44" t="s">
        <v>1148</v>
      </c>
      <c r="C14" s="59"/>
      <c r="D14" s="59">
        <v>194.09</v>
      </c>
      <c r="E14" s="59"/>
      <c r="F14" s="59"/>
      <c r="G14" s="59"/>
      <c r="H14" s="45"/>
      <c r="I14" s="44"/>
      <c r="J14" s="30"/>
      <c r="K14" s="59">
        <v>194.09</v>
      </c>
      <c r="L14" s="45"/>
      <c r="M14" s="59"/>
      <c r="N14" s="30"/>
    </row>
    <row r="15">
      <c r="A15" s="43"/>
      <c r="B15" s="44" t="s">
        <v>297</v>
      </c>
      <c r="C15" s="59"/>
      <c r="D15" s="59">
        <v>82.5</v>
      </c>
      <c r="E15" s="44"/>
      <c r="F15" s="59">
        <v>82.5</v>
      </c>
      <c r="G15" s="59"/>
      <c r="H15" s="44"/>
      <c r="I15" s="44"/>
      <c r="J15" s="44"/>
      <c r="K15" s="44"/>
      <c r="L15" s="44"/>
      <c r="M15" s="59"/>
      <c r="N15" s="59"/>
    </row>
    <row r="16">
      <c r="A16" s="43">
        <v>46098.0</v>
      </c>
      <c r="B16" s="44" t="s">
        <v>755</v>
      </c>
      <c r="C16" s="59"/>
      <c r="D16" s="59">
        <v>195.0</v>
      </c>
      <c r="E16" s="30"/>
      <c r="F16" s="30"/>
      <c r="G16" s="30"/>
      <c r="H16" s="30"/>
      <c r="I16" s="30"/>
      <c r="J16" s="59">
        <v>195.0</v>
      </c>
      <c r="K16" s="30"/>
      <c r="L16" s="30"/>
      <c r="M16" s="30"/>
      <c r="N16" s="30"/>
    </row>
    <row r="17">
      <c r="A17" s="43"/>
      <c r="B17" s="44" t="s">
        <v>1354</v>
      </c>
      <c r="C17" s="59"/>
      <c r="D17" s="59">
        <v>19.0</v>
      </c>
      <c r="E17" s="30"/>
      <c r="F17" s="59"/>
      <c r="G17" s="59"/>
      <c r="H17" s="44"/>
      <c r="I17" s="44"/>
      <c r="J17" s="44"/>
      <c r="K17" s="44"/>
      <c r="L17" s="44"/>
      <c r="M17" s="59"/>
      <c r="N17" s="59"/>
    </row>
    <row r="18">
      <c r="A18" s="43"/>
      <c r="B18" s="75" t="s">
        <v>163</v>
      </c>
      <c r="C18" s="59"/>
      <c r="D18" s="59">
        <v>24.56</v>
      </c>
      <c r="E18" s="59"/>
      <c r="F18" s="59">
        <v>24.56</v>
      </c>
      <c r="G18" s="59"/>
      <c r="H18" s="44"/>
      <c r="I18" s="44"/>
      <c r="J18" s="30"/>
      <c r="K18" s="45"/>
      <c r="L18" s="45"/>
      <c r="M18" s="45"/>
      <c r="Q18" s="59"/>
    </row>
    <row r="19">
      <c r="A19" s="43"/>
      <c r="B19" s="44" t="s">
        <v>1152</v>
      </c>
      <c r="C19" s="30"/>
      <c r="D19" s="30">
        <v>67.6</v>
      </c>
      <c r="E19" s="59"/>
      <c r="F19" s="30">
        <v>67.6</v>
      </c>
      <c r="G19" s="30"/>
      <c r="H19" s="44"/>
      <c r="I19" s="44"/>
      <c r="J19" s="30"/>
      <c r="K19" s="30"/>
      <c r="L19" s="30"/>
      <c r="M19" s="30"/>
    </row>
    <row r="20">
      <c r="A20" s="93"/>
      <c r="B20" s="1" t="s">
        <v>1355</v>
      </c>
      <c r="C20" s="59"/>
      <c r="D20" s="59">
        <v>431.79</v>
      </c>
      <c r="E20" s="59">
        <v>431.79</v>
      </c>
      <c r="F20" s="30"/>
      <c r="G20" s="30"/>
      <c r="H20" s="59"/>
      <c r="I20" s="30"/>
      <c r="J20" s="30"/>
      <c r="K20" s="30"/>
      <c r="L20" s="30"/>
      <c r="M20" s="59"/>
      <c r="N20" s="30"/>
    </row>
    <row r="21">
      <c r="A21" s="93"/>
      <c r="B21" s="1" t="s">
        <v>1356</v>
      </c>
      <c r="C21" s="59"/>
      <c r="D21" s="59">
        <v>56.9</v>
      </c>
      <c r="E21" s="1">
        <v>50.0</v>
      </c>
      <c r="F21" s="30"/>
      <c r="G21" s="30">
        <v>6.9</v>
      </c>
      <c r="H21" s="59"/>
      <c r="I21" s="30"/>
      <c r="J21" s="30"/>
      <c r="K21" s="30"/>
      <c r="L21" s="30"/>
      <c r="M21" s="59"/>
      <c r="N21" s="30"/>
    </row>
    <row r="22">
      <c r="A22" s="93"/>
      <c r="B22" s="1" t="s">
        <v>1357</v>
      </c>
      <c r="C22" s="59"/>
      <c r="D22" s="59"/>
      <c r="F22" s="30"/>
      <c r="G22" s="30"/>
      <c r="H22" s="59"/>
      <c r="I22" s="30"/>
      <c r="J22" s="30"/>
      <c r="K22" s="30"/>
      <c r="L22" s="30"/>
      <c r="M22" s="59"/>
      <c r="N22" s="30"/>
    </row>
    <row r="23">
      <c r="A23" s="93"/>
      <c r="C23" s="59"/>
      <c r="D23" s="59"/>
      <c r="F23" s="30"/>
      <c r="G23" s="30"/>
      <c r="H23" s="59"/>
      <c r="I23" s="30"/>
      <c r="J23" s="30"/>
      <c r="K23" s="30"/>
      <c r="L23" s="30"/>
      <c r="M23" s="59"/>
      <c r="N23" s="30"/>
    </row>
    <row r="24">
      <c r="A24" s="43">
        <v>46088.0</v>
      </c>
      <c r="B24" s="44" t="s">
        <v>1358</v>
      </c>
      <c r="C24" s="59"/>
      <c r="D24" s="59">
        <v>21.0</v>
      </c>
      <c r="F24" s="59">
        <v>21.0</v>
      </c>
      <c r="G24" s="44"/>
      <c r="H24" s="44"/>
      <c r="I24" s="30"/>
      <c r="J24" s="45"/>
      <c r="K24" s="30"/>
      <c r="L24" s="59"/>
    </row>
    <row r="25">
      <c r="A25" s="43"/>
      <c r="B25" s="44" t="s">
        <v>1359</v>
      </c>
      <c r="C25" s="59"/>
      <c r="D25" s="59">
        <v>53.9</v>
      </c>
      <c r="G25" s="59"/>
      <c r="H25" s="44"/>
      <c r="I25" s="44"/>
      <c r="J25" s="59">
        <v>53.9</v>
      </c>
      <c r="K25" s="59"/>
      <c r="L25" s="44"/>
      <c r="M25" s="59"/>
      <c r="N25" s="44"/>
    </row>
    <row r="26">
      <c r="A26" s="43"/>
      <c r="B26" s="44"/>
      <c r="C26" s="59"/>
      <c r="D26" s="59"/>
      <c r="E26" s="59"/>
      <c r="F26" s="59"/>
      <c r="G26" s="44"/>
      <c r="H26" s="44"/>
      <c r="I26" s="44"/>
      <c r="J26" s="44"/>
      <c r="K26" s="44"/>
      <c r="L26" s="44"/>
      <c r="M26" s="59"/>
      <c r="N26" s="44"/>
    </row>
    <row r="27">
      <c r="A27" s="43"/>
      <c r="B27" s="44" t="s">
        <v>1360</v>
      </c>
      <c r="C27" s="59"/>
      <c r="D27" s="59">
        <v>7.5</v>
      </c>
      <c r="F27" s="59">
        <v>7.5</v>
      </c>
      <c r="G27" s="44"/>
      <c r="H27" s="45"/>
      <c r="I27" s="30"/>
      <c r="J27" s="45"/>
      <c r="K27" s="30"/>
      <c r="L27" s="59"/>
      <c r="M27" s="59"/>
      <c r="N27" s="59"/>
    </row>
    <row r="28">
      <c r="A28" s="43">
        <v>46095.0</v>
      </c>
      <c r="B28" s="44" t="s">
        <v>1361</v>
      </c>
      <c r="C28" s="59"/>
      <c r="D28" s="59">
        <v>3.0</v>
      </c>
      <c r="F28" s="59">
        <v>3.0</v>
      </c>
      <c r="G28" s="44"/>
      <c r="H28" s="45"/>
      <c r="I28" s="44"/>
      <c r="J28" s="45"/>
      <c r="K28" s="30"/>
      <c r="L28" s="59"/>
      <c r="M28" s="59"/>
      <c r="N28" s="59"/>
    </row>
    <row r="29">
      <c r="A29" s="43"/>
      <c r="B29" s="44" t="s">
        <v>1362</v>
      </c>
      <c r="C29" s="59"/>
      <c r="D29" s="59">
        <v>4.0</v>
      </c>
      <c r="F29" s="59">
        <v>4.0</v>
      </c>
      <c r="G29" s="59"/>
      <c r="H29" s="44"/>
      <c r="I29" s="30"/>
      <c r="J29" s="44"/>
      <c r="K29" s="30"/>
      <c r="L29" s="44"/>
      <c r="M29" s="59"/>
    </row>
    <row r="30">
      <c r="A30" s="43"/>
      <c r="B30" s="44" t="s">
        <v>1115</v>
      </c>
      <c r="C30" s="59"/>
      <c r="D30" s="59">
        <v>5.0</v>
      </c>
      <c r="F30" s="59">
        <v>5.0</v>
      </c>
      <c r="H30" s="16"/>
    </row>
    <row r="31">
      <c r="A31" s="43"/>
      <c r="B31" s="44" t="s">
        <v>1363</v>
      </c>
      <c r="C31" s="59"/>
      <c r="D31" s="59">
        <v>8.3</v>
      </c>
      <c r="F31" s="59">
        <v>8.3</v>
      </c>
      <c r="K31" s="59"/>
      <c r="M31" s="59"/>
    </row>
    <row r="32">
      <c r="A32" s="43"/>
      <c r="C32" s="59"/>
      <c r="D32" s="59"/>
      <c r="G32" s="59"/>
      <c r="M32" s="59"/>
    </row>
    <row r="33">
      <c r="A33" s="46"/>
      <c r="B33" s="44"/>
      <c r="C33" s="59"/>
      <c r="D33" s="59"/>
      <c r="E33" s="108"/>
      <c r="F33" s="108"/>
      <c r="K33" s="108"/>
    </row>
    <row r="34">
      <c r="A34" s="43"/>
      <c r="B34" s="44"/>
      <c r="C34" s="59"/>
      <c r="D34" s="59"/>
      <c r="E34" s="109"/>
      <c r="F34" s="110"/>
      <c r="G34" s="59"/>
      <c r="M34" s="59"/>
    </row>
    <row r="35">
      <c r="A35" s="43"/>
      <c r="B35" s="44"/>
      <c r="C35" s="59"/>
      <c r="D35" s="59"/>
      <c r="E35" s="108"/>
      <c r="F35" s="108"/>
      <c r="G35" s="59"/>
      <c r="M35" s="59"/>
    </row>
    <row r="36">
      <c r="A36" s="43"/>
      <c r="B36" s="44"/>
      <c r="C36" s="59"/>
      <c r="D36" s="59"/>
      <c r="G36" s="30"/>
      <c r="H36" s="30"/>
      <c r="I36" s="30"/>
      <c r="J36" s="30"/>
      <c r="K36" s="30"/>
      <c r="L36" s="30"/>
      <c r="M36" s="59"/>
      <c r="N36" s="30"/>
      <c r="P36" s="16"/>
      <c r="Q36" s="16"/>
      <c r="R36" s="16"/>
      <c r="S36" s="16"/>
      <c r="T36" s="16"/>
      <c r="U36" s="16"/>
      <c r="V36" s="16"/>
      <c r="W36" s="16"/>
      <c r="X36" s="16"/>
    </row>
    <row r="37">
      <c r="A37" s="43"/>
      <c r="B37" s="44"/>
      <c r="C37" s="59"/>
      <c r="D37" s="59"/>
      <c r="E37" s="59"/>
      <c r="F37" s="30"/>
    </row>
    <row r="38">
      <c r="A38" s="43"/>
      <c r="C38" s="59"/>
      <c r="D38" s="59"/>
      <c r="E38" s="59"/>
      <c r="F38" s="59"/>
      <c r="M38" s="59"/>
    </row>
    <row r="39">
      <c r="A39" s="43"/>
      <c r="B39" s="44"/>
      <c r="C39" s="59"/>
      <c r="D39" s="59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>
      <c r="A40" s="43"/>
      <c r="B40" s="44"/>
      <c r="C40" s="59"/>
      <c r="D40" s="59"/>
      <c r="M40" s="59"/>
    </row>
    <row r="41">
      <c r="A41" s="43"/>
      <c r="B41" s="44"/>
      <c r="C41" s="59"/>
      <c r="D41" s="59"/>
      <c r="E41" s="59"/>
      <c r="M41" s="59"/>
    </row>
    <row r="42">
      <c r="A42" s="41"/>
      <c r="C42" s="59"/>
      <c r="D42" s="59"/>
      <c r="F42" s="59"/>
      <c r="M42" s="59"/>
    </row>
    <row r="43">
      <c r="A43" s="41"/>
      <c r="C43" s="59"/>
      <c r="D43" s="59"/>
      <c r="J43" s="30"/>
      <c r="K43" s="59"/>
      <c r="M43" s="59"/>
    </row>
    <row r="44">
      <c r="A44" s="25"/>
      <c r="C44" s="59"/>
      <c r="D44" s="59"/>
      <c r="G44" s="59"/>
      <c r="K44" s="59"/>
    </row>
    <row r="45">
      <c r="A45" s="41"/>
      <c r="C45" s="59"/>
      <c r="D45" s="59"/>
      <c r="E45" s="59"/>
      <c r="G45" s="59"/>
    </row>
    <row r="46">
      <c r="A46" s="66"/>
      <c r="B46" s="44"/>
      <c r="C46" s="59"/>
      <c r="D46" s="59"/>
      <c r="F46" s="59"/>
    </row>
    <row r="47">
      <c r="A47" s="25"/>
      <c r="B47" s="44"/>
      <c r="C47" s="59"/>
      <c r="D47" s="59"/>
      <c r="E47" s="59"/>
      <c r="J47" s="59"/>
      <c r="M47" s="59"/>
    </row>
    <row r="48">
      <c r="A48" s="25"/>
      <c r="B48" s="44"/>
      <c r="C48" s="59"/>
      <c r="D48" s="59"/>
      <c r="J48" s="59"/>
      <c r="M48" s="59"/>
    </row>
    <row r="49">
      <c r="C49" s="59"/>
      <c r="D49" s="59"/>
      <c r="J49" s="59"/>
    </row>
    <row r="50">
      <c r="A50" s="41"/>
      <c r="C50" s="59"/>
      <c r="D50" s="59"/>
      <c r="E50" s="59"/>
      <c r="M50" s="59"/>
    </row>
    <row r="51">
      <c r="C51" s="59"/>
      <c r="D51" s="59"/>
      <c r="F51" s="59"/>
      <c r="M51" s="59"/>
    </row>
    <row r="52">
      <c r="C52" s="59"/>
      <c r="D52" s="59"/>
      <c r="F52" s="59"/>
      <c r="M52" s="59"/>
    </row>
    <row r="53">
      <c r="A53" s="41"/>
      <c r="C53" s="59"/>
      <c r="D53" s="59"/>
      <c r="F53" s="59"/>
      <c r="M53" s="59"/>
    </row>
    <row r="54">
      <c r="A54" s="41"/>
      <c r="C54" s="59"/>
      <c r="D54" s="59"/>
      <c r="M54" s="59"/>
      <c r="P54" s="59"/>
    </row>
    <row r="55">
      <c r="A55" s="41"/>
      <c r="D55" s="59"/>
      <c r="F55" s="30"/>
      <c r="M55" s="59"/>
    </row>
    <row r="56">
      <c r="C56" s="59"/>
      <c r="D56" s="59"/>
      <c r="F56" s="44"/>
      <c r="M56" s="59"/>
      <c r="P56" s="59"/>
    </row>
    <row r="57">
      <c r="D57" s="59"/>
      <c r="F57" s="44"/>
      <c r="G57" s="44"/>
      <c r="M57" s="59"/>
    </row>
    <row r="58">
      <c r="B58" s="59"/>
      <c r="D58" s="59"/>
      <c r="F58" s="59"/>
      <c r="M58" s="59"/>
    </row>
    <row r="59">
      <c r="C59" s="59"/>
      <c r="D59" s="59"/>
      <c r="L59" s="59"/>
    </row>
    <row r="60">
      <c r="A60" s="41"/>
      <c r="C60" s="60"/>
      <c r="D60" s="59"/>
      <c r="N60" s="59"/>
    </row>
    <row r="61">
      <c r="C61" s="60"/>
      <c r="D61" s="59"/>
      <c r="F61" s="59"/>
    </row>
    <row r="62">
      <c r="C62" s="60"/>
      <c r="D62" s="59"/>
      <c r="F62" s="59"/>
    </row>
    <row r="63">
      <c r="C63" s="59"/>
      <c r="D63" s="59"/>
      <c r="F63" s="59"/>
    </row>
    <row r="64">
      <c r="C64" s="60"/>
      <c r="D64" s="60"/>
    </row>
    <row r="65">
      <c r="C65" s="60"/>
      <c r="D65" s="60"/>
    </row>
    <row r="66">
      <c r="C66" s="60"/>
      <c r="D66" s="60"/>
    </row>
    <row r="67">
      <c r="C67" s="60"/>
      <c r="D67" s="60"/>
    </row>
    <row r="68">
      <c r="C68" s="60"/>
      <c r="D68" s="60"/>
    </row>
    <row r="69">
      <c r="C69" s="60"/>
      <c r="D69" s="60"/>
    </row>
    <row r="70">
      <c r="C70" s="60"/>
      <c r="D70" s="60"/>
    </row>
    <row r="71">
      <c r="C71" s="60"/>
      <c r="D71" s="60"/>
    </row>
    <row r="72">
      <c r="C72" s="60"/>
      <c r="D72" s="60"/>
    </row>
    <row r="73">
      <c r="C73" s="60"/>
      <c r="D73" s="60"/>
    </row>
    <row r="74">
      <c r="C74" s="60"/>
      <c r="D74" s="60"/>
    </row>
    <row r="75">
      <c r="C75" s="60"/>
      <c r="D75" s="60"/>
    </row>
    <row r="76">
      <c r="C76" s="60"/>
      <c r="D76" s="60"/>
    </row>
    <row r="77">
      <c r="C77" s="60"/>
      <c r="D77" s="60"/>
    </row>
    <row r="78">
      <c r="C78" s="59"/>
      <c r="D78" s="59"/>
    </row>
    <row r="79">
      <c r="C79" s="59"/>
      <c r="D79" s="59"/>
    </row>
    <row r="80">
      <c r="C80" s="59"/>
      <c r="D80" s="59"/>
    </row>
    <row r="81">
      <c r="C81" s="59"/>
      <c r="D81" s="59"/>
    </row>
    <row r="82">
      <c r="C82" s="59"/>
      <c r="D82" s="59"/>
      <c r="E82" s="44"/>
      <c r="F82" s="44"/>
      <c r="G82" s="44"/>
      <c r="H82" s="44"/>
      <c r="I82" s="44"/>
      <c r="J82" s="44"/>
    </row>
    <row r="83">
      <c r="C83" s="59"/>
      <c r="D83" s="59"/>
      <c r="E83" s="44"/>
      <c r="F83" s="44"/>
    </row>
    <row r="84">
      <c r="C84" s="59"/>
      <c r="D84" s="59"/>
      <c r="F84" s="44"/>
    </row>
    <row r="85">
      <c r="C85" s="59"/>
      <c r="D85" s="59"/>
      <c r="E85" s="44"/>
    </row>
    <row r="86">
      <c r="C86" s="59"/>
      <c r="D86" s="59"/>
    </row>
    <row r="87">
      <c r="C87" s="60"/>
      <c r="D87" s="60"/>
    </row>
    <row r="88">
      <c r="C88" s="60"/>
      <c r="D88" s="60"/>
    </row>
    <row r="89">
      <c r="C89" s="59"/>
      <c r="D89" s="59"/>
    </row>
    <row r="90">
      <c r="C90" s="60"/>
      <c r="D90" s="60"/>
    </row>
    <row r="91">
      <c r="C91" s="60"/>
      <c r="D91" s="60"/>
      <c r="E91" s="67"/>
      <c r="F91" s="67"/>
      <c r="G91" s="68"/>
      <c r="H91" s="68"/>
      <c r="I91" s="67"/>
      <c r="J91" s="68"/>
    </row>
    <row r="92">
      <c r="C92" s="60"/>
      <c r="D92" s="60"/>
      <c r="E92" s="68"/>
      <c r="F92" s="68"/>
      <c r="G92" s="68"/>
      <c r="H92" s="68"/>
      <c r="I92" s="68"/>
      <c r="J92" s="68"/>
    </row>
    <row r="93">
      <c r="C93" s="60"/>
      <c r="D93" s="60"/>
    </row>
    <row r="94">
      <c r="C94" s="60"/>
      <c r="D94" s="60"/>
    </row>
    <row r="95">
      <c r="C95" s="60"/>
      <c r="D95" s="60"/>
    </row>
    <row r="96">
      <c r="C96" s="60"/>
      <c r="D96" s="60"/>
    </row>
    <row r="97">
      <c r="C97" s="60"/>
      <c r="D97" s="60"/>
    </row>
    <row r="98">
      <c r="C98" s="60"/>
      <c r="D98" s="60"/>
    </row>
    <row r="99">
      <c r="C99" s="60"/>
      <c r="D99" s="60"/>
    </row>
    <row r="100">
      <c r="C100" s="60"/>
      <c r="D100" s="60"/>
    </row>
    <row r="101">
      <c r="C101" s="60"/>
      <c r="D101" s="60"/>
    </row>
    <row r="102">
      <c r="C102" s="60"/>
      <c r="D102" s="60"/>
    </row>
    <row r="103">
      <c r="C103" s="60"/>
      <c r="D103" s="60"/>
    </row>
    <row r="104">
      <c r="C104" s="60"/>
      <c r="D104" s="60"/>
    </row>
    <row r="105">
      <c r="C105" s="60"/>
      <c r="D105" s="60"/>
    </row>
    <row r="106">
      <c r="C106" s="60"/>
      <c r="D106" s="60"/>
    </row>
    <row r="107">
      <c r="C107" s="60"/>
      <c r="D107" s="60"/>
    </row>
    <row r="108">
      <c r="C108" s="60"/>
      <c r="D108" s="60"/>
    </row>
    <row r="109">
      <c r="C109" s="60"/>
      <c r="D109" s="60"/>
    </row>
    <row r="110">
      <c r="C110" s="60"/>
      <c r="D110" s="60"/>
    </row>
    <row r="111">
      <c r="C111" s="60"/>
      <c r="D111" s="60"/>
    </row>
    <row r="112">
      <c r="C112" s="60"/>
      <c r="D112" s="60"/>
    </row>
    <row r="113">
      <c r="C113" s="60"/>
      <c r="D113" s="60"/>
    </row>
    <row r="114">
      <c r="C114" s="60"/>
      <c r="D114" s="60"/>
    </row>
    <row r="115">
      <c r="C115" s="60"/>
      <c r="D115" s="60"/>
    </row>
    <row r="116">
      <c r="C116" s="60"/>
      <c r="D116" s="60"/>
    </row>
    <row r="117">
      <c r="C117" s="60"/>
      <c r="D117" s="60"/>
    </row>
    <row r="118">
      <c r="C118" s="60"/>
      <c r="D118" s="60"/>
    </row>
    <row r="119">
      <c r="C119" s="60"/>
      <c r="D119" s="60"/>
    </row>
    <row r="120">
      <c r="C120" s="60"/>
      <c r="D120" s="60"/>
    </row>
    <row r="121">
      <c r="C121" s="60"/>
      <c r="D121" s="60"/>
    </row>
    <row r="122">
      <c r="C122" s="60"/>
      <c r="D122" s="60"/>
    </row>
    <row r="123">
      <c r="C123" s="60"/>
      <c r="D123" s="60"/>
    </row>
    <row r="124">
      <c r="C124" s="60"/>
      <c r="D124" s="60"/>
    </row>
    <row r="125">
      <c r="C125" s="60"/>
      <c r="D125" s="60"/>
    </row>
    <row r="126">
      <c r="C126" s="60"/>
      <c r="D126" s="60"/>
    </row>
    <row r="127">
      <c r="C127" s="60"/>
      <c r="D127" s="60"/>
    </row>
    <row r="128">
      <c r="C128" s="60"/>
      <c r="D128" s="60"/>
    </row>
    <row r="129">
      <c r="C129" s="60"/>
      <c r="D129" s="60"/>
    </row>
    <row r="130">
      <c r="C130" s="60"/>
      <c r="D130" s="60"/>
    </row>
    <row r="131">
      <c r="C131" s="60"/>
      <c r="D131" s="60"/>
    </row>
    <row r="132">
      <c r="C132" s="60"/>
      <c r="D132" s="60"/>
    </row>
    <row r="133">
      <c r="C133" s="60"/>
      <c r="D133" s="60"/>
    </row>
    <row r="134">
      <c r="C134" s="60"/>
      <c r="D134" s="60"/>
    </row>
    <row r="135">
      <c r="C135" s="60"/>
      <c r="D135" s="60"/>
    </row>
    <row r="136">
      <c r="C136" s="60"/>
      <c r="D136" s="60"/>
    </row>
    <row r="137">
      <c r="C137" s="60"/>
      <c r="D137" s="60"/>
    </row>
    <row r="138">
      <c r="C138" s="60"/>
      <c r="D138" s="60"/>
    </row>
    <row r="139">
      <c r="C139" s="60"/>
      <c r="D139" s="60"/>
    </row>
    <row r="140">
      <c r="C140" s="60"/>
      <c r="D140" s="60"/>
    </row>
    <row r="141">
      <c r="C141" s="60"/>
      <c r="D141" s="60"/>
    </row>
    <row r="142">
      <c r="C142" s="60"/>
      <c r="D142" s="60"/>
    </row>
    <row r="143">
      <c r="C143" s="60"/>
      <c r="D143" s="60"/>
    </row>
    <row r="144">
      <c r="C144" s="60"/>
      <c r="D144" s="60"/>
    </row>
    <row r="145">
      <c r="C145" s="60"/>
      <c r="D145" s="60"/>
    </row>
    <row r="146">
      <c r="C146" s="60"/>
      <c r="D146" s="60"/>
    </row>
    <row r="147">
      <c r="C147" s="60"/>
      <c r="D147" s="60"/>
    </row>
    <row r="148">
      <c r="C148" s="60"/>
      <c r="D148" s="60"/>
    </row>
    <row r="149">
      <c r="C149" s="60"/>
      <c r="D149" s="60"/>
    </row>
    <row r="150">
      <c r="C150" s="60"/>
      <c r="D150" s="60"/>
    </row>
    <row r="151">
      <c r="C151" s="60"/>
      <c r="D151" s="60"/>
    </row>
    <row r="152">
      <c r="C152" s="60"/>
      <c r="D152" s="60"/>
    </row>
    <row r="153">
      <c r="C153" s="60"/>
      <c r="D153" s="60"/>
    </row>
    <row r="154">
      <c r="C154" s="60"/>
      <c r="D154" s="60"/>
    </row>
    <row r="155">
      <c r="C155" s="60"/>
      <c r="D155" s="60"/>
    </row>
    <row r="156">
      <c r="C156" s="60"/>
      <c r="D156" s="60"/>
    </row>
    <row r="157">
      <c r="C157" s="60"/>
      <c r="D157" s="60"/>
    </row>
    <row r="158">
      <c r="C158" s="60"/>
      <c r="D158" s="60"/>
    </row>
    <row r="159">
      <c r="C159" s="60"/>
      <c r="D159" s="60"/>
    </row>
    <row r="160">
      <c r="C160" s="60"/>
      <c r="D160" s="60"/>
    </row>
    <row r="161">
      <c r="C161" s="60"/>
      <c r="D161" s="60"/>
    </row>
    <row r="162">
      <c r="C162" s="60"/>
      <c r="D162" s="60"/>
    </row>
    <row r="163">
      <c r="C163" s="60"/>
      <c r="D163" s="60"/>
    </row>
    <row r="164">
      <c r="C164" s="60"/>
      <c r="D164" s="60"/>
    </row>
    <row r="165">
      <c r="C165" s="60"/>
      <c r="D165" s="60"/>
    </row>
    <row r="166">
      <c r="C166" s="60"/>
      <c r="D166" s="60"/>
    </row>
    <row r="167">
      <c r="C167" s="60"/>
      <c r="D167" s="60"/>
    </row>
    <row r="168">
      <c r="C168" s="60"/>
      <c r="D168" s="60"/>
    </row>
    <row r="169">
      <c r="C169" s="60"/>
      <c r="D169" s="60"/>
    </row>
    <row r="170">
      <c r="C170" s="60"/>
      <c r="D170" s="60"/>
    </row>
    <row r="171">
      <c r="C171" s="60"/>
      <c r="D171" s="60"/>
    </row>
    <row r="172">
      <c r="C172" s="60"/>
      <c r="D172" s="60"/>
    </row>
    <row r="173">
      <c r="C173" s="60"/>
      <c r="D173" s="60"/>
    </row>
    <row r="174">
      <c r="C174" s="60"/>
      <c r="D174" s="60"/>
    </row>
    <row r="175">
      <c r="C175" s="60"/>
      <c r="D175" s="60"/>
    </row>
    <row r="176">
      <c r="C176" s="60"/>
      <c r="D176" s="60"/>
    </row>
    <row r="177">
      <c r="C177" s="60"/>
      <c r="D177" s="60"/>
    </row>
    <row r="178">
      <c r="C178" s="60"/>
      <c r="D178" s="60"/>
    </row>
    <row r="179">
      <c r="C179" s="60"/>
      <c r="D179" s="60"/>
    </row>
    <row r="180">
      <c r="C180" s="60"/>
      <c r="D180" s="60"/>
    </row>
    <row r="181">
      <c r="C181" s="60"/>
      <c r="D181" s="60"/>
    </row>
    <row r="182">
      <c r="C182" s="60"/>
      <c r="D182" s="60"/>
    </row>
    <row r="183">
      <c r="C183" s="60"/>
      <c r="D183" s="60"/>
    </row>
    <row r="184">
      <c r="C184" s="60"/>
      <c r="D184" s="60"/>
    </row>
    <row r="185">
      <c r="C185" s="60"/>
      <c r="D185" s="60"/>
    </row>
    <row r="186">
      <c r="C186" s="60"/>
      <c r="D186" s="60"/>
    </row>
    <row r="187">
      <c r="C187" s="60"/>
      <c r="D187" s="60"/>
    </row>
    <row r="188">
      <c r="C188" s="60"/>
      <c r="D188" s="60"/>
    </row>
    <row r="189">
      <c r="C189" s="60"/>
      <c r="D189" s="60"/>
    </row>
    <row r="190">
      <c r="C190" s="60"/>
      <c r="D190" s="60"/>
    </row>
    <row r="191">
      <c r="C191" s="60"/>
      <c r="D191" s="60"/>
    </row>
    <row r="192">
      <c r="C192" s="60"/>
      <c r="D192" s="60"/>
    </row>
    <row r="193">
      <c r="C193" s="60"/>
      <c r="D193" s="60"/>
    </row>
    <row r="194">
      <c r="C194" s="60"/>
      <c r="D194" s="60"/>
    </row>
    <row r="195">
      <c r="C195" s="60"/>
      <c r="D195" s="60"/>
    </row>
    <row r="196">
      <c r="C196" s="60"/>
      <c r="D196" s="60"/>
    </row>
    <row r="197">
      <c r="C197" s="60"/>
      <c r="D197" s="60"/>
    </row>
    <row r="198">
      <c r="C198" s="60"/>
      <c r="D198" s="60"/>
    </row>
    <row r="199">
      <c r="C199" s="60"/>
      <c r="D199" s="60"/>
    </row>
    <row r="200">
      <c r="C200" s="60"/>
      <c r="D200" s="60"/>
    </row>
    <row r="201">
      <c r="C201" s="60"/>
      <c r="D201" s="60"/>
    </row>
    <row r="202">
      <c r="C202" s="60"/>
      <c r="D202" s="60"/>
    </row>
    <row r="203">
      <c r="C203" s="60"/>
      <c r="D203" s="60"/>
    </row>
    <row r="204">
      <c r="C204" s="60"/>
      <c r="D204" s="60"/>
    </row>
    <row r="205">
      <c r="C205" s="60"/>
      <c r="D205" s="60"/>
    </row>
    <row r="206">
      <c r="C206" s="60"/>
      <c r="D206" s="60"/>
    </row>
    <row r="207">
      <c r="C207" s="60"/>
      <c r="D207" s="60"/>
    </row>
    <row r="208">
      <c r="C208" s="60"/>
      <c r="D208" s="60"/>
    </row>
    <row r="209">
      <c r="C209" s="60"/>
      <c r="D209" s="60"/>
    </row>
    <row r="210">
      <c r="C210" s="60"/>
      <c r="D210" s="60"/>
    </row>
    <row r="211">
      <c r="C211" s="60"/>
      <c r="D211" s="60"/>
    </row>
    <row r="212">
      <c r="C212" s="60"/>
      <c r="D212" s="60"/>
    </row>
    <row r="213">
      <c r="C213" s="60"/>
      <c r="D213" s="60"/>
    </row>
    <row r="214">
      <c r="C214" s="60"/>
      <c r="D214" s="60"/>
    </row>
    <row r="215">
      <c r="C215" s="60"/>
      <c r="D215" s="60"/>
    </row>
    <row r="216">
      <c r="C216" s="60"/>
      <c r="D216" s="60"/>
    </row>
    <row r="217">
      <c r="C217" s="60"/>
      <c r="D217" s="60"/>
    </row>
    <row r="218">
      <c r="C218" s="60"/>
      <c r="D218" s="60"/>
    </row>
    <row r="219">
      <c r="C219" s="60"/>
      <c r="D219" s="60"/>
    </row>
    <row r="220">
      <c r="C220" s="60"/>
      <c r="D220" s="60"/>
    </row>
    <row r="221">
      <c r="C221" s="60"/>
      <c r="D221" s="60"/>
    </row>
    <row r="222">
      <c r="C222" s="60"/>
      <c r="D222" s="60"/>
    </row>
    <row r="223">
      <c r="C223" s="60"/>
      <c r="D223" s="60"/>
    </row>
    <row r="224">
      <c r="C224" s="60"/>
      <c r="D224" s="60"/>
    </row>
    <row r="225">
      <c r="C225" s="60"/>
      <c r="D225" s="60"/>
    </row>
    <row r="226">
      <c r="C226" s="60"/>
      <c r="D226" s="60"/>
    </row>
    <row r="227">
      <c r="C227" s="60"/>
      <c r="D227" s="60"/>
    </row>
    <row r="228">
      <c r="C228" s="60"/>
      <c r="D228" s="60"/>
    </row>
    <row r="229">
      <c r="C229" s="60"/>
      <c r="D229" s="60"/>
    </row>
    <row r="230">
      <c r="C230" s="60"/>
      <c r="D230" s="60"/>
    </row>
    <row r="231">
      <c r="C231" s="60"/>
      <c r="D231" s="60"/>
    </row>
    <row r="232">
      <c r="C232" s="60"/>
      <c r="D232" s="60"/>
    </row>
    <row r="233">
      <c r="C233" s="60"/>
      <c r="D233" s="60"/>
    </row>
    <row r="234">
      <c r="C234" s="60"/>
      <c r="D234" s="60"/>
    </row>
    <row r="235">
      <c r="C235" s="60"/>
      <c r="D235" s="60"/>
    </row>
    <row r="236">
      <c r="C236" s="60"/>
      <c r="D236" s="60"/>
    </row>
    <row r="237">
      <c r="C237" s="60"/>
      <c r="D237" s="60"/>
    </row>
    <row r="238">
      <c r="C238" s="60"/>
      <c r="D238" s="60"/>
    </row>
    <row r="239">
      <c r="C239" s="60"/>
      <c r="D239" s="60"/>
    </row>
    <row r="240">
      <c r="C240" s="60"/>
      <c r="D240" s="60"/>
    </row>
    <row r="241">
      <c r="C241" s="60"/>
      <c r="D241" s="60"/>
    </row>
    <row r="242">
      <c r="C242" s="60"/>
      <c r="D242" s="60"/>
    </row>
    <row r="243">
      <c r="C243" s="60"/>
      <c r="D243" s="60"/>
    </row>
    <row r="244">
      <c r="C244" s="60"/>
      <c r="D244" s="60"/>
    </row>
    <row r="245">
      <c r="C245" s="60"/>
      <c r="D245" s="60"/>
    </row>
    <row r="246">
      <c r="C246" s="60"/>
      <c r="D246" s="60"/>
    </row>
    <row r="247">
      <c r="C247" s="60"/>
      <c r="D247" s="60"/>
    </row>
    <row r="248">
      <c r="C248" s="60"/>
      <c r="D248" s="60"/>
    </row>
    <row r="249">
      <c r="C249" s="60"/>
      <c r="D249" s="60"/>
    </row>
    <row r="250">
      <c r="C250" s="60"/>
      <c r="D250" s="60"/>
    </row>
    <row r="251">
      <c r="C251" s="60"/>
      <c r="D251" s="60"/>
    </row>
    <row r="252">
      <c r="C252" s="60"/>
      <c r="D252" s="60"/>
    </row>
    <row r="253">
      <c r="C253" s="60"/>
      <c r="D253" s="60"/>
    </row>
    <row r="254">
      <c r="C254" s="60"/>
      <c r="D254" s="60"/>
    </row>
    <row r="255">
      <c r="C255" s="60"/>
      <c r="D255" s="60"/>
    </row>
    <row r="256">
      <c r="C256" s="60"/>
      <c r="D256" s="60"/>
    </row>
    <row r="257">
      <c r="C257" s="60"/>
      <c r="D257" s="60"/>
    </row>
    <row r="258">
      <c r="C258" s="60"/>
      <c r="D258" s="60"/>
    </row>
    <row r="259">
      <c r="C259" s="60"/>
      <c r="D259" s="60"/>
    </row>
    <row r="260">
      <c r="C260" s="60"/>
      <c r="D260" s="60"/>
    </row>
    <row r="261">
      <c r="C261" s="60"/>
      <c r="D261" s="60"/>
    </row>
    <row r="262">
      <c r="C262" s="60"/>
      <c r="D262" s="60"/>
    </row>
    <row r="263">
      <c r="C263" s="60"/>
      <c r="D263" s="60"/>
    </row>
    <row r="264">
      <c r="C264" s="60"/>
      <c r="D264" s="60"/>
    </row>
    <row r="265">
      <c r="C265" s="60"/>
      <c r="D265" s="60"/>
    </row>
    <row r="266">
      <c r="C266" s="60"/>
      <c r="D266" s="60"/>
    </row>
    <row r="267">
      <c r="C267" s="60"/>
      <c r="D267" s="60"/>
    </row>
    <row r="268">
      <c r="C268" s="60"/>
      <c r="D268" s="60"/>
    </row>
    <row r="269">
      <c r="C269" s="60"/>
      <c r="D269" s="60"/>
    </row>
    <row r="270">
      <c r="C270" s="60"/>
      <c r="D270" s="60"/>
    </row>
    <row r="271">
      <c r="C271" s="60"/>
      <c r="D271" s="60"/>
    </row>
    <row r="272">
      <c r="C272" s="60"/>
      <c r="D272" s="60"/>
    </row>
    <row r="273">
      <c r="C273" s="60"/>
      <c r="D273" s="60"/>
    </row>
    <row r="274">
      <c r="C274" s="60"/>
      <c r="D274" s="60"/>
    </row>
    <row r="275">
      <c r="C275" s="60"/>
      <c r="D275" s="60"/>
    </row>
    <row r="276">
      <c r="C276" s="60"/>
      <c r="D276" s="60"/>
    </row>
    <row r="277">
      <c r="C277" s="60"/>
      <c r="D277" s="60"/>
    </row>
    <row r="278">
      <c r="C278" s="60"/>
      <c r="D278" s="60"/>
    </row>
    <row r="279">
      <c r="C279" s="60"/>
      <c r="D279" s="60"/>
    </row>
    <row r="280">
      <c r="C280" s="60"/>
      <c r="D280" s="60"/>
    </row>
    <row r="281">
      <c r="C281" s="60"/>
      <c r="D281" s="60"/>
    </row>
    <row r="282">
      <c r="C282" s="60"/>
      <c r="D282" s="60"/>
    </row>
    <row r="283">
      <c r="C283" s="60"/>
      <c r="D283" s="60"/>
    </row>
    <row r="284">
      <c r="C284" s="60"/>
      <c r="D284" s="60"/>
    </row>
    <row r="285">
      <c r="C285" s="60"/>
      <c r="D285" s="60"/>
    </row>
    <row r="286">
      <c r="C286" s="60"/>
      <c r="D286" s="60"/>
    </row>
    <row r="287">
      <c r="C287" s="60"/>
      <c r="D287" s="60"/>
    </row>
    <row r="288">
      <c r="C288" s="60"/>
      <c r="D288" s="60"/>
    </row>
    <row r="289">
      <c r="C289" s="60"/>
      <c r="D289" s="60"/>
    </row>
    <row r="290">
      <c r="C290" s="60"/>
      <c r="D290" s="60"/>
    </row>
    <row r="291">
      <c r="C291" s="60"/>
      <c r="D291" s="60"/>
    </row>
    <row r="292">
      <c r="C292" s="60"/>
      <c r="D292" s="60"/>
    </row>
    <row r="293">
      <c r="C293" s="60"/>
      <c r="D293" s="60"/>
    </row>
    <row r="294">
      <c r="C294" s="60"/>
      <c r="D294" s="60"/>
    </row>
    <row r="295">
      <c r="C295" s="60"/>
      <c r="D295" s="60"/>
    </row>
    <row r="296">
      <c r="C296" s="60"/>
      <c r="D296" s="60"/>
    </row>
    <row r="297">
      <c r="C297" s="60"/>
      <c r="D297" s="60"/>
    </row>
    <row r="298">
      <c r="C298" s="60"/>
      <c r="D298" s="60"/>
    </row>
    <row r="299">
      <c r="C299" s="60"/>
      <c r="D299" s="60"/>
    </row>
    <row r="300">
      <c r="C300" s="60"/>
      <c r="D300" s="60"/>
    </row>
    <row r="301">
      <c r="C301" s="60"/>
      <c r="D301" s="60"/>
    </row>
    <row r="302">
      <c r="C302" s="60"/>
      <c r="D302" s="60"/>
    </row>
    <row r="303">
      <c r="C303" s="60"/>
      <c r="D303" s="60"/>
    </row>
    <row r="304">
      <c r="C304" s="60"/>
      <c r="D304" s="60"/>
    </row>
    <row r="305">
      <c r="C305" s="60"/>
      <c r="D305" s="60"/>
    </row>
    <row r="306">
      <c r="C306" s="60"/>
      <c r="D306" s="60"/>
    </row>
    <row r="307">
      <c r="C307" s="60"/>
      <c r="D307" s="60"/>
    </row>
    <row r="308">
      <c r="C308" s="60"/>
      <c r="D308" s="60"/>
    </row>
    <row r="309">
      <c r="C309" s="60"/>
      <c r="D309" s="60"/>
    </row>
    <row r="310">
      <c r="C310" s="60"/>
      <c r="D310" s="60"/>
    </row>
    <row r="311">
      <c r="C311" s="60"/>
      <c r="D311" s="60"/>
    </row>
    <row r="312">
      <c r="C312" s="60"/>
      <c r="D312" s="60"/>
    </row>
    <row r="313">
      <c r="C313" s="60"/>
      <c r="D313" s="60"/>
    </row>
    <row r="314">
      <c r="C314" s="60"/>
      <c r="D314" s="60"/>
    </row>
    <row r="315">
      <c r="C315" s="60"/>
      <c r="D315" s="60"/>
    </row>
    <row r="316">
      <c r="C316" s="60"/>
      <c r="D316" s="60"/>
    </row>
    <row r="317">
      <c r="C317" s="60"/>
      <c r="D317" s="60"/>
    </row>
    <row r="318">
      <c r="C318" s="60"/>
      <c r="D318" s="60"/>
    </row>
    <row r="319">
      <c r="C319" s="60"/>
      <c r="D319" s="60"/>
    </row>
    <row r="320">
      <c r="C320" s="60"/>
      <c r="D320" s="60"/>
    </row>
    <row r="321">
      <c r="C321" s="60"/>
      <c r="D321" s="60"/>
    </row>
    <row r="322">
      <c r="C322" s="60"/>
      <c r="D322" s="60"/>
    </row>
    <row r="323">
      <c r="C323" s="60"/>
      <c r="D323" s="60"/>
    </row>
    <row r="324">
      <c r="C324" s="60"/>
      <c r="D324" s="60"/>
    </row>
    <row r="325">
      <c r="C325" s="60"/>
      <c r="D325" s="60"/>
    </row>
    <row r="326">
      <c r="C326" s="60"/>
      <c r="D326" s="60"/>
    </row>
    <row r="327">
      <c r="C327" s="60"/>
      <c r="D327" s="60"/>
    </row>
    <row r="328">
      <c r="C328" s="60"/>
      <c r="D328" s="60"/>
    </row>
    <row r="329">
      <c r="C329" s="60"/>
      <c r="D329" s="60"/>
    </row>
    <row r="330">
      <c r="C330" s="60"/>
      <c r="D330" s="60"/>
    </row>
    <row r="331">
      <c r="C331" s="60"/>
      <c r="D331" s="60"/>
    </row>
    <row r="332">
      <c r="C332" s="60"/>
      <c r="D332" s="60"/>
    </row>
    <row r="333">
      <c r="C333" s="60"/>
      <c r="D333" s="60"/>
    </row>
    <row r="334">
      <c r="C334" s="60"/>
      <c r="D334" s="60"/>
    </row>
    <row r="335">
      <c r="C335" s="60"/>
      <c r="D335" s="60"/>
    </row>
    <row r="336">
      <c r="C336" s="60"/>
      <c r="D336" s="60"/>
    </row>
    <row r="337">
      <c r="C337" s="60"/>
      <c r="D337" s="60"/>
    </row>
    <row r="338">
      <c r="C338" s="60"/>
      <c r="D338" s="60"/>
    </row>
    <row r="339">
      <c r="C339" s="60"/>
      <c r="D339" s="60"/>
    </row>
    <row r="340">
      <c r="C340" s="60"/>
      <c r="D340" s="60"/>
    </row>
    <row r="341">
      <c r="C341" s="60"/>
      <c r="D341" s="60"/>
    </row>
    <row r="342">
      <c r="C342" s="60"/>
      <c r="D342" s="60"/>
    </row>
    <row r="343">
      <c r="C343" s="60"/>
      <c r="D343" s="60"/>
    </row>
    <row r="344">
      <c r="C344" s="60"/>
      <c r="D344" s="60"/>
    </row>
    <row r="345">
      <c r="C345" s="60"/>
      <c r="D345" s="60"/>
    </row>
    <row r="346">
      <c r="C346" s="60"/>
      <c r="D346" s="60"/>
    </row>
    <row r="347">
      <c r="C347" s="60"/>
      <c r="D347" s="60"/>
    </row>
    <row r="348">
      <c r="C348" s="60"/>
      <c r="D348" s="60"/>
    </row>
    <row r="349">
      <c r="C349" s="60"/>
      <c r="D349" s="60"/>
    </row>
    <row r="350">
      <c r="C350" s="60"/>
      <c r="D350" s="60"/>
    </row>
    <row r="351">
      <c r="C351" s="60"/>
      <c r="D351" s="60"/>
    </row>
    <row r="352">
      <c r="C352" s="60"/>
      <c r="D352" s="60"/>
    </row>
    <row r="353">
      <c r="C353" s="60"/>
      <c r="D353" s="60"/>
    </row>
    <row r="354">
      <c r="C354" s="60"/>
      <c r="D354" s="60"/>
    </row>
    <row r="355">
      <c r="C355" s="60"/>
      <c r="D355" s="60"/>
    </row>
    <row r="356">
      <c r="C356" s="60"/>
      <c r="D356" s="60"/>
    </row>
    <row r="357">
      <c r="C357" s="60"/>
      <c r="D357" s="60"/>
    </row>
    <row r="358">
      <c r="C358" s="60"/>
      <c r="D358" s="60"/>
    </row>
    <row r="359">
      <c r="C359" s="60"/>
      <c r="D359" s="60"/>
    </row>
    <row r="360">
      <c r="C360" s="60"/>
      <c r="D360" s="60"/>
    </row>
    <row r="361">
      <c r="C361" s="60"/>
      <c r="D361" s="60"/>
    </row>
    <row r="362">
      <c r="C362" s="60"/>
      <c r="D362" s="60"/>
    </row>
    <row r="363">
      <c r="C363" s="60"/>
      <c r="D363" s="60"/>
    </row>
    <row r="364">
      <c r="C364" s="60"/>
      <c r="D364" s="60"/>
    </row>
    <row r="365">
      <c r="C365" s="60"/>
      <c r="D365" s="60"/>
    </row>
    <row r="366">
      <c r="C366" s="60"/>
      <c r="D366" s="60"/>
    </row>
    <row r="367">
      <c r="C367" s="60"/>
      <c r="D367" s="60"/>
    </row>
    <row r="368">
      <c r="C368" s="60"/>
      <c r="D368" s="60"/>
    </row>
    <row r="369">
      <c r="C369" s="60"/>
      <c r="D369" s="60"/>
    </row>
    <row r="370">
      <c r="C370" s="60"/>
      <c r="D370" s="60"/>
    </row>
    <row r="371">
      <c r="C371" s="60"/>
      <c r="D371" s="60"/>
    </row>
    <row r="372">
      <c r="C372" s="60"/>
      <c r="D372" s="60"/>
    </row>
    <row r="373">
      <c r="C373" s="60"/>
      <c r="D373" s="60"/>
    </row>
    <row r="374">
      <c r="C374" s="60"/>
      <c r="D374" s="60"/>
    </row>
    <row r="375">
      <c r="C375" s="60"/>
      <c r="D375" s="60"/>
    </row>
    <row r="376">
      <c r="C376" s="60"/>
      <c r="D376" s="60"/>
    </row>
    <row r="377">
      <c r="C377" s="60"/>
      <c r="D377" s="60"/>
    </row>
    <row r="378">
      <c r="C378" s="60"/>
      <c r="D378" s="60"/>
    </row>
    <row r="379">
      <c r="C379" s="60"/>
      <c r="D379" s="60"/>
    </row>
    <row r="380">
      <c r="C380" s="60"/>
      <c r="D380" s="60"/>
    </row>
    <row r="381">
      <c r="C381" s="60"/>
      <c r="D381" s="60"/>
    </row>
    <row r="382">
      <c r="C382" s="60"/>
      <c r="D382" s="60"/>
    </row>
    <row r="383">
      <c r="C383" s="60"/>
      <c r="D383" s="60"/>
    </row>
    <row r="384">
      <c r="C384" s="60"/>
      <c r="D384" s="60"/>
    </row>
    <row r="385">
      <c r="C385" s="60"/>
      <c r="D385" s="60"/>
    </row>
    <row r="386">
      <c r="C386" s="60"/>
      <c r="D386" s="60"/>
    </row>
    <row r="387">
      <c r="C387" s="60"/>
      <c r="D387" s="60"/>
    </row>
    <row r="388">
      <c r="C388" s="60"/>
      <c r="D388" s="60"/>
    </row>
    <row r="389">
      <c r="C389" s="60"/>
      <c r="D389" s="60"/>
    </row>
    <row r="390">
      <c r="C390" s="60"/>
      <c r="D390" s="60"/>
    </row>
    <row r="391">
      <c r="C391" s="60"/>
      <c r="D391" s="60"/>
    </row>
    <row r="392">
      <c r="C392" s="60"/>
      <c r="D392" s="60"/>
    </row>
    <row r="393">
      <c r="C393" s="60"/>
      <c r="D393" s="60"/>
    </row>
    <row r="394">
      <c r="C394" s="60"/>
      <c r="D394" s="60"/>
    </row>
    <row r="395">
      <c r="C395" s="60"/>
      <c r="D395" s="60"/>
    </row>
    <row r="396">
      <c r="C396" s="60"/>
      <c r="D396" s="60"/>
    </row>
    <row r="397">
      <c r="C397" s="60"/>
      <c r="D397" s="60"/>
    </row>
    <row r="398">
      <c r="C398" s="60"/>
      <c r="D398" s="60"/>
    </row>
    <row r="399">
      <c r="C399" s="60"/>
      <c r="D399" s="60"/>
    </row>
    <row r="400">
      <c r="C400" s="60"/>
      <c r="D400" s="60"/>
    </row>
    <row r="401">
      <c r="C401" s="60"/>
      <c r="D401" s="60"/>
    </row>
    <row r="402">
      <c r="C402" s="60"/>
      <c r="D402" s="60"/>
    </row>
    <row r="403">
      <c r="C403" s="60"/>
      <c r="D403" s="60"/>
    </row>
    <row r="404">
      <c r="C404" s="60"/>
      <c r="D404" s="60"/>
    </row>
    <row r="405">
      <c r="C405" s="60"/>
      <c r="D405" s="60"/>
    </row>
    <row r="406">
      <c r="C406" s="60"/>
      <c r="D406" s="60"/>
    </row>
    <row r="407">
      <c r="C407" s="60"/>
      <c r="D407" s="60"/>
    </row>
    <row r="408">
      <c r="C408" s="60"/>
      <c r="D408" s="60"/>
    </row>
    <row r="409">
      <c r="C409" s="60"/>
      <c r="D409" s="60"/>
    </row>
    <row r="410">
      <c r="C410" s="60"/>
      <c r="D410" s="60"/>
    </row>
    <row r="411">
      <c r="C411" s="60"/>
      <c r="D411" s="60"/>
    </row>
    <row r="412">
      <c r="C412" s="60"/>
      <c r="D412" s="60"/>
    </row>
    <row r="413">
      <c r="C413" s="60"/>
      <c r="D413" s="60"/>
    </row>
    <row r="414">
      <c r="C414" s="60"/>
      <c r="D414" s="60"/>
    </row>
    <row r="415">
      <c r="C415" s="60"/>
      <c r="D415" s="60"/>
    </row>
    <row r="416">
      <c r="C416" s="60"/>
      <c r="D416" s="60"/>
    </row>
    <row r="417">
      <c r="C417" s="60"/>
      <c r="D417" s="60"/>
    </row>
    <row r="418">
      <c r="C418" s="60"/>
      <c r="D418" s="60"/>
    </row>
    <row r="419">
      <c r="C419" s="60"/>
      <c r="D419" s="60"/>
    </row>
    <row r="420">
      <c r="C420" s="60"/>
      <c r="D420" s="60"/>
    </row>
    <row r="421">
      <c r="C421" s="60"/>
      <c r="D421" s="60"/>
    </row>
    <row r="422">
      <c r="C422" s="60"/>
      <c r="D422" s="60"/>
    </row>
    <row r="423">
      <c r="C423" s="60"/>
      <c r="D423" s="60"/>
    </row>
    <row r="424">
      <c r="C424" s="60"/>
      <c r="D424" s="60"/>
    </row>
    <row r="425">
      <c r="C425" s="60"/>
      <c r="D425" s="60"/>
    </row>
    <row r="426">
      <c r="C426" s="60"/>
      <c r="D426" s="60"/>
    </row>
    <row r="427">
      <c r="C427" s="60"/>
      <c r="D427" s="60"/>
    </row>
    <row r="428">
      <c r="C428" s="60"/>
      <c r="D428" s="60"/>
    </row>
    <row r="429">
      <c r="C429" s="60"/>
      <c r="D429" s="60"/>
    </row>
    <row r="430">
      <c r="C430" s="60"/>
      <c r="D430" s="60"/>
    </row>
    <row r="431">
      <c r="C431" s="60"/>
      <c r="D431" s="60"/>
    </row>
    <row r="432">
      <c r="C432" s="60"/>
      <c r="D432" s="60"/>
    </row>
    <row r="433">
      <c r="C433" s="60"/>
      <c r="D433" s="60"/>
    </row>
    <row r="434">
      <c r="C434" s="60"/>
      <c r="D434" s="60"/>
    </row>
    <row r="435">
      <c r="C435" s="60"/>
      <c r="D435" s="60"/>
    </row>
    <row r="436">
      <c r="C436" s="60"/>
      <c r="D436" s="60"/>
    </row>
    <row r="437">
      <c r="C437" s="60"/>
      <c r="D437" s="60"/>
    </row>
    <row r="438">
      <c r="C438" s="60"/>
      <c r="D438" s="60"/>
    </row>
    <row r="439">
      <c r="C439" s="60"/>
      <c r="D439" s="60"/>
    </row>
    <row r="440">
      <c r="C440" s="60"/>
      <c r="D440" s="60"/>
    </row>
    <row r="441">
      <c r="C441" s="60"/>
      <c r="D441" s="60"/>
    </row>
    <row r="442">
      <c r="C442" s="60"/>
      <c r="D442" s="60"/>
    </row>
    <row r="443">
      <c r="C443" s="60"/>
      <c r="D443" s="60"/>
    </row>
    <row r="444">
      <c r="C444" s="60"/>
      <c r="D444" s="60"/>
    </row>
    <row r="445">
      <c r="C445" s="60"/>
      <c r="D445" s="60"/>
    </row>
    <row r="446">
      <c r="C446" s="60"/>
      <c r="D446" s="60"/>
    </row>
    <row r="447">
      <c r="C447" s="60"/>
      <c r="D447" s="60"/>
    </row>
    <row r="448">
      <c r="C448" s="60"/>
      <c r="D448" s="60"/>
    </row>
    <row r="449">
      <c r="C449" s="60"/>
      <c r="D449" s="60"/>
    </row>
    <row r="450">
      <c r="C450" s="60"/>
      <c r="D450" s="60"/>
    </row>
    <row r="451">
      <c r="C451" s="60"/>
      <c r="D451" s="60"/>
    </row>
    <row r="452">
      <c r="C452" s="60"/>
      <c r="D452" s="60"/>
    </row>
    <row r="453">
      <c r="C453" s="60"/>
      <c r="D453" s="60"/>
    </row>
    <row r="454">
      <c r="C454" s="60"/>
      <c r="D454" s="60"/>
    </row>
    <row r="455">
      <c r="C455" s="60"/>
      <c r="D455" s="60"/>
    </row>
    <row r="456">
      <c r="C456" s="60"/>
      <c r="D456" s="60"/>
    </row>
    <row r="457">
      <c r="C457" s="60"/>
      <c r="D457" s="60"/>
    </row>
    <row r="458">
      <c r="C458" s="60"/>
      <c r="D458" s="60"/>
    </row>
    <row r="459">
      <c r="C459" s="60"/>
      <c r="D459" s="60"/>
    </row>
    <row r="460">
      <c r="C460" s="60"/>
      <c r="D460" s="60"/>
    </row>
    <row r="461">
      <c r="C461" s="60"/>
      <c r="D461" s="60"/>
    </row>
    <row r="462">
      <c r="C462" s="60"/>
      <c r="D462" s="60"/>
    </row>
    <row r="463">
      <c r="C463" s="60"/>
      <c r="D463" s="60"/>
    </row>
    <row r="464">
      <c r="C464" s="60"/>
      <c r="D464" s="60"/>
    </row>
    <row r="465">
      <c r="C465" s="60"/>
      <c r="D465" s="60"/>
    </row>
    <row r="466">
      <c r="C466" s="60"/>
      <c r="D466" s="60"/>
    </row>
    <row r="467">
      <c r="C467" s="60"/>
      <c r="D467" s="60"/>
    </row>
    <row r="468">
      <c r="C468" s="60"/>
      <c r="D468" s="60"/>
    </row>
    <row r="469">
      <c r="C469" s="60"/>
      <c r="D469" s="60"/>
    </row>
    <row r="470">
      <c r="C470" s="60"/>
      <c r="D470" s="60"/>
    </row>
    <row r="471">
      <c r="C471" s="60"/>
      <c r="D471" s="60"/>
    </row>
    <row r="472">
      <c r="C472" s="60"/>
      <c r="D472" s="60"/>
    </row>
    <row r="473">
      <c r="C473" s="60"/>
      <c r="D473" s="60"/>
    </row>
    <row r="474">
      <c r="C474" s="60"/>
      <c r="D474" s="60"/>
    </row>
    <row r="475">
      <c r="C475" s="60"/>
      <c r="D475" s="60"/>
    </row>
    <row r="476">
      <c r="C476" s="60"/>
      <c r="D476" s="60"/>
    </row>
    <row r="477">
      <c r="C477" s="60"/>
      <c r="D477" s="60"/>
    </row>
    <row r="478">
      <c r="C478" s="60"/>
      <c r="D478" s="60"/>
    </row>
    <row r="479">
      <c r="C479" s="60"/>
      <c r="D479" s="60"/>
    </row>
    <row r="480">
      <c r="C480" s="60"/>
      <c r="D480" s="60"/>
    </row>
    <row r="481">
      <c r="C481" s="60"/>
      <c r="D481" s="60"/>
    </row>
    <row r="482">
      <c r="C482" s="60"/>
      <c r="D482" s="60"/>
    </row>
    <row r="483">
      <c r="C483" s="60"/>
      <c r="D483" s="60"/>
    </row>
    <row r="484">
      <c r="C484" s="60"/>
      <c r="D484" s="60"/>
    </row>
    <row r="485">
      <c r="C485" s="60"/>
      <c r="D485" s="60"/>
    </row>
    <row r="486">
      <c r="C486" s="60"/>
      <c r="D486" s="60"/>
    </row>
    <row r="487">
      <c r="C487" s="60"/>
      <c r="D487" s="60"/>
    </row>
    <row r="488">
      <c r="C488" s="60"/>
      <c r="D488" s="60"/>
    </row>
    <row r="489">
      <c r="C489" s="60"/>
      <c r="D489" s="60"/>
    </row>
    <row r="490">
      <c r="C490" s="60"/>
      <c r="D490" s="60"/>
    </row>
    <row r="491">
      <c r="C491" s="60"/>
      <c r="D491" s="60"/>
    </row>
    <row r="492">
      <c r="C492" s="60"/>
      <c r="D492" s="60"/>
    </row>
    <row r="493">
      <c r="C493" s="60"/>
      <c r="D493" s="60"/>
    </row>
    <row r="494">
      <c r="C494" s="60"/>
      <c r="D494" s="60"/>
    </row>
    <row r="495">
      <c r="C495" s="60"/>
      <c r="D495" s="60"/>
    </row>
    <row r="496">
      <c r="C496" s="60"/>
      <c r="D496" s="60"/>
    </row>
    <row r="497">
      <c r="C497" s="60"/>
      <c r="D497" s="60"/>
    </row>
    <row r="498">
      <c r="C498" s="60"/>
      <c r="D498" s="60"/>
    </row>
    <row r="499">
      <c r="C499" s="60"/>
      <c r="D499" s="60"/>
    </row>
    <row r="500">
      <c r="C500" s="60"/>
      <c r="D500" s="60"/>
    </row>
    <row r="501">
      <c r="C501" s="60"/>
      <c r="D501" s="60"/>
    </row>
    <row r="502">
      <c r="C502" s="60"/>
      <c r="D502" s="60"/>
    </row>
    <row r="503">
      <c r="C503" s="60"/>
      <c r="D503" s="60"/>
    </row>
    <row r="504">
      <c r="C504" s="60"/>
      <c r="D504" s="60"/>
    </row>
    <row r="505">
      <c r="C505" s="60"/>
      <c r="D505" s="60"/>
    </row>
    <row r="506">
      <c r="C506" s="60"/>
      <c r="D506" s="60"/>
    </row>
    <row r="507">
      <c r="C507" s="60"/>
      <c r="D507" s="60"/>
    </row>
    <row r="508">
      <c r="C508" s="60"/>
      <c r="D508" s="60"/>
    </row>
    <row r="509">
      <c r="C509" s="60"/>
      <c r="D509" s="60"/>
    </row>
    <row r="510">
      <c r="C510" s="60"/>
      <c r="D510" s="60"/>
    </row>
    <row r="511">
      <c r="C511" s="60"/>
      <c r="D511" s="60"/>
    </row>
    <row r="512">
      <c r="C512" s="60"/>
      <c r="D512" s="60"/>
    </row>
    <row r="513">
      <c r="C513" s="60"/>
      <c r="D513" s="60"/>
    </row>
    <row r="514">
      <c r="C514" s="60"/>
      <c r="D514" s="60"/>
    </row>
    <row r="515">
      <c r="C515" s="60"/>
      <c r="D515" s="60"/>
    </row>
    <row r="516">
      <c r="C516" s="60"/>
      <c r="D516" s="60"/>
    </row>
    <row r="517">
      <c r="C517" s="60"/>
      <c r="D517" s="60"/>
    </row>
    <row r="518">
      <c r="C518" s="60"/>
      <c r="D518" s="60"/>
    </row>
    <row r="519">
      <c r="C519" s="60"/>
      <c r="D519" s="60"/>
    </row>
    <row r="520">
      <c r="C520" s="60"/>
      <c r="D520" s="60"/>
    </row>
    <row r="521">
      <c r="C521" s="60"/>
      <c r="D521" s="60"/>
    </row>
    <row r="522">
      <c r="C522" s="60"/>
      <c r="D522" s="60"/>
    </row>
    <row r="523">
      <c r="C523" s="60"/>
      <c r="D523" s="60"/>
    </row>
    <row r="524">
      <c r="C524" s="60"/>
      <c r="D524" s="60"/>
    </row>
    <row r="525">
      <c r="C525" s="60"/>
      <c r="D525" s="60"/>
    </row>
    <row r="526">
      <c r="C526" s="60"/>
      <c r="D526" s="60"/>
    </row>
    <row r="527">
      <c r="C527" s="60"/>
      <c r="D527" s="60"/>
    </row>
    <row r="528">
      <c r="C528" s="60"/>
      <c r="D528" s="60"/>
    </row>
    <row r="529">
      <c r="C529" s="60"/>
      <c r="D529" s="60"/>
    </row>
    <row r="530">
      <c r="C530" s="60"/>
      <c r="D530" s="60"/>
    </row>
    <row r="531">
      <c r="C531" s="60"/>
      <c r="D531" s="60"/>
    </row>
    <row r="532">
      <c r="C532" s="60"/>
      <c r="D532" s="60"/>
    </row>
    <row r="533">
      <c r="C533" s="60"/>
      <c r="D533" s="60"/>
    </row>
    <row r="534">
      <c r="C534" s="60"/>
      <c r="D534" s="60"/>
    </row>
    <row r="535">
      <c r="C535" s="60"/>
      <c r="D535" s="60"/>
    </row>
    <row r="536">
      <c r="C536" s="60"/>
      <c r="D536" s="60"/>
    </row>
    <row r="537">
      <c r="C537" s="60"/>
      <c r="D537" s="60"/>
    </row>
    <row r="538">
      <c r="C538" s="60"/>
      <c r="D538" s="60"/>
    </row>
    <row r="539">
      <c r="C539" s="60"/>
      <c r="D539" s="60"/>
    </row>
    <row r="540">
      <c r="C540" s="60"/>
      <c r="D540" s="60"/>
    </row>
    <row r="541">
      <c r="C541" s="60"/>
      <c r="D541" s="60"/>
    </row>
    <row r="542">
      <c r="C542" s="60"/>
      <c r="D542" s="60"/>
    </row>
    <row r="543">
      <c r="C543" s="60"/>
      <c r="D543" s="60"/>
    </row>
    <row r="544">
      <c r="C544" s="60"/>
      <c r="D544" s="60"/>
    </row>
    <row r="545">
      <c r="C545" s="60"/>
      <c r="D545" s="60"/>
    </row>
    <row r="546">
      <c r="C546" s="60"/>
      <c r="D546" s="60"/>
    </row>
    <row r="547">
      <c r="C547" s="60"/>
      <c r="D547" s="60"/>
    </row>
    <row r="548">
      <c r="C548" s="60"/>
      <c r="D548" s="60"/>
    </row>
    <row r="549">
      <c r="C549" s="60"/>
      <c r="D549" s="60"/>
    </row>
    <row r="550">
      <c r="C550" s="60"/>
      <c r="D550" s="60"/>
    </row>
    <row r="551">
      <c r="C551" s="60"/>
      <c r="D551" s="60"/>
    </row>
    <row r="552">
      <c r="C552" s="60"/>
      <c r="D552" s="60"/>
    </row>
    <row r="553">
      <c r="C553" s="60"/>
      <c r="D553" s="60"/>
    </row>
    <row r="554">
      <c r="C554" s="60"/>
      <c r="D554" s="60"/>
    </row>
    <row r="555">
      <c r="C555" s="60"/>
      <c r="D555" s="60"/>
    </row>
    <row r="556">
      <c r="C556" s="60"/>
      <c r="D556" s="60"/>
    </row>
    <row r="557">
      <c r="C557" s="60"/>
      <c r="D557" s="60"/>
    </row>
    <row r="558">
      <c r="C558" s="60"/>
      <c r="D558" s="60"/>
    </row>
    <row r="559">
      <c r="C559" s="60"/>
      <c r="D559" s="60"/>
    </row>
    <row r="560">
      <c r="C560" s="60"/>
      <c r="D560" s="60"/>
    </row>
    <row r="561">
      <c r="C561" s="60"/>
      <c r="D561" s="60"/>
    </row>
    <row r="562">
      <c r="C562" s="60"/>
      <c r="D562" s="60"/>
    </row>
    <row r="563">
      <c r="C563" s="60"/>
      <c r="D563" s="60"/>
    </row>
    <row r="564">
      <c r="C564" s="60"/>
      <c r="D564" s="60"/>
    </row>
    <row r="565">
      <c r="C565" s="60"/>
      <c r="D565" s="60"/>
    </row>
    <row r="566">
      <c r="C566" s="60"/>
      <c r="D566" s="60"/>
    </row>
    <row r="567">
      <c r="C567" s="60"/>
      <c r="D567" s="60"/>
    </row>
    <row r="568">
      <c r="C568" s="60"/>
      <c r="D568" s="60"/>
    </row>
    <row r="569">
      <c r="C569" s="60"/>
      <c r="D569" s="60"/>
    </row>
    <row r="570">
      <c r="C570" s="60"/>
      <c r="D570" s="60"/>
    </row>
    <row r="571">
      <c r="C571" s="60"/>
      <c r="D571" s="60"/>
    </row>
    <row r="572">
      <c r="C572" s="60"/>
      <c r="D572" s="60"/>
    </row>
    <row r="573">
      <c r="C573" s="60"/>
      <c r="D573" s="60"/>
    </row>
    <row r="574">
      <c r="C574" s="60"/>
      <c r="D574" s="60"/>
    </row>
    <row r="575">
      <c r="C575" s="60"/>
      <c r="D575" s="60"/>
    </row>
    <row r="576">
      <c r="C576" s="60"/>
      <c r="D576" s="60"/>
    </row>
    <row r="577">
      <c r="C577" s="60"/>
      <c r="D577" s="60"/>
    </row>
    <row r="578">
      <c r="C578" s="60"/>
      <c r="D578" s="60"/>
    </row>
    <row r="579">
      <c r="C579" s="60"/>
      <c r="D579" s="60"/>
    </row>
    <row r="580">
      <c r="C580" s="60"/>
      <c r="D580" s="60"/>
    </row>
    <row r="581">
      <c r="C581" s="60"/>
      <c r="D581" s="60"/>
    </row>
    <row r="582">
      <c r="C582" s="60"/>
      <c r="D582" s="60"/>
    </row>
    <row r="583">
      <c r="C583" s="60"/>
      <c r="D583" s="60"/>
    </row>
    <row r="584">
      <c r="C584" s="60"/>
      <c r="D584" s="60"/>
    </row>
    <row r="585">
      <c r="C585" s="60"/>
      <c r="D585" s="60"/>
    </row>
    <row r="586">
      <c r="C586" s="60"/>
      <c r="D586" s="60"/>
    </row>
    <row r="587">
      <c r="C587" s="60"/>
      <c r="D587" s="60"/>
    </row>
    <row r="588">
      <c r="C588" s="60"/>
      <c r="D588" s="60"/>
    </row>
    <row r="589">
      <c r="C589" s="60"/>
      <c r="D589" s="60"/>
    </row>
    <row r="590">
      <c r="C590" s="60"/>
      <c r="D590" s="60"/>
    </row>
    <row r="591">
      <c r="C591" s="60"/>
      <c r="D591" s="60"/>
    </row>
    <row r="592">
      <c r="C592" s="60"/>
      <c r="D592" s="60"/>
    </row>
    <row r="593">
      <c r="C593" s="60"/>
      <c r="D593" s="60"/>
    </row>
    <row r="594">
      <c r="C594" s="60"/>
      <c r="D594" s="60"/>
    </row>
    <row r="595">
      <c r="C595" s="60"/>
      <c r="D595" s="60"/>
    </row>
    <row r="596">
      <c r="C596" s="60"/>
      <c r="D596" s="60"/>
    </row>
    <row r="597">
      <c r="C597" s="60"/>
      <c r="D597" s="60"/>
    </row>
    <row r="598">
      <c r="C598" s="60"/>
      <c r="D598" s="60"/>
    </row>
    <row r="599">
      <c r="C599" s="60"/>
      <c r="D599" s="60"/>
    </row>
    <row r="600">
      <c r="C600" s="60"/>
      <c r="D600" s="60"/>
    </row>
    <row r="601">
      <c r="C601" s="60"/>
      <c r="D601" s="60"/>
    </row>
    <row r="602">
      <c r="C602" s="60"/>
      <c r="D602" s="60"/>
    </row>
    <row r="603">
      <c r="C603" s="60"/>
      <c r="D603" s="60"/>
    </row>
    <row r="604">
      <c r="C604" s="60"/>
      <c r="D604" s="60"/>
    </row>
    <row r="605">
      <c r="C605" s="60"/>
      <c r="D605" s="60"/>
    </row>
    <row r="606">
      <c r="C606" s="60"/>
      <c r="D606" s="60"/>
    </row>
    <row r="607">
      <c r="C607" s="60"/>
      <c r="D607" s="60"/>
    </row>
    <row r="608">
      <c r="C608" s="60"/>
      <c r="D608" s="60"/>
    </row>
    <row r="609">
      <c r="C609" s="60"/>
      <c r="D609" s="60"/>
    </row>
    <row r="610">
      <c r="C610" s="60"/>
      <c r="D610" s="60"/>
    </row>
    <row r="611">
      <c r="C611" s="60"/>
      <c r="D611" s="60"/>
    </row>
    <row r="612">
      <c r="C612" s="60"/>
      <c r="D612" s="60"/>
    </row>
    <row r="613">
      <c r="C613" s="60"/>
      <c r="D613" s="60"/>
    </row>
    <row r="614">
      <c r="C614" s="60"/>
      <c r="D614" s="60"/>
    </row>
    <row r="615">
      <c r="C615" s="60"/>
      <c r="D615" s="60"/>
    </row>
    <row r="616">
      <c r="C616" s="60"/>
      <c r="D616" s="60"/>
    </row>
    <row r="617">
      <c r="C617" s="60"/>
      <c r="D617" s="60"/>
    </row>
    <row r="618">
      <c r="C618" s="60"/>
      <c r="D618" s="60"/>
    </row>
    <row r="619">
      <c r="C619" s="60"/>
      <c r="D619" s="60"/>
    </row>
    <row r="620">
      <c r="C620" s="60"/>
      <c r="D620" s="60"/>
    </row>
    <row r="621">
      <c r="C621" s="60"/>
      <c r="D621" s="60"/>
    </row>
    <row r="622">
      <c r="C622" s="60"/>
      <c r="D622" s="60"/>
    </row>
    <row r="623">
      <c r="C623" s="60"/>
      <c r="D623" s="60"/>
    </row>
    <row r="624">
      <c r="C624" s="60"/>
      <c r="D624" s="60"/>
    </row>
    <row r="625">
      <c r="C625" s="60"/>
      <c r="D625" s="60"/>
    </row>
    <row r="626">
      <c r="C626" s="60"/>
      <c r="D626" s="60"/>
    </row>
    <row r="627">
      <c r="C627" s="60"/>
      <c r="D627" s="60"/>
    </row>
    <row r="628">
      <c r="C628" s="60"/>
      <c r="D628" s="60"/>
    </row>
    <row r="629">
      <c r="C629" s="60"/>
      <c r="D629" s="60"/>
    </row>
    <row r="630">
      <c r="C630" s="60"/>
      <c r="D630" s="60"/>
    </row>
    <row r="631">
      <c r="C631" s="60"/>
      <c r="D631" s="60"/>
    </row>
    <row r="632">
      <c r="C632" s="60"/>
      <c r="D632" s="60"/>
    </row>
    <row r="633">
      <c r="C633" s="60"/>
      <c r="D633" s="60"/>
    </row>
    <row r="634">
      <c r="C634" s="60"/>
      <c r="D634" s="60"/>
    </row>
    <row r="635">
      <c r="C635" s="60"/>
      <c r="D635" s="60"/>
    </row>
    <row r="636">
      <c r="C636" s="60"/>
      <c r="D636" s="60"/>
    </row>
    <row r="637">
      <c r="C637" s="60"/>
      <c r="D637" s="60"/>
    </row>
    <row r="638">
      <c r="C638" s="60"/>
      <c r="D638" s="60"/>
    </row>
    <row r="639">
      <c r="C639" s="60"/>
      <c r="D639" s="60"/>
    </row>
    <row r="640">
      <c r="C640" s="60"/>
      <c r="D640" s="60"/>
    </row>
    <row r="641">
      <c r="C641" s="60"/>
      <c r="D641" s="60"/>
    </row>
    <row r="642">
      <c r="C642" s="60"/>
      <c r="D642" s="60"/>
    </row>
    <row r="643">
      <c r="C643" s="60"/>
      <c r="D643" s="60"/>
    </row>
    <row r="644">
      <c r="C644" s="60"/>
      <c r="D644" s="60"/>
    </row>
    <row r="645">
      <c r="C645" s="60"/>
      <c r="D645" s="60"/>
    </row>
    <row r="646">
      <c r="C646" s="60"/>
      <c r="D646" s="60"/>
    </row>
    <row r="647">
      <c r="C647" s="60"/>
      <c r="D647" s="60"/>
    </row>
    <row r="648">
      <c r="C648" s="60"/>
      <c r="D648" s="60"/>
    </row>
    <row r="649">
      <c r="C649" s="60"/>
      <c r="D649" s="60"/>
    </row>
    <row r="650">
      <c r="C650" s="60"/>
      <c r="D650" s="60"/>
    </row>
    <row r="651">
      <c r="C651" s="60"/>
      <c r="D651" s="60"/>
    </row>
    <row r="652">
      <c r="C652" s="60"/>
      <c r="D652" s="60"/>
    </row>
    <row r="653">
      <c r="C653" s="60"/>
      <c r="D653" s="60"/>
    </row>
    <row r="654">
      <c r="C654" s="60"/>
      <c r="D654" s="60"/>
    </row>
    <row r="655">
      <c r="C655" s="60"/>
      <c r="D655" s="60"/>
    </row>
    <row r="656">
      <c r="C656" s="60"/>
      <c r="D656" s="60"/>
    </row>
    <row r="657">
      <c r="C657" s="60"/>
      <c r="D657" s="60"/>
    </row>
    <row r="658">
      <c r="C658" s="60"/>
      <c r="D658" s="60"/>
    </row>
    <row r="659">
      <c r="C659" s="60"/>
      <c r="D659" s="60"/>
    </row>
    <row r="660">
      <c r="C660" s="60"/>
      <c r="D660" s="60"/>
    </row>
    <row r="661">
      <c r="C661" s="60"/>
      <c r="D661" s="60"/>
    </row>
    <row r="662">
      <c r="C662" s="60"/>
      <c r="D662" s="60"/>
    </row>
    <row r="663">
      <c r="C663" s="60"/>
      <c r="D663" s="60"/>
    </row>
    <row r="664">
      <c r="C664" s="60"/>
      <c r="D664" s="60"/>
    </row>
    <row r="665">
      <c r="C665" s="60"/>
      <c r="D665" s="60"/>
    </row>
    <row r="666">
      <c r="C666" s="60"/>
      <c r="D666" s="60"/>
    </row>
    <row r="667">
      <c r="C667" s="60"/>
      <c r="D667" s="60"/>
    </row>
    <row r="668">
      <c r="C668" s="60"/>
      <c r="D668" s="60"/>
    </row>
    <row r="669">
      <c r="C669" s="60"/>
      <c r="D669" s="60"/>
    </row>
    <row r="670">
      <c r="C670" s="60"/>
      <c r="D670" s="60"/>
    </row>
    <row r="671">
      <c r="C671" s="60"/>
      <c r="D671" s="60"/>
    </row>
    <row r="672">
      <c r="C672" s="60"/>
      <c r="D672" s="60"/>
    </row>
    <row r="673">
      <c r="C673" s="60"/>
      <c r="D673" s="60"/>
    </row>
    <row r="674">
      <c r="C674" s="60"/>
      <c r="D674" s="60"/>
    </row>
    <row r="675">
      <c r="C675" s="60"/>
      <c r="D675" s="60"/>
    </row>
    <row r="676">
      <c r="C676" s="60"/>
      <c r="D676" s="60"/>
    </row>
    <row r="677">
      <c r="C677" s="60"/>
      <c r="D677" s="60"/>
    </row>
    <row r="678">
      <c r="C678" s="60"/>
      <c r="D678" s="60"/>
    </row>
    <row r="679">
      <c r="C679" s="60"/>
      <c r="D679" s="60"/>
    </row>
    <row r="680">
      <c r="C680" s="60"/>
      <c r="D680" s="60"/>
    </row>
    <row r="681">
      <c r="C681" s="60"/>
      <c r="D681" s="60"/>
    </row>
    <row r="682">
      <c r="C682" s="60"/>
      <c r="D682" s="60"/>
    </row>
    <row r="683">
      <c r="C683" s="60"/>
      <c r="D683" s="60"/>
    </row>
    <row r="684">
      <c r="C684" s="60"/>
      <c r="D684" s="60"/>
    </row>
    <row r="685">
      <c r="C685" s="60"/>
      <c r="D685" s="60"/>
    </row>
    <row r="686">
      <c r="C686" s="60"/>
      <c r="D686" s="60"/>
    </row>
    <row r="687">
      <c r="C687" s="60"/>
      <c r="D687" s="60"/>
    </row>
    <row r="688">
      <c r="C688" s="60"/>
      <c r="D688" s="60"/>
    </row>
    <row r="689">
      <c r="C689" s="60"/>
      <c r="D689" s="60"/>
    </row>
    <row r="690">
      <c r="C690" s="60"/>
      <c r="D690" s="60"/>
    </row>
    <row r="691">
      <c r="C691" s="60"/>
      <c r="D691" s="60"/>
    </row>
    <row r="692">
      <c r="C692" s="60"/>
      <c r="D692" s="60"/>
    </row>
    <row r="693">
      <c r="C693" s="60"/>
      <c r="D693" s="60"/>
    </row>
    <row r="694">
      <c r="C694" s="60"/>
      <c r="D694" s="60"/>
    </row>
    <row r="695">
      <c r="C695" s="60"/>
      <c r="D695" s="60"/>
    </row>
    <row r="696">
      <c r="C696" s="60"/>
      <c r="D696" s="60"/>
    </row>
    <row r="697">
      <c r="C697" s="60"/>
      <c r="D697" s="60"/>
    </row>
    <row r="698">
      <c r="C698" s="60"/>
      <c r="D698" s="60"/>
    </row>
    <row r="699">
      <c r="C699" s="60"/>
      <c r="D699" s="60"/>
    </row>
    <row r="700">
      <c r="C700" s="60"/>
      <c r="D700" s="60"/>
    </row>
    <row r="701">
      <c r="C701" s="60"/>
      <c r="D701" s="60"/>
    </row>
    <row r="702">
      <c r="C702" s="60"/>
      <c r="D702" s="60"/>
    </row>
    <row r="703">
      <c r="C703" s="60"/>
      <c r="D703" s="60"/>
    </row>
    <row r="704">
      <c r="C704" s="60"/>
      <c r="D704" s="60"/>
    </row>
    <row r="705">
      <c r="C705" s="60"/>
      <c r="D705" s="60"/>
    </row>
    <row r="706">
      <c r="C706" s="60"/>
      <c r="D706" s="60"/>
    </row>
    <row r="707">
      <c r="C707" s="60"/>
      <c r="D707" s="60"/>
    </row>
    <row r="708">
      <c r="C708" s="60"/>
      <c r="D708" s="60"/>
    </row>
    <row r="709">
      <c r="C709" s="60"/>
      <c r="D709" s="60"/>
    </row>
    <row r="710">
      <c r="C710" s="60"/>
      <c r="D710" s="60"/>
    </row>
    <row r="711">
      <c r="C711" s="60"/>
      <c r="D711" s="60"/>
    </row>
    <row r="712">
      <c r="C712" s="60"/>
      <c r="D712" s="60"/>
    </row>
    <row r="713">
      <c r="C713" s="60"/>
      <c r="D713" s="60"/>
    </row>
    <row r="714">
      <c r="C714" s="60"/>
      <c r="D714" s="60"/>
    </row>
    <row r="715">
      <c r="C715" s="60"/>
      <c r="D715" s="60"/>
    </row>
    <row r="716">
      <c r="C716" s="60"/>
      <c r="D716" s="60"/>
    </row>
    <row r="717">
      <c r="C717" s="60"/>
      <c r="D717" s="60"/>
    </row>
    <row r="718">
      <c r="C718" s="60"/>
      <c r="D718" s="60"/>
    </row>
    <row r="719">
      <c r="C719" s="60"/>
      <c r="D719" s="60"/>
    </row>
    <row r="720">
      <c r="C720" s="60"/>
      <c r="D720" s="60"/>
    </row>
    <row r="721">
      <c r="C721" s="60"/>
      <c r="D721" s="60"/>
    </row>
    <row r="722">
      <c r="C722" s="60"/>
      <c r="D722" s="60"/>
    </row>
    <row r="723">
      <c r="C723" s="60"/>
      <c r="D723" s="60"/>
    </row>
    <row r="724">
      <c r="C724" s="60"/>
      <c r="D724" s="60"/>
    </row>
    <row r="725">
      <c r="C725" s="60"/>
      <c r="D725" s="60"/>
    </row>
    <row r="726">
      <c r="C726" s="60"/>
      <c r="D726" s="60"/>
    </row>
    <row r="727">
      <c r="C727" s="60"/>
      <c r="D727" s="60"/>
    </row>
    <row r="728">
      <c r="C728" s="60"/>
      <c r="D728" s="60"/>
    </row>
    <row r="729">
      <c r="C729" s="60"/>
      <c r="D729" s="60"/>
    </row>
    <row r="730">
      <c r="C730" s="60"/>
      <c r="D730" s="60"/>
    </row>
    <row r="731">
      <c r="C731" s="60"/>
      <c r="D731" s="60"/>
    </row>
    <row r="732">
      <c r="C732" s="60"/>
      <c r="D732" s="60"/>
    </row>
    <row r="733">
      <c r="C733" s="60"/>
      <c r="D733" s="60"/>
    </row>
    <row r="734">
      <c r="C734" s="60"/>
      <c r="D734" s="60"/>
    </row>
    <row r="735">
      <c r="C735" s="60"/>
      <c r="D735" s="60"/>
    </row>
    <row r="736">
      <c r="C736" s="60"/>
      <c r="D736" s="60"/>
    </row>
    <row r="737">
      <c r="C737" s="60"/>
      <c r="D737" s="60"/>
    </row>
    <row r="738">
      <c r="C738" s="60"/>
      <c r="D738" s="60"/>
    </row>
    <row r="739">
      <c r="C739" s="60"/>
      <c r="D739" s="60"/>
    </row>
    <row r="740">
      <c r="C740" s="60"/>
      <c r="D740" s="60"/>
    </row>
    <row r="741">
      <c r="C741" s="60"/>
      <c r="D741" s="60"/>
    </row>
    <row r="742">
      <c r="C742" s="60"/>
      <c r="D742" s="60"/>
    </row>
    <row r="743">
      <c r="C743" s="60"/>
      <c r="D743" s="60"/>
    </row>
    <row r="744">
      <c r="C744" s="60"/>
      <c r="D744" s="60"/>
    </row>
    <row r="745">
      <c r="C745" s="60"/>
      <c r="D745" s="60"/>
    </row>
    <row r="746">
      <c r="C746" s="60"/>
      <c r="D746" s="60"/>
    </row>
    <row r="747">
      <c r="C747" s="60"/>
      <c r="D747" s="60"/>
    </row>
    <row r="748">
      <c r="C748" s="60"/>
      <c r="D748" s="60"/>
    </row>
    <row r="749">
      <c r="C749" s="60"/>
      <c r="D749" s="60"/>
    </row>
    <row r="750">
      <c r="C750" s="60"/>
      <c r="D750" s="60"/>
    </row>
    <row r="751">
      <c r="C751" s="60"/>
      <c r="D751" s="60"/>
    </row>
    <row r="752">
      <c r="C752" s="60"/>
      <c r="D752" s="60"/>
    </row>
    <row r="753">
      <c r="C753" s="60"/>
      <c r="D753" s="60"/>
    </row>
    <row r="754">
      <c r="C754" s="60"/>
      <c r="D754" s="60"/>
    </row>
    <row r="755">
      <c r="C755" s="60"/>
      <c r="D755" s="60"/>
    </row>
    <row r="756">
      <c r="C756" s="60"/>
      <c r="D756" s="60"/>
    </row>
    <row r="757">
      <c r="C757" s="60"/>
      <c r="D757" s="60"/>
    </row>
    <row r="758">
      <c r="C758" s="60"/>
      <c r="D758" s="60"/>
    </row>
    <row r="759">
      <c r="C759" s="60"/>
      <c r="D759" s="60"/>
    </row>
    <row r="760">
      <c r="C760" s="60"/>
      <c r="D760" s="60"/>
    </row>
    <row r="761">
      <c r="C761" s="60"/>
      <c r="D761" s="60"/>
    </row>
    <row r="762">
      <c r="C762" s="60"/>
      <c r="D762" s="60"/>
    </row>
    <row r="763">
      <c r="C763" s="60"/>
      <c r="D763" s="60"/>
    </row>
    <row r="764">
      <c r="C764" s="60"/>
      <c r="D764" s="60"/>
    </row>
    <row r="765">
      <c r="C765" s="60"/>
      <c r="D765" s="60"/>
    </row>
    <row r="766">
      <c r="C766" s="60"/>
      <c r="D766" s="60"/>
    </row>
    <row r="767">
      <c r="C767" s="60"/>
      <c r="D767" s="60"/>
    </row>
    <row r="768">
      <c r="C768" s="60"/>
      <c r="D768" s="60"/>
    </row>
    <row r="769">
      <c r="C769" s="60"/>
      <c r="D769" s="60"/>
    </row>
    <row r="770">
      <c r="C770" s="60"/>
      <c r="D770" s="60"/>
    </row>
    <row r="771">
      <c r="C771" s="60"/>
      <c r="D771" s="60"/>
    </row>
    <row r="772">
      <c r="C772" s="60"/>
      <c r="D772" s="60"/>
    </row>
    <row r="773">
      <c r="C773" s="60"/>
      <c r="D773" s="60"/>
    </row>
    <row r="774">
      <c r="C774" s="60"/>
      <c r="D774" s="60"/>
    </row>
    <row r="775">
      <c r="C775" s="60"/>
      <c r="D775" s="60"/>
    </row>
    <row r="776">
      <c r="C776" s="60"/>
      <c r="D776" s="60"/>
    </row>
    <row r="777">
      <c r="C777" s="60"/>
      <c r="D777" s="60"/>
    </row>
    <row r="778">
      <c r="C778" s="60"/>
      <c r="D778" s="60"/>
    </row>
    <row r="779">
      <c r="C779" s="60"/>
      <c r="D779" s="60"/>
    </row>
    <row r="780">
      <c r="C780" s="60"/>
      <c r="D780" s="60"/>
    </row>
    <row r="781">
      <c r="C781" s="60"/>
      <c r="D781" s="60"/>
    </row>
    <row r="782">
      <c r="C782" s="60"/>
      <c r="D782" s="60"/>
    </row>
    <row r="783">
      <c r="C783" s="60"/>
      <c r="D783" s="60"/>
    </row>
    <row r="784">
      <c r="C784" s="60"/>
      <c r="D784" s="60"/>
    </row>
    <row r="785">
      <c r="C785" s="60"/>
      <c r="D785" s="60"/>
    </row>
    <row r="786">
      <c r="C786" s="60"/>
      <c r="D786" s="60"/>
    </row>
    <row r="787">
      <c r="C787" s="60"/>
      <c r="D787" s="60"/>
    </row>
    <row r="788">
      <c r="C788" s="60"/>
      <c r="D788" s="60"/>
    </row>
    <row r="789">
      <c r="C789" s="60"/>
      <c r="D789" s="60"/>
    </row>
    <row r="790">
      <c r="C790" s="60"/>
      <c r="D790" s="60"/>
    </row>
    <row r="791">
      <c r="C791" s="60"/>
      <c r="D791" s="60"/>
    </row>
    <row r="792">
      <c r="C792" s="60"/>
      <c r="D792" s="60"/>
    </row>
    <row r="793">
      <c r="C793" s="60"/>
      <c r="D793" s="60"/>
    </row>
    <row r="794">
      <c r="C794" s="60"/>
      <c r="D794" s="60"/>
    </row>
    <row r="795">
      <c r="C795" s="60"/>
      <c r="D795" s="60"/>
    </row>
    <row r="796">
      <c r="C796" s="60"/>
      <c r="D796" s="60"/>
    </row>
    <row r="797">
      <c r="C797" s="60"/>
      <c r="D797" s="60"/>
    </row>
    <row r="798">
      <c r="C798" s="60"/>
      <c r="D798" s="60"/>
    </row>
    <row r="799">
      <c r="C799" s="60"/>
      <c r="D799" s="60"/>
    </row>
    <row r="800">
      <c r="C800" s="60"/>
      <c r="D800" s="60"/>
    </row>
    <row r="801">
      <c r="C801" s="60"/>
      <c r="D801" s="60"/>
    </row>
    <row r="802">
      <c r="C802" s="60"/>
      <c r="D802" s="60"/>
    </row>
    <row r="803">
      <c r="C803" s="60"/>
      <c r="D803" s="60"/>
    </row>
    <row r="804">
      <c r="C804" s="60"/>
      <c r="D804" s="60"/>
    </row>
    <row r="805">
      <c r="C805" s="60"/>
      <c r="D805" s="60"/>
    </row>
    <row r="806">
      <c r="C806" s="60"/>
      <c r="D806" s="60"/>
    </row>
    <row r="807">
      <c r="C807" s="60"/>
      <c r="D807" s="60"/>
    </row>
    <row r="808">
      <c r="C808" s="60"/>
      <c r="D808" s="60"/>
    </row>
    <row r="809">
      <c r="C809" s="60"/>
      <c r="D809" s="60"/>
    </row>
    <row r="810">
      <c r="C810" s="60"/>
      <c r="D810" s="60"/>
    </row>
    <row r="811">
      <c r="C811" s="60"/>
      <c r="D811" s="60"/>
    </row>
    <row r="812">
      <c r="C812" s="60"/>
      <c r="D812" s="60"/>
    </row>
    <row r="813">
      <c r="C813" s="60"/>
      <c r="D813" s="60"/>
    </row>
    <row r="814">
      <c r="C814" s="60"/>
      <c r="D814" s="60"/>
    </row>
    <row r="815">
      <c r="C815" s="60"/>
      <c r="D815" s="60"/>
    </row>
    <row r="816">
      <c r="C816" s="60"/>
      <c r="D816" s="60"/>
    </row>
    <row r="817">
      <c r="C817" s="60"/>
      <c r="D817" s="60"/>
    </row>
    <row r="818">
      <c r="C818" s="60"/>
      <c r="D818" s="60"/>
    </row>
    <row r="819">
      <c r="C819" s="60"/>
      <c r="D819" s="60"/>
    </row>
    <row r="820">
      <c r="C820" s="60"/>
      <c r="D820" s="60"/>
    </row>
    <row r="821">
      <c r="C821" s="60"/>
      <c r="D821" s="60"/>
    </row>
    <row r="822">
      <c r="C822" s="60"/>
      <c r="D822" s="60"/>
    </row>
    <row r="823">
      <c r="C823" s="60"/>
      <c r="D823" s="60"/>
    </row>
    <row r="824">
      <c r="C824" s="60"/>
      <c r="D824" s="60"/>
    </row>
    <row r="825">
      <c r="C825" s="60"/>
      <c r="D825" s="60"/>
    </row>
    <row r="826">
      <c r="C826" s="60"/>
      <c r="D826" s="60"/>
    </row>
    <row r="827">
      <c r="C827" s="60"/>
      <c r="D827" s="60"/>
    </row>
    <row r="828">
      <c r="C828" s="60"/>
      <c r="D828" s="60"/>
    </row>
    <row r="829">
      <c r="C829" s="60"/>
      <c r="D829" s="60"/>
    </row>
    <row r="830">
      <c r="C830" s="60"/>
      <c r="D830" s="60"/>
    </row>
    <row r="831">
      <c r="C831" s="60"/>
      <c r="D831" s="60"/>
    </row>
    <row r="832">
      <c r="C832" s="60"/>
      <c r="D832" s="60"/>
    </row>
    <row r="833">
      <c r="C833" s="60"/>
      <c r="D833" s="60"/>
    </row>
    <row r="834">
      <c r="C834" s="60"/>
      <c r="D834" s="60"/>
    </row>
    <row r="835">
      <c r="C835" s="60"/>
      <c r="D835" s="60"/>
    </row>
    <row r="836">
      <c r="C836" s="60"/>
      <c r="D836" s="60"/>
    </row>
    <row r="837">
      <c r="C837" s="60"/>
      <c r="D837" s="60"/>
    </row>
    <row r="838">
      <c r="C838" s="60"/>
      <c r="D838" s="60"/>
    </row>
    <row r="839">
      <c r="C839" s="60"/>
      <c r="D839" s="60"/>
    </row>
    <row r="840">
      <c r="C840" s="60"/>
      <c r="D840" s="60"/>
    </row>
    <row r="841">
      <c r="C841" s="60"/>
      <c r="D841" s="60"/>
    </row>
    <row r="842">
      <c r="C842" s="60"/>
      <c r="D842" s="60"/>
    </row>
    <row r="843">
      <c r="C843" s="60"/>
      <c r="D843" s="60"/>
    </row>
    <row r="844">
      <c r="C844" s="60"/>
      <c r="D844" s="60"/>
    </row>
    <row r="845">
      <c r="C845" s="60"/>
      <c r="D845" s="60"/>
    </row>
    <row r="846">
      <c r="C846" s="60"/>
      <c r="D846" s="60"/>
    </row>
    <row r="847">
      <c r="C847" s="60"/>
      <c r="D847" s="60"/>
    </row>
    <row r="848">
      <c r="C848" s="60"/>
      <c r="D848" s="60"/>
    </row>
    <row r="849">
      <c r="C849" s="60"/>
      <c r="D849" s="60"/>
    </row>
    <row r="850">
      <c r="C850" s="60"/>
      <c r="D850" s="60"/>
    </row>
    <row r="851">
      <c r="C851" s="60"/>
      <c r="D851" s="60"/>
    </row>
    <row r="852">
      <c r="C852" s="60"/>
      <c r="D852" s="60"/>
    </row>
    <row r="853">
      <c r="C853" s="60"/>
      <c r="D853" s="60"/>
    </row>
    <row r="854">
      <c r="C854" s="60"/>
      <c r="D854" s="60"/>
    </row>
    <row r="855">
      <c r="C855" s="60"/>
      <c r="D855" s="60"/>
    </row>
    <row r="856">
      <c r="C856" s="60"/>
      <c r="D856" s="60"/>
    </row>
    <row r="857">
      <c r="C857" s="60"/>
      <c r="D857" s="60"/>
    </row>
    <row r="858">
      <c r="C858" s="60"/>
      <c r="D858" s="60"/>
    </row>
    <row r="859">
      <c r="C859" s="60"/>
      <c r="D859" s="60"/>
    </row>
    <row r="860">
      <c r="C860" s="60"/>
      <c r="D860" s="60"/>
    </row>
    <row r="861">
      <c r="C861" s="60"/>
      <c r="D861" s="60"/>
    </row>
    <row r="862">
      <c r="C862" s="60"/>
      <c r="D862" s="60"/>
    </row>
    <row r="863">
      <c r="C863" s="60"/>
      <c r="D863" s="60"/>
    </row>
    <row r="864">
      <c r="C864" s="60"/>
      <c r="D864" s="60"/>
    </row>
    <row r="865">
      <c r="C865" s="60"/>
      <c r="D865" s="60"/>
    </row>
    <row r="866">
      <c r="C866" s="60"/>
      <c r="D866" s="60"/>
    </row>
    <row r="867">
      <c r="C867" s="60"/>
      <c r="D867" s="60"/>
    </row>
    <row r="868">
      <c r="C868" s="60"/>
      <c r="D868" s="60"/>
    </row>
    <row r="869">
      <c r="C869" s="60"/>
      <c r="D869" s="60"/>
    </row>
    <row r="870">
      <c r="C870" s="60"/>
      <c r="D870" s="60"/>
    </row>
    <row r="871">
      <c r="C871" s="60"/>
      <c r="D871" s="60"/>
    </row>
    <row r="872">
      <c r="C872" s="60"/>
      <c r="D872" s="60"/>
    </row>
    <row r="873">
      <c r="C873" s="60"/>
      <c r="D873" s="60"/>
    </row>
    <row r="874">
      <c r="C874" s="60"/>
      <c r="D874" s="60"/>
    </row>
    <row r="875">
      <c r="C875" s="60"/>
      <c r="D875" s="60"/>
    </row>
    <row r="876">
      <c r="C876" s="60"/>
      <c r="D876" s="60"/>
    </row>
    <row r="877">
      <c r="C877" s="60"/>
      <c r="D877" s="60"/>
    </row>
    <row r="878">
      <c r="C878" s="60"/>
      <c r="D878" s="60"/>
    </row>
    <row r="879">
      <c r="C879" s="60"/>
      <c r="D879" s="60"/>
    </row>
    <row r="880">
      <c r="C880" s="60"/>
      <c r="D880" s="60"/>
    </row>
    <row r="881">
      <c r="C881" s="60"/>
      <c r="D881" s="60"/>
    </row>
    <row r="882">
      <c r="C882" s="60"/>
      <c r="D882" s="60"/>
    </row>
    <row r="883">
      <c r="C883" s="60"/>
      <c r="D883" s="60"/>
    </row>
    <row r="884">
      <c r="C884" s="60"/>
      <c r="D884" s="60"/>
    </row>
    <row r="885">
      <c r="C885" s="60"/>
      <c r="D885" s="60"/>
    </row>
    <row r="886">
      <c r="C886" s="60"/>
      <c r="D886" s="60"/>
    </row>
    <row r="887">
      <c r="C887" s="60"/>
      <c r="D887" s="60"/>
    </row>
    <row r="888">
      <c r="C888" s="60"/>
      <c r="D888" s="60"/>
    </row>
    <row r="889">
      <c r="C889" s="60"/>
      <c r="D889" s="60"/>
    </row>
    <row r="890">
      <c r="C890" s="60"/>
      <c r="D890" s="60"/>
    </row>
    <row r="891">
      <c r="C891" s="60"/>
      <c r="D891" s="60"/>
    </row>
    <row r="892">
      <c r="C892" s="60"/>
      <c r="D892" s="60"/>
    </row>
    <row r="893">
      <c r="C893" s="60"/>
      <c r="D893" s="60"/>
    </row>
    <row r="894">
      <c r="C894" s="60"/>
      <c r="D894" s="60"/>
    </row>
    <row r="895">
      <c r="C895" s="60"/>
      <c r="D895" s="60"/>
    </row>
    <row r="896">
      <c r="C896" s="60"/>
      <c r="D896" s="60"/>
    </row>
    <row r="897">
      <c r="C897" s="60"/>
      <c r="D897" s="60"/>
    </row>
    <row r="898">
      <c r="C898" s="60"/>
      <c r="D898" s="60"/>
    </row>
    <row r="899">
      <c r="C899" s="60"/>
      <c r="D899" s="60"/>
    </row>
    <row r="900">
      <c r="C900" s="60"/>
      <c r="D900" s="60"/>
    </row>
    <row r="901">
      <c r="C901" s="60"/>
      <c r="D901" s="60"/>
    </row>
    <row r="902">
      <c r="C902" s="60"/>
      <c r="D902" s="60"/>
    </row>
    <row r="903">
      <c r="C903" s="60"/>
      <c r="D903" s="60"/>
    </row>
    <row r="904">
      <c r="C904" s="60"/>
      <c r="D904" s="60"/>
    </row>
    <row r="905">
      <c r="C905" s="60"/>
      <c r="D905" s="60"/>
    </row>
    <row r="906">
      <c r="C906" s="60"/>
      <c r="D906" s="60"/>
    </row>
    <row r="907">
      <c r="C907" s="60"/>
      <c r="D907" s="60"/>
    </row>
    <row r="908">
      <c r="C908" s="60"/>
      <c r="D908" s="60"/>
    </row>
    <row r="909">
      <c r="C909" s="60"/>
      <c r="D909" s="60"/>
    </row>
    <row r="910">
      <c r="C910" s="60"/>
      <c r="D910" s="60"/>
    </row>
    <row r="911">
      <c r="C911" s="60"/>
      <c r="D911" s="60"/>
    </row>
    <row r="912">
      <c r="C912" s="60"/>
      <c r="D912" s="60"/>
    </row>
    <row r="913">
      <c r="C913" s="60"/>
      <c r="D913" s="60"/>
    </row>
    <row r="914">
      <c r="C914" s="60"/>
      <c r="D914" s="60"/>
    </row>
    <row r="915">
      <c r="C915" s="60"/>
      <c r="D915" s="60"/>
    </row>
    <row r="916">
      <c r="C916" s="60"/>
      <c r="D916" s="60"/>
    </row>
    <row r="917">
      <c r="C917" s="60"/>
      <c r="D917" s="60"/>
    </row>
    <row r="918">
      <c r="C918" s="60"/>
      <c r="D918" s="60"/>
    </row>
    <row r="919">
      <c r="C919" s="60"/>
      <c r="D919" s="60"/>
    </row>
    <row r="920">
      <c r="C920" s="60"/>
      <c r="D920" s="60"/>
    </row>
    <row r="921">
      <c r="C921" s="60"/>
      <c r="D921" s="60"/>
    </row>
    <row r="922">
      <c r="C922" s="60"/>
      <c r="D922" s="60"/>
    </row>
    <row r="923">
      <c r="C923" s="60"/>
      <c r="D923" s="60"/>
    </row>
    <row r="924">
      <c r="C924" s="60"/>
      <c r="D924" s="60"/>
    </row>
    <row r="925">
      <c r="C925" s="60"/>
      <c r="D925" s="60"/>
    </row>
    <row r="926">
      <c r="C926" s="60"/>
      <c r="D926" s="60"/>
    </row>
    <row r="927">
      <c r="C927" s="60"/>
      <c r="D927" s="60"/>
    </row>
    <row r="928">
      <c r="C928" s="60"/>
      <c r="D928" s="60"/>
    </row>
    <row r="929">
      <c r="C929" s="60"/>
      <c r="D929" s="60"/>
    </row>
    <row r="930">
      <c r="C930" s="60"/>
      <c r="D930" s="60"/>
    </row>
    <row r="931">
      <c r="C931" s="60"/>
      <c r="D931" s="60"/>
    </row>
    <row r="932">
      <c r="C932" s="60"/>
      <c r="D932" s="60"/>
    </row>
    <row r="933">
      <c r="C933" s="60"/>
      <c r="D933" s="60"/>
    </row>
    <row r="934">
      <c r="C934" s="60"/>
      <c r="D934" s="60"/>
    </row>
    <row r="935">
      <c r="C935" s="60"/>
      <c r="D935" s="60"/>
    </row>
    <row r="936">
      <c r="C936" s="60"/>
      <c r="D936" s="60"/>
    </row>
    <row r="937">
      <c r="C937" s="60"/>
      <c r="D937" s="60"/>
    </row>
    <row r="938">
      <c r="C938" s="60"/>
      <c r="D938" s="60"/>
    </row>
    <row r="939">
      <c r="C939" s="60"/>
      <c r="D939" s="60"/>
    </row>
    <row r="940">
      <c r="C940" s="60"/>
      <c r="D940" s="60"/>
    </row>
    <row r="941">
      <c r="C941" s="60"/>
      <c r="D941" s="60"/>
    </row>
    <row r="942">
      <c r="C942" s="60"/>
      <c r="D942" s="60"/>
    </row>
    <row r="943">
      <c r="C943" s="60"/>
      <c r="D943" s="60"/>
    </row>
    <row r="944">
      <c r="C944" s="60"/>
      <c r="D944" s="60"/>
    </row>
    <row r="945">
      <c r="C945" s="60"/>
      <c r="D945" s="60"/>
    </row>
    <row r="946">
      <c r="C946" s="60"/>
      <c r="D946" s="60"/>
    </row>
    <row r="947">
      <c r="C947" s="60"/>
      <c r="D947" s="60"/>
    </row>
    <row r="948">
      <c r="C948" s="60"/>
      <c r="D948" s="60"/>
    </row>
    <row r="949">
      <c r="C949" s="60"/>
      <c r="D949" s="60"/>
    </row>
    <row r="950">
      <c r="C950" s="60"/>
      <c r="D950" s="60"/>
    </row>
    <row r="951">
      <c r="C951" s="60"/>
      <c r="D951" s="60"/>
    </row>
    <row r="952">
      <c r="C952" s="60"/>
      <c r="D952" s="60"/>
    </row>
    <row r="953">
      <c r="C953" s="60"/>
      <c r="D953" s="60"/>
    </row>
    <row r="954">
      <c r="C954" s="60"/>
      <c r="D954" s="60"/>
    </row>
    <row r="955">
      <c r="C955" s="60"/>
      <c r="D955" s="60"/>
    </row>
    <row r="956">
      <c r="C956" s="60"/>
      <c r="D956" s="60"/>
    </row>
    <row r="957">
      <c r="C957" s="60"/>
      <c r="D957" s="60"/>
    </row>
    <row r="958">
      <c r="C958" s="60"/>
      <c r="D958" s="60"/>
    </row>
    <row r="959">
      <c r="C959" s="60"/>
      <c r="D959" s="60"/>
    </row>
    <row r="960">
      <c r="C960" s="60"/>
      <c r="D960" s="60"/>
    </row>
    <row r="961">
      <c r="C961" s="60"/>
      <c r="D961" s="60"/>
    </row>
    <row r="962">
      <c r="C962" s="60"/>
      <c r="D962" s="60"/>
    </row>
    <row r="963">
      <c r="C963" s="60"/>
      <c r="D963" s="60"/>
    </row>
    <row r="964">
      <c r="C964" s="60"/>
      <c r="D964" s="60"/>
    </row>
    <row r="965">
      <c r="C965" s="60"/>
      <c r="D965" s="60"/>
    </row>
    <row r="966">
      <c r="C966" s="60"/>
      <c r="D966" s="60"/>
    </row>
    <row r="967">
      <c r="C967" s="60"/>
      <c r="D967" s="60"/>
    </row>
    <row r="968">
      <c r="C968" s="60"/>
      <c r="D968" s="60"/>
    </row>
    <row r="969">
      <c r="C969" s="60"/>
      <c r="D969" s="60"/>
    </row>
    <row r="970">
      <c r="C970" s="60"/>
      <c r="D970" s="60"/>
    </row>
    <row r="971">
      <c r="C971" s="60"/>
      <c r="D971" s="60"/>
    </row>
    <row r="972">
      <c r="C972" s="60"/>
      <c r="D972" s="60"/>
    </row>
    <row r="973">
      <c r="C973" s="60"/>
      <c r="D973" s="60"/>
    </row>
    <row r="974">
      <c r="C974" s="60"/>
      <c r="D974" s="60"/>
    </row>
    <row r="975">
      <c r="C975" s="60"/>
      <c r="D975" s="60"/>
    </row>
    <row r="976">
      <c r="C976" s="60"/>
      <c r="D976" s="60"/>
    </row>
    <row r="977">
      <c r="C977" s="60"/>
      <c r="D977" s="60"/>
    </row>
    <row r="978">
      <c r="C978" s="60"/>
      <c r="D978" s="60"/>
    </row>
    <row r="979">
      <c r="C979" s="60"/>
      <c r="D979" s="60"/>
    </row>
    <row r="980">
      <c r="C980" s="60"/>
      <c r="D980" s="60"/>
    </row>
    <row r="981">
      <c r="C981" s="60"/>
      <c r="D981" s="60"/>
    </row>
    <row r="982">
      <c r="C982" s="60"/>
      <c r="D982" s="60"/>
    </row>
    <row r="983">
      <c r="C983" s="60"/>
      <c r="D983" s="60"/>
    </row>
    <row r="984">
      <c r="C984" s="60"/>
      <c r="D984" s="60"/>
    </row>
    <row r="985">
      <c r="C985" s="60"/>
      <c r="D985" s="60"/>
    </row>
    <row r="986">
      <c r="C986" s="60"/>
      <c r="D986" s="60"/>
    </row>
    <row r="987">
      <c r="C987" s="60"/>
      <c r="D987" s="60"/>
    </row>
    <row r="988">
      <c r="C988" s="60"/>
      <c r="D988" s="60"/>
    </row>
    <row r="989">
      <c r="C989" s="60"/>
      <c r="D989" s="60"/>
    </row>
    <row r="990">
      <c r="C990" s="60"/>
      <c r="D990" s="60"/>
    </row>
    <row r="991">
      <c r="C991" s="60"/>
      <c r="D991" s="60"/>
    </row>
    <row r="992">
      <c r="C992" s="60"/>
      <c r="D992" s="60"/>
    </row>
    <row r="993">
      <c r="C993" s="60"/>
      <c r="D993" s="60"/>
    </row>
    <row r="994">
      <c r="C994" s="60"/>
      <c r="D994" s="60"/>
    </row>
    <row r="995">
      <c r="C995" s="60"/>
      <c r="D995" s="60"/>
    </row>
    <row r="996">
      <c r="C996" s="60"/>
      <c r="D996" s="60"/>
    </row>
    <row r="997">
      <c r="C997" s="60"/>
      <c r="D997" s="60"/>
    </row>
    <row r="998">
      <c r="C998" s="60"/>
      <c r="D998" s="60"/>
    </row>
    <row r="999">
      <c r="C999" s="60"/>
      <c r="D999" s="60"/>
    </row>
    <row r="1000">
      <c r="C1000" s="60"/>
      <c r="D1000" s="60"/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63"/>
    <col customWidth="1" min="2" max="2" width="24.88"/>
    <col customWidth="1" hidden="1" min="3" max="3" width="7.63"/>
    <col customWidth="1" min="4" max="4" width="10.5"/>
    <col customWidth="1" min="5" max="5" width="14.5"/>
    <col customWidth="1" hidden="1" min="7" max="7" width="10.25"/>
    <col customWidth="1" hidden="1" min="8" max="8" width="14.38"/>
    <col hidden="1" min="9" max="13" width="12.63"/>
  </cols>
  <sheetData>
    <row r="1">
      <c r="A1" s="14" t="s">
        <v>498</v>
      </c>
      <c r="B1" s="14" t="s">
        <v>0</v>
      </c>
      <c r="C1" s="75" t="s">
        <v>3</v>
      </c>
      <c r="D1" s="75" t="s">
        <v>2</v>
      </c>
      <c r="E1" s="14" t="s">
        <v>4</v>
      </c>
      <c r="F1" s="14" t="s">
        <v>5</v>
      </c>
      <c r="G1" s="14" t="s">
        <v>249</v>
      </c>
      <c r="H1" s="14" t="s">
        <v>52</v>
      </c>
      <c r="I1" s="14" t="s">
        <v>1021</v>
      </c>
      <c r="J1" s="14" t="s">
        <v>250</v>
      </c>
      <c r="K1" s="14" t="s">
        <v>497</v>
      </c>
      <c r="L1" s="14" t="s">
        <v>1022</v>
      </c>
      <c r="M1" s="14" t="s">
        <v>90</v>
      </c>
      <c r="N1" s="14" t="s">
        <v>1309</v>
      </c>
    </row>
    <row r="2">
      <c r="A2" s="111">
        <v>46103.0</v>
      </c>
      <c r="B2" s="112" t="s">
        <v>136</v>
      </c>
      <c r="C2" s="112"/>
      <c r="D2" s="112">
        <v>13.0</v>
      </c>
      <c r="E2" s="112">
        <v>13.0</v>
      </c>
      <c r="F2" s="112"/>
      <c r="G2" s="112"/>
      <c r="H2" s="112"/>
      <c r="I2" s="112"/>
      <c r="J2" s="51"/>
      <c r="K2" s="113"/>
      <c r="L2" s="113"/>
      <c r="M2" s="112"/>
      <c r="N2" s="113"/>
      <c r="O2" s="45"/>
      <c r="P2" s="45"/>
      <c r="Q2" s="45"/>
      <c r="R2" s="45"/>
      <c r="S2" s="45"/>
      <c r="T2" s="45"/>
      <c r="U2" s="45"/>
      <c r="V2" s="45"/>
      <c r="W2" s="45"/>
      <c r="X2" s="45"/>
    </row>
    <row r="3">
      <c r="A3" s="111">
        <v>46103.0</v>
      </c>
      <c r="B3" s="112" t="s">
        <v>1364</v>
      </c>
      <c r="C3" s="112"/>
      <c r="D3" s="112">
        <v>7.9</v>
      </c>
      <c r="E3" s="112"/>
      <c r="F3" s="112">
        <v>7.9</v>
      </c>
      <c r="G3" s="112"/>
      <c r="H3" s="112"/>
      <c r="I3" s="112"/>
      <c r="J3" s="112"/>
      <c r="K3" s="113"/>
      <c r="L3" s="113"/>
      <c r="M3" s="112"/>
      <c r="N3" s="113"/>
      <c r="O3" s="45"/>
      <c r="P3" s="45"/>
      <c r="Q3" s="45"/>
      <c r="R3" s="45"/>
      <c r="S3" s="45"/>
      <c r="T3" s="45"/>
      <c r="U3" s="45"/>
      <c r="V3" s="45"/>
      <c r="W3" s="45"/>
      <c r="X3" s="45"/>
    </row>
    <row r="4">
      <c r="A4" s="111">
        <v>46103.0</v>
      </c>
      <c r="B4" s="112" t="s">
        <v>1365</v>
      </c>
      <c r="C4" s="112"/>
      <c r="D4" s="112">
        <v>60.9</v>
      </c>
      <c r="E4" s="112"/>
      <c r="F4" s="112">
        <v>60.9</v>
      </c>
      <c r="G4" s="112"/>
      <c r="H4" s="113"/>
      <c r="I4" s="112"/>
      <c r="J4" s="112"/>
      <c r="K4" s="112"/>
      <c r="L4" s="113"/>
      <c r="M4" s="112"/>
      <c r="N4" s="113"/>
      <c r="O4" s="45"/>
      <c r="P4" s="45"/>
      <c r="Q4" s="45"/>
      <c r="R4" s="45"/>
      <c r="S4" s="45"/>
      <c r="T4" s="45"/>
      <c r="U4" s="45"/>
      <c r="V4" s="45"/>
      <c r="W4" s="45"/>
      <c r="X4" s="45"/>
    </row>
    <row r="5">
      <c r="A5" s="111">
        <v>46103.0</v>
      </c>
      <c r="B5" s="112" t="s">
        <v>114</v>
      </c>
      <c r="C5" s="112"/>
      <c r="D5" s="112">
        <v>121.0</v>
      </c>
      <c r="E5" s="112"/>
      <c r="F5" s="112">
        <v>121.0</v>
      </c>
      <c r="G5" s="112"/>
      <c r="H5" s="112"/>
      <c r="I5" s="112"/>
      <c r="J5" s="112"/>
      <c r="K5" s="112"/>
      <c r="L5" s="112"/>
      <c r="M5" s="112"/>
      <c r="N5" s="113"/>
      <c r="O5" s="45"/>
      <c r="P5" s="45"/>
      <c r="Q5" s="45"/>
      <c r="R5" s="45"/>
      <c r="S5" s="45"/>
      <c r="T5" s="45"/>
      <c r="U5" s="45"/>
      <c r="V5" s="45"/>
      <c r="W5" s="45"/>
      <c r="X5" s="45"/>
    </row>
    <row r="6">
      <c r="A6" s="111">
        <v>46103.0</v>
      </c>
      <c r="B6" s="112" t="s">
        <v>1366</v>
      </c>
      <c r="C6" s="112"/>
      <c r="D6" s="112">
        <v>148.0</v>
      </c>
      <c r="E6" s="112"/>
      <c r="F6" s="112">
        <v>148.0</v>
      </c>
      <c r="G6" s="113"/>
      <c r="H6" s="113"/>
      <c r="I6" s="112"/>
      <c r="J6" s="112"/>
      <c r="K6" s="112"/>
      <c r="L6" s="113"/>
      <c r="M6" s="112"/>
      <c r="N6" s="113"/>
      <c r="O6" s="45"/>
      <c r="P6" s="45"/>
      <c r="Q6" s="45"/>
      <c r="R6" s="45"/>
      <c r="S6" s="45"/>
      <c r="T6" s="45"/>
      <c r="U6" s="45"/>
      <c r="V6" s="45"/>
      <c r="W6" s="45"/>
      <c r="X6" s="45"/>
    </row>
    <row r="7">
      <c r="A7" s="114">
        <v>46104.0</v>
      </c>
      <c r="B7" s="112" t="s">
        <v>1367</v>
      </c>
      <c r="C7" s="112"/>
      <c r="D7" s="112">
        <v>30.2</v>
      </c>
      <c r="E7" s="112">
        <v>30.2</v>
      </c>
      <c r="F7" s="112"/>
      <c r="G7" s="113"/>
      <c r="H7" s="113"/>
      <c r="I7" s="112"/>
      <c r="J7" s="112"/>
      <c r="K7" s="112"/>
      <c r="L7" s="112"/>
      <c r="M7" s="112"/>
      <c r="N7" s="113"/>
      <c r="O7" s="45"/>
      <c r="P7" s="45"/>
      <c r="Q7" s="45"/>
      <c r="R7" s="45"/>
      <c r="S7" s="45"/>
      <c r="T7" s="45"/>
      <c r="U7" s="45"/>
      <c r="V7" s="45"/>
      <c r="W7" s="45"/>
      <c r="X7" s="45"/>
    </row>
    <row r="8">
      <c r="A8" s="111">
        <v>46105.0</v>
      </c>
      <c r="B8" s="112" t="s">
        <v>1368</v>
      </c>
      <c r="C8" s="113"/>
      <c r="D8" s="112">
        <v>23.0</v>
      </c>
      <c r="E8" s="112"/>
      <c r="F8" s="112">
        <v>23.0</v>
      </c>
      <c r="G8" s="115"/>
      <c r="H8" s="112"/>
      <c r="I8" s="112"/>
      <c r="J8" s="112"/>
      <c r="K8" s="112"/>
      <c r="L8" s="112"/>
      <c r="M8" s="112"/>
      <c r="N8" s="112"/>
      <c r="O8" s="45"/>
      <c r="P8" s="45"/>
      <c r="Q8" s="45"/>
      <c r="R8" s="45"/>
      <c r="S8" s="45"/>
      <c r="T8" s="45"/>
      <c r="U8" s="45"/>
      <c r="V8" s="45"/>
      <c r="W8" s="45"/>
      <c r="X8" s="45"/>
    </row>
    <row r="9">
      <c r="A9" s="111">
        <v>46107.0</v>
      </c>
      <c r="B9" s="112" t="s">
        <v>40</v>
      </c>
      <c r="C9" s="112"/>
      <c r="D9" s="112">
        <v>133.0</v>
      </c>
      <c r="E9" s="112"/>
      <c r="F9" s="112">
        <v>133.0</v>
      </c>
      <c r="G9" s="116"/>
      <c r="H9" s="112"/>
      <c r="I9" s="112"/>
      <c r="J9" s="112"/>
      <c r="K9" s="112"/>
      <c r="L9" s="112"/>
      <c r="M9" s="112"/>
      <c r="N9" s="113"/>
      <c r="O9" s="45"/>
      <c r="P9" s="45"/>
      <c r="Q9" s="45"/>
      <c r="R9" s="45"/>
      <c r="S9" s="45"/>
      <c r="T9" s="45"/>
      <c r="U9" s="45"/>
      <c r="V9" s="45"/>
      <c r="W9" s="45"/>
      <c r="X9" s="45"/>
    </row>
    <row r="10">
      <c r="A10" s="111"/>
      <c r="B10" s="112"/>
      <c r="C10" s="112"/>
      <c r="D10" s="112"/>
      <c r="E10" s="112"/>
      <c r="F10" s="112"/>
      <c r="G10" s="112"/>
      <c r="H10" s="112"/>
      <c r="I10" s="112"/>
      <c r="J10" s="113"/>
      <c r="K10" s="112"/>
      <c r="L10" s="113"/>
      <c r="M10" s="112"/>
      <c r="N10" s="113"/>
      <c r="O10" s="45"/>
      <c r="P10" s="45"/>
      <c r="Q10" s="45"/>
      <c r="R10" s="45"/>
      <c r="S10" s="45"/>
      <c r="T10" s="45"/>
      <c r="U10" s="45"/>
      <c r="V10" s="45"/>
      <c r="W10" s="45"/>
      <c r="X10" s="45"/>
    </row>
    <row r="11">
      <c r="A11" s="111">
        <v>46104.0</v>
      </c>
      <c r="B11" s="112" t="s">
        <v>1369</v>
      </c>
      <c r="C11" s="112"/>
      <c r="D11" s="112">
        <v>60.25</v>
      </c>
      <c r="E11" s="112"/>
      <c r="F11" s="112"/>
      <c r="G11" s="115"/>
      <c r="H11" s="112"/>
      <c r="I11" s="112"/>
      <c r="J11" s="113"/>
      <c r="K11" s="112"/>
      <c r="L11" s="113"/>
      <c r="M11" s="112"/>
      <c r="N11" s="112">
        <v>60.25</v>
      </c>
      <c r="O11" s="45"/>
      <c r="P11" s="45"/>
      <c r="Q11" s="45"/>
      <c r="R11" s="45"/>
      <c r="S11" s="45"/>
      <c r="T11" s="45"/>
      <c r="U11" s="45"/>
      <c r="V11" s="45"/>
      <c r="W11" s="45"/>
      <c r="X11" s="45"/>
    </row>
    <row r="12">
      <c r="A12" s="111">
        <v>46103.0</v>
      </c>
      <c r="B12" s="112" t="s">
        <v>1296</v>
      </c>
      <c r="C12" s="112"/>
      <c r="D12" s="112">
        <v>24.0</v>
      </c>
      <c r="E12" s="112"/>
      <c r="F12" s="112">
        <v>24.0</v>
      </c>
      <c r="G12" s="115"/>
      <c r="H12" s="112"/>
      <c r="I12" s="112"/>
      <c r="J12" s="112"/>
      <c r="K12" s="112"/>
      <c r="L12" s="113"/>
      <c r="M12" s="112"/>
      <c r="N12" s="113"/>
      <c r="O12" s="45"/>
      <c r="P12" s="45"/>
      <c r="Q12" s="45"/>
      <c r="R12" s="45"/>
      <c r="S12" s="45"/>
      <c r="T12" s="45"/>
      <c r="U12" s="45"/>
      <c r="V12" s="45"/>
      <c r="W12" s="45"/>
      <c r="X12" s="45"/>
    </row>
    <row r="13">
      <c r="A13" s="43"/>
      <c r="B13" s="44"/>
      <c r="C13" s="117"/>
      <c r="D13" s="112"/>
      <c r="E13" s="112"/>
      <c r="F13" s="112"/>
      <c r="G13" s="112"/>
      <c r="H13" s="113"/>
      <c r="I13" s="112"/>
      <c r="J13" s="112"/>
      <c r="K13" s="112"/>
      <c r="L13" s="113"/>
      <c r="M13" s="112"/>
      <c r="N13" s="112"/>
      <c r="O13" s="45"/>
      <c r="P13" s="45"/>
      <c r="Q13" s="45"/>
      <c r="R13" s="45"/>
      <c r="S13" s="45"/>
      <c r="T13" s="45"/>
      <c r="U13" s="45"/>
      <c r="V13" s="45"/>
      <c r="W13" s="45"/>
      <c r="X13" s="45"/>
    </row>
    <row r="14">
      <c r="A14" s="43"/>
      <c r="B14" s="44"/>
      <c r="C14" s="117"/>
      <c r="D14" s="112"/>
      <c r="E14" s="118"/>
      <c r="F14" s="118"/>
      <c r="G14" s="53"/>
      <c r="H14" s="53"/>
      <c r="I14" s="53"/>
      <c r="J14" s="53"/>
      <c r="K14" s="53"/>
      <c r="L14" s="53"/>
      <c r="M14" s="53"/>
      <c r="N14" s="118"/>
      <c r="O14" s="45"/>
      <c r="P14" s="45"/>
      <c r="Q14" s="45"/>
      <c r="R14" s="45"/>
      <c r="S14" s="45"/>
      <c r="T14" s="45"/>
      <c r="U14" s="45"/>
      <c r="V14" s="45"/>
      <c r="W14" s="45"/>
      <c r="X14" s="45"/>
    </row>
    <row r="15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>
      <c r="A16" s="43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5"/>
      <c r="L17" s="45"/>
      <c r="M17" s="45"/>
      <c r="N17" s="45"/>
      <c r="O17" s="45"/>
      <c r="P17" s="45"/>
      <c r="Q17" s="44"/>
      <c r="R17" s="45"/>
      <c r="S17" s="45"/>
      <c r="T17" s="45"/>
      <c r="U17" s="45"/>
      <c r="V17" s="45"/>
      <c r="W17" s="45"/>
      <c r="X17" s="45"/>
    </row>
    <row r="18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</row>
    <row r="19">
      <c r="A19" s="119"/>
      <c r="B19" s="45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>
      <c r="A20" s="119"/>
      <c r="B20" s="45"/>
      <c r="C20" s="44"/>
      <c r="D20" s="44"/>
      <c r="E20" s="45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>
      <c r="A21" s="119"/>
      <c r="B21" s="45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>
      <c r="A22" s="119"/>
      <c r="B22" s="45"/>
      <c r="C22" s="44"/>
      <c r="D22" s="44"/>
      <c r="E22" s="45"/>
      <c r="F22" s="44"/>
      <c r="G22" s="44"/>
      <c r="H22" s="44"/>
      <c r="I22" s="44"/>
      <c r="J22" s="44"/>
      <c r="K22" s="44"/>
      <c r="L22" s="44"/>
      <c r="M22" s="44"/>
      <c r="N22" s="44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>
      <c r="A23" s="43"/>
      <c r="B23" s="44"/>
      <c r="C23" s="44"/>
      <c r="D23" s="44"/>
      <c r="E23" s="45"/>
      <c r="F23" s="44"/>
      <c r="G23" s="44"/>
      <c r="H23" s="44"/>
      <c r="I23" s="44"/>
      <c r="J23" s="45"/>
      <c r="K23" s="44"/>
      <c r="L23" s="44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>
      <c r="A24" s="43"/>
      <c r="B24" s="44"/>
      <c r="C24" s="44"/>
      <c r="D24" s="44"/>
      <c r="E24" s="45"/>
      <c r="F24" s="45"/>
      <c r="G24" s="44"/>
      <c r="H24" s="44"/>
      <c r="I24" s="44"/>
      <c r="J24" s="44"/>
      <c r="K24" s="44"/>
      <c r="L24" s="44"/>
      <c r="M24" s="44"/>
      <c r="N24" s="44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>
      <c r="A26" s="43"/>
      <c r="B26" s="44"/>
      <c r="C26" s="44"/>
      <c r="D26" s="44"/>
      <c r="E26" s="45"/>
      <c r="F26" s="44"/>
      <c r="G26" s="44"/>
      <c r="H26" s="45"/>
      <c r="I26" s="44"/>
      <c r="J26" s="45"/>
      <c r="K26" s="44"/>
      <c r="L26" s="44"/>
      <c r="M26" s="44"/>
      <c r="N26" s="44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>
      <c r="A27" s="43"/>
      <c r="B27" s="44"/>
      <c r="C27" s="44"/>
      <c r="D27" s="44"/>
      <c r="E27" s="45"/>
      <c r="F27" s="44"/>
      <c r="G27" s="44"/>
      <c r="H27" s="45"/>
      <c r="I27" s="44"/>
      <c r="J27" s="45"/>
      <c r="K27" s="44"/>
      <c r="L27" s="44"/>
      <c r="M27" s="44"/>
      <c r="N27" s="44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>
      <c r="A28" s="43"/>
      <c r="B28" s="44"/>
      <c r="C28" s="44"/>
      <c r="D28" s="44"/>
      <c r="E28" s="45"/>
      <c r="F28" s="44"/>
      <c r="G28" s="44"/>
      <c r="H28" s="44"/>
      <c r="I28" s="44"/>
      <c r="J28" s="44"/>
      <c r="K28" s="44"/>
      <c r="L28" s="44"/>
      <c r="M28" s="44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>
      <c r="A29" s="43"/>
      <c r="B29" s="44"/>
      <c r="C29" s="44"/>
      <c r="D29" s="44"/>
      <c r="E29" s="45"/>
      <c r="F29" s="44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>
      <c r="A30" s="43"/>
      <c r="B30" s="44"/>
      <c r="C30" s="44"/>
      <c r="D30" s="44"/>
      <c r="E30" s="45"/>
      <c r="F30" s="44"/>
      <c r="G30" s="45"/>
      <c r="H30" s="45"/>
      <c r="I30" s="45"/>
      <c r="J30" s="45"/>
      <c r="K30" s="44"/>
      <c r="L30" s="45"/>
      <c r="M30" s="44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>
      <c r="A31" s="43"/>
      <c r="B31" s="45"/>
      <c r="C31" s="44"/>
      <c r="D31" s="44"/>
      <c r="E31" s="45"/>
      <c r="F31" s="45"/>
      <c r="G31" s="44"/>
      <c r="H31" s="45"/>
      <c r="I31" s="45"/>
      <c r="J31" s="45"/>
      <c r="K31" s="45"/>
      <c r="L31" s="45"/>
      <c r="M31" s="44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</row>
    <row r="32">
      <c r="A32" s="46"/>
      <c r="B32" s="44"/>
      <c r="C32" s="44"/>
      <c r="D32" s="44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>
      <c r="A33" s="43"/>
      <c r="B33" s="44"/>
      <c r="C33" s="44"/>
      <c r="D33" s="44"/>
      <c r="E33" s="44"/>
      <c r="F33" s="44"/>
      <c r="G33" s="44"/>
      <c r="H33" s="45"/>
      <c r="I33" s="45"/>
      <c r="J33" s="45"/>
      <c r="K33" s="45"/>
      <c r="L33" s="45"/>
      <c r="M33" s="44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</row>
    <row r="34">
      <c r="A34" s="43"/>
      <c r="B34" s="44"/>
      <c r="C34" s="44"/>
      <c r="D34" s="44"/>
      <c r="E34" s="45"/>
      <c r="F34" s="45"/>
      <c r="G34" s="44"/>
      <c r="H34" s="45"/>
      <c r="I34" s="45"/>
      <c r="J34" s="45"/>
      <c r="K34" s="45"/>
      <c r="L34" s="45"/>
      <c r="M34" s="44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</row>
    <row r="35">
      <c r="A35" s="43"/>
      <c r="B35" s="44"/>
      <c r="C35" s="44"/>
      <c r="D35" s="44"/>
      <c r="E35" s="45"/>
      <c r="F35" s="45"/>
      <c r="G35" s="44"/>
      <c r="H35" s="44"/>
      <c r="I35" s="44"/>
      <c r="J35" s="44"/>
      <c r="K35" s="44"/>
      <c r="L35" s="44"/>
      <c r="M35" s="44"/>
      <c r="N35" s="44"/>
      <c r="O35" s="45"/>
      <c r="P35" s="45"/>
      <c r="Q35" s="45"/>
      <c r="R35" s="45"/>
      <c r="S35" s="45"/>
      <c r="T35" s="45"/>
      <c r="U35" s="45"/>
      <c r="V35" s="45"/>
      <c r="W35" s="45"/>
      <c r="X35" s="45"/>
    </row>
    <row r="36">
      <c r="A36" s="43"/>
      <c r="B36" s="44"/>
      <c r="C36" s="44"/>
      <c r="D36" s="44"/>
      <c r="E36" s="44"/>
      <c r="F36" s="44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</row>
    <row r="37">
      <c r="A37" s="43"/>
      <c r="B37" s="45"/>
      <c r="C37" s="44"/>
      <c r="D37" s="44"/>
      <c r="E37" s="44"/>
      <c r="F37" s="44"/>
      <c r="G37" s="45"/>
      <c r="H37" s="45"/>
      <c r="I37" s="45"/>
      <c r="J37" s="45"/>
      <c r="K37" s="45"/>
      <c r="L37" s="45"/>
      <c r="M37" s="44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>
      <c r="A39" s="43"/>
      <c r="B39" s="44"/>
      <c r="C39" s="44"/>
      <c r="D39" s="44"/>
      <c r="E39" s="45"/>
      <c r="F39" s="45"/>
      <c r="G39" s="45"/>
      <c r="H39" s="45"/>
      <c r="I39" s="45"/>
      <c r="J39" s="45"/>
      <c r="K39" s="45"/>
      <c r="L39" s="45"/>
      <c r="M39" s="44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>
      <c r="A40" s="43"/>
      <c r="B40" s="44"/>
      <c r="C40" s="44"/>
      <c r="D40" s="44"/>
      <c r="E40" s="44"/>
      <c r="F40" s="45"/>
      <c r="G40" s="45"/>
      <c r="H40" s="45"/>
      <c r="I40" s="45"/>
      <c r="J40" s="45"/>
      <c r="K40" s="45"/>
      <c r="L40" s="45"/>
      <c r="M40" s="44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>
      <c r="A41" s="46"/>
      <c r="B41" s="45"/>
      <c r="C41" s="44"/>
      <c r="D41" s="44"/>
      <c r="E41" s="45"/>
      <c r="F41" s="44"/>
      <c r="G41" s="45"/>
      <c r="H41" s="45"/>
      <c r="I41" s="45"/>
      <c r="J41" s="45"/>
      <c r="K41" s="45"/>
      <c r="L41" s="45"/>
      <c r="M41" s="44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>
      <c r="A42" s="46"/>
      <c r="B42" s="45"/>
      <c r="C42" s="44"/>
      <c r="D42" s="44"/>
      <c r="E42" s="45"/>
      <c r="F42" s="45"/>
      <c r="G42" s="45"/>
      <c r="H42" s="45"/>
      <c r="I42" s="45"/>
      <c r="J42" s="44"/>
      <c r="K42" s="44"/>
      <c r="L42" s="45"/>
      <c r="M42" s="44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>
      <c r="A43" s="90"/>
      <c r="B43" s="45"/>
      <c r="C43" s="44"/>
      <c r="D43" s="44"/>
      <c r="E43" s="45"/>
      <c r="F43" s="45"/>
      <c r="G43" s="44"/>
      <c r="H43" s="45"/>
      <c r="I43" s="45"/>
      <c r="J43" s="45"/>
      <c r="K43" s="44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>
      <c r="A44" s="46"/>
      <c r="B44" s="45"/>
      <c r="C44" s="44"/>
      <c r="D44" s="44"/>
      <c r="E44" s="44"/>
      <c r="F44" s="45"/>
      <c r="G44" s="44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>
      <c r="A45" s="120"/>
      <c r="B45" s="44"/>
      <c r="C45" s="44"/>
      <c r="D45" s="44"/>
      <c r="E45" s="45"/>
      <c r="F45" s="44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>
      <c r="A46" s="90"/>
      <c r="B46" s="44"/>
      <c r="C46" s="44"/>
      <c r="D46" s="44"/>
      <c r="E46" s="44"/>
      <c r="F46" s="45"/>
      <c r="G46" s="45"/>
      <c r="H46" s="45"/>
      <c r="I46" s="45"/>
      <c r="J46" s="44"/>
      <c r="K46" s="45"/>
      <c r="L46" s="45"/>
      <c r="M46" s="44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>
      <c r="A47" s="90"/>
      <c r="B47" s="44"/>
      <c r="C47" s="44"/>
      <c r="D47" s="44"/>
      <c r="E47" s="45"/>
      <c r="F47" s="45"/>
      <c r="G47" s="45"/>
      <c r="H47" s="45"/>
      <c r="I47" s="45"/>
      <c r="J47" s="44"/>
      <c r="K47" s="45"/>
      <c r="L47" s="45"/>
      <c r="M47" s="44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>
      <c r="A48" s="45"/>
      <c r="B48" s="45"/>
      <c r="C48" s="44"/>
      <c r="D48" s="44"/>
      <c r="E48" s="45"/>
      <c r="F48" s="45"/>
      <c r="G48" s="45"/>
      <c r="H48" s="45"/>
      <c r="I48" s="45"/>
      <c r="J48" s="44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>
      <c r="A49" s="46"/>
      <c r="B49" s="45"/>
      <c r="C49" s="44"/>
      <c r="D49" s="44"/>
      <c r="E49" s="44"/>
      <c r="F49" s="45"/>
      <c r="G49" s="45"/>
      <c r="H49" s="45"/>
      <c r="I49" s="45"/>
      <c r="J49" s="45"/>
      <c r="K49" s="45"/>
      <c r="L49" s="45"/>
      <c r="M49" s="44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>
      <c r="A50" s="45"/>
      <c r="B50" s="45"/>
      <c r="C50" s="44"/>
      <c r="D50" s="44"/>
      <c r="E50" s="45"/>
      <c r="F50" s="44"/>
      <c r="G50" s="45"/>
      <c r="H50" s="45"/>
      <c r="I50" s="45"/>
      <c r="J50" s="45"/>
      <c r="K50" s="45"/>
      <c r="L50" s="45"/>
      <c r="M50" s="44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>
      <c r="A51" s="45"/>
      <c r="B51" s="45"/>
      <c r="C51" s="44"/>
      <c r="D51" s="44"/>
      <c r="E51" s="45"/>
      <c r="F51" s="44"/>
      <c r="G51" s="45"/>
      <c r="H51" s="45"/>
      <c r="I51" s="45"/>
      <c r="J51" s="45"/>
      <c r="K51" s="45"/>
      <c r="L51" s="45"/>
      <c r="M51" s="44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>
      <c r="A52" s="46"/>
      <c r="B52" s="45"/>
      <c r="C52" s="44"/>
      <c r="D52" s="44"/>
      <c r="E52" s="45"/>
      <c r="F52" s="44"/>
      <c r="G52" s="45"/>
      <c r="H52" s="45"/>
      <c r="I52" s="45"/>
      <c r="J52" s="45"/>
      <c r="K52" s="45"/>
      <c r="L52" s="45"/>
      <c r="M52" s="44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>
      <c r="A53" s="46"/>
      <c r="B53" s="45"/>
      <c r="C53" s="44"/>
      <c r="D53" s="44"/>
      <c r="E53" s="45"/>
      <c r="F53" s="45"/>
      <c r="G53" s="45"/>
      <c r="H53" s="45"/>
      <c r="I53" s="45"/>
      <c r="J53" s="45"/>
      <c r="K53" s="45"/>
      <c r="L53" s="45"/>
      <c r="M53" s="44"/>
      <c r="N53" s="45"/>
      <c r="O53" s="45"/>
      <c r="P53" s="44"/>
      <c r="Q53" s="45"/>
      <c r="R53" s="45"/>
      <c r="S53" s="45"/>
      <c r="T53" s="45"/>
      <c r="U53" s="45"/>
      <c r="V53" s="45"/>
      <c r="W53" s="45"/>
      <c r="X53" s="45"/>
    </row>
    <row r="54">
      <c r="A54" s="46"/>
      <c r="B54" s="45"/>
      <c r="C54" s="45"/>
      <c r="D54" s="44"/>
      <c r="E54" s="45"/>
      <c r="F54" s="44"/>
      <c r="G54" s="45"/>
      <c r="H54" s="45"/>
      <c r="I54" s="45"/>
      <c r="J54" s="45"/>
      <c r="K54" s="45"/>
      <c r="L54" s="45"/>
      <c r="M54" s="44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>
      <c r="A55" s="45"/>
      <c r="B55" s="45"/>
      <c r="C55" s="44"/>
      <c r="D55" s="44"/>
      <c r="E55" s="45"/>
      <c r="F55" s="44"/>
      <c r="G55" s="45"/>
      <c r="H55" s="45"/>
      <c r="I55" s="45"/>
      <c r="J55" s="45"/>
      <c r="K55" s="45"/>
      <c r="L55" s="45"/>
      <c r="M55" s="44"/>
      <c r="N55" s="45"/>
      <c r="O55" s="45"/>
      <c r="P55" s="44"/>
      <c r="Q55" s="45"/>
      <c r="R55" s="45"/>
      <c r="S55" s="45"/>
      <c r="T55" s="45"/>
      <c r="U55" s="45"/>
      <c r="V55" s="45"/>
      <c r="W55" s="45"/>
      <c r="X55" s="45"/>
    </row>
    <row r="56">
      <c r="A56" s="45"/>
      <c r="B56" s="45"/>
      <c r="C56" s="45"/>
      <c r="D56" s="44"/>
      <c r="E56" s="45"/>
      <c r="F56" s="44"/>
      <c r="G56" s="44"/>
      <c r="H56" s="45"/>
      <c r="I56" s="45"/>
      <c r="J56" s="45"/>
      <c r="K56" s="45"/>
      <c r="L56" s="45"/>
      <c r="M56" s="44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>
      <c r="A57" s="45"/>
      <c r="B57" s="44"/>
      <c r="C57" s="45"/>
      <c r="D57" s="44"/>
      <c r="E57" s="45"/>
      <c r="F57" s="44"/>
      <c r="G57" s="45"/>
      <c r="H57" s="45"/>
      <c r="I57" s="45"/>
      <c r="J57" s="45"/>
      <c r="K57" s="45"/>
      <c r="L57" s="45"/>
      <c r="M57" s="44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>
      <c r="A58" s="45"/>
      <c r="B58" s="45"/>
      <c r="C58" s="44"/>
      <c r="D58" s="44"/>
      <c r="E58" s="45"/>
      <c r="F58" s="45"/>
      <c r="G58" s="45"/>
      <c r="H58" s="45"/>
      <c r="I58" s="45"/>
      <c r="J58" s="45"/>
      <c r="K58" s="45"/>
      <c r="L58" s="44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>
      <c r="A59" s="46"/>
      <c r="B59" s="45"/>
      <c r="C59" s="45"/>
      <c r="D59" s="44"/>
      <c r="E59" s="45"/>
      <c r="F59" s="45"/>
      <c r="G59" s="45"/>
      <c r="H59" s="45"/>
      <c r="I59" s="45"/>
      <c r="J59" s="45"/>
      <c r="K59" s="45"/>
      <c r="L59" s="45"/>
      <c r="M59" s="45"/>
      <c r="N59" s="44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>
      <c r="A60" s="45"/>
      <c r="B60" s="45"/>
      <c r="C60" s="45"/>
      <c r="D60" s="44"/>
      <c r="E60" s="45"/>
      <c r="F60" s="44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>
      <c r="A61" s="45"/>
      <c r="B61" s="45"/>
      <c r="C61" s="45"/>
      <c r="D61" s="44"/>
      <c r="E61" s="45"/>
      <c r="F61" s="44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>
      <c r="A62" s="45"/>
      <c r="B62" s="45"/>
      <c r="C62" s="44"/>
      <c r="D62" s="44"/>
      <c r="E62" s="45"/>
      <c r="F62" s="44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>
      <c r="A77" s="45"/>
      <c r="B77" s="45"/>
      <c r="C77" s="44"/>
      <c r="D77" s="44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>
      <c r="A78" s="45"/>
      <c r="B78" s="45"/>
      <c r="C78" s="44"/>
      <c r="D78" s="44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>
      <c r="A79" s="45"/>
      <c r="B79" s="45"/>
      <c r="C79" s="44"/>
      <c r="D79" s="44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>
      <c r="A80" s="45"/>
      <c r="B80" s="45"/>
      <c r="C80" s="44"/>
      <c r="D80" s="44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>
      <c r="A81" s="45"/>
      <c r="B81" s="45"/>
      <c r="C81" s="44"/>
      <c r="D81" s="44"/>
      <c r="E81" s="44"/>
      <c r="F81" s="44"/>
      <c r="G81" s="44"/>
      <c r="H81" s="44"/>
      <c r="I81" s="44"/>
      <c r="J81" s="44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>
      <c r="A82" s="45"/>
      <c r="B82" s="45"/>
      <c r="C82" s="44"/>
      <c r="D82" s="44"/>
      <c r="E82" s="44"/>
      <c r="F82" s="44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>
      <c r="A83" s="45"/>
      <c r="B83" s="45"/>
      <c r="C83" s="44"/>
      <c r="D83" s="44"/>
      <c r="E83" s="45"/>
      <c r="F83" s="44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>
      <c r="A84" s="45"/>
      <c r="B84" s="45"/>
      <c r="C84" s="44"/>
      <c r="D84" s="44"/>
      <c r="E84" s="44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>
      <c r="A85" s="45"/>
      <c r="B85" s="45"/>
      <c r="C85" s="44"/>
      <c r="D85" s="44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>
      <c r="A88" s="45"/>
      <c r="B88" s="45"/>
      <c r="C88" s="44"/>
      <c r="D88" s="44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>
      <c r="A90" s="45"/>
      <c r="B90" s="45"/>
      <c r="C90" s="45"/>
      <c r="D90" s="45"/>
      <c r="E90" s="44"/>
      <c r="F90" s="44"/>
      <c r="G90" s="45"/>
      <c r="H90" s="45"/>
      <c r="I90" s="44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>
      <c r="C93" s="60"/>
      <c r="D93" s="60"/>
    </row>
    <row r="94">
      <c r="C94" s="60"/>
      <c r="D94" s="60"/>
    </row>
    <row r="95">
      <c r="C95" s="60"/>
      <c r="D95" s="60"/>
    </row>
    <row r="96">
      <c r="C96" s="60"/>
      <c r="D96" s="60"/>
    </row>
    <row r="97">
      <c r="C97" s="60"/>
      <c r="D97" s="60"/>
    </row>
    <row r="98">
      <c r="C98" s="60"/>
      <c r="D98" s="60"/>
    </row>
    <row r="99">
      <c r="C99" s="60"/>
      <c r="D99" s="60"/>
    </row>
    <row r="100">
      <c r="C100" s="60"/>
      <c r="D100" s="60"/>
    </row>
    <row r="101">
      <c r="C101" s="60"/>
      <c r="D101" s="60"/>
    </row>
    <row r="102">
      <c r="C102" s="60"/>
      <c r="D102" s="60"/>
    </row>
    <row r="103">
      <c r="C103" s="60"/>
      <c r="D103" s="60"/>
    </row>
    <row r="104">
      <c r="C104" s="60"/>
      <c r="D104" s="60"/>
    </row>
    <row r="105">
      <c r="C105" s="60"/>
      <c r="D105" s="60"/>
    </row>
    <row r="106">
      <c r="C106" s="60"/>
      <c r="D106" s="60"/>
    </row>
    <row r="107">
      <c r="C107" s="60"/>
      <c r="D107" s="60"/>
    </row>
    <row r="108">
      <c r="C108" s="60"/>
      <c r="D108" s="60"/>
    </row>
    <row r="109">
      <c r="C109" s="60"/>
      <c r="D109" s="60"/>
    </row>
    <row r="110">
      <c r="C110" s="60"/>
      <c r="D110" s="60"/>
    </row>
    <row r="111">
      <c r="C111" s="60"/>
      <c r="D111" s="60"/>
    </row>
    <row r="112">
      <c r="C112" s="60"/>
      <c r="D112" s="60"/>
    </row>
    <row r="113">
      <c r="C113" s="60"/>
      <c r="D113" s="60"/>
    </row>
    <row r="114">
      <c r="C114" s="60"/>
      <c r="D114" s="60"/>
    </row>
    <row r="115">
      <c r="C115" s="60"/>
      <c r="D115" s="60"/>
    </row>
    <row r="116">
      <c r="C116" s="60"/>
      <c r="D116" s="60"/>
    </row>
    <row r="117">
      <c r="C117" s="60"/>
      <c r="D117" s="60"/>
    </row>
    <row r="118">
      <c r="C118" s="60"/>
      <c r="D118" s="60"/>
    </row>
    <row r="119">
      <c r="C119" s="60"/>
      <c r="D119" s="60"/>
    </row>
    <row r="120">
      <c r="C120" s="60"/>
      <c r="D120" s="60"/>
    </row>
    <row r="121">
      <c r="C121" s="60"/>
      <c r="D121" s="60"/>
    </row>
    <row r="122">
      <c r="C122" s="60"/>
      <c r="D122" s="60"/>
    </row>
    <row r="123">
      <c r="C123" s="60"/>
      <c r="D123" s="60"/>
    </row>
    <row r="124">
      <c r="C124" s="60"/>
      <c r="D124" s="60"/>
    </row>
    <row r="125">
      <c r="C125" s="60"/>
      <c r="D125" s="60"/>
    </row>
    <row r="126">
      <c r="C126" s="60"/>
      <c r="D126" s="60"/>
    </row>
    <row r="127">
      <c r="C127" s="60"/>
      <c r="D127" s="60"/>
    </row>
    <row r="128">
      <c r="C128" s="60"/>
      <c r="D128" s="60"/>
    </row>
    <row r="129">
      <c r="C129" s="60"/>
      <c r="D129" s="60"/>
    </row>
    <row r="130">
      <c r="C130" s="60"/>
      <c r="D130" s="60"/>
    </row>
    <row r="131">
      <c r="C131" s="60"/>
      <c r="D131" s="60"/>
    </row>
    <row r="132">
      <c r="C132" s="60"/>
      <c r="D132" s="60"/>
    </row>
    <row r="133">
      <c r="C133" s="60"/>
      <c r="D133" s="60"/>
    </row>
    <row r="134">
      <c r="C134" s="60"/>
      <c r="D134" s="60"/>
    </row>
    <row r="135">
      <c r="C135" s="60"/>
      <c r="D135" s="60"/>
    </row>
    <row r="136">
      <c r="C136" s="60"/>
      <c r="D136" s="60"/>
    </row>
    <row r="137">
      <c r="C137" s="60"/>
      <c r="D137" s="60"/>
    </row>
    <row r="138">
      <c r="C138" s="60"/>
      <c r="D138" s="60"/>
    </row>
    <row r="139">
      <c r="C139" s="60"/>
      <c r="D139" s="60"/>
    </row>
    <row r="140">
      <c r="C140" s="60"/>
      <c r="D140" s="60"/>
    </row>
    <row r="141">
      <c r="C141" s="60"/>
      <c r="D141" s="60"/>
    </row>
    <row r="142">
      <c r="C142" s="60"/>
      <c r="D142" s="60"/>
    </row>
    <row r="143">
      <c r="C143" s="60"/>
      <c r="D143" s="60"/>
    </row>
    <row r="144">
      <c r="C144" s="60"/>
      <c r="D144" s="60"/>
    </row>
    <row r="145">
      <c r="C145" s="60"/>
      <c r="D145" s="60"/>
    </row>
    <row r="146">
      <c r="C146" s="60"/>
      <c r="D146" s="60"/>
    </row>
    <row r="147">
      <c r="C147" s="60"/>
      <c r="D147" s="60"/>
    </row>
    <row r="148">
      <c r="C148" s="60"/>
      <c r="D148" s="60"/>
    </row>
    <row r="149">
      <c r="C149" s="60"/>
      <c r="D149" s="60"/>
    </row>
    <row r="150">
      <c r="C150" s="60"/>
      <c r="D150" s="60"/>
    </row>
    <row r="151">
      <c r="C151" s="60"/>
      <c r="D151" s="60"/>
    </row>
    <row r="152">
      <c r="C152" s="60"/>
      <c r="D152" s="60"/>
    </row>
    <row r="153">
      <c r="C153" s="60"/>
      <c r="D153" s="60"/>
    </row>
    <row r="154">
      <c r="C154" s="60"/>
      <c r="D154" s="60"/>
    </row>
    <row r="155">
      <c r="C155" s="60"/>
      <c r="D155" s="60"/>
    </row>
    <row r="156">
      <c r="C156" s="60"/>
      <c r="D156" s="60"/>
    </row>
    <row r="157">
      <c r="C157" s="60"/>
      <c r="D157" s="60"/>
    </row>
    <row r="158">
      <c r="C158" s="60"/>
      <c r="D158" s="60"/>
    </row>
    <row r="159">
      <c r="C159" s="60"/>
      <c r="D159" s="60"/>
    </row>
    <row r="160">
      <c r="C160" s="60"/>
      <c r="D160" s="60"/>
    </row>
    <row r="161">
      <c r="C161" s="60"/>
      <c r="D161" s="60"/>
    </row>
    <row r="162">
      <c r="C162" s="60"/>
      <c r="D162" s="60"/>
    </row>
    <row r="163">
      <c r="C163" s="60"/>
      <c r="D163" s="60"/>
    </row>
    <row r="164">
      <c r="C164" s="60"/>
      <c r="D164" s="60"/>
    </row>
    <row r="165">
      <c r="C165" s="60"/>
      <c r="D165" s="60"/>
    </row>
    <row r="166">
      <c r="C166" s="60"/>
      <c r="D166" s="60"/>
    </row>
    <row r="167">
      <c r="C167" s="60"/>
      <c r="D167" s="60"/>
    </row>
    <row r="168">
      <c r="C168" s="60"/>
      <c r="D168" s="60"/>
    </row>
    <row r="169">
      <c r="C169" s="60"/>
      <c r="D169" s="60"/>
    </row>
    <row r="170">
      <c r="C170" s="60"/>
      <c r="D170" s="60"/>
    </row>
    <row r="171">
      <c r="C171" s="60"/>
      <c r="D171" s="60"/>
    </row>
    <row r="172">
      <c r="C172" s="60"/>
      <c r="D172" s="60"/>
    </row>
    <row r="173">
      <c r="C173" s="60"/>
      <c r="D173" s="60"/>
    </row>
    <row r="174">
      <c r="C174" s="60"/>
      <c r="D174" s="60"/>
    </row>
    <row r="175">
      <c r="C175" s="60"/>
      <c r="D175" s="60"/>
    </row>
    <row r="176">
      <c r="C176" s="60"/>
      <c r="D176" s="60"/>
    </row>
    <row r="177">
      <c r="C177" s="60"/>
      <c r="D177" s="60"/>
    </row>
    <row r="178">
      <c r="C178" s="60"/>
      <c r="D178" s="60"/>
    </row>
    <row r="179">
      <c r="C179" s="60"/>
      <c r="D179" s="60"/>
    </row>
    <row r="180">
      <c r="C180" s="60"/>
      <c r="D180" s="60"/>
    </row>
    <row r="181">
      <c r="C181" s="60"/>
      <c r="D181" s="60"/>
    </row>
    <row r="182">
      <c r="C182" s="60"/>
      <c r="D182" s="60"/>
    </row>
    <row r="183">
      <c r="C183" s="60"/>
      <c r="D183" s="60"/>
    </row>
    <row r="184">
      <c r="C184" s="60"/>
      <c r="D184" s="60"/>
    </row>
    <row r="185">
      <c r="C185" s="60"/>
      <c r="D185" s="60"/>
    </row>
    <row r="186">
      <c r="C186" s="60"/>
      <c r="D186" s="60"/>
    </row>
    <row r="187">
      <c r="C187" s="60"/>
      <c r="D187" s="60"/>
    </row>
    <row r="188">
      <c r="C188" s="60"/>
      <c r="D188" s="60"/>
    </row>
    <row r="189">
      <c r="C189" s="60"/>
      <c r="D189" s="60"/>
    </row>
    <row r="190">
      <c r="C190" s="60"/>
      <c r="D190" s="60"/>
    </row>
    <row r="191">
      <c r="C191" s="60"/>
      <c r="D191" s="60"/>
    </row>
    <row r="192">
      <c r="C192" s="60"/>
      <c r="D192" s="60"/>
    </row>
    <row r="193">
      <c r="C193" s="60"/>
      <c r="D193" s="60"/>
    </row>
    <row r="194">
      <c r="C194" s="60"/>
      <c r="D194" s="60"/>
    </row>
    <row r="195">
      <c r="C195" s="60"/>
      <c r="D195" s="60"/>
    </row>
    <row r="196">
      <c r="C196" s="60"/>
      <c r="D196" s="60"/>
    </row>
    <row r="197">
      <c r="C197" s="60"/>
      <c r="D197" s="60"/>
    </row>
    <row r="198">
      <c r="C198" s="60"/>
      <c r="D198" s="60"/>
    </row>
    <row r="199">
      <c r="C199" s="60"/>
      <c r="D199" s="60"/>
    </row>
    <row r="200">
      <c r="C200" s="60"/>
      <c r="D200" s="60"/>
    </row>
    <row r="201">
      <c r="C201" s="60"/>
      <c r="D201" s="60"/>
    </row>
    <row r="202">
      <c r="C202" s="60"/>
      <c r="D202" s="60"/>
    </row>
    <row r="203">
      <c r="C203" s="60"/>
      <c r="D203" s="60"/>
    </row>
    <row r="204">
      <c r="C204" s="60"/>
      <c r="D204" s="60"/>
    </row>
    <row r="205">
      <c r="C205" s="60"/>
      <c r="D205" s="60"/>
    </row>
    <row r="206">
      <c r="C206" s="60"/>
      <c r="D206" s="60"/>
    </row>
    <row r="207">
      <c r="C207" s="60"/>
      <c r="D207" s="60"/>
    </row>
    <row r="208">
      <c r="C208" s="60"/>
      <c r="D208" s="60"/>
    </row>
    <row r="209">
      <c r="C209" s="60"/>
      <c r="D209" s="60"/>
    </row>
    <row r="210">
      <c r="C210" s="60"/>
      <c r="D210" s="60"/>
    </row>
    <row r="211">
      <c r="C211" s="60"/>
      <c r="D211" s="60"/>
    </row>
    <row r="212">
      <c r="C212" s="60"/>
      <c r="D212" s="60"/>
    </row>
    <row r="213">
      <c r="C213" s="60"/>
      <c r="D213" s="60"/>
    </row>
    <row r="214">
      <c r="C214" s="60"/>
      <c r="D214" s="60"/>
    </row>
    <row r="215">
      <c r="C215" s="60"/>
      <c r="D215" s="60"/>
    </row>
    <row r="216">
      <c r="C216" s="60"/>
      <c r="D216" s="60"/>
    </row>
    <row r="217">
      <c r="C217" s="60"/>
      <c r="D217" s="60"/>
    </row>
    <row r="218">
      <c r="C218" s="60"/>
      <c r="D218" s="60"/>
    </row>
    <row r="219">
      <c r="C219" s="60"/>
      <c r="D219" s="60"/>
    </row>
    <row r="220">
      <c r="C220" s="60"/>
      <c r="D220" s="60"/>
    </row>
    <row r="221">
      <c r="C221" s="60"/>
      <c r="D221" s="60"/>
    </row>
    <row r="222">
      <c r="C222" s="60"/>
      <c r="D222" s="60"/>
    </row>
    <row r="223">
      <c r="C223" s="60"/>
      <c r="D223" s="60"/>
    </row>
    <row r="224">
      <c r="C224" s="60"/>
      <c r="D224" s="60"/>
    </row>
    <row r="225">
      <c r="C225" s="60"/>
      <c r="D225" s="60"/>
    </row>
    <row r="226">
      <c r="C226" s="60"/>
      <c r="D226" s="60"/>
    </row>
    <row r="227">
      <c r="C227" s="60"/>
      <c r="D227" s="60"/>
    </row>
    <row r="228">
      <c r="C228" s="60"/>
      <c r="D228" s="60"/>
    </row>
    <row r="229">
      <c r="C229" s="60"/>
      <c r="D229" s="60"/>
    </row>
    <row r="230">
      <c r="C230" s="60"/>
      <c r="D230" s="60"/>
    </row>
    <row r="231">
      <c r="C231" s="60"/>
      <c r="D231" s="60"/>
    </row>
    <row r="232">
      <c r="C232" s="60"/>
      <c r="D232" s="60"/>
    </row>
    <row r="233">
      <c r="C233" s="60"/>
      <c r="D233" s="60"/>
    </row>
    <row r="234">
      <c r="C234" s="60"/>
      <c r="D234" s="60"/>
    </row>
    <row r="235">
      <c r="C235" s="60"/>
      <c r="D235" s="60"/>
    </row>
    <row r="236">
      <c r="C236" s="60"/>
      <c r="D236" s="60"/>
    </row>
    <row r="237">
      <c r="C237" s="60"/>
      <c r="D237" s="60"/>
    </row>
    <row r="238">
      <c r="C238" s="60"/>
      <c r="D238" s="60"/>
    </row>
    <row r="239">
      <c r="C239" s="60"/>
      <c r="D239" s="60"/>
    </row>
    <row r="240">
      <c r="C240" s="60"/>
      <c r="D240" s="60"/>
    </row>
    <row r="241">
      <c r="C241" s="60"/>
      <c r="D241" s="60"/>
    </row>
    <row r="242">
      <c r="C242" s="60"/>
      <c r="D242" s="60"/>
    </row>
    <row r="243">
      <c r="C243" s="60"/>
      <c r="D243" s="60"/>
    </row>
    <row r="244">
      <c r="C244" s="60"/>
      <c r="D244" s="60"/>
    </row>
    <row r="245">
      <c r="C245" s="60"/>
      <c r="D245" s="60"/>
    </row>
    <row r="246">
      <c r="C246" s="60"/>
      <c r="D246" s="60"/>
    </row>
    <row r="247">
      <c r="C247" s="60"/>
      <c r="D247" s="60"/>
    </row>
    <row r="248">
      <c r="C248" s="60"/>
      <c r="D248" s="60"/>
    </row>
    <row r="249">
      <c r="C249" s="60"/>
      <c r="D249" s="60"/>
    </row>
    <row r="250">
      <c r="C250" s="60"/>
      <c r="D250" s="60"/>
    </row>
    <row r="251">
      <c r="C251" s="60"/>
      <c r="D251" s="60"/>
    </row>
    <row r="252">
      <c r="C252" s="60"/>
      <c r="D252" s="60"/>
    </row>
    <row r="253">
      <c r="C253" s="60"/>
      <c r="D253" s="60"/>
    </row>
    <row r="254">
      <c r="C254" s="60"/>
      <c r="D254" s="60"/>
    </row>
    <row r="255">
      <c r="C255" s="60"/>
      <c r="D255" s="60"/>
    </row>
    <row r="256">
      <c r="C256" s="60"/>
      <c r="D256" s="60"/>
    </row>
    <row r="257">
      <c r="C257" s="60"/>
      <c r="D257" s="60"/>
    </row>
    <row r="258">
      <c r="C258" s="60"/>
      <c r="D258" s="60"/>
    </row>
    <row r="259">
      <c r="C259" s="60"/>
      <c r="D259" s="60"/>
    </row>
    <row r="260">
      <c r="C260" s="60"/>
      <c r="D260" s="60"/>
    </row>
    <row r="261">
      <c r="C261" s="60"/>
      <c r="D261" s="60"/>
    </row>
    <row r="262">
      <c r="C262" s="60"/>
      <c r="D262" s="60"/>
    </row>
    <row r="263">
      <c r="C263" s="60"/>
      <c r="D263" s="60"/>
    </row>
    <row r="264">
      <c r="C264" s="60"/>
      <c r="D264" s="60"/>
    </row>
    <row r="265">
      <c r="C265" s="60"/>
      <c r="D265" s="60"/>
    </row>
    <row r="266">
      <c r="C266" s="60"/>
      <c r="D266" s="60"/>
    </row>
    <row r="267">
      <c r="C267" s="60"/>
      <c r="D267" s="60"/>
    </row>
    <row r="268">
      <c r="C268" s="60"/>
      <c r="D268" s="60"/>
    </row>
    <row r="269">
      <c r="C269" s="60"/>
      <c r="D269" s="60"/>
    </row>
    <row r="270">
      <c r="C270" s="60"/>
      <c r="D270" s="60"/>
    </row>
    <row r="271">
      <c r="C271" s="60"/>
      <c r="D271" s="60"/>
    </row>
    <row r="272">
      <c r="C272" s="60"/>
      <c r="D272" s="60"/>
    </row>
    <row r="273">
      <c r="C273" s="60"/>
      <c r="D273" s="60"/>
    </row>
    <row r="274">
      <c r="C274" s="60"/>
      <c r="D274" s="60"/>
    </row>
    <row r="275">
      <c r="C275" s="60"/>
      <c r="D275" s="60"/>
    </row>
    <row r="276">
      <c r="C276" s="60"/>
      <c r="D276" s="60"/>
    </row>
    <row r="277">
      <c r="C277" s="60"/>
      <c r="D277" s="60"/>
    </row>
    <row r="278">
      <c r="C278" s="60"/>
      <c r="D278" s="60"/>
    </row>
    <row r="279">
      <c r="C279" s="60"/>
      <c r="D279" s="60"/>
    </row>
    <row r="280">
      <c r="C280" s="60"/>
      <c r="D280" s="60"/>
    </row>
    <row r="281">
      <c r="C281" s="60"/>
      <c r="D281" s="60"/>
    </row>
    <row r="282">
      <c r="C282" s="60"/>
      <c r="D282" s="60"/>
    </row>
    <row r="283">
      <c r="C283" s="60"/>
      <c r="D283" s="60"/>
    </row>
    <row r="284">
      <c r="C284" s="60"/>
      <c r="D284" s="60"/>
    </row>
    <row r="285">
      <c r="C285" s="60"/>
      <c r="D285" s="60"/>
    </row>
    <row r="286">
      <c r="C286" s="60"/>
      <c r="D286" s="60"/>
    </row>
    <row r="287">
      <c r="C287" s="60"/>
      <c r="D287" s="60"/>
    </row>
    <row r="288">
      <c r="C288" s="60"/>
      <c r="D288" s="60"/>
    </row>
    <row r="289">
      <c r="C289" s="60"/>
      <c r="D289" s="60"/>
    </row>
    <row r="290">
      <c r="C290" s="60"/>
      <c r="D290" s="60"/>
    </row>
    <row r="291">
      <c r="C291" s="60"/>
      <c r="D291" s="60"/>
    </row>
    <row r="292">
      <c r="C292" s="60"/>
      <c r="D292" s="60"/>
    </row>
    <row r="293">
      <c r="C293" s="60"/>
      <c r="D293" s="60"/>
    </row>
    <row r="294">
      <c r="C294" s="60"/>
      <c r="D294" s="60"/>
    </row>
    <row r="295">
      <c r="C295" s="60"/>
      <c r="D295" s="60"/>
    </row>
    <row r="296">
      <c r="C296" s="60"/>
      <c r="D296" s="60"/>
    </row>
    <row r="297">
      <c r="C297" s="60"/>
      <c r="D297" s="60"/>
    </row>
    <row r="298">
      <c r="C298" s="60"/>
      <c r="D298" s="60"/>
    </row>
    <row r="299">
      <c r="C299" s="60"/>
      <c r="D299" s="60"/>
    </row>
    <row r="300">
      <c r="C300" s="60"/>
      <c r="D300" s="60"/>
    </row>
    <row r="301">
      <c r="C301" s="60"/>
      <c r="D301" s="60"/>
    </row>
    <row r="302">
      <c r="C302" s="60"/>
      <c r="D302" s="60"/>
    </row>
    <row r="303">
      <c r="C303" s="60"/>
      <c r="D303" s="60"/>
    </row>
    <row r="304">
      <c r="C304" s="60"/>
      <c r="D304" s="60"/>
    </row>
    <row r="305">
      <c r="C305" s="60"/>
      <c r="D305" s="60"/>
    </row>
    <row r="306">
      <c r="C306" s="60"/>
      <c r="D306" s="60"/>
    </row>
    <row r="307">
      <c r="C307" s="60"/>
      <c r="D307" s="60"/>
    </row>
    <row r="308">
      <c r="C308" s="60"/>
      <c r="D308" s="60"/>
    </row>
    <row r="309">
      <c r="C309" s="60"/>
      <c r="D309" s="60"/>
    </row>
    <row r="310">
      <c r="C310" s="60"/>
      <c r="D310" s="60"/>
    </row>
    <row r="311">
      <c r="C311" s="60"/>
      <c r="D311" s="60"/>
    </row>
    <row r="312">
      <c r="C312" s="60"/>
      <c r="D312" s="60"/>
    </row>
    <row r="313">
      <c r="C313" s="60"/>
      <c r="D313" s="60"/>
    </row>
    <row r="314">
      <c r="C314" s="60"/>
      <c r="D314" s="60"/>
    </row>
    <row r="315">
      <c r="C315" s="60"/>
      <c r="D315" s="60"/>
    </row>
    <row r="316">
      <c r="C316" s="60"/>
      <c r="D316" s="60"/>
    </row>
    <row r="317">
      <c r="C317" s="60"/>
      <c r="D317" s="60"/>
    </row>
    <row r="318">
      <c r="C318" s="60"/>
      <c r="D318" s="60"/>
    </row>
    <row r="319">
      <c r="C319" s="60"/>
      <c r="D319" s="60"/>
    </row>
    <row r="320">
      <c r="C320" s="60"/>
      <c r="D320" s="60"/>
    </row>
    <row r="321">
      <c r="C321" s="60"/>
      <c r="D321" s="60"/>
    </row>
    <row r="322">
      <c r="C322" s="60"/>
      <c r="D322" s="60"/>
    </row>
    <row r="323">
      <c r="C323" s="60"/>
      <c r="D323" s="60"/>
    </row>
    <row r="324">
      <c r="C324" s="60"/>
      <c r="D324" s="60"/>
    </row>
    <row r="325">
      <c r="C325" s="60"/>
      <c r="D325" s="60"/>
    </row>
    <row r="326">
      <c r="C326" s="60"/>
      <c r="D326" s="60"/>
    </row>
    <row r="327">
      <c r="C327" s="60"/>
      <c r="D327" s="60"/>
    </row>
    <row r="328">
      <c r="C328" s="60"/>
      <c r="D328" s="60"/>
    </row>
    <row r="329">
      <c r="C329" s="60"/>
      <c r="D329" s="60"/>
    </row>
    <row r="330">
      <c r="C330" s="60"/>
      <c r="D330" s="60"/>
    </row>
    <row r="331">
      <c r="C331" s="60"/>
      <c r="D331" s="60"/>
    </row>
    <row r="332">
      <c r="C332" s="60"/>
      <c r="D332" s="60"/>
    </row>
    <row r="333">
      <c r="C333" s="60"/>
      <c r="D333" s="60"/>
    </row>
    <row r="334">
      <c r="C334" s="60"/>
      <c r="D334" s="60"/>
    </row>
    <row r="335">
      <c r="C335" s="60"/>
      <c r="D335" s="60"/>
    </row>
    <row r="336">
      <c r="C336" s="60"/>
      <c r="D336" s="60"/>
    </row>
    <row r="337">
      <c r="C337" s="60"/>
      <c r="D337" s="60"/>
    </row>
    <row r="338">
      <c r="C338" s="60"/>
      <c r="D338" s="60"/>
    </row>
    <row r="339">
      <c r="C339" s="60"/>
      <c r="D339" s="60"/>
    </row>
    <row r="340">
      <c r="C340" s="60"/>
      <c r="D340" s="60"/>
    </row>
    <row r="341">
      <c r="C341" s="60"/>
      <c r="D341" s="60"/>
    </row>
    <row r="342">
      <c r="C342" s="60"/>
      <c r="D342" s="60"/>
    </row>
    <row r="343">
      <c r="C343" s="60"/>
      <c r="D343" s="60"/>
    </row>
    <row r="344">
      <c r="C344" s="60"/>
      <c r="D344" s="60"/>
    </row>
    <row r="345">
      <c r="C345" s="60"/>
      <c r="D345" s="60"/>
    </row>
    <row r="346">
      <c r="C346" s="60"/>
      <c r="D346" s="60"/>
    </row>
    <row r="347">
      <c r="C347" s="60"/>
      <c r="D347" s="60"/>
    </row>
    <row r="348">
      <c r="C348" s="60"/>
      <c r="D348" s="60"/>
    </row>
    <row r="349">
      <c r="C349" s="60"/>
      <c r="D349" s="60"/>
    </row>
    <row r="350">
      <c r="C350" s="60"/>
      <c r="D350" s="60"/>
    </row>
    <row r="351">
      <c r="C351" s="60"/>
      <c r="D351" s="60"/>
    </row>
    <row r="352">
      <c r="C352" s="60"/>
      <c r="D352" s="60"/>
    </row>
    <row r="353">
      <c r="C353" s="60"/>
      <c r="D353" s="60"/>
    </row>
    <row r="354">
      <c r="C354" s="60"/>
      <c r="D354" s="60"/>
    </row>
    <row r="355">
      <c r="C355" s="60"/>
      <c r="D355" s="60"/>
    </row>
    <row r="356">
      <c r="C356" s="60"/>
      <c r="D356" s="60"/>
    </row>
    <row r="357">
      <c r="C357" s="60"/>
      <c r="D357" s="60"/>
    </row>
    <row r="358">
      <c r="C358" s="60"/>
      <c r="D358" s="60"/>
    </row>
    <row r="359">
      <c r="C359" s="60"/>
      <c r="D359" s="60"/>
    </row>
    <row r="360">
      <c r="C360" s="60"/>
      <c r="D360" s="60"/>
    </row>
    <row r="361">
      <c r="C361" s="60"/>
      <c r="D361" s="60"/>
    </row>
    <row r="362">
      <c r="C362" s="60"/>
      <c r="D362" s="60"/>
    </row>
    <row r="363">
      <c r="C363" s="60"/>
      <c r="D363" s="60"/>
    </row>
    <row r="364">
      <c r="C364" s="60"/>
      <c r="D364" s="60"/>
    </row>
    <row r="365">
      <c r="C365" s="60"/>
      <c r="D365" s="60"/>
    </row>
    <row r="366">
      <c r="C366" s="60"/>
      <c r="D366" s="60"/>
    </row>
    <row r="367">
      <c r="C367" s="60"/>
      <c r="D367" s="60"/>
    </row>
    <row r="368">
      <c r="C368" s="60"/>
      <c r="D368" s="60"/>
    </row>
    <row r="369">
      <c r="C369" s="60"/>
      <c r="D369" s="60"/>
    </row>
    <row r="370">
      <c r="C370" s="60"/>
      <c r="D370" s="60"/>
    </row>
    <row r="371">
      <c r="C371" s="60"/>
      <c r="D371" s="60"/>
    </row>
    <row r="372">
      <c r="C372" s="60"/>
      <c r="D372" s="60"/>
    </row>
    <row r="373">
      <c r="C373" s="60"/>
      <c r="D373" s="60"/>
    </row>
    <row r="374">
      <c r="C374" s="60"/>
      <c r="D374" s="60"/>
    </row>
    <row r="375">
      <c r="C375" s="60"/>
      <c r="D375" s="60"/>
    </row>
    <row r="376">
      <c r="C376" s="60"/>
      <c r="D376" s="60"/>
    </row>
    <row r="377">
      <c r="C377" s="60"/>
      <c r="D377" s="60"/>
    </row>
    <row r="378">
      <c r="C378" s="60"/>
      <c r="D378" s="60"/>
    </row>
    <row r="379">
      <c r="C379" s="60"/>
      <c r="D379" s="60"/>
    </row>
    <row r="380">
      <c r="C380" s="60"/>
      <c r="D380" s="60"/>
    </row>
    <row r="381">
      <c r="C381" s="60"/>
      <c r="D381" s="60"/>
    </row>
    <row r="382">
      <c r="C382" s="60"/>
      <c r="D382" s="60"/>
    </row>
    <row r="383">
      <c r="C383" s="60"/>
      <c r="D383" s="60"/>
    </row>
    <row r="384">
      <c r="C384" s="60"/>
      <c r="D384" s="60"/>
    </row>
    <row r="385">
      <c r="C385" s="60"/>
      <c r="D385" s="60"/>
    </row>
    <row r="386">
      <c r="C386" s="60"/>
      <c r="D386" s="60"/>
    </row>
    <row r="387">
      <c r="C387" s="60"/>
      <c r="D387" s="60"/>
    </row>
    <row r="388">
      <c r="C388" s="60"/>
      <c r="D388" s="60"/>
    </row>
    <row r="389">
      <c r="C389" s="60"/>
      <c r="D389" s="60"/>
    </row>
    <row r="390">
      <c r="C390" s="60"/>
      <c r="D390" s="60"/>
    </row>
    <row r="391">
      <c r="C391" s="60"/>
      <c r="D391" s="60"/>
    </row>
    <row r="392">
      <c r="C392" s="60"/>
      <c r="D392" s="60"/>
    </row>
    <row r="393">
      <c r="C393" s="60"/>
      <c r="D393" s="60"/>
    </row>
    <row r="394">
      <c r="C394" s="60"/>
      <c r="D394" s="60"/>
    </row>
    <row r="395">
      <c r="C395" s="60"/>
      <c r="D395" s="60"/>
    </row>
    <row r="396">
      <c r="C396" s="60"/>
      <c r="D396" s="60"/>
    </row>
    <row r="397">
      <c r="C397" s="60"/>
      <c r="D397" s="60"/>
    </row>
    <row r="398">
      <c r="C398" s="60"/>
      <c r="D398" s="60"/>
    </row>
    <row r="399">
      <c r="C399" s="60"/>
      <c r="D399" s="60"/>
    </row>
    <row r="400">
      <c r="C400" s="60"/>
      <c r="D400" s="60"/>
    </row>
    <row r="401">
      <c r="C401" s="60"/>
      <c r="D401" s="60"/>
    </row>
    <row r="402">
      <c r="C402" s="60"/>
      <c r="D402" s="60"/>
    </row>
    <row r="403">
      <c r="C403" s="60"/>
      <c r="D403" s="60"/>
    </row>
    <row r="404">
      <c r="C404" s="60"/>
      <c r="D404" s="60"/>
    </row>
    <row r="405">
      <c r="C405" s="60"/>
      <c r="D405" s="60"/>
    </row>
    <row r="406">
      <c r="C406" s="60"/>
      <c r="D406" s="60"/>
    </row>
    <row r="407">
      <c r="C407" s="60"/>
      <c r="D407" s="60"/>
    </row>
    <row r="408">
      <c r="C408" s="60"/>
      <c r="D408" s="60"/>
    </row>
    <row r="409">
      <c r="C409" s="60"/>
      <c r="D409" s="60"/>
    </row>
    <row r="410">
      <c r="C410" s="60"/>
      <c r="D410" s="60"/>
    </row>
    <row r="411">
      <c r="C411" s="60"/>
      <c r="D411" s="60"/>
    </row>
    <row r="412">
      <c r="C412" s="60"/>
      <c r="D412" s="60"/>
    </row>
    <row r="413">
      <c r="C413" s="60"/>
      <c r="D413" s="60"/>
    </row>
    <row r="414">
      <c r="C414" s="60"/>
      <c r="D414" s="60"/>
    </row>
    <row r="415">
      <c r="C415" s="60"/>
      <c r="D415" s="60"/>
    </row>
    <row r="416">
      <c r="C416" s="60"/>
      <c r="D416" s="60"/>
    </row>
    <row r="417">
      <c r="C417" s="60"/>
      <c r="D417" s="60"/>
    </row>
    <row r="418">
      <c r="C418" s="60"/>
      <c r="D418" s="60"/>
    </row>
    <row r="419">
      <c r="C419" s="60"/>
      <c r="D419" s="60"/>
    </row>
    <row r="420">
      <c r="C420" s="60"/>
      <c r="D420" s="60"/>
    </row>
    <row r="421">
      <c r="C421" s="60"/>
      <c r="D421" s="60"/>
    </row>
    <row r="422">
      <c r="C422" s="60"/>
      <c r="D422" s="60"/>
    </row>
    <row r="423">
      <c r="C423" s="60"/>
      <c r="D423" s="60"/>
    </row>
    <row r="424">
      <c r="C424" s="60"/>
      <c r="D424" s="60"/>
    </row>
    <row r="425">
      <c r="C425" s="60"/>
      <c r="D425" s="60"/>
    </row>
    <row r="426">
      <c r="C426" s="60"/>
      <c r="D426" s="60"/>
    </row>
    <row r="427">
      <c r="C427" s="60"/>
      <c r="D427" s="60"/>
    </row>
    <row r="428">
      <c r="C428" s="60"/>
      <c r="D428" s="60"/>
    </row>
    <row r="429">
      <c r="C429" s="60"/>
      <c r="D429" s="60"/>
    </row>
    <row r="430">
      <c r="C430" s="60"/>
      <c r="D430" s="60"/>
    </row>
    <row r="431">
      <c r="C431" s="60"/>
      <c r="D431" s="60"/>
    </row>
    <row r="432">
      <c r="C432" s="60"/>
      <c r="D432" s="60"/>
    </row>
    <row r="433">
      <c r="C433" s="60"/>
      <c r="D433" s="60"/>
    </row>
    <row r="434">
      <c r="C434" s="60"/>
      <c r="D434" s="60"/>
    </row>
    <row r="435">
      <c r="C435" s="60"/>
      <c r="D435" s="60"/>
    </row>
    <row r="436">
      <c r="C436" s="60"/>
      <c r="D436" s="60"/>
    </row>
    <row r="437">
      <c r="C437" s="60"/>
      <c r="D437" s="60"/>
    </row>
    <row r="438">
      <c r="C438" s="60"/>
      <c r="D438" s="60"/>
    </row>
    <row r="439">
      <c r="C439" s="60"/>
      <c r="D439" s="60"/>
    </row>
    <row r="440">
      <c r="C440" s="60"/>
      <c r="D440" s="60"/>
    </row>
    <row r="441">
      <c r="C441" s="60"/>
      <c r="D441" s="60"/>
    </row>
    <row r="442">
      <c r="C442" s="60"/>
      <c r="D442" s="60"/>
    </row>
    <row r="443">
      <c r="C443" s="60"/>
      <c r="D443" s="60"/>
    </row>
    <row r="444">
      <c r="C444" s="60"/>
      <c r="D444" s="60"/>
    </row>
    <row r="445">
      <c r="C445" s="60"/>
      <c r="D445" s="60"/>
    </row>
    <row r="446">
      <c r="C446" s="60"/>
      <c r="D446" s="60"/>
    </row>
    <row r="447">
      <c r="C447" s="60"/>
      <c r="D447" s="60"/>
    </row>
    <row r="448">
      <c r="C448" s="60"/>
      <c r="D448" s="60"/>
    </row>
    <row r="449">
      <c r="C449" s="60"/>
      <c r="D449" s="60"/>
    </row>
    <row r="450">
      <c r="C450" s="60"/>
      <c r="D450" s="60"/>
    </row>
    <row r="451">
      <c r="C451" s="60"/>
      <c r="D451" s="60"/>
    </row>
    <row r="452">
      <c r="C452" s="60"/>
      <c r="D452" s="60"/>
    </row>
    <row r="453">
      <c r="C453" s="60"/>
      <c r="D453" s="60"/>
    </row>
    <row r="454">
      <c r="C454" s="60"/>
      <c r="D454" s="60"/>
    </row>
    <row r="455">
      <c r="C455" s="60"/>
      <c r="D455" s="60"/>
    </row>
    <row r="456">
      <c r="C456" s="60"/>
      <c r="D456" s="60"/>
    </row>
    <row r="457">
      <c r="C457" s="60"/>
      <c r="D457" s="60"/>
    </row>
    <row r="458">
      <c r="C458" s="60"/>
      <c r="D458" s="60"/>
    </row>
    <row r="459">
      <c r="C459" s="60"/>
      <c r="D459" s="60"/>
    </row>
    <row r="460">
      <c r="C460" s="60"/>
      <c r="D460" s="60"/>
    </row>
    <row r="461">
      <c r="C461" s="60"/>
      <c r="D461" s="60"/>
    </row>
    <row r="462">
      <c r="C462" s="60"/>
      <c r="D462" s="60"/>
    </row>
    <row r="463">
      <c r="C463" s="60"/>
      <c r="D463" s="60"/>
    </row>
    <row r="464">
      <c r="C464" s="60"/>
      <c r="D464" s="60"/>
    </row>
    <row r="465">
      <c r="C465" s="60"/>
      <c r="D465" s="60"/>
    </row>
    <row r="466">
      <c r="C466" s="60"/>
      <c r="D466" s="60"/>
    </row>
    <row r="467">
      <c r="C467" s="60"/>
      <c r="D467" s="60"/>
    </row>
    <row r="468">
      <c r="C468" s="60"/>
      <c r="D468" s="60"/>
    </row>
    <row r="469">
      <c r="C469" s="60"/>
      <c r="D469" s="60"/>
    </row>
    <row r="470">
      <c r="C470" s="60"/>
      <c r="D470" s="60"/>
    </row>
    <row r="471">
      <c r="C471" s="60"/>
      <c r="D471" s="60"/>
    </row>
    <row r="472">
      <c r="C472" s="60"/>
      <c r="D472" s="60"/>
    </row>
    <row r="473">
      <c r="C473" s="60"/>
      <c r="D473" s="60"/>
    </row>
    <row r="474">
      <c r="C474" s="60"/>
      <c r="D474" s="60"/>
    </row>
    <row r="475">
      <c r="C475" s="60"/>
      <c r="D475" s="60"/>
    </row>
    <row r="476">
      <c r="C476" s="60"/>
      <c r="D476" s="60"/>
    </row>
    <row r="477">
      <c r="C477" s="60"/>
      <c r="D477" s="60"/>
    </row>
    <row r="478">
      <c r="C478" s="60"/>
      <c r="D478" s="60"/>
    </row>
    <row r="479">
      <c r="C479" s="60"/>
      <c r="D479" s="60"/>
    </row>
    <row r="480">
      <c r="C480" s="60"/>
      <c r="D480" s="60"/>
    </row>
    <row r="481">
      <c r="C481" s="60"/>
      <c r="D481" s="60"/>
    </row>
    <row r="482">
      <c r="C482" s="60"/>
      <c r="D482" s="60"/>
    </row>
    <row r="483">
      <c r="C483" s="60"/>
      <c r="D483" s="60"/>
    </row>
    <row r="484">
      <c r="C484" s="60"/>
      <c r="D484" s="60"/>
    </row>
    <row r="485">
      <c r="C485" s="60"/>
      <c r="D485" s="60"/>
    </row>
    <row r="486">
      <c r="C486" s="60"/>
      <c r="D486" s="60"/>
    </row>
    <row r="487">
      <c r="C487" s="60"/>
      <c r="D487" s="60"/>
    </row>
    <row r="488">
      <c r="C488" s="60"/>
      <c r="D488" s="60"/>
    </row>
    <row r="489">
      <c r="C489" s="60"/>
      <c r="D489" s="60"/>
    </row>
    <row r="490">
      <c r="C490" s="60"/>
      <c r="D490" s="60"/>
    </row>
    <row r="491">
      <c r="C491" s="60"/>
      <c r="D491" s="60"/>
    </row>
    <row r="492">
      <c r="C492" s="60"/>
      <c r="D492" s="60"/>
    </row>
    <row r="493">
      <c r="C493" s="60"/>
      <c r="D493" s="60"/>
    </row>
    <row r="494">
      <c r="C494" s="60"/>
      <c r="D494" s="60"/>
    </row>
    <row r="495">
      <c r="C495" s="60"/>
      <c r="D495" s="60"/>
    </row>
    <row r="496">
      <c r="C496" s="60"/>
      <c r="D496" s="60"/>
    </row>
    <row r="497">
      <c r="C497" s="60"/>
      <c r="D497" s="60"/>
    </row>
    <row r="498">
      <c r="C498" s="60"/>
      <c r="D498" s="60"/>
    </row>
    <row r="499">
      <c r="C499" s="60"/>
      <c r="D499" s="60"/>
    </row>
    <row r="500">
      <c r="C500" s="60"/>
      <c r="D500" s="60"/>
    </row>
    <row r="501">
      <c r="C501" s="60"/>
      <c r="D501" s="60"/>
    </row>
    <row r="502">
      <c r="C502" s="60"/>
      <c r="D502" s="60"/>
    </row>
    <row r="503">
      <c r="C503" s="60"/>
      <c r="D503" s="60"/>
    </row>
    <row r="504">
      <c r="C504" s="60"/>
      <c r="D504" s="60"/>
    </row>
    <row r="505">
      <c r="C505" s="60"/>
      <c r="D505" s="60"/>
    </row>
    <row r="506">
      <c r="C506" s="60"/>
      <c r="D506" s="60"/>
    </row>
    <row r="507">
      <c r="C507" s="60"/>
      <c r="D507" s="60"/>
    </row>
    <row r="508">
      <c r="C508" s="60"/>
      <c r="D508" s="60"/>
    </row>
    <row r="509">
      <c r="C509" s="60"/>
      <c r="D509" s="60"/>
    </row>
    <row r="510">
      <c r="C510" s="60"/>
      <c r="D510" s="60"/>
    </row>
    <row r="511">
      <c r="C511" s="60"/>
      <c r="D511" s="60"/>
    </row>
    <row r="512">
      <c r="C512" s="60"/>
      <c r="D512" s="60"/>
    </row>
    <row r="513">
      <c r="C513" s="60"/>
      <c r="D513" s="60"/>
    </row>
    <row r="514">
      <c r="C514" s="60"/>
      <c r="D514" s="60"/>
    </row>
    <row r="515">
      <c r="C515" s="60"/>
      <c r="D515" s="60"/>
    </row>
    <row r="516">
      <c r="C516" s="60"/>
      <c r="D516" s="60"/>
    </row>
    <row r="517">
      <c r="C517" s="60"/>
      <c r="D517" s="60"/>
    </row>
    <row r="518">
      <c r="C518" s="60"/>
      <c r="D518" s="60"/>
    </row>
    <row r="519">
      <c r="C519" s="60"/>
      <c r="D519" s="60"/>
    </row>
    <row r="520">
      <c r="C520" s="60"/>
      <c r="D520" s="60"/>
    </row>
    <row r="521">
      <c r="C521" s="60"/>
      <c r="D521" s="60"/>
    </row>
    <row r="522">
      <c r="C522" s="60"/>
      <c r="D522" s="60"/>
    </row>
    <row r="523">
      <c r="C523" s="60"/>
      <c r="D523" s="60"/>
    </row>
    <row r="524">
      <c r="C524" s="60"/>
      <c r="D524" s="60"/>
    </row>
    <row r="525">
      <c r="C525" s="60"/>
      <c r="D525" s="60"/>
    </row>
    <row r="526">
      <c r="C526" s="60"/>
      <c r="D526" s="60"/>
    </row>
    <row r="527">
      <c r="C527" s="60"/>
      <c r="D527" s="60"/>
    </row>
    <row r="528">
      <c r="C528" s="60"/>
      <c r="D528" s="60"/>
    </row>
    <row r="529">
      <c r="C529" s="60"/>
      <c r="D529" s="60"/>
    </row>
    <row r="530">
      <c r="C530" s="60"/>
      <c r="D530" s="60"/>
    </row>
    <row r="531">
      <c r="C531" s="60"/>
      <c r="D531" s="60"/>
    </row>
    <row r="532">
      <c r="C532" s="60"/>
      <c r="D532" s="60"/>
    </row>
    <row r="533">
      <c r="C533" s="60"/>
      <c r="D533" s="60"/>
    </row>
    <row r="534">
      <c r="C534" s="60"/>
      <c r="D534" s="60"/>
    </row>
    <row r="535">
      <c r="C535" s="60"/>
      <c r="D535" s="60"/>
    </row>
    <row r="536">
      <c r="C536" s="60"/>
      <c r="D536" s="60"/>
    </row>
    <row r="537">
      <c r="C537" s="60"/>
      <c r="D537" s="60"/>
    </row>
    <row r="538">
      <c r="C538" s="60"/>
      <c r="D538" s="60"/>
    </row>
    <row r="539">
      <c r="C539" s="60"/>
      <c r="D539" s="60"/>
    </row>
    <row r="540">
      <c r="C540" s="60"/>
      <c r="D540" s="60"/>
    </row>
    <row r="541">
      <c r="C541" s="60"/>
      <c r="D541" s="60"/>
    </row>
    <row r="542">
      <c r="C542" s="60"/>
      <c r="D542" s="60"/>
    </row>
    <row r="543">
      <c r="C543" s="60"/>
      <c r="D543" s="60"/>
    </row>
    <row r="544">
      <c r="C544" s="60"/>
      <c r="D544" s="60"/>
    </row>
    <row r="545">
      <c r="C545" s="60"/>
      <c r="D545" s="60"/>
    </row>
    <row r="546">
      <c r="C546" s="60"/>
      <c r="D546" s="60"/>
    </row>
    <row r="547">
      <c r="C547" s="60"/>
      <c r="D547" s="60"/>
    </row>
    <row r="548">
      <c r="C548" s="60"/>
      <c r="D548" s="60"/>
    </row>
    <row r="549">
      <c r="C549" s="60"/>
      <c r="D549" s="60"/>
    </row>
    <row r="550">
      <c r="C550" s="60"/>
      <c r="D550" s="60"/>
    </row>
    <row r="551">
      <c r="C551" s="60"/>
      <c r="D551" s="60"/>
    </row>
    <row r="552">
      <c r="C552" s="60"/>
      <c r="D552" s="60"/>
    </row>
    <row r="553">
      <c r="C553" s="60"/>
      <c r="D553" s="60"/>
    </row>
    <row r="554">
      <c r="C554" s="60"/>
      <c r="D554" s="60"/>
    </row>
    <row r="555">
      <c r="C555" s="60"/>
      <c r="D555" s="60"/>
    </row>
    <row r="556">
      <c r="C556" s="60"/>
      <c r="D556" s="60"/>
    </row>
    <row r="557">
      <c r="C557" s="60"/>
      <c r="D557" s="60"/>
    </row>
    <row r="558">
      <c r="C558" s="60"/>
      <c r="D558" s="60"/>
    </row>
    <row r="559">
      <c r="C559" s="60"/>
      <c r="D559" s="60"/>
    </row>
    <row r="560">
      <c r="C560" s="60"/>
      <c r="D560" s="60"/>
    </row>
    <row r="561">
      <c r="C561" s="60"/>
      <c r="D561" s="60"/>
    </row>
    <row r="562">
      <c r="C562" s="60"/>
      <c r="D562" s="60"/>
    </row>
    <row r="563">
      <c r="C563" s="60"/>
      <c r="D563" s="60"/>
    </row>
    <row r="564">
      <c r="C564" s="60"/>
      <c r="D564" s="60"/>
    </row>
    <row r="565">
      <c r="C565" s="60"/>
      <c r="D565" s="60"/>
    </row>
    <row r="566">
      <c r="C566" s="60"/>
      <c r="D566" s="60"/>
    </row>
    <row r="567">
      <c r="C567" s="60"/>
      <c r="D567" s="60"/>
    </row>
    <row r="568">
      <c r="C568" s="60"/>
      <c r="D568" s="60"/>
    </row>
    <row r="569">
      <c r="C569" s="60"/>
      <c r="D569" s="60"/>
    </row>
    <row r="570">
      <c r="C570" s="60"/>
      <c r="D570" s="60"/>
    </row>
    <row r="571">
      <c r="C571" s="60"/>
      <c r="D571" s="60"/>
    </row>
    <row r="572">
      <c r="C572" s="60"/>
      <c r="D572" s="60"/>
    </row>
    <row r="573">
      <c r="C573" s="60"/>
      <c r="D573" s="60"/>
    </row>
    <row r="574">
      <c r="C574" s="60"/>
      <c r="D574" s="60"/>
    </row>
    <row r="575">
      <c r="C575" s="60"/>
      <c r="D575" s="60"/>
    </row>
    <row r="576">
      <c r="C576" s="60"/>
      <c r="D576" s="60"/>
    </row>
    <row r="577">
      <c r="C577" s="60"/>
      <c r="D577" s="60"/>
    </row>
    <row r="578">
      <c r="C578" s="60"/>
      <c r="D578" s="60"/>
    </row>
    <row r="579">
      <c r="C579" s="60"/>
      <c r="D579" s="60"/>
    </row>
    <row r="580">
      <c r="C580" s="60"/>
      <c r="D580" s="60"/>
    </row>
    <row r="581">
      <c r="C581" s="60"/>
      <c r="D581" s="60"/>
    </row>
    <row r="582">
      <c r="C582" s="60"/>
      <c r="D582" s="60"/>
    </row>
    <row r="583">
      <c r="C583" s="60"/>
      <c r="D583" s="60"/>
    </row>
    <row r="584">
      <c r="C584" s="60"/>
      <c r="D584" s="60"/>
    </row>
    <row r="585">
      <c r="C585" s="60"/>
      <c r="D585" s="60"/>
    </row>
    <row r="586">
      <c r="C586" s="60"/>
      <c r="D586" s="60"/>
    </row>
    <row r="587">
      <c r="C587" s="60"/>
      <c r="D587" s="60"/>
    </row>
    <row r="588">
      <c r="C588" s="60"/>
      <c r="D588" s="60"/>
    </row>
    <row r="589">
      <c r="C589" s="60"/>
      <c r="D589" s="60"/>
    </row>
    <row r="590">
      <c r="C590" s="60"/>
      <c r="D590" s="60"/>
    </row>
    <row r="591">
      <c r="C591" s="60"/>
      <c r="D591" s="60"/>
    </row>
    <row r="592">
      <c r="C592" s="60"/>
      <c r="D592" s="60"/>
    </row>
    <row r="593">
      <c r="C593" s="60"/>
      <c r="D593" s="60"/>
    </row>
    <row r="594">
      <c r="C594" s="60"/>
      <c r="D594" s="60"/>
    </row>
    <row r="595">
      <c r="C595" s="60"/>
      <c r="D595" s="60"/>
    </row>
    <row r="596">
      <c r="C596" s="60"/>
      <c r="D596" s="60"/>
    </row>
    <row r="597">
      <c r="C597" s="60"/>
      <c r="D597" s="60"/>
    </row>
    <row r="598">
      <c r="C598" s="60"/>
      <c r="D598" s="60"/>
    </row>
    <row r="599">
      <c r="C599" s="60"/>
      <c r="D599" s="60"/>
    </row>
    <row r="600">
      <c r="C600" s="60"/>
      <c r="D600" s="60"/>
    </row>
    <row r="601">
      <c r="C601" s="60"/>
      <c r="D601" s="60"/>
    </row>
    <row r="602">
      <c r="C602" s="60"/>
      <c r="D602" s="60"/>
    </row>
    <row r="603">
      <c r="C603" s="60"/>
      <c r="D603" s="60"/>
    </row>
    <row r="604">
      <c r="C604" s="60"/>
      <c r="D604" s="60"/>
    </row>
    <row r="605">
      <c r="C605" s="60"/>
      <c r="D605" s="60"/>
    </row>
    <row r="606">
      <c r="C606" s="60"/>
      <c r="D606" s="60"/>
    </row>
    <row r="607">
      <c r="C607" s="60"/>
      <c r="D607" s="60"/>
    </row>
    <row r="608">
      <c r="C608" s="60"/>
      <c r="D608" s="60"/>
    </row>
    <row r="609">
      <c r="C609" s="60"/>
      <c r="D609" s="60"/>
    </row>
    <row r="610">
      <c r="C610" s="60"/>
      <c r="D610" s="60"/>
    </row>
    <row r="611">
      <c r="C611" s="60"/>
      <c r="D611" s="60"/>
    </row>
    <row r="612">
      <c r="C612" s="60"/>
      <c r="D612" s="60"/>
    </row>
    <row r="613">
      <c r="C613" s="60"/>
      <c r="D613" s="60"/>
    </row>
    <row r="614">
      <c r="C614" s="60"/>
      <c r="D614" s="60"/>
    </row>
    <row r="615">
      <c r="C615" s="60"/>
      <c r="D615" s="60"/>
    </row>
    <row r="616">
      <c r="C616" s="60"/>
      <c r="D616" s="60"/>
    </row>
    <row r="617">
      <c r="C617" s="60"/>
      <c r="D617" s="60"/>
    </row>
    <row r="618">
      <c r="C618" s="60"/>
      <c r="D618" s="60"/>
    </row>
    <row r="619">
      <c r="C619" s="60"/>
      <c r="D619" s="60"/>
    </row>
    <row r="620">
      <c r="C620" s="60"/>
      <c r="D620" s="60"/>
    </row>
    <row r="621">
      <c r="C621" s="60"/>
      <c r="D621" s="60"/>
    </row>
    <row r="622">
      <c r="C622" s="60"/>
      <c r="D622" s="60"/>
    </row>
    <row r="623">
      <c r="C623" s="60"/>
      <c r="D623" s="60"/>
    </row>
    <row r="624">
      <c r="C624" s="60"/>
      <c r="D624" s="60"/>
    </row>
    <row r="625">
      <c r="C625" s="60"/>
      <c r="D625" s="60"/>
    </row>
    <row r="626">
      <c r="C626" s="60"/>
      <c r="D626" s="60"/>
    </row>
    <row r="627">
      <c r="C627" s="60"/>
      <c r="D627" s="60"/>
    </row>
    <row r="628">
      <c r="C628" s="60"/>
      <c r="D628" s="60"/>
    </row>
    <row r="629">
      <c r="C629" s="60"/>
      <c r="D629" s="60"/>
    </row>
    <row r="630">
      <c r="C630" s="60"/>
      <c r="D630" s="60"/>
    </row>
    <row r="631">
      <c r="C631" s="60"/>
      <c r="D631" s="60"/>
    </row>
    <row r="632">
      <c r="C632" s="60"/>
      <c r="D632" s="60"/>
    </row>
    <row r="633">
      <c r="C633" s="60"/>
      <c r="D633" s="60"/>
    </row>
    <row r="634">
      <c r="C634" s="60"/>
      <c r="D634" s="60"/>
    </row>
    <row r="635">
      <c r="C635" s="60"/>
      <c r="D635" s="60"/>
    </row>
    <row r="636">
      <c r="C636" s="60"/>
      <c r="D636" s="60"/>
    </row>
    <row r="637">
      <c r="C637" s="60"/>
      <c r="D637" s="60"/>
    </row>
    <row r="638">
      <c r="C638" s="60"/>
      <c r="D638" s="60"/>
    </row>
    <row r="639">
      <c r="C639" s="60"/>
      <c r="D639" s="60"/>
    </row>
    <row r="640">
      <c r="C640" s="60"/>
      <c r="D640" s="60"/>
    </row>
    <row r="641">
      <c r="C641" s="60"/>
      <c r="D641" s="60"/>
    </row>
    <row r="642">
      <c r="C642" s="60"/>
      <c r="D642" s="60"/>
    </row>
    <row r="643">
      <c r="C643" s="60"/>
      <c r="D643" s="60"/>
    </row>
    <row r="644">
      <c r="C644" s="60"/>
      <c r="D644" s="60"/>
    </row>
    <row r="645">
      <c r="C645" s="60"/>
      <c r="D645" s="60"/>
    </row>
    <row r="646">
      <c r="C646" s="60"/>
      <c r="D646" s="60"/>
    </row>
    <row r="647">
      <c r="C647" s="60"/>
      <c r="D647" s="60"/>
    </row>
    <row r="648">
      <c r="C648" s="60"/>
      <c r="D648" s="60"/>
    </row>
    <row r="649">
      <c r="C649" s="60"/>
      <c r="D649" s="60"/>
    </row>
    <row r="650">
      <c r="C650" s="60"/>
      <c r="D650" s="60"/>
    </row>
    <row r="651">
      <c r="C651" s="60"/>
      <c r="D651" s="60"/>
    </row>
    <row r="652">
      <c r="C652" s="60"/>
      <c r="D652" s="60"/>
    </row>
    <row r="653">
      <c r="C653" s="60"/>
      <c r="D653" s="60"/>
    </row>
    <row r="654">
      <c r="C654" s="60"/>
      <c r="D654" s="60"/>
    </row>
    <row r="655">
      <c r="C655" s="60"/>
      <c r="D655" s="60"/>
    </row>
    <row r="656">
      <c r="C656" s="60"/>
      <c r="D656" s="60"/>
    </row>
    <row r="657">
      <c r="C657" s="60"/>
      <c r="D657" s="60"/>
    </row>
    <row r="658">
      <c r="C658" s="60"/>
      <c r="D658" s="60"/>
    </row>
    <row r="659">
      <c r="C659" s="60"/>
      <c r="D659" s="60"/>
    </row>
    <row r="660">
      <c r="C660" s="60"/>
      <c r="D660" s="60"/>
    </row>
    <row r="661">
      <c r="C661" s="60"/>
      <c r="D661" s="60"/>
    </row>
    <row r="662">
      <c r="C662" s="60"/>
      <c r="D662" s="60"/>
    </row>
    <row r="663">
      <c r="C663" s="60"/>
      <c r="D663" s="60"/>
    </row>
    <row r="664">
      <c r="C664" s="60"/>
      <c r="D664" s="60"/>
    </row>
    <row r="665">
      <c r="C665" s="60"/>
      <c r="D665" s="60"/>
    </row>
    <row r="666">
      <c r="C666" s="60"/>
      <c r="D666" s="60"/>
    </row>
    <row r="667">
      <c r="C667" s="60"/>
      <c r="D667" s="60"/>
    </row>
    <row r="668">
      <c r="C668" s="60"/>
      <c r="D668" s="60"/>
    </row>
    <row r="669">
      <c r="C669" s="60"/>
      <c r="D669" s="60"/>
    </row>
    <row r="670">
      <c r="C670" s="60"/>
      <c r="D670" s="60"/>
    </row>
    <row r="671">
      <c r="C671" s="60"/>
      <c r="D671" s="60"/>
    </row>
    <row r="672">
      <c r="C672" s="60"/>
      <c r="D672" s="60"/>
    </row>
    <row r="673">
      <c r="C673" s="60"/>
      <c r="D673" s="60"/>
    </row>
    <row r="674">
      <c r="C674" s="60"/>
      <c r="D674" s="60"/>
    </row>
    <row r="675">
      <c r="C675" s="60"/>
      <c r="D675" s="60"/>
    </row>
    <row r="676">
      <c r="C676" s="60"/>
      <c r="D676" s="60"/>
    </row>
    <row r="677">
      <c r="C677" s="60"/>
      <c r="D677" s="60"/>
    </row>
    <row r="678">
      <c r="C678" s="60"/>
      <c r="D678" s="60"/>
    </row>
    <row r="679">
      <c r="C679" s="60"/>
      <c r="D679" s="60"/>
    </row>
    <row r="680">
      <c r="C680" s="60"/>
      <c r="D680" s="60"/>
    </row>
    <row r="681">
      <c r="C681" s="60"/>
      <c r="D681" s="60"/>
    </row>
    <row r="682">
      <c r="C682" s="60"/>
      <c r="D682" s="60"/>
    </row>
    <row r="683">
      <c r="C683" s="60"/>
      <c r="D683" s="60"/>
    </row>
    <row r="684">
      <c r="C684" s="60"/>
      <c r="D684" s="60"/>
    </row>
    <row r="685">
      <c r="C685" s="60"/>
      <c r="D685" s="60"/>
    </row>
    <row r="686">
      <c r="C686" s="60"/>
      <c r="D686" s="60"/>
    </row>
    <row r="687">
      <c r="C687" s="60"/>
      <c r="D687" s="60"/>
    </row>
    <row r="688">
      <c r="C688" s="60"/>
      <c r="D688" s="60"/>
    </row>
    <row r="689">
      <c r="C689" s="60"/>
      <c r="D689" s="60"/>
    </row>
    <row r="690">
      <c r="C690" s="60"/>
      <c r="D690" s="60"/>
    </row>
    <row r="691">
      <c r="C691" s="60"/>
      <c r="D691" s="60"/>
    </row>
    <row r="692">
      <c r="C692" s="60"/>
      <c r="D692" s="60"/>
    </row>
    <row r="693">
      <c r="C693" s="60"/>
      <c r="D693" s="60"/>
    </row>
    <row r="694">
      <c r="C694" s="60"/>
      <c r="D694" s="60"/>
    </row>
    <row r="695">
      <c r="C695" s="60"/>
      <c r="D695" s="60"/>
    </row>
    <row r="696">
      <c r="C696" s="60"/>
      <c r="D696" s="60"/>
    </row>
    <row r="697">
      <c r="C697" s="60"/>
      <c r="D697" s="60"/>
    </row>
    <row r="698">
      <c r="C698" s="60"/>
      <c r="D698" s="60"/>
    </row>
    <row r="699">
      <c r="C699" s="60"/>
      <c r="D699" s="60"/>
    </row>
    <row r="700">
      <c r="C700" s="60"/>
      <c r="D700" s="60"/>
    </row>
    <row r="701">
      <c r="C701" s="60"/>
      <c r="D701" s="60"/>
    </row>
    <row r="702">
      <c r="C702" s="60"/>
      <c r="D702" s="60"/>
    </row>
    <row r="703">
      <c r="C703" s="60"/>
      <c r="D703" s="60"/>
    </row>
    <row r="704">
      <c r="C704" s="60"/>
      <c r="D704" s="60"/>
    </row>
    <row r="705">
      <c r="C705" s="60"/>
      <c r="D705" s="60"/>
    </row>
    <row r="706">
      <c r="C706" s="60"/>
      <c r="D706" s="60"/>
    </row>
    <row r="707">
      <c r="C707" s="60"/>
      <c r="D707" s="60"/>
    </row>
    <row r="708">
      <c r="C708" s="60"/>
      <c r="D708" s="60"/>
    </row>
    <row r="709">
      <c r="C709" s="60"/>
      <c r="D709" s="60"/>
    </row>
    <row r="710">
      <c r="C710" s="60"/>
      <c r="D710" s="60"/>
    </row>
    <row r="711">
      <c r="C711" s="60"/>
      <c r="D711" s="60"/>
    </row>
    <row r="712">
      <c r="C712" s="60"/>
      <c r="D712" s="60"/>
    </row>
    <row r="713">
      <c r="C713" s="60"/>
      <c r="D713" s="60"/>
    </row>
    <row r="714">
      <c r="C714" s="60"/>
      <c r="D714" s="60"/>
    </row>
    <row r="715">
      <c r="C715" s="60"/>
      <c r="D715" s="60"/>
    </row>
    <row r="716">
      <c r="C716" s="60"/>
      <c r="D716" s="60"/>
    </row>
    <row r="717">
      <c r="C717" s="60"/>
      <c r="D717" s="60"/>
    </row>
    <row r="718">
      <c r="C718" s="60"/>
      <c r="D718" s="60"/>
    </row>
    <row r="719">
      <c r="C719" s="60"/>
      <c r="D719" s="60"/>
    </row>
    <row r="720">
      <c r="C720" s="60"/>
      <c r="D720" s="60"/>
    </row>
    <row r="721">
      <c r="C721" s="60"/>
      <c r="D721" s="60"/>
    </row>
    <row r="722">
      <c r="C722" s="60"/>
      <c r="D722" s="60"/>
    </row>
    <row r="723">
      <c r="C723" s="60"/>
      <c r="D723" s="60"/>
    </row>
    <row r="724">
      <c r="C724" s="60"/>
      <c r="D724" s="60"/>
    </row>
    <row r="725">
      <c r="C725" s="60"/>
      <c r="D725" s="60"/>
    </row>
    <row r="726">
      <c r="C726" s="60"/>
      <c r="D726" s="60"/>
    </row>
    <row r="727">
      <c r="C727" s="60"/>
      <c r="D727" s="60"/>
    </row>
    <row r="728">
      <c r="C728" s="60"/>
      <c r="D728" s="60"/>
    </row>
    <row r="729">
      <c r="C729" s="60"/>
      <c r="D729" s="60"/>
    </row>
    <row r="730">
      <c r="C730" s="60"/>
      <c r="D730" s="60"/>
    </row>
    <row r="731">
      <c r="C731" s="60"/>
      <c r="D731" s="60"/>
    </row>
    <row r="732">
      <c r="C732" s="60"/>
      <c r="D732" s="60"/>
    </row>
    <row r="733">
      <c r="C733" s="60"/>
      <c r="D733" s="60"/>
    </row>
    <row r="734">
      <c r="C734" s="60"/>
      <c r="D734" s="60"/>
    </row>
    <row r="735">
      <c r="C735" s="60"/>
      <c r="D735" s="60"/>
    </row>
    <row r="736">
      <c r="C736" s="60"/>
      <c r="D736" s="60"/>
    </row>
    <row r="737">
      <c r="C737" s="60"/>
      <c r="D737" s="60"/>
    </row>
    <row r="738">
      <c r="C738" s="60"/>
      <c r="D738" s="60"/>
    </row>
    <row r="739">
      <c r="C739" s="60"/>
      <c r="D739" s="60"/>
    </row>
    <row r="740">
      <c r="C740" s="60"/>
      <c r="D740" s="60"/>
    </row>
    <row r="741">
      <c r="C741" s="60"/>
      <c r="D741" s="60"/>
    </row>
    <row r="742">
      <c r="C742" s="60"/>
      <c r="D742" s="60"/>
    </row>
    <row r="743">
      <c r="C743" s="60"/>
      <c r="D743" s="60"/>
    </row>
    <row r="744">
      <c r="C744" s="60"/>
      <c r="D744" s="60"/>
    </row>
    <row r="745">
      <c r="C745" s="60"/>
      <c r="D745" s="60"/>
    </row>
    <row r="746">
      <c r="C746" s="60"/>
      <c r="D746" s="60"/>
    </row>
    <row r="747">
      <c r="C747" s="60"/>
      <c r="D747" s="60"/>
    </row>
    <row r="748">
      <c r="C748" s="60"/>
      <c r="D748" s="60"/>
    </row>
    <row r="749">
      <c r="C749" s="60"/>
      <c r="D749" s="60"/>
    </row>
    <row r="750">
      <c r="C750" s="60"/>
      <c r="D750" s="60"/>
    </row>
    <row r="751">
      <c r="C751" s="60"/>
      <c r="D751" s="60"/>
    </row>
    <row r="752">
      <c r="C752" s="60"/>
      <c r="D752" s="60"/>
    </row>
    <row r="753">
      <c r="C753" s="60"/>
      <c r="D753" s="60"/>
    </row>
    <row r="754">
      <c r="C754" s="60"/>
      <c r="D754" s="60"/>
    </row>
    <row r="755">
      <c r="C755" s="60"/>
      <c r="D755" s="60"/>
    </row>
    <row r="756">
      <c r="C756" s="60"/>
      <c r="D756" s="60"/>
    </row>
    <row r="757">
      <c r="C757" s="60"/>
      <c r="D757" s="60"/>
    </row>
    <row r="758">
      <c r="C758" s="60"/>
      <c r="D758" s="60"/>
    </row>
    <row r="759">
      <c r="C759" s="60"/>
      <c r="D759" s="60"/>
    </row>
    <row r="760">
      <c r="C760" s="60"/>
      <c r="D760" s="60"/>
    </row>
    <row r="761">
      <c r="C761" s="60"/>
      <c r="D761" s="60"/>
    </row>
    <row r="762">
      <c r="C762" s="60"/>
      <c r="D762" s="60"/>
    </row>
    <row r="763">
      <c r="C763" s="60"/>
      <c r="D763" s="60"/>
    </row>
    <row r="764">
      <c r="C764" s="60"/>
      <c r="D764" s="60"/>
    </row>
    <row r="765">
      <c r="C765" s="60"/>
      <c r="D765" s="60"/>
    </row>
    <row r="766">
      <c r="C766" s="60"/>
      <c r="D766" s="60"/>
    </row>
    <row r="767">
      <c r="C767" s="60"/>
      <c r="D767" s="60"/>
    </row>
    <row r="768">
      <c r="C768" s="60"/>
      <c r="D768" s="60"/>
    </row>
    <row r="769">
      <c r="C769" s="60"/>
      <c r="D769" s="60"/>
    </row>
    <row r="770">
      <c r="C770" s="60"/>
      <c r="D770" s="60"/>
    </row>
    <row r="771">
      <c r="C771" s="60"/>
      <c r="D771" s="60"/>
    </row>
    <row r="772">
      <c r="C772" s="60"/>
      <c r="D772" s="60"/>
    </row>
    <row r="773">
      <c r="C773" s="60"/>
      <c r="D773" s="60"/>
    </row>
    <row r="774">
      <c r="C774" s="60"/>
      <c r="D774" s="60"/>
    </row>
    <row r="775">
      <c r="C775" s="60"/>
      <c r="D775" s="60"/>
    </row>
    <row r="776">
      <c r="C776" s="60"/>
      <c r="D776" s="60"/>
    </row>
    <row r="777">
      <c r="C777" s="60"/>
      <c r="D777" s="60"/>
    </row>
    <row r="778">
      <c r="C778" s="60"/>
      <c r="D778" s="60"/>
    </row>
    <row r="779">
      <c r="C779" s="60"/>
      <c r="D779" s="60"/>
    </row>
    <row r="780">
      <c r="C780" s="60"/>
      <c r="D780" s="60"/>
    </row>
    <row r="781">
      <c r="C781" s="60"/>
      <c r="D781" s="60"/>
    </row>
    <row r="782">
      <c r="C782" s="60"/>
      <c r="D782" s="60"/>
    </row>
    <row r="783">
      <c r="C783" s="60"/>
      <c r="D783" s="60"/>
    </row>
    <row r="784">
      <c r="C784" s="60"/>
      <c r="D784" s="60"/>
    </row>
    <row r="785">
      <c r="C785" s="60"/>
      <c r="D785" s="60"/>
    </row>
    <row r="786">
      <c r="C786" s="60"/>
      <c r="D786" s="60"/>
    </row>
    <row r="787">
      <c r="C787" s="60"/>
      <c r="D787" s="60"/>
    </row>
    <row r="788">
      <c r="C788" s="60"/>
      <c r="D788" s="60"/>
    </row>
    <row r="789">
      <c r="C789" s="60"/>
      <c r="D789" s="60"/>
    </row>
    <row r="790">
      <c r="C790" s="60"/>
      <c r="D790" s="60"/>
    </row>
    <row r="791">
      <c r="C791" s="60"/>
      <c r="D791" s="60"/>
    </row>
    <row r="792">
      <c r="C792" s="60"/>
      <c r="D792" s="60"/>
    </row>
    <row r="793">
      <c r="C793" s="60"/>
      <c r="D793" s="60"/>
    </row>
    <row r="794">
      <c r="C794" s="60"/>
      <c r="D794" s="60"/>
    </row>
    <row r="795">
      <c r="C795" s="60"/>
      <c r="D795" s="60"/>
    </row>
    <row r="796">
      <c r="C796" s="60"/>
      <c r="D796" s="60"/>
    </row>
    <row r="797">
      <c r="C797" s="60"/>
      <c r="D797" s="60"/>
    </row>
    <row r="798">
      <c r="C798" s="60"/>
      <c r="D798" s="60"/>
    </row>
    <row r="799">
      <c r="C799" s="60"/>
      <c r="D799" s="60"/>
    </row>
    <row r="800">
      <c r="C800" s="60"/>
      <c r="D800" s="60"/>
    </row>
    <row r="801">
      <c r="C801" s="60"/>
      <c r="D801" s="60"/>
    </row>
    <row r="802">
      <c r="C802" s="60"/>
      <c r="D802" s="60"/>
    </row>
    <row r="803">
      <c r="C803" s="60"/>
      <c r="D803" s="60"/>
    </row>
    <row r="804">
      <c r="C804" s="60"/>
      <c r="D804" s="60"/>
    </row>
    <row r="805">
      <c r="C805" s="60"/>
      <c r="D805" s="60"/>
    </row>
    <row r="806">
      <c r="C806" s="60"/>
      <c r="D806" s="60"/>
    </row>
    <row r="807">
      <c r="C807" s="60"/>
      <c r="D807" s="60"/>
    </row>
    <row r="808">
      <c r="C808" s="60"/>
      <c r="D808" s="60"/>
    </row>
    <row r="809">
      <c r="C809" s="60"/>
      <c r="D809" s="60"/>
    </row>
    <row r="810">
      <c r="C810" s="60"/>
      <c r="D810" s="60"/>
    </row>
    <row r="811">
      <c r="C811" s="60"/>
      <c r="D811" s="60"/>
    </row>
    <row r="812">
      <c r="C812" s="60"/>
      <c r="D812" s="60"/>
    </row>
    <row r="813">
      <c r="C813" s="60"/>
      <c r="D813" s="60"/>
    </row>
    <row r="814">
      <c r="C814" s="60"/>
      <c r="D814" s="60"/>
    </row>
    <row r="815">
      <c r="C815" s="60"/>
      <c r="D815" s="60"/>
    </row>
    <row r="816">
      <c r="C816" s="60"/>
      <c r="D816" s="60"/>
    </row>
    <row r="817">
      <c r="C817" s="60"/>
      <c r="D817" s="60"/>
    </row>
    <row r="818">
      <c r="C818" s="60"/>
      <c r="D818" s="60"/>
    </row>
    <row r="819">
      <c r="C819" s="60"/>
      <c r="D819" s="60"/>
    </row>
    <row r="820">
      <c r="C820" s="60"/>
      <c r="D820" s="60"/>
    </row>
    <row r="821">
      <c r="C821" s="60"/>
      <c r="D821" s="60"/>
    </row>
    <row r="822">
      <c r="C822" s="60"/>
      <c r="D822" s="60"/>
    </row>
    <row r="823">
      <c r="C823" s="60"/>
      <c r="D823" s="60"/>
    </row>
    <row r="824">
      <c r="C824" s="60"/>
      <c r="D824" s="60"/>
    </row>
    <row r="825">
      <c r="C825" s="60"/>
      <c r="D825" s="60"/>
    </row>
    <row r="826">
      <c r="C826" s="60"/>
      <c r="D826" s="60"/>
    </row>
    <row r="827">
      <c r="C827" s="60"/>
      <c r="D827" s="60"/>
    </row>
    <row r="828">
      <c r="C828" s="60"/>
      <c r="D828" s="60"/>
    </row>
    <row r="829">
      <c r="C829" s="60"/>
      <c r="D829" s="60"/>
    </row>
    <row r="830">
      <c r="C830" s="60"/>
      <c r="D830" s="60"/>
    </row>
    <row r="831">
      <c r="C831" s="60"/>
      <c r="D831" s="60"/>
    </row>
    <row r="832">
      <c r="C832" s="60"/>
      <c r="D832" s="60"/>
    </row>
    <row r="833">
      <c r="C833" s="60"/>
      <c r="D833" s="60"/>
    </row>
    <row r="834">
      <c r="C834" s="60"/>
      <c r="D834" s="60"/>
    </row>
    <row r="835">
      <c r="C835" s="60"/>
      <c r="D835" s="60"/>
    </row>
    <row r="836">
      <c r="C836" s="60"/>
      <c r="D836" s="60"/>
    </row>
    <row r="837">
      <c r="C837" s="60"/>
      <c r="D837" s="60"/>
    </row>
    <row r="838">
      <c r="C838" s="60"/>
      <c r="D838" s="60"/>
    </row>
    <row r="839">
      <c r="C839" s="60"/>
      <c r="D839" s="60"/>
    </row>
    <row r="840">
      <c r="C840" s="60"/>
      <c r="D840" s="60"/>
    </row>
    <row r="841">
      <c r="C841" s="60"/>
      <c r="D841" s="60"/>
    </row>
    <row r="842">
      <c r="C842" s="60"/>
      <c r="D842" s="60"/>
    </row>
    <row r="843">
      <c r="C843" s="60"/>
      <c r="D843" s="60"/>
    </row>
    <row r="844">
      <c r="C844" s="60"/>
      <c r="D844" s="60"/>
    </row>
    <row r="845">
      <c r="C845" s="60"/>
      <c r="D845" s="60"/>
    </row>
    <row r="846">
      <c r="C846" s="60"/>
      <c r="D846" s="60"/>
    </row>
    <row r="847">
      <c r="C847" s="60"/>
      <c r="D847" s="60"/>
    </row>
    <row r="848">
      <c r="C848" s="60"/>
      <c r="D848" s="60"/>
    </row>
    <row r="849">
      <c r="C849" s="60"/>
      <c r="D849" s="60"/>
    </row>
    <row r="850">
      <c r="C850" s="60"/>
      <c r="D850" s="60"/>
    </row>
    <row r="851">
      <c r="C851" s="60"/>
      <c r="D851" s="60"/>
    </row>
    <row r="852">
      <c r="C852" s="60"/>
      <c r="D852" s="60"/>
    </row>
    <row r="853">
      <c r="C853" s="60"/>
      <c r="D853" s="60"/>
    </row>
    <row r="854">
      <c r="C854" s="60"/>
      <c r="D854" s="60"/>
    </row>
    <row r="855">
      <c r="C855" s="60"/>
      <c r="D855" s="60"/>
    </row>
    <row r="856">
      <c r="C856" s="60"/>
      <c r="D856" s="60"/>
    </row>
    <row r="857">
      <c r="C857" s="60"/>
      <c r="D857" s="60"/>
    </row>
    <row r="858">
      <c r="C858" s="60"/>
      <c r="D858" s="60"/>
    </row>
    <row r="859">
      <c r="C859" s="60"/>
      <c r="D859" s="60"/>
    </row>
    <row r="860">
      <c r="C860" s="60"/>
      <c r="D860" s="60"/>
    </row>
    <row r="861">
      <c r="C861" s="60"/>
      <c r="D861" s="60"/>
    </row>
    <row r="862">
      <c r="C862" s="60"/>
      <c r="D862" s="60"/>
    </row>
    <row r="863">
      <c r="C863" s="60"/>
      <c r="D863" s="60"/>
    </row>
    <row r="864">
      <c r="C864" s="60"/>
      <c r="D864" s="60"/>
    </row>
    <row r="865">
      <c r="C865" s="60"/>
      <c r="D865" s="60"/>
    </row>
    <row r="866">
      <c r="C866" s="60"/>
      <c r="D866" s="60"/>
    </row>
    <row r="867">
      <c r="C867" s="60"/>
      <c r="D867" s="60"/>
    </row>
    <row r="868">
      <c r="C868" s="60"/>
      <c r="D868" s="60"/>
    </row>
    <row r="869">
      <c r="C869" s="60"/>
      <c r="D869" s="60"/>
    </row>
    <row r="870">
      <c r="C870" s="60"/>
      <c r="D870" s="60"/>
    </row>
    <row r="871">
      <c r="C871" s="60"/>
      <c r="D871" s="60"/>
    </row>
    <row r="872">
      <c r="C872" s="60"/>
      <c r="D872" s="60"/>
    </row>
    <row r="873">
      <c r="C873" s="60"/>
      <c r="D873" s="60"/>
    </row>
    <row r="874">
      <c r="C874" s="60"/>
      <c r="D874" s="60"/>
    </row>
    <row r="875">
      <c r="C875" s="60"/>
      <c r="D875" s="60"/>
    </row>
    <row r="876">
      <c r="C876" s="60"/>
      <c r="D876" s="60"/>
    </row>
    <row r="877">
      <c r="C877" s="60"/>
      <c r="D877" s="60"/>
    </row>
    <row r="878">
      <c r="C878" s="60"/>
      <c r="D878" s="60"/>
    </row>
    <row r="879">
      <c r="C879" s="60"/>
      <c r="D879" s="60"/>
    </row>
    <row r="880">
      <c r="C880" s="60"/>
      <c r="D880" s="60"/>
    </row>
    <row r="881">
      <c r="C881" s="60"/>
      <c r="D881" s="60"/>
    </row>
    <row r="882">
      <c r="C882" s="60"/>
      <c r="D882" s="60"/>
    </row>
    <row r="883">
      <c r="C883" s="60"/>
      <c r="D883" s="60"/>
    </row>
    <row r="884">
      <c r="C884" s="60"/>
      <c r="D884" s="60"/>
    </row>
    <row r="885">
      <c r="C885" s="60"/>
      <c r="D885" s="60"/>
    </row>
    <row r="886">
      <c r="C886" s="60"/>
      <c r="D886" s="60"/>
    </row>
    <row r="887">
      <c r="C887" s="60"/>
      <c r="D887" s="60"/>
    </row>
    <row r="888">
      <c r="C888" s="60"/>
      <c r="D888" s="60"/>
    </row>
    <row r="889">
      <c r="C889" s="60"/>
      <c r="D889" s="60"/>
    </row>
    <row r="890">
      <c r="C890" s="60"/>
      <c r="D890" s="60"/>
    </row>
    <row r="891">
      <c r="C891" s="60"/>
      <c r="D891" s="60"/>
    </row>
    <row r="892">
      <c r="C892" s="60"/>
      <c r="D892" s="60"/>
    </row>
    <row r="893">
      <c r="C893" s="60"/>
      <c r="D893" s="60"/>
    </row>
    <row r="894">
      <c r="C894" s="60"/>
      <c r="D894" s="60"/>
    </row>
    <row r="895">
      <c r="C895" s="60"/>
      <c r="D895" s="60"/>
    </row>
    <row r="896">
      <c r="C896" s="60"/>
      <c r="D896" s="60"/>
    </row>
    <row r="897">
      <c r="C897" s="60"/>
      <c r="D897" s="60"/>
    </row>
    <row r="898">
      <c r="C898" s="60"/>
      <c r="D898" s="60"/>
    </row>
    <row r="899">
      <c r="C899" s="60"/>
      <c r="D899" s="60"/>
    </row>
    <row r="900">
      <c r="C900" s="60"/>
      <c r="D900" s="60"/>
    </row>
    <row r="901">
      <c r="C901" s="60"/>
      <c r="D901" s="60"/>
    </row>
    <row r="902">
      <c r="C902" s="60"/>
      <c r="D902" s="60"/>
    </row>
    <row r="903">
      <c r="C903" s="60"/>
      <c r="D903" s="60"/>
    </row>
    <row r="904">
      <c r="C904" s="60"/>
      <c r="D904" s="60"/>
    </row>
    <row r="905">
      <c r="C905" s="60"/>
      <c r="D905" s="60"/>
    </row>
    <row r="906">
      <c r="C906" s="60"/>
      <c r="D906" s="60"/>
    </row>
    <row r="907">
      <c r="C907" s="60"/>
      <c r="D907" s="60"/>
    </row>
    <row r="908">
      <c r="C908" s="60"/>
      <c r="D908" s="60"/>
    </row>
    <row r="909">
      <c r="C909" s="60"/>
      <c r="D909" s="60"/>
    </row>
    <row r="910">
      <c r="C910" s="60"/>
      <c r="D910" s="60"/>
    </row>
    <row r="911">
      <c r="C911" s="60"/>
      <c r="D911" s="60"/>
    </row>
    <row r="912">
      <c r="C912" s="60"/>
      <c r="D912" s="60"/>
    </row>
    <row r="913">
      <c r="C913" s="60"/>
      <c r="D913" s="60"/>
    </row>
    <row r="914">
      <c r="C914" s="60"/>
      <c r="D914" s="60"/>
    </row>
    <row r="915">
      <c r="C915" s="60"/>
      <c r="D915" s="60"/>
    </row>
    <row r="916">
      <c r="C916" s="60"/>
      <c r="D916" s="60"/>
    </row>
    <row r="917">
      <c r="C917" s="60"/>
      <c r="D917" s="60"/>
    </row>
    <row r="918">
      <c r="C918" s="60"/>
      <c r="D918" s="60"/>
    </row>
    <row r="919">
      <c r="C919" s="60"/>
      <c r="D919" s="60"/>
    </row>
    <row r="920">
      <c r="C920" s="60"/>
      <c r="D920" s="60"/>
    </row>
    <row r="921">
      <c r="C921" s="60"/>
      <c r="D921" s="60"/>
    </row>
    <row r="922">
      <c r="C922" s="60"/>
      <c r="D922" s="60"/>
    </row>
    <row r="923">
      <c r="C923" s="60"/>
      <c r="D923" s="60"/>
    </row>
    <row r="924">
      <c r="C924" s="60"/>
      <c r="D924" s="60"/>
    </row>
    <row r="925">
      <c r="C925" s="60"/>
      <c r="D925" s="60"/>
    </row>
    <row r="926">
      <c r="C926" s="60"/>
      <c r="D926" s="60"/>
    </row>
    <row r="927">
      <c r="C927" s="60"/>
      <c r="D927" s="60"/>
    </row>
    <row r="928">
      <c r="C928" s="60"/>
      <c r="D928" s="60"/>
    </row>
    <row r="929">
      <c r="C929" s="60"/>
      <c r="D929" s="60"/>
    </row>
    <row r="930">
      <c r="C930" s="60"/>
      <c r="D930" s="60"/>
    </row>
    <row r="931">
      <c r="C931" s="60"/>
      <c r="D931" s="60"/>
    </row>
    <row r="932">
      <c r="C932" s="60"/>
      <c r="D932" s="60"/>
    </row>
    <row r="933">
      <c r="C933" s="60"/>
      <c r="D933" s="60"/>
    </row>
    <row r="934">
      <c r="C934" s="60"/>
      <c r="D934" s="60"/>
    </row>
    <row r="935">
      <c r="C935" s="60"/>
      <c r="D935" s="60"/>
    </row>
    <row r="936">
      <c r="C936" s="60"/>
      <c r="D936" s="60"/>
    </row>
    <row r="937">
      <c r="C937" s="60"/>
      <c r="D937" s="60"/>
    </row>
    <row r="938">
      <c r="C938" s="60"/>
      <c r="D938" s="60"/>
    </row>
    <row r="939">
      <c r="C939" s="60"/>
      <c r="D939" s="60"/>
    </row>
    <row r="940">
      <c r="C940" s="60"/>
      <c r="D940" s="60"/>
    </row>
    <row r="941">
      <c r="C941" s="60"/>
      <c r="D941" s="60"/>
    </row>
    <row r="942">
      <c r="C942" s="60"/>
      <c r="D942" s="60"/>
    </row>
    <row r="943">
      <c r="C943" s="60"/>
      <c r="D943" s="60"/>
    </row>
    <row r="944">
      <c r="C944" s="60"/>
      <c r="D944" s="60"/>
    </row>
    <row r="945">
      <c r="C945" s="60"/>
      <c r="D945" s="60"/>
    </row>
    <row r="946">
      <c r="C946" s="60"/>
      <c r="D946" s="60"/>
    </row>
    <row r="947">
      <c r="C947" s="60"/>
      <c r="D947" s="60"/>
    </row>
    <row r="948">
      <c r="C948" s="60"/>
      <c r="D948" s="60"/>
    </row>
    <row r="949">
      <c r="C949" s="60"/>
      <c r="D949" s="60"/>
    </row>
    <row r="950">
      <c r="C950" s="60"/>
      <c r="D950" s="60"/>
    </row>
    <row r="951">
      <c r="C951" s="60"/>
      <c r="D951" s="60"/>
    </row>
    <row r="952">
      <c r="C952" s="60"/>
      <c r="D952" s="60"/>
    </row>
    <row r="953">
      <c r="C953" s="60"/>
      <c r="D953" s="60"/>
    </row>
    <row r="954">
      <c r="C954" s="60"/>
      <c r="D954" s="60"/>
    </row>
    <row r="955">
      <c r="C955" s="60"/>
      <c r="D955" s="60"/>
    </row>
    <row r="956">
      <c r="C956" s="60"/>
      <c r="D956" s="60"/>
    </row>
    <row r="957">
      <c r="C957" s="60"/>
      <c r="D957" s="60"/>
    </row>
    <row r="958">
      <c r="C958" s="60"/>
      <c r="D958" s="60"/>
    </row>
    <row r="959">
      <c r="C959" s="60"/>
      <c r="D959" s="60"/>
    </row>
    <row r="960">
      <c r="C960" s="60"/>
      <c r="D960" s="60"/>
    </row>
    <row r="961">
      <c r="C961" s="60"/>
      <c r="D961" s="60"/>
    </row>
    <row r="962">
      <c r="C962" s="60"/>
      <c r="D962" s="60"/>
    </row>
    <row r="963">
      <c r="C963" s="60"/>
      <c r="D963" s="60"/>
    </row>
    <row r="964">
      <c r="C964" s="60"/>
      <c r="D964" s="60"/>
    </row>
    <row r="965">
      <c r="C965" s="60"/>
      <c r="D965" s="60"/>
    </row>
    <row r="966">
      <c r="C966" s="60"/>
      <c r="D966" s="60"/>
    </row>
    <row r="967">
      <c r="C967" s="60"/>
      <c r="D967" s="60"/>
    </row>
    <row r="968">
      <c r="C968" s="60"/>
      <c r="D968" s="60"/>
    </row>
    <row r="969">
      <c r="C969" s="60"/>
      <c r="D969" s="60"/>
    </row>
    <row r="970">
      <c r="C970" s="60"/>
      <c r="D970" s="60"/>
    </row>
    <row r="971">
      <c r="C971" s="60"/>
      <c r="D971" s="60"/>
    </row>
    <row r="972">
      <c r="C972" s="60"/>
      <c r="D972" s="60"/>
    </row>
    <row r="973">
      <c r="C973" s="60"/>
      <c r="D973" s="60"/>
    </row>
    <row r="974">
      <c r="C974" s="60"/>
      <c r="D974" s="60"/>
    </row>
    <row r="975">
      <c r="C975" s="60"/>
      <c r="D975" s="60"/>
    </row>
    <row r="976">
      <c r="C976" s="60"/>
      <c r="D976" s="60"/>
    </row>
    <row r="977">
      <c r="C977" s="60"/>
      <c r="D977" s="60"/>
    </row>
    <row r="978">
      <c r="C978" s="60"/>
      <c r="D978" s="60"/>
    </row>
    <row r="979">
      <c r="C979" s="60"/>
      <c r="D979" s="60"/>
    </row>
    <row r="980">
      <c r="C980" s="60"/>
      <c r="D980" s="60"/>
    </row>
    <row r="981">
      <c r="C981" s="60"/>
      <c r="D981" s="60"/>
    </row>
    <row r="982">
      <c r="C982" s="60"/>
      <c r="D982" s="60"/>
    </row>
    <row r="983">
      <c r="C983" s="60"/>
      <c r="D983" s="60"/>
    </row>
    <row r="984">
      <c r="C984" s="60"/>
      <c r="D984" s="60"/>
    </row>
    <row r="985">
      <c r="C985" s="60"/>
      <c r="D985" s="60"/>
    </row>
    <row r="986">
      <c r="C986" s="60"/>
      <c r="D986" s="60"/>
    </row>
    <row r="987">
      <c r="C987" s="60"/>
      <c r="D987" s="60"/>
    </row>
    <row r="988">
      <c r="C988" s="60"/>
      <c r="D988" s="60"/>
    </row>
    <row r="989">
      <c r="C989" s="60"/>
      <c r="D989" s="60"/>
    </row>
    <row r="990">
      <c r="C990" s="60"/>
      <c r="D990" s="60"/>
    </row>
    <row r="991">
      <c r="C991" s="60"/>
      <c r="D991" s="60"/>
    </row>
    <row r="992">
      <c r="C992" s="60"/>
      <c r="D992" s="60"/>
    </row>
    <row r="993">
      <c r="C993" s="60"/>
      <c r="D993" s="60"/>
    </row>
    <row r="994">
      <c r="C994" s="60"/>
      <c r="D994" s="60"/>
    </row>
    <row r="995">
      <c r="C995" s="60"/>
      <c r="D995" s="60"/>
    </row>
    <row r="996">
      <c r="C996" s="60"/>
      <c r="D996" s="60"/>
    </row>
    <row r="997">
      <c r="C997" s="60"/>
      <c r="D997" s="60"/>
    </row>
    <row r="998">
      <c r="C998" s="60"/>
      <c r="D998" s="60"/>
    </row>
    <row r="999">
      <c r="C999" s="60"/>
      <c r="D999" s="60"/>
    </row>
  </sheetData>
  <drawing r:id="rId1"/>
</worksheet>
</file>