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21.xml"/>
  <Override ContentType="application/vnd.openxmlformats-officedocument.spreadsheetml.comments+xml" PartName="/xl/comments39.xml"/>
  <Override ContentType="application/vnd.openxmlformats-officedocument.spreadsheetml.comments+xml" PartName="/xl/comments26.xml"/>
  <Override ContentType="application/vnd.openxmlformats-officedocument.spreadsheetml.comments+xml" PartName="/xl/comments34.xml"/>
  <Override ContentType="application/vnd.openxmlformats-officedocument.spreadsheetml.comments+xml" PartName="/xl/comments9.xml"/>
  <Override ContentType="application/vnd.openxmlformats-officedocument.spreadsheetml.comments+xml" PartName="/xl/comments30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43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27.xml"/>
  <Override ContentType="application/vnd.openxmlformats-officedocument.spreadsheetml.comments+xml" PartName="/xl/comments35.xml"/>
  <Override ContentType="application/vnd.openxmlformats-officedocument.spreadsheetml.comments+xml" PartName="/xl/comments22.xml"/>
  <Override ContentType="application/vnd.openxmlformats-officedocument.spreadsheetml.comments+xml" PartName="/xl/comments31.xml"/>
  <Override ContentType="application/vnd.openxmlformats-officedocument.spreadsheetml.comments+xml" PartName="/xl/comments44.xml"/>
  <Override ContentType="application/vnd.openxmlformats-officedocument.spreadsheetml.comments+xml" PartName="/xl/comments3.xml"/>
  <Override ContentType="application/vnd.openxmlformats-officedocument.spreadsheetml.comments+xml" PartName="/xl/comments18.xml"/>
  <Override ContentType="application/vnd.openxmlformats-officedocument.spreadsheetml.comments+xml" PartName="/xl/comments15.xml"/>
  <Override ContentType="application/vnd.openxmlformats-officedocument.spreadsheetml.comments+xml" PartName="/xl/comments40.xml"/>
  <Override ContentType="application/vnd.openxmlformats-officedocument.spreadsheetml.comments+xml" PartName="/xl/comments7.xml"/>
  <Override ContentType="application/vnd.openxmlformats-officedocument.spreadsheetml.comments+xml" PartName="/xl/comments32.xml"/>
  <Override ContentType="application/vnd.openxmlformats-officedocument.spreadsheetml.comments+xml" PartName="/xl/comments10.xml"/>
  <Override ContentType="application/vnd.openxmlformats-officedocument.spreadsheetml.comments+xml" PartName="/xl/comments23.xml"/>
  <Override ContentType="application/vnd.openxmlformats-officedocument.spreadsheetml.comments+xml" PartName="/xl/comments37.xml"/>
  <Override ContentType="application/vnd.openxmlformats-officedocument.spreadsheetml.comments+xml" PartName="/xl/comments24.xml"/>
  <Override ContentType="application/vnd.openxmlformats-officedocument.spreadsheetml.comments+xml" PartName="/xl/comments36.xml"/>
  <Override ContentType="application/vnd.openxmlformats-officedocument.spreadsheetml.comments+xml" PartName="/xl/comments6.xml"/>
  <Override ContentType="application/vnd.openxmlformats-officedocument.spreadsheetml.comments+xml" PartName="/xl/comments28.xml"/>
  <Override ContentType="application/vnd.openxmlformats-officedocument.spreadsheetml.comments+xml" PartName="/xl/comments41.xml"/>
  <Override ContentType="application/vnd.openxmlformats-officedocument.spreadsheetml.comments+xml" PartName="/xl/comments19.xml"/>
  <Override ContentType="application/vnd.openxmlformats-officedocument.spreadsheetml.comments+xml" PartName="/xl/comments2.xml"/>
  <Override ContentType="application/vnd.openxmlformats-officedocument.spreadsheetml.comments+xml" PartName="/xl/comments33.xml"/>
  <Override ContentType="application/vnd.openxmlformats-officedocument.spreadsheetml.comments+xml" PartName="/xl/comments11.xml"/>
  <Override ContentType="application/vnd.openxmlformats-officedocument.spreadsheetml.comments+xml" PartName="/xl/comments20.xml"/>
  <Override ContentType="application/vnd.openxmlformats-officedocument.spreadsheetml.comments+xml" PartName="/xl/comments25.xml"/>
  <Override ContentType="application/vnd.openxmlformats-officedocument.spreadsheetml.comments+xml" PartName="/xl/comments38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29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spreadsheetml.comments+xml" PartName="/xl/comments4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uentasBanco" sheetId="1" r:id="rId5"/>
    <sheet state="hidden" name="Proyección" sheetId="2" r:id="rId6"/>
    <sheet state="hidden" name="Proyección con F" sheetId="3" r:id="rId7"/>
    <sheet state="hidden" name="2024 Proyección" sheetId="4" r:id="rId8"/>
    <sheet state="hidden" name="2025 Proyección" sheetId="5" r:id="rId9"/>
    <sheet state="hidden" name="ENERO - 2023" sheetId="6" r:id="rId10"/>
    <sheet state="hidden" name="FEBRERO - 2023" sheetId="7" r:id="rId11"/>
    <sheet state="hidden" name="MARZO - 2023" sheetId="8" r:id="rId12"/>
    <sheet state="hidden" name="ABRIL - 2023" sheetId="9" r:id="rId13"/>
    <sheet state="hidden" name="MAYO - 2023" sheetId="10" r:id="rId14"/>
    <sheet state="hidden" name="JUNIO - 2023" sheetId="11" r:id="rId15"/>
    <sheet state="hidden" name="JULIO - 2023" sheetId="12" r:id="rId16"/>
    <sheet state="hidden" name="AGOSTO - 2023" sheetId="13" r:id="rId17"/>
    <sheet state="hidden" name="SETIEMBRE - 2023" sheetId="14" r:id="rId18"/>
    <sheet state="hidden" name="OCTUBRE - 2023" sheetId="15" r:id="rId19"/>
    <sheet state="hidden" name="NOVIEMBRE - 2023" sheetId="16" r:id="rId20"/>
    <sheet state="hidden" name="DICIEMBRE - 2023" sheetId="17" r:id="rId21"/>
    <sheet state="hidden" name="2024 - Enero" sheetId="18" r:id="rId22"/>
    <sheet state="hidden" name="2024 - Febrero" sheetId="19" r:id="rId23"/>
    <sheet state="hidden" name="2024 - Marzo" sheetId="20" r:id="rId24"/>
    <sheet state="hidden" name="2024 - Abril" sheetId="21" r:id="rId25"/>
    <sheet state="hidden" name="2024 - Mayo" sheetId="22" r:id="rId26"/>
    <sheet state="hidden" name="2024 - Junio" sheetId="23" r:id="rId27"/>
    <sheet state="hidden" name="2024 - Julio" sheetId="24" r:id="rId28"/>
    <sheet state="hidden" name="2024 - Agosto" sheetId="25" r:id="rId29"/>
    <sheet state="hidden" name="2024 - Setiembre" sheetId="26" r:id="rId30"/>
    <sheet state="hidden" name="2024 - Octubre" sheetId="27" r:id="rId31"/>
    <sheet state="hidden" name="2024 - Noviembre" sheetId="28" r:id="rId32"/>
    <sheet state="hidden" name="2024 - Diciembre" sheetId="29" r:id="rId33"/>
    <sheet state="hidden" name="2025 - ENERO" sheetId="30" r:id="rId34"/>
    <sheet state="hidden" name="2025 - FEBRERO" sheetId="31" r:id="rId35"/>
    <sheet state="hidden" name="2025 - MARZO" sheetId="32" r:id="rId36"/>
    <sheet state="hidden" name="2025 - ABRIL" sheetId="33" r:id="rId37"/>
    <sheet state="hidden" name="2025 - MAYO" sheetId="34" r:id="rId38"/>
    <sheet state="hidden" name="2025 - JUNIO" sheetId="35" r:id="rId39"/>
    <sheet state="hidden" name="2025 - JULIO" sheetId="36" r:id="rId40"/>
    <sheet state="hidden" name="2025 - AGOSTO" sheetId="37" r:id="rId41"/>
    <sheet state="hidden" name="2025 - SETIEMBRE" sheetId="38" r:id="rId42"/>
    <sheet state="hidden" name="2025 - OCTUBRE" sheetId="39" r:id="rId43"/>
    <sheet state="hidden" name="2025 - NOVIEMBRE" sheetId="40" r:id="rId44"/>
    <sheet state="hidden" name="2025 - DICIEMBRE" sheetId="41" r:id="rId45"/>
    <sheet state="hidden" name="2026 - Enero" sheetId="42" r:id="rId46"/>
    <sheet state="visible" name="2026 - Febrero" sheetId="43" r:id="rId47"/>
    <sheet state="visible" name="2026 - Marzo" sheetId="44" r:id="rId48"/>
    <sheet state="visible" name="2026 - Abril" sheetId="45" r:id="rId49"/>
    <sheet state="visible" name="Cuentasbanco v2" sheetId="46" r:id="rId50"/>
    <sheet state="hidden" name="Hoja 3" sheetId="47" r:id="rId5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4">
      <text>
        <t xml:space="preserve">vuelto pagado</t>
      </text>
    </comment>
    <comment authorId="0" ref="D34">
      <text>
        <t xml:space="preserve">bono julio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29">
      <text>
        <t xml:space="preserve">170 intimo</t>
      </text>
    </comment>
    <comment authorId="0" ref="D34">
      <text>
        <t xml:space="preserve">cuota de matrimonio f+j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3">
      <text>
        <t xml:space="preserve">-Bonos
-Grati
-Utilidades</t>
      </text>
    </comment>
    <comment authorId="0" ref="E13">
      <text>
        <t xml:space="preserve">utilidades </t>
      </text>
    </comment>
    <comment authorId="0" ref="F13">
      <text>
        <t xml:space="preserve">bono julio
</t>
      </text>
    </comment>
    <comment authorId="0" ref="J13">
      <text>
        <t xml:space="preserve">-gratificaciones</t>
      </text>
    </comment>
    <comment authorId="0" ref="O13">
      <text>
        <t xml:space="preserve">-utilidades
-bono Flor</t>
      </text>
    </comment>
    <comment authorId="0" ref="G17">
      <text>
        <t xml:space="preserve">69 de arbitrios</t>
      </text>
    </comment>
    <comment authorId="0" ref="F21">
      <text>
        <t xml:space="preserve">cambio de casa</t>
      </text>
    </comment>
    <comment authorId="0" ref="H33">
      <text>
        <t xml:space="preserve">-400 Flor
-400 gastos lonche</t>
      </text>
    </comment>
    <comment authorId="0" ref="I33">
      <text>
        <t xml:space="preserve">-400 julio
-400 gastos lonche
</t>
      </text>
    </comment>
    <comment authorId="0" ref="D36">
      <text>
        <t xml:space="preserve">-400 julio
-400 flor
-150 extra flor
</t>
      </text>
    </comment>
    <comment authorId="0" ref="E36">
      <text>
        <t xml:space="preserve">-400 julio
-400 flor
-150 extra flor
</t>
      </text>
    </comment>
    <comment authorId="0" ref="F36">
      <text>
        <t xml:space="preserve">-400 julio
-400 flor
-150 extra flor
</t>
      </text>
    </comment>
    <comment authorId="0" ref="G36">
      <text>
        <t xml:space="preserve">-400 julio
-400 flor
-150 extra flor
</t>
      </text>
    </comment>
    <comment authorId="0" ref="H36">
      <text>
        <t xml:space="preserve">-400 julio
-400 flor
-150 extra flor
</t>
      </text>
    </comment>
    <comment authorId="0" ref="I36">
      <text>
        <t xml:space="preserve">-400 julio
-400 flor
-150 extra flor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3">
      <text>
        <t xml:space="preserve">-Bonos
-Grati
-Utilidades</t>
      </text>
    </comment>
    <comment authorId="0" ref="E13">
      <text>
        <t xml:space="preserve">utilidades </t>
      </text>
    </comment>
    <comment authorId="0" ref="F13">
      <text>
        <t xml:space="preserve">bono julio
</t>
      </text>
    </comment>
    <comment authorId="0" ref="J13">
      <text>
        <t xml:space="preserve">-gratificaciones</t>
      </text>
    </comment>
    <comment authorId="0" ref="O13">
      <text>
        <t xml:space="preserve">-utilidades
-bono Flor</t>
      </text>
    </comment>
    <comment authorId="0" ref="H33">
      <text>
        <t xml:space="preserve">-100 karen
-500 flor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9">
      <text>
        <t xml:space="preserve">netflix
youtube
espacio icloud Flor
apple Julio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9">
      <text>
        <t xml:space="preserve">netflix
youtube
espacio icloud Flor
apple Julio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8">
      <text>
        <t xml:space="preserve">ya se gastaron 60 en medicos</t>
      </text>
    </comment>
    <comment authorId="0" ref="D29">
      <text>
        <t xml:space="preserve">netflix
youtube
apple Julio</t>
      </text>
    </comment>
    <comment authorId="0" ref="E29">
      <text>
        <t xml:space="preserve">netflix
apple
icloud flor
youtuve</t>
      </text>
    </comment>
    <comment authorId="0" ref="E33">
      <text>
        <t xml:space="preserve">pagos viaje + cosas de casa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- Gastos de la casa 
- Compras
- Gastos extras</t>
      </text>
    </comment>
    <comment authorId="0" ref="J25">
      <text>
        <t xml:space="preserve">netflix, youtube y mantenimiento millas</t>
      </text>
    </comment>
    <comment authorId="0" ref="E31">
      <text>
        <t xml:space="preserve">falta 200 regalo karen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- Gastos de la casa 
- Compras
- Gastos extras</t>
      </text>
    </comment>
    <comment authorId="0" ref="J28">
      <text>
        <t xml:space="preserve">netflix+youtube+apple+ 6 millas latam (mantenimiento)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28">
      <text>
        <t xml:space="preserve">netflix+youtube+apple+ 6 millas latam (mantenimiento)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29">
      <text>
        <t xml:space="preserve">netflix+youtube+apple+ 6 millas latam (mantenimiento)</t>
      </text>
    </comment>
    <comment authorId="0" ref="G42">
      <text>
        <t xml:space="preserve">Se cancelo la deuda en 15 de julio</t>
      </text>
    </comment>
    <comment authorId="0" ref="G44">
      <text>
        <t xml:space="preserve">Se cancelo la deuda en 15 de julio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29">
      <text>
        <t xml:space="preserve">netflix+youtube+apple+ 6 millas latam (mantenimiento)</t>
      </text>
    </comment>
    <comment authorId="0" ref="G42">
      <text>
        <t xml:space="preserve">Se cancelo la deuda en 15 de julio</t>
      </text>
    </comment>
    <comment authorId="0" ref="G44">
      <text>
        <t xml:space="preserve">Se cancelo la deuda en 15 de julio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28">
      <text>
        <t xml:space="preserve">160 son dos sesiones de priscilla</t>
      </text>
    </comment>
    <comment authorId="0" ref="Q28">
      <text>
        <t xml:space="preserve">160 son dos sesiones de priscilla</t>
      </text>
    </comment>
    <comment authorId="0" ref="O29">
      <text>
        <t xml:space="preserve">netflix+youtube+apple+ 6 millas latam (mantenimiento)</t>
      </text>
    </comment>
    <comment authorId="0" ref="G42">
      <text>
        <t xml:space="preserve">Se cancelo la deuda en 15 de julio</t>
      </text>
    </comment>
    <comment authorId="0" ref="G44">
      <text>
        <t xml:space="preserve">Se cancelo la deuda en 15 de julio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28">
      <text>
        <t xml:space="preserve">160 son dos sesiones de priscilla</t>
      </text>
    </comment>
    <comment authorId="0" ref="G42">
      <text>
        <t xml:space="preserve">Se cancelo la deuda en 15 de julio</t>
      </text>
    </comment>
    <comment authorId="0" ref="G44">
      <text>
        <t xml:space="preserve">Se cancelo la deuda en 15 de julio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28">
      <text>
        <t xml:space="preserve">160 son dos sesiones de priscilla</t>
      </text>
    </comment>
    <comment authorId="0" ref="L28">
      <text>
        <t xml:space="preserve">- 150 salud
- 45 consulta neurologo
- 500 dentista
</t>
      </text>
    </comment>
    <comment authorId="0" ref="L34">
      <text>
        <t xml:space="preserve">- 800 familias
- 150 emerg mama flor
- 20 papas julio</t>
      </text>
    </comment>
    <comment authorId="0" ref="G42">
      <text>
        <t xml:space="preserve">Se cancelo la deuda en 15 de julio</t>
      </text>
    </comment>
    <comment authorId="0" ref="G44">
      <text>
        <t xml:space="preserve">Se cancelo la deuda en 15 de julio</t>
      </text>
    </comment>
  </commentLi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3">
      <text>
        <t xml:space="preserve">utilidades </t>
      </text>
    </comment>
    <comment authorId="0" ref="I34">
      <text>
        <t xml:space="preserve">-400 julio
-400 flor
-150 extra flor
</t>
      </text>
    </comment>
    <comment authorId="0" ref="D35">
      <text>
        <t xml:space="preserve">-400 julio
-400 flor
-150 extra flor
</t>
      </text>
    </comment>
    <comment authorId="0" ref="E35">
      <text>
        <t xml:space="preserve">-400 julio
-400 flor
-150 extra flor
</t>
      </text>
    </comment>
  </commentLi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3">
      <text>
        <t xml:space="preserve">utilidades </t>
      </text>
    </comment>
    <comment authorId="0" ref="D35">
      <text>
        <t xml:space="preserve">-400 julio
-400 flor
-150 extra flor
</t>
      </text>
    </comment>
    <comment authorId="0" ref="E35">
      <text>
        <t xml:space="preserve">-400 julio
-400 flor
-150 extra flor
</t>
      </text>
    </comment>
    <comment authorId="0" ref="F35">
      <text>
        <t xml:space="preserve">-400 julio
-400 flor
-150 extra flor
</t>
      </text>
    </comment>
  </commentList>
</comments>
</file>

<file path=xl/comments1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3">
      <text>
        <t xml:space="preserve">utilidades
-julio: 1182,55
-flor: 8459,25
(fueron transferidos a la power se utiliza para mudanza)</t>
      </text>
    </comment>
    <comment authorId="0" ref="G13">
      <text>
        <t xml:space="preserve">bono julio
</t>
      </text>
    </comment>
    <comment authorId="0" ref="F22">
      <text>
        <t xml:space="preserve">4,80 por la transferencia de bcp a scotiabank - Julio</t>
      </text>
    </comment>
    <comment authorId="0" ref="D35">
      <text>
        <t xml:space="preserve">-400 julio
-400 flor
-150 extra flor
</t>
      </text>
    </comment>
    <comment authorId="0" ref="E35">
      <text>
        <t xml:space="preserve">-400 julio
-400 flor
-150 extra flor
</t>
      </text>
    </comment>
    <comment authorId="0" ref="F35">
      <text>
        <t xml:space="preserve">-400 julio
-400 flor
-150 extra flor
</t>
      </text>
    </comment>
    <comment authorId="0" ref="G35">
      <text>
        <t xml:space="preserve">-400 julio
-400 flor
-150 extra flor
</t>
      </text>
    </comment>
    <comment authorId="0" ref="J37">
      <text>
        <t xml:space="preserve">-400 julio
-400 flor
-150 extra flor
</t>
      </text>
    </comment>
    <comment authorId="0" ref="E54">
      <text>
        <t xml:space="preserve">fue movido a la power para comprar cosas para la casa</t>
      </text>
    </comment>
  </commentList>
</comments>
</file>

<file path=xl/comments1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3">
      <text>
        <t xml:space="preserve">utilidades
-julio: 1182,55
-flor: 8459,25
(fueron transferidos a la power se utiliza para mudanza)</t>
      </text>
    </comment>
    <comment authorId="0" ref="H13">
      <text>
        <t xml:space="preserve">bono julio
</t>
      </text>
    </comment>
    <comment authorId="0" ref="F22">
      <text>
        <t xml:space="preserve">4,80 por la transferencia de bcp a scotiabank - Julio</t>
      </text>
    </comment>
    <comment authorId="0" ref="D36">
      <text>
        <t xml:space="preserve">-400 julio
-400 flor
-150 extra flor
</t>
      </text>
    </comment>
    <comment authorId="0" ref="E36">
      <text>
        <t xml:space="preserve">-400 julio
-400 flor
-150 extra flor
</t>
      </text>
    </comment>
    <comment authorId="0" ref="F36">
      <text>
        <t xml:space="preserve">-400 julio
-400 flor
-150 extra flor
</t>
      </text>
    </comment>
    <comment authorId="0" ref="G36">
      <text>
        <t xml:space="preserve">-400 julio
-400 flor
-150 extra flor
</t>
      </text>
    </comment>
    <comment authorId="0" ref="H36">
      <text>
        <t xml:space="preserve">-400 julio
-400 flor
-150 extra flor
</t>
      </text>
    </comment>
    <comment authorId="0" ref="K38">
      <text>
        <t xml:space="preserve">-400 julio
-400 flor
-150 extra flor
</t>
      </text>
    </comment>
    <comment authorId="0" ref="E55">
      <text>
        <t xml:space="preserve">fue movido a la power para comprar cosas para la casa</t>
      </text>
    </comment>
  </commentList>
</comments>
</file>

<file path=xl/comments2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3">
      <text>
        <t xml:space="preserve">utilidades
-julio: 1182,55
-flor: 8459,25
(fueron transferidos a la power se utiliza para mudanza)</t>
      </text>
    </comment>
    <comment authorId="0" ref="F22">
      <text>
        <t xml:space="preserve">4,80 por la transferencia de bcp a scotiabank - Julio</t>
      </text>
    </comment>
    <comment authorId="0" ref="H33">
      <text>
        <t xml:space="preserve">-400 Flor
-400 gastos lonche</t>
      </text>
    </comment>
    <comment authorId="0" ref="I33">
      <text>
        <t xml:space="preserve">-400 julio
-400 gastos lonche
</t>
      </text>
    </comment>
    <comment authorId="0" ref="Q35">
      <text>
        <t xml:space="preserve">-400 Flor
-400 gastos lonche</t>
      </text>
    </comment>
    <comment authorId="0" ref="D36">
      <text>
        <t xml:space="preserve">-400 julio
-400 flor
-150 extra flor
</t>
      </text>
    </comment>
    <comment authorId="0" ref="E36">
      <text>
        <t xml:space="preserve">-400 julio
-400 flor
-150 extra flor
</t>
      </text>
    </comment>
    <comment authorId="0" ref="F36">
      <text>
        <t xml:space="preserve">-400 julio
-400 flor
-150 extra flor
</t>
      </text>
    </comment>
    <comment authorId="0" ref="G36">
      <text>
        <t xml:space="preserve">-400 julio
-400 flor
-150 extra flor
</t>
      </text>
    </comment>
    <comment authorId="0" ref="H36">
      <text>
        <t xml:space="preserve">-400 julio
-400 flor
-150 extra flor
</t>
      </text>
    </comment>
    <comment authorId="0" ref="I36">
      <text>
        <t xml:space="preserve">-400 julio
-400 flor
-150 extra flor
</t>
      </text>
    </comment>
    <comment authorId="0" ref="L38">
      <text>
        <t xml:space="preserve">-400 julio
-400 flor
-150 extra flor
</t>
      </text>
    </comment>
    <comment authorId="0" ref="E55">
      <text>
        <t xml:space="preserve">fue movido a la power para comprar cosas para la casa</t>
      </text>
    </comment>
  </commentList>
</comments>
</file>

<file path=xl/comments2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5">
      <text>
        <t xml:space="preserve">utilidades
-julio: 1182,55
-flor: 8459,25
(fueron transferidos a la power se utiliza para mudanza)</t>
      </text>
    </comment>
    <comment authorId="0" ref="F24">
      <text>
        <t xml:space="preserve">4,80 por la transferencia de bcp a scotiabank - Julio</t>
      </text>
    </comment>
    <comment authorId="0" ref="H35">
      <text>
        <t xml:space="preserve">-400 Flor
-400 gastos lonche</t>
      </text>
    </comment>
    <comment authorId="0" ref="I35">
      <text>
        <t xml:space="preserve">-400 julio
-400 gastos lonche
</t>
      </text>
    </comment>
    <comment authorId="0" ref="J35">
      <text>
        <t xml:space="preserve">-400 julio
-400 gastos lonche
</t>
      </text>
    </comment>
    <comment authorId="0" ref="R37">
      <text>
        <t xml:space="preserve">
-400 gastos lonche</t>
      </text>
    </comment>
    <comment authorId="0" ref="D38">
      <text>
        <t xml:space="preserve">-400 julio
-400 flor
-150 extra flor
</t>
      </text>
    </comment>
    <comment authorId="0" ref="E38">
      <text>
        <t xml:space="preserve">-400 julio
-400 flor
-150 extra flor
</t>
      </text>
    </comment>
    <comment authorId="0" ref="F38">
      <text>
        <t xml:space="preserve">-400 julio
-400 flor
-150 extra flor
</t>
      </text>
    </comment>
    <comment authorId="0" ref="G38">
      <text>
        <t xml:space="preserve">-400 julio
-400 flor
-150 extra flor
</t>
      </text>
    </comment>
    <comment authorId="0" ref="H38">
      <text>
        <t xml:space="preserve">-400 julio
-400 flor
-150 extra flor
</t>
      </text>
    </comment>
    <comment authorId="0" ref="I38">
      <text>
        <t xml:space="preserve">-400 julio
-400 flor
-150 extra flor
</t>
      </text>
    </comment>
    <comment authorId="0" ref="J38">
      <text>
        <t xml:space="preserve">-400 julio
-400 flor
-150 extra flor
</t>
      </text>
    </comment>
    <comment authorId="0" ref="M40">
      <text>
        <t xml:space="preserve">-400 julio
-400 flor
-150 extra flor
</t>
      </text>
    </comment>
    <comment authorId="0" ref="E57">
      <text>
        <t xml:space="preserve">fue movido a la power para comprar cosas para la casa</t>
      </text>
    </comment>
  </commentList>
</comments>
</file>

<file path=xl/comments2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5">
      <text>
        <t xml:space="preserve">utilidades
-julio: 1182,55
-flor: 8459,25
(fueron transferidos a la power se utiliza para mudanza)</t>
      </text>
    </comment>
    <comment authorId="0" ref="J15">
      <text>
        <t xml:space="preserve">-gratificaciones</t>
      </text>
    </comment>
    <comment authorId="0" ref="F24">
      <text>
        <t xml:space="preserve">4,80 por la transferencia de bcp a scotiabank - Julio</t>
      </text>
    </comment>
    <comment authorId="0" ref="H35">
      <text>
        <t xml:space="preserve">-400 Flor
-400 gastos lonche</t>
      </text>
    </comment>
    <comment authorId="0" ref="I35">
      <text>
        <t xml:space="preserve">-400 julio
-400 gastos lonche
</t>
      </text>
    </comment>
    <comment authorId="0" ref="D38">
      <text>
        <t xml:space="preserve">-400 julio
-400 flor
-150 extra flor
</t>
      </text>
    </comment>
    <comment authorId="0" ref="E38">
      <text>
        <t xml:space="preserve">-400 julio
-400 flor
-150 extra flor
</t>
      </text>
    </comment>
    <comment authorId="0" ref="F38">
      <text>
        <t xml:space="preserve">-400 julio
-400 flor
-150 extra flor
</t>
      </text>
    </comment>
    <comment authorId="0" ref="G38">
      <text>
        <t xml:space="preserve">-400 julio
-400 flor
-150 extra flor
</t>
      </text>
    </comment>
    <comment authorId="0" ref="H38">
      <text>
        <t xml:space="preserve">-400 julio
-400 flor
-150 extra flor
</t>
      </text>
    </comment>
    <comment authorId="0" ref="I38">
      <text>
        <t xml:space="preserve">-400 julio
-400 flor
-150 extra flor
</t>
      </text>
    </comment>
    <comment authorId="0" ref="J38">
      <text>
        <t xml:space="preserve">-400 julio
-400 flor
-150 extra flor
</t>
      </text>
    </comment>
    <comment authorId="0" ref="K38">
      <text>
        <t xml:space="preserve">-400 julio
-400 flor
-150 extra flor
</t>
      </text>
    </comment>
    <comment authorId="0" ref="O40">
      <text>
        <t xml:space="preserve">-400 julio
-400 flor
-150 extra flor
</t>
      </text>
    </comment>
    <comment authorId="0" ref="E57">
      <text>
        <t xml:space="preserve">fue movido a la power para comprar cosas para la casa</t>
      </text>
    </comment>
  </commentList>
</comments>
</file>

<file path=xl/comments2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5">
      <text>
        <t xml:space="preserve">utilidades
-julio: 1182,55
-flor: 8459,25
(fueron transferidos a la power se utiliza para mudanza)</t>
      </text>
    </comment>
    <comment authorId="0" ref="J15">
      <text>
        <t xml:space="preserve">-gratificaciones</t>
      </text>
    </comment>
    <comment authorId="0" ref="F24">
      <text>
        <t xml:space="preserve">4,80 por la transferencia de bcp a scotiabank - Julio</t>
      </text>
    </comment>
    <comment authorId="0" ref="H35">
      <text>
        <t xml:space="preserve">-400 Flor
-400 gastos lonche</t>
      </text>
    </comment>
    <comment authorId="0" ref="I35">
      <text>
        <t xml:space="preserve">-400 julio
-400 gastos lonche
</t>
      </text>
    </comment>
    <comment authorId="0" ref="D38">
      <text>
        <t xml:space="preserve">-400 julio
-400 flor
-150 extra flor
</t>
      </text>
    </comment>
    <comment authorId="0" ref="E38">
      <text>
        <t xml:space="preserve">-400 julio
-400 flor
-150 extra flor
</t>
      </text>
    </comment>
    <comment authorId="0" ref="F38">
      <text>
        <t xml:space="preserve">-400 julio
-400 flor
-150 extra flor
</t>
      </text>
    </comment>
    <comment authorId="0" ref="G38">
      <text>
        <t xml:space="preserve">-400 julio
-400 flor
-150 extra flor
</t>
      </text>
    </comment>
    <comment authorId="0" ref="H38">
      <text>
        <t xml:space="preserve">-400 julio
-400 flor
-150 extra flor
</t>
      </text>
    </comment>
    <comment authorId="0" ref="I38">
      <text>
        <t xml:space="preserve">-400 julio
-400 flor
-150 extra flor
</t>
      </text>
    </comment>
    <comment authorId="0" ref="J38">
      <text>
        <t xml:space="preserve">-400 julio
-400 flor
-150 extra flor
</t>
      </text>
    </comment>
    <comment authorId="0" ref="K38">
      <text>
        <t xml:space="preserve">-400 julio
-400 flor
-150 extra flor
</t>
      </text>
    </comment>
    <comment authorId="0" ref="O40">
      <text>
        <t xml:space="preserve">-400 julio
-400 flor
-150 extra flor
</t>
      </text>
    </comment>
    <comment authorId="0" ref="E57">
      <text>
        <t xml:space="preserve">fue movido a la power para comprar cosas para la casa</t>
      </text>
    </comment>
  </commentList>
</comments>
</file>

<file path=xl/comments2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5">
      <text>
        <t xml:space="preserve">utilidades
-julio: 1182,55
-flor: 8459,25
(fueron transferidos a la power se utiliza para mudanza)</t>
      </text>
    </comment>
    <comment authorId="0" ref="J15">
      <text>
        <t xml:space="preserve">-gratificaciones</t>
      </text>
    </comment>
    <comment authorId="0" ref="F24">
      <text>
        <t xml:space="preserve">4,80 por la transferencia de bcp a scotiabank - Julio</t>
      </text>
    </comment>
    <comment authorId="0" ref="H35">
      <text>
        <t xml:space="preserve">-400 Flor
-400 gastos lonche</t>
      </text>
    </comment>
    <comment authorId="0" ref="I35">
      <text>
        <t xml:space="preserve">-400 julio
-400 gastos lonche
</t>
      </text>
    </comment>
    <comment authorId="0" ref="D38">
      <text>
        <t xml:space="preserve">-400 julio
-400 flor
-150 extra flor
</t>
      </text>
    </comment>
    <comment authorId="0" ref="E38">
      <text>
        <t xml:space="preserve">-400 julio
-400 flor
-150 extra flor
</t>
      </text>
    </comment>
    <comment authorId="0" ref="F38">
      <text>
        <t xml:space="preserve">-400 julio
-400 flor
-150 extra flor
</t>
      </text>
    </comment>
    <comment authorId="0" ref="G38">
      <text>
        <t xml:space="preserve">-400 julio
-400 flor
-150 extra flor
</t>
      </text>
    </comment>
    <comment authorId="0" ref="H38">
      <text>
        <t xml:space="preserve">-400 julio
-400 flor
-150 extra flor
</t>
      </text>
    </comment>
    <comment authorId="0" ref="I38">
      <text>
        <t xml:space="preserve">-400 julio
-400 flor
-150 extra flor
</t>
      </text>
    </comment>
    <comment authorId="0" ref="J38">
      <text>
        <t xml:space="preserve">-400 julio
-400 flor
-150 extra flor
</t>
      </text>
    </comment>
    <comment authorId="0" ref="K38">
      <text>
        <t xml:space="preserve">-400 julio
-400 flor
-150 extra flor
</t>
      </text>
    </comment>
    <comment authorId="0" ref="L38">
      <text>
        <t xml:space="preserve">-400 julio
-400 flor
-150 extra flor
</t>
      </text>
    </comment>
    <comment authorId="0" ref="P40">
      <text>
        <t xml:space="preserve">-400 julio
-400 flor
-150 extra flor
</t>
      </text>
    </comment>
    <comment authorId="0" ref="E57">
      <text>
        <t xml:space="preserve">fue movido a la power para comprar cosas para la casa</t>
      </text>
    </comment>
  </commentList>
</comments>
</file>

<file path=xl/comments2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5">
      <text>
        <t xml:space="preserve">utilidades
-julio: 1182,55
-flor: 8459,25
(fueron transferidos a la power se utiliza para mudanza)</t>
      </text>
    </comment>
    <comment authorId="0" ref="J15">
      <text>
        <t xml:space="preserve">-gratificaciones</t>
      </text>
    </comment>
    <comment authorId="0" ref="F24">
      <text>
        <t xml:space="preserve">4,80 por la transferencia de bcp a scotiabank - Julio</t>
      </text>
    </comment>
    <comment authorId="0" ref="H35">
      <text>
        <t xml:space="preserve">-400 Flor
-400 gastos lonche</t>
      </text>
    </comment>
    <comment authorId="0" ref="I35">
      <text>
        <t xml:space="preserve">-400 julio
-400 gastos lonche
</t>
      </text>
    </comment>
    <comment authorId="0" ref="D38">
      <text>
        <t xml:space="preserve">-400 julio
-400 flor
-150 extra flor
</t>
      </text>
    </comment>
    <comment authorId="0" ref="E38">
      <text>
        <t xml:space="preserve">-400 julio
-400 flor
-150 extra flor
</t>
      </text>
    </comment>
    <comment authorId="0" ref="F38">
      <text>
        <t xml:space="preserve">-400 julio
-400 flor
-150 extra flor
</t>
      </text>
    </comment>
    <comment authorId="0" ref="G38">
      <text>
        <t xml:space="preserve">-400 julio
-400 flor
-150 extra flor
</t>
      </text>
    </comment>
    <comment authorId="0" ref="H38">
      <text>
        <t xml:space="preserve">-400 julio
-400 flor
-150 extra flor
</t>
      </text>
    </comment>
    <comment authorId="0" ref="I38">
      <text>
        <t xml:space="preserve">-400 julio
-400 flor
-150 extra flor
</t>
      </text>
    </comment>
    <comment authorId="0" ref="J38">
      <text>
        <t xml:space="preserve">-400 julio
-400 flor
-150 extra flor
</t>
      </text>
    </comment>
    <comment authorId="0" ref="K38">
      <text>
        <t xml:space="preserve">-400 julio
-400 flor
-150 extra flor
</t>
      </text>
    </comment>
    <comment authorId="0" ref="L38">
      <text>
        <t xml:space="preserve">-400 julio
-400 flor
-150 extra flor
</t>
      </text>
    </comment>
    <comment authorId="0" ref="M38">
      <text>
        <t xml:space="preserve">-400 julio
-400 flor
-150 extra flor
</t>
      </text>
    </comment>
    <comment authorId="0" ref="Q40">
      <text>
        <t xml:space="preserve">-400 julio
-400 flor
-150 extra flor
</t>
      </text>
    </comment>
    <comment authorId="0" ref="E57">
      <text>
        <t xml:space="preserve">fue movido a la power para comprar cosas para la casa</t>
      </text>
    </comment>
  </commentList>
</comments>
</file>

<file path=xl/comments2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5">
      <text>
        <t xml:space="preserve">utilidades
-julio: 1182,55
-flor: 8459,25
(fueron transferidos a la power se utiliza para mudanza)</t>
      </text>
    </comment>
    <comment authorId="0" ref="J15">
      <text>
        <t xml:space="preserve">-gratificaciones</t>
      </text>
    </comment>
    <comment authorId="0" ref="F24">
      <text>
        <t xml:space="preserve">4,80 por la transferencia de bcp a scotiabank - Julio</t>
      </text>
    </comment>
    <comment authorId="0" ref="H35">
      <text>
        <t xml:space="preserve">-400 Flor
-400 gastos lonche</t>
      </text>
    </comment>
    <comment authorId="0" ref="I35">
      <text>
        <t xml:space="preserve">-400 julio
-400 gastos lonche
</t>
      </text>
    </comment>
    <comment authorId="0" ref="D38">
      <text>
        <t xml:space="preserve">-400 julio
-400 flor
-150 extra flor
</t>
      </text>
    </comment>
    <comment authorId="0" ref="E38">
      <text>
        <t xml:space="preserve">-400 julio
-400 flor
-150 extra flor
</t>
      </text>
    </comment>
    <comment authorId="0" ref="F38">
      <text>
        <t xml:space="preserve">-400 julio
-400 flor
-150 extra flor
</t>
      </text>
    </comment>
    <comment authorId="0" ref="G38">
      <text>
        <t xml:space="preserve">-400 julio
-400 flor
-150 extra flor
</t>
      </text>
    </comment>
    <comment authorId="0" ref="H38">
      <text>
        <t xml:space="preserve">-400 julio
-400 flor
-150 extra flor
</t>
      </text>
    </comment>
    <comment authorId="0" ref="I38">
      <text>
        <t xml:space="preserve">-400 julio
-400 flor
-150 extra flor
</t>
      </text>
    </comment>
    <comment authorId="0" ref="J38">
      <text>
        <t xml:space="preserve">-400 julio
-400 flor
-150 extra flor
</t>
      </text>
    </comment>
    <comment authorId="0" ref="K38">
      <text>
        <t xml:space="preserve">-400 julio
-400 flor
-150 extra flor
</t>
      </text>
    </comment>
    <comment authorId="0" ref="L38">
      <text>
        <t xml:space="preserve">-400 julio
-400 flor
-150 extra flor
</t>
      </text>
    </comment>
    <comment authorId="0" ref="M38">
      <text>
        <t xml:space="preserve">-400 julio
-400 flor
-150 extra flor
</t>
      </text>
    </comment>
    <comment authorId="0" ref="N38">
      <text>
        <t xml:space="preserve">-400 julio
-400 flor
-150 extra flor
</t>
      </text>
    </comment>
    <comment authorId="0" ref="R40">
      <text>
        <t xml:space="preserve">-400 julio
-400 flor
-150 extra flor
</t>
      </text>
    </comment>
    <comment authorId="0" ref="U44">
      <text>
        <t xml:space="preserve">pago de cuota</t>
      </text>
    </comment>
    <comment authorId="0" ref="E57">
      <text>
        <t xml:space="preserve">fue movido a la power para comprar cosas para la casa</t>
      </text>
    </comment>
  </commentList>
</comments>
</file>

<file path=xl/comments2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5">
      <text>
        <t xml:space="preserve">utilidades
-julio: 1182,55
-flor: 8459,25
(fueron transferidos a la power se utiliza para mudanza)</t>
      </text>
    </comment>
    <comment authorId="0" ref="J15">
      <text>
        <t xml:space="preserve">-gratificaciones</t>
      </text>
    </comment>
    <comment authorId="0" ref="F24">
      <text>
        <t xml:space="preserve">4,80 por la transferencia de bcp a scotiabank - Julio</t>
      </text>
    </comment>
    <comment authorId="0" ref="H35">
      <text>
        <t xml:space="preserve">-400 Flor
-400 gastos lonche</t>
      </text>
    </comment>
    <comment authorId="0" ref="I35">
      <text>
        <t xml:space="preserve">-400 julio
-400 gastos lonche
</t>
      </text>
    </comment>
    <comment authorId="0" ref="D38">
      <text>
        <t xml:space="preserve">-400 julio
-400 flor
-150 extra flor
</t>
      </text>
    </comment>
    <comment authorId="0" ref="E38">
      <text>
        <t xml:space="preserve">-400 julio
-400 flor
-150 extra flor
</t>
      </text>
    </comment>
    <comment authorId="0" ref="F38">
      <text>
        <t xml:space="preserve">-400 julio
-400 flor
-150 extra flor
</t>
      </text>
    </comment>
    <comment authorId="0" ref="G38">
      <text>
        <t xml:space="preserve">-400 julio
-400 flor
-150 extra flor
</t>
      </text>
    </comment>
    <comment authorId="0" ref="H38">
      <text>
        <t xml:space="preserve">-400 julio
-400 flor
-150 extra flor
</t>
      </text>
    </comment>
    <comment authorId="0" ref="I38">
      <text>
        <t xml:space="preserve">-400 julio
-400 flor
-150 extra flor
</t>
      </text>
    </comment>
    <comment authorId="0" ref="J38">
      <text>
        <t xml:space="preserve">-400 julio
-400 flor
-150 extra flor
</t>
      </text>
    </comment>
    <comment authorId="0" ref="K38">
      <text>
        <t xml:space="preserve">-400 julio
-400 flor
-150 extra flor
</t>
      </text>
    </comment>
    <comment authorId="0" ref="L38">
      <text>
        <t xml:space="preserve">-400 julio
-400 flor
-150 extra flor
</t>
      </text>
    </comment>
    <comment authorId="0" ref="M38">
      <text>
        <t xml:space="preserve">-400 julio
-400 flor
-150 extra flor
</t>
      </text>
    </comment>
    <comment authorId="0" ref="N38">
      <text>
        <t xml:space="preserve">-400 julio
-400 flor
-150 extra flor
</t>
      </text>
    </comment>
    <comment authorId="0" ref="R40">
      <text>
        <t xml:space="preserve">-400 julio
-400 flor
-150 extra flor
</t>
      </text>
    </comment>
    <comment authorId="0" ref="U44">
      <text>
        <t xml:space="preserve">pago de cuota</t>
      </text>
    </comment>
    <comment authorId="0" ref="E57">
      <text>
        <t xml:space="preserve">fue movido a la power para comprar cosas para la casa</t>
      </text>
    </comment>
  </commentList>
</comments>
</file>

<file path=xl/comments2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5">
      <text>
        <t xml:space="preserve">-Bonos
-Grati
-Utilidades</t>
      </text>
    </comment>
    <comment authorId="0" ref="E15">
      <text>
        <t xml:space="preserve">utilidades </t>
      </text>
    </comment>
  </commentList>
</comments>
</file>

<file path=xl/comments2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5">
      <text>
        <t xml:space="preserve">-Bonos
-Grati
-Utilidades</t>
      </text>
    </comment>
    <comment authorId="0" ref="E15">
      <text>
        <t xml:space="preserve">utilidades </t>
      </text>
    </comment>
  </commentList>
</comments>
</file>

<file path=xl/comments3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5">
      <text>
        <t xml:space="preserve">-Bonos
-Grati
-Utilidades</t>
      </text>
    </comment>
    <comment authorId="0" ref="E15">
      <text>
        <t xml:space="preserve">utilidades </t>
      </text>
    </comment>
    <comment authorId="0" ref="F15">
      <text>
        <t xml:space="preserve">bono julio + utilidades Flor
</t>
      </text>
    </comment>
    <comment authorId="0" ref="I24">
      <text>
        <t xml:space="preserve">se pago la casa antes de la transferencia total</t>
      </text>
    </comment>
    <comment authorId="0" ref="J39">
      <text>
        <t xml:space="preserve">se pago antes de la transferencia total</t>
      </text>
    </comment>
  </commentList>
</comments>
</file>

<file path=xl/comments3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5">
      <text>
        <t xml:space="preserve">-Bonos
-Grati
-Utilidades</t>
      </text>
    </comment>
    <comment authorId="0" ref="E15">
      <text>
        <t xml:space="preserve">utilidades </t>
      </text>
    </comment>
    <comment authorId="0" ref="F15">
      <text>
        <t xml:space="preserve">bono julio + utilidades Flor
</t>
      </text>
    </comment>
    <comment authorId="0" ref="G15">
      <text>
        <t xml:space="preserve">Se recbio de utilidades 995,32 se tomaron 150 para el estacionamiento de Tranzact que se devolvieron al sueldo de julio (depositaron 9247,58) por el cobro automatico. </t>
      </text>
    </comment>
    <comment authorId="0" ref="J24">
      <text>
        <t xml:space="preserve">se pago la casa antes de la transferencia total</t>
      </text>
    </comment>
  </commentList>
</comments>
</file>

<file path=xl/comments3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5">
      <text>
        <t xml:space="preserve">-Bonos
-Grati
-Utilidades</t>
      </text>
    </comment>
    <comment authorId="0" ref="E15">
      <text>
        <t xml:space="preserve">utilidades </t>
      </text>
    </comment>
    <comment authorId="0" ref="F15">
      <text>
        <t xml:space="preserve">bono julio + utilidades Flor
</t>
      </text>
    </comment>
    <comment authorId="0" ref="G15">
      <text>
        <t xml:space="preserve">Se recbio de utilidades 995,32 se tomaron 150 para el estacionamiento de Tranzact que se devolvieron al sueldo de julio (depositaron 9247,58) por el cobro automatico. </t>
      </text>
    </comment>
    <comment authorId="0" ref="H35">
      <text>
        <t xml:space="preserve">-100 karen
-500 flor</t>
      </text>
    </comment>
  </commentList>
</comments>
</file>

<file path=xl/comments3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5">
      <text>
        <t xml:space="preserve">-Bonos
-Grati
-Utilidades</t>
      </text>
    </comment>
    <comment authorId="0" ref="E15">
      <text>
        <t xml:space="preserve">utilidades </t>
      </text>
    </comment>
    <comment authorId="0" ref="F15">
      <text>
        <t xml:space="preserve">bono julio + utilidades Flor
</t>
      </text>
    </comment>
    <comment authorId="0" ref="G15">
      <text>
        <t xml:space="preserve">Se recbio de utilidades 995,32 se tomaron 150 para el estacionamiento de Tranzact que se devolvieron al sueldo de julio (depositaron 9247,58) por el cobro automatico. </t>
      </text>
    </comment>
    <comment authorId="0" ref="H35">
      <text>
        <t xml:space="preserve">-100 karen
-500 flor</t>
      </text>
    </comment>
  </commentList>
</comments>
</file>

<file path=xl/comments3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5">
      <text>
        <t xml:space="preserve">-Bonos
-Grati
-Utilidades</t>
      </text>
    </comment>
    <comment authorId="0" ref="E15">
      <text>
        <t xml:space="preserve">utilidades </t>
      </text>
    </comment>
    <comment authorId="0" ref="F15">
      <text>
        <t xml:space="preserve">bono julio + utilidades Flor
</t>
      </text>
    </comment>
    <comment authorId="0" ref="G15">
      <text>
        <t xml:space="preserve">Se recbio de utilidades 995,32 se tomaron 150 para el estacionamiento de Tranzact que se devolvieron al sueldo de julio (depositaron 9247,58) por el cobro automatico. </t>
      </text>
    </comment>
    <comment authorId="0" ref="J15">
      <text>
        <t xml:space="preserve">-gratificaciones</t>
      </text>
    </comment>
    <comment authorId="0" ref="H35">
      <text>
        <t xml:space="preserve">-100 karen
-500 flor</t>
      </text>
    </comment>
  </commentList>
</comments>
</file>

<file path=xl/comments3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5">
      <text>
        <t xml:space="preserve">-Bonos
-Grati
-Utilidades</t>
      </text>
    </comment>
    <comment authorId="0" ref="E15">
      <text>
        <t xml:space="preserve">utilidades </t>
      </text>
    </comment>
    <comment authorId="0" ref="F15">
      <text>
        <t xml:space="preserve">bono julio + utilidades Flor
</t>
      </text>
    </comment>
    <comment authorId="0" ref="G15">
      <text>
        <t xml:space="preserve">Se recbio de utilidades 995,32 se tomaron 150 para el estacionamiento de Tranzact que se devolvieron al sueldo de julio (depositaron 9247,58) por el cobro automatico. </t>
      </text>
    </comment>
    <comment authorId="0" ref="J15">
      <text>
        <t xml:space="preserve">-gratificaciones</t>
      </text>
    </comment>
    <comment authorId="0" ref="S32">
      <text>
        <t xml:space="preserve">900 para salidas
500 para "compras"</t>
      </text>
    </comment>
    <comment authorId="0" ref="H35">
      <text>
        <t xml:space="preserve">-100 karen
-500 flor</t>
      </text>
    </comment>
    <comment authorId="0" ref="Q45">
      <text>
        <t xml:space="preserve">724,25 del carro
760,97 son sobrantes del mes que van a la power</t>
      </text>
    </comment>
  </commentList>
</comments>
</file>

<file path=xl/comments3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5">
      <text>
        <t xml:space="preserve">-Bonos
-Grati
-Utilidades</t>
      </text>
    </comment>
    <comment authorId="0" ref="E15">
      <text>
        <t xml:space="preserve">utilidades </t>
      </text>
    </comment>
    <comment authorId="0" ref="F15">
      <text>
        <t xml:space="preserve">bono julio + utilidades Flor
</t>
      </text>
    </comment>
    <comment authorId="0" ref="G15">
      <text>
        <t xml:space="preserve">Se recbio de utilidades 995,32 se tomaron 150 para el estacionamiento de Tranzact que se devolvieron al sueldo de julio (depositaron 9247,58) por el cobro automatico. </t>
      </text>
    </comment>
    <comment authorId="0" ref="J15">
      <text>
        <t xml:space="preserve">-gratificaciones</t>
      </text>
    </comment>
    <comment authorId="0" ref="T32">
      <text>
        <t xml:space="preserve">900 para salidas
500 para "compras"</t>
      </text>
    </comment>
    <comment authorId="0" ref="H35">
      <text>
        <t xml:space="preserve">-100 karen
-500 flor</t>
      </text>
    </comment>
    <comment authorId="0" ref="R45">
      <text>
        <t xml:space="preserve">724,25 del carro
933,43 son sobrantes del mes que van a la power</t>
      </text>
    </comment>
  </commentList>
</comments>
</file>

<file path=xl/comments3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5">
      <text>
        <t xml:space="preserve">-Bonos
-Grati
-Utilidades</t>
      </text>
    </comment>
    <comment authorId="0" ref="E15">
      <text>
        <t xml:space="preserve">utilidades </t>
      </text>
    </comment>
    <comment authorId="0" ref="F15">
      <text>
        <t xml:space="preserve">bono julio + utilidades Flor
</t>
      </text>
    </comment>
    <comment authorId="0" ref="G15">
      <text>
        <t xml:space="preserve">Se recbio de utilidades 995,32 se tomaron 150 para el estacionamiento de Tranzact que se devolvieron al sueldo de julio (depositaron 9247,58) por el cobro automatico. </t>
      </text>
    </comment>
    <comment authorId="0" ref="J15">
      <text>
        <t xml:space="preserve">-gratificaciones</t>
      </text>
    </comment>
    <comment authorId="0" ref="H35">
      <text>
        <t xml:space="preserve">-100 karen
-500 flor</t>
      </text>
    </comment>
    <comment authorId="0" ref="S45">
      <text>
        <t xml:space="preserve">724,25 del carro
504,43 son sobrantes del mes que van a la power</t>
      </text>
    </comment>
  </commentList>
</comments>
</file>

<file path=xl/comments3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5">
      <text>
        <t xml:space="preserve">-Bonos
-Grati
-Utilidades</t>
      </text>
    </comment>
    <comment authorId="0" ref="E15">
      <text>
        <t xml:space="preserve">utilidades </t>
      </text>
    </comment>
    <comment authorId="0" ref="F15">
      <text>
        <t xml:space="preserve">bono julio + utilidades Flor
</t>
      </text>
    </comment>
    <comment authorId="0" ref="G15">
      <text>
        <t xml:space="preserve">Se recbio de utilidades 995,32 se tomaron 150 para el estacionamiento de Tranzact que se devolvieron al sueldo de julio (depositaron 9247,58) por el cobro automatico. </t>
      </text>
    </comment>
    <comment authorId="0" ref="J15">
      <text>
        <t xml:space="preserve">-gratificaciones</t>
      </text>
    </comment>
    <comment authorId="0" ref="N34">
      <text>
        <t xml:space="preserve">$69 </t>
      </text>
    </comment>
    <comment authorId="0" ref="H35">
      <text>
        <t xml:space="preserve">-100 karen
-500 flor</t>
      </text>
    </comment>
    <comment authorId="0" ref="T45">
      <text>
        <t xml:space="preserve">724,25 del carro
380,52 son sobrantes del mes que van a la power</t>
      </text>
    </comment>
  </commentList>
</comments>
</file>

<file path=xl/comments3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5">
      <text>
        <t xml:space="preserve">-Bonos
-Grati
-Utilidades</t>
      </text>
    </comment>
    <comment authorId="0" ref="E15">
      <text>
        <t xml:space="preserve">utilidades </t>
      </text>
    </comment>
    <comment authorId="0" ref="F15">
      <text>
        <t xml:space="preserve">bono julio + utilidades Flor
</t>
      </text>
    </comment>
    <comment authorId="0" ref="G15">
      <text>
        <t xml:space="preserve">Se recbio de utilidades 995,32 se tomaron 150 para el estacionamiento de Tranzact que se devolvieron al sueldo de julio (depositaron 9247,58) por el cobro automatico. </t>
      </text>
    </comment>
    <comment authorId="0" ref="J15">
      <text>
        <t xml:space="preserve">-gratificaciones</t>
      </text>
    </comment>
    <comment authorId="0" ref="O15">
      <text>
        <t xml:space="preserve">-utilidades
-bono Flor</t>
      </text>
    </comment>
    <comment authorId="0" ref="N34">
      <text>
        <t xml:space="preserve">$69 </t>
      </text>
    </comment>
    <comment authorId="0" ref="H35">
      <text>
        <t xml:space="preserve">-100 karen
-500 flor</t>
      </text>
    </comment>
    <comment authorId="0" ref="U45">
      <text>
        <t xml:space="preserve">724,25 del carro
290,74 son sobrantes del mes que van a la power</t>
      </text>
    </comment>
  </commentList>
</comments>
</file>

<file path=xl/comments4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5">
      <text>
        <t xml:space="preserve">-Bonos
-Grati
-Utilidades</t>
      </text>
    </comment>
    <comment authorId="0" ref="E15">
      <text>
        <t xml:space="preserve">utilidades </t>
      </text>
    </comment>
    <comment authorId="0" ref="F15">
      <text>
        <t xml:space="preserve">bono julio + utilidades Flor
</t>
      </text>
    </comment>
    <comment authorId="0" ref="G15">
      <text>
        <t xml:space="preserve">Se recbio de utilidades 995,32 se tomaron 150 para el estacionamiento de Tranzact que se devolvieron al sueldo de julio (depositaron 9247,58) por el cobro automatico. </t>
      </text>
    </comment>
    <comment authorId="0" ref="J15">
      <text>
        <t xml:space="preserve">-gratificaciones</t>
      </text>
    </comment>
    <comment authorId="0" ref="O15">
      <text>
        <t xml:space="preserve">-Gratis</t>
      </text>
    </comment>
    <comment authorId="0" ref="P15">
      <text>
        <t xml:space="preserve">-bono Flor</t>
      </text>
    </comment>
    <comment authorId="0" ref="N34">
      <text>
        <t xml:space="preserve">$69 </t>
      </text>
    </comment>
    <comment authorId="0" ref="H35">
      <text>
        <t xml:space="preserve">-100 karen
-500 flor</t>
      </text>
    </comment>
    <comment authorId="0" ref="V45">
      <text>
        <t xml:space="preserve">724,25 del carro
204,09 son sobrantes del mes que van a la power</t>
      </text>
    </comment>
  </commentList>
</comments>
</file>

<file path=xl/comments4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5">
      <text>
        <t xml:space="preserve">-Bonos
-Grati
-Utilidades</t>
      </text>
    </comment>
    <comment authorId="0" ref="D15">
      <text>
        <t xml:space="preserve">-Gratis</t>
      </text>
    </comment>
    <comment authorId="0" ref="E15">
      <text>
        <t xml:space="preserve">-bono Flor</t>
      </text>
    </comment>
    <comment authorId="0" ref="F15">
      <text>
        <t xml:space="preserve">-bono Flor</t>
      </text>
    </comment>
    <comment authorId="0" ref="M45">
      <text>
        <t xml:space="preserve">724,25 del carro
285,75 son sobrantes del mes que van a la power</t>
      </text>
    </comment>
  </commentList>
</comments>
</file>

<file path=xl/comments4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5">
      <text>
        <t xml:space="preserve">-Bonos
-Grati
-Utilidades</t>
      </text>
    </comment>
    <comment authorId="0" ref="D15">
      <text>
        <t xml:space="preserve">-Gratis</t>
      </text>
    </comment>
    <comment authorId="0" ref="E15">
      <text>
        <t xml:space="preserve">-bono Flor</t>
      </text>
    </comment>
    <comment authorId="0" ref="F15">
      <text>
        <t xml:space="preserve">-bono Flor</t>
      </text>
    </comment>
    <comment authorId="0" ref="G15">
      <text>
        <t xml:space="preserve">-bono Flor</t>
      </text>
    </comment>
    <comment authorId="0" ref="N45">
      <text>
        <t xml:space="preserve">724,25 del carro
771,46 son sobrantes del mes que van a la power</t>
      </text>
    </comment>
  </commentList>
</comments>
</file>

<file path=xl/comments4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5">
      <text>
        <t xml:space="preserve">-Bonos
-Grati
-Utilidades</t>
      </text>
    </comment>
    <comment authorId="0" ref="D15">
      <text>
        <t xml:space="preserve">-Gratis</t>
      </text>
    </comment>
    <comment authorId="0" ref="E15">
      <text>
        <t xml:space="preserve">-bono Flor</t>
      </text>
    </comment>
    <comment authorId="0" ref="F15">
      <text>
        <t xml:space="preserve">-bono Flor</t>
      </text>
    </comment>
    <comment authorId="0" ref="G15">
      <text>
        <t xml:space="preserve">-utilidades Flor</t>
      </text>
    </comment>
    <comment authorId="0" ref="H15">
      <text>
        <t xml:space="preserve">Bono Julio</t>
      </text>
    </comment>
    <comment authorId="0" ref="L48">
      <text>
        <t xml:space="preserve">esto debo pasar la celda L47 + el bono (celda H15)</t>
      </text>
    </comment>
  </commentList>
</comments>
</file>

<file path=xl/comments4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05">
      <text>
        <t xml:space="preserve">- notaría: 427
- 178,81: gasolina
- 96; bath and body
- 16,4: taxi a notaría
</t>
      </text>
    </comment>
    <comment authorId="0" ref="D111">
      <text>
        <t xml:space="preserve">-150: patillas precio
- 106: almuerzo casa Flor
- 4,50: aguas
- 8,50: llaves</t>
      </text>
    </comment>
    <comment authorId="0" ref="H120">
      <text>
        <t xml:space="preserve">-1.5k boda sys
-1.5k traje julio
-1324 traje flor
-589 navidad
-200 manejo flor
- 690 casa andina
-espejo
-terapia</t>
      </text>
    </comment>
    <comment authorId="0" ref="H122">
      <text>
        <t xml:space="preserve">-1.5k boda sys
-1.5k traje julio
-1324 traje flor
-589 navidad
-200 manejo flor
- 690 casa andina
-espejo
-terapia</t>
      </text>
    </comment>
    <comment authorId="0" ref="H128">
      <text>
        <t xml:space="preserve">se devolverá 524,50 a fin de diciembre</t>
      </text>
    </comment>
    <comment authorId="0" ref="H137">
      <text>
        <t xml:space="preserve">-focos
-cafetera</t>
      </text>
    </comment>
    <comment authorId="0" ref="J151">
      <text>
        <t xml:space="preserve">2000 c/u
4.80 comisión BCP
0.45 comisión a débitos Scotiabank</t>
      </text>
    </comment>
    <comment authorId="0" ref="H173">
      <text>
        <t xml:space="preserve">- camisa 199
- corbata
- bividí</t>
      </text>
    </comment>
    <comment authorId="0" ref="H174">
      <text>
        <t xml:space="preserve">-vestido 270
-aretes 68
-maquillaje 279</t>
      </text>
    </comment>
    <comment authorId="0" ref="C195">
      <text>
        <t xml:space="preserve">Soat 50
Revisión 100
otros/taxis 43,34</t>
      </text>
    </comment>
    <comment authorId="0" ref="K223">
      <text>
        <t xml:space="preserve">se pago 968,80 soles a Julio por los 272,38 dolares que le sobraron de Latam</t>
      </text>
    </comment>
    <comment authorId="0" ref="D237">
      <text>
        <t xml:space="preserve">509,37 a flor
214,88 del carro </t>
      </text>
    </comment>
    <comment authorId="0" ref="D265">
      <text>
        <t xml:space="preserve">- pago aceite y filtro
- pago papa</t>
      </text>
    </comment>
    <comment authorId="0" ref="L268">
      <text>
        <t xml:space="preserve">-480 extracción diente
- 45 curación diente
- 60 curación dos dientes </t>
      </text>
    </comment>
    <comment authorId="0" ref="J315">
      <text>
        <t xml:space="preserve">Descuento de centavos perdidos</t>
      </text>
    </comment>
    <comment authorId="0" ref="H319">
      <text>
        <t xml:space="preserve">-1161,01 airbnb cusco
-542 gastos Cusco
</t>
      </text>
    </comment>
    <comment authorId="0" ref="D328">
      <text>
        <t xml:space="preserve">- se devuelve a Flor 417,53 soles
- el resto se tomó de la power</t>
      </text>
    </comment>
    <comment authorId="0" ref="N337">
      <text>
        <t xml:space="preserve">Julio: 1834
Flor: 1272</t>
      </text>
    </comment>
    <comment authorId="0" ref="J404">
      <text>
        <t xml:space="preserve">-pagar carro 10k
-planchado carro 2k
-revisión carro 1k
-casa 1k
-llantas 1k</t>
      </text>
    </comment>
  </commentList>
</comments>
</file>

<file path=xl/sharedStrings.xml><?xml version="1.0" encoding="utf-8"?>
<sst xmlns="http://schemas.openxmlformats.org/spreadsheetml/2006/main" count="6013" uniqueCount="754">
  <si>
    <t>POWER</t>
  </si>
  <si>
    <t>garantia</t>
  </si>
  <si>
    <t>AHORROS EMERGENCIA</t>
  </si>
  <si>
    <t>Emergencia</t>
  </si>
  <si>
    <t>adelanto</t>
  </si>
  <si>
    <t>AHORRO MENSUAL</t>
  </si>
  <si>
    <t>febrero</t>
  </si>
  <si>
    <t>mes vivido</t>
  </si>
  <si>
    <t>fecha de pago</t>
  </si>
  <si>
    <t>AHORRO MENSUAL abril</t>
  </si>
  <si>
    <t>extra</t>
  </si>
  <si>
    <t>ingreso   15/01/2024</t>
  </si>
  <si>
    <t>se pagó al final del contrato los 15 días - enero 2024</t>
  </si>
  <si>
    <t>retiro (-) emergencia mayo</t>
  </si>
  <si>
    <t>sobrante presupuesto de marzo</t>
  </si>
  <si>
    <t>pago adelantado a firmar contrato</t>
  </si>
  <si>
    <t>AHORRO MENSUAL mayo</t>
  </si>
  <si>
    <t>Sobrante préstamo</t>
  </si>
  <si>
    <t>marzo</t>
  </si>
  <si>
    <t>retiro (-) emergencia gastos julio y flor</t>
  </si>
  <si>
    <t>gastos extras</t>
  </si>
  <si>
    <t>abril</t>
  </si>
  <si>
    <t>TOTAL</t>
  </si>
  <si>
    <t xml:space="preserve">extras dolares </t>
  </si>
  <si>
    <t>mayo</t>
  </si>
  <si>
    <t>junio</t>
  </si>
  <si>
    <t>Total</t>
  </si>
  <si>
    <t>julio</t>
  </si>
  <si>
    <t>Actualizacion 02 julio</t>
  </si>
  <si>
    <t>agosto</t>
  </si>
  <si>
    <t>septiembre</t>
  </si>
  <si>
    <t>ahorro carro</t>
  </si>
  <si>
    <t>octubre</t>
  </si>
  <si>
    <t>emergencia</t>
  </si>
  <si>
    <t>noviembre</t>
  </si>
  <si>
    <t>conducir</t>
  </si>
  <si>
    <t>diciembre</t>
  </si>
  <si>
    <t>Edredon</t>
  </si>
  <si>
    <t>enero</t>
  </si>
  <si>
    <t>2-1-24  (Se pagó mes más 1250 correspondientes a los 15 días de enero 2023)</t>
  </si>
  <si>
    <t>Actualización fin de Julio</t>
  </si>
  <si>
    <t>Nuestras cuentas</t>
  </si>
  <si>
    <t>ahorro carro acumulado mas mes de Julio</t>
  </si>
  <si>
    <t>Free Casita</t>
  </si>
  <si>
    <t>comida + limpiezaCuidadoPerso + salud</t>
  </si>
  <si>
    <t>Power</t>
  </si>
  <si>
    <t>ahorros (auto+casa)</t>
  </si>
  <si>
    <t>Actulizacion fin de agosto</t>
  </si>
  <si>
    <t>FlorJulio</t>
  </si>
  <si>
    <t>Lo que sobra cada mes</t>
  </si>
  <si>
    <t>ingreso de agosto</t>
  </si>
  <si>
    <t>Free Julio</t>
  </si>
  <si>
    <t>Free Salidas</t>
  </si>
  <si>
    <t>SalidasComida</t>
  </si>
  <si>
    <t>Actualizado al 20 de octubre</t>
  </si>
  <si>
    <t>Actualizado al 30 de noviembre</t>
  </si>
  <si>
    <t>Actualizado al 30 de diciembre</t>
  </si>
  <si>
    <t>Power a Febrero 2024</t>
  </si>
  <si>
    <t>Carro</t>
  </si>
  <si>
    <t>utilidades+bonos</t>
  </si>
  <si>
    <t>Casa</t>
  </si>
  <si>
    <t>Utilidades a feb 2024</t>
  </si>
  <si>
    <t>escritorio</t>
  </si>
  <si>
    <t>https://www.falabella.com.pe/falabella-pe/product/120437037/Escritorio-de-Oficina-NT-2060-MDP-Blanco/120437038</t>
  </si>
  <si>
    <t>Intereses ganado</t>
  </si>
  <si>
    <t>bono julio</t>
  </si>
  <si>
    <t>tachos de basura</t>
  </si>
  <si>
    <t>https://www.promart.pe/papelera-rectangular-negra-5-l-69029/p</t>
  </si>
  <si>
    <t>https://www.promart.pe/tacho-pedal-con-tapa-de-caida-lenta-12-litros/p</t>
  </si>
  <si>
    <t>rack 65'</t>
  </si>
  <si>
    <t>ir a comprarlo a la tienda</t>
  </si>
  <si>
    <t xml:space="preserve">sobrante FloryJulio febrero </t>
  </si>
  <si>
    <t>utilizamos</t>
  </si>
  <si>
    <t>juego comedor</t>
  </si>
  <si>
    <t>Casa fin febrero</t>
  </si>
  <si>
    <t>garantia 1</t>
  </si>
  <si>
    <t>muebles</t>
  </si>
  <si>
    <t>https://www.falabella.com.pe/falabella-pe/product/126652298/LEONOR-3-CUERPOS-COLOR-BEIGE/126652299</t>
  </si>
  <si>
    <t>https://www.falabella.com.pe/falabella-pe/product/882728000/Sofa-Alexandra-3-Cuerpos/882728000</t>
  </si>
  <si>
    <t>total al 29-02</t>
  </si>
  <si>
    <t>garantia 2 + adelanto</t>
  </si>
  <si>
    <t>veladores</t>
  </si>
  <si>
    <t>https://www.falabella.com.pe/falabella-pe/product/126774918/Velador-Vintage-Suiza-Premium-Ventitas-Home-Roble-Negro/126774919</t>
  </si>
  <si>
    <t>https://www.falabella.com.pe/falabella-pe/product/121195728/Velador-Vintage-Premium-2-Cajones-Ventitas-Home-Color-Negro/121195729</t>
  </si>
  <si>
    <t>Interes ganado febrero</t>
  </si>
  <si>
    <t>pago firmas notaría</t>
  </si>
  <si>
    <t>mesa de centro</t>
  </si>
  <si>
    <t>https://www.falabella.com.pe/falabella-pe/product/12417386/Mesa-de-Centro-Zefra/12417386</t>
  </si>
  <si>
    <t>arbitrios</t>
  </si>
  <si>
    <t>microondas</t>
  </si>
  <si>
    <t>porta cubiertos</t>
  </si>
  <si>
    <t>https://www.casaideas.com.pe/organizador-cub-extendible-3213709000036/p?skuId=1273</t>
  </si>
  <si>
    <t xml:space="preserve">(+)devolucion garantia </t>
  </si>
  <si>
    <t>tocador</t>
  </si>
  <si>
    <t>https://www.falabella.com.pe/falabella-pe/product/126705796/Escritorio-Esquinero-Vintage-Luna-Ventitas-Home-Blanco/126705797</t>
  </si>
  <si>
    <t>alquiler miguel grau marzo</t>
  </si>
  <si>
    <t>colgador de toallas + ganchos ropa</t>
  </si>
  <si>
    <t>https://sodimac.falabella.com.pe/sodimac-pe/product/113092633/Set-3-Piezas-Chicago-Negro-Mate/113092651</t>
  </si>
  <si>
    <t>https://sodimac.falabella.com.pe/sodimac-pe/product/113085545/Toallero-Argo-Chicago-Negro-Mate/113085547</t>
  </si>
  <si>
    <t>Escurridor</t>
  </si>
  <si>
    <t>espejo de pasadizo</t>
  </si>
  <si>
    <t>mesa para flores</t>
  </si>
  <si>
    <t>mueble oficina</t>
  </si>
  <si>
    <t>condimenteros</t>
  </si>
  <si>
    <t>https://www.casaideas.com.pe/condimenteros?_q=condimenteros&amp;map=ft&amp;page=1</t>
  </si>
  <si>
    <t>escrimidor de naranjas</t>
  </si>
  <si>
    <t>cuadros para las fotos</t>
  </si>
  <si>
    <t>imprimir fotos</t>
  </si>
  <si>
    <t>cinta de boble contacto</t>
  </si>
  <si>
    <t>caja de herramientas</t>
  </si>
  <si>
    <t>https://www.promart.pe/combo-caja-de-herramientas-18--y-12--15700/p</t>
  </si>
  <si>
    <t xml:space="preserve">falta silla sala </t>
  </si>
  <si>
    <t>transportes mudanza</t>
  </si>
  <si>
    <t>comida mudanza</t>
  </si>
  <si>
    <t>alcohpl+txi+casaideas</t>
  </si>
  <si>
    <t>terma</t>
  </si>
  <si>
    <t>Sueldo Bruto</t>
  </si>
  <si>
    <t>OBJETIVO</t>
  </si>
  <si>
    <t>Pagar Punta Cana/Carro/Depa/Viajes/Visa</t>
  </si>
  <si>
    <t>Julio</t>
  </si>
  <si>
    <t>Flor</t>
  </si>
  <si>
    <t>Presupuesto Proyectado Personal 2023</t>
  </si>
  <si>
    <t>CASH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</si>
  <si>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</si>
  <si>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</si>
  <si>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</si>
  <si>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</si>
  <si>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</si>
  <si>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</si>
  <si>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</si>
  <si>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</si>
  <si>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</si>
  <si>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</si>
  <si>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</si>
  <si>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</si>
  <si>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TOTAL ANUAL</t>
  </si>
  <si>
    <t>FLOR</t>
  </si>
  <si>
    <t>Freelo</t>
  </si>
  <si>
    <t>Otros Ingresos</t>
  </si>
  <si>
    <t>Total Ingresos</t>
  </si>
  <si>
    <t>COST</t>
  </si>
  <si>
    <t>Mantenimiento</t>
  </si>
  <si>
    <t>Energia Electrica</t>
  </si>
  <si>
    <t>Telefono en casa e internet</t>
  </si>
  <si>
    <t>Telefono celular</t>
  </si>
  <si>
    <t>Alquiler de casa</t>
  </si>
  <si>
    <t>Transporte personal</t>
  </si>
  <si>
    <t>JULIO_FLOR</t>
  </si>
  <si>
    <t>Alimentos de hogar</t>
  </si>
  <si>
    <t>Limpieza_Cuidado Personal</t>
  </si>
  <si>
    <t>Ofrenda</t>
  </si>
  <si>
    <t>Agua+Gas</t>
  </si>
  <si>
    <t>Ropa y Calzado</t>
  </si>
  <si>
    <t>Cuidado Personal:</t>
  </si>
  <si>
    <t>Entretenimiento</t>
  </si>
  <si>
    <t>Educación</t>
  </si>
  <si>
    <t>Regalos y celebraciones</t>
  </si>
  <si>
    <t>Noche Buena - Regalos</t>
  </si>
  <si>
    <t>Viajes</t>
  </si>
  <si>
    <t>Familias</t>
  </si>
  <si>
    <t>Otros (Julio y Flor)</t>
  </si>
  <si>
    <t>Total de Gastos</t>
  </si>
  <si>
    <t>INGRESOS-GASTOS</t>
  </si>
  <si>
    <t>PAGOS DE DEUDA 
 (Cuotas Mensuales)</t>
  </si>
  <si>
    <t>PRESTAMO_BCP_JULIO</t>
  </si>
  <si>
    <t>PRESTAMO_SCOTI_FLOR</t>
  </si>
  <si>
    <t>TC_PuntaCana_8.2K X 48</t>
  </si>
  <si>
    <t>TOTAL PAGOS DEUDAS</t>
  </si>
  <si>
    <t>SALDOS:INGRESO-
 GASTOS-DEUDAS</t>
  </si>
  <si>
    <t>AHORROS</t>
  </si>
  <si>
    <t>Ahorro anterior</t>
  </si>
  <si>
    <t>Sobrante del mes</t>
  </si>
  <si>
    <t>0.00</t>
  </si>
  <si>
    <t>Saldo Final del Mes</t>
  </si>
  <si>
    <t>Pagar Punta Cana/Carro/Depa/Viajes</t>
  </si>
  <si>
    <t>Sueldo Bruto ene 2023</t>
  </si>
  <si>
    <t>Sueldo bruto feb 2024</t>
  </si>
  <si>
    <t>Viaje Europa-Carro-Ahorro casa-Estudios</t>
  </si>
  <si>
    <t>Presupuesto Proyectado Personal 2024</t>
  </si>
  <si>
    <t>update para alquiler</t>
  </si>
  <si>
    <t>Combustible</t>
  </si>
  <si>
    <t>Salud</t>
  </si>
  <si>
    <t>Limpieza Casa (servicio)</t>
  </si>
  <si>
    <t>Gastos comida/salidas</t>
  </si>
  <si>
    <t>Ahorro casa</t>
  </si>
  <si>
    <t>Viaje Europa</t>
  </si>
  <si>
    <t>Sueldo Bruto 2024</t>
  </si>
  <si>
    <t>Sueldo bruto feb 2025</t>
  </si>
  <si>
    <t>Viaje Brasil-EEUU / Pagar 50% Carro / Ahorro casa / Estudios</t>
  </si>
  <si>
    <t>Presupuesto Proyectado Personal 2025</t>
  </si>
  <si>
    <t>celulares</t>
  </si>
  <si>
    <t>movilidad febrero</t>
  </si>
  <si>
    <t>ofrenda</t>
  </si>
  <si>
    <t>propina mes</t>
  </si>
  <si>
    <t>entretenimiento</t>
  </si>
  <si>
    <t>mochila papá</t>
  </si>
  <si>
    <t>alimentos Makro</t>
  </si>
  <si>
    <t>deuda bcp julio</t>
  </si>
  <si>
    <t>sumas</t>
  </si>
  <si>
    <t>resta flor</t>
  </si>
  <si>
    <t>super cuenta</t>
  </si>
  <si>
    <t>anillo</t>
  </si>
  <si>
    <t>4 partes</t>
  </si>
  <si>
    <t>Anillo</t>
  </si>
  <si>
    <t>GASTOS LUNA DE MIEL</t>
  </si>
  <si>
    <t>taxi a jorge chavez</t>
  </si>
  <si>
    <t>J soles</t>
  </si>
  <si>
    <t>taxi RD</t>
  </si>
  <si>
    <t>J tc credito dolares</t>
  </si>
  <si>
    <t>almuerzo en el cielo</t>
  </si>
  <si>
    <t>almuerzo carlos vives</t>
  </si>
  <si>
    <t>regalo carlos</t>
  </si>
  <si>
    <t>F tc credito dolares</t>
  </si>
  <si>
    <t>medicina flor</t>
  </si>
  <si>
    <t>obleas</t>
  </si>
  <si>
    <t>taxi a barranco</t>
  </si>
  <si>
    <t>almuerzo cielo Flor</t>
  </si>
  <si>
    <t>TOTAL GASTOS LUNA DE MIEL</t>
  </si>
  <si>
    <t>resta de enero - al 10-02-2023</t>
  </si>
  <si>
    <t>resta de enero al 12-02.2023</t>
  </si>
  <si>
    <t>Pichincha</t>
  </si>
  <si>
    <t>Super Cuenta SB</t>
  </si>
  <si>
    <t>super cuenta SB</t>
  </si>
  <si>
    <t>Power SB</t>
  </si>
  <si>
    <t>power SB</t>
  </si>
  <si>
    <t>total efectivo en bancos</t>
  </si>
  <si>
    <t>Alimentos</t>
  </si>
  <si>
    <t>GASTOS COMPRA CASA</t>
  </si>
  <si>
    <t>Limpieza</t>
  </si>
  <si>
    <t>Saga</t>
  </si>
  <si>
    <t>Ripley</t>
  </si>
  <si>
    <t>Luz</t>
  </si>
  <si>
    <t>Crate Barrel</t>
  </si>
  <si>
    <t>Regalo de Carlos</t>
  </si>
  <si>
    <t>Almuerzo</t>
  </si>
  <si>
    <t>Total por gastar en febrero</t>
  </si>
  <si>
    <t>Pasajes</t>
  </si>
  <si>
    <t>Restando Power SB - Total por gastar</t>
  </si>
  <si>
    <t>total</t>
  </si>
  <si>
    <t xml:space="preserve">A ENTREGAR </t>
  </si>
  <si>
    <t>apple flor</t>
  </si>
  <si>
    <t>netflix</t>
  </si>
  <si>
    <t>apple julio</t>
  </si>
  <si>
    <t>Super 13/03/23</t>
  </si>
  <si>
    <t>Power 13/03/24 part 2</t>
  </si>
  <si>
    <t>youtuve</t>
  </si>
  <si>
    <t>ahorro</t>
  </si>
  <si>
    <t>platano + choclo</t>
  </si>
  <si>
    <t>ahorro extra 13/03/23</t>
  </si>
  <si>
    <t>*</t>
  </si>
  <si>
    <t>dure</t>
  </si>
  <si>
    <t>metro</t>
  </si>
  <si>
    <t>pan</t>
  </si>
  <si>
    <t>diezmo</t>
  </si>
  <si>
    <t>extralinea</t>
  </si>
  <si>
    <t>julio tc ropa</t>
  </si>
  <si>
    <t>power 19:09 20/03/23</t>
  </si>
  <si>
    <t>mantequilla</t>
  </si>
  <si>
    <t>taxis</t>
  </si>
  <si>
    <t>almuerzo</t>
  </si>
  <si>
    <t>Power 13/03/23</t>
  </si>
  <si>
    <t>miniso</t>
  </si>
  <si>
    <t>Power 13/03/23 part 2</t>
  </si>
  <si>
    <t>wong flores</t>
  </si>
  <si>
    <t>Power 20/03/23 20:09</t>
  </si>
  <si>
    <t>aruma</t>
  </si>
  <si>
    <t>Power 20/03/23 20:13</t>
  </si>
  <si>
    <t>100 Tobi</t>
  </si>
  <si>
    <t>mantenimiento bcp</t>
  </si>
  <si>
    <t>Julio devolver</t>
  </si>
  <si>
    <t>Flor devolver</t>
  </si>
  <si>
    <t>falta costear marzo con dineor de febrero:</t>
  </si>
  <si>
    <t>Gastos varios</t>
  </si>
  <si>
    <t>gastos ropa:</t>
  </si>
  <si>
    <t>flor</t>
  </si>
  <si>
    <t>comida:</t>
  </si>
  <si>
    <t>batidora:</t>
  </si>
  <si>
    <t>total:</t>
  </si>
  <si>
    <t>Propuestas a conciderar:</t>
  </si>
  <si>
    <t>1. Ventilador de techo halux</t>
  </si>
  <si>
    <t>TC_Apple</t>
  </si>
  <si>
    <t>2. televisor 65 samsung</t>
  </si>
  <si>
    <t>3.Exprimidor bosh</t>
  </si>
  <si>
    <t>4.Sabanas</t>
  </si>
  <si>
    <t xml:space="preserve">5. Extractor </t>
  </si>
  <si>
    <t>youtube</t>
  </si>
  <si>
    <t>ahorro emergencias</t>
  </si>
  <si>
    <t>alimentos hogar</t>
  </si>
  <si>
    <t>makro</t>
  </si>
  <si>
    <t>compras</t>
  </si>
  <si>
    <t>wong</t>
  </si>
  <si>
    <t>taxi</t>
  </si>
  <si>
    <t xml:space="preserve">cepellitos </t>
  </si>
  <si>
    <t>comida + cuidado personal</t>
  </si>
  <si>
    <t>compras cosas casa</t>
  </si>
  <si>
    <t>Ahorros</t>
  </si>
  <si>
    <t>Entretenimiento*</t>
  </si>
  <si>
    <t>Nueva Super</t>
  </si>
  <si>
    <t>flor bef</t>
  </si>
  <si>
    <t>145.38</t>
  </si>
  <si>
    <t>Abril</t>
  </si>
  <si>
    <t>Mayo</t>
  </si>
  <si>
    <t>Loccitane</t>
  </si>
  <si>
    <t>desayuno mama</t>
  </si>
  <si>
    <t>sarcleti</t>
  </si>
  <si>
    <t>karen</t>
  </si>
  <si>
    <t>taxi casa mi mama (yo)</t>
  </si>
  <si>
    <t>degra</t>
  </si>
  <si>
    <t>taxi casa mi mama (visita)</t>
  </si>
  <si>
    <t>taxi cancelado</t>
  </si>
  <si>
    <t>julio taxis</t>
  </si>
  <si>
    <t>chompa</t>
  </si>
  <si>
    <t>belara</t>
  </si>
  <si>
    <t>taxi scoti</t>
  </si>
  <si>
    <t>flor taxis</t>
  </si>
  <si>
    <t>fraddy</t>
  </si>
  <si>
    <t>Prime</t>
  </si>
  <si>
    <t>CTS</t>
  </si>
  <si>
    <t>Se debe a Julio fin de mes</t>
  </si>
  <si>
    <t>Nueva super</t>
  </si>
  <si>
    <t>deudas</t>
  </si>
  <si>
    <t>gratis</t>
  </si>
  <si>
    <t>resta luego deuda</t>
  </si>
  <si>
    <t>(Karen + comida)</t>
  </si>
  <si>
    <t>mantenimiento latam julio</t>
  </si>
  <si>
    <t>resposabilidades de pago</t>
  </si>
  <si>
    <t>mantenimiento</t>
  </si>
  <si>
    <t>luz</t>
  </si>
  <si>
    <t>alquiler</t>
  </si>
  <si>
    <t>internet</t>
  </si>
  <si>
    <t>hasta que ingrese</t>
  </si>
  <si>
    <t>reparticion de pagos</t>
  </si>
  <si>
    <t>super</t>
  </si>
  <si>
    <t>power</t>
  </si>
  <si>
    <t>Otros</t>
  </si>
  <si>
    <t>prestamo punta cana</t>
  </si>
  <si>
    <t>credito apple</t>
  </si>
  <si>
    <t>deuda cts</t>
  </si>
  <si>
    <t>emergencia gastos flor y julio</t>
  </si>
  <si>
    <t>casa piura</t>
  </si>
  <si>
    <t>punta cana</t>
  </si>
  <si>
    <t>mueble</t>
  </si>
  <si>
    <t>pulseras</t>
  </si>
  <si>
    <t>TOM</t>
  </si>
  <si>
    <t>tarjeta scoti</t>
  </si>
  <si>
    <t>bcp</t>
  </si>
  <si>
    <t>l</t>
  </si>
  <si>
    <t>mantenimiento 20-07</t>
  </si>
  <si>
    <t>luz 20-07</t>
  </si>
  <si>
    <t>internet 20-07</t>
  </si>
  <si>
    <t>192.20</t>
  </si>
  <si>
    <t>casita</t>
  </si>
  <si>
    <t>casita paga</t>
  </si>
  <si>
    <t>"ya se paso el dinero"</t>
  </si>
  <si>
    <t>SEPTIEMBRE</t>
  </si>
  <si>
    <t>gastos agosto</t>
  </si>
  <si>
    <t>172.10</t>
  </si>
  <si>
    <t>Agua+gas</t>
  </si>
  <si>
    <t>ofre</t>
  </si>
  <si>
    <t>agenda</t>
  </si>
  <si>
    <t>inter</t>
  </si>
  <si>
    <t>antes de pagar</t>
  </si>
  <si>
    <t>pagando en octubre</t>
  </si>
  <si>
    <t>freelo</t>
  </si>
  <si>
    <t>CTS nov</t>
  </si>
  <si>
    <t>debo pasar a scotiabank j</t>
  </si>
  <si>
    <t>*volver siempre a la proyeccion</t>
  </si>
  <si>
    <t>Emergencia J</t>
  </si>
  <si>
    <t>Salidas J</t>
  </si>
  <si>
    <t>Interbank J</t>
  </si>
  <si>
    <t xml:space="preserve"> Lo que sobro este mes</t>
  </si>
  <si>
    <t>Julio debe pasar</t>
  </si>
  <si>
    <t>631.58</t>
  </si>
  <si>
    <t>bono</t>
  </si>
  <si>
    <t>prestamo k</t>
  </si>
  <si>
    <t>pagado</t>
  </si>
  <si>
    <t>se paso 1000 a emergencia</t>
  </si>
  <si>
    <t>Amazon</t>
  </si>
  <si>
    <t>HBO max</t>
  </si>
  <si>
    <t>Sobrante</t>
  </si>
  <si>
    <t>CarroJ</t>
  </si>
  <si>
    <t>Ahorro</t>
  </si>
  <si>
    <t>Cuota Carro / Sobrante</t>
  </si>
  <si>
    <t>NavidadJ</t>
  </si>
  <si>
    <t>65.82</t>
  </si>
  <si>
    <t>Baby JF</t>
  </si>
  <si>
    <t>GasoJ</t>
  </si>
  <si>
    <t>ajuste dolares</t>
  </si>
  <si>
    <t>ajuste soles</t>
  </si>
  <si>
    <t>Julio y Flor deben pasar</t>
  </si>
  <si>
    <t>LimpRegal J</t>
  </si>
  <si>
    <t>ahorro compras grandes/otros</t>
  </si>
  <si>
    <t>Gastos comida/salidas/compras</t>
  </si>
  <si>
    <t>Baby</t>
  </si>
  <si>
    <t xml:space="preserve">Tenemos de sobra al ordenar cuentas </t>
  </si>
  <si>
    <t>Seguro Carro</t>
  </si>
  <si>
    <t>Enero</t>
  </si>
  <si>
    <t>iCloud</t>
  </si>
  <si>
    <t>AÑO</t>
  </si>
  <si>
    <t>Fecha/mes</t>
  </si>
  <si>
    <t>Detalle</t>
  </si>
  <si>
    <t>Ahorro Casa</t>
  </si>
  <si>
    <t>Ahorro extra</t>
  </si>
  <si>
    <t>Sueldo</t>
  </si>
  <si>
    <t>Interes ganados</t>
  </si>
  <si>
    <t>Gratificaciones</t>
  </si>
  <si>
    <t>AFP</t>
  </si>
  <si>
    <t>JF baby</t>
  </si>
  <si>
    <t>Bonos / Utilidades</t>
  </si>
  <si>
    <t>Sobrante mes pasado</t>
  </si>
  <si>
    <t>Extra</t>
  </si>
  <si>
    <t>Gastos</t>
  </si>
  <si>
    <t>Fin 2023</t>
  </si>
  <si>
    <t>Febrero</t>
  </si>
  <si>
    <t>Febero</t>
  </si>
  <si>
    <t>Sueldo Flor</t>
  </si>
  <si>
    <t>Sobrante prestamo</t>
  </si>
  <si>
    <t>FloryJulio</t>
  </si>
  <si>
    <t>BonoJulio</t>
  </si>
  <si>
    <t>Marzo</t>
  </si>
  <si>
    <t>Utifloryjulio</t>
  </si>
  <si>
    <t>Usado en restante garantia</t>
  </si>
  <si>
    <t>pago arbitrios</t>
  </si>
  <si>
    <t>se paso a la powe el extra</t>
  </si>
  <si>
    <t>total compras hasta 24 marzo</t>
  </si>
  <si>
    <t>separacion depa</t>
  </si>
  <si>
    <t>comedor y muebles</t>
  </si>
  <si>
    <t>Junio</t>
  </si>
  <si>
    <t>Gastos mudanza</t>
  </si>
  <si>
    <t>Alquiler no pagado</t>
  </si>
  <si>
    <t>tocacor</t>
  </si>
  <si>
    <t>Devolución garatia miguel grau</t>
  </si>
  <si>
    <t>Interbank Julio</t>
  </si>
  <si>
    <t>Regalos Navidad</t>
  </si>
  <si>
    <t>Limpieza casa</t>
  </si>
  <si>
    <t>instalacion terma</t>
  </si>
  <si>
    <t>Diciembre</t>
  </si>
  <si>
    <t>pasajes mueblería</t>
  </si>
  <si>
    <t>copia llave</t>
  </si>
  <si>
    <t>didi mueblería</t>
  </si>
  <si>
    <t>sodimac</t>
  </si>
  <si>
    <t xml:space="preserve">Quincena sueldo </t>
  </si>
  <si>
    <t>Cuota extraordinaria</t>
  </si>
  <si>
    <t>Mueble + comedor</t>
  </si>
  <si>
    <t>Movilidad mueblecome</t>
  </si>
  <si>
    <t>Puff</t>
  </si>
  <si>
    <t xml:space="preserve">Compras casa </t>
  </si>
  <si>
    <t>Sunat</t>
  </si>
  <si>
    <t xml:space="preserve">Juegos de mesa </t>
  </si>
  <si>
    <t>Lo de sunat paso a floryjulio</t>
  </si>
  <si>
    <t>Tendedero</t>
  </si>
  <si>
    <t>Zara</t>
  </si>
  <si>
    <t>Fotos</t>
  </si>
  <si>
    <t>lavanderia</t>
  </si>
  <si>
    <t>Casita Flor</t>
  </si>
  <si>
    <t>pantalones</t>
  </si>
  <si>
    <t>Casita Julio</t>
  </si>
  <si>
    <t>cross</t>
  </si>
  <si>
    <t>sabana</t>
  </si>
  <si>
    <t>compras centro</t>
  </si>
  <si>
    <t>gastos mayo</t>
  </si>
  <si>
    <t>deuda europa</t>
  </si>
  <si>
    <t>vijaes (junioagosto)</t>
  </si>
  <si>
    <t>Sobro de CTS</t>
  </si>
  <si>
    <t>nos lo merecemos</t>
  </si>
  <si>
    <t>ropa julio + crocsx2</t>
  </si>
  <si>
    <t xml:space="preserve">Extra luz + internet </t>
  </si>
  <si>
    <t>Ropa flor</t>
  </si>
  <si>
    <t>Fotos-wolpic</t>
  </si>
  <si>
    <t>Cumple Julio</t>
  </si>
  <si>
    <t>Gratificación Julio</t>
  </si>
  <si>
    <t>Grati a Julio</t>
  </si>
  <si>
    <t>Grati a Flor</t>
  </si>
  <si>
    <t>Pasaje a trujillo regreso</t>
  </si>
  <si>
    <t>devo wolpi</t>
  </si>
  <si>
    <t>Regalo JyF grati</t>
  </si>
  <si>
    <t>Almuerzo 28/7</t>
  </si>
  <si>
    <t>Sueldo Flower 15na</t>
  </si>
  <si>
    <t>floryjulio</t>
  </si>
  <si>
    <t>AFP Flor 1ra parte</t>
  </si>
  <si>
    <t>Mouse Julio</t>
  </si>
  <si>
    <t xml:space="preserve">Pago deuda toatal Europa </t>
  </si>
  <si>
    <t>Examen medico manejo</t>
  </si>
  <si>
    <t>Excedente almuerzo</t>
  </si>
  <si>
    <t>Pasaje ida limaTrux</t>
  </si>
  <si>
    <t>AFP Julio 1ra parte</t>
  </si>
  <si>
    <t>Agosto</t>
  </si>
  <si>
    <t xml:space="preserve">Devolución préstamos </t>
  </si>
  <si>
    <t>AFP Flor 2da parte</t>
  </si>
  <si>
    <t>Hospedaje vijae</t>
  </si>
  <si>
    <t>Pago examen teorico</t>
  </si>
  <si>
    <t>Viaje gastos</t>
  </si>
  <si>
    <t>Gastos Extras</t>
  </si>
  <si>
    <t>mueble sal</t>
  </si>
  <si>
    <t>AFP Julio 2ra parte</t>
  </si>
  <si>
    <t>Gastos Marbal</t>
  </si>
  <si>
    <t>Gastos FyJ</t>
  </si>
  <si>
    <t>AFP Flor 3ra parte</t>
  </si>
  <si>
    <t>Setiembre</t>
  </si>
  <si>
    <t>Sobrante de agosto</t>
  </si>
  <si>
    <t>Gastos Manejo</t>
  </si>
  <si>
    <t>AFP Julio 3ra parte</t>
  </si>
  <si>
    <t>Prestamo</t>
  </si>
  <si>
    <t>Compra de carro</t>
  </si>
  <si>
    <t>Gastos carro</t>
  </si>
  <si>
    <t>Oxigenando FyJ - AmáCharo</t>
  </si>
  <si>
    <t>Octubre</t>
  </si>
  <si>
    <t>AFP última parte</t>
  </si>
  <si>
    <t>lunas</t>
  </si>
  <si>
    <t>gastos pastillas carro</t>
  </si>
  <si>
    <t>Seguro carro</t>
  </si>
  <si>
    <t>B2</t>
  </si>
  <si>
    <t>Cuota carro</t>
  </si>
  <si>
    <t>pago FYJ</t>
  </si>
  <si>
    <t>Noviembre</t>
  </si>
  <si>
    <t>Cuota</t>
  </si>
  <si>
    <t>CTS Flor</t>
  </si>
  <si>
    <t>CTS Julio</t>
  </si>
  <si>
    <t>show burbujas Rafa + Promo Ale</t>
  </si>
  <si>
    <t>Navidad</t>
  </si>
  <si>
    <t>Resonancia</t>
  </si>
  <si>
    <t>traje flor</t>
  </si>
  <si>
    <t>Préstamo regalo Rafa (pagado)</t>
  </si>
  <si>
    <t>Gym</t>
  </si>
  <si>
    <t>CasaAndina</t>
  </si>
  <si>
    <t>Regalo S&amp;S</t>
  </si>
  <si>
    <t>Manejo</t>
  </si>
  <si>
    <t>seguro carro</t>
  </si>
  <si>
    <t>menu</t>
  </si>
  <si>
    <t>Extra Noviembre</t>
  </si>
  <si>
    <t>B2 Flor</t>
  </si>
  <si>
    <t>Sodimac</t>
  </si>
  <si>
    <t>Air fryer</t>
  </si>
  <si>
    <t>pago cuota</t>
  </si>
  <si>
    <t>Espejo</t>
  </si>
  <si>
    <t>Camino mesa</t>
  </si>
  <si>
    <t xml:space="preserve">GratiFlor </t>
  </si>
  <si>
    <t>Casa Andina igv</t>
  </si>
  <si>
    <t>Grati señora Sussy</t>
  </si>
  <si>
    <t>pagalope prueba de manejo Flor</t>
  </si>
  <si>
    <t>GratiJulio</t>
  </si>
  <si>
    <t>RegaloaFloryJulio</t>
  </si>
  <si>
    <t>Oxigeno FyJ</t>
  </si>
  <si>
    <t>ViajeaPiura (millasLatam)</t>
  </si>
  <si>
    <t>Bono Flor</t>
  </si>
  <si>
    <t>Viaje a Brasil + hospesaje</t>
  </si>
  <si>
    <t>devolución gym Julio</t>
  </si>
  <si>
    <t>polos Julio</t>
  </si>
  <si>
    <t>CTS: 1767,57 capital car</t>
  </si>
  <si>
    <t>Grati: 3232,43 capital car</t>
  </si>
  <si>
    <t>pago viajes - Jvlio</t>
  </si>
  <si>
    <t>pago viajes - Flor</t>
  </si>
  <si>
    <t>manejo + licencia</t>
  </si>
  <si>
    <t>lentes</t>
  </si>
  <si>
    <t>auxilio ama charo FyJ</t>
  </si>
  <si>
    <t xml:space="preserve">Ropa matri Julio </t>
  </si>
  <si>
    <t>Vestido maquillaje Flor</t>
  </si>
  <si>
    <t>Cuota febrero</t>
  </si>
  <si>
    <t>Pago cuota</t>
  </si>
  <si>
    <t>Brasil</t>
  </si>
  <si>
    <t>viaje Brasil</t>
  </si>
  <si>
    <t>Isadora matrimonio</t>
  </si>
  <si>
    <t>paseo - pago hospedaje</t>
  </si>
  <si>
    <t xml:space="preserve">paseo - pago comida </t>
  </si>
  <si>
    <t>Bono Julio</t>
  </si>
  <si>
    <t>Utilidades Flor</t>
  </si>
  <si>
    <t>Perida maleta (compras julio)</t>
  </si>
  <si>
    <t>cuota carro</t>
  </si>
  <si>
    <t>Amortización Prest. carro</t>
  </si>
  <si>
    <t>Pago arreglo carro</t>
  </si>
  <si>
    <t>Pago Soat y Revisión carro</t>
  </si>
  <si>
    <t>Pasaje Lima - New York</t>
  </si>
  <si>
    <t>ahorro baby</t>
  </si>
  <si>
    <t>pago arbitrios todo 2025 - ene-dic</t>
  </si>
  <si>
    <t>llantas presión</t>
  </si>
  <si>
    <t>compra edredón, sábana, mueble oficina</t>
  </si>
  <si>
    <t>feritest</t>
  </si>
  <si>
    <t>compra sábanas, escurridor, cara de papa</t>
  </si>
  <si>
    <t xml:space="preserve">Casa, baby y emergencia </t>
  </si>
  <si>
    <t>Cuota del carro</t>
  </si>
  <si>
    <t>Intereses ganados a ahorro para casa</t>
  </si>
  <si>
    <t>Gastos Viaje Dólares</t>
  </si>
  <si>
    <t>Cambio de dolares</t>
  </si>
  <si>
    <t>Cts Flor</t>
  </si>
  <si>
    <t>pago viaje</t>
  </si>
  <si>
    <t>prestamo viaje USA</t>
  </si>
  <si>
    <t>sobrante de junio</t>
  </si>
  <si>
    <t>sobrante de julio</t>
  </si>
  <si>
    <t>teclado iPad</t>
  </si>
  <si>
    <t>pago Flor 1ra cuota USA</t>
  </si>
  <si>
    <t>grati Flor - mes julio</t>
  </si>
  <si>
    <t>grati Julio - mes julio</t>
  </si>
  <si>
    <t>lo restante se repartio</t>
  </si>
  <si>
    <t>pago Flor 2da cuota USA</t>
  </si>
  <si>
    <t>Boda Luis y compras saga</t>
  </si>
  <si>
    <t>Monitor Julio</t>
  </si>
  <si>
    <t>Pago del carro doble cuota</t>
  </si>
  <si>
    <t>mora carro por demorones</t>
  </si>
  <si>
    <t>salvavidas a FyJ</t>
  </si>
  <si>
    <t>entradas chiquiwilo</t>
  </si>
  <si>
    <t>Cuota carro julio</t>
  </si>
  <si>
    <t>Sobrante julio</t>
  </si>
  <si>
    <t>resta de lo sobrante</t>
  </si>
  <si>
    <t>venta polo, polera y casaca</t>
  </si>
  <si>
    <t>devolución sunat</t>
  </si>
  <si>
    <t>pago Flor 3ra cuota USA</t>
  </si>
  <si>
    <t>intereses ganados mes anterior</t>
  </si>
  <si>
    <t xml:space="preserve">Pago de Stand venta </t>
  </si>
  <si>
    <t>préstamo pago feria</t>
  </si>
  <si>
    <t>Ferula dental Flor</t>
  </si>
  <si>
    <t>Salva vida agosto</t>
  </si>
  <si>
    <t>Cuota carro setiembre</t>
  </si>
  <si>
    <t>sobrante agosto</t>
  </si>
  <si>
    <t>pago título</t>
  </si>
  <si>
    <t>Devolución de ganancias ropa venta</t>
  </si>
  <si>
    <t>gastos carro</t>
  </si>
  <si>
    <t>almuerzo papá</t>
  </si>
  <si>
    <t>gasto extras del mes de setiembre</t>
  </si>
  <si>
    <t>dentista</t>
  </si>
  <si>
    <t>Cuota carro octubre</t>
  </si>
  <si>
    <t>Dentista Flor</t>
  </si>
  <si>
    <t>Batería carro</t>
  </si>
  <si>
    <t>power a casita</t>
  </si>
  <si>
    <t>power a FyJ</t>
  </si>
  <si>
    <t>seguro Rimac</t>
  </si>
  <si>
    <t>prestamos carro</t>
  </si>
  <si>
    <t>seguro carro Rimac</t>
  </si>
  <si>
    <t>cts Flor</t>
  </si>
  <si>
    <t>cts Jvlio</t>
  </si>
  <si>
    <t>afp julio - 1era parte</t>
  </si>
  <si>
    <t>Viaje a Cusco</t>
  </si>
  <si>
    <t>Salvavidas a FyJ</t>
  </si>
  <si>
    <t>Butrich</t>
  </si>
  <si>
    <t>BBW navidad</t>
  </si>
  <si>
    <t>youtube noviembre</t>
  </si>
  <si>
    <t>Compra de millas viaje</t>
  </si>
  <si>
    <t>Navidad compras</t>
  </si>
  <si>
    <t>descuento de sentimos desconocidos</t>
  </si>
  <si>
    <t>sobrante diciembre</t>
  </si>
  <si>
    <t>préstamo carro nov</t>
  </si>
  <si>
    <t>pago cuota nov</t>
  </si>
  <si>
    <t>Pago extralinea carro</t>
  </si>
  <si>
    <t>parlante echo studio</t>
  </si>
  <si>
    <t>makro canastas navidad</t>
  </si>
  <si>
    <t>salud</t>
  </si>
  <si>
    <t>tabas jvlio</t>
  </si>
  <si>
    <t>suscripción office 365</t>
  </si>
  <si>
    <t>Grati Julio</t>
  </si>
  <si>
    <t>Bono navidad julio</t>
  </si>
  <si>
    <t>Grati Flor</t>
  </si>
  <si>
    <t>bono navidad flor</t>
  </si>
  <si>
    <t>AFP - segunda cuota</t>
  </si>
  <si>
    <t>ayuda a FyJ</t>
  </si>
  <si>
    <t>Bono FLor</t>
  </si>
  <si>
    <t>viaje cusco</t>
  </si>
  <si>
    <t>consulta media + pastillas gase</t>
  </si>
  <si>
    <t>sobrante enero</t>
  </si>
  <si>
    <t>préstamo carro dic</t>
  </si>
  <si>
    <t xml:space="preserve">Vinos dulces Cusco </t>
  </si>
  <si>
    <t xml:space="preserve">Intereses ganados mes anterior </t>
  </si>
  <si>
    <t>retiro en cajero cusco</t>
  </si>
  <si>
    <t>pago cuota dic</t>
  </si>
  <si>
    <t>Vitaminas baby</t>
  </si>
  <si>
    <t>gastos cusco jvlio</t>
  </si>
  <si>
    <t>compra sartenes roca volcánica</t>
  </si>
  <si>
    <t>gastos Cusco flor</t>
  </si>
  <si>
    <t>AFP - tercera cuota</t>
  </si>
  <si>
    <t>sueldenlos quincena Flor</t>
  </si>
  <si>
    <t>Lentes J&amp;F</t>
  </si>
  <si>
    <t>Álbum Éter 200 fotos</t>
  </si>
  <si>
    <t>Pago viaje argentina, cusco, airbnb (prestamo)</t>
  </si>
  <si>
    <t>ray ban sol (préstamo)</t>
  </si>
  <si>
    <t>préstamo carro enero</t>
  </si>
  <si>
    <t>donacióón flor y julio quebrados</t>
  </si>
  <si>
    <t>préstamo pago carro</t>
  </si>
  <si>
    <t>Pago Carro (10k)</t>
  </si>
  <si>
    <t>AFP - cuarta cuota</t>
  </si>
  <si>
    <t>AFP - primera cuota</t>
  </si>
  <si>
    <t xml:space="preserve">salud - julio brazo </t>
  </si>
  <si>
    <t>cuota pto malabrigo (préstamo)</t>
  </si>
  <si>
    <t>pasajes pto malabrigo (préstamo)</t>
  </si>
  <si>
    <t>Devolución de prestamos a intereses y.</t>
  </si>
  <si>
    <t>Intereses ganados mes anterior</t>
  </si>
  <si>
    <t>gastos Cusco Totales</t>
  </si>
  <si>
    <t>regalo a Flor y a Julio</t>
  </si>
  <si>
    <t>Pago SOS Services empleada</t>
  </si>
  <si>
    <t>recarga casita</t>
  </si>
  <si>
    <t>prestamo al bono</t>
  </si>
  <si>
    <t>seguro Rimac carro</t>
  </si>
  <si>
    <t>taxi sanna diente</t>
  </si>
  <si>
    <t xml:space="preserve">soat + revisión técnica </t>
  </si>
  <si>
    <t>vitaminas baby</t>
  </si>
  <si>
    <t>AFP tercera y cuarta</t>
  </si>
  <si>
    <t xml:space="preserve">Dentista </t>
  </si>
  <si>
    <t>Salvavidas fyj</t>
  </si>
  <si>
    <t>REvident</t>
  </si>
  <si>
    <t>seguro del carro</t>
  </si>
  <si>
    <t>bono jvlio</t>
  </si>
  <si>
    <t>pago del carro Total (Dios es bueno)</t>
  </si>
  <si>
    <t>compra zapatillas</t>
  </si>
  <si>
    <t>devolución préstamo bono</t>
  </si>
  <si>
    <t>Kipling</t>
  </si>
  <si>
    <t>de la ex fila: Sobrante meses pasados</t>
  </si>
  <si>
    <t>Extracción molar</t>
  </si>
  <si>
    <t xml:space="preserve">Mueble </t>
  </si>
  <si>
    <t>Alquiler</t>
  </si>
  <si>
    <t xml:space="preserve">mueble tv </t>
  </si>
  <si>
    <t>Blanquita</t>
  </si>
  <si>
    <t>$590=2260</t>
  </si>
  <si>
    <t>Gansito</t>
  </si>
  <si>
    <t>Pro</t>
  </si>
  <si>
    <t>Contras</t>
  </si>
  <si>
    <t>Bonito</t>
  </si>
  <si>
    <t>no espacio comunes</t>
  </si>
  <si>
    <t>sin lava seca</t>
  </si>
  <si>
    <t>tv</t>
  </si>
  <si>
    <t>Ventanas amplias</t>
  </si>
  <si>
    <t>no oficina</t>
  </si>
  <si>
    <t>Buena luz</t>
  </si>
  <si>
    <t>sin un tv</t>
  </si>
  <si>
    <t>mueble (1)</t>
  </si>
  <si>
    <t>precio en dolares</t>
  </si>
  <si>
    <t>Walk-in closet</t>
  </si>
  <si>
    <t>sin sillitas largas</t>
  </si>
  <si>
    <t>silla barra</t>
  </si>
  <si>
    <t>dos hornillas</t>
  </si>
  <si>
    <t>no cochera</t>
  </si>
  <si>
    <t>sofa cama</t>
  </si>
  <si>
    <t>sin horno</t>
  </si>
  <si>
    <t>1 velador</t>
  </si>
  <si>
    <t xml:space="preserve">lugar para tender </t>
  </si>
  <si>
    <t>lava seca</t>
  </si>
  <si>
    <t>1 tocador</t>
  </si>
  <si>
    <t>1/2 deposito</t>
  </si>
  <si>
    <t xml:space="preserve">oficina </t>
  </si>
  <si>
    <t>buena decoracion</t>
  </si>
  <si>
    <t>1 deposito</t>
  </si>
  <si>
    <t>areas comunes</t>
  </si>
  <si>
    <t>cochera incluida</t>
  </si>
  <si>
    <t>dos banos completos</t>
  </si>
  <si>
    <t>buena ubicacion</t>
  </si>
  <si>
    <t xml:space="preserve">frente a un parque </t>
  </si>
  <si>
    <t>5 pisos</t>
  </si>
  <si>
    <t>1 closet adicional</t>
  </si>
  <si>
    <t>sillitas largas</t>
  </si>
  <si>
    <t>4 hornillas</t>
  </si>
  <si>
    <t>horno grande</t>
  </si>
  <si>
    <t>Compras a realizar</t>
  </si>
  <si>
    <t>horno chico</t>
  </si>
  <si>
    <t xml:space="preserve">mesa comedor </t>
  </si>
  <si>
    <t>escritorio compacto 2</t>
  </si>
  <si>
    <t>mesa comedor</t>
  </si>
  <si>
    <t>sillas para isla</t>
  </si>
  <si>
    <t>velador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</si>
</sst>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-m"/>
    <numFmt numFmtId="165" formatCode="d-m-yy"/>
    <numFmt numFmtId="166" formatCode="[$S/.]#,##0.00"/>
    <numFmt numFmtId="167" formatCode="d/m"/>
    <numFmt numFmtId="168" formatCode="d mmm"/>
  </numFmts>
  <fonts count="42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trike/>
      <color theme="1"/>
      <name val="Arial"/>
      <scheme val="minor"/>
    </font>
    <font>
      <u/>
      <color rgb="FF0000FF"/>
    </font>
    <font>
      <color theme="1"/>
      <name val="Tahoma"/>
    </font>
    <font>
      <color rgb="FF000000"/>
      <name val="Arial"/>
      <scheme val="minor"/>
    </font>
    <font>
      <color rgb="FFFFFFFF"/>
      <name val="Arial"/>
      <scheme val="minor"/>
    </font>
    <font>
      <u/>
      <color rgb="FF0000FF"/>
    </font>
    <font>
      <color theme="1"/>
      <name val="Arial"/>
    </font>
    <font>
      <b/>
      <color theme="1"/>
      <name val="Arial"/>
    </font>
    <font>
      <b/>
      <sz val="20.0"/>
      <color rgb="FF002060"/>
      <name val="Arial"/>
    </font>
    <font/>
    <font>
      <b/>
      <color theme="1"/>
      <name val="Tahoma"/>
    </font>
    <font>
      <b/>
      <color theme="1"/>
      <name val="&quot;Arial Narrow&quot;"/>
    </font>
    <font>
      <color theme="1"/>
      <name val="&quot;Arial Narrow&quot;"/>
    </font>
    <font>
      <b/>
      <color rgb="FFFF0000"/>
      <name val="Tahoma"/>
    </font>
    <font>
      <color rgb="FFFFFFFF"/>
      <name val="&quot;Arial Narrow&quot;"/>
    </font>
    <font>
      <color rgb="FFFFFFFF"/>
      <name val="Tahoma"/>
    </font>
    <font>
      <b/>
      <sz val="12.0"/>
      <color rgb="FFFFFFFF"/>
      <name val="&quot;Arial Narrow&quot;"/>
    </font>
    <font>
      <b/>
      <sz val="20.0"/>
      <color rgb="FF6AA84F"/>
      <name val="Arial"/>
    </font>
    <font>
      <color theme="1"/>
      <name val="Arial Narrow"/>
    </font>
    <font>
      <b/>
      <sz val="20.0"/>
      <color rgb="FFD9D2E9"/>
      <name val="Arial"/>
    </font>
    <font>
      <sz val="11.0"/>
      <color rgb="FF1155CC"/>
      <name val="Inconsolata"/>
    </font>
    <font>
      <b/>
      <color rgb="FF000000"/>
      <name val="Arial"/>
      <scheme val="minor"/>
    </font>
    <font>
      <color rgb="FF000000"/>
      <name val="&quot;Arial Narrow&quot;"/>
    </font>
    <font>
      <sz val="11.0"/>
      <color rgb="FF000000"/>
      <name val="Calibri"/>
    </font>
    <font>
      <sz val="9.0"/>
      <color rgb="FF1155CC"/>
      <name val="&quot;Google Sans Mono&quot;"/>
    </font>
    <font>
      <b/>
      <color theme="1"/>
      <name val="Arial Narrow"/>
    </font>
    <font>
      <color rgb="FF000000"/>
      <name val="Arial Narrow"/>
    </font>
    <font>
      <strike/>
      <color rgb="FF000000"/>
      <name val="Arial"/>
      <scheme val="minor"/>
    </font>
    <font>
      <b/>
      <sz val="11.0"/>
      <color theme="1"/>
      <name val="Arial"/>
      <scheme val="minor"/>
    </font>
    <font>
      <color rgb="FF000000"/>
      <name val="Tahoma"/>
    </font>
    <font>
      <sz val="10.0"/>
      <color theme="1"/>
      <name val="Arial"/>
      <scheme val="minor"/>
    </font>
    <font>
      <sz val="10.0"/>
      <color theme="1"/>
      <name val="&quot;Arial Narrow&quot;"/>
    </font>
    <font>
      <strike/>
      <sz val="10.0"/>
      <color theme="1"/>
      <name val="&quot;Arial Narrow&quot;"/>
    </font>
    <font>
      <strike/>
      <sz val="10.0"/>
      <color theme="1"/>
      <name val="Arial"/>
      <scheme val="minor"/>
    </font>
    <font>
      <u/>
      <color theme="1"/>
      <name val="Arial"/>
      <scheme val="minor"/>
    </font>
    <font>
      <sz val="9.0"/>
      <color rgb="FF000000"/>
      <name val="&quot;Google Sans Mono&quot;"/>
    </font>
    <font>
      <color rgb="FFFF0000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</fonts>
  <fills count="39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theme="8"/>
        <bgColor theme="8"/>
      </patternFill>
    </fill>
    <fill>
      <patternFill patternType="solid">
        <fgColor rgb="FFCFE2F3"/>
        <bgColor rgb="FFCFE2F3"/>
      </patternFill>
    </fill>
    <fill>
      <patternFill patternType="solid">
        <fgColor rgb="FFFF00FF"/>
        <bgColor rgb="FFFF00FF"/>
      </patternFill>
    </fill>
    <fill>
      <patternFill patternType="solid">
        <fgColor rgb="FFFF9900"/>
        <bgColor rgb="FFFF990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9D08E"/>
        <bgColor rgb="FFA9D08E"/>
      </patternFill>
    </fill>
    <fill>
      <patternFill patternType="solid">
        <fgColor rgb="FFE2EFDA"/>
        <bgColor rgb="FFE2EFDA"/>
      </patternFill>
    </fill>
    <fill>
      <patternFill patternType="solid">
        <fgColor rgb="FF7030A0"/>
        <bgColor rgb="FF7030A0"/>
      </patternFill>
    </fill>
    <fill>
      <patternFill patternType="solid">
        <fgColor rgb="FF002060"/>
        <bgColor rgb="FF002060"/>
      </patternFill>
    </fill>
    <fill>
      <patternFill patternType="solid">
        <fgColor rgb="FFD9D2E9"/>
        <bgColor rgb="FFD9D2E9"/>
      </patternFill>
    </fill>
    <fill>
      <patternFill patternType="solid">
        <fgColor rgb="FF00FF00"/>
        <bgColor rgb="FF00FF00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4A86E8"/>
        <bgColor rgb="FF4A86E8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A2C4C9"/>
        <bgColor rgb="FFA2C4C9"/>
      </patternFill>
    </fill>
    <fill>
      <patternFill patternType="solid">
        <fgColor rgb="FFF9CB9C"/>
        <bgColor rgb="FFF9CB9C"/>
      </patternFill>
    </fill>
    <fill>
      <patternFill patternType="solid">
        <fgColor theme="7"/>
        <bgColor theme="7"/>
      </patternFill>
    </fill>
    <fill>
      <patternFill patternType="solid">
        <fgColor rgb="FFB4A7D6"/>
        <bgColor rgb="FFB4A7D6"/>
      </patternFill>
    </fill>
    <fill>
      <patternFill patternType="solid">
        <fgColor rgb="FF20124D"/>
        <bgColor rgb="FF20124D"/>
      </patternFill>
    </fill>
    <fill>
      <patternFill patternType="solid">
        <fgColor rgb="FFFF0000"/>
        <bgColor rgb="FFFF0000"/>
      </patternFill>
    </fill>
    <fill>
      <patternFill patternType="solid">
        <fgColor rgb="FF9FC5E8"/>
        <bgColor rgb="FF9FC5E8"/>
      </patternFill>
    </fill>
    <fill>
      <patternFill patternType="solid">
        <fgColor rgb="FF666666"/>
        <bgColor rgb="FF666666"/>
      </patternFill>
    </fill>
    <fill>
      <patternFill patternType="solid">
        <fgColor rgb="FF434343"/>
        <bgColor rgb="FF434343"/>
      </patternFill>
    </fill>
    <fill>
      <patternFill patternType="solid">
        <fgColor rgb="FFC9DAF8"/>
        <bgColor rgb="FFC9DAF8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9999"/>
      </bottom>
    </border>
    <border>
      <left style="dotted">
        <color rgb="FF002060"/>
      </left>
      <right style="dotted">
        <color rgb="FF002060"/>
      </right>
      <top style="dotted">
        <color rgb="FF002060"/>
      </top>
      <bottom style="dotted">
        <color rgb="FF002060"/>
      </bottom>
    </border>
    <border>
      <right style="dotted">
        <color rgb="FF002060"/>
      </right>
      <top style="dotted">
        <color rgb="FF002060"/>
      </top>
      <bottom style="dotted">
        <color rgb="FF002060"/>
      </bottom>
    </border>
    <border>
      <right style="dotted">
        <color rgb="FF002060"/>
      </right>
      <top style="dotted">
        <color rgb="FF002060"/>
      </top>
    </border>
    <border>
      <left style="dotted">
        <color rgb="FF002060"/>
      </left>
      <right style="dotted">
        <color rgb="FF002060"/>
      </right>
      <bottom style="dotted">
        <color rgb="FF002060"/>
      </bottom>
    </border>
    <border>
      <right style="dotted">
        <color rgb="FF002060"/>
      </right>
      <bottom style="dotted">
        <color rgb="FF002060"/>
      </bottom>
    </border>
    <border>
      <left style="dotted">
        <color rgb="FF002060"/>
      </left>
      <right style="thin">
        <color rgb="FF000000"/>
      </right>
      <top style="dotted">
        <color rgb="FF002060"/>
      </top>
      <bottom style="dotted">
        <color rgb="FF002060"/>
      </bottom>
    </border>
    <border>
      <top style="dotted">
        <color rgb="FF002060"/>
      </top>
      <bottom style="dotted">
        <color rgb="FF00206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dotted">
        <color rgb="FF002060"/>
      </top>
    </border>
    <border>
      <bottom style="dotted">
        <color rgb="FF002060"/>
      </bottom>
    </border>
    <border>
      <left style="dotted">
        <color rgb="FF002060"/>
      </left>
      <bottom style="dotted">
        <color rgb="FF002060"/>
      </bottom>
    </border>
    <border>
      <left style="dotted">
        <color rgb="FF002060"/>
      </left>
      <top style="dotted">
        <color rgb="FF002060"/>
      </top>
      <bottom style="dotted">
        <color rgb="FF00206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1" fillId="2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right" readingOrder="0"/>
    </xf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0" fillId="3" fontId="2" numFmtId="0" xfId="0" applyAlignment="1" applyFill="1" applyFont="1">
      <alignment readingOrder="0"/>
    </xf>
    <xf borderId="1" fillId="3" fontId="1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/>
    </xf>
    <xf borderId="1" fillId="0" fontId="2" numFmtId="0" xfId="0" applyAlignment="1" applyBorder="1" applyFont="1">
      <alignment readingOrder="0"/>
    </xf>
    <xf borderId="0" fillId="0" fontId="1" numFmtId="0" xfId="0" applyFont="1"/>
    <xf borderId="1" fillId="4" fontId="1" numFmtId="0" xfId="0" applyAlignment="1" applyBorder="1" applyFill="1" applyFont="1">
      <alignment readingOrder="0"/>
    </xf>
    <xf borderId="1" fillId="0" fontId="1" numFmtId="164" xfId="0" applyAlignment="1" applyBorder="1" applyFont="1" applyNumberFormat="1">
      <alignment horizontal="left" readingOrder="0"/>
    </xf>
    <xf borderId="1" fillId="0" fontId="2" numFmtId="0" xfId="0" applyAlignment="1" applyBorder="1" applyFont="1">
      <alignment horizontal="center"/>
    </xf>
    <xf borderId="0" fillId="3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1" fillId="5" fontId="1" numFmtId="0" xfId="0" applyAlignment="1" applyBorder="1" applyFill="1" applyFont="1">
      <alignment horizontal="center" readingOrder="0"/>
    </xf>
    <xf borderId="1" fillId="0" fontId="2" numFmtId="0" xfId="0" applyBorder="1" applyFont="1"/>
    <xf borderId="1" fillId="0" fontId="1" numFmtId="165" xfId="0" applyAlignment="1" applyBorder="1" applyFont="1" applyNumberFormat="1">
      <alignment horizontal="left" readingOrder="0"/>
    </xf>
    <xf borderId="0" fillId="0" fontId="3" numFmtId="0" xfId="0" applyAlignment="1" applyFont="1">
      <alignment readingOrder="0"/>
    </xf>
    <xf borderId="1" fillId="4" fontId="1" numFmtId="0" xfId="0" applyAlignment="1" applyBorder="1" applyFont="1">
      <alignment horizontal="center"/>
    </xf>
    <xf borderId="0" fillId="0" fontId="3" numFmtId="0" xfId="0" applyFont="1"/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166" xfId="0" applyFont="1" applyNumberFormat="1"/>
    <xf borderId="1" fillId="6" fontId="1" numFmtId="0" xfId="0" applyAlignment="1" applyBorder="1" applyFill="1" applyFont="1">
      <alignment readingOrder="0"/>
    </xf>
    <xf borderId="0" fillId="0" fontId="1" numFmtId="0" xfId="0" applyAlignment="1" applyFont="1">
      <alignment horizontal="right"/>
    </xf>
    <xf borderId="0" fillId="7" fontId="1" numFmtId="166" xfId="0" applyFill="1" applyFont="1" applyNumberFormat="1"/>
    <xf borderId="0" fillId="0" fontId="1" numFmtId="0" xfId="0" applyAlignment="1" applyFont="1">
      <alignment horizontal="right" readingOrder="0"/>
    </xf>
    <xf borderId="0" fillId="8" fontId="1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5" numFmtId="166" xfId="0" applyAlignment="1" applyFont="1" applyNumberFormat="1">
      <alignment horizontal="right" readingOrder="0"/>
    </xf>
    <xf borderId="3" fillId="0" fontId="1" numFmtId="0" xfId="0" applyAlignment="1" applyBorder="1" applyFont="1">
      <alignment horizontal="right"/>
    </xf>
    <xf borderId="3" fillId="0" fontId="1" numFmtId="166" xfId="0" applyBorder="1" applyFont="1" applyNumberFormat="1"/>
    <xf borderId="1" fillId="0" fontId="6" numFmtId="0" xfId="0" applyAlignment="1" applyBorder="1" applyFont="1">
      <alignment readingOrder="0"/>
    </xf>
    <xf borderId="1" fillId="9" fontId="6" numFmtId="0" xfId="0" applyAlignment="1" applyBorder="1" applyFill="1" applyFont="1">
      <alignment readingOrder="0"/>
    </xf>
    <xf borderId="1" fillId="9" fontId="1" numFmtId="0" xfId="0" applyAlignment="1" applyBorder="1" applyFont="1">
      <alignment readingOrder="0"/>
    </xf>
    <xf borderId="1" fillId="8" fontId="7" numFmtId="0" xfId="0" applyAlignment="1" applyBorder="1" applyFont="1">
      <alignment readingOrder="0"/>
    </xf>
    <xf borderId="1" fillId="8" fontId="7" numFmtId="0" xfId="0" applyBorder="1" applyFont="1"/>
    <xf borderId="0" fillId="9" fontId="1" numFmtId="0" xfId="0" applyAlignment="1" applyFont="1">
      <alignment readingOrder="0"/>
    </xf>
    <xf borderId="0" fillId="0" fontId="8" numFmtId="0" xfId="0" applyAlignment="1" applyFont="1">
      <alignment readingOrder="0"/>
    </xf>
    <xf borderId="0" fillId="9" fontId="1" numFmtId="166" xfId="0" applyAlignment="1" applyFont="1" applyNumberFormat="1">
      <alignment readingOrder="0"/>
    </xf>
    <xf borderId="3" fillId="4" fontId="1" numFmtId="166" xfId="0" applyBorder="1" applyFont="1" applyNumberFormat="1"/>
    <xf borderId="3" fillId="7" fontId="1" numFmtId="166" xfId="0" applyBorder="1" applyFont="1" applyNumberFormat="1"/>
    <xf borderId="0" fillId="0" fontId="9" numFmtId="0" xfId="0" applyAlignment="1" applyFont="1">
      <alignment horizontal="right" readingOrder="0" vertical="bottom"/>
    </xf>
    <xf borderId="3" fillId="0" fontId="1" numFmtId="0" xfId="0" applyBorder="1" applyFont="1"/>
    <xf borderId="0" fillId="10" fontId="10" numFmtId="0" xfId="0" applyAlignment="1" applyFill="1" applyFont="1">
      <alignment readingOrder="0" shrinkToFit="0" vertical="bottom" wrapText="0"/>
    </xf>
    <xf borderId="0" fillId="10" fontId="10" numFmtId="0" xfId="0" applyAlignment="1" applyFont="1">
      <alignment shrinkToFit="0" vertical="bottom" wrapText="0"/>
    </xf>
    <xf borderId="0" fillId="11" fontId="9" numFmtId="0" xfId="0" applyAlignment="1" applyFill="1" applyFont="1">
      <alignment readingOrder="0" shrinkToFit="0" vertical="bottom" wrapText="0"/>
    </xf>
    <xf borderId="4" fillId="0" fontId="11" numFmtId="0" xfId="0" applyAlignment="1" applyBorder="1" applyFont="1">
      <alignment horizontal="right" readingOrder="0" shrinkToFit="0" vertical="bottom" wrapText="0"/>
    </xf>
    <xf borderId="4" fillId="0" fontId="12" numFmtId="0" xfId="0" applyBorder="1" applyFont="1"/>
    <xf borderId="5" fillId="0" fontId="13" numFmtId="0" xfId="0" applyAlignment="1" applyBorder="1" applyFont="1">
      <alignment horizontal="center" readingOrder="0"/>
    </xf>
    <xf borderId="6" fillId="0" fontId="13" numFmtId="0" xfId="0" applyAlignment="1" applyBorder="1" applyFont="1">
      <alignment horizontal="center"/>
    </xf>
    <xf borderId="7" fillId="11" fontId="14" numFmtId="0" xfId="0" applyAlignment="1" applyBorder="1" applyFont="1">
      <alignment horizontal="center" readingOrder="0"/>
    </xf>
    <xf borderId="6" fillId="0" fontId="13" numFmtId="0" xfId="0" applyAlignment="1" applyBorder="1" applyFont="1">
      <alignment horizontal="center" readingOrder="0"/>
    </xf>
    <xf borderId="8" fillId="0" fontId="5" numFmtId="0" xfId="0" applyAlignment="1" applyBorder="1" applyFont="1">
      <alignment readingOrder="0"/>
    </xf>
    <xf borderId="9" fillId="0" fontId="5" numFmtId="0" xfId="0" applyBorder="1" applyFont="1"/>
    <xf borderId="6" fillId="0" fontId="5" numFmtId="166" xfId="0" applyAlignment="1" applyBorder="1" applyFont="1" applyNumberFormat="1">
      <alignment readingOrder="0"/>
    </xf>
    <xf borderId="9" fillId="0" fontId="5" numFmtId="166" xfId="0" applyAlignment="1" applyBorder="1" applyFont="1" applyNumberFormat="1">
      <alignment readingOrder="0"/>
    </xf>
    <xf borderId="9" fillId="0" fontId="5" numFmtId="166" xfId="0" applyBorder="1" applyFont="1" applyNumberFormat="1"/>
    <xf borderId="0" fillId="0" fontId="9" numFmtId="166" xfId="0" applyAlignment="1" applyFont="1" applyNumberFormat="1">
      <alignment shrinkToFit="0" vertical="bottom" wrapText="0"/>
    </xf>
    <xf borderId="8" fillId="0" fontId="5" numFmtId="166" xfId="0" applyAlignment="1" applyBorder="1" applyFont="1" applyNumberFormat="1">
      <alignment readingOrder="0"/>
    </xf>
    <xf borderId="0" fillId="0" fontId="5" numFmtId="166" xfId="0" applyFont="1" applyNumberFormat="1"/>
    <xf borderId="8" fillId="2" fontId="13" numFmtId="0" xfId="0" applyAlignment="1" applyBorder="1" applyFont="1">
      <alignment readingOrder="0"/>
    </xf>
    <xf borderId="9" fillId="2" fontId="13" numFmtId="0" xfId="0" applyBorder="1" applyFont="1"/>
    <xf borderId="6" fillId="2" fontId="13" numFmtId="166" xfId="0" applyAlignment="1" applyBorder="1" applyFont="1" applyNumberFormat="1">
      <alignment readingOrder="0"/>
    </xf>
    <xf borderId="5" fillId="0" fontId="14" numFmtId="0" xfId="0" applyAlignment="1" applyBorder="1" applyFont="1">
      <alignment horizontal="center" readingOrder="0" shrinkToFit="0" wrapText="0"/>
    </xf>
    <xf borderId="6" fillId="0" fontId="14" numFmtId="0" xfId="0" applyAlignment="1" applyBorder="1" applyFont="1">
      <alignment horizontal="center" shrinkToFit="0" wrapText="0"/>
    </xf>
    <xf borderId="8" fillId="12" fontId="15" numFmtId="0" xfId="0" applyAlignment="1" applyBorder="1" applyFill="1" applyFont="1">
      <alignment readingOrder="0" shrinkToFit="0" vertical="bottom" wrapText="0"/>
    </xf>
    <xf borderId="9" fillId="12" fontId="15" numFmtId="0" xfId="0" applyAlignment="1" applyBorder="1" applyFont="1">
      <alignment shrinkToFit="0" vertical="bottom" wrapText="0"/>
    </xf>
    <xf borderId="9" fillId="12" fontId="15" numFmtId="166" xfId="0" applyAlignment="1" applyBorder="1" applyFont="1" applyNumberFormat="1">
      <alignment horizontal="right" shrinkToFit="0" vertical="bottom" wrapText="0"/>
    </xf>
    <xf borderId="9" fillId="12" fontId="15" numFmtId="166" xfId="0" applyAlignment="1" applyBorder="1" applyFont="1" applyNumberFormat="1">
      <alignment horizontal="right" readingOrder="0" shrinkToFit="0" vertical="bottom" wrapText="0"/>
    </xf>
    <xf borderId="9" fillId="12" fontId="5" numFmtId="166" xfId="0" applyAlignment="1" applyBorder="1" applyFont="1" applyNumberFormat="1">
      <alignment horizontal="right" readingOrder="0"/>
    </xf>
    <xf borderId="9" fillId="12" fontId="15" numFmtId="0" xfId="0" applyAlignment="1" applyBorder="1" applyFont="1">
      <alignment readingOrder="0" shrinkToFit="0" vertical="bottom" wrapText="0"/>
    </xf>
    <xf borderId="9" fillId="2" fontId="16" numFmtId="166" xfId="0" applyAlignment="1" applyBorder="1" applyFont="1" applyNumberFormat="1">
      <alignment horizontal="right" readingOrder="0"/>
    </xf>
    <xf borderId="9" fillId="13" fontId="5" numFmtId="166" xfId="0" applyAlignment="1" applyBorder="1" applyFill="1" applyFont="1" applyNumberFormat="1">
      <alignment horizontal="right" readingOrder="0"/>
    </xf>
    <xf borderId="10" fillId="2" fontId="13" numFmtId="0" xfId="0" applyAlignment="1" applyBorder="1" applyFont="1">
      <alignment readingOrder="0"/>
    </xf>
    <xf borderId="11" fillId="2" fontId="13" numFmtId="0" xfId="0" applyBorder="1" applyFont="1"/>
    <xf borderId="5" fillId="2" fontId="13" numFmtId="166" xfId="0" applyAlignment="1" applyBorder="1" applyFont="1" applyNumberFormat="1">
      <alignment readingOrder="0"/>
    </xf>
    <xf borderId="0" fillId="0" fontId="15" numFmtId="0" xfId="0" applyAlignment="1" applyFont="1">
      <alignment shrinkToFit="0" vertical="bottom" wrapText="0"/>
    </xf>
    <xf borderId="0" fillId="0" fontId="14" numFmtId="0" xfId="0" applyAlignment="1" applyFont="1">
      <alignment horizontal="center" shrinkToFit="0" vertical="bottom" wrapText="0"/>
    </xf>
    <xf borderId="5" fillId="0" fontId="14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vertical="bottom"/>
    </xf>
    <xf borderId="8" fillId="14" fontId="17" numFmtId="0" xfId="0" applyAlignment="1" applyBorder="1" applyFill="1" applyFont="1">
      <alignment readingOrder="0" shrinkToFit="0" vertical="bottom" wrapText="0"/>
    </xf>
    <xf borderId="9" fillId="14" fontId="17" numFmtId="166" xfId="0" applyAlignment="1" applyBorder="1" applyFont="1" applyNumberFormat="1">
      <alignment readingOrder="0" shrinkToFit="0" vertical="bottom" wrapText="0"/>
    </xf>
    <xf borderId="6" fillId="14" fontId="18" numFmtId="166" xfId="0" applyAlignment="1" applyBorder="1" applyFont="1" applyNumberFormat="1">
      <alignment horizontal="right" readingOrder="0"/>
    </xf>
    <xf borderId="6" fillId="14" fontId="18" numFmtId="166" xfId="0" applyAlignment="1" applyBorder="1" applyFont="1" applyNumberFormat="1">
      <alignment horizontal="right"/>
    </xf>
    <xf borderId="9" fillId="14" fontId="18" numFmtId="166" xfId="0" applyAlignment="1" applyBorder="1" applyFont="1" applyNumberFormat="1">
      <alignment horizontal="right" readingOrder="0"/>
    </xf>
    <xf borderId="8" fillId="14" fontId="17" numFmtId="0" xfId="0" applyAlignment="1" applyBorder="1" applyFont="1">
      <alignment shrinkToFit="0" vertical="bottom" wrapText="0"/>
    </xf>
    <xf borderId="9" fillId="14" fontId="17" numFmtId="166" xfId="0" applyAlignment="1" applyBorder="1" applyFont="1" applyNumberFormat="1">
      <alignment shrinkToFit="0" vertical="bottom" wrapText="0"/>
    </xf>
    <xf borderId="9" fillId="14" fontId="18" numFmtId="166" xfId="0" applyAlignment="1" applyBorder="1" applyFont="1" applyNumberFormat="1">
      <alignment horizontal="right"/>
    </xf>
    <xf borderId="9" fillId="2" fontId="13" numFmtId="166" xfId="0" applyAlignment="1" applyBorder="1" applyFont="1" applyNumberFormat="1">
      <alignment horizontal="right" readingOrder="0"/>
    </xf>
    <xf borderId="0" fillId="0" fontId="5" numFmtId="0" xfId="0" applyFont="1"/>
    <xf borderId="5" fillId="2" fontId="13" numFmtId="0" xfId="0" applyAlignment="1" applyBorder="1" applyFont="1">
      <alignment readingOrder="0"/>
    </xf>
    <xf borderId="6" fillId="2" fontId="13" numFmtId="0" xfId="0" applyBorder="1" applyFont="1"/>
    <xf borderId="6" fillId="2" fontId="13" numFmtId="166" xfId="0" applyAlignment="1" applyBorder="1" applyFont="1" applyNumberFormat="1">
      <alignment horizontal="right" readingOrder="0"/>
    </xf>
    <xf borderId="5" fillId="15" fontId="19" numFmtId="0" xfId="0" applyAlignment="1" applyBorder="1" applyFill="1" applyFont="1">
      <alignment horizontal="left" readingOrder="0" shrinkToFit="0" wrapText="0"/>
    </xf>
    <xf borderId="6" fillId="15" fontId="19" numFmtId="0" xfId="0" applyAlignment="1" applyBorder="1" applyFont="1">
      <alignment horizontal="left" shrinkToFit="0" wrapText="0"/>
    </xf>
    <xf borderId="8" fillId="0" fontId="15" numFmtId="0" xfId="0" applyAlignment="1" applyBorder="1" applyFont="1">
      <alignment readingOrder="0" shrinkToFit="0" vertical="bottom" wrapText="0"/>
    </xf>
    <xf borderId="9" fillId="0" fontId="15" numFmtId="0" xfId="0" applyAlignment="1" applyBorder="1" applyFont="1">
      <alignment shrinkToFit="0" vertical="bottom" wrapText="0"/>
    </xf>
    <xf borderId="6" fillId="0" fontId="5" numFmtId="166" xfId="0" applyAlignment="1" applyBorder="1" applyFont="1" applyNumberFormat="1">
      <alignment horizontal="right"/>
    </xf>
    <xf borderId="6" fillId="0" fontId="5" numFmtId="166" xfId="0" applyAlignment="1" applyBorder="1" applyFont="1" applyNumberFormat="1">
      <alignment horizontal="right" readingOrder="0"/>
    </xf>
    <xf borderId="9" fillId="0" fontId="5" numFmtId="166" xfId="0" applyAlignment="1" applyBorder="1" applyFont="1" applyNumberFormat="1">
      <alignment horizontal="right" readingOrder="0"/>
    </xf>
    <xf borderId="0" fillId="0" fontId="1" numFmtId="0" xfId="0" applyAlignment="1" applyFont="1">
      <alignment horizontal="center" readingOrder="0"/>
    </xf>
    <xf borderId="0" fillId="16" fontId="10" numFmtId="0" xfId="0" applyAlignment="1" applyFill="1" applyFont="1">
      <alignment readingOrder="0" shrinkToFit="0" vertical="bottom" wrapText="0"/>
    </xf>
    <xf borderId="0" fillId="16" fontId="10" numFmtId="0" xfId="0" applyAlignment="1" applyFont="1">
      <alignment shrinkToFit="0" vertical="bottom" wrapText="0"/>
    </xf>
    <xf borderId="0" fillId="17" fontId="9" numFmtId="0" xfId="0" applyAlignment="1" applyFill="1" applyFont="1">
      <alignment readingOrder="0" shrinkToFit="0" vertical="bottom" wrapText="0"/>
    </xf>
    <xf borderId="0" fillId="0" fontId="20" numFmtId="0" xfId="0" applyAlignment="1" applyFont="1">
      <alignment horizontal="center" readingOrder="0" shrinkToFit="0" vertical="bottom" wrapText="0"/>
    </xf>
    <xf borderId="7" fillId="18" fontId="14" numFmtId="0" xfId="0" applyAlignment="1" applyBorder="1" applyFill="1" applyFont="1">
      <alignment horizontal="center" readingOrder="0"/>
    </xf>
    <xf borderId="6" fillId="0" fontId="5" numFmtId="166" xfId="0" applyAlignment="1" applyBorder="1" applyFont="1" applyNumberFormat="1">
      <alignment horizontal="center" readingOrder="0"/>
    </xf>
    <xf borderId="9" fillId="0" fontId="5" numFmtId="166" xfId="0" applyAlignment="1" applyBorder="1" applyFont="1" applyNumberFormat="1">
      <alignment horizontal="center" readingOrder="0"/>
    </xf>
    <xf borderId="9" fillId="0" fontId="5" numFmtId="166" xfId="0" applyAlignment="1" applyBorder="1" applyFont="1" applyNumberFormat="1">
      <alignment horizontal="center"/>
    </xf>
    <xf borderId="0" fillId="0" fontId="9" numFmtId="166" xfId="0" applyAlignment="1" applyFont="1" applyNumberFormat="1">
      <alignment horizontal="center" shrinkToFit="0" vertical="bottom" wrapText="0"/>
    </xf>
    <xf borderId="8" fillId="0" fontId="5" numFmtId="166" xfId="0" applyAlignment="1" applyBorder="1" applyFont="1" applyNumberFormat="1">
      <alignment horizontal="center" readingOrder="0"/>
    </xf>
    <xf borderId="0" fillId="0" fontId="5" numFmtId="166" xfId="0" applyAlignment="1" applyFont="1" applyNumberFormat="1">
      <alignment horizontal="center"/>
    </xf>
    <xf borderId="6" fillId="2" fontId="13" numFmtId="166" xfId="0" applyAlignment="1" applyBorder="1" applyFont="1" applyNumberFormat="1">
      <alignment horizontal="center" readingOrder="0"/>
    </xf>
    <xf borderId="6" fillId="16" fontId="13" numFmtId="0" xfId="0" applyAlignment="1" applyBorder="1" applyFont="1">
      <alignment horizontal="center" readingOrder="0"/>
    </xf>
    <xf borderId="8" fillId="4" fontId="15" numFmtId="0" xfId="0" applyAlignment="1" applyBorder="1" applyFont="1">
      <alignment readingOrder="0" shrinkToFit="0" vertical="bottom" wrapText="0"/>
    </xf>
    <xf borderId="9" fillId="4" fontId="15" numFmtId="0" xfId="0" applyAlignment="1" applyBorder="1" applyFont="1">
      <alignment shrinkToFit="0" vertical="bottom" wrapText="0"/>
    </xf>
    <xf borderId="9" fillId="4" fontId="15" numFmtId="166" xfId="0" applyAlignment="1" applyBorder="1" applyFont="1" applyNumberFormat="1">
      <alignment horizontal="center" readingOrder="0" shrinkToFit="0" vertical="bottom" wrapText="0"/>
    </xf>
    <xf borderId="9" fillId="4" fontId="5" numFmtId="166" xfId="0" applyAlignment="1" applyBorder="1" applyFont="1" applyNumberFormat="1">
      <alignment horizontal="center" readingOrder="0"/>
    </xf>
    <xf borderId="8" fillId="4" fontId="21" numFmtId="166" xfId="0" applyAlignment="1" applyBorder="1" applyFont="1" applyNumberFormat="1">
      <alignment horizontal="center" vertical="bottom"/>
    </xf>
    <xf borderId="9" fillId="4" fontId="15" numFmtId="0" xfId="0" applyAlignment="1" applyBorder="1" applyFont="1">
      <alignment readingOrder="0" shrinkToFit="0" vertical="bottom" wrapText="0"/>
    </xf>
    <xf borderId="8" fillId="19" fontId="15" numFmtId="0" xfId="0" applyAlignment="1" applyBorder="1" applyFill="1" applyFont="1">
      <alignment readingOrder="0" shrinkToFit="0" vertical="bottom" wrapText="0"/>
    </xf>
    <xf borderId="9" fillId="19" fontId="15" numFmtId="0" xfId="0" applyAlignment="1" applyBorder="1" applyFont="1">
      <alignment shrinkToFit="0" vertical="bottom" wrapText="0"/>
    </xf>
    <xf borderId="9" fillId="19" fontId="15" numFmtId="166" xfId="0" applyAlignment="1" applyBorder="1" applyFont="1" applyNumberFormat="1">
      <alignment horizontal="center" readingOrder="0" shrinkToFit="0" vertical="bottom" wrapText="0"/>
    </xf>
    <xf borderId="9" fillId="19" fontId="5" numFmtId="166" xfId="0" applyAlignment="1" applyBorder="1" applyFont="1" applyNumberFormat="1">
      <alignment horizontal="center" readingOrder="0"/>
    </xf>
    <xf borderId="9" fillId="4" fontId="15" numFmtId="166" xfId="0" applyAlignment="1" applyBorder="1" applyFont="1" applyNumberFormat="1">
      <alignment horizontal="center" shrinkToFit="0" vertical="bottom" wrapText="0"/>
    </xf>
    <xf borderId="9" fillId="2" fontId="16" numFmtId="166" xfId="0" applyAlignment="1" applyBorder="1" applyFont="1" applyNumberFormat="1">
      <alignment horizontal="center" readingOrder="0"/>
    </xf>
    <xf borderId="9" fillId="13" fontId="5" numFmtId="166" xfId="0" applyAlignment="1" applyBorder="1" applyFont="1" applyNumberFormat="1">
      <alignment horizontal="center" readingOrder="0"/>
    </xf>
    <xf borderId="6" fillId="14" fontId="18" numFmtId="166" xfId="0" applyAlignment="1" applyBorder="1" applyFont="1" applyNumberFormat="1">
      <alignment horizontal="center" readingOrder="0"/>
    </xf>
    <xf borderId="9" fillId="14" fontId="18" numFmtId="166" xfId="0" applyAlignment="1" applyBorder="1" applyFont="1" applyNumberFormat="1">
      <alignment horizontal="center" readingOrder="0"/>
    </xf>
    <xf borderId="0" fillId="11" fontId="10" numFmtId="0" xfId="0" applyAlignment="1" applyFont="1">
      <alignment readingOrder="0" shrinkToFit="0" vertical="bottom" wrapText="0"/>
    </xf>
    <xf borderId="0" fillId="11" fontId="10" numFmtId="0" xfId="0" applyAlignment="1" applyFont="1">
      <alignment horizontal="center" shrinkToFit="0" vertical="bottom" wrapText="0"/>
    </xf>
    <xf borderId="0" fillId="20" fontId="9" numFmtId="0" xfId="0" applyAlignment="1" applyFill="1" applyFont="1">
      <alignment readingOrder="0" shrinkToFit="0" vertical="bottom" wrapText="0"/>
    </xf>
    <xf borderId="0" fillId="0" fontId="22" numFmtId="0" xfId="0" applyAlignment="1" applyFont="1">
      <alignment horizontal="center" readingOrder="0" shrinkToFit="0" vertical="bottom" wrapText="0"/>
    </xf>
    <xf borderId="7" fillId="21" fontId="14" numFmtId="0" xfId="0" applyAlignment="1" applyBorder="1" applyFill="1" applyFont="1">
      <alignment horizontal="center" readingOrder="0"/>
    </xf>
    <xf borderId="9" fillId="0" fontId="5" numFmtId="0" xfId="0" applyAlignment="1" applyBorder="1" applyFont="1">
      <alignment horizontal="center"/>
    </xf>
    <xf borderId="8" fillId="21" fontId="13" numFmtId="0" xfId="0" applyAlignment="1" applyBorder="1" applyFont="1">
      <alignment readingOrder="0"/>
    </xf>
    <xf borderId="9" fillId="21" fontId="13" numFmtId="0" xfId="0" applyAlignment="1" applyBorder="1" applyFont="1">
      <alignment horizontal="center"/>
    </xf>
    <xf borderId="6" fillId="21" fontId="13" numFmtId="166" xfId="0" applyAlignment="1" applyBorder="1" applyFont="1" applyNumberFormat="1">
      <alignment horizontal="center" readingOrder="0"/>
    </xf>
    <xf borderId="8" fillId="16" fontId="15" numFmtId="0" xfId="0" applyAlignment="1" applyBorder="1" applyFont="1">
      <alignment readingOrder="0" shrinkToFit="0" vertical="bottom" wrapText="0"/>
    </xf>
    <xf borderId="9" fillId="16" fontId="15" numFmtId="0" xfId="0" applyAlignment="1" applyBorder="1" applyFont="1">
      <alignment horizontal="center" shrinkToFit="0" vertical="bottom" wrapText="0"/>
    </xf>
    <xf borderId="9" fillId="16" fontId="15" numFmtId="166" xfId="0" applyAlignment="1" applyBorder="1" applyFont="1" applyNumberFormat="1">
      <alignment horizontal="center" readingOrder="0" shrinkToFit="0" vertical="bottom" wrapText="0"/>
    </xf>
    <xf borderId="9" fillId="16" fontId="5" numFmtId="166" xfId="0" applyAlignment="1" applyBorder="1" applyFont="1" applyNumberFormat="1">
      <alignment horizontal="center" readingOrder="0"/>
    </xf>
    <xf borderId="8" fillId="16" fontId="21" numFmtId="166" xfId="0" applyAlignment="1" applyBorder="1" applyFont="1" applyNumberFormat="1">
      <alignment horizontal="center" readingOrder="0" vertical="bottom"/>
    </xf>
    <xf borderId="9" fillId="16" fontId="15" numFmtId="0" xfId="0" applyAlignment="1" applyBorder="1" applyFont="1">
      <alignment horizontal="center" readingOrder="0" shrinkToFit="0" vertical="bottom" wrapText="0"/>
    </xf>
    <xf borderId="9" fillId="16" fontId="15" numFmtId="166" xfId="0" applyAlignment="1" applyBorder="1" applyFont="1" applyNumberFormat="1">
      <alignment horizontal="center" shrinkToFit="0" vertical="bottom" wrapText="0"/>
    </xf>
    <xf borderId="8" fillId="18" fontId="13" numFmtId="0" xfId="0" applyAlignment="1" applyBorder="1" applyFont="1">
      <alignment readingOrder="0"/>
    </xf>
    <xf borderId="9" fillId="18" fontId="13" numFmtId="0" xfId="0" applyAlignment="1" applyBorder="1" applyFont="1">
      <alignment horizontal="center"/>
    </xf>
    <xf borderId="9" fillId="18" fontId="16" numFmtId="166" xfId="0" applyAlignment="1" applyBorder="1" applyFont="1" applyNumberFormat="1">
      <alignment horizontal="center" readingOrder="0"/>
    </xf>
    <xf borderId="9" fillId="18" fontId="5" numFmtId="166" xfId="0" applyAlignment="1" applyBorder="1" applyFont="1" applyNumberFormat="1">
      <alignment horizontal="center" readingOrder="0"/>
    </xf>
    <xf borderId="10" fillId="18" fontId="13" numFmtId="0" xfId="0" applyAlignment="1" applyBorder="1" applyFont="1">
      <alignment readingOrder="0"/>
    </xf>
    <xf borderId="11" fillId="18" fontId="13" numFmtId="0" xfId="0" applyAlignment="1" applyBorder="1" applyFont="1">
      <alignment horizontal="center"/>
    </xf>
    <xf borderId="5" fillId="18" fontId="13" numFmtId="166" xfId="0" applyAlignment="1" applyBorder="1" applyFont="1" applyNumberFormat="1">
      <alignment readingOrder="0"/>
    </xf>
    <xf borderId="0" fillId="0" fontId="15" numFmtId="0" xfId="0" applyAlignment="1" applyFont="1">
      <alignment horizontal="center" shrinkToFit="0" vertical="bottom" wrapText="0"/>
    </xf>
    <xf borderId="6" fillId="0" fontId="14" numFmtId="0" xfId="0" applyAlignment="1" applyBorder="1" applyFont="1">
      <alignment horizontal="center" vertical="bottom"/>
    </xf>
    <xf borderId="7" fillId="22" fontId="14" numFmtId="0" xfId="0" applyAlignment="1" applyBorder="1" applyFill="1" applyFont="1">
      <alignment horizontal="center" readingOrder="0" vertical="center"/>
    </xf>
    <xf borderId="8" fillId="8" fontId="17" numFmtId="0" xfId="0" applyAlignment="1" applyBorder="1" applyFont="1">
      <alignment readingOrder="0" shrinkToFit="0" vertical="bottom" wrapText="0"/>
    </xf>
    <xf borderId="9" fillId="8" fontId="17" numFmtId="166" xfId="0" applyAlignment="1" applyBorder="1" applyFont="1" applyNumberFormat="1">
      <alignment horizontal="center" readingOrder="0" shrinkToFit="0" vertical="bottom" wrapText="0"/>
    </xf>
    <xf borderId="6" fillId="8" fontId="18" numFmtId="166" xfId="0" applyAlignment="1" applyBorder="1" applyFont="1" applyNumberFormat="1">
      <alignment horizontal="right" readingOrder="0"/>
    </xf>
    <xf borderId="6" fillId="8" fontId="18" numFmtId="166" xfId="0" applyAlignment="1" applyBorder="1" applyFont="1" applyNumberFormat="1">
      <alignment horizontal="center" readingOrder="0"/>
    </xf>
    <xf borderId="9" fillId="8" fontId="18" numFmtId="166" xfId="0" applyAlignment="1" applyBorder="1" applyFont="1" applyNumberFormat="1">
      <alignment horizontal="right" readingOrder="0"/>
    </xf>
    <xf borderId="9" fillId="8" fontId="18" numFmtId="166" xfId="0" applyAlignment="1" applyBorder="1" applyFont="1" applyNumberFormat="1">
      <alignment horizontal="center" readingOrder="0"/>
    </xf>
    <xf borderId="8" fillId="8" fontId="17" numFmtId="0" xfId="0" applyAlignment="1" applyBorder="1" applyFont="1">
      <alignment shrinkToFit="0" vertical="bottom" wrapText="0"/>
    </xf>
    <xf borderId="9" fillId="8" fontId="17" numFmtId="166" xfId="0" applyAlignment="1" applyBorder="1" applyFont="1" applyNumberFormat="1">
      <alignment horizontal="center" shrinkToFit="0" vertical="bottom" wrapText="0"/>
    </xf>
    <xf borderId="9" fillId="8" fontId="18" numFmtId="166" xfId="0" applyAlignment="1" applyBorder="1" applyFont="1" applyNumberFormat="1">
      <alignment horizontal="right"/>
    </xf>
    <xf borderId="9" fillId="18" fontId="13" numFmtId="166" xfId="0" applyAlignment="1" applyBorder="1" applyFont="1" applyNumberFormat="1">
      <alignment horizontal="center" readingOrder="0"/>
    </xf>
    <xf borderId="9" fillId="18" fontId="16" numFmtId="166" xfId="0" applyAlignment="1" applyBorder="1" applyFont="1" applyNumberFormat="1">
      <alignment horizontal="right" readingOrder="0"/>
    </xf>
    <xf borderId="5" fillId="18" fontId="13" numFmtId="0" xfId="0" applyAlignment="1" applyBorder="1" applyFont="1">
      <alignment readingOrder="0"/>
    </xf>
    <xf borderId="6" fillId="18" fontId="13" numFmtId="0" xfId="0" applyAlignment="1" applyBorder="1" applyFont="1">
      <alignment horizontal="center"/>
    </xf>
    <xf borderId="6" fillId="18" fontId="13" numFmtId="166" xfId="0" applyAlignment="1" applyBorder="1" applyFont="1" applyNumberFormat="1">
      <alignment horizontal="right" readingOrder="0"/>
    </xf>
    <xf borderId="6" fillId="15" fontId="19" numFmtId="0" xfId="0" applyAlignment="1" applyBorder="1" applyFont="1">
      <alignment horizontal="center" shrinkToFit="0" wrapText="0"/>
    </xf>
    <xf borderId="7" fillId="22" fontId="14" numFmtId="0" xfId="0" applyAlignment="1" applyBorder="1" applyFont="1">
      <alignment horizontal="center" readingOrder="0"/>
    </xf>
    <xf borderId="9" fillId="18" fontId="13" numFmtId="166" xfId="0" applyAlignment="1" applyBorder="1" applyFont="1" applyNumberFormat="1">
      <alignment horizontal="right" readingOrder="0"/>
    </xf>
    <xf borderId="9" fillId="17" fontId="15" numFmtId="166" xfId="0" applyAlignment="1" applyBorder="1" applyFont="1" applyNumberFormat="1">
      <alignment horizontal="right" readingOrder="0" shrinkToFit="0" vertical="bottom" wrapText="0"/>
    </xf>
    <xf borderId="0" fillId="23" fontId="1" numFmtId="0" xfId="0" applyAlignment="1" applyFill="1" applyFont="1">
      <alignment horizontal="center" readingOrder="0"/>
    </xf>
    <xf borderId="0" fillId="19" fontId="1" numFmtId="0" xfId="0" applyAlignment="1" applyFont="1">
      <alignment horizontal="center" readingOrder="0"/>
    </xf>
    <xf borderId="0" fillId="21" fontId="1" numFmtId="0" xfId="0" applyAlignment="1" applyFont="1">
      <alignment readingOrder="0"/>
    </xf>
    <xf borderId="0" fillId="21" fontId="1" numFmtId="0" xfId="0" applyAlignment="1" applyFont="1">
      <alignment horizontal="center"/>
    </xf>
    <xf borderId="0" fillId="22" fontId="1" numFmtId="0" xfId="0" applyAlignment="1" applyFont="1">
      <alignment horizontal="center" readingOrder="0"/>
    </xf>
    <xf borderId="0" fillId="11" fontId="1" numFmtId="0" xfId="0" applyAlignment="1" applyFont="1">
      <alignment readingOrder="0"/>
    </xf>
    <xf borderId="0" fillId="11" fontId="1" numFmtId="0" xfId="0" applyAlignment="1" applyFont="1">
      <alignment horizontal="center" readingOrder="0"/>
    </xf>
    <xf borderId="0" fillId="22" fontId="1" numFmtId="0" xfId="0" applyAlignment="1" applyFont="1">
      <alignment readingOrder="0"/>
    </xf>
    <xf borderId="0" fillId="24" fontId="2" numFmtId="0" xfId="0" applyAlignment="1" applyFill="1" applyFont="1">
      <alignment horizontal="center"/>
    </xf>
    <xf borderId="0" fillId="24" fontId="1" numFmtId="0" xfId="0" applyAlignment="1" applyFont="1">
      <alignment readingOrder="0"/>
    </xf>
    <xf borderId="0" fillId="25" fontId="23" numFmtId="0" xfId="0" applyAlignment="1" applyFill="1" applyFont="1">
      <alignment horizontal="center" readingOrder="0"/>
    </xf>
    <xf borderId="0" fillId="0" fontId="1" numFmtId="166" xfId="0" applyAlignment="1" applyFont="1" applyNumberFormat="1">
      <alignment horizontal="center"/>
    </xf>
    <xf borderId="0" fillId="0" fontId="3" numFmtId="0" xfId="0" applyAlignment="1" applyFont="1">
      <alignment horizontal="center" readingOrder="0"/>
    </xf>
    <xf borderId="0" fillId="4" fontId="3" numFmtId="0" xfId="0" applyAlignment="1" applyFont="1">
      <alignment horizontal="center" readingOrder="0"/>
    </xf>
    <xf borderId="0" fillId="4" fontId="3" numFmtId="0" xfId="0" applyAlignment="1" applyFont="1">
      <alignment readingOrder="0"/>
    </xf>
    <xf borderId="0" fillId="26" fontId="3" numFmtId="0" xfId="0" applyAlignment="1" applyFill="1" applyFont="1">
      <alignment horizontal="center" readingOrder="0"/>
    </xf>
    <xf borderId="0" fillId="26" fontId="3" numFmtId="0" xfId="0" applyAlignment="1" applyFont="1">
      <alignment readingOrder="0"/>
    </xf>
    <xf borderId="0" fillId="27" fontId="1" numFmtId="0" xfId="0" applyAlignment="1" applyFill="1" applyFont="1">
      <alignment horizontal="center" readingOrder="0"/>
    </xf>
    <xf borderId="0" fillId="27" fontId="1" numFmtId="0" xfId="0" applyAlignment="1" applyFont="1">
      <alignment horizontal="center"/>
    </xf>
    <xf borderId="0" fillId="19" fontId="2" numFmtId="0" xfId="0" applyAlignment="1" applyFont="1">
      <alignment readingOrder="0"/>
    </xf>
    <xf borderId="12" fillId="28" fontId="7" numFmtId="0" xfId="0" applyAlignment="1" applyBorder="1" applyFill="1" applyFont="1">
      <alignment horizontal="center" readingOrder="0"/>
    </xf>
    <xf borderId="13" fillId="28" fontId="7" numFmtId="0" xfId="0" applyAlignment="1" applyBorder="1" applyFont="1">
      <alignment horizontal="center" readingOrder="0"/>
    </xf>
    <xf borderId="0" fillId="8" fontId="7" numFmtId="0" xfId="0" applyAlignment="1" applyFont="1">
      <alignment horizontal="left" readingOrder="0"/>
    </xf>
    <xf borderId="0" fillId="8" fontId="7" numFmtId="0" xfId="0" applyAlignment="1" applyFont="1">
      <alignment horizontal="center" readingOrder="0"/>
    </xf>
    <xf borderId="14" fillId="0" fontId="1" numFmtId="0" xfId="0" applyAlignment="1" applyBorder="1" applyFont="1">
      <alignment horizontal="left" readingOrder="0"/>
    </xf>
    <xf borderId="15" fillId="0" fontId="1" numFmtId="0" xfId="0" applyAlignment="1" applyBorder="1" applyFont="1">
      <alignment horizontal="center" readingOrder="0"/>
    </xf>
    <xf borderId="14" fillId="0" fontId="1" numFmtId="0" xfId="0" applyAlignment="1" applyBorder="1" applyFont="1">
      <alignment horizontal="center"/>
    </xf>
    <xf borderId="15" fillId="0" fontId="1" numFmtId="0" xfId="0" applyAlignment="1" applyBorder="1" applyFont="1">
      <alignment horizontal="center"/>
    </xf>
    <xf borderId="14" fillId="0" fontId="1" numFmtId="0" xfId="0" applyAlignment="1" applyBorder="1" applyFont="1">
      <alignment horizontal="center" readingOrder="0"/>
    </xf>
    <xf borderId="16" fillId="0" fontId="1" numFmtId="0" xfId="0" applyAlignment="1" applyBorder="1" applyFont="1">
      <alignment horizontal="center" readingOrder="0"/>
    </xf>
    <xf borderId="17" fillId="0" fontId="1" numFmtId="0" xfId="0" applyAlignment="1" applyBorder="1" applyFont="1">
      <alignment horizontal="center" readingOrder="0"/>
    </xf>
    <xf borderId="0" fillId="22" fontId="7" numFmtId="0" xfId="0" applyAlignment="1" applyFont="1">
      <alignment horizontal="left" readingOrder="0"/>
    </xf>
    <xf borderId="0" fillId="22" fontId="7" numFmtId="0" xfId="0" applyAlignment="1" applyFont="1">
      <alignment horizontal="center" readingOrder="0"/>
    </xf>
    <xf borderId="0" fillId="16" fontId="7" numFmtId="0" xfId="0" applyAlignment="1" applyFont="1">
      <alignment horizontal="left" readingOrder="0"/>
    </xf>
    <xf borderId="0" fillId="16" fontId="7" numFmtId="0" xfId="0" applyAlignment="1" applyFont="1">
      <alignment horizontal="center" readingOrder="0"/>
    </xf>
    <xf borderId="0" fillId="29" fontId="7" numFmtId="0" xfId="0" applyAlignment="1" applyFill="1" applyFont="1">
      <alignment readingOrder="0"/>
    </xf>
    <xf borderId="0" fillId="29" fontId="7" numFmtId="166" xfId="0" applyAlignment="1" applyFont="1" applyNumberFormat="1">
      <alignment horizontal="center"/>
    </xf>
    <xf borderId="0" fillId="8" fontId="7" numFmtId="0" xfId="0" applyAlignment="1" applyFont="1">
      <alignment readingOrder="0"/>
    </xf>
    <xf borderId="0" fillId="8" fontId="7" numFmtId="166" xfId="0" applyAlignment="1" applyFont="1" applyNumberFormat="1">
      <alignment horizontal="center"/>
    </xf>
    <xf borderId="12" fillId="0" fontId="1" numFmtId="0" xfId="0" applyAlignment="1" applyBorder="1" applyFont="1">
      <alignment readingOrder="0"/>
    </xf>
    <xf borderId="13" fillId="24" fontId="1" numFmtId="166" xfId="0" applyAlignment="1" applyBorder="1" applyFont="1" applyNumberFormat="1">
      <alignment horizontal="center"/>
    </xf>
    <xf borderId="0" fillId="24" fontId="1" numFmtId="166" xfId="0" applyAlignment="1" applyFont="1" applyNumberFormat="1">
      <alignment horizontal="center"/>
    </xf>
    <xf borderId="14" fillId="0" fontId="1" numFmtId="0" xfId="0" applyBorder="1" applyFont="1"/>
    <xf borderId="15" fillId="0" fontId="1" numFmtId="0" xfId="0" applyBorder="1" applyFont="1"/>
    <xf borderId="14" fillId="0" fontId="1" numFmtId="0" xfId="0" applyAlignment="1" applyBorder="1" applyFont="1">
      <alignment readingOrder="0"/>
    </xf>
    <xf borderId="0" fillId="17" fontId="1" numFmtId="166" xfId="0" applyAlignment="1" applyFont="1" applyNumberFormat="1">
      <alignment horizontal="center"/>
    </xf>
    <xf borderId="0" fillId="12" fontId="1" numFmtId="0" xfId="0" applyFont="1"/>
    <xf borderId="0" fillId="12" fontId="1" numFmtId="0" xfId="0" applyAlignment="1" applyFont="1">
      <alignment readingOrder="0"/>
    </xf>
    <xf borderId="14" fillId="0" fontId="2" numFmtId="0" xfId="0" applyAlignment="1" applyBorder="1" applyFont="1">
      <alignment horizontal="left" readingOrder="0"/>
    </xf>
    <xf borderId="0" fillId="24" fontId="1" numFmtId="0" xfId="0" applyFont="1"/>
    <xf borderId="16" fillId="0" fontId="1" numFmtId="0" xfId="0" applyAlignment="1" applyBorder="1" applyFont="1">
      <alignment horizontal="center"/>
    </xf>
    <xf borderId="18" fillId="0" fontId="1" numFmtId="0" xfId="0" applyBorder="1" applyFont="1"/>
    <xf borderId="17" fillId="0" fontId="1" numFmtId="0" xfId="0" applyBorder="1" applyFont="1"/>
    <xf borderId="12" fillId="0" fontId="1" numFmtId="0" xfId="0" applyAlignment="1" applyBorder="1" applyFont="1">
      <alignment horizontal="left" readingOrder="0"/>
    </xf>
    <xf borderId="13" fillId="0" fontId="1" numFmtId="0" xfId="0" applyBorder="1" applyFont="1"/>
    <xf borderId="9" fillId="30" fontId="18" numFmtId="166" xfId="0" applyAlignment="1" applyBorder="1" applyFill="1" applyFont="1" applyNumberFormat="1">
      <alignment horizontal="center" readingOrder="0"/>
    </xf>
    <xf borderId="15" fillId="0" fontId="1" numFmtId="0" xfId="0" applyAlignment="1" applyBorder="1" applyFont="1">
      <alignment horizontal="left" readingOrder="0"/>
    </xf>
    <xf borderId="15" fillId="0" fontId="2" numFmtId="0" xfId="0" applyAlignment="1" applyBorder="1" applyFont="1">
      <alignment horizontal="left" readingOrder="0"/>
    </xf>
    <xf borderId="14" fillId="0" fontId="1" numFmtId="0" xfId="0" applyAlignment="1" applyBorder="1" applyFont="1">
      <alignment horizontal="left" readingOrder="0"/>
    </xf>
    <xf borderId="16" fillId="0" fontId="3" numFmtId="0" xfId="0" applyAlignment="1" applyBorder="1" applyFont="1">
      <alignment horizontal="center" readingOrder="0"/>
    </xf>
    <xf borderId="18" fillId="0" fontId="3" numFmtId="0" xfId="0" applyAlignment="1" applyBorder="1" applyFont="1">
      <alignment readingOrder="0"/>
    </xf>
    <xf borderId="15" fillId="0" fontId="2" numFmtId="0" xfId="0" applyAlignment="1" applyBorder="1" applyFont="1">
      <alignment horizontal="left"/>
    </xf>
    <xf borderId="0" fillId="2" fontId="13" numFmtId="0" xfId="0" applyAlignment="1" applyFont="1">
      <alignment readingOrder="0"/>
    </xf>
    <xf borderId="0" fillId="2" fontId="13" numFmtId="0" xfId="0" applyFont="1"/>
    <xf borderId="0" fillId="2" fontId="13" numFmtId="0" xfId="0" applyAlignment="1" applyFont="1">
      <alignment horizontal="right" readingOrder="0"/>
    </xf>
    <xf borderId="0" fillId="0" fontId="2" numFmtId="0" xfId="0" applyAlignment="1" applyFont="1">
      <alignment horizontal="left"/>
    </xf>
    <xf borderId="0" fillId="0" fontId="6" numFmtId="0" xfId="0" applyFont="1"/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1" fillId="5" fontId="1" numFmtId="0" xfId="0" applyAlignment="1" applyBorder="1" applyFont="1">
      <alignment horizontal="left" readingOrder="0"/>
    </xf>
    <xf borderId="0" fillId="0" fontId="6" numFmtId="0" xfId="0" applyAlignment="1" applyFont="1">
      <alignment readingOrder="0"/>
    </xf>
    <xf borderId="0" fillId="0" fontId="24" numFmtId="0" xfId="0" applyAlignment="1" applyFont="1">
      <alignment readingOrder="0"/>
    </xf>
    <xf borderId="7" fillId="17" fontId="14" numFmtId="0" xfId="0" applyAlignment="1" applyBorder="1" applyFont="1">
      <alignment horizontal="center" readingOrder="0"/>
    </xf>
    <xf borderId="7" fillId="0" fontId="14" numFmtId="0" xfId="0" applyAlignment="1" applyBorder="1" applyFont="1">
      <alignment horizontal="center" readingOrder="0"/>
    </xf>
    <xf borderId="16" fillId="0" fontId="1" numFmtId="0" xfId="0" applyAlignment="1" applyBorder="1" applyFont="1">
      <alignment horizontal="left" readingOrder="0"/>
    </xf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horizontal="center" readingOrder="0"/>
    </xf>
    <xf borderId="9" fillId="0" fontId="5" numFmtId="0" xfId="0" applyAlignment="1" applyBorder="1" applyFont="1">
      <alignment readingOrder="0"/>
    </xf>
    <xf borderId="0" fillId="0" fontId="7" numFmtId="0" xfId="0" applyAlignment="1" applyFont="1">
      <alignment horizontal="left" readingOrder="0"/>
    </xf>
    <xf borderId="0" fillId="17" fontId="6" numFmtId="0" xfId="0" applyAlignment="1" applyFont="1">
      <alignment horizontal="right" readingOrder="0"/>
    </xf>
    <xf borderId="0" fillId="17" fontId="6" numFmtId="166" xfId="0" applyAlignment="1" applyFont="1" applyNumberFormat="1">
      <alignment horizontal="center" readingOrder="0"/>
    </xf>
    <xf borderId="0" fillId="0" fontId="15" numFmtId="166" xfId="0" applyAlignment="1" applyFont="1" applyNumberFormat="1">
      <alignment horizontal="right" readingOrder="0" shrinkToFit="0" vertical="bottom" wrapText="0"/>
    </xf>
    <xf borderId="0" fillId="0" fontId="25" numFmtId="166" xfId="0" applyAlignment="1" applyFont="1" applyNumberFormat="1">
      <alignment horizontal="right" readingOrder="0" shrinkToFit="0" vertical="bottom" wrapText="0"/>
    </xf>
    <xf borderId="0" fillId="0" fontId="26" numFmtId="166" xfId="0" applyAlignment="1" applyFont="1" applyNumberFormat="1">
      <alignment horizontal="right" readingOrder="0" shrinkToFit="0" vertical="bottom" wrapText="0"/>
    </xf>
    <xf borderId="0" fillId="0" fontId="6" numFmtId="0" xfId="0" applyAlignment="1" applyFont="1">
      <alignment horizontal="right" readingOrder="0"/>
    </xf>
    <xf borderId="0" fillId="0" fontId="6" numFmtId="166" xfId="0" applyAlignment="1" applyFont="1" applyNumberFormat="1">
      <alignment readingOrder="0"/>
    </xf>
    <xf borderId="0" fillId="17" fontId="6" numFmtId="166" xfId="0" applyAlignment="1" applyFont="1" applyNumberFormat="1">
      <alignment readingOrder="0"/>
    </xf>
    <xf borderId="0" fillId="31" fontId="6" numFmtId="166" xfId="0" applyAlignment="1" applyFill="1" applyFont="1" applyNumberFormat="1">
      <alignment horizontal="right" readingOrder="0"/>
    </xf>
    <xf borderId="0" fillId="0" fontId="6" numFmtId="0" xfId="0" applyAlignment="1" applyFont="1">
      <alignment horizontal="right"/>
    </xf>
    <xf borderId="0" fillId="0" fontId="15" numFmtId="166" xfId="0" applyAlignment="1" applyFont="1" applyNumberFormat="1">
      <alignment horizontal="right" shrinkToFit="0" vertical="bottom" wrapText="0"/>
    </xf>
    <xf borderId="0" fillId="0" fontId="6" numFmtId="166" xfId="0" applyFont="1" applyNumberFormat="1"/>
    <xf borderId="8" fillId="32" fontId="15" numFmtId="0" xfId="0" applyAlignment="1" applyBorder="1" applyFill="1" applyFont="1">
      <alignment readingOrder="0" shrinkToFit="0" vertical="bottom" wrapText="0"/>
    </xf>
    <xf borderId="9" fillId="32" fontId="15" numFmtId="0" xfId="0" applyAlignment="1" applyBorder="1" applyFont="1">
      <alignment shrinkToFit="0" vertical="bottom" wrapText="0"/>
    </xf>
    <xf borderId="9" fillId="32" fontId="15" numFmtId="166" xfId="0" applyAlignment="1" applyBorder="1" applyFont="1" applyNumberFormat="1">
      <alignment horizontal="right" readingOrder="0" shrinkToFit="0" vertical="bottom" wrapText="0"/>
    </xf>
    <xf borderId="0" fillId="17" fontId="6" numFmtId="166" xfId="0" applyFont="1" applyNumberFormat="1"/>
    <xf borderId="0" fillId="0" fontId="1" numFmtId="0" xfId="0" applyAlignment="1" applyFont="1">
      <alignment horizontal="left"/>
    </xf>
    <xf borderId="0" fillId="20" fontId="15" numFmtId="166" xfId="0" applyAlignment="1" applyFont="1" applyNumberFormat="1">
      <alignment horizontal="right" readingOrder="0" shrinkToFit="0" vertical="bottom" wrapText="0"/>
    </xf>
    <xf borderId="6" fillId="0" fontId="5" numFmtId="166" xfId="0" applyAlignment="1" applyBorder="1" applyFont="1" applyNumberFormat="1">
      <alignment horizontal="center" readingOrder="0"/>
    </xf>
    <xf borderId="9" fillId="0" fontId="5" numFmtId="166" xfId="0" applyAlignment="1" applyBorder="1" applyFont="1" applyNumberFormat="1">
      <alignment horizontal="center" readingOrder="0"/>
    </xf>
    <xf borderId="0" fillId="18" fontId="1" numFmtId="0" xfId="0" applyAlignment="1" applyFont="1">
      <alignment horizontal="center" readingOrder="0"/>
    </xf>
    <xf borderId="3" fillId="0" fontId="1" numFmtId="0" xfId="0" applyAlignment="1" applyBorder="1" applyFont="1">
      <alignment readingOrder="0"/>
    </xf>
    <xf borderId="0" fillId="11" fontId="2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11" fontId="2" numFmtId="0" xfId="0" applyAlignment="1" applyFont="1">
      <alignment horizontal="center"/>
    </xf>
    <xf borderId="14" fillId="4" fontId="1" numFmtId="0" xfId="0" applyAlignment="1" applyBorder="1" applyFont="1">
      <alignment readingOrder="0"/>
    </xf>
    <xf borderId="0" fillId="4" fontId="1" numFmtId="0" xfId="0" applyAlignment="1" applyFont="1">
      <alignment readingOrder="0"/>
    </xf>
    <xf borderId="0" fillId="0" fontId="2" numFmtId="0" xfId="0" applyFont="1"/>
    <xf borderId="14" fillId="18" fontId="1" numFmtId="0" xfId="0" applyAlignment="1" applyBorder="1" applyFont="1">
      <alignment readingOrder="0"/>
    </xf>
    <xf borderId="0" fillId="18" fontId="1" numFmtId="0" xfId="0" applyFont="1"/>
    <xf borderId="0" fillId="31" fontId="7" numFmtId="0" xfId="0" applyAlignment="1" applyFont="1">
      <alignment horizontal="center" readingOrder="0"/>
    </xf>
    <xf borderId="0" fillId="31" fontId="7" numFmtId="0" xfId="0" applyAlignment="1" applyFont="1">
      <alignment horizontal="center"/>
    </xf>
    <xf borderId="16" fillId="0" fontId="1" numFmtId="0" xfId="0" applyBorder="1" applyFont="1"/>
    <xf borderId="9" fillId="3" fontId="15" numFmtId="166" xfId="0" applyAlignment="1" applyBorder="1" applyFont="1" applyNumberFormat="1">
      <alignment horizontal="right" readingOrder="0" shrinkToFit="0" vertical="bottom" wrapText="0"/>
    </xf>
    <xf borderId="19" fillId="11" fontId="14" numFmtId="0" xfId="0" applyAlignment="1" applyBorder="1" applyFont="1">
      <alignment horizontal="center" readingOrder="0"/>
    </xf>
    <xf borderId="11" fillId="14" fontId="18" numFmtId="166" xfId="0" applyAlignment="1" applyBorder="1" applyFont="1" applyNumberFormat="1">
      <alignment horizontal="right" readingOrder="0"/>
    </xf>
    <xf borderId="20" fillId="14" fontId="18" numFmtId="166" xfId="0" applyAlignment="1" applyBorder="1" applyFont="1" applyNumberFormat="1">
      <alignment horizontal="right" readingOrder="0"/>
    </xf>
    <xf borderId="20" fillId="14" fontId="18" numFmtId="166" xfId="0" applyAlignment="1" applyBorder="1" applyFont="1" applyNumberFormat="1">
      <alignment horizontal="right"/>
    </xf>
    <xf borderId="0" fillId="0" fontId="1" numFmtId="167" xfId="0" applyAlignment="1" applyFont="1" applyNumberFormat="1">
      <alignment readingOrder="0"/>
    </xf>
    <xf borderId="20" fillId="2" fontId="16" numFmtId="166" xfId="0" applyAlignment="1" applyBorder="1" applyFont="1" applyNumberFormat="1">
      <alignment horizontal="right" readingOrder="0"/>
    </xf>
    <xf borderId="11" fillId="2" fontId="13" numFmtId="166" xfId="0" applyAlignment="1" applyBorder="1" applyFont="1" applyNumberFormat="1">
      <alignment horizontal="right" readingOrder="0"/>
    </xf>
    <xf borderId="0" fillId="4" fontId="1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25" fontId="27" numFmtId="0" xfId="0" applyAlignment="1" applyFont="1">
      <alignment readingOrder="0"/>
    </xf>
    <xf borderId="0" fillId="0" fontId="7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33" fontId="2" numFmtId="166" xfId="0" applyFill="1" applyFont="1" applyNumberFormat="1"/>
    <xf borderId="20" fillId="14" fontId="18" numFmtId="166" xfId="0" applyAlignment="1" applyBorder="1" applyFont="1" applyNumberFormat="1">
      <alignment horizontal="center" readingOrder="0"/>
    </xf>
    <xf borderId="11" fillId="2" fontId="13" numFmtId="166" xfId="0" applyAlignment="1" applyBorder="1" applyFont="1" applyNumberFormat="1">
      <alignment horizontal="center" readingOrder="0"/>
    </xf>
    <xf borderId="9" fillId="2" fontId="13" numFmtId="166" xfId="0" applyAlignment="1" applyBorder="1" applyFont="1" applyNumberFormat="1">
      <alignment horizontal="center" readingOrder="0"/>
    </xf>
    <xf borderId="0" fillId="0" fontId="9" numFmtId="0" xfId="0" applyAlignment="1" applyFont="1">
      <alignment vertical="bottom"/>
    </xf>
    <xf borderId="20" fillId="0" fontId="9" numFmtId="0" xfId="0" applyAlignment="1" applyBorder="1" applyFont="1">
      <alignment vertical="bottom"/>
    </xf>
    <xf borderId="8" fillId="0" fontId="28" numFmtId="0" xfId="0" applyAlignment="1" applyBorder="1" applyFont="1">
      <alignment horizontal="center" readingOrder="0" vertical="bottom"/>
    </xf>
    <xf borderId="8" fillId="0" fontId="5" numFmtId="166" xfId="0" applyAlignment="1" applyBorder="1" applyFont="1" applyNumberFormat="1">
      <alignment horizontal="center" vertical="bottom"/>
    </xf>
    <xf borderId="21" fillId="0" fontId="9" numFmtId="166" xfId="0" applyAlignment="1" applyBorder="1" applyFont="1" applyNumberFormat="1">
      <alignment vertical="bottom"/>
    </xf>
    <xf borderId="8" fillId="2" fontId="13" numFmtId="166" xfId="0" applyAlignment="1" applyBorder="1" applyFont="1" applyNumberFormat="1">
      <alignment horizontal="right" vertical="bottom"/>
    </xf>
    <xf borderId="8" fillId="0" fontId="13" numFmtId="0" xfId="0" applyAlignment="1" applyBorder="1" applyFont="1">
      <alignment horizontal="center" readingOrder="0" vertical="bottom"/>
    </xf>
    <xf borderId="8" fillId="12" fontId="21" numFmtId="166" xfId="0" applyAlignment="1" applyBorder="1" applyFont="1" applyNumberFormat="1">
      <alignment horizontal="right" vertical="bottom"/>
    </xf>
    <xf borderId="9" fillId="0" fontId="15" numFmtId="166" xfId="0" applyAlignment="1" applyBorder="1" applyFont="1" applyNumberFormat="1">
      <alignment horizontal="right" readingOrder="0" shrinkToFit="0" vertical="bottom" wrapText="0"/>
    </xf>
    <xf borderId="8" fillId="12" fontId="9" numFmtId="166" xfId="0" applyAlignment="1" applyBorder="1" applyFont="1" applyNumberFormat="1">
      <alignment vertical="bottom"/>
    </xf>
    <xf borderId="8" fillId="2" fontId="16" numFmtId="166" xfId="0" applyAlignment="1" applyBorder="1" applyFont="1" applyNumberFormat="1">
      <alignment horizontal="right" vertical="bottom"/>
    </xf>
    <xf borderId="1" fillId="33" fontId="1" numFmtId="0" xfId="0" applyBorder="1" applyFont="1"/>
    <xf borderId="1" fillId="0" fontId="1" numFmtId="166" xfId="0" applyBorder="1" applyFont="1" applyNumberFormat="1"/>
    <xf borderId="1" fillId="34" fontId="1" numFmtId="0" xfId="0" applyBorder="1" applyFill="1" applyFont="1"/>
    <xf borderId="0" fillId="0" fontId="2" numFmtId="166" xfId="0" applyFont="1" applyNumberFormat="1"/>
    <xf borderId="0" fillId="34" fontId="7" numFmtId="0" xfId="0" applyAlignment="1" applyFont="1">
      <alignment horizontal="center" readingOrder="0"/>
    </xf>
    <xf borderId="21" fillId="11" fontId="28" numFmtId="0" xfId="0" applyAlignment="1" applyBorder="1" applyFont="1">
      <alignment horizontal="center" vertical="bottom"/>
    </xf>
    <xf borderId="21" fillId="14" fontId="9" numFmtId="166" xfId="0" applyAlignment="1" applyBorder="1" applyFont="1" applyNumberFormat="1">
      <alignment vertical="bottom"/>
    </xf>
    <xf borderId="21" fillId="14" fontId="18" numFmtId="166" xfId="0" applyAlignment="1" applyBorder="1" applyFont="1" applyNumberFormat="1">
      <alignment horizontal="center" vertical="bottom"/>
    </xf>
    <xf borderId="8" fillId="14" fontId="18" numFmtId="166" xfId="0" applyAlignment="1" applyBorder="1" applyFont="1" applyNumberFormat="1">
      <alignment horizontal="center" vertical="bottom"/>
    </xf>
    <xf borderId="21" fillId="2" fontId="16" numFmtId="166" xfId="0" applyAlignment="1" applyBorder="1" applyFont="1" applyNumberFormat="1">
      <alignment horizontal="right" vertical="bottom"/>
    </xf>
    <xf borderId="21" fillId="2" fontId="13" numFmtId="166" xfId="0" applyAlignment="1" applyBorder="1" applyFont="1" applyNumberFormat="1">
      <alignment horizontal="center" vertical="bottom"/>
    </xf>
    <xf borderId="8" fillId="11" fontId="28" numFmtId="0" xfId="0" applyAlignment="1" applyBorder="1" applyFont="1">
      <alignment horizontal="center" vertical="bottom"/>
    </xf>
    <xf borderId="8" fillId="0" fontId="9" numFmtId="166" xfId="0" applyAlignment="1" applyBorder="1" applyFont="1" applyNumberFormat="1">
      <alignment vertical="bottom"/>
    </xf>
    <xf borderId="8" fillId="0" fontId="5" numFmtId="166" xfId="0" applyAlignment="1" applyBorder="1" applyFont="1" applyNumberFormat="1">
      <alignment horizontal="center" vertical="bottom"/>
    </xf>
    <xf borderId="8" fillId="2" fontId="9" numFmtId="166" xfId="0" applyAlignment="1" applyBorder="1" applyFont="1" applyNumberFormat="1">
      <alignment vertical="bottom"/>
    </xf>
    <xf borderId="8" fillId="2" fontId="13" numFmtId="166" xfId="0" applyAlignment="1" applyBorder="1" applyFont="1" applyNumberFormat="1">
      <alignment horizontal="center" vertical="bottom"/>
    </xf>
    <xf borderId="8" fillId="17" fontId="21" numFmtId="166" xfId="0" applyAlignment="1" applyBorder="1" applyFont="1" applyNumberFormat="1">
      <alignment horizontal="right" readingOrder="0" vertical="bottom"/>
    </xf>
    <xf borderId="9" fillId="25" fontId="15" numFmtId="166" xfId="0" applyAlignment="1" applyBorder="1" applyFont="1" applyNumberFormat="1">
      <alignment horizontal="right" readingOrder="0" shrinkToFit="0" vertical="bottom" wrapText="0"/>
    </xf>
    <xf borderId="8" fillId="17" fontId="21" numFmtId="166" xfId="0" applyAlignment="1" applyBorder="1" applyFont="1" applyNumberFormat="1">
      <alignment horizontal="right" vertical="bottom"/>
    </xf>
    <xf borderId="9" fillId="34" fontId="17" numFmtId="166" xfId="0" applyAlignment="1" applyBorder="1" applyFont="1" applyNumberFormat="1">
      <alignment horizontal="right" readingOrder="0" shrinkToFit="0" vertical="bottom" wrapText="0"/>
    </xf>
    <xf borderId="9" fillId="34" fontId="17" numFmtId="166" xfId="0" applyAlignment="1" applyBorder="1" applyFont="1" applyNumberFormat="1">
      <alignment horizontal="center" readingOrder="0" shrinkToFit="0" vertical="bottom" wrapText="0"/>
    </xf>
    <xf borderId="0" fillId="34" fontId="7" numFmtId="0" xfId="0" applyAlignment="1" applyFont="1">
      <alignment readingOrder="0"/>
    </xf>
    <xf borderId="1" fillId="34" fontId="7" numFmtId="0" xfId="0" applyBorder="1" applyFont="1"/>
    <xf borderId="21" fillId="11" fontId="28" numFmtId="0" xfId="0" applyAlignment="1" applyBorder="1" applyFont="1">
      <alignment horizontal="center" readingOrder="0" vertical="bottom"/>
    </xf>
    <xf borderId="21" fillId="14" fontId="18" numFmtId="166" xfId="0" applyAlignment="1" applyBorder="1" applyFont="1" applyNumberFormat="1">
      <alignment horizontal="center" readingOrder="0" vertical="bottom"/>
    </xf>
    <xf borderId="8" fillId="14" fontId="18" numFmtId="166" xfId="0" applyAlignment="1" applyBorder="1" applyFont="1" applyNumberFormat="1">
      <alignment horizontal="center" readingOrder="0" vertical="bottom"/>
    </xf>
    <xf borderId="8" fillId="0" fontId="5" numFmtId="166" xfId="0" applyAlignment="1" applyBorder="1" applyFont="1" applyNumberFormat="1">
      <alignment horizontal="center" readingOrder="0" vertical="bottom"/>
    </xf>
    <xf borderId="8" fillId="25" fontId="29" numFmtId="166" xfId="0" applyAlignment="1" applyBorder="1" applyFont="1" applyNumberFormat="1">
      <alignment horizontal="right" vertical="bottom"/>
    </xf>
    <xf borderId="8" fillId="12" fontId="21" numFmtId="166" xfId="0" applyAlignment="1" applyBorder="1" applyFont="1" applyNumberFormat="1">
      <alignment horizontal="right" readingOrder="0" vertical="bottom"/>
    </xf>
    <xf borderId="0" fillId="0" fontId="30" numFmtId="0" xfId="0" applyAlignment="1" applyFont="1">
      <alignment horizontal="center"/>
    </xf>
    <xf borderId="9" fillId="17" fontId="25" numFmtId="166" xfId="0" applyAlignment="1" applyBorder="1" applyFont="1" applyNumberFormat="1">
      <alignment horizontal="right" shrinkToFit="0" vertical="bottom" wrapText="0"/>
    </xf>
    <xf borderId="0" fillId="0" fontId="24" numFmtId="0" xfId="0" applyAlignment="1" applyFont="1">
      <alignment horizontal="center"/>
    </xf>
    <xf borderId="9" fillId="0" fontId="25" numFmtId="166" xfId="0" applyAlignment="1" applyBorder="1" applyFont="1" applyNumberFormat="1">
      <alignment horizontal="right" readingOrder="0" shrinkToFit="0" vertical="bottom" wrapText="0"/>
    </xf>
    <xf borderId="9" fillId="0" fontId="25" numFmtId="166" xfId="0" applyAlignment="1" applyBorder="1" applyFont="1" applyNumberFormat="1">
      <alignment horizontal="right" shrinkToFit="0" vertical="bottom" wrapText="0"/>
    </xf>
    <xf borderId="9" fillId="17" fontId="25" numFmtId="166" xfId="0" applyAlignment="1" applyBorder="1" applyFont="1" applyNumberFormat="1">
      <alignment horizontal="right" readingOrder="0" shrinkToFit="0" vertical="bottom" wrapText="0"/>
    </xf>
    <xf borderId="9" fillId="0" fontId="25" numFmtId="166" xfId="0" applyAlignment="1" applyBorder="1" applyFont="1" applyNumberFormat="1">
      <alignment horizontal="center" readingOrder="0" shrinkToFit="0" vertical="bottom" wrapText="0"/>
    </xf>
    <xf borderId="0" fillId="25" fontId="6" numFmtId="166" xfId="0" applyAlignment="1" applyFont="1" applyNumberFormat="1">
      <alignment readingOrder="0"/>
    </xf>
    <xf borderId="8" fillId="17" fontId="29" numFmtId="166" xfId="0" applyAlignment="1" applyBorder="1" applyFont="1" applyNumberFormat="1">
      <alignment horizontal="right" vertical="bottom"/>
    </xf>
    <xf borderId="8" fillId="0" fontId="29" numFmtId="166" xfId="0" applyAlignment="1" applyBorder="1" applyFont="1" applyNumberFormat="1">
      <alignment horizontal="right" vertical="bottom"/>
    </xf>
    <xf borderId="8" fillId="14" fontId="9" numFmtId="166" xfId="0" applyAlignment="1" applyBorder="1" applyFont="1" applyNumberFormat="1">
      <alignment vertical="bottom"/>
    </xf>
    <xf borderId="8" fillId="0" fontId="9" numFmtId="166" xfId="0" applyAlignment="1" applyBorder="1" applyFont="1" applyNumberFormat="1">
      <alignment horizontal="center" readingOrder="0" vertical="bottom"/>
    </xf>
    <xf borderId="21" fillId="0" fontId="28" numFmtId="0" xfId="0" applyAlignment="1" applyBorder="1" applyFont="1">
      <alignment horizontal="center" vertical="bottom"/>
    </xf>
    <xf borderId="0" fillId="0" fontId="26" numFmtId="0" xfId="0" applyAlignment="1" applyFont="1">
      <alignment horizontal="right" readingOrder="0" shrinkToFit="0" vertical="bottom" wrapText="0"/>
    </xf>
    <xf borderId="21" fillId="12" fontId="15" numFmtId="0" xfId="0" applyAlignment="1" applyBorder="1" applyFont="1">
      <alignment readingOrder="0" shrinkToFit="0" vertical="bottom" wrapText="0"/>
    </xf>
    <xf borderId="8" fillId="0" fontId="21" numFmtId="166" xfId="0" applyAlignment="1" applyBorder="1" applyFont="1" applyNumberFormat="1">
      <alignment horizontal="right" vertical="bottom"/>
    </xf>
    <xf borderId="0" fillId="0" fontId="25" numFmtId="166" xfId="0" applyAlignment="1" applyFont="1" applyNumberFormat="1">
      <alignment horizontal="center" readingOrder="0" shrinkToFit="0" vertical="bottom" wrapText="0"/>
    </xf>
    <xf borderId="0" fillId="0" fontId="29" numFmtId="166" xfId="0" applyAlignment="1" applyFont="1" applyNumberFormat="1">
      <alignment horizontal="right" vertical="bottom"/>
    </xf>
    <xf borderId="21" fillId="32" fontId="15" numFmtId="0" xfId="0" applyAlignment="1" applyBorder="1" applyFont="1">
      <alignment readingOrder="0" shrinkToFit="0" vertical="bottom" wrapText="0"/>
    </xf>
    <xf borderId="0" fillId="0" fontId="6" numFmtId="166" xfId="0" applyAlignment="1" applyFont="1" applyNumberFormat="1">
      <alignment horizontal="center" readingOrder="0"/>
    </xf>
    <xf borderId="0" fillId="17" fontId="6" numFmtId="166" xfId="0" applyAlignment="1" applyFont="1" applyNumberFormat="1">
      <alignment horizontal="center"/>
    </xf>
    <xf borderId="0" fillId="0" fontId="25" numFmtId="166" xfId="0" applyAlignment="1" applyFont="1" applyNumberFormat="1">
      <alignment horizontal="center" shrinkToFit="0" vertical="bottom" wrapText="0"/>
    </xf>
    <xf borderId="0" fillId="0" fontId="6" numFmtId="166" xfId="0" applyAlignment="1" applyFont="1" applyNumberFormat="1">
      <alignment horizontal="center"/>
    </xf>
    <xf borderId="0" fillId="34" fontId="7" numFmtId="166" xfId="0" applyAlignment="1" applyFont="1" applyNumberFormat="1">
      <alignment horizontal="center" readingOrder="0"/>
    </xf>
    <xf borderId="0" fillId="0" fontId="1" numFmtId="166" xfId="0" applyAlignment="1" applyFont="1" applyNumberFormat="1">
      <alignment horizontal="center" readingOrder="0"/>
    </xf>
    <xf borderId="0" fillId="0" fontId="2" numFmtId="166" xfId="0" applyFont="1" applyNumberFormat="1"/>
    <xf borderId="0" fillId="7" fontId="2" numFmtId="0" xfId="0" applyAlignment="1" applyFont="1">
      <alignment horizontal="center" readingOrder="0"/>
    </xf>
    <xf borderId="9" fillId="0" fontId="15" numFmtId="0" xfId="0" applyAlignment="1" applyBorder="1" applyFont="1">
      <alignment horizontal="center" shrinkToFit="0" vertical="bottom" wrapText="0"/>
    </xf>
    <xf borderId="9" fillId="0" fontId="15" numFmtId="166" xfId="0" applyAlignment="1" applyBorder="1" applyFont="1" applyNumberFormat="1">
      <alignment horizontal="center" readingOrder="0" shrinkToFit="0" vertical="bottom" wrapText="0"/>
    </xf>
    <xf borderId="8" fillId="0" fontId="21" numFmtId="166" xfId="0" applyAlignment="1" applyBorder="1" applyFont="1" applyNumberFormat="1">
      <alignment horizontal="center" vertical="bottom"/>
    </xf>
    <xf borderId="9" fillId="0" fontId="15" numFmtId="0" xfId="0" applyAlignment="1" applyBorder="1" applyFont="1">
      <alignment horizontal="center" readingOrder="0" shrinkToFit="0" vertical="bottom" wrapText="0"/>
    </xf>
    <xf borderId="9" fillId="25" fontId="15" numFmtId="166" xfId="0" applyAlignment="1" applyBorder="1" applyFont="1" applyNumberFormat="1">
      <alignment horizontal="center" readingOrder="0" shrinkToFit="0" vertical="bottom" wrapText="0"/>
    </xf>
    <xf borderId="0" fillId="25" fontId="1" numFmtId="0" xfId="0" applyAlignment="1" applyFont="1">
      <alignment horizontal="center"/>
    </xf>
    <xf borderId="0" fillId="0" fontId="29" numFmtId="166" xfId="0" applyAlignment="1" applyFont="1" applyNumberFormat="1">
      <alignment horizontal="center" vertical="bottom"/>
    </xf>
    <xf borderId="9" fillId="25" fontId="15" numFmtId="0" xfId="0" applyAlignment="1" applyBorder="1" applyFont="1">
      <alignment horizontal="center" shrinkToFit="0" vertical="bottom" wrapText="0"/>
    </xf>
    <xf borderId="9" fillId="19" fontId="15" numFmtId="0" xfId="0" applyAlignment="1" applyBorder="1" applyFont="1">
      <alignment horizontal="center" shrinkToFit="0" vertical="bottom" wrapText="0"/>
    </xf>
    <xf borderId="0" fillId="0" fontId="2" numFmtId="166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5" numFmtId="166" xfId="0" applyAlignment="1" applyFont="1" applyNumberFormat="1">
      <alignment horizontal="center" readingOrder="0" shrinkToFit="0" vertical="bottom" wrapText="0"/>
    </xf>
    <xf borderId="9" fillId="19" fontId="15" numFmtId="0" xfId="0" applyAlignment="1" applyBorder="1" applyFont="1">
      <alignment readingOrder="0" shrinkToFit="0" vertical="bottom" wrapText="0"/>
    </xf>
    <xf borderId="9" fillId="0" fontId="15" numFmtId="166" xfId="0" applyAlignment="1" applyBorder="1" applyFont="1" applyNumberFormat="1">
      <alignment horizontal="center" shrinkToFit="0" vertical="bottom" wrapText="0"/>
    </xf>
    <xf borderId="0" fillId="17" fontId="1" numFmtId="166" xfId="0" applyFont="1" applyNumberFormat="1"/>
    <xf borderId="0" fillId="17" fontId="2" numFmtId="166" xfId="0" applyAlignment="1" applyFont="1" applyNumberFormat="1">
      <alignment readingOrder="0"/>
    </xf>
    <xf borderId="0" fillId="0" fontId="1" numFmtId="166" xfId="0" applyFont="1" applyNumberFormat="1"/>
    <xf borderId="1" fillId="11" fontId="1" numFmtId="0" xfId="0" applyAlignment="1" applyBorder="1" applyFont="1">
      <alignment horizontal="center" readingOrder="0"/>
    </xf>
    <xf borderId="1" fillId="11" fontId="15" numFmtId="166" xfId="0" applyAlignment="1" applyBorder="1" applyFont="1" applyNumberFormat="1">
      <alignment horizontal="center" readingOrder="0" shrinkToFit="0" vertical="bottom" wrapText="0"/>
    </xf>
    <xf borderId="8" fillId="0" fontId="21" numFmtId="166" xfId="0" applyAlignment="1" applyBorder="1" applyFont="1" applyNumberFormat="1">
      <alignment horizontal="center" readingOrder="0" vertical="bottom"/>
    </xf>
    <xf borderId="8" fillId="4" fontId="21" numFmtId="166" xfId="0" applyAlignment="1" applyBorder="1" applyFont="1" applyNumberFormat="1">
      <alignment horizontal="center" readingOrder="0" vertical="bottom"/>
    </xf>
    <xf borderId="0" fillId="4" fontId="1" numFmtId="0" xfId="0" applyFont="1"/>
    <xf borderId="0" fillId="4" fontId="1" numFmtId="0" xfId="0" applyAlignment="1" applyFont="1">
      <alignment horizontal="center"/>
    </xf>
    <xf borderId="0" fillId="4" fontId="1" numFmtId="166" xfId="0" applyAlignment="1" applyFont="1" applyNumberFormat="1">
      <alignment readingOrder="0"/>
    </xf>
    <xf borderId="0" fillId="4" fontId="6" numFmtId="0" xfId="0" applyAlignment="1" applyFont="1">
      <alignment horizontal="center"/>
    </xf>
    <xf borderId="0" fillId="4" fontId="2" numFmtId="0" xfId="0" applyAlignment="1" applyFont="1">
      <alignment horizontal="center"/>
    </xf>
    <xf borderId="0" fillId="4" fontId="6" numFmtId="166" xfId="0" applyAlignment="1" applyFont="1" applyNumberFormat="1">
      <alignment horizontal="center"/>
    </xf>
    <xf borderId="0" fillId="0" fontId="1" numFmtId="166" xfId="0" applyAlignment="1" applyFont="1" applyNumberFormat="1">
      <alignment readingOrder="0"/>
    </xf>
    <xf borderId="0" fillId="4" fontId="29" numFmtId="166" xfId="0" applyAlignment="1" applyFont="1" applyNumberFormat="1">
      <alignment horizontal="center" vertical="bottom"/>
    </xf>
    <xf borderId="0" fillId="4" fontId="1" numFmtId="166" xfId="0" applyFont="1" applyNumberFormat="1"/>
    <xf borderId="0" fillId="0" fontId="27" numFmtId="0" xfId="0" applyAlignment="1" applyFont="1">
      <alignment readingOrder="0"/>
    </xf>
    <xf borderId="9" fillId="0" fontId="15" numFmtId="0" xfId="0" applyAlignment="1" applyBorder="1" applyFont="1">
      <alignment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4" fontId="1" numFmtId="166" xfId="0" applyAlignment="1" applyFont="1" applyNumberFormat="1">
      <alignment horizontal="center" readingOrder="0"/>
    </xf>
    <xf borderId="0" fillId="4" fontId="1" numFmtId="166" xfId="0" applyAlignment="1" applyFont="1" applyNumberFormat="1">
      <alignment horizontal="center"/>
    </xf>
    <xf borderId="20" fillId="2" fontId="16" numFmtId="166" xfId="0" applyAlignment="1" applyBorder="1" applyFont="1" applyNumberFormat="1">
      <alignment horizontal="center" readingOrder="0"/>
    </xf>
    <xf borderId="22" fillId="2" fontId="13" numFmtId="166" xfId="0" applyAlignment="1" applyBorder="1" applyFont="1" applyNumberFormat="1">
      <alignment readingOrder="0"/>
    </xf>
    <xf borderId="0" fillId="0" fontId="1" numFmtId="166" xfId="0" applyAlignment="1" applyFont="1" applyNumberFormat="1">
      <alignment horizontal="center"/>
    </xf>
    <xf borderId="0" fillId="17" fontId="1" numFmtId="166" xfId="0" applyAlignment="1" applyFont="1" applyNumberFormat="1">
      <alignment horizontal="center"/>
    </xf>
    <xf borderId="0" fillId="17" fontId="2" numFmtId="0" xfId="0" applyAlignment="1" applyFont="1">
      <alignment readingOrder="0"/>
    </xf>
    <xf borderId="0" fillId="17" fontId="1" numFmtId="0" xfId="0" applyAlignment="1" applyFont="1">
      <alignment horizontal="center" readingOrder="0"/>
    </xf>
    <xf borderId="0" fillId="0" fontId="31" numFmtId="0" xfId="0" applyAlignment="1" applyFont="1">
      <alignment horizontal="center" readingOrder="0"/>
    </xf>
    <xf borderId="9" fillId="0" fontId="32" numFmtId="166" xfId="0" applyAlignment="1" applyBorder="1" applyFont="1" applyNumberFormat="1">
      <alignment horizontal="center" readingOrder="0"/>
    </xf>
    <xf borderId="0" fillId="16" fontId="1" numFmtId="166" xfId="0" applyAlignment="1" applyFont="1" applyNumberFormat="1">
      <alignment horizontal="center" readingOrder="0"/>
    </xf>
    <xf borderId="0" fillId="16" fontId="1" numFmtId="166" xfId="0" applyAlignment="1" applyFont="1" applyNumberFormat="1">
      <alignment horizontal="center"/>
    </xf>
    <xf borderId="23" fillId="0" fontId="2" numFmtId="0" xfId="0" applyAlignment="1" applyBorder="1" applyFont="1">
      <alignment horizontal="center" readingOrder="0"/>
    </xf>
    <xf borderId="23" fillId="0" fontId="1" numFmtId="0" xfId="0" applyAlignment="1" applyBorder="1" applyFont="1">
      <alignment horizontal="center" readingOrder="0"/>
    </xf>
    <xf borderId="19" fillId="21" fontId="14" numFmtId="0" xfId="0" applyAlignment="1" applyBorder="1" applyFont="1">
      <alignment horizontal="center" readingOrder="0"/>
    </xf>
    <xf borderId="11" fillId="0" fontId="5" numFmtId="166" xfId="0" applyAlignment="1" applyBorder="1" applyFont="1" applyNumberFormat="1">
      <alignment horizontal="center" readingOrder="0"/>
    </xf>
    <xf borderId="20" fillId="0" fontId="5" numFmtId="166" xfId="0" applyAlignment="1" applyBorder="1" applyFont="1" applyNumberFormat="1">
      <alignment horizontal="center" readingOrder="0"/>
    </xf>
    <xf borderId="0" fillId="0" fontId="1" numFmtId="166" xfId="0" applyAlignment="1" applyFont="1" applyNumberFormat="1">
      <alignment horizontal="right" readingOrder="0"/>
    </xf>
    <xf borderId="11" fillId="21" fontId="13" numFmtId="166" xfId="0" applyAlignment="1" applyBorder="1" applyFont="1" applyNumberFormat="1">
      <alignment horizontal="center" readingOrder="0"/>
    </xf>
    <xf borderId="0" fillId="0" fontId="6" numFmtId="166" xfId="0" applyAlignment="1" applyFont="1" applyNumberFormat="1">
      <alignment horizontal="center" readingOrder="0"/>
    </xf>
    <xf borderId="11" fillId="0" fontId="13" numFmtId="0" xfId="0" applyAlignment="1" applyBorder="1" applyFont="1">
      <alignment horizontal="center" readingOrder="0"/>
    </xf>
    <xf borderId="20" fillId="16" fontId="15" numFmtId="166" xfId="0" applyAlignment="1" applyBorder="1" applyFont="1" applyNumberFormat="1">
      <alignment horizontal="center" readingOrder="0" shrinkToFit="0" vertical="bottom" wrapText="0"/>
    </xf>
    <xf borderId="9" fillId="16" fontId="15" numFmtId="0" xfId="0" applyAlignment="1" applyBorder="1" applyFont="1">
      <alignment readingOrder="0" shrinkToFit="0" vertical="bottom" wrapText="0"/>
    </xf>
    <xf borderId="21" fillId="16" fontId="21" numFmtId="166" xfId="0" applyAlignment="1" applyBorder="1" applyFont="1" applyNumberFormat="1">
      <alignment horizontal="center" readingOrder="0" vertical="bottom"/>
    </xf>
    <xf borderId="20" fillId="16" fontId="15" numFmtId="166" xfId="0" applyAlignment="1" applyBorder="1" applyFont="1" applyNumberFormat="1">
      <alignment horizontal="center" shrinkToFit="0" vertical="bottom" wrapText="0"/>
    </xf>
    <xf borderId="20" fillId="18" fontId="16" numFmtId="166" xfId="0" applyAlignment="1" applyBorder="1" applyFont="1" applyNumberFormat="1">
      <alignment horizontal="center" readingOrder="0"/>
    </xf>
    <xf borderId="22" fillId="18" fontId="13" numFmtId="166" xfId="0" applyAlignment="1" applyBorder="1" applyFont="1" applyNumberFormat="1">
      <alignment readingOrder="0"/>
    </xf>
    <xf borderId="19" fillId="22" fontId="14" numFmtId="0" xfId="0" applyAlignment="1" applyBorder="1" applyFont="1">
      <alignment horizontal="center" readingOrder="0" vertical="center"/>
    </xf>
    <xf borderId="11" fillId="8" fontId="18" numFmtId="166" xfId="0" applyAlignment="1" applyBorder="1" applyFont="1" applyNumberFormat="1">
      <alignment horizontal="center" readingOrder="0"/>
    </xf>
    <xf borderId="20" fillId="8" fontId="18" numFmtId="166" xfId="0" applyAlignment="1" applyBorder="1" applyFont="1" applyNumberFormat="1">
      <alignment horizontal="center" readingOrder="0"/>
    </xf>
    <xf borderId="20" fillId="8" fontId="18" numFmtId="166" xfId="0" applyAlignment="1" applyBorder="1" applyFont="1" applyNumberFormat="1">
      <alignment horizontal="right" readingOrder="0"/>
    </xf>
    <xf borderId="20" fillId="8" fontId="18" numFmtId="166" xfId="0" applyAlignment="1" applyBorder="1" applyFont="1" applyNumberFormat="1">
      <alignment horizontal="right"/>
    </xf>
    <xf borderId="20" fillId="18" fontId="16" numFmtId="166" xfId="0" applyAlignment="1" applyBorder="1" applyFont="1" applyNumberFormat="1">
      <alignment horizontal="right" readingOrder="0"/>
    </xf>
    <xf borderId="11" fillId="18" fontId="13" numFmtId="166" xfId="0" applyAlignment="1" applyBorder="1" applyFont="1" applyNumberFormat="1">
      <alignment horizontal="right" readingOrder="0"/>
    </xf>
    <xf borderId="19" fillId="22" fontId="14" numFmtId="0" xfId="0" applyAlignment="1" applyBorder="1" applyFont="1">
      <alignment horizontal="center" readingOrder="0"/>
    </xf>
    <xf borderId="20" fillId="18" fontId="13" numFmtId="166" xfId="0" applyAlignment="1" applyBorder="1" applyFont="1" applyNumberFormat="1">
      <alignment horizontal="right" readingOrder="0"/>
    </xf>
    <xf borderId="20" fillId="0" fontId="15" numFmtId="166" xfId="0" applyAlignment="1" applyBorder="1" applyFont="1" applyNumberFormat="1">
      <alignment horizontal="center" readingOrder="0" shrinkToFit="0" vertical="bottom" wrapText="0"/>
    </xf>
    <xf borderId="24" fillId="0" fontId="3" numFmtId="0" xfId="0" applyAlignment="1" applyBorder="1" applyFont="1">
      <alignment horizontal="center" readingOrder="0"/>
    </xf>
    <xf borderId="24" fillId="0" fontId="2" numFmtId="0" xfId="0" applyAlignment="1" applyBorder="1" applyFont="1">
      <alignment horizontal="center" readingOrder="0"/>
    </xf>
    <xf borderId="24" fillId="7" fontId="2" numFmtId="0" xfId="0" applyAlignment="1" applyBorder="1" applyFont="1">
      <alignment horizontal="center" readingOrder="0"/>
    </xf>
    <xf borderId="24" fillId="16" fontId="15" numFmtId="0" xfId="0" applyAlignment="1" applyBorder="1" applyFont="1">
      <alignment readingOrder="0" shrinkToFit="0" vertical="bottom" wrapText="0"/>
    </xf>
    <xf borderId="24" fillId="0" fontId="1" numFmtId="0" xfId="0" applyBorder="1" applyFont="1"/>
    <xf borderId="24" fillId="0" fontId="1" numFmtId="166" xfId="0" applyAlignment="1" applyBorder="1" applyFont="1" applyNumberFormat="1">
      <alignment readingOrder="0"/>
    </xf>
    <xf borderId="24" fillId="16" fontId="33" numFmtId="166" xfId="0" applyAlignment="1" applyBorder="1" applyFont="1" applyNumberFormat="1">
      <alignment horizontal="center" readingOrder="0"/>
    </xf>
    <xf borderId="21" fillId="0" fontId="21" numFmtId="166" xfId="0" applyAlignment="1" applyBorder="1" applyFont="1" applyNumberFormat="1">
      <alignment horizontal="center" readingOrder="0" vertical="bottom"/>
    </xf>
    <xf borderId="24" fillId="0" fontId="34" numFmtId="166" xfId="0" applyAlignment="1" applyBorder="1" applyFont="1" applyNumberFormat="1">
      <alignment horizontal="center" readingOrder="0" shrinkToFit="0" vertical="bottom" wrapText="0"/>
    </xf>
    <xf borderId="24" fillId="0" fontId="1" numFmtId="166" xfId="0" applyAlignment="1" applyBorder="1" applyFont="1" applyNumberFormat="1">
      <alignment horizontal="center" readingOrder="0"/>
    </xf>
    <xf borderId="24" fillId="0" fontId="15" numFmtId="166" xfId="0" applyAlignment="1" applyBorder="1" applyFont="1" applyNumberFormat="1">
      <alignment horizontal="center" readingOrder="0" shrinkToFit="0" vertical="bottom" wrapText="0"/>
    </xf>
    <xf borderId="24" fillId="0" fontId="33" numFmtId="166" xfId="0" applyAlignment="1" applyBorder="1" applyFont="1" applyNumberFormat="1">
      <alignment horizontal="center" readingOrder="0"/>
    </xf>
    <xf borderId="20" fillId="0" fontId="15" numFmtId="166" xfId="0" applyAlignment="1" applyBorder="1" applyFont="1" applyNumberFormat="1">
      <alignment horizontal="center" shrinkToFit="0" vertical="bottom" wrapText="0"/>
    </xf>
    <xf borderId="24" fillId="0" fontId="1" numFmtId="0" xfId="0" applyAlignment="1" applyBorder="1" applyFont="1">
      <alignment horizontal="center"/>
    </xf>
    <xf borderId="24" fillId="0" fontId="33" numFmtId="0" xfId="0" applyAlignment="1" applyBorder="1" applyFont="1">
      <alignment horizontal="center"/>
    </xf>
    <xf borderId="24" fillId="0" fontId="1" numFmtId="0" xfId="0" applyAlignment="1" applyBorder="1" applyFont="1">
      <alignment readingOrder="0"/>
    </xf>
    <xf borderId="24" fillId="0" fontId="1" numFmtId="0" xfId="0" applyAlignment="1" applyBorder="1" applyFont="1">
      <alignment horizontal="center" readingOrder="0"/>
    </xf>
    <xf borderId="24" fillId="34" fontId="7" numFmtId="0" xfId="0" applyAlignment="1" applyBorder="1" applyFont="1">
      <alignment horizontal="center" readingOrder="0"/>
    </xf>
    <xf borderId="24" fillId="34" fontId="7" numFmtId="166" xfId="0" applyAlignment="1" applyBorder="1" applyFont="1" applyNumberFormat="1">
      <alignment horizontal="center" readingOrder="0"/>
    </xf>
    <xf borderId="0" fillId="0" fontId="2" numFmtId="166" xfId="0" applyAlignment="1" applyFont="1" applyNumberFormat="1">
      <alignment readingOrder="0"/>
    </xf>
    <xf borderId="24" fillId="16" fontId="34" numFmtId="166" xfId="0" applyAlignment="1" applyBorder="1" applyFont="1" applyNumberFormat="1">
      <alignment horizontal="center" readingOrder="0" shrinkToFit="0" vertical="bottom" wrapText="0"/>
    </xf>
    <xf borderId="24" fillId="16" fontId="15" numFmtId="166" xfId="0" applyAlignment="1" applyBorder="1" applyFont="1" applyNumberFormat="1">
      <alignment horizontal="center" readingOrder="0" shrinkToFit="0" vertical="bottom" wrapText="0"/>
    </xf>
    <xf borderId="5" fillId="18" fontId="13" numFmtId="166" xfId="0" applyAlignment="1" applyBorder="1" applyFont="1" applyNumberFormat="1">
      <alignment horizontal="center" readingOrder="0"/>
    </xf>
    <xf borderId="22" fillId="18" fontId="13" numFmtId="166" xfId="0" applyAlignment="1" applyBorder="1" applyFont="1" applyNumberFormat="1">
      <alignment horizontal="center" readingOrder="0"/>
    </xf>
    <xf borderId="0" fillId="19" fontId="1" numFmtId="166" xfId="0" applyAlignment="1" applyFont="1" applyNumberFormat="1">
      <alignment horizontal="center"/>
    </xf>
    <xf borderId="0" fillId="22" fontId="1" numFmtId="166" xfId="0" applyAlignment="1" applyFont="1" applyNumberFormat="1">
      <alignment readingOrder="0"/>
    </xf>
    <xf borderId="24" fillId="16" fontId="35" numFmtId="166" xfId="0" applyAlignment="1" applyBorder="1" applyFont="1" applyNumberFormat="1">
      <alignment horizontal="center" readingOrder="0" shrinkToFit="0" vertical="bottom" wrapText="0"/>
    </xf>
    <xf borderId="24" fillId="16" fontId="36" numFmtId="166" xfId="0" applyAlignment="1" applyBorder="1" applyFont="1" applyNumberFormat="1">
      <alignment horizontal="center" readingOrder="0"/>
    </xf>
    <xf borderId="24" fillId="0" fontId="36" numFmtId="166" xfId="0" applyAlignment="1" applyBorder="1" applyFont="1" applyNumberFormat="1">
      <alignment horizontal="center" readingOrder="0"/>
    </xf>
    <xf borderId="24" fillId="16" fontId="3" numFmtId="166" xfId="0" applyAlignment="1" applyBorder="1" applyFont="1" applyNumberFormat="1">
      <alignment horizontal="center" readingOrder="0"/>
    </xf>
    <xf borderId="24" fillId="0" fontId="3" numFmtId="166" xfId="0" applyAlignment="1" applyBorder="1" applyFont="1" applyNumberFormat="1">
      <alignment readingOrder="0"/>
    </xf>
    <xf borderId="24" fillId="0" fontId="34" numFmtId="166" xfId="0" applyAlignment="1" applyBorder="1" applyFont="1" applyNumberFormat="1">
      <alignment horizontal="center" readingOrder="0" shrinkToFit="0" vertical="bottom" wrapText="0"/>
    </xf>
    <xf borderId="24" fillId="0" fontId="33" numFmtId="166" xfId="0" applyAlignment="1" applyBorder="1" applyFont="1" applyNumberFormat="1">
      <alignment horizontal="center" readingOrder="0"/>
    </xf>
    <xf borderId="24" fillId="0" fontId="1" numFmtId="166" xfId="0" applyAlignment="1" applyBorder="1" applyFont="1" applyNumberFormat="1">
      <alignment horizontal="center" readingOrder="0"/>
    </xf>
    <xf borderId="24" fillId="0" fontId="1" numFmtId="166" xfId="0" applyAlignment="1" applyBorder="1" applyFont="1" applyNumberFormat="1">
      <alignment readingOrder="0"/>
    </xf>
    <xf borderId="24" fillId="16" fontId="33" numFmtId="166" xfId="0" applyAlignment="1" applyBorder="1" applyFont="1" applyNumberFormat="1">
      <alignment horizontal="center" readingOrder="0"/>
    </xf>
    <xf borderId="24" fillId="16" fontId="1" numFmtId="166" xfId="0" applyAlignment="1" applyBorder="1" applyFont="1" applyNumberFormat="1">
      <alignment horizontal="center" readingOrder="0"/>
    </xf>
    <xf borderId="24" fillId="16" fontId="34" numFmtId="166" xfId="0" applyAlignment="1" applyBorder="1" applyFont="1" applyNumberFormat="1">
      <alignment horizontal="center" readingOrder="0" shrinkToFit="0" vertical="bottom" wrapText="0"/>
    </xf>
    <xf borderId="24" fillId="16" fontId="1" numFmtId="166" xfId="0" applyAlignment="1" applyBorder="1" applyFont="1" applyNumberFormat="1">
      <alignment readingOrder="0"/>
    </xf>
    <xf borderId="0" fillId="19" fontId="1" numFmtId="166" xfId="0" applyAlignment="1" applyFont="1" applyNumberFormat="1">
      <alignment horizontal="center" readingOrder="0"/>
    </xf>
    <xf borderId="0" fillId="0" fontId="5" numFmtId="0" xfId="0" applyAlignment="1" applyFont="1">
      <alignment horizontal="center"/>
    </xf>
    <xf borderId="6" fillId="18" fontId="13" numFmtId="166" xfId="0" applyAlignment="1" applyBorder="1" applyFont="1" applyNumberFormat="1">
      <alignment horizontal="center" readingOrder="0"/>
    </xf>
    <xf borderId="0" fillId="0" fontId="1" numFmtId="2" xfId="0" applyAlignment="1" applyFont="1" applyNumberFormat="1">
      <alignment horizontal="center" readingOrder="0"/>
    </xf>
    <xf borderId="0" fillId="0" fontId="1" numFmtId="2" xfId="0" applyAlignment="1" applyFont="1" applyNumberFormat="1">
      <alignment horizontal="center"/>
    </xf>
    <xf borderId="24" fillId="16" fontId="1" numFmtId="0" xfId="0" applyBorder="1" applyFont="1"/>
    <xf borderId="24" fillId="16" fontId="1" numFmtId="166" xfId="0" applyAlignment="1" applyBorder="1" applyFont="1" applyNumberFormat="1">
      <alignment readingOrder="0"/>
    </xf>
    <xf borderId="24" fillId="16" fontId="1" numFmtId="0" xfId="0" applyAlignment="1" applyBorder="1" applyFont="1">
      <alignment readingOrder="0"/>
    </xf>
    <xf borderId="6" fillId="11" fontId="13" numFmtId="166" xfId="0" applyAlignment="1" applyBorder="1" applyFont="1" applyNumberFormat="1">
      <alignment horizontal="center" readingOrder="0"/>
    </xf>
    <xf borderId="9" fillId="0" fontId="13" numFmtId="166" xfId="0" applyAlignment="1" applyBorder="1" applyFont="1" applyNumberFormat="1">
      <alignment horizontal="center" readingOrder="0"/>
    </xf>
    <xf borderId="9" fillId="4" fontId="15" numFmtId="0" xfId="0" applyAlignment="1" applyBorder="1" applyFont="1">
      <alignment horizontal="center" shrinkToFit="0" vertical="bottom" wrapText="0"/>
    </xf>
    <xf borderId="9" fillId="4" fontId="15" numFmtId="0" xfId="0" applyAlignment="1" applyBorder="1" applyFont="1">
      <alignment horizontal="center" readingOrder="0" shrinkToFit="0" vertical="bottom" wrapText="0"/>
    </xf>
    <xf borderId="9" fillId="17" fontId="15" numFmtId="166" xfId="0" applyAlignment="1" applyBorder="1" applyFont="1" applyNumberFormat="1">
      <alignment horizontal="center" readingOrder="0" shrinkToFit="0" vertical="bottom" wrapText="0"/>
    </xf>
    <xf borderId="24" fillId="4" fontId="15" numFmtId="0" xfId="0" applyAlignment="1" applyBorder="1" applyFont="1">
      <alignment readingOrder="0" shrinkToFit="0" vertical="bottom" wrapText="0"/>
    </xf>
    <xf borderId="24" fillId="4" fontId="1" numFmtId="166" xfId="0" applyAlignment="1" applyBorder="1" applyFont="1" applyNumberFormat="1">
      <alignment readingOrder="0"/>
    </xf>
    <xf borderId="24" fillId="4" fontId="1" numFmtId="166" xfId="0" applyAlignment="1" applyBorder="1" applyFont="1" applyNumberFormat="1">
      <alignment readingOrder="0"/>
    </xf>
    <xf borderId="24" fillId="4" fontId="1" numFmtId="166" xfId="0" applyAlignment="1" applyBorder="1" applyFont="1" applyNumberFormat="1">
      <alignment horizontal="center" readingOrder="0"/>
    </xf>
    <xf borderId="24" fillId="4" fontId="33" numFmtId="166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7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6" numFmtId="0" xfId="0" applyAlignment="1" applyFont="1">
      <alignment horizontal="center" readingOrder="0" vertical="bottom"/>
    </xf>
    <xf borderId="0" fillId="0" fontId="31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6" fillId="0" fontId="18" numFmtId="166" xfId="0" applyAlignment="1" applyBorder="1" applyFont="1" applyNumberFormat="1">
      <alignment horizontal="center" readingOrder="0"/>
    </xf>
    <xf borderId="9" fillId="0" fontId="18" numFmtId="166" xfId="0" applyAlignment="1" applyBorder="1" applyFont="1" applyNumberFormat="1">
      <alignment horizontal="center" readingOrder="0"/>
    </xf>
    <xf borderId="0" fillId="0" fontId="7" numFmtId="0" xfId="0" applyAlignment="1" applyFont="1">
      <alignment horizontal="center" readingOrder="0" vertical="bottom"/>
    </xf>
    <xf borderId="9" fillId="0" fontId="18" numFmtId="166" xfId="0" applyAlignment="1" applyBorder="1" applyFont="1" applyNumberFormat="1">
      <alignment horizontal="right" readingOrder="0"/>
    </xf>
    <xf borderId="9" fillId="0" fontId="18" numFmtId="166" xfId="0" applyAlignment="1" applyBorder="1" applyFont="1" applyNumberFormat="1">
      <alignment horizontal="right"/>
    </xf>
    <xf borderId="0" fillId="0" fontId="1" numFmtId="0" xfId="0" applyAlignment="1" applyFont="1">
      <alignment horizontal="center" vertical="bottom"/>
    </xf>
    <xf borderId="1" fillId="0" fontId="1" numFmtId="0" xfId="0" applyAlignment="1" applyBorder="1" applyFont="1">
      <alignment horizontal="center"/>
    </xf>
    <xf borderId="2" fillId="4" fontId="2" numFmtId="0" xfId="0" applyAlignment="1" applyBorder="1" applyFont="1">
      <alignment horizontal="center" readingOrder="0"/>
    </xf>
    <xf borderId="25" fillId="0" fontId="12" numFmtId="0" xfId="0" applyBorder="1" applyFont="1"/>
    <xf borderId="23" fillId="0" fontId="12" numFmtId="0" xfId="0" applyBorder="1" applyFont="1"/>
    <xf borderId="2" fillId="3" fontId="2" numFmtId="0" xfId="0" applyAlignment="1" applyBorder="1" applyFont="1">
      <alignment horizontal="center" readingOrder="0"/>
    </xf>
    <xf borderId="0" fillId="35" fontId="2" numFmtId="0" xfId="0" applyAlignment="1" applyFill="1" applyFont="1">
      <alignment horizontal="left" readingOrder="0"/>
    </xf>
    <xf borderId="1" fillId="35" fontId="2" numFmtId="0" xfId="0" applyAlignment="1" applyBorder="1" applyFont="1">
      <alignment horizontal="left" readingOrder="0"/>
    </xf>
    <xf borderId="1" fillId="35" fontId="2" numFmtId="0" xfId="0" applyAlignment="1" applyBorder="1" applyFont="1">
      <alignment horizontal="center" readingOrder="0"/>
    </xf>
    <xf borderId="1" fillId="7" fontId="2" numFmtId="0" xfId="0" applyAlignment="1" applyBorder="1" applyFont="1">
      <alignment horizontal="left" readingOrder="0"/>
    </xf>
    <xf borderId="1" fillId="7" fontId="2" numFmtId="0" xfId="0" applyAlignment="1" applyBorder="1" applyFont="1">
      <alignment horizontal="center" readingOrder="0"/>
    </xf>
    <xf borderId="1" fillId="36" fontId="7" numFmtId="0" xfId="0" applyAlignment="1" applyBorder="1" applyFill="1" applyFont="1">
      <alignment horizontal="center" readingOrder="0"/>
    </xf>
    <xf borderId="1" fillId="0" fontId="9" numFmtId="0" xfId="0" applyAlignment="1" applyBorder="1" applyFont="1">
      <alignment horizontal="left" readingOrder="0" vertical="bottom"/>
    </xf>
    <xf borderId="1" fillId="0" fontId="9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center" readingOrder="0"/>
    </xf>
    <xf borderId="1" fillId="4" fontId="1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left" vertical="bottom"/>
    </xf>
    <xf borderId="1" fillId="0" fontId="37" numFmtId="0" xfId="0" applyBorder="1" applyFont="1"/>
    <xf borderId="1" fillId="19" fontId="2" numFmtId="0" xfId="0" applyAlignment="1" applyBorder="1" applyFont="1">
      <alignment horizontal="center"/>
    </xf>
    <xf borderId="1" fillId="0" fontId="24" numFmtId="0" xfId="0" applyAlignment="1" applyBorder="1" applyFont="1">
      <alignment horizontal="center"/>
    </xf>
    <xf borderId="1" fillId="0" fontId="6" numFmtId="0" xfId="0" applyAlignment="1" applyBorder="1" applyFont="1">
      <alignment horizontal="center"/>
    </xf>
    <xf borderId="1" fillId="17" fontId="2" numFmtId="0" xfId="0" applyAlignment="1" applyBorder="1" applyFont="1">
      <alignment horizontal="center"/>
    </xf>
    <xf borderId="0" fillId="20" fontId="1" numFmtId="0" xfId="0" applyAlignment="1" applyFont="1">
      <alignment horizontal="center" readingOrder="0"/>
    </xf>
    <xf borderId="1" fillId="0" fontId="5" numFmtId="166" xfId="0" applyAlignment="1" applyBorder="1" applyFont="1" applyNumberFormat="1">
      <alignment horizontal="center" readingOrder="0"/>
    </xf>
    <xf borderId="1" fillId="6" fontId="1" numFmtId="0" xfId="0" applyAlignment="1" applyBorder="1" applyFont="1">
      <alignment horizontal="center" readingOrder="0"/>
    </xf>
    <xf borderId="1" fillId="22" fontId="1" numFmtId="0" xfId="0" applyAlignment="1" applyBorder="1" applyFont="1">
      <alignment horizontal="center" readingOrder="0"/>
    </xf>
    <xf borderId="1" fillId="25" fontId="38" numFmtId="0" xfId="0" applyBorder="1" applyFont="1"/>
    <xf borderId="1" fillId="0" fontId="3" numFmtId="0" xfId="0" applyAlignment="1" applyBorder="1" applyFont="1">
      <alignment horizontal="left" readingOrder="0"/>
    </xf>
    <xf borderId="1" fillId="0" fontId="39" numFmtId="0" xfId="0" applyAlignment="1" applyBorder="1" applyFont="1">
      <alignment horizontal="center" readingOrder="0"/>
    </xf>
    <xf borderId="0" fillId="0" fontId="1" numFmtId="166" xfId="0" applyAlignment="1" applyFont="1" applyNumberFormat="1">
      <alignment readingOrder="0"/>
    </xf>
    <xf borderId="1" fillId="0" fontId="1" numFmtId="166" xfId="0" applyAlignment="1" applyBorder="1" applyFont="1" applyNumberFormat="1">
      <alignment readingOrder="0"/>
    </xf>
    <xf borderId="1" fillId="19" fontId="2" numFmtId="2" xfId="0" applyAlignment="1" applyBorder="1" applyFont="1" applyNumberFormat="1">
      <alignment horizontal="center"/>
    </xf>
    <xf borderId="1" fillId="37" fontId="2" numFmtId="2" xfId="0" applyAlignment="1" applyBorder="1" applyFill="1" applyFont="1" applyNumberFormat="1">
      <alignment horizontal="center"/>
    </xf>
    <xf borderId="1" fillId="38" fontId="2" numFmtId="2" xfId="0" applyAlignment="1" applyBorder="1" applyFill="1" applyFont="1" applyNumberFormat="1">
      <alignment horizontal="center"/>
    </xf>
    <xf borderId="1" fillId="20" fontId="2" numFmtId="2" xfId="0" applyAlignment="1" applyBorder="1" applyFont="1" applyNumberFormat="1">
      <alignment horizontal="center"/>
    </xf>
    <xf borderId="0" fillId="0" fontId="40" numFmtId="0" xfId="0" applyAlignment="1" applyFont="1">
      <alignment horizontal="center"/>
    </xf>
    <xf borderId="0" fillId="0" fontId="41" numFmtId="0" xfId="0" applyAlignment="1" applyFont="1">
      <alignment horizontal="center" readingOrder="0"/>
    </xf>
    <xf borderId="0" fillId="0" fontId="9" numFmtId="0" xfId="0" applyAlignment="1" applyFont="1">
      <alignment horizontal="right" vertical="bottom"/>
    </xf>
    <xf borderId="0" fillId="0" fontId="9" numFmtId="0" xfId="0" applyAlignment="1" applyFont="1">
      <alignment readingOrder="0" vertical="bottom"/>
    </xf>
  </cellXfs>
  <cellStyles count="1">
    <cellStyle xfId="0" name="Normal" builtinId="0"/>
  </cellStyles>
  <dxfs count="1">
    <dxf>
      <font>
        <color rgb="FFFF0000"/>
      </font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falabella.com.pe/falabella-pe/product/126705796/Escritorio-Esquinero-Vintage-Luna-Ventitas-Home-Blanco/126705797" TargetMode="External"/><Relationship Id="rId10" Type="http://schemas.openxmlformats.org/officeDocument/2006/relationships/hyperlink" Target="https://www.casaideas.com.pe/organizador-cub-extendible-3213709000036/p?skuId=1273" TargetMode="External"/><Relationship Id="rId13" Type="http://schemas.openxmlformats.org/officeDocument/2006/relationships/hyperlink" Target="https://sodimac.falabella.com.pe/sodimac-pe/product/113085545/Toallero-Argo-Chicago-Negro-Mate/113085547" TargetMode="External"/><Relationship Id="rId12" Type="http://schemas.openxmlformats.org/officeDocument/2006/relationships/hyperlink" Target="https://sodimac.falabella.com.pe/sodimac-pe/product/113092633/Set-3-Piezas-Chicago-Negro-Mate/113092651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www.falabella.com.pe/falabella-pe/product/120437037/Escritorio-de-Oficina-NT-2060-MDP-Blanco/120437038" TargetMode="External"/><Relationship Id="rId3" Type="http://schemas.openxmlformats.org/officeDocument/2006/relationships/hyperlink" Target="https://www.promart.pe/papelera-rectangular-negra-5-l-69029/p" TargetMode="External"/><Relationship Id="rId4" Type="http://schemas.openxmlformats.org/officeDocument/2006/relationships/hyperlink" Target="https://www.promart.pe/tacho-pedal-con-tapa-de-caida-lenta-12-litros/p" TargetMode="External"/><Relationship Id="rId9" Type="http://schemas.openxmlformats.org/officeDocument/2006/relationships/hyperlink" Target="https://www.falabella.com.pe/falabella-pe/product/12417386/Mesa-de-Centro-Zefra/12417386" TargetMode="External"/><Relationship Id="rId15" Type="http://schemas.openxmlformats.org/officeDocument/2006/relationships/hyperlink" Target="https://www.promart.pe/combo-caja-de-herramientas-18--y-12--15700/p" TargetMode="External"/><Relationship Id="rId14" Type="http://schemas.openxmlformats.org/officeDocument/2006/relationships/hyperlink" Target="https://www.casaideas.com.pe/condimenteros?_q=condimenteros&amp;map=ft&amp;page=1" TargetMode="External"/><Relationship Id="rId17" Type="http://schemas.openxmlformats.org/officeDocument/2006/relationships/vmlDrawing" Target="../drawings/vmlDrawing1.vml"/><Relationship Id="rId16" Type="http://schemas.openxmlformats.org/officeDocument/2006/relationships/drawing" Target="../drawings/drawing1.xml"/><Relationship Id="rId5" Type="http://schemas.openxmlformats.org/officeDocument/2006/relationships/hyperlink" Target="https://www.falabella.com.pe/falabella-pe/product/126652298/LEONOR-3-CUERPOS-COLOR-BEIGE/126652299" TargetMode="External"/><Relationship Id="rId6" Type="http://schemas.openxmlformats.org/officeDocument/2006/relationships/hyperlink" Target="https://www.falabella.com.pe/falabella-pe/product/882728000/Sofa-Alexandra-3-Cuerpos/882728000" TargetMode="External"/><Relationship Id="rId7" Type="http://schemas.openxmlformats.org/officeDocument/2006/relationships/hyperlink" Target="https://www.falabella.com.pe/falabella-pe/product/126774918/Velador-Vintage-Suiza-Premium-Ventitas-Home-Roble-Negro/126774919" TargetMode="External"/><Relationship Id="rId8" Type="http://schemas.openxmlformats.org/officeDocument/2006/relationships/hyperlink" Target="https://www.falabella.com.pe/falabella-pe/product/121195728/Velador-Vintage-Premium-2-Cajones-Ventitas-Home-Color-Negro/121195729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6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7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8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9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0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1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2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13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14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15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16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17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drawing" Target="../drawings/drawing20.xml"/><Relationship Id="rId3" Type="http://schemas.openxmlformats.org/officeDocument/2006/relationships/vmlDrawing" Target="../drawings/vmlDrawing18.v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19.v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drawing" Target="../drawings/drawing22.xml"/><Relationship Id="rId3" Type="http://schemas.openxmlformats.org/officeDocument/2006/relationships/vmlDrawing" Target="../drawings/vmlDrawing20.v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drawing" Target="../drawings/drawing23.xml"/><Relationship Id="rId3" Type="http://schemas.openxmlformats.org/officeDocument/2006/relationships/vmlDrawing" Target="../drawings/vmlDrawing21.v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drawing" Target="../drawings/drawing24.xml"/><Relationship Id="rId3" Type="http://schemas.openxmlformats.org/officeDocument/2006/relationships/vmlDrawing" Target="../drawings/vmlDrawing22.v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drawing" Target="../drawings/drawing25.xml"/><Relationship Id="rId3" Type="http://schemas.openxmlformats.org/officeDocument/2006/relationships/vmlDrawing" Target="../drawings/vmlDrawing23.v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drawing" Target="../drawings/drawing26.xml"/><Relationship Id="rId3" Type="http://schemas.openxmlformats.org/officeDocument/2006/relationships/vmlDrawing" Target="../drawings/vmlDrawing24.v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drawing" Target="../drawings/drawing27.xml"/><Relationship Id="rId3" Type="http://schemas.openxmlformats.org/officeDocument/2006/relationships/vmlDrawing" Target="../drawings/vmlDrawing25.v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drawing" Target="../drawings/drawing28.xml"/><Relationship Id="rId3" Type="http://schemas.openxmlformats.org/officeDocument/2006/relationships/vmlDrawing" Target="../drawings/vmlDrawing26.v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comments" Target="../comments27.xml"/><Relationship Id="rId2" Type="http://schemas.openxmlformats.org/officeDocument/2006/relationships/drawing" Target="../drawings/drawing29.xml"/><Relationship Id="rId3" Type="http://schemas.openxmlformats.org/officeDocument/2006/relationships/vmlDrawing" Target="../drawings/vmlDrawing27.v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comments" Target="../comments28.xml"/><Relationship Id="rId2" Type="http://schemas.openxmlformats.org/officeDocument/2006/relationships/drawing" Target="../drawings/drawing30.xml"/><Relationship Id="rId3" Type="http://schemas.openxmlformats.org/officeDocument/2006/relationships/vmlDrawing" Target="../drawings/vmlDrawing28.v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comments" Target="../comments29.xml"/><Relationship Id="rId2" Type="http://schemas.openxmlformats.org/officeDocument/2006/relationships/drawing" Target="../drawings/drawing31.xml"/><Relationship Id="rId3" Type="http://schemas.openxmlformats.org/officeDocument/2006/relationships/vmlDrawing" Target="../drawings/vmlDrawing29.v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comments" Target="../comments30.xml"/><Relationship Id="rId2" Type="http://schemas.openxmlformats.org/officeDocument/2006/relationships/drawing" Target="../drawings/drawing32.xml"/><Relationship Id="rId3" Type="http://schemas.openxmlformats.org/officeDocument/2006/relationships/vmlDrawing" Target="../drawings/vmlDrawing30.v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comments" Target="../comments31.xml"/><Relationship Id="rId2" Type="http://schemas.openxmlformats.org/officeDocument/2006/relationships/drawing" Target="../drawings/drawing33.xml"/><Relationship Id="rId3" Type="http://schemas.openxmlformats.org/officeDocument/2006/relationships/vmlDrawing" Target="../drawings/vmlDrawing31.v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comments" Target="../comments32.xml"/><Relationship Id="rId2" Type="http://schemas.openxmlformats.org/officeDocument/2006/relationships/drawing" Target="../drawings/drawing34.xml"/><Relationship Id="rId3" Type="http://schemas.openxmlformats.org/officeDocument/2006/relationships/vmlDrawing" Target="../drawings/vmlDrawing32.v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comments" Target="../comments33.xml"/><Relationship Id="rId2" Type="http://schemas.openxmlformats.org/officeDocument/2006/relationships/drawing" Target="../drawings/drawing35.xml"/><Relationship Id="rId3" Type="http://schemas.openxmlformats.org/officeDocument/2006/relationships/vmlDrawing" Target="../drawings/vmlDrawing33.v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comments" Target="../comments34.xml"/><Relationship Id="rId2" Type="http://schemas.openxmlformats.org/officeDocument/2006/relationships/drawing" Target="../drawings/drawing36.xml"/><Relationship Id="rId3" Type="http://schemas.openxmlformats.org/officeDocument/2006/relationships/vmlDrawing" Target="../drawings/vmlDrawing34.v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comments" Target="../comments35.xml"/><Relationship Id="rId2" Type="http://schemas.openxmlformats.org/officeDocument/2006/relationships/drawing" Target="../drawings/drawing37.xml"/><Relationship Id="rId3" Type="http://schemas.openxmlformats.org/officeDocument/2006/relationships/vmlDrawing" Target="../drawings/vmlDrawing35.v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comments" Target="../comments36.xml"/><Relationship Id="rId2" Type="http://schemas.openxmlformats.org/officeDocument/2006/relationships/drawing" Target="../drawings/drawing38.xml"/><Relationship Id="rId3" Type="http://schemas.openxmlformats.org/officeDocument/2006/relationships/vmlDrawing" Target="../drawings/vmlDrawing36.v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comments" Target="../comments37.xml"/><Relationship Id="rId2" Type="http://schemas.openxmlformats.org/officeDocument/2006/relationships/drawing" Target="../drawings/drawing39.xml"/><Relationship Id="rId3" Type="http://schemas.openxmlformats.org/officeDocument/2006/relationships/vmlDrawing" Target="../drawings/vmlDrawing37.v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comments" Target="../comments38.xml"/><Relationship Id="rId2" Type="http://schemas.openxmlformats.org/officeDocument/2006/relationships/drawing" Target="../drawings/drawing40.xml"/><Relationship Id="rId3" Type="http://schemas.openxmlformats.org/officeDocument/2006/relationships/vmlDrawing" Target="../drawings/vmlDrawing38.v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comments" Target="../comments39.xml"/><Relationship Id="rId2" Type="http://schemas.openxmlformats.org/officeDocument/2006/relationships/drawing" Target="../drawings/drawing41.xml"/><Relationship Id="rId3" Type="http://schemas.openxmlformats.org/officeDocument/2006/relationships/vmlDrawing" Target="../drawings/vmlDrawing39.v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comments" Target="../comments40.xml"/><Relationship Id="rId2" Type="http://schemas.openxmlformats.org/officeDocument/2006/relationships/drawing" Target="../drawings/drawing42.xml"/><Relationship Id="rId3" Type="http://schemas.openxmlformats.org/officeDocument/2006/relationships/vmlDrawing" Target="../drawings/vmlDrawing40.v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comments" Target="../comments41.xml"/><Relationship Id="rId2" Type="http://schemas.openxmlformats.org/officeDocument/2006/relationships/drawing" Target="../drawings/drawing43.xml"/><Relationship Id="rId3" Type="http://schemas.openxmlformats.org/officeDocument/2006/relationships/vmlDrawing" Target="../drawings/vmlDrawing41.v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comments" Target="../comments42.xml"/><Relationship Id="rId2" Type="http://schemas.openxmlformats.org/officeDocument/2006/relationships/drawing" Target="../drawings/drawing44.xml"/><Relationship Id="rId3" Type="http://schemas.openxmlformats.org/officeDocument/2006/relationships/vmlDrawing" Target="../drawings/vmlDrawing42.v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comments" Target="../comments43.xml"/><Relationship Id="rId2" Type="http://schemas.openxmlformats.org/officeDocument/2006/relationships/drawing" Target="../drawings/drawing45.xml"/><Relationship Id="rId3" Type="http://schemas.openxmlformats.org/officeDocument/2006/relationships/vmlDrawing" Target="../drawings/vmlDrawing43.v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comments" Target="../comments44.xml"/><Relationship Id="rId2" Type="http://schemas.openxmlformats.org/officeDocument/2006/relationships/drawing" Target="../drawings/drawing46.xml"/><Relationship Id="rId3" Type="http://schemas.openxmlformats.org/officeDocument/2006/relationships/vmlDrawing" Target="../drawings/vmlDrawing44.v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3" max="3" width="21.88"/>
    <col customWidth="1" min="4" max="4" width="24.5"/>
    <col customWidth="1" min="5" max="5" width="59.88"/>
    <col customWidth="1" min="6" max="6" width="32.75"/>
    <col customWidth="1" min="7" max="7" width="23.0"/>
    <col customWidth="1" min="8" max="9" width="25.63"/>
    <col customWidth="1" min="10" max="10" width="10.63"/>
    <col customWidth="1" min="11" max="11" width="21.38"/>
    <col customWidth="1" min="12" max="12" width="13.75"/>
    <col customWidth="1" min="13" max="13" width="6.13"/>
  </cols>
  <sheetData>
    <row r="1">
      <c r="G1" s="1"/>
      <c r="H1" s="2"/>
    </row>
    <row r="2">
      <c r="B2" s="3" t="s">
        <v>0</v>
      </c>
      <c r="G2" s="4" t="s">
        <v>1</v>
      </c>
      <c r="H2" s="5">
        <v>5000.0</v>
      </c>
    </row>
    <row r="3">
      <c r="A3" s="6" t="s">
        <v>2</v>
      </c>
      <c r="B3" s="7">
        <v>7520.15</v>
      </c>
      <c r="D3" s="8" t="s">
        <v>3</v>
      </c>
      <c r="G3" s="4" t="s">
        <v>4</v>
      </c>
      <c r="H3" s="5">
        <v>2500.0</v>
      </c>
    </row>
    <row r="4">
      <c r="A4" s="6" t="s">
        <v>5</v>
      </c>
      <c r="B4" s="7">
        <v>4500.0</v>
      </c>
      <c r="D4" s="9" t="s">
        <v>6</v>
      </c>
      <c r="E4" s="9">
        <v>1000.3</v>
      </c>
      <c r="G4" s="10" t="s">
        <v>7</v>
      </c>
      <c r="H4" s="11" t="s">
        <v>8</v>
      </c>
      <c r="J4" s="12"/>
    </row>
    <row r="5">
      <c r="A5" s="6" t="s">
        <v>9</v>
      </c>
      <c r="B5" s="7">
        <v>1500.0</v>
      </c>
      <c r="D5" s="13" t="s">
        <v>10</v>
      </c>
      <c r="E5" s="13">
        <v>100.0</v>
      </c>
      <c r="G5" s="4" t="s">
        <v>11</v>
      </c>
      <c r="H5" s="6" t="s">
        <v>12</v>
      </c>
    </row>
    <row r="6">
      <c r="A6" s="6" t="s">
        <v>13</v>
      </c>
      <c r="B6" s="7">
        <v>-2674.6</v>
      </c>
      <c r="D6" s="13" t="s">
        <v>14</v>
      </c>
      <c r="E6" s="13">
        <v>1500.0</v>
      </c>
      <c r="G6" s="4" t="s">
        <v>6</v>
      </c>
      <c r="H6" s="6" t="s">
        <v>15</v>
      </c>
    </row>
    <row r="7">
      <c r="A7" s="7" t="s">
        <v>16</v>
      </c>
      <c r="B7" s="7">
        <v>1500.0</v>
      </c>
      <c r="D7" s="6" t="s">
        <v>17</v>
      </c>
      <c r="E7" s="6">
        <v>476.87</v>
      </c>
      <c r="G7" s="4" t="s">
        <v>18</v>
      </c>
      <c r="H7" s="14">
        <v>45349.0</v>
      </c>
    </row>
    <row r="8">
      <c r="A8" s="6" t="s">
        <v>19</v>
      </c>
      <c r="B8" s="7">
        <v>-440.11</v>
      </c>
      <c r="D8" s="6" t="s">
        <v>20</v>
      </c>
      <c r="E8" s="6">
        <v>-277.02</v>
      </c>
      <c r="G8" s="4" t="s">
        <v>21</v>
      </c>
      <c r="H8" s="14">
        <v>45381.0</v>
      </c>
    </row>
    <row r="9">
      <c r="A9" s="11" t="s">
        <v>22</v>
      </c>
      <c r="B9" s="15">
        <f>SUM(B3:B8)</f>
        <v>11905.44</v>
      </c>
      <c r="D9" s="6" t="s">
        <v>23</v>
      </c>
      <c r="E9" s="6">
        <v>-479.92</v>
      </c>
      <c r="G9" s="4" t="s">
        <v>24</v>
      </c>
      <c r="H9" s="14">
        <v>45410.0</v>
      </c>
    </row>
    <row r="10">
      <c r="G10" s="4" t="s">
        <v>25</v>
      </c>
      <c r="H10" s="14">
        <v>45443.0</v>
      </c>
    </row>
    <row r="11">
      <c r="D11" s="16" t="s">
        <v>26</v>
      </c>
      <c r="E11" s="16">
        <f>SUM(E4:E10)</f>
        <v>2320.23</v>
      </c>
      <c r="G11" s="4" t="s">
        <v>27</v>
      </c>
      <c r="H11" s="14">
        <v>45473.0</v>
      </c>
    </row>
    <row r="12">
      <c r="A12" s="17" t="s">
        <v>28</v>
      </c>
      <c r="F12" s="18">
        <v>2320.13</v>
      </c>
      <c r="G12" s="4" t="s">
        <v>29</v>
      </c>
      <c r="H12" s="14">
        <v>45503.0</v>
      </c>
    </row>
    <row r="13">
      <c r="B13" s="19" t="s">
        <v>0</v>
      </c>
      <c r="F13" s="12">
        <f>F12-E11</f>
        <v>-0.1</v>
      </c>
      <c r="G13" s="4" t="s">
        <v>30</v>
      </c>
      <c r="H13" s="14">
        <v>45534.0</v>
      </c>
    </row>
    <row r="14">
      <c r="A14" s="6" t="s">
        <v>31</v>
      </c>
      <c r="B14" s="6">
        <v>9000.0</v>
      </c>
      <c r="G14" s="4" t="s">
        <v>32</v>
      </c>
      <c r="H14" s="14">
        <v>45565.0</v>
      </c>
    </row>
    <row r="15">
      <c r="A15" s="6" t="s">
        <v>33</v>
      </c>
      <c r="B15" s="6">
        <v>1579.78</v>
      </c>
      <c r="G15" s="4" t="s">
        <v>34</v>
      </c>
      <c r="H15" s="14">
        <v>45596.0</v>
      </c>
    </row>
    <row r="16">
      <c r="A16" s="6" t="s">
        <v>35</v>
      </c>
      <c r="B16" s="6">
        <v>443.0</v>
      </c>
      <c r="G16" s="4" t="s">
        <v>36</v>
      </c>
      <c r="H16" s="14">
        <v>45626.0</v>
      </c>
    </row>
    <row r="17">
      <c r="A17" s="6" t="s">
        <v>37</v>
      </c>
      <c r="B17" s="6">
        <v>400.0</v>
      </c>
      <c r="G17" s="4" t="s">
        <v>38</v>
      </c>
      <c r="H17" s="5" t="s">
        <v>39</v>
      </c>
    </row>
    <row r="18">
      <c r="A18" s="11" t="s">
        <v>26</v>
      </c>
      <c r="B18" s="20">
        <f>B14+B15+B16+B17</f>
        <v>11422.78</v>
      </c>
      <c r="G18" s="4" t="s">
        <v>6</v>
      </c>
      <c r="H18" s="21">
        <v>45326.0</v>
      </c>
    </row>
    <row r="19">
      <c r="G19" s="4" t="s">
        <v>18</v>
      </c>
      <c r="H19" s="21">
        <v>45351.0</v>
      </c>
    </row>
    <row r="20">
      <c r="A20" s="18" t="s">
        <v>40</v>
      </c>
      <c r="D20" s="18" t="s">
        <v>41</v>
      </c>
    </row>
    <row r="21">
      <c r="A21" s="6" t="s">
        <v>42</v>
      </c>
      <c r="B21" s="6">
        <f>B14+1800</f>
        <v>10800</v>
      </c>
      <c r="D21" s="18" t="s">
        <v>43</v>
      </c>
      <c r="E21" s="18" t="s">
        <v>44</v>
      </c>
    </row>
    <row r="22">
      <c r="D22" s="18" t="s">
        <v>45</v>
      </c>
      <c r="E22" s="18" t="s">
        <v>46</v>
      </c>
      <c r="J22" s="22"/>
    </row>
    <row r="23">
      <c r="A23" s="6" t="s">
        <v>47</v>
      </c>
      <c r="B23" s="6">
        <v>10823.26</v>
      </c>
      <c r="D23" s="18" t="s">
        <v>48</v>
      </c>
      <c r="E23" s="18" t="s">
        <v>49</v>
      </c>
      <c r="J23" s="22"/>
    </row>
    <row r="24">
      <c r="A24" s="6" t="s">
        <v>50</v>
      </c>
      <c r="B24" s="6">
        <v>2000.0</v>
      </c>
      <c r="D24" s="18" t="s">
        <v>51</v>
      </c>
      <c r="E24" s="18" t="s">
        <v>3</v>
      </c>
      <c r="J24" s="22"/>
    </row>
    <row r="25">
      <c r="A25" s="1"/>
      <c r="B25" s="23">
        <f>B23+B24</f>
        <v>12823.26</v>
      </c>
      <c r="D25" s="18" t="s">
        <v>52</v>
      </c>
      <c r="E25" s="18" t="s">
        <v>53</v>
      </c>
      <c r="I25" s="22"/>
      <c r="J25" s="22"/>
    </row>
    <row r="26">
      <c r="I26" s="24"/>
      <c r="J26" s="24"/>
    </row>
    <row r="27">
      <c r="A27" s="25" t="s">
        <v>54</v>
      </c>
      <c r="B27" s="26">
        <v>16912.15</v>
      </c>
    </row>
    <row r="28">
      <c r="A28" s="18" t="s">
        <v>55</v>
      </c>
      <c r="B28" s="12">
        <f>B27+2000</f>
        <v>18912.15</v>
      </c>
    </row>
    <row r="29">
      <c r="A29" s="18" t="s">
        <v>56</v>
      </c>
      <c r="B29" s="18">
        <v>20000.0</v>
      </c>
      <c r="F29" s="27"/>
    </row>
    <row r="31">
      <c r="A31" s="6" t="s">
        <v>57</v>
      </c>
      <c r="B31" s="1"/>
      <c r="E31" s="28">
        <f>E32-E61</f>
        <v>2813.83</v>
      </c>
    </row>
    <row r="32">
      <c r="A32" s="6" t="s">
        <v>58</v>
      </c>
      <c r="B32" s="29">
        <f>20000-300</f>
        <v>19700</v>
      </c>
      <c r="C32" s="30"/>
      <c r="D32" s="26" t="s">
        <v>59</v>
      </c>
      <c r="E32" s="31">
        <f>D44</f>
        <v>13676.53</v>
      </c>
    </row>
    <row r="33">
      <c r="A33" s="6" t="s">
        <v>60</v>
      </c>
      <c r="B33" s="29">
        <v>700.0</v>
      </c>
      <c r="C33" s="32" t="s">
        <v>61</v>
      </c>
      <c r="D33" s="12">
        <f>1182.55+8459.25</f>
        <v>9641.8</v>
      </c>
      <c r="E33" s="18">
        <v>488.0</v>
      </c>
      <c r="F33" s="33" t="s">
        <v>62</v>
      </c>
      <c r="G33" s="34" t="s">
        <v>63</v>
      </c>
    </row>
    <row r="34">
      <c r="A34" s="6" t="s">
        <v>64</v>
      </c>
      <c r="B34" s="29">
        <v>118.29</v>
      </c>
      <c r="C34" s="32" t="s">
        <v>65</v>
      </c>
      <c r="D34" s="35">
        <v>7291.58</v>
      </c>
      <c r="E34" s="12">
        <f>163.7</f>
        <v>163.7</v>
      </c>
      <c r="F34" s="33" t="s">
        <v>66</v>
      </c>
      <c r="G34" s="34" t="s">
        <v>67</v>
      </c>
      <c r="H34" s="34" t="s">
        <v>68</v>
      </c>
    </row>
    <row r="35">
      <c r="A35" s="6" t="s">
        <v>61</v>
      </c>
      <c r="B35" s="6">
        <v>4717.0</v>
      </c>
      <c r="C35" s="36"/>
      <c r="D35" s="37">
        <f>D33+D34</f>
        <v>16933.38</v>
      </c>
      <c r="E35" s="18">
        <v>200.0</v>
      </c>
      <c r="F35" s="33" t="s">
        <v>69</v>
      </c>
      <c r="G35" s="18" t="s">
        <v>70</v>
      </c>
    </row>
    <row r="36">
      <c r="A36" s="38" t="s">
        <v>71</v>
      </c>
      <c r="B36" s="39">
        <v>1572.02</v>
      </c>
      <c r="C36" s="32" t="s">
        <v>72</v>
      </c>
      <c r="E36" s="18">
        <v>4200.0</v>
      </c>
      <c r="F36" s="33" t="s">
        <v>73</v>
      </c>
    </row>
    <row r="37">
      <c r="A37" s="6" t="s">
        <v>74</v>
      </c>
      <c r="B37" s="40">
        <v>700.0</v>
      </c>
      <c r="C37" s="32" t="s">
        <v>75</v>
      </c>
      <c r="D37" s="18">
        <v>-3004.8</v>
      </c>
      <c r="E37" s="18">
        <v>2200.0</v>
      </c>
      <c r="F37" s="33" t="s">
        <v>76</v>
      </c>
      <c r="G37" s="34" t="s">
        <v>77</v>
      </c>
      <c r="H37" s="34" t="s">
        <v>78</v>
      </c>
    </row>
    <row r="38">
      <c r="A38" s="41" t="s">
        <v>79</v>
      </c>
      <c r="B38" s="42">
        <f>SUM(B32:B37)</f>
        <v>27507.31</v>
      </c>
      <c r="C38" s="32" t="s">
        <v>80</v>
      </c>
      <c r="D38" s="18">
        <v>-6000.0</v>
      </c>
      <c r="E38" s="18">
        <v>650.0</v>
      </c>
      <c r="F38" s="33" t="s">
        <v>81</v>
      </c>
      <c r="G38" s="34" t="s">
        <v>82</v>
      </c>
      <c r="H38" s="34" t="s">
        <v>83</v>
      </c>
    </row>
    <row r="39">
      <c r="A39" s="18" t="s">
        <v>84</v>
      </c>
      <c r="B39" s="43">
        <v>87.32</v>
      </c>
      <c r="C39" s="32" t="s">
        <v>85</v>
      </c>
      <c r="D39" s="18">
        <v>-132.0</v>
      </c>
      <c r="E39" s="18">
        <v>639.0</v>
      </c>
      <c r="F39" s="18" t="s">
        <v>86</v>
      </c>
      <c r="G39" s="44" t="s">
        <v>87</v>
      </c>
    </row>
    <row r="40">
      <c r="A40" s="18" t="s">
        <v>65</v>
      </c>
      <c r="B40" s="45">
        <v>395.31999999999994</v>
      </c>
      <c r="C40" s="32" t="s">
        <v>88</v>
      </c>
      <c r="D40" s="18">
        <v>-518.76</v>
      </c>
      <c r="E40" s="18">
        <v>374.0</v>
      </c>
      <c r="F40" s="33" t="s">
        <v>89</v>
      </c>
    </row>
    <row r="41">
      <c r="C41" s="32"/>
      <c r="D41" s="46">
        <f>D35+D37+D38+D39+D40</f>
        <v>7277.82</v>
      </c>
      <c r="E41" s="18">
        <v>63.9</v>
      </c>
      <c r="F41" s="33" t="s">
        <v>90</v>
      </c>
      <c r="G41" s="34" t="s">
        <v>91</v>
      </c>
    </row>
    <row r="42">
      <c r="A42" s="18" t="s">
        <v>26</v>
      </c>
      <c r="B42" s="28">
        <f>B38+B39+B40</f>
        <v>27989.95</v>
      </c>
      <c r="C42" s="32" t="s">
        <v>92</v>
      </c>
      <c r="D42" s="18">
        <v>3898.71</v>
      </c>
      <c r="E42" s="18">
        <v>309.9</v>
      </c>
      <c r="F42" s="33" t="s">
        <v>93</v>
      </c>
      <c r="G42" s="34" t="s">
        <v>94</v>
      </c>
    </row>
    <row r="43">
      <c r="B43" s="18">
        <v>2160.0</v>
      </c>
      <c r="C43" s="32" t="s">
        <v>95</v>
      </c>
      <c r="D43" s="18">
        <v>2500.0</v>
      </c>
      <c r="E43" s="18">
        <v>348.0</v>
      </c>
      <c r="F43" s="33" t="s">
        <v>96</v>
      </c>
      <c r="G43" s="34" t="s">
        <v>97</v>
      </c>
      <c r="H43" s="34" t="s">
        <v>98</v>
      </c>
    </row>
    <row r="44">
      <c r="C44" s="30"/>
      <c r="D44" s="47">
        <f>D41+D42+D43</f>
        <v>13676.53</v>
      </c>
      <c r="F44" s="18" t="s">
        <v>99</v>
      </c>
    </row>
    <row r="45">
      <c r="C45" s="30"/>
      <c r="F45" s="18" t="s">
        <v>100</v>
      </c>
    </row>
    <row r="46">
      <c r="A46" s="1">
        <f>1182.55+8459.25</f>
        <v>9641.8</v>
      </c>
      <c r="B46" s="48"/>
      <c r="C46" s="30"/>
      <c r="F46" s="18" t="s">
        <v>101</v>
      </c>
    </row>
    <row r="47">
      <c r="B47" s="48"/>
      <c r="C47" s="30"/>
      <c r="F47" s="18" t="s">
        <v>102</v>
      </c>
    </row>
    <row r="48">
      <c r="B48" s="48"/>
      <c r="C48" s="30"/>
      <c r="E48" s="18">
        <v>100.0</v>
      </c>
      <c r="F48" s="18" t="s">
        <v>103</v>
      </c>
      <c r="G48" s="34" t="s">
        <v>104</v>
      </c>
    </row>
    <row r="49">
      <c r="D49" s="30"/>
      <c r="F49" s="18" t="s">
        <v>105</v>
      </c>
    </row>
    <row r="50">
      <c r="F50" s="18" t="s">
        <v>106</v>
      </c>
    </row>
    <row r="51">
      <c r="F51" s="18" t="s">
        <v>107</v>
      </c>
    </row>
    <row r="52">
      <c r="F52" s="18" t="s">
        <v>108</v>
      </c>
    </row>
    <row r="53">
      <c r="E53" s="18">
        <v>0.0</v>
      </c>
      <c r="F53" s="18" t="s">
        <v>109</v>
      </c>
      <c r="G53" s="34" t="s">
        <v>110</v>
      </c>
    </row>
    <row r="54">
      <c r="F54" s="18" t="s">
        <v>111</v>
      </c>
    </row>
    <row r="55">
      <c r="E55" s="18">
        <v>210.0</v>
      </c>
      <c r="F55" s="33" t="s">
        <v>112</v>
      </c>
    </row>
    <row r="56">
      <c r="E56" s="12">
        <f>181+31.8</f>
        <v>212.8</v>
      </c>
      <c r="F56" s="33" t="s">
        <v>113</v>
      </c>
    </row>
    <row r="57">
      <c r="E57" s="18">
        <v>65.4</v>
      </c>
      <c r="F57" s="33" t="s">
        <v>114</v>
      </c>
    </row>
    <row r="58">
      <c r="E58" s="18">
        <v>638.0</v>
      </c>
      <c r="F58" s="33" t="s">
        <v>115</v>
      </c>
    </row>
    <row r="61">
      <c r="E61" s="49">
        <f>SUM(E33:E60)</f>
        <v>10862.7</v>
      </c>
    </row>
    <row r="112">
      <c r="F112" s="27"/>
      <c r="G112" s="27"/>
      <c r="H112" s="27"/>
      <c r="I112" s="27"/>
      <c r="J112" s="27"/>
      <c r="N112" s="27"/>
    </row>
    <row r="113">
      <c r="F113" s="27"/>
      <c r="G113" s="27"/>
      <c r="H113" s="27"/>
      <c r="I113" s="27"/>
      <c r="J113" s="27"/>
      <c r="N113" s="27"/>
    </row>
    <row r="114">
      <c r="F114" s="27"/>
      <c r="G114" s="27"/>
      <c r="H114" s="27"/>
      <c r="I114" s="27"/>
      <c r="J114" s="27"/>
      <c r="N114" s="27"/>
    </row>
    <row r="115">
      <c r="F115" s="27"/>
      <c r="G115" s="27"/>
      <c r="H115" s="27"/>
      <c r="I115" s="27"/>
      <c r="J115" s="27"/>
      <c r="N115" s="27"/>
    </row>
    <row r="116">
      <c r="F116" s="27"/>
      <c r="G116" s="27"/>
      <c r="H116" s="27"/>
      <c r="I116" s="27"/>
      <c r="J116" s="27"/>
      <c r="N116" s="27"/>
    </row>
    <row r="117">
      <c r="F117" s="27"/>
      <c r="G117" s="27"/>
      <c r="H117" s="27"/>
      <c r="I117" s="27"/>
      <c r="J117" s="27"/>
      <c r="N117" s="27"/>
    </row>
    <row r="118">
      <c r="F118" s="27"/>
      <c r="G118" s="27"/>
      <c r="H118" s="27"/>
      <c r="I118" s="27"/>
      <c r="J118" s="27"/>
      <c r="N118" s="27"/>
    </row>
    <row r="119">
      <c r="F119" s="27"/>
      <c r="G119" s="27"/>
      <c r="H119" s="27"/>
      <c r="I119" s="27"/>
      <c r="J119" s="27"/>
      <c r="N119" s="27"/>
    </row>
    <row r="120">
      <c r="F120" s="27"/>
      <c r="G120" s="27"/>
      <c r="H120" s="27"/>
      <c r="I120" s="27"/>
      <c r="J120" s="27"/>
      <c r="N120" s="27"/>
    </row>
    <row r="121">
      <c r="F121" s="27"/>
      <c r="G121" s="27"/>
      <c r="H121" s="27"/>
      <c r="I121" s="27"/>
      <c r="J121" s="27"/>
      <c r="N121" s="27"/>
    </row>
    <row r="122">
      <c r="F122" s="27"/>
      <c r="G122" s="27"/>
      <c r="H122" s="27"/>
      <c r="I122" s="27"/>
      <c r="J122" s="27"/>
      <c r="N122" s="27"/>
    </row>
    <row r="123">
      <c r="F123" s="27"/>
      <c r="G123" s="27"/>
      <c r="H123" s="27"/>
      <c r="I123" s="27"/>
      <c r="J123" s="27"/>
      <c r="N123" s="27"/>
    </row>
    <row r="124">
      <c r="F124" s="27"/>
      <c r="G124" s="27"/>
      <c r="H124" s="27"/>
      <c r="I124" s="27"/>
      <c r="J124" s="27"/>
      <c r="N124" s="27"/>
    </row>
    <row r="125">
      <c r="F125" s="27"/>
      <c r="G125" s="27"/>
      <c r="H125" s="27"/>
      <c r="I125" s="27"/>
      <c r="J125" s="27"/>
      <c r="N125" s="27"/>
    </row>
    <row r="126">
      <c r="F126" s="27"/>
      <c r="G126" s="27"/>
      <c r="H126" s="27"/>
      <c r="I126" s="27"/>
      <c r="J126" s="27"/>
      <c r="N126" s="27"/>
    </row>
    <row r="127">
      <c r="F127" s="27"/>
      <c r="G127" s="27"/>
      <c r="H127" s="27"/>
      <c r="I127" s="27"/>
      <c r="J127" s="27"/>
      <c r="N127" s="27"/>
    </row>
    <row r="128">
      <c r="F128" s="27"/>
      <c r="G128" s="27"/>
      <c r="H128" s="27"/>
      <c r="I128" s="27"/>
      <c r="J128" s="27"/>
      <c r="N128" s="27"/>
    </row>
    <row r="129">
      <c r="F129" s="27"/>
      <c r="G129" s="27"/>
      <c r="H129" s="27"/>
      <c r="I129" s="27"/>
      <c r="J129" s="27"/>
      <c r="N129" s="27"/>
    </row>
    <row r="130">
      <c r="F130" s="27"/>
      <c r="G130" s="27"/>
      <c r="H130" s="27"/>
      <c r="I130" s="27"/>
      <c r="J130" s="27"/>
      <c r="N130" s="27"/>
    </row>
    <row r="131">
      <c r="F131" s="27"/>
      <c r="G131" s="27"/>
      <c r="H131" s="27"/>
      <c r="I131" s="27"/>
      <c r="J131" s="27"/>
      <c r="N131" s="27"/>
    </row>
    <row r="132">
      <c r="F132" s="27"/>
      <c r="G132" s="27"/>
      <c r="H132" s="27"/>
      <c r="I132" s="27"/>
      <c r="J132" s="27"/>
      <c r="N132" s="27"/>
    </row>
    <row r="133">
      <c r="F133" s="27"/>
      <c r="G133" s="27"/>
      <c r="H133" s="27"/>
      <c r="I133" s="27"/>
      <c r="J133" s="27"/>
      <c r="N133" s="27"/>
    </row>
    <row r="134">
      <c r="F134" s="27"/>
      <c r="G134" s="27"/>
      <c r="H134" s="27"/>
      <c r="I134" s="27"/>
      <c r="J134" s="27"/>
      <c r="N134" s="27"/>
    </row>
    <row r="135">
      <c r="F135" s="27"/>
      <c r="G135" s="27"/>
      <c r="H135" s="27"/>
      <c r="I135" s="27"/>
      <c r="J135" s="27"/>
      <c r="N135" s="27"/>
    </row>
    <row r="136">
      <c r="F136" s="27"/>
      <c r="G136" s="27"/>
      <c r="H136" s="27"/>
      <c r="I136" s="27"/>
      <c r="J136" s="27"/>
      <c r="N136" s="27"/>
    </row>
    <row r="137">
      <c r="F137" s="27"/>
      <c r="G137" s="27"/>
      <c r="H137" s="27"/>
      <c r="I137" s="27"/>
      <c r="J137" s="27"/>
      <c r="N137" s="27"/>
    </row>
    <row r="138">
      <c r="F138" s="27"/>
      <c r="G138" s="27"/>
      <c r="H138" s="27"/>
      <c r="I138" s="27"/>
      <c r="J138" s="27"/>
      <c r="N138" s="27"/>
    </row>
    <row r="139">
      <c r="F139" s="27"/>
      <c r="G139" s="27"/>
      <c r="H139" s="27"/>
      <c r="I139" s="27"/>
      <c r="J139" s="27"/>
      <c r="N139" s="27"/>
    </row>
    <row r="140">
      <c r="F140" s="27"/>
      <c r="G140" s="27"/>
      <c r="H140" s="27"/>
      <c r="I140" s="27"/>
      <c r="J140" s="27"/>
      <c r="N140" s="27"/>
    </row>
    <row r="141">
      <c r="F141" s="27"/>
      <c r="G141" s="27"/>
      <c r="H141" s="27"/>
      <c r="I141" s="27"/>
      <c r="J141" s="27"/>
      <c r="N141" s="27"/>
    </row>
    <row r="142">
      <c r="F142" s="27"/>
      <c r="G142" s="27"/>
      <c r="H142" s="27"/>
      <c r="I142" s="27"/>
      <c r="J142" s="27"/>
      <c r="N142" s="27"/>
    </row>
    <row r="143">
      <c r="F143" s="27"/>
      <c r="G143" s="27"/>
      <c r="H143" s="27"/>
      <c r="I143" s="27"/>
      <c r="J143" s="27"/>
      <c r="N143" s="27"/>
    </row>
    <row r="144">
      <c r="F144" s="27"/>
      <c r="G144" s="27"/>
      <c r="H144" s="27"/>
      <c r="I144" s="27"/>
      <c r="J144" s="27"/>
      <c r="N144" s="27"/>
    </row>
    <row r="145">
      <c r="F145" s="27"/>
      <c r="G145" s="27"/>
      <c r="H145" s="27"/>
      <c r="I145" s="27"/>
      <c r="J145" s="27"/>
      <c r="N145" s="27"/>
    </row>
    <row r="146">
      <c r="F146" s="27"/>
      <c r="G146" s="27"/>
      <c r="H146" s="27"/>
      <c r="I146" s="27"/>
      <c r="J146" s="27"/>
      <c r="N146" s="27"/>
    </row>
    <row r="147">
      <c r="F147" s="27"/>
      <c r="G147" s="27"/>
      <c r="H147" s="27"/>
      <c r="I147" s="27"/>
      <c r="J147" s="27"/>
      <c r="N147" s="27"/>
    </row>
    <row r="148">
      <c r="F148" s="27"/>
      <c r="G148" s="27"/>
      <c r="H148" s="27"/>
      <c r="I148" s="27"/>
      <c r="J148" s="27"/>
      <c r="N148" s="27"/>
    </row>
    <row r="149">
      <c r="F149" s="27"/>
      <c r="G149" s="27"/>
      <c r="H149" s="27"/>
      <c r="I149" s="27"/>
      <c r="J149" s="27"/>
      <c r="N149" s="27"/>
    </row>
    <row r="150">
      <c r="F150" s="27"/>
      <c r="G150" s="27"/>
      <c r="H150" s="27"/>
      <c r="I150" s="27"/>
      <c r="J150" s="27"/>
      <c r="N150" s="27"/>
    </row>
    <row r="151">
      <c r="F151" s="27"/>
      <c r="G151" s="27"/>
      <c r="H151" s="27"/>
      <c r="I151" s="27"/>
      <c r="J151" s="27"/>
      <c r="N151" s="27"/>
    </row>
    <row r="152">
      <c r="F152" s="27"/>
      <c r="G152" s="27"/>
      <c r="H152" s="27"/>
      <c r="I152" s="27"/>
      <c r="J152" s="27"/>
      <c r="N152" s="27"/>
    </row>
    <row r="153">
      <c r="F153" s="27"/>
      <c r="G153" s="27"/>
      <c r="H153" s="27"/>
      <c r="I153" s="27"/>
      <c r="J153" s="27"/>
      <c r="N153" s="27"/>
    </row>
    <row r="154">
      <c r="F154" s="27"/>
      <c r="G154" s="27"/>
      <c r="H154" s="27"/>
      <c r="I154" s="27"/>
      <c r="J154" s="27"/>
      <c r="N154" s="27"/>
    </row>
    <row r="155">
      <c r="F155" s="27"/>
      <c r="G155" s="27"/>
      <c r="H155" s="27"/>
      <c r="I155" s="27"/>
      <c r="J155" s="27"/>
      <c r="N155" s="27"/>
    </row>
    <row r="156">
      <c r="F156" s="27"/>
      <c r="G156" s="27"/>
      <c r="H156" s="27"/>
      <c r="I156" s="27"/>
      <c r="J156" s="27"/>
      <c r="N156" s="27"/>
    </row>
    <row r="157">
      <c r="F157" s="27"/>
      <c r="G157" s="27"/>
      <c r="H157" s="27"/>
      <c r="I157" s="27"/>
      <c r="J157" s="27"/>
      <c r="N157" s="27"/>
    </row>
    <row r="158">
      <c r="F158" s="27"/>
      <c r="G158" s="27"/>
      <c r="H158" s="27"/>
      <c r="I158" s="27"/>
      <c r="J158" s="27"/>
      <c r="N158" s="27"/>
    </row>
    <row r="159">
      <c r="F159" s="27"/>
      <c r="G159" s="27"/>
      <c r="H159" s="27"/>
      <c r="I159" s="27"/>
      <c r="J159" s="27"/>
      <c r="N159" s="27"/>
    </row>
    <row r="160">
      <c r="F160" s="27"/>
      <c r="G160" s="27"/>
      <c r="H160" s="27"/>
      <c r="I160" s="27"/>
      <c r="J160" s="27"/>
      <c r="N160" s="27"/>
    </row>
    <row r="161">
      <c r="F161" s="27"/>
      <c r="G161" s="27"/>
      <c r="H161" s="27"/>
      <c r="I161" s="27"/>
      <c r="J161" s="27"/>
      <c r="N161" s="27"/>
    </row>
    <row r="162">
      <c r="F162" s="27"/>
      <c r="G162" s="27"/>
      <c r="H162" s="27"/>
      <c r="I162" s="27"/>
      <c r="J162" s="27"/>
      <c r="N162" s="27"/>
    </row>
    <row r="163">
      <c r="F163" s="27"/>
      <c r="G163" s="27"/>
      <c r="H163" s="27"/>
      <c r="I163" s="27"/>
      <c r="J163" s="27"/>
      <c r="N163" s="27"/>
    </row>
    <row r="164">
      <c r="F164" s="27"/>
      <c r="G164" s="27"/>
      <c r="H164" s="27"/>
      <c r="I164" s="27"/>
      <c r="J164" s="27"/>
      <c r="N164" s="27"/>
    </row>
    <row r="165">
      <c r="F165" s="27"/>
      <c r="G165" s="27"/>
      <c r="H165" s="27"/>
      <c r="I165" s="27"/>
      <c r="J165" s="27"/>
      <c r="N165" s="27"/>
    </row>
    <row r="166">
      <c r="F166" s="27"/>
      <c r="G166" s="27"/>
      <c r="H166" s="27"/>
      <c r="I166" s="27"/>
      <c r="J166" s="27"/>
      <c r="N166" s="27"/>
    </row>
    <row r="167">
      <c r="F167" s="27"/>
      <c r="G167" s="27"/>
      <c r="H167" s="27"/>
      <c r="I167" s="27"/>
      <c r="J167" s="27"/>
      <c r="N167" s="27"/>
    </row>
    <row r="168">
      <c r="F168" s="27"/>
      <c r="G168" s="27"/>
      <c r="H168" s="27"/>
      <c r="I168" s="27"/>
      <c r="J168" s="27"/>
      <c r="N168" s="27"/>
    </row>
    <row r="169">
      <c r="F169" s="27"/>
      <c r="G169" s="27"/>
      <c r="H169" s="27"/>
      <c r="I169" s="27"/>
      <c r="J169" s="27"/>
      <c r="N169" s="27"/>
    </row>
    <row r="170">
      <c r="F170" s="27"/>
      <c r="G170" s="27"/>
      <c r="H170" s="27"/>
      <c r="I170" s="27"/>
      <c r="J170" s="27"/>
      <c r="N170" s="27"/>
    </row>
    <row r="171">
      <c r="F171" s="27"/>
      <c r="G171" s="27"/>
      <c r="H171" s="27"/>
      <c r="I171" s="27"/>
      <c r="J171" s="27"/>
      <c r="N171" s="27"/>
    </row>
    <row r="172">
      <c r="F172" s="27"/>
      <c r="G172" s="27"/>
      <c r="H172" s="27"/>
      <c r="I172" s="27"/>
      <c r="J172" s="27"/>
      <c r="N172" s="27"/>
    </row>
    <row r="173">
      <c r="F173" s="27"/>
      <c r="G173" s="27"/>
      <c r="H173" s="27"/>
      <c r="I173" s="27"/>
      <c r="J173" s="27"/>
      <c r="N173" s="27"/>
    </row>
    <row r="174">
      <c r="F174" s="27"/>
      <c r="G174" s="27"/>
      <c r="H174" s="27"/>
      <c r="I174" s="27"/>
      <c r="J174" s="27"/>
      <c r="N174" s="27"/>
    </row>
    <row r="175">
      <c r="F175" s="27"/>
      <c r="G175" s="27"/>
      <c r="H175" s="27"/>
      <c r="I175" s="27"/>
      <c r="J175" s="27"/>
      <c r="N175" s="27"/>
    </row>
    <row r="176">
      <c r="F176" s="27"/>
      <c r="G176" s="27"/>
      <c r="H176" s="27"/>
      <c r="I176" s="27"/>
      <c r="J176" s="27"/>
      <c r="N176" s="27"/>
    </row>
    <row r="177">
      <c r="F177" s="27"/>
      <c r="G177" s="27"/>
      <c r="H177" s="27"/>
      <c r="I177" s="27"/>
      <c r="J177" s="27"/>
      <c r="N177" s="27"/>
    </row>
    <row r="178">
      <c r="F178" s="27"/>
      <c r="G178" s="27"/>
      <c r="H178" s="27"/>
      <c r="I178" s="27"/>
      <c r="J178" s="27"/>
      <c r="N178" s="27"/>
    </row>
    <row r="179">
      <c r="F179" s="27"/>
      <c r="G179" s="27"/>
      <c r="H179" s="27"/>
      <c r="I179" s="27"/>
      <c r="J179" s="27"/>
      <c r="N179" s="27"/>
    </row>
    <row r="180">
      <c r="F180" s="27"/>
      <c r="G180" s="27"/>
      <c r="H180" s="27"/>
      <c r="I180" s="27"/>
      <c r="J180" s="27"/>
      <c r="N180" s="27"/>
    </row>
    <row r="181">
      <c r="F181" s="27"/>
      <c r="G181" s="27"/>
      <c r="H181" s="27"/>
      <c r="I181" s="27"/>
      <c r="J181" s="27"/>
      <c r="N181" s="27"/>
    </row>
    <row r="182">
      <c r="F182" s="27"/>
      <c r="G182" s="27"/>
      <c r="H182" s="27"/>
      <c r="I182" s="27"/>
      <c r="J182" s="27"/>
      <c r="N182" s="27"/>
    </row>
    <row r="183">
      <c r="F183" s="27"/>
      <c r="G183" s="27"/>
      <c r="H183" s="27"/>
      <c r="I183" s="27"/>
      <c r="J183" s="27"/>
      <c r="N183" s="27"/>
    </row>
    <row r="184">
      <c r="F184" s="27"/>
      <c r="G184" s="27"/>
      <c r="H184" s="27"/>
      <c r="I184" s="27"/>
      <c r="J184" s="27"/>
      <c r="N184" s="27"/>
    </row>
    <row r="185">
      <c r="F185" s="27"/>
      <c r="G185" s="27"/>
      <c r="H185" s="27"/>
      <c r="I185" s="27"/>
      <c r="J185" s="27"/>
      <c r="N185" s="27"/>
    </row>
    <row r="186">
      <c r="F186" s="27"/>
      <c r="G186" s="27"/>
      <c r="H186" s="27"/>
      <c r="I186" s="27"/>
      <c r="J186" s="27"/>
      <c r="N186" s="27"/>
    </row>
    <row r="187">
      <c r="F187" s="27"/>
      <c r="G187" s="27"/>
      <c r="H187" s="27"/>
      <c r="I187" s="27"/>
      <c r="J187" s="27"/>
      <c r="N187" s="27"/>
    </row>
    <row r="188">
      <c r="F188" s="27"/>
      <c r="G188" s="27"/>
      <c r="H188" s="27"/>
      <c r="I188" s="27"/>
      <c r="J188" s="27"/>
      <c r="N188" s="27"/>
    </row>
    <row r="189">
      <c r="F189" s="27"/>
      <c r="G189" s="27"/>
      <c r="H189" s="27"/>
      <c r="I189" s="27"/>
      <c r="J189" s="27"/>
      <c r="N189" s="27"/>
    </row>
    <row r="190">
      <c r="F190" s="27"/>
      <c r="G190" s="27"/>
      <c r="H190" s="27"/>
      <c r="I190" s="27"/>
      <c r="J190" s="27"/>
      <c r="N190" s="27"/>
    </row>
    <row r="191">
      <c r="F191" s="27"/>
      <c r="G191" s="27"/>
      <c r="H191" s="27"/>
      <c r="I191" s="27"/>
      <c r="J191" s="27"/>
      <c r="N191" s="27"/>
    </row>
    <row r="192">
      <c r="F192" s="27"/>
      <c r="G192" s="27"/>
      <c r="H192" s="27"/>
      <c r="I192" s="27"/>
      <c r="J192" s="27"/>
      <c r="N192" s="27"/>
    </row>
    <row r="193">
      <c r="F193" s="27"/>
      <c r="G193" s="27"/>
      <c r="H193" s="27"/>
      <c r="I193" s="27"/>
      <c r="J193" s="27"/>
      <c r="N193" s="27"/>
    </row>
    <row r="194">
      <c r="F194" s="27"/>
      <c r="G194" s="27"/>
      <c r="H194" s="27"/>
      <c r="I194" s="27"/>
      <c r="J194" s="27"/>
      <c r="N194" s="27"/>
    </row>
    <row r="195">
      <c r="F195" s="27"/>
      <c r="G195" s="27"/>
      <c r="H195" s="27"/>
      <c r="I195" s="27"/>
      <c r="J195" s="27"/>
      <c r="N195" s="27"/>
    </row>
    <row r="196">
      <c r="F196" s="27"/>
      <c r="G196" s="27"/>
      <c r="H196" s="27"/>
      <c r="I196" s="27"/>
      <c r="J196" s="27"/>
      <c r="N196" s="27"/>
    </row>
    <row r="197">
      <c r="F197" s="27"/>
      <c r="G197" s="27"/>
      <c r="H197" s="27"/>
      <c r="I197" s="27"/>
      <c r="J197" s="27"/>
      <c r="N197" s="27"/>
    </row>
    <row r="198">
      <c r="F198" s="27"/>
      <c r="G198" s="27"/>
      <c r="H198" s="27"/>
      <c r="I198" s="27"/>
      <c r="J198" s="27"/>
      <c r="N198" s="27"/>
    </row>
    <row r="199">
      <c r="F199" s="27"/>
      <c r="G199" s="27"/>
      <c r="H199" s="27"/>
      <c r="I199" s="27"/>
      <c r="J199" s="27"/>
      <c r="N199" s="27"/>
    </row>
    <row r="200">
      <c r="F200" s="27"/>
      <c r="G200" s="27"/>
      <c r="H200" s="27"/>
      <c r="I200" s="27"/>
      <c r="J200" s="27"/>
      <c r="N200" s="27"/>
    </row>
    <row r="201">
      <c r="F201" s="27"/>
      <c r="G201" s="27"/>
      <c r="H201" s="27"/>
      <c r="I201" s="27"/>
      <c r="J201" s="27"/>
      <c r="N201" s="27"/>
    </row>
    <row r="202">
      <c r="F202" s="27"/>
      <c r="G202" s="27"/>
      <c r="H202" s="27"/>
      <c r="I202" s="27"/>
      <c r="J202" s="27"/>
      <c r="N202" s="27"/>
    </row>
    <row r="203">
      <c r="F203" s="27"/>
      <c r="G203" s="27"/>
      <c r="H203" s="27"/>
      <c r="I203" s="27"/>
      <c r="J203" s="27"/>
      <c r="N203" s="27"/>
    </row>
    <row r="204">
      <c r="F204" s="27"/>
      <c r="G204" s="27"/>
      <c r="H204" s="27"/>
      <c r="I204" s="27"/>
      <c r="J204" s="27"/>
      <c r="N204" s="27"/>
    </row>
    <row r="205">
      <c r="F205" s="27"/>
      <c r="G205" s="27"/>
      <c r="H205" s="27"/>
      <c r="I205" s="27"/>
      <c r="J205" s="27"/>
      <c r="N205" s="27"/>
    </row>
    <row r="206">
      <c r="F206" s="27"/>
      <c r="G206" s="27"/>
      <c r="H206" s="27"/>
      <c r="I206" s="27"/>
      <c r="J206" s="27"/>
      <c r="N206" s="27"/>
    </row>
    <row r="207">
      <c r="F207" s="27"/>
      <c r="G207" s="27"/>
      <c r="H207" s="27"/>
      <c r="I207" s="27"/>
      <c r="J207" s="27"/>
      <c r="N207" s="27"/>
    </row>
    <row r="208">
      <c r="F208" s="27"/>
      <c r="G208" s="27"/>
      <c r="H208" s="27"/>
      <c r="I208" s="27"/>
      <c r="J208" s="27"/>
      <c r="N208" s="27"/>
    </row>
    <row r="209">
      <c r="F209" s="27"/>
      <c r="G209" s="27"/>
      <c r="H209" s="27"/>
      <c r="I209" s="27"/>
      <c r="J209" s="27"/>
      <c r="N209" s="27"/>
    </row>
    <row r="210">
      <c r="F210" s="27"/>
      <c r="G210" s="27"/>
      <c r="H210" s="27"/>
      <c r="I210" s="27"/>
      <c r="J210" s="27"/>
      <c r="N210" s="27"/>
    </row>
    <row r="211">
      <c r="F211" s="27"/>
      <c r="G211" s="27"/>
      <c r="H211" s="27"/>
      <c r="I211" s="27"/>
      <c r="J211" s="27"/>
      <c r="N211" s="27"/>
    </row>
    <row r="212">
      <c r="F212" s="27"/>
      <c r="G212" s="27"/>
      <c r="H212" s="27"/>
      <c r="I212" s="27"/>
      <c r="J212" s="27"/>
      <c r="N212" s="27"/>
    </row>
    <row r="213">
      <c r="F213" s="27"/>
      <c r="G213" s="27"/>
      <c r="H213" s="27"/>
      <c r="I213" s="27"/>
      <c r="J213" s="27"/>
      <c r="N213" s="27"/>
    </row>
    <row r="214">
      <c r="F214" s="27"/>
      <c r="G214" s="27"/>
      <c r="H214" s="27"/>
      <c r="I214" s="27"/>
      <c r="J214" s="27"/>
      <c r="N214" s="27"/>
    </row>
    <row r="215">
      <c r="F215" s="27"/>
      <c r="G215" s="27"/>
      <c r="H215" s="27"/>
      <c r="I215" s="27"/>
      <c r="J215" s="27"/>
      <c r="N215" s="27"/>
    </row>
    <row r="216">
      <c r="F216" s="27"/>
      <c r="G216" s="27"/>
      <c r="H216" s="27"/>
      <c r="I216" s="27"/>
      <c r="J216" s="27"/>
      <c r="N216" s="27"/>
    </row>
    <row r="217">
      <c r="F217" s="27"/>
      <c r="G217" s="27"/>
      <c r="H217" s="27"/>
      <c r="I217" s="27"/>
      <c r="J217" s="27"/>
      <c r="N217" s="27"/>
    </row>
    <row r="218">
      <c r="F218" s="27"/>
      <c r="G218" s="27"/>
      <c r="H218" s="27"/>
      <c r="I218" s="27"/>
      <c r="J218" s="27"/>
      <c r="N218" s="27"/>
    </row>
    <row r="219">
      <c r="F219" s="27"/>
      <c r="G219" s="27"/>
      <c r="H219" s="27"/>
      <c r="I219" s="27"/>
      <c r="J219" s="27"/>
      <c r="N219" s="27"/>
    </row>
    <row r="220">
      <c r="F220" s="27"/>
      <c r="G220" s="27"/>
      <c r="H220" s="27"/>
      <c r="I220" s="27"/>
      <c r="J220" s="27"/>
      <c r="N220" s="27"/>
    </row>
    <row r="221">
      <c r="F221" s="27"/>
      <c r="G221" s="27"/>
      <c r="H221" s="27"/>
      <c r="I221" s="27"/>
      <c r="J221" s="27"/>
      <c r="N221" s="27"/>
    </row>
    <row r="222">
      <c r="F222" s="27"/>
      <c r="G222" s="27"/>
      <c r="H222" s="27"/>
      <c r="I222" s="27"/>
      <c r="J222" s="27"/>
      <c r="N222" s="27"/>
    </row>
    <row r="223">
      <c r="F223" s="27"/>
      <c r="G223" s="27"/>
      <c r="H223" s="27"/>
      <c r="I223" s="27"/>
      <c r="J223" s="27"/>
      <c r="N223" s="27"/>
    </row>
    <row r="224">
      <c r="F224" s="27"/>
      <c r="G224" s="27"/>
      <c r="H224" s="27"/>
      <c r="I224" s="27"/>
      <c r="J224" s="27"/>
      <c r="N224" s="27"/>
    </row>
    <row r="225">
      <c r="F225" s="27"/>
      <c r="G225" s="27"/>
      <c r="H225" s="27"/>
      <c r="I225" s="27"/>
      <c r="J225" s="27"/>
      <c r="N225" s="27"/>
    </row>
    <row r="226">
      <c r="F226" s="27"/>
      <c r="G226" s="27"/>
      <c r="H226" s="27"/>
      <c r="I226" s="27"/>
      <c r="J226" s="27"/>
      <c r="N226" s="27"/>
    </row>
    <row r="227">
      <c r="F227" s="27"/>
      <c r="G227" s="27"/>
      <c r="H227" s="27"/>
      <c r="I227" s="27"/>
      <c r="J227" s="27"/>
      <c r="N227" s="27"/>
    </row>
    <row r="228">
      <c r="F228" s="27"/>
      <c r="G228" s="27"/>
      <c r="H228" s="27"/>
      <c r="I228" s="27"/>
      <c r="J228" s="27"/>
      <c r="N228" s="27"/>
    </row>
    <row r="229">
      <c r="F229" s="27"/>
      <c r="G229" s="27"/>
      <c r="H229" s="27"/>
      <c r="I229" s="27"/>
      <c r="J229" s="27"/>
      <c r="N229" s="27"/>
    </row>
    <row r="230">
      <c r="F230" s="27"/>
      <c r="G230" s="27"/>
      <c r="H230" s="27"/>
      <c r="I230" s="27"/>
      <c r="J230" s="27"/>
      <c r="N230" s="27"/>
    </row>
    <row r="231">
      <c r="F231" s="27"/>
      <c r="G231" s="27"/>
      <c r="H231" s="27"/>
      <c r="I231" s="27"/>
      <c r="J231" s="27"/>
      <c r="N231" s="27"/>
    </row>
    <row r="232">
      <c r="F232" s="27"/>
      <c r="G232" s="27"/>
      <c r="H232" s="27"/>
      <c r="I232" s="27"/>
      <c r="J232" s="27"/>
      <c r="N232" s="27"/>
    </row>
    <row r="233">
      <c r="F233" s="27"/>
      <c r="G233" s="27"/>
      <c r="H233" s="27"/>
      <c r="I233" s="27"/>
      <c r="J233" s="27"/>
      <c r="N233" s="27"/>
    </row>
    <row r="234">
      <c r="F234" s="27"/>
      <c r="G234" s="27"/>
      <c r="H234" s="27"/>
      <c r="I234" s="27"/>
      <c r="J234" s="27"/>
      <c r="N234" s="27"/>
    </row>
    <row r="235">
      <c r="F235" s="27"/>
      <c r="G235" s="27"/>
      <c r="H235" s="27"/>
      <c r="I235" s="27"/>
      <c r="J235" s="27"/>
      <c r="N235" s="27"/>
    </row>
    <row r="236">
      <c r="F236" s="27"/>
      <c r="G236" s="27"/>
      <c r="H236" s="27"/>
      <c r="I236" s="27"/>
      <c r="J236" s="27"/>
      <c r="N236" s="27"/>
    </row>
    <row r="237">
      <c r="F237" s="27"/>
      <c r="G237" s="27"/>
      <c r="H237" s="27"/>
      <c r="I237" s="27"/>
      <c r="J237" s="27"/>
      <c r="N237" s="27"/>
    </row>
    <row r="238">
      <c r="F238" s="27"/>
      <c r="G238" s="27"/>
      <c r="H238" s="27"/>
      <c r="I238" s="27"/>
      <c r="J238" s="27"/>
      <c r="N238" s="27"/>
    </row>
    <row r="239">
      <c r="F239" s="27"/>
      <c r="G239" s="27"/>
      <c r="H239" s="27"/>
      <c r="I239" s="27"/>
      <c r="J239" s="27"/>
      <c r="N239" s="27"/>
    </row>
    <row r="240">
      <c r="F240" s="27"/>
      <c r="G240" s="27"/>
      <c r="H240" s="27"/>
      <c r="I240" s="27"/>
      <c r="J240" s="27"/>
      <c r="N240" s="27"/>
    </row>
    <row r="241">
      <c r="F241" s="27"/>
      <c r="G241" s="27"/>
      <c r="H241" s="27"/>
      <c r="I241" s="27"/>
      <c r="J241" s="27"/>
      <c r="N241" s="27"/>
    </row>
    <row r="242">
      <c r="F242" s="27"/>
      <c r="G242" s="27"/>
      <c r="H242" s="27"/>
      <c r="I242" s="27"/>
      <c r="J242" s="27"/>
      <c r="N242" s="27"/>
    </row>
    <row r="243">
      <c r="F243" s="27"/>
      <c r="G243" s="27"/>
      <c r="H243" s="27"/>
      <c r="I243" s="27"/>
      <c r="J243" s="27"/>
      <c r="N243" s="27"/>
    </row>
    <row r="244">
      <c r="F244" s="27"/>
      <c r="G244" s="27"/>
      <c r="H244" s="27"/>
      <c r="I244" s="27"/>
      <c r="J244" s="27"/>
      <c r="N244" s="27"/>
    </row>
    <row r="245">
      <c r="F245" s="27"/>
      <c r="G245" s="27"/>
      <c r="H245" s="27"/>
      <c r="I245" s="27"/>
      <c r="J245" s="27"/>
      <c r="N245" s="27"/>
    </row>
    <row r="246">
      <c r="F246" s="27"/>
      <c r="G246" s="27"/>
      <c r="H246" s="27"/>
      <c r="I246" s="27"/>
      <c r="J246" s="27"/>
      <c r="N246" s="27"/>
    </row>
    <row r="247">
      <c r="F247" s="27"/>
      <c r="G247" s="27"/>
      <c r="H247" s="27"/>
      <c r="I247" s="27"/>
      <c r="J247" s="27"/>
      <c r="N247" s="27"/>
    </row>
    <row r="248">
      <c r="F248" s="27"/>
      <c r="G248" s="27"/>
      <c r="H248" s="27"/>
      <c r="I248" s="27"/>
      <c r="J248" s="27"/>
      <c r="N248" s="27"/>
    </row>
    <row r="249">
      <c r="F249" s="27"/>
      <c r="G249" s="27"/>
      <c r="H249" s="27"/>
      <c r="I249" s="27"/>
      <c r="J249" s="27"/>
      <c r="N249" s="27"/>
    </row>
    <row r="250">
      <c r="F250" s="27"/>
      <c r="G250" s="27"/>
      <c r="H250" s="27"/>
      <c r="I250" s="27"/>
      <c r="J250" s="27"/>
      <c r="N250" s="27"/>
    </row>
    <row r="251">
      <c r="F251" s="27"/>
      <c r="G251" s="27"/>
      <c r="H251" s="27"/>
      <c r="I251" s="27"/>
      <c r="J251" s="27"/>
      <c r="N251" s="27"/>
    </row>
    <row r="252">
      <c r="F252" s="27"/>
      <c r="G252" s="27"/>
      <c r="H252" s="27"/>
      <c r="I252" s="27"/>
      <c r="J252" s="27"/>
      <c r="N252" s="27"/>
    </row>
    <row r="253">
      <c r="F253" s="27"/>
      <c r="G253" s="27"/>
      <c r="H253" s="27"/>
      <c r="I253" s="27"/>
      <c r="J253" s="27"/>
      <c r="N253" s="27"/>
    </row>
    <row r="254">
      <c r="F254" s="27"/>
      <c r="G254" s="27"/>
      <c r="H254" s="27"/>
      <c r="I254" s="27"/>
      <c r="J254" s="27"/>
      <c r="N254" s="27"/>
    </row>
    <row r="255">
      <c r="F255" s="27"/>
      <c r="G255" s="27"/>
      <c r="H255" s="27"/>
      <c r="I255" s="27"/>
      <c r="J255" s="27"/>
      <c r="N255" s="27"/>
    </row>
    <row r="256">
      <c r="F256" s="27"/>
      <c r="G256" s="27"/>
      <c r="H256" s="27"/>
      <c r="I256" s="27"/>
      <c r="J256" s="27"/>
      <c r="N256" s="27"/>
    </row>
    <row r="257">
      <c r="F257" s="27"/>
      <c r="G257" s="27"/>
      <c r="H257" s="27"/>
      <c r="I257" s="27"/>
      <c r="J257" s="27"/>
      <c r="N257" s="27"/>
    </row>
    <row r="258">
      <c r="F258" s="27"/>
      <c r="G258" s="27"/>
      <c r="H258" s="27"/>
      <c r="I258" s="27"/>
      <c r="J258" s="27"/>
      <c r="N258" s="27"/>
    </row>
    <row r="259">
      <c r="F259" s="27"/>
      <c r="G259" s="27"/>
      <c r="H259" s="27"/>
      <c r="I259" s="27"/>
      <c r="J259" s="27"/>
      <c r="N259" s="27"/>
    </row>
    <row r="260">
      <c r="F260" s="27"/>
      <c r="G260" s="27"/>
      <c r="H260" s="27"/>
      <c r="I260" s="27"/>
      <c r="J260" s="27"/>
      <c r="N260" s="27"/>
    </row>
    <row r="261">
      <c r="F261" s="27"/>
      <c r="G261" s="27"/>
      <c r="H261" s="27"/>
      <c r="I261" s="27"/>
      <c r="J261" s="27"/>
      <c r="N261" s="27"/>
    </row>
    <row r="262">
      <c r="F262" s="27"/>
      <c r="G262" s="27"/>
      <c r="H262" s="27"/>
      <c r="I262" s="27"/>
      <c r="J262" s="27"/>
      <c r="N262" s="27"/>
    </row>
    <row r="263">
      <c r="F263" s="27"/>
      <c r="G263" s="27"/>
      <c r="H263" s="27"/>
      <c r="I263" s="27"/>
      <c r="J263" s="27"/>
      <c r="N263" s="27"/>
    </row>
    <row r="264">
      <c r="F264" s="27"/>
      <c r="G264" s="27"/>
      <c r="H264" s="27"/>
      <c r="I264" s="27"/>
      <c r="J264" s="27"/>
      <c r="N264" s="27"/>
    </row>
    <row r="265">
      <c r="F265" s="27"/>
      <c r="G265" s="27"/>
      <c r="H265" s="27"/>
      <c r="I265" s="27"/>
      <c r="J265" s="27"/>
      <c r="N265" s="27"/>
    </row>
    <row r="266">
      <c r="F266" s="27"/>
      <c r="G266" s="27"/>
      <c r="H266" s="27"/>
      <c r="I266" s="27"/>
      <c r="J266" s="27"/>
      <c r="N266" s="27"/>
    </row>
    <row r="267">
      <c r="F267" s="27"/>
      <c r="G267" s="27"/>
      <c r="H267" s="27"/>
      <c r="I267" s="27"/>
      <c r="J267" s="27"/>
      <c r="N267" s="27"/>
    </row>
    <row r="268">
      <c r="F268" s="27"/>
      <c r="G268" s="27"/>
      <c r="H268" s="27"/>
      <c r="I268" s="27"/>
      <c r="J268" s="27"/>
      <c r="N268" s="27"/>
    </row>
    <row r="269">
      <c r="F269" s="27"/>
      <c r="G269" s="27"/>
      <c r="H269" s="27"/>
      <c r="I269" s="27"/>
      <c r="J269" s="27"/>
      <c r="N269" s="27"/>
    </row>
    <row r="270">
      <c r="F270" s="27"/>
      <c r="G270" s="27"/>
      <c r="H270" s="27"/>
      <c r="I270" s="27"/>
      <c r="J270" s="27"/>
      <c r="N270" s="27"/>
    </row>
    <row r="271">
      <c r="F271" s="27"/>
      <c r="G271" s="27"/>
      <c r="H271" s="27"/>
      <c r="I271" s="27"/>
      <c r="J271" s="27"/>
      <c r="N271" s="27"/>
    </row>
    <row r="272">
      <c r="F272" s="27"/>
      <c r="G272" s="27"/>
      <c r="H272" s="27"/>
      <c r="I272" s="27"/>
      <c r="J272" s="27"/>
      <c r="N272" s="27"/>
    </row>
    <row r="273">
      <c r="F273" s="27"/>
      <c r="G273" s="27"/>
      <c r="H273" s="27"/>
      <c r="I273" s="27"/>
      <c r="J273" s="27"/>
      <c r="N273" s="27"/>
    </row>
    <row r="274">
      <c r="F274" s="27"/>
      <c r="G274" s="27"/>
      <c r="H274" s="27"/>
      <c r="I274" s="27"/>
      <c r="J274" s="27"/>
      <c r="N274" s="27"/>
    </row>
    <row r="275">
      <c r="F275" s="27"/>
      <c r="G275" s="27"/>
      <c r="H275" s="27"/>
      <c r="I275" s="27"/>
      <c r="J275" s="27"/>
      <c r="N275" s="27"/>
    </row>
    <row r="276">
      <c r="F276" s="27"/>
      <c r="G276" s="27"/>
      <c r="H276" s="27"/>
      <c r="I276" s="27"/>
      <c r="J276" s="27"/>
      <c r="N276" s="27"/>
    </row>
    <row r="277">
      <c r="F277" s="27"/>
      <c r="G277" s="27"/>
      <c r="H277" s="27"/>
      <c r="I277" s="27"/>
      <c r="J277" s="27"/>
      <c r="N277" s="27"/>
    </row>
    <row r="278">
      <c r="F278" s="27"/>
      <c r="G278" s="27"/>
      <c r="H278" s="27"/>
      <c r="I278" s="27"/>
      <c r="J278" s="27"/>
      <c r="N278" s="27"/>
    </row>
    <row r="279">
      <c r="F279" s="27"/>
      <c r="G279" s="27"/>
      <c r="H279" s="27"/>
      <c r="I279" s="27"/>
      <c r="J279" s="27"/>
      <c r="N279" s="27"/>
    </row>
    <row r="280">
      <c r="F280" s="27"/>
      <c r="G280" s="27"/>
      <c r="H280" s="27"/>
      <c r="I280" s="27"/>
      <c r="J280" s="27"/>
      <c r="N280" s="27"/>
    </row>
    <row r="281">
      <c r="F281" s="27"/>
      <c r="G281" s="27"/>
      <c r="H281" s="27"/>
      <c r="I281" s="27"/>
      <c r="J281" s="27"/>
      <c r="N281" s="27"/>
    </row>
    <row r="282">
      <c r="F282" s="27"/>
      <c r="G282" s="27"/>
      <c r="H282" s="27"/>
      <c r="I282" s="27"/>
      <c r="J282" s="27"/>
      <c r="N282" s="27"/>
    </row>
    <row r="283">
      <c r="F283" s="27"/>
      <c r="G283" s="27"/>
      <c r="H283" s="27"/>
      <c r="I283" s="27"/>
      <c r="J283" s="27"/>
      <c r="N283" s="27"/>
    </row>
    <row r="284">
      <c r="F284" s="27"/>
      <c r="G284" s="27"/>
      <c r="H284" s="27"/>
      <c r="I284" s="27"/>
      <c r="J284" s="27"/>
      <c r="N284" s="27"/>
    </row>
    <row r="285">
      <c r="F285" s="27"/>
      <c r="G285" s="27"/>
      <c r="H285" s="27"/>
      <c r="I285" s="27"/>
      <c r="J285" s="27"/>
      <c r="N285" s="27"/>
    </row>
    <row r="286">
      <c r="F286" s="27"/>
      <c r="G286" s="27"/>
      <c r="H286" s="27"/>
      <c r="I286" s="27"/>
      <c r="J286" s="27"/>
      <c r="N286" s="27"/>
    </row>
    <row r="287">
      <c r="F287" s="27"/>
      <c r="G287" s="27"/>
      <c r="H287" s="27"/>
      <c r="I287" s="27"/>
      <c r="J287" s="27"/>
      <c r="N287" s="27"/>
    </row>
    <row r="288">
      <c r="F288" s="27"/>
      <c r="G288" s="27"/>
      <c r="H288" s="27"/>
      <c r="I288" s="27"/>
      <c r="J288" s="27"/>
      <c r="N288" s="27"/>
    </row>
    <row r="289">
      <c r="F289" s="27"/>
      <c r="G289" s="27"/>
      <c r="H289" s="27"/>
      <c r="I289" s="27"/>
      <c r="J289" s="27"/>
      <c r="N289" s="27"/>
    </row>
    <row r="290">
      <c r="F290" s="27"/>
      <c r="G290" s="27"/>
      <c r="H290" s="27"/>
      <c r="I290" s="27"/>
      <c r="J290" s="27"/>
      <c r="N290" s="27"/>
    </row>
    <row r="291">
      <c r="F291" s="27"/>
      <c r="G291" s="27"/>
      <c r="H291" s="27"/>
      <c r="I291" s="27"/>
      <c r="J291" s="27"/>
      <c r="N291" s="27"/>
    </row>
    <row r="292">
      <c r="F292" s="27"/>
      <c r="G292" s="27"/>
      <c r="H292" s="27"/>
      <c r="I292" s="27"/>
      <c r="J292" s="27"/>
      <c r="N292" s="27"/>
    </row>
    <row r="293">
      <c r="F293" s="27"/>
      <c r="G293" s="27"/>
      <c r="H293" s="27"/>
      <c r="I293" s="27"/>
      <c r="J293" s="27"/>
      <c r="N293" s="27"/>
    </row>
    <row r="294">
      <c r="F294" s="27"/>
      <c r="G294" s="27"/>
      <c r="H294" s="27"/>
      <c r="I294" s="27"/>
      <c r="J294" s="27"/>
      <c r="N294" s="27"/>
    </row>
    <row r="295">
      <c r="F295" s="27"/>
      <c r="G295" s="27"/>
      <c r="H295" s="27"/>
      <c r="I295" s="27"/>
      <c r="J295" s="27"/>
      <c r="N295" s="27"/>
    </row>
    <row r="296">
      <c r="F296" s="27"/>
      <c r="G296" s="27"/>
      <c r="H296" s="27"/>
      <c r="I296" s="27"/>
      <c r="J296" s="27"/>
      <c r="N296" s="27"/>
    </row>
    <row r="297">
      <c r="F297" s="27"/>
      <c r="G297" s="27"/>
      <c r="H297" s="27"/>
      <c r="I297" s="27"/>
      <c r="J297" s="27"/>
      <c r="N297" s="27"/>
    </row>
    <row r="298">
      <c r="F298" s="27"/>
      <c r="G298" s="27"/>
      <c r="H298" s="27"/>
      <c r="I298" s="27"/>
      <c r="J298" s="27"/>
      <c r="N298" s="27"/>
    </row>
    <row r="299">
      <c r="F299" s="27"/>
      <c r="G299" s="27"/>
      <c r="H299" s="27"/>
      <c r="I299" s="27"/>
      <c r="J299" s="27"/>
      <c r="N299" s="27"/>
    </row>
    <row r="300">
      <c r="F300" s="27"/>
      <c r="G300" s="27"/>
      <c r="H300" s="27"/>
      <c r="I300" s="27"/>
      <c r="J300" s="27"/>
      <c r="N300" s="27"/>
    </row>
    <row r="301">
      <c r="F301" s="27"/>
      <c r="G301" s="27"/>
      <c r="H301" s="27"/>
      <c r="I301" s="27"/>
      <c r="J301" s="27"/>
      <c r="N301" s="27"/>
    </row>
    <row r="302">
      <c r="F302" s="27"/>
      <c r="G302" s="27"/>
      <c r="H302" s="27"/>
      <c r="I302" s="27"/>
      <c r="J302" s="27"/>
      <c r="N302" s="27"/>
    </row>
    <row r="303">
      <c r="F303" s="27"/>
      <c r="G303" s="27"/>
      <c r="H303" s="27"/>
      <c r="I303" s="27"/>
      <c r="J303" s="27"/>
      <c r="N303" s="27"/>
    </row>
    <row r="304">
      <c r="F304" s="27"/>
      <c r="G304" s="27"/>
      <c r="H304" s="27"/>
      <c r="I304" s="27"/>
      <c r="J304" s="27"/>
      <c r="N304" s="27"/>
    </row>
    <row r="305">
      <c r="F305" s="27"/>
      <c r="G305" s="27"/>
      <c r="H305" s="27"/>
      <c r="I305" s="27"/>
      <c r="J305" s="27"/>
      <c r="N305" s="27"/>
    </row>
    <row r="306">
      <c r="F306" s="27"/>
      <c r="G306" s="27"/>
      <c r="H306" s="27"/>
      <c r="I306" s="27"/>
      <c r="J306" s="27"/>
      <c r="N306" s="27"/>
    </row>
    <row r="307">
      <c r="F307" s="27"/>
      <c r="G307" s="27"/>
      <c r="H307" s="27"/>
      <c r="I307" s="27"/>
      <c r="J307" s="27"/>
      <c r="N307" s="27"/>
    </row>
    <row r="308">
      <c r="F308" s="27"/>
      <c r="G308" s="27"/>
      <c r="H308" s="27"/>
      <c r="I308" s="27"/>
      <c r="J308" s="27"/>
      <c r="N308" s="27"/>
    </row>
    <row r="309">
      <c r="F309" s="27"/>
      <c r="G309" s="27"/>
      <c r="H309" s="27"/>
      <c r="I309" s="27"/>
      <c r="J309" s="27"/>
      <c r="N309" s="27"/>
    </row>
    <row r="310">
      <c r="F310" s="27"/>
      <c r="G310" s="27"/>
      <c r="H310" s="27"/>
      <c r="I310" s="27"/>
      <c r="J310" s="27"/>
      <c r="N310" s="27"/>
    </row>
    <row r="311">
      <c r="F311" s="27"/>
      <c r="G311" s="27"/>
      <c r="H311" s="27"/>
      <c r="I311" s="27"/>
      <c r="J311" s="27"/>
      <c r="N311" s="27"/>
    </row>
    <row r="312">
      <c r="F312" s="27"/>
      <c r="G312" s="27"/>
      <c r="H312" s="27"/>
      <c r="I312" s="27"/>
      <c r="J312" s="27"/>
      <c r="N312" s="27"/>
    </row>
    <row r="313">
      <c r="F313" s="27"/>
      <c r="G313" s="27"/>
      <c r="H313" s="27"/>
      <c r="I313" s="27"/>
      <c r="J313" s="27"/>
      <c r="N313" s="27"/>
    </row>
    <row r="314">
      <c r="F314" s="27"/>
      <c r="G314" s="27"/>
      <c r="H314" s="27"/>
      <c r="I314" s="27"/>
      <c r="J314" s="27"/>
      <c r="N314" s="27"/>
    </row>
    <row r="315">
      <c r="F315" s="27"/>
      <c r="G315" s="27"/>
      <c r="H315" s="27"/>
      <c r="I315" s="27"/>
      <c r="J315" s="27"/>
      <c r="N315" s="27"/>
    </row>
    <row r="316">
      <c r="F316" s="27"/>
      <c r="G316" s="27"/>
      <c r="H316" s="27"/>
      <c r="I316" s="27"/>
      <c r="J316" s="27"/>
      <c r="N316" s="27"/>
    </row>
    <row r="317">
      <c r="F317" s="27"/>
      <c r="G317" s="27"/>
      <c r="H317" s="27"/>
      <c r="I317" s="27"/>
      <c r="J317" s="27"/>
      <c r="N317" s="27"/>
    </row>
    <row r="318">
      <c r="F318" s="27"/>
      <c r="G318" s="27"/>
      <c r="H318" s="27"/>
      <c r="I318" s="27"/>
      <c r="J318" s="27"/>
      <c r="N318" s="27"/>
    </row>
    <row r="319">
      <c r="F319" s="27"/>
      <c r="G319" s="27"/>
      <c r="H319" s="27"/>
      <c r="I319" s="27"/>
      <c r="J319" s="27"/>
      <c r="N319" s="27"/>
    </row>
    <row r="320">
      <c r="F320" s="27"/>
      <c r="G320" s="27"/>
      <c r="H320" s="27"/>
      <c r="I320" s="27"/>
      <c r="J320" s="27"/>
      <c r="N320" s="27"/>
    </row>
    <row r="321">
      <c r="F321" s="27"/>
      <c r="G321" s="27"/>
      <c r="H321" s="27"/>
      <c r="I321" s="27"/>
      <c r="J321" s="27"/>
      <c r="N321" s="27"/>
    </row>
    <row r="322">
      <c r="F322" s="27"/>
      <c r="G322" s="27"/>
      <c r="H322" s="27"/>
      <c r="I322" s="27"/>
      <c r="J322" s="27"/>
      <c r="N322" s="27"/>
    </row>
    <row r="323">
      <c r="F323" s="27"/>
      <c r="G323" s="27"/>
      <c r="H323" s="27"/>
      <c r="I323" s="27"/>
      <c r="J323" s="27"/>
      <c r="N323" s="27"/>
    </row>
    <row r="324">
      <c r="F324" s="27"/>
      <c r="G324" s="27"/>
      <c r="H324" s="27"/>
      <c r="I324" s="27"/>
      <c r="J324" s="27"/>
      <c r="N324" s="27"/>
    </row>
    <row r="325">
      <c r="F325" s="27"/>
      <c r="G325" s="27"/>
      <c r="H325" s="27"/>
      <c r="I325" s="27"/>
      <c r="J325" s="27"/>
      <c r="N325" s="27"/>
    </row>
    <row r="326">
      <c r="F326" s="27"/>
      <c r="G326" s="27"/>
      <c r="H326" s="27"/>
      <c r="I326" s="27"/>
      <c r="J326" s="27"/>
      <c r="N326" s="27"/>
    </row>
    <row r="327">
      <c r="F327" s="27"/>
      <c r="G327" s="27"/>
      <c r="H327" s="27"/>
      <c r="I327" s="27"/>
      <c r="J327" s="27"/>
      <c r="N327" s="27"/>
    </row>
    <row r="328">
      <c r="F328" s="27"/>
      <c r="G328" s="27"/>
      <c r="H328" s="27"/>
      <c r="I328" s="27"/>
      <c r="J328" s="27"/>
      <c r="N328" s="27"/>
    </row>
    <row r="329">
      <c r="F329" s="27"/>
      <c r="G329" s="27"/>
      <c r="H329" s="27"/>
      <c r="I329" s="27"/>
      <c r="J329" s="27"/>
      <c r="N329" s="27"/>
    </row>
    <row r="330">
      <c r="F330" s="27"/>
      <c r="G330" s="27"/>
      <c r="H330" s="27"/>
      <c r="I330" s="27"/>
      <c r="J330" s="27"/>
      <c r="N330" s="27"/>
    </row>
    <row r="331">
      <c r="F331" s="27"/>
      <c r="G331" s="27"/>
      <c r="H331" s="27"/>
      <c r="I331" s="27"/>
      <c r="J331" s="27"/>
      <c r="N331" s="27"/>
    </row>
    <row r="332">
      <c r="F332" s="27"/>
      <c r="G332" s="27"/>
      <c r="H332" s="27"/>
      <c r="I332" s="27"/>
      <c r="J332" s="27"/>
      <c r="N332" s="27"/>
    </row>
    <row r="333">
      <c r="F333" s="27"/>
      <c r="G333" s="27"/>
      <c r="H333" s="27"/>
      <c r="I333" s="27"/>
      <c r="J333" s="27"/>
      <c r="N333" s="27"/>
    </row>
    <row r="334">
      <c r="F334" s="27"/>
      <c r="G334" s="27"/>
      <c r="H334" s="27"/>
      <c r="I334" s="27"/>
      <c r="J334" s="27"/>
      <c r="N334" s="27"/>
    </row>
    <row r="335">
      <c r="F335" s="27"/>
      <c r="G335" s="27"/>
      <c r="H335" s="27"/>
      <c r="I335" s="27"/>
      <c r="J335" s="27"/>
      <c r="N335" s="27"/>
    </row>
    <row r="336">
      <c r="F336" s="27"/>
      <c r="G336" s="27"/>
      <c r="H336" s="27"/>
      <c r="I336" s="27"/>
      <c r="J336" s="27"/>
      <c r="N336" s="27"/>
    </row>
    <row r="337">
      <c r="F337" s="27"/>
      <c r="G337" s="27"/>
      <c r="H337" s="27"/>
      <c r="I337" s="27"/>
      <c r="J337" s="27"/>
      <c r="N337" s="27"/>
    </row>
    <row r="338">
      <c r="F338" s="27"/>
      <c r="G338" s="27"/>
      <c r="H338" s="27"/>
      <c r="I338" s="27"/>
      <c r="J338" s="27"/>
      <c r="N338" s="27"/>
    </row>
    <row r="339">
      <c r="F339" s="27"/>
      <c r="G339" s="27"/>
      <c r="H339" s="27"/>
      <c r="I339" s="27"/>
      <c r="J339" s="27"/>
      <c r="N339" s="27"/>
    </row>
    <row r="340">
      <c r="F340" s="27"/>
      <c r="G340" s="27"/>
      <c r="H340" s="27"/>
      <c r="I340" s="27"/>
      <c r="J340" s="27"/>
      <c r="N340" s="27"/>
    </row>
    <row r="341">
      <c r="F341" s="27"/>
      <c r="G341" s="27"/>
      <c r="H341" s="27"/>
      <c r="I341" s="27"/>
      <c r="J341" s="27"/>
      <c r="N341" s="27"/>
    </row>
    <row r="342">
      <c r="F342" s="27"/>
      <c r="G342" s="27"/>
      <c r="H342" s="27"/>
      <c r="I342" s="27"/>
      <c r="J342" s="27"/>
      <c r="N342" s="27"/>
    </row>
    <row r="343">
      <c r="F343" s="27"/>
      <c r="G343" s="27"/>
      <c r="H343" s="27"/>
      <c r="I343" s="27"/>
      <c r="J343" s="27"/>
      <c r="N343" s="27"/>
    </row>
    <row r="344">
      <c r="F344" s="27"/>
      <c r="G344" s="27"/>
      <c r="H344" s="27"/>
      <c r="I344" s="27"/>
      <c r="J344" s="27"/>
      <c r="N344" s="27"/>
    </row>
    <row r="345">
      <c r="F345" s="27"/>
      <c r="G345" s="27"/>
      <c r="H345" s="27"/>
      <c r="I345" s="27"/>
      <c r="J345" s="27"/>
      <c r="N345" s="27"/>
    </row>
    <row r="346">
      <c r="F346" s="27"/>
      <c r="G346" s="27"/>
      <c r="H346" s="27"/>
      <c r="I346" s="27"/>
      <c r="J346" s="27"/>
      <c r="N346" s="27"/>
    </row>
    <row r="347">
      <c r="F347" s="27"/>
      <c r="G347" s="27"/>
      <c r="H347" s="27"/>
      <c r="I347" s="27"/>
      <c r="J347" s="27"/>
      <c r="N347" s="27"/>
    </row>
    <row r="348">
      <c r="F348" s="27"/>
      <c r="G348" s="27"/>
      <c r="H348" s="27"/>
      <c r="I348" s="27"/>
      <c r="J348" s="27"/>
      <c r="N348" s="27"/>
    </row>
    <row r="349">
      <c r="F349" s="27"/>
      <c r="G349" s="27"/>
      <c r="H349" s="27"/>
      <c r="I349" s="27"/>
      <c r="J349" s="27"/>
      <c r="N349" s="27"/>
    </row>
    <row r="350">
      <c r="F350" s="27"/>
      <c r="G350" s="27"/>
      <c r="H350" s="27"/>
      <c r="I350" s="27"/>
      <c r="J350" s="27"/>
      <c r="N350" s="27"/>
    </row>
    <row r="351">
      <c r="F351" s="27"/>
      <c r="G351" s="27"/>
      <c r="H351" s="27"/>
      <c r="I351" s="27"/>
      <c r="J351" s="27"/>
      <c r="N351" s="27"/>
    </row>
    <row r="352">
      <c r="F352" s="27"/>
      <c r="G352" s="27"/>
      <c r="H352" s="27"/>
      <c r="I352" s="27"/>
      <c r="J352" s="27"/>
      <c r="N352" s="27"/>
    </row>
    <row r="353">
      <c r="F353" s="27"/>
      <c r="G353" s="27"/>
      <c r="H353" s="27"/>
      <c r="I353" s="27"/>
      <c r="J353" s="27"/>
      <c r="N353" s="27"/>
    </row>
    <row r="354">
      <c r="F354" s="27"/>
      <c r="G354" s="27"/>
      <c r="H354" s="27"/>
      <c r="I354" s="27"/>
      <c r="J354" s="27"/>
      <c r="N354" s="27"/>
    </row>
    <row r="355">
      <c r="F355" s="27"/>
      <c r="G355" s="27"/>
      <c r="H355" s="27"/>
      <c r="I355" s="27"/>
      <c r="J355" s="27"/>
      <c r="N355" s="27"/>
    </row>
    <row r="356">
      <c r="F356" s="27"/>
      <c r="G356" s="27"/>
      <c r="H356" s="27"/>
      <c r="I356" s="27"/>
      <c r="J356" s="27"/>
      <c r="N356" s="27"/>
    </row>
    <row r="357">
      <c r="F357" s="27"/>
      <c r="G357" s="27"/>
      <c r="H357" s="27"/>
      <c r="I357" s="27"/>
      <c r="J357" s="27"/>
      <c r="N357" s="27"/>
    </row>
    <row r="358">
      <c r="F358" s="27"/>
      <c r="G358" s="27"/>
      <c r="H358" s="27"/>
      <c r="I358" s="27"/>
      <c r="J358" s="27"/>
      <c r="N358" s="27"/>
    </row>
    <row r="359">
      <c r="F359" s="27"/>
      <c r="G359" s="27"/>
      <c r="H359" s="27"/>
      <c r="I359" s="27"/>
      <c r="J359" s="27"/>
      <c r="N359" s="27"/>
    </row>
    <row r="360">
      <c r="F360" s="27"/>
      <c r="G360" s="27"/>
      <c r="H360" s="27"/>
      <c r="I360" s="27"/>
      <c r="J360" s="27"/>
      <c r="N360" s="27"/>
    </row>
    <row r="361">
      <c r="F361" s="27"/>
      <c r="G361" s="27"/>
      <c r="H361" s="27"/>
      <c r="I361" s="27"/>
      <c r="J361" s="27"/>
      <c r="N361" s="27"/>
    </row>
    <row r="362">
      <c r="F362" s="27"/>
      <c r="G362" s="27"/>
      <c r="H362" s="27"/>
      <c r="I362" s="27"/>
      <c r="J362" s="27"/>
      <c r="N362" s="27"/>
    </row>
    <row r="363">
      <c r="F363" s="27"/>
      <c r="G363" s="27"/>
      <c r="H363" s="27"/>
      <c r="I363" s="27"/>
      <c r="J363" s="27"/>
      <c r="N363" s="27"/>
    </row>
    <row r="364">
      <c r="F364" s="27"/>
      <c r="G364" s="27"/>
      <c r="H364" s="27"/>
      <c r="I364" s="27"/>
      <c r="J364" s="27"/>
      <c r="N364" s="27"/>
    </row>
    <row r="365">
      <c r="F365" s="27"/>
      <c r="G365" s="27"/>
      <c r="H365" s="27"/>
      <c r="I365" s="27"/>
      <c r="J365" s="27"/>
      <c r="N365" s="27"/>
    </row>
    <row r="366">
      <c r="F366" s="27"/>
      <c r="G366" s="27"/>
      <c r="H366" s="27"/>
      <c r="I366" s="27"/>
      <c r="J366" s="27"/>
      <c r="N366" s="27"/>
    </row>
    <row r="367">
      <c r="F367" s="27"/>
      <c r="G367" s="27"/>
      <c r="H367" s="27"/>
      <c r="I367" s="27"/>
      <c r="J367" s="27"/>
      <c r="N367" s="27"/>
    </row>
    <row r="368">
      <c r="F368" s="27"/>
      <c r="G368" s="27"/>
      <c r="H368" s="27"/>
      <c r="I368" s="27"/>
      <c r="J368" s="27"/>
      <c r="N368" s="27"/>
    </row>
    <row r="369">
      <c r="F369" s="27"/>
      <c r="G369" s="27"/>
      <c r="H369" s="27"/>
      <c r="I369" s="27"/>
      <c r="J369" s="27"/>
      <c r="N369" s="27"/>
    </row>
    <row r="370">
      <c r="F370" s="27"/>
      <c r="G370" s="27"/>
      <c r="H370" s="27"/>
      <c r="I370" s="27"/>
      <c r="J370" s="27"/>
      <c r="N370" s="27"/>
    </row>
    <row r="371">
      <c r="F371" s="27"/>
      <c r="G371" s="27"/>
      <c r="H371" s="27"/>
      <c r="I371" s="27"/>
      <c r="J371" s="27"/>
      <c r="N371" s="27"/>
    </row>
    <row r="372">
      <c r="F372" s="27"/>
      <c r="G372" s="27"/>
      <c r="H372" s="27"/>
      <c r="I372" s="27"/>
      <c r="J372" s="27"/>
      <c r="N372" s="27"/>
    </row>
    <row r="373">
      <c r="F373" s="27"/>
      <c r="G373" s="27"/>
      <c r="H373" s="27"/>
      <c r="I373" s="27"/>
      <c r="J373" s="27"/>
      <c r="N373" s="27"/>
    </row>
    <row r="374">
      <c r="F374" s="27"/>
      <c r="G374" s="27"/>
      <c r="H374" s="27"/>
      <c r="I374" s="27"/>
      <c r="J374" s="27"/>
      <c r="N374" s="27"/>
    </row>
    <row r="375">
      <c r="F375" s="27"/>
      <c r="G375" s="27"/>
      <c r="H375" s="27"/>
      <c r="I375" s="27"/>
      <c r="J375" s="27"/>
      <c r="N375" s="27"/>
    </row>
    <row r="376">
      <c r="F376" s="27"/>
      <c r="G376" s="27"/>
      <c r="H376" s="27"/>
      <c r="I376" s="27"/>
      <c r="J376" s="27"/>
      <c r="N376" s="27"/>
    </row>
    <row r="377">
      <c r="F377" s="27"/>
      <c r="G377" s="27"/>
      <c r="H377" s="27"/>
      <c r="I377" s="27"/>
      <c r="J377" s="27"/>
      <c r="N377" s="27"/>
    </row>
    <row r="378">
      <c r="F378" s="27"/>
      <c r="G378" s="27"/>
      <c r="H378" s="27"/>
      <c r="I378" s="27"/>
      <c r="J378" s="27"/>
      <c r="N378" s="27"/>
    </row>
    <row r="379">
      <c r="F379" s="27"/>
      <c r="G379" s="27"/>
      <c r="H379" s="27"/>
      <c r="I379" s="27"/>
      <c r="J379" s="27"/>
      <c r="N379" s="27"/>
    </row>
    <row r="380">
      <c r="F380" s="27"/>
      <c r="G380" s="27"/>
      <c r="H380" s="27"/>
      <c r="I380" s="27"/>
      <c r="J380" s="27"/>
      <c r="N380" s="27"/>
    </row>
    <row r="381">
      <c r="F381" s="27"/>
      <c r="G381" s="27"/>
      <c r="H381" s="27"/>
      <c r="I381" s="27"/>
      <c r="J381" s="27"/>
      <c r="N381" s="27"/>
    </row>
    <row r="382">
      <c r="F382" s="27"/>
      <c r="G382" s="27"/>
      <c r="H382" s="27"/>
      <c r="I382" s="27"/>
      <c r="J382" s="27"/>
      <c r="N382" s="27"/>
    </row>
    <row r="383">
      <c r="F383" s="27"/>
      <c r="G383" s="27"/>
      <c r="H383" s="27"/>
      <c r="I383" s="27"/>
      <c r="J383" s="27"/>
      <c r="N383" s="27"/>
    </row>
    <row r="384">
      <c r="F384" s="27"/>
      <c r="G384" s="27"/>
      <c r="H384" s="27"/>
      <c r="I384" s="27"/>
      <c r="J384" s="27"/>
      <c r="N384" s="27"/>
    </row>
    <row r="385">
      <c r="F385" s="27"/>
      <c r="G385" s="27"/>
      <c r="H385" s="27"/>
      <c r="I385" s="27"/>
      <c r="J385" s="27"/>
      <c r="N385" s="27"/>
    </row>
    <row r="386">
      <c r="F386" s="27"/>
      <c r="G386" s="27"/>
      <c r="H386" s="27"/>
      <c r="I386" s="27"/>
      <c r="J386" s="27"/>
      <c r="N386" s="27"/>
    </row>
    <row r="387">
      <c r="F387" s="27"/>
      <c r="G387" s="27"/>
      <c r="H387" s="27"/>
      <c r="I387" s="27"/>
      <c r="J387" s="27"/>
      <c r="N387" s="27"/>
    </row>
    <row r="388">
      <c r="F388" s="27"/>
      <c r="G388" s="27"/>
      <c r="H388" s="27"/>
      <c r="I388" s="27"/>
      <c r="J388" s="27"/>
      <c r="N388" s="27"/>
    </row>
    <row r="389">
      <c r="F389" s="27"/>
      <c r="G389" s="27"/>
      <c r="H389" s="27"/>
      <c r="I389" s="27"/>
      <c r="J389" s="27"/>
      <c r="N389" s="27"/>
    </row>
    <row r="390">
      <c r="F390" s="27"/>
      <c r="G390" s="27"/>
      <c r="H390" s="27"/>
      <c r="I390" s="27"/>
      <c r="J390" s="27"/>
      <c r="N390" s="27"/>
    </row>
    <row r="391">
      <c r="F391" s="27"/>
      <c r="G391" s="27"/>
      <c r="H391" s="27"/>
      <c r="I391" s="27"/>
      <c r="J391" s="27"/>
      <c r="N391" s="27"/>
    </row>
    <row r="392">
      <c r="F392" s="27"/>
      <c r="G392" s="27"/>
      <c r="H392" s="27"/>
      <c r="I392" s="27"/>
      <c r="J392" s="27"/>
      <c r="N392" s="27"/>
    </row>
    <row r="393">
      <c r="F393" s="27"/>
      <c r="G393" s="27"/>
      <c r="H393" s="27"/>
      <c r="I393" s="27"/>
      <c r="J393" s="27"/>
      <c r="N393" s="27"/>
    </row>
    <row r="394">
      <c r="F394" s="27"/>
      <c r="G394" s="27"/>
      <c r="H394" s="27"/>
      <c r="I394" s="27"/>
      <c r="J394" s="27"/>
      <c r="N394" s="27"/>
    </row>
    <row r="395">
      <c r="F395" s="27"/>
      <c r="G395" s="27"/>
      <c r="H395" s="27"/>
      <c r="I395" s="27"/>
      <c r="J395" s="27"/>
      <c r="N395" s="27"/>
    </row>
    <row r="396">
      <c r="F396" s="27"/>
      <c r="G396" s="27"/>
      <c r="H396" s="27"/>
      <c r="I396" s="27"/>
      <c r="J396" s="27"/>
      <c r="N396" s="27"/>
    </row>
    <row r="397">
      <c r="F397" s="27"/>
      <c r="G397" s="27"/>
      <c r="H397" s="27"/>
      <c r="I397" s="27"/>
      <c r="J397" s="27"/>
      <c r="N397" s="27"/>
    </row>
    <row r="398">
      <c r="F398" s="27"/>
      <c r="G398" s="27"/>
      <c r="H398" s="27"/>
      <c r="I398" s="27"/>
      <c r="J398" s="27"/>
      <c r="N398" s="27"/>
    </row>
    <row r="399">
      <c r="F399" s="27"/>
      <c r="G399" s="27"/>
      <c r="H399" s="27"/>
      <c r="I399" s="27"/>
      <c r="J399" s="27"/>
      <c r="N399" s="27"/>
    </row>
    <row r="400">
      <c r="F400" s="27"/>
      <c r="G400" s="27"/>
      <c r="H400" s="27"/>
      <c r="I400" s="27"/>
      <c r="J400" s="27"/>
      <c r="N400" s="27"/>
    </row>
    <row r="401">
      <c r="F401" s="27"/>
      <c r="G401" s="27"/>
      <c r="H401" s="27"/>
      <c r="I401" s="27"/>
      <c r="J401" s="27"/>
      <c r="N401" s="27"/>
    </row>
    <row r="402">
      <c r="F402" s="27"/>
      <c r="G402" s="27"/>
      <c r="H402" s="27"/>
      <c r="I402" s="27"/>
      <c r="J402" s="27"/>
      <c r="N402" s="27"/>
    </row>
    <row r="403">
      <c r="F403" s="27"/>
      <c r="G403" s="27"/>
      <c r="H403" s="27"/>
      <c r="I403" s="27"/>
      <c r="J403" s="27"/>
      <c r="N403" s="27"/>
    </row>
    <row r="404">
      <c r="F404" s="27"/>
      <c r="G404" s="27"/>
      <c r="H404" s="27"/>
      <c r="I404" s="27"/>
      <c r="J404" s="27"/>
      <c r="N404" s="27"/>
    </row>
    <row r="405">
      <c r="F405" s="27"/>
      <c r="G405" s="27"/>
      <c r="H405" s="27"/>
      <c r="I405" s="27"/>
      <c r="J405" s="27"/>
      <c r="N405" s="27"/>
    </row>
    <row r="406">
      <c r="F406" s="27"/>
      <c r="G406" s="27"/>
      <c r="H406" s="27"/>
      <c r="I406" s="27"/>
      <c r="J406" s="27"/>
      <c r="N406" s="27"/>
    </row>
    <row r="407">
      <c r="F407" s="27"/>
      <c r="G407" s="27"/>
      <c r="H407" s="27"/>
      <c r="I407" s="27"/>
      <c r="J407" s="27"/>
      <c r="N407" s="27"/>
    </row>
    <row r="408">
      <c r="F408" s="27"/>
      <c r="G408" s="27"/>
      <c r="H408" s="27"/>
      <c r="I408" s="27"/>
      <c r="J408" s="27"/>
      <c r="N408" s="27"/>
    </row>
    <row r="409">
      <c r="F409" s="27"/>
      <c r="G409" s="27"/>
      <c r="H409" s="27"/>
      <c r="I409" s="27"/>
      <c r="J409" s="27"/>
      <c r="N409" s="27"/>
    </row>
    <row r="410">
      <c r="F410" s="27"/>
      <c r="G410" s="27"/>
      <c r="H410" s="27"/>
      <c r="I410" s="27"/>
      <c r="J410" s="27"/>
      <c r="N410" s="27"/>
    </row>
    <row r="411">
      <c r="F411" s="27"/>
      <c r="G411" s="27"/>
      <c r="H411" s="27"/>
      <c r="I411" s="27"/>
      <c r="J411" s="27"/>
      <c r="N411" s="27"/>
    </row>
    <row r="412">
      <c r="F412" s="27"/>
      <c r="G412" s="27"/>
      <c r="H412" s="27"/>
      <c r="I412" s="27"/>
      <c r="J412" s="27"/>
      <c r="N412" s="27"/>
    </row>
    <row r="413">
      <c r="F413" s="27"/>
      <c r="G413" s="27"/>
      <c r="H413" s="27"/>
      <c r="I413" s="27"/>
      <c r="J413" s="27"/>
      <c r="N413" s="27"/>
    </row>
    <row r="414">
      <c r="F414" s="27"/>
      <c r="G414" s="27"/>
      <c r="H414" s="27"/>
      <c r="I414" s="27"/>
      <c r="J414" s="27"/>
      <c r="N414" s="27"/>
    </row>
    <row r="415">
      <c r="F415" s="27"/>
      <c r="G415" s="27"/>
      <c r="H415" s="27"/>
      <c r="I415" s="27"/>
      <c r="J415" s="27"/>
      <c r="N415" s="27"/>
    </row>
    <row r="416">
      <c r="F416" s="27"/>
      <c r="G416" s="27"/>
      <c r="H416" s="27"/>
      <c r="I416" s="27"/>
      <c r="J416" s="27"/>
      <c r="N416" s="27"/>
    </row>
    <row r="417">
      <c r="F417" s="27"/>
      <c r="G417" s="27"/>
      <c r="H417" s="27"/>
      <c r="I417" s="27"/>
      <c r="J417" s="27"/>
      <c r="N417" s="27"/>
    </row>
    <row r="418">
      <c r="F418" s="27"/>
      <c r="G418" s="27"/>
      <c r="H418" s="27"/>
      <c r="I418" s="27"/>
      <c r="J418" s="27"/>
      <c r="N418" s="27"/>
    </row>
    <row r="419">
      <c r="F419" s="27"/>
      <c r="G419" s="27"/>
      <c r="H419" s="27"/>
      <c r="I419" s="27"/>
      <c r="J419" s="27"/>
      <c r="N419" s="27"/>
    </row>
    <row r="420">
      <c r="F420" s="27"/>
      <c r="G420" s="27"/>
      <c r="H420" s="27"/>
      <c r="I420" s="27"/>
      <c r="J420" s="27"/>
      <c r="N420" s="27"/>
    </row>
    <row r="421">
      <c r="F421" s="27"/>
      <c r="G421" s="27"/>
      <c r="H421" s="27"/>
      <c r="I421" s="27"/>
      <c r="J421" s="27"/>
      <c r="N421" s="27"/>
    </row>
    <row r="422">
      <c r="F422" s="27"/>
      <c r="G422" s="27"/>
      <c r="H422" s="27"/>
      <c r="I422" s="27"/>
      <c r="J422" s="27"/>
      <c r="N422" s="27"/>
    </row>
    <row r="423">
      <c r="F423" s="27"/>
      <c r="G423" s="27"/>
      <c r="H423" s="27"/>
      <c r="I423" s="27"/>
      <c r="J423" s="27"/>
      <c r="N423" s="27"/>
    </row>
    <row r="424">
      <c r="F424" s="27"/>
      <c r="G424" s="27"/>
      <c r="H424" s="27"/>
      <c r="I424" s="27"/>
      <c r="J424" s="27"/>
      <c r="N424" s="27"/>
    </row>
    <row r="425">
      <c r="F425" s="27"/>
      <c r="G425" s="27"/>
      <c r="H425" s="27"/>
      <c r="I425" s="27"/>
      <c r="J425" s="27"/>
      <c r="N425" s="27"/>
    </row>
    <row r="426">
      <c r="F426" s="27"/>
      <c r="G426" s="27"/>
      <c r="H426" s="27"/>
      <c r="I426" s="27"/>
      <c r="J426" s="27"/>
      <c r="N426" s="27"/>
    </row>
    <row r="427">
      <c r="F427" s="27"/>
      <c r="G427" s="27"/>
      <c r="H427" s="27"/>
      <c r="I427" s="27"/>
      <c r="J427" s="27"/>
      <c r="N427" s="27"/>
    </row>
    <row r="428">
      <c r="F428" s="27"/>
      <c r="G428" s="27"/>
      <c r="H428" s="27"/>
      <c r="I428" s="27"/>
      <c r="J428" s="27"/>
      <c r="N428" s="27"/>
    </row>
    <row r="429">
      <c r="F429" s="27"/>
      <c r="G429" s="27"/>
      <c r="H429" s="27"/>
      <c r="I429" s="27"/>
      <c r="J429" s="27"/>
      <c r="N429" s="27"/>
    </row>
    <row r="430">
      <c r="F430" s="27"/>
      <c r="G430" s="27"/>
      <c r="H430" s="27"/>
      <c r="I430" s="27"/>
      <c r="J430" s="27"/>
      <c r="N430" s="27"/>
    </row>
    <row r="431">
      <c r="F431" s="27"/>
      <c r="G431" s="27"/>
      <c r="H431" s="27"/>
      <c r="I431" s="27"/>
      <c r="J431" s="27"/>
      <c r="N431" s="27"/>
    </row>
    <row r="432">
      <c r="F432" s="27"/>
      <c r="G432" s="27"/>
      <c r="H432" s="27"/>
      <c r="I432" s="27"/>
      <c r="J432" s="27"/>
      <c r="N432" s="27"/>
    </row>
    <row r="433">
      <c r="F433" s="27"/>
      <c r="G433" s="27"/>
      <c r="H433" s="27"/>
      <c r="I433" s="27"/>
      <c r="J433" s="27"/>
      <c r="N433" s="27"/>
    </row>
    <row r="434">
      <c r="F434" s="27"/>
      <c r="G434" s="27"/>
      <c r="H434" s="27"/>
      <c r="I434" s="27"/>
      <c r="J434" s="27"/>
      <c r="N434" s="27"/>
    </row>
    <row r="435">
      <c r="F435" s="27"/>
      <c r="G435" s="27"/>
      <c r="H435" s="27"/>
      <c r="I435" s="27"/>
      <c r="J435" s="27"/>
      <c r="N435" s="27"/>
    </row>
    <row r="436">
      <c r="F436" s="27"/>
      <c r="G436" s="27"/>
      <c r="H436" s="27"/>
      <c r="I436" s="27"/>
      <c r="J436" s="27"/>
      <c r="N436" s="27"/>
    </row>
    <row r="437">
      <c r="F437" s="27"/>
      <c r="G437" s="27"/>
      <c r="H437" s="27"/>
      <c r="I437" s="27"/>
      <c r="J437" s="27"/>
      <c r="N437" s="27"/>
    </row>
    <row r="438">
      <c r="F438" s="27"/>
      <c r="G438" s="27"/>
      <c r="H438" s="27"/>
      <c r="I438" s="27"/>
      <c r="J438" s="27"/>
      <c r="N438" s="27"/>
    </row>
    <row r="439">
      <c r="F439" s="27"/>
      <c r="G439" s="27"/>
      <c r="H439" s="27"/>
      <c r="I439" s="27"/>
      <c r="J439" s="27"/>
      <c r="N439" s="27"/>
    </row>
    <row r="440">
      <c r="F440" s="27"/>
      <c r="G440" s="27"/>
      <c r="H440" s="27"/>
      <c r="I440" s="27"/>
      <c r="J440" s="27"/>
      <c r="N440" s="27"/>
    </row>
    <row r="441">
      <c r="F441" s="27"/>
      <c r="G441" s="27"/>
      <c r="H441" s="27"/>
      <c r="I441" s="27"/>
      <c r="J441" s="27"/>
      <c r="N441" s="27"/>
    </row>
    <row r="442">
      <c r="F442" s="27"/>
      <c r="G442" s="27"/>
      <c r="H442" s="27"/>
      <c r="I442" s="27"/>
      <c r="J442" s="27"/>
      <c r="N442" s="27"/>
    </row>
    <row r="443">
      <c r="F443" s="27"/>
      <c r="G443" s="27"/>
      <c r="H443" s="27"/>
      <c r="I443" s="27"/>
      <c r="J443" s="27"/>
      <c r="N443" s="27"/>
    </row>
    <row r="444">
      <c r="F444" s="27"/>
      <c r="G444" s="27"/>
      <c r="H444" s="27"/>
      <c r="I444" s="27"/>
      <c r="J444" s="27"/>
      <c r="N444" s="27"/>
    </row>
    <row r="445">
      <c r="F445" s="27"/>
      <c r="G445" s="27"/>
      <c r="H445" s="27"/>
      <c r="I445" s="27"/>
      <c r="J445" s="27"/>
      <c r="N445" s="27"/>
    </row>
    <row r="446">
      <c r="F446" s="27"/>
      <c r="G446" s="27"/>
      <c r="H446" s="27"/>
      <c r="I446" s="27"/>
      <c r="J446" s="27"/>
      <c r="N446" s="27"/>
    </row>
    <row r="447">
      <c r="F447" s="27"/>
      <c r="G447" s="27"/>
      <c r="H447" s="27"/>
      <c r="I447" s="27"/>
      <c r="J447" s="27"/>
      <c r="N447" s="27"/>
    </row>
    <row r="448">
      <c r="F448" s="27"/>
      <c r="G448" s="27"/>
      <c r="H448" s="27"/>
      <c r="I448" s="27"/>
      <c r="J448" s="27"/>
      <c r="N448" s="27"/>
    </row>
    <row r="449">
      <c r="F449" s="27"/>
      <c r="G449" s="27"/>
      <c r="H449" s="27"/>
      <c r="I449" s="27"/>
      <c r="J449" s="27"/>
      <c r="N449" s="27"/>
    </row>
    <row r="450">
      <c r="F450" s="27"/>
      <c r="G450" s="27"/>
      <c r="H450" s="27"/>
      <c r="I450" s="27"/>
      <c r="J450" s="27"/>
      <c r="N450" s="27"/>
    </row>
    <row r="451">
      <c r="F451" s="27"/>
      <c r="G451" s="27"/>
      <c r="H451" s="27"/>
      <c r="I451" s="27"/>
      <c r="J451" s="27"/>
      <c r="N451" s="27"/>
    </row>
    <row r="452">
      <c r="F452" s="27"/>
      <c r="G452" s="27"/>
      <c r="H452" s="27"/>
      <c r="I452" s="27"/>
      <c r="J452" s="27"/>
      <c r="N452" s="27"/>
    </row>
    <row r="453">
      <c r="F453" s="27"/>
      <c r="G453" s="27"/>
      <c r="H453" s="27"/>
      <c r="I453" s="27"/>
      <c r="J453" s="27"/>
      <c r="N453" s="27"/>
    </row>
    <row r="454">
      <c r="F454" s="27"/>
      <c r="G454" s="27"/>
      <c r="H454" s="27"/>
      <c r="I454" s="27"/>
      <c r="J454" s="27"/>
      <c r="N454" s="27"/>
    </row>
    <row r="455">
      <c r="F455" s="27"/>
      <c r="G455" s="27"/>
      <c r="H455" s="27"/>
      <c r="I455" s="27"/>
      <c r="J455" s="27"/>
      <c r="N455" s="27"/>
    </row>
    <row r="456">
      <c r="F456" s="27"/>
      <c r="G456" s="27"/>
      <c r="H456" s="27"/>
      <c r="I456" s="27"/>
      <c r="J456" s="27"/>
      <c r="N456" s="27"/>
    </row>
    <row r="457">
      <c r="F457" s="27"/>
      <c r="G457" s="27"/>
      <c r="H457" s="27"/>
      <c r="I457" s="27"/>
      <c r="J457" s="27"/>
      <c r="N457" s="27"/>
    </row>
    <row r="458">
      <c r="F458" s="27"/>
      <c r="G458" s="27"/>
      <c r="H458" s="27"/>
      <c r="I458" s="27"/>
      <c r="J458" s="27"/>
      <c r="N458" s="27"/>
    </row>
    <row r="459">
      <c r="F459" s="27"/>
      <c r="G459" s="27"/>
      <c r="H459" s="27"/>
      <c r="I459" s="27"/>
      <c r="J459" s="27"/>
      <c r="N459" s="27"/>
    </row>
    <row r="460">
      <c r="F460" s="27"/>
      <c r="G460" s="27"/>
      <c r="H460" s="27"/>
      <c r="I460" s="27"/>
      <c r="J460" s="27"/>
      <c r="N460" s="27"/>
    </row>
    <row r="461">
      <c r="F461" s="27"/>
      <c r="G461" s="27"/>
      <c r="H461" s="27"/>
      <c r="I461" s="27"/>
      <c r="J461" s="27"/>
      <c r="N461" s="27"/>
    </row>
    <row r="462">
      <c r="F462" s="27"/>
      <c r="G462" s="27"/>
      <c r="H462" s="27"/>
      <c r="I462" s="27"/>
      <c r="J462" s="27"/>
      <c r="N462" s="27"/>
    </row>
    <row r="463">
      <c r="F463" s="27"/>
      <c r="G463" s="27"/>
      <c r="H463" s="27"/>
      <c r="I463" s="27"/>
      <c r="J463" s="27"/>
      <c r="N463" s="27"/>
    </row>
    <row r="464">
      <c r="F464" s="27"/>
      <c r="G464" s="27"/>
      <c r="H464" s="27"/>
      <c r="I464" s="27"/>
      <c r="J464" s="27"/>
      <c r="N464" s="27"/>
    </row>
    <row r="465">
      <c r="F465" s="27"/>
      <c r="G465" s="27"/>
      <c r="H465" s="27"/>
      <c r="I465" s="27"/>
      <c r="J465" s="27"/>
      <c r="N465" s="27"/>
    </row>
    <row r="466">
      <c r="F466" s="27"/>
      <c r="G466" s="27"/>
      <c r="H466" s="27"/>
      <c r="I466" s="27"/>
      <c r="J466" s="27"/>
      <c r="N466" s="27"/>
    </row>
    <row r="467">
      <c r="F467" s="27"/>
      <c r="G467" s="27"/>
      <c r="H467" s="27"/>
      <c r="I467" s="27"/>
      <c r="J467" s="27"/>
      <c r="N467" s="27"/>
    </row>
    <row r="468">
      <c r="F468" s="27"/>
      <c r="G468" s="27"/>
      <c r="H468" s="27"/>
      <c r="I468" s="27"/>
      <c r="J468" s="27"/>
      <c r="N468" s="27"/>
    </row>
    <row r="469">
      <c r="F469" s="27"/>
      <c r="G469" s="27"/>
      <c r="H469" s="27"/>
      <c r="I469" s="27"/>
      <c r="J469" s="27"/>
      <c r="N469" s="27"/>
    </row>
    <row r="470">
      <c r="F470" s="27"/>
      <c r="G470" s="27"/>
      <c r="H470" s="27"/>
      <c r="I470" s="27"/>
      <c r="J470" s="27"/>
      <c r="N470" s="27"/>
    </row>
    <row r="471">
      <c r="F471" s="27"/>
      <c r="G471" s="27"/>
      <c r="H471" s="27"/>
      <c r="I471" s="27"/>
      <c r="J471" s="27"/>
      <c r="N471" s="27"/>
    </row>
    <row r="472">
      <c r="F472" s="27"/>
      <c r="G472" s="27"/>
      <c r="H472" s="27"/>
      <c r="I472" s="27"/>
      <c r="J472" s="27"/>
      <c r="N472" s="27"/>
    </row>
    <row r="473">
      <c r="F473" s="27"/>
      <c r="G473" s="27"/>
      <c r="H473" s="27"/>
      <c r="I473" s="27"/>
      <c r="J473" s="27"/>
      <c r="N473" s="27"/>
    </row>
    <row r="474">
      <c r="F474" s="27"/>
      <c r="G474" s="27"/>
      <c r="H474" s="27"/>
      <c r="I474" s="27"/>
      <c r="J474" s="27"/>
      <c r="N474" s="27"/>
    </row>
    <row r="475">
      <c r="F475" s="27"/>
      <c r="G475" s="27"/>
      <c r="H475" s="27"/>
      <c r="I475" s="27"/>
      <c r="J475" s="27"/>
      <c r="N475" s="27"/>
    </row>
    <row r="476">
      <c r="F476" s="27"/>
      <c r="G476" s="27"/>
      <c r="H476" s="27"/>
      <c r="I476" s="27"/>
      <c r="J476" s="27"/>
      <c r="N476" s="27"/>
    </row>
    <row r="477">
      <c r="F477" s="27"/>
      <c r="G477" s="27"/>
      <c r="H477" s="27"/>
      <c r="I477" s="27"/>
      <c r="J477" s="27"/>
      <c r="N477" s="27"/>
    </row>
    <row r="478">
      <c r="F478" s="27"/>
      <c r="G478" s="27"/>
      <c r="H478" s="27"/>
      <c r="I478" s="27"/>
      <c r="J478" s="27"/>
      <c r="N478" s="27"/>
    </row>
    <row r="479">
      <c r="F479" s="27"/>
      <c r="G479" s="27"/>
      <c r="H479" s="27"/>
      <c r="I479" s="27"/>
      <c r="J479" s="27"/>
      <c r="N479" s="27"/>
    </row>
    <row r="480">
      <c r="F480" s="27"/>
      <c r="G480" s="27"/>
      <c r="H480" s="27"/>
      <c r="I480" s="27"/>
      <c r="J480" s="27"/>
      <c r="N480" s="27"/>
    </row>
    <row r="481">
      <c r="F481" s="27"/>
      <c r="G481" s="27"/>
      <c r="H481" s="27"/>
      <c r="I481" s="27"/>
      <c r="J481" s="27"/>
      <c r="N481" s="27"/>
    </row>
    <row r="482">
      <c r="F482" s="27"/>
      <c r="G482" s="27"/>
      <c r="H482" s="27"/>
      <c r="I482" s="27"/>
      <c r="J482" s="27"/>
      <c r="N482" s="27"/>
    </row>
    <row r="483">
      <c r="F483" s="27"/>
      <c r="G483" s="27"/>
      <c r="H483" s="27"/>
      <c r="I483" s="27"/>
      <c r="J483" s="27"/>
      <c r="N483" s="27"/>
    </row>
    <row r="484">
      <c r="F484" s="27"/>
      <c r="G484" s="27"/>
      <c r="H484" s="27"/>
      <c r="I484" s="27"/>
      <c r="J484" s="27"/>
      <c r="N484" s="27"/>
    </row>
    <row r="485">
      <c r="F485" s="27"/>
      <c r="G485" s="27"/>
      <c r="H485" s="27"/>
      <c r="I485" s="27"/>
      <c r="J485" s="27"/>
      <c r="N485" s="27"/>
    </row>
    <row r="486">
      <c r="F486" s="27"/>
      <c r="G486" s="27"/>
      <c r="H486" s="27"/>
      <c r="I486" s="27"/>
      <c r="J486" s="27"/>
      <c r="N486" s="27"/>
    </row>
    <row r="487">
      <c r="F487" s="27"/>
      <c r="G487" s="27"/>
      <c r="H487" s="27"/>
      <c r="I487" s="27"/>
      <c r="J487" s="27"/>
      <c r="N487" s="27"/>
    </row>
    <row r="488">
      <c r="F488" s="27"/>
      <c r="G488" s="27"/>
      <c r="H488" s="27"/>
      <c r="I488" s="27"/>
      <c r="J488" s="27"/>
      <c r="N488" s="27"/>
    </row>
    <row r="489">
      <c r="F489" s="27"/>
      <c r="G489" s="27"/>
      <c r="H489" s="27"/>
      <c r="I489" s="27"/>
      <c r="J489" s="27"/>
      <c r="N489" s="27"/>
    </row>
    <row r="490">
      <c r="F490" s="27"/>
      <c r="G490" s="27"/>
      <c r="H490" s="27"/>
      <c r="I490" s="27"/>
      <c r="J490" s="27"/>
      <c r="N490" s="27"/>
    </row>
    <row r="491">
      <c r="F491" s="27"/>
      <c r="G491" s="27"/>
      <c r="H491" s="27"/>
      <c r="I491" s="27"/>
      <c r="J491" s="27"/>
      <c r="N491" s="27"/>
    </row>
    <row r="492">
      <c r="F492" s="27"/>
      <c r="G492" s="27"/>
      <c r="H492" s="27"/>
      <c r="I492" s="27"/>
      <c r="J492" s="27"/>
      <c r="N492" s="27"/>
    </row>
    <row r="493">
      <c r="F493" s="27"/>
      <c r="G493" s="27"/>
      <c r="H493" s="27"/>
      <c r="I493" s="27"/>
      <c r="J493" s="27"/>
      <c r="N493" s="27"/>
    </row>
    <row r="494">
      <c r="F494" s="27"/>
      <c r="G494" s="27"/>
      <c r="H494" s="27"/>
      <c r="I494" s="27"/>
      <c r="J494" s="27"/>
      <c r="N494" s="27"/>
    </row>
    <row r="495">
      <c r="F495" s="27"/>
      <c r="G495" s="27"/>
      <c r="H495" s="27"/>
      <c r="I495" s="27"/>
      <c r="J495" s="27"/>
      <c r="N495" s="27"/>
    </row>
    <row r="496">
      <c r="F496" s="27"/>
      <c r="G496" s="27"/>
      <c r="H496" s="27"/>
      <c r="I496" s="27"/>
      <c r="J496" s="27"/>
      <c r="N496" s="27"/>
    </row>
    <row r="497">
      <c r="F497" s="27"/>
      <c r="G497" s="27"/>
      <c r="H497" s="27"/>
      <c r="I497" s="27"/>
      <c r="J497" s="27"/>
      <c r="N497" s="27"/>
    </row>
    <row r="498">
      <c r="F498" s="27"/>
      <c r="G498" s="27"/>
      <c r="H498" s="27"/>
      <c r="I498" s="27"/>
      <c r="J498" s="27"/>
      <c r="N498" s="27"/>
    </row>
    <row r="499">
      <c r="F499" s="27"/>
      <c r="G499" s="27"/>
      <c r="H499" s="27"/>
      <c r="I499" s="27"/>
      <c r="J499" s="27"/>
      <c r="N499" s="27"/>
    </row>
    <row r="500">
      <c r="F500" s="27"/>
      <c r="G500" s="27"/>
      <c r="H500" s="27"/>
      <c r="I500" s="27"/>
      <c r="J500" s="27"/>
      <c r="N500" s="27"/>
    </row>
    <row r="501">
      <c r="F501" s="27"/>
      <c r="G501" s="27"/>
      <c r="H501" s="27"/>
      <c r="I501" s="27"/>
      <c r="J501" s="27"/>
      <c r="N501" s="27"/>
    </row>
    <row r="502">
      <c r="F502" s="27"/>
      <c r="G502" s="27"/>
      <c r="H502" s="27"/>
      <c r="I502" s="27"/>
      <c r="J502" s="27"/>
      <c r="N502" s="27"/>
    </row>
    <row r="503">
      <c r="F503" s="27"/>
      <c r="G503" s="27"/>
      <c r="H503" s="27"/>
      <c r="I503" s="27"/>
      <c r="J503" s="27"/>
      <c r="N503" s="27"/>
    </row>
    <row r="504">
      <c r="F504" s="27"/>
      <c r="G504" s="27"/>
      <c r="H504" s="27"/>
      <c r="I504" s="27"/>
      <c r="J504" s="27"/>
      <c r="N504" s="27"/>
    </row>
    <row r="505">
      <c r="F505" s="27"/>
      <c r="G505" s="27"/>
      <c r="H505" s="27"/>
      <c r="I505" s="27"/>
      <c r="J505" s="27"/>
      <c r="N505" s="27"/>
    </row>
    <row r="506">
      <c r="F506" s="27"/>
      <c r="G506" s="27"/>
      <c r="H506" s="27"/>
      <c r="I506" s="27"/>
      <c r="J506" s="27"/>
      <c r="N506" s="27"/>
    </row>
    <row r="507">
      <c r="F507" s="27"/>
      <c r="G507" s="27"/>
      <c r="H507" s="27"/>
      <c r="I507" s="27"/>
      <c r="J507" s="27"/>
      <c r="N507" s="27"/>
    </row>
    <row r="508">
      <c r="F508" s="27"/>
      <c r="G508" s="27"/>
      <c r="H508" s="27"/>
      <c r="I508" s="27"/>
      <c r="J508" s="27"/>
      <c r="N508" s="27"/>
    </row>
    <row r="509">
      <c r="F509" s="27"/>
      <c r="G509" s="27"/>
      <c r="H509" s="27"/>
      <c r="I509" s="27"/>
      <c r="J509" s="27"/>
      <c r="N509" s="27"/>
    </row>
    <row r="510">
      <c r="F510" s="27"/>
      <c r="G510" s="27"/>
      <c r="H510" s="27"/>
      <c r="I510" s="27"/>
      <c r="J510" s="27"/>
      <c r="N510" s="27"/>
    </row>
    <row r="511">
      <c r="F511" s="27"/>
      <c r="G511" s="27"/>
      <c r="H511" s="27"/>
      <c r="I511" s="27"/>
      <c r="J511" s="27"/>
      <c r="N511" s="27"/>
    </row>
    <row r="512">
      <c r="F512" s="27"/>
      <c r="G512" s="27"/>
      <c r="H512" s="27"/>
      <c r="I512" s="27"/>
      <c r="J512" s="27"/>
      <c r="N512" s="27"/>
    </row>
    <row r="513">
      <c r="F513" s="27"/>
      <c r="G513" s="27"/>
      <c r="H513" s="27"/>
      <c r="I513" s="27"/>
      <c r="J513" s="27"/>
      <c r="N513" s="27"/>
    </row>
    <row r="514">
      <c r="F514" s="27"/>
      <c r="G514" s="27"/>
      <c r="H514" s="27"/>
      <c r="I514" s="27"/>
      <c r="J514" s="27"/>
      <c r="N514" s="27"/>
    </row>
    <row r="515">
      <c r="F515" s="27"/>
      <c r="G515" s="27"/>
      <c r="H515" s="27"/>
      <c r="I515" s="27"/>
      <c r="J515" s="27"/>
      <c r="N515" s="27"/>
    </row>
    <row r="516">
      <c r="F516" s="27"/>
      <c r="G516" s="27"/>
      <c r="H516" s="27"/>
      <c r="I516" s="27"/>
      <c r="J516" s="27"/>
      <c r="N516" s="27"/>
    </row>
    <row r="517">
      <c r="F517" s="27"/>
      <c r="G517" s="27"/>
      <c r="H517" s="27"/>
      <c r="I517" s="27"/>
      <c r="J517" s="27"/>
      <c r="N517" s="27"/>
    </row>
    <row r="518">
      <c r="F518" s="27"/>
      <c r="G518" s="27"/>
      <c r="H518" s="27"/>
      <c r="I518" s="27"/>
      <c r="J518" s="27"/>
      <c r="N518" s="27"/>
    </row>
    <row r="519">
      <c r="F519" s="27"/>
      <c r="G519" s="27"/>
      <c r="H519" s="27"/>
      <c r="I519" s="27"/>
      <c r="J519" s="27"/>
      <c r="N519" s="27"/>
    </row>
    <row r="520">
      <c r="F520" s="27"/>
      <c r="G520" s="27"/>
      <c r="H520" s="27"/>
      <c r="I520" s="27"/>
      <c r="J520" s="27"/>
      <c r="N520" s="27"/>
    </row>
    <row r="521">
      <c r="F521" s="27"/>
      <c r="G521" s="27"/>
      <c r="H521" s="27"/>
      <c r="I521" s="27"/>
      <c r="J521" s="27"/>
      <c r="N521" s="27"/>
    </row>
    <row r="522">
      <c r="F522" s="27"/>
      <c r="G522" s="27"/>
      <c r="H522" s="27"/>
      <c r="I522" s="27"/>
      <c r="J522" s="27"/>
      <c r="N522" s="27"/>
    </row>
    <row r="523">
      <c r="F523" s="27"/>
      <c r="G523" s="27"/>
      <c r="H523" s="27"/>
      <c r="I523" s="27"/>
      <c r="J523" s="27"/>
      <c r="N523" s="27"/>
    </row>
    <row r="524">
      <c r="F524" s="27"/>
      <c r="G524" s="27"/>
      <c r="H524" s="27"/>
      <c r="I524" s="27"/>
      <c r="J524" s="27"/>
      <c r="N524" s="27"/>
    </row>
    <row r="525">
      <c r="F525" s="27"/>
      <c r="G525" s="27"/>
      <c r="H525" s="27"/>
      <c r="I525" s="27"/>
      <c r="J525" s="27"/>
      <c r="N525" s="27"/>
    </row>
    <row r="526">
      <c r="F526" s="27"/>
      <c r="G526" s="27"/>
      <c r="H526" s="27"/>
      <c r="I526" s="27"/>
      <c r="J526" s="27"/>
      <c r="N526" s="27"/>
    </row>
    <row r="527">
      <c r="F527" s="27"/>
      <c r="G527" s="27"/>
      <c r="H527" s="27"/>
      <c r="I527" s="27"/>
      <c r="J527" s="27"/>
      <c r="N527" s="27"/>
    </row>
    <row r="528">
      <c r="F528" s="27"/>
      <c r="G528" s="27"/>
      <c r="H528" s="27"/>
      <c r="I528" s="27"/>
      <c r="J528" s="27"/>
      <c r="N528" s="27"/>
    </row>
    <row r="529">
      <c r="F529" s="27"/>
      <c r="G529" s="27"/>
      <c r="H529" s="27"/>
      <c r="I529" s="27"/>
      <c r="J529" s="27"/>
      <c r="N529" s="27"/>
    </row>
    <row r="530">
      <c r="F530" s="27"/>
      <c r="G530" s="27"/>
      <c r="H530" s="27"/>
      <c r="I530" s="27"/>
      <c r="J530" s="27"/>
      <c r="N530" s="27"/>
    </row>
    <row r="531">
      <c r="F531" s="27"/>
      <c r="G531" s="27"/>
      <c r="H531" s="27"/>
      <c r="I531" s="27"/>
      <c r="J531" s="27"/>
      <c r="N531" s="27"/>
    </row>
    <row r="532">
      <c r="F532" s="27"/>
      <c r="G532" s="27"/>
      <c r="H532" s="27"/>
      <c r="I532" s="27"/>
      <c r="J532" s="27"/>
      <c r="N532" s="27"/>
    </row>
    <row r="533">
      <c r="F533" s="27"/>
      <c r="G533" s="27"/>
      <c r="H533" s="27"/>
      <c r="I533" s="27"/>
      <c r="J533" s="27"/>
      <c r="N533" s="27"/>
    </row>
    <row r="534">
      <c r="F534" s="27"/>
      <c r="G534" s="27"/>
      <c r="H534" s="27"/>
      <c r="I534" s="27"/>
      <c r="J534" s="27"/>
      <c r="N534" s="27"/>
    </row>
    <row r="535">
      <c r="F535" s="27"/>
      <c r="G535" s="27"/>
      <c r="H535" s="27"/>
      <c r="I535" s="27"/>
      <c r="J535" s="27"/>
      <c r="N535" s="27"/>
    </row>
    <row r="536">
      <c r="F536" s="27"/>
      <c r="G536" s="27"/>
      <c r="H536" s="27"/>
      <c r="I536" s="27"/>
      <c r="J536" s="27"/>
      <c r="N536" s="27"/>
    </row>
    <row r="537">
      <c r="F537" s="27"/>
      <c r="G537" s="27"/>
      <c r="H537" s="27"/>
      <c r="I537" s="27"/>
      <c r="J537" s="27"/>
      <c r="N537" s="27"/>
    </row>
    <row r="538">
      <c r="F538" s="27"/>
      <c r="G538" s="27"/>
      <c r="H538" s="27"/>
      <c r="I538" s="27"/>
      <c r="J538" s="27"/>
      <c r="N538" s="27"/>
    </row>
    <row r="539">
      <c r="F539" s="27"/>
      <c r="G539" s="27"/>
      <c r="H539" s="27"/>
      <c r="I539" s="27"/>
      <c r="J539" s="27"/>
      <c r="N539" s="27"/>
    </row>
    <row r="540">
      <c r="F540" s="27"/>
      <c r="G540" s="27"/>
      <c r="H540" s="27"/>
      <c r="I540" s="27"/>
      <c r="J540" s="27"/>
      <c r="N540" s="27"/>
    </row>
    <row r="541">
      <c r="F541" s="27"/>
      <c r="G541" s="27"/>
      <c r="H541" s="27"/>
      <c r="I541" s="27"/>
      <c r="J541" s="27"/>
      <c r="N541" s="27"/>
    </row>
    <row r="542">
      <c r="F542" s="27"/>
      <c r="G542" s="27"/>
      <c r="H542" s="27"/>
      <c r="I542" s="27"/>
      <c r="J542" s="27"/>
      <c r="N542" s="27"/>
    </row>
    <row r="543">
      <c r="F543" s="27"/>
      <c r="G543" s="27"/>
      <c r="H543" s="27"/>
      <c r="I543" s="27"/>
      <c r="J543" s="27"/>
      <c r="N543" s="27"/>
    </row>
    <row r="544">
      <c r="F544" s="27"/>
      <c r="G544" s="27"/>
      <c r="H544" s="27"/>
      <c r="I544" s="27"/>
      <c r="J544" s="27"/>
      <c r="N544" s="27"/>
    </row>
    <row r="545">
      <c r="F545" s="27"/>
      <c r="G545" s="27"/>
      <c r="H545" s="27"/>
      <c r="I545" s="27"/>
      <c r="J545" s="27"/>
      <c r="N545" s="27"/>
    </row>
    <row r="546">
      <c r="F546" s="27"/>
      <c r="G546" s="27"/>
      <c r="H546" s="27"/>
      <c r="I546" s="27"/>
      <c r="J546" s="27"/>
      <c r="N546" s="27"/>
    </row>
    <row r="547">
      <c r="F547" s="27"/>
      <c r="G547" s="27"/>
      <c r="H547" s="27"/>
      <c r="I547" s="27"/>
      <c r="J547" s="27"/>
      <c r="N547" s="27"/>
    </row>
    <row r="548">
      <c r="F548" s="27"/>
      <c r="G548" s="27"/>
      <c r="H548" s="27"/>
      <c r="I548" s="27"/>
      <c r="J548" s="27"/>
      <c r="N548" s="27"/>
    </row>
    <row r="549">
      <c r="F549" s="27"/>
      <c r="G549" s="27"/>
      <c r="H549" s="27"/>
      <c r="I549" s="27"/>
      <c r="J549" s="27"/>
      <c r="N549" s="27"/>
    </row>
    <row r="550">
      <c r="F550" s="27"/>
      <c r="G550" s="27"/>
      <c r="H550" s="27"/>
      <c r="I550" s="27"/>
      <c r="J550" s="27"/>
      <c r="N550" s="27"/>
    </row>
    <row r="551">
      <c r="F551" s="27"/>
      <c r="G551" s="27"/>
      <c r="H551" s="27"/>
      <c r="I551" s="27"/>
      <c r="J551" s="27"/>
      <c r="N551" s="27"/>
    </row>
    <row r="552">
      <c r="F552" s="27"/>
      <c r="G552" s="27"/>
      <c r="H552" s="27"/>
      <c r="I552" s="27"/>
      <c r="J552" s="27"/>
      <c r="N552" s="27"/>
    </row>
    <row r="553">
      <c r="F553" s="27"/>
      <c r="G553" s="27"/>
      <c r="H553" s="27"/>
      <c r="I553" s="27"/>
      <c r="J553" s="27"/>
      <c r="N553" s="27"/>
    </row>
    <row r="554">
      <c r="F554" s="27"/>
      <c r="G554" s="27"/>
      <c r="H554" s="27"/>
      <c r="I554" s="27"/>
      <c r="J554" s="27"/>
      <c r="N554" s="27"/>
    </row>
    <row r="555">
      <c r="F555" s="27"/>
      <c r="G555" s="27"/>
      <c r="H555" s="27"/>
      <c r="I555" s="27"/>
      <c r="J555" s="27"/>
      <c r="N555" s="27"/>
    </row>
    <row r="556">
      <c r="F556" s="27"/>
      <c r="G556" s="27"/>
      <c r="H556" s="27"/>
      <c r="I556" s="27"/>
      <c r="J556" s="27"/>
      <c r="N556" s="27"/>
    </row>
    <row r="557">
      <c r="F557" s="27"/>
      <c r="G557" s="27"/>
      <c r="H557" s="27"/>
      <c r="I557" s="27"/>
      <c r="J557" s="27"/>
      <c r="N557" s="27"/>
    </row>
    <row r="558">
      <c r="F558" s="27"/>
      <c r="G558" s="27"/>
      <c r="H558" s="27"/>
      <c r="I558" s="27"/>
      <c r="J558" s="27"/>
      <c r="N558" s="27"/>
    </row>
    <row r="559">
      <c r="F559" s="27"/>
      <c r="G559" s="27"/>
      <c r="H559" s="27"/>
      <c r="I559" s="27"/>
      <c r="J559" s="27"/>
      <c r="N559" s="27"/>
    </row>
    <row r="560">
      <c r="F560" s="27"/>
      <c r="G560" s="27"/>
      <c r="H560" s="27"/>
      <c r="I560" s="27"/>
      <c r="J560" s="27"/>
      <c r="N560" s="27"/>
    </row>
    <row r="561">
      <c r="F561" s="27"/>
      <c r="G561" s="27"/>
      <c r="H561" s="27"/>
      <c r="I561" s="27"/>
      <c r="J561" s="27"/>
      <c r="N561" s="27"/>
    </row>
    <row r="562">
      <c r="F562" s="27"/>
      <c r="G562" s="27"/>
      <c r="H562" s="27"/>
      <c r="I562" s="27"/>
      <c r="J562" s="27"/>
      <c r="N562" s="27"/>
    </row>
    <row r="563">
      <c r="F563" s="27"/>
      <c r="G563" s="27"/>
      <c r="H563" s="27"/>
      <c r="I563" s="27"/>
      <c r="J563" s="27"/>
      <c r="N563" s="27"/>
    </row>
    <row r="564">
      <c r="F564" s="27"/>
      <c r="G564" s="27"/>
      <c r="H564" s="27"/>
      <c r="I564" s="27"/>
      <c r="J564" s="27"/>
      <c r="N564" s="27"/>
    </row>
    <row r="565">
      <c r="F565" s="27"/>
      <c r="G565" s="27"/>
      <c r="H565" s="27"/>
      <c r="I565" s="27"/>
      <c r="J565" s="27"/>
      <c r="N565" s="27"/>
    </row>
    <row r="566">
      <c r="F566" s="27"/>
      <c r="G566" s="27"/>
      <c r="H566" s="27"/>
      <c r="I566" s="27"/>
      <c r="J566" s="27"/>
      <c r="N566" s="27"/>
    </row>
    <row r="567">
      <c r="F567" s="27"/>
      <c r="G567" s="27"/>
      <c r="H567" s="27"/>
      <c r="I567" s="27"/>
      <c r="J567" s="27"/>
      <c r="N567" s="27"/>
    </row>
    <row r="568">
      <c r="F568" s="27"/>
      <c r="G568" s="27"/>
      <c r="H568" s="27"/>
      <c r="I568" s="27"/>
      <c r="J568" s="27"/>
      <c r="N568" s="27"/>
    </row>
    <row r="569">
      <c r="F569" s="27"/>
      <c r="G569" s="27"/>
      <c r="H569" s="27"/>
      <c r="I569" s="27"/>
      <c r="J569" s="27"/>
      <c r="N569" s="27"/>
    </row>
    <row r="570">
      <c r="F570" s="27"/>
      <c r="G570" s="27"/>
      <c r="H570" s="27"/>
      <c r="I570" s="27"/>
      <c r="J570" s="27"/>
      <c r="N570" s="27"/>
    </row>
    <row r="571">
      <c r="F571" s="27"/>
      <c r="G571" s="27"/>
      <c r="H571" s="27"/>
      <c r="I571" s="27"/>
      <c r="J571" s="27"/>
      <c r="N571" s="27"/>
    </row>
    <row r="572">
      <c r="F572" s="27"/>
      <c r="G572" s="27"/>
      <c r="H572" s="27"/>
      <c r="I572" s="27"/>
      <c r="J572" s="27"/>
      <c r="N572" s="27"/>
    </row>
    <row r="573">
      <c r="F573" s="27"/>
      <c r="G573" s="27"/>
      <c r="H573" s="27"/>
      <c r="I573" s="27"/>
      <c r="J573" s="27"/>
      <c r="N573" s="27"/>
    </row>
    <row r="574">
      <c r="F574" s="27"/>
      <c r="G574" s="27"/>
      <c r="H574" s="27"/>
      <c r="I574" s="27"/>
      <c r="J574" s="27"/>
      <c r="N574" s="27"/>
    </row>
    <row r="575">
      <c r="F575" s="27"/>
      <c r="G575" s="27"/>
      <c r="H575" s="27"/>
      <c r="I575" s="27"/>
      <c r="J575" s="27"/>
      <c r="N575" s="27"/>
    </row>
    <row r="576">
      <c r="F576" s="27"/>
      <c r="G576" s="27"/>
      <c r="H576" s="27"/>
      <c r="I576" s="27"/>
      <c r="J576" s="27"/>
      <c r="N576" s="27"/>
    </row>
    <row r="577">
      <c r="F577" s="27"/>
      <c r="G577" s="27"/>
      <c r="H577" s="27"/>
      <c r="I577" s="27"/>
      <c r="J577" s="27"/>
      <c r="N577" s="27"/>
    </row>
    <row r="578">
      <c r="F578" s="27"/>
      <c r="G578" s="27"/>
      <c r="H578" s="27"/>
      <c r="I578" s="27"/>
      <c r="J578" s="27"/>
      <c r="N578" s="27"/>
    </row>
    <row r="579">
      <c r="F579" s="27"/>
      <c r="G579" s="27"/>
      <c r="H579" s="27"/>
      <c r="I579" s="27"/>
      <c r="J579" s="27"/>
      <c r="N579" s="27"/>
    </row>
    <row r="580">
      <c r="F580" s="27"/>
      <c r="G580" s="27"/>
      <c r="H580" s="27"/>
      <c r="I580" s="27"/>
      <c r="J580" s="27"/>
      <c r="N580" s="27"/>
    </row>
    <row r="581">
      <c r="F581" s="27"/>
      <c r="G581" s="27"/>
      <c r="H581" s="27"/>
      <c r="I581" s="27"/>
      <c r="J581" s="27"/>
      <c r="N581" s="27"/>
    </row>
    <row r="582">
      <c r="F582" s="27"/>
      <c r="G582" s="27"/>
      <c r="H582" s="27"/>
      <c r="I582" s="27"/>
      <c r="J582" s="27"/>
      <c r="N582" s="27"/>
    </row>
    <row r="583">
      <c r="F583" s="27"/>
      <c r="G583" s="27"/>
      <c r="H583" s="27"/>
      <c r="I583" s="27"/>
      <c r="J583" s="27"/>
      <c r="N583" s="27"/>
    </row>
    <row r="584">
      <c r="F584" s="27"/>
      <c r="G584" s="27"/>
      <c r="H584" s="27"/>
      <c r="I584" s="27"/>
      <c r="J584" s="27"/>
      <c r="N584" s="27"/>
    </row>
    <row r="585">
      <c r="F585" s="27"/>
      <c r="G585" s="27"/>
      <c r="H585" s="27"/>
      <c r="I585" s="27"/>
      <c r="J585" s="27"/>
      <c r="N585" s="27"/>
    </row>
    <row r="586">
      <c r="F586" s="27"/>
      <c r="G586" s="27"/>
      <c r="H586" s="27"/>
      <c r="I586" s="27"/>
      <c r="J586" s="27"/>
      <c r="N586" s="27"/>
    </row>
    <row r="587">
      <c r="F587" s="27"/>
      <c r="G587" s="27"/>
      <c r="H587" s="27"/>
      <c r="I587" s="27"/>
      <c r="J587" s="27"/>
      <c r="N587" s="27"/>
    </row>
    <row r="588">
      <c r="F588" s="27"/>
      <c r="G588" s="27"/>
      <c r="H588" s="27"/>
      <c r="I588" s="27"/>
      <c r="J588" s="27"/>
      <c r="N588" s="27"/>
    </row>
    <row r="589">
      <c r="F589" s="27"/>
      <c r="G589" s="27"/>
      <c r="H589" s="27"/>
      <c r="I589" s="27"/>
      <c r="J589" s="27"/>
      <c r="N589" s="27"/>
    </row>
    <row r="590">
      <c r="F590" s="27"/>
      <c r="G590" s="27"/>
      <c r="H590" s="27"/>
      <c r="I590" s="27"/>
      <c r="J590" s="27"/>
      <c r="N590" s="27"/>
    </row>
    <row r="591">
      <c r="F591" s="27"/>
      <c r="G591" s="27"/>
      <c r="H591" s="27"/>
      <c r="I591" s="27"/>
      <c r="J591" s="27"/>
      <c r="N591" s="27"/>
    </row>
    <row r="592">
      <c r="F592" s="27"/>
      <c r="G592" s="27"/>
      <c r="H592" s="27"/>
      <c r="I592" s="27"/>
      <c r="J592" s="27"/>
      <c r="N592" s="27"/>
    </row>
    <row r="593">
      <c r="F593" s="27"/>
      <c r="G593" s="27"/>
      <c r="H593" s="27"/>
      <c r="I593" s="27"/>
      <c r="J593" s="27"/>
      <c r="N593" s="27"/>
    </row>
    <row r="594">
      <c r="F594" s="27"/>
      <c r="G594" s="27"/>
      <c r="H594" s="27"/>
      <c r="I594" s="27"/>
      <c r="J594" s="27"/>
      <c r="N594" s="27"/>
    </row>
    <row r="595">
      <c r="F595" s="27"/>
      <c r="G595" s="27"/>
      <c r="H595" s="27"/>
      <c r="I595" s="27"/>
      <c r="J595" s="27"/>
      <c r="N595" s="27"/>
    </row>
    <row r="596">
      <c r="F596" s="27"/>
      <c r="G596" s="27"/>
      <c r="H596" s="27"/>
      <c r="I596" s="27"/>
      <c r="J596" s="27"/>
      <c r="N596" s="27"/>
    </row>
    <row r="597">
      <c r="F597" s="27"/>
      <c r="G597" s="27"/>
      <c r="H597" s="27"/>
      <c r="I597" s="27"/>
      <c r="J597" s="27"/>
      <c r="N597" s="27"/>
    </row>
    <row r="598">
      <c r="F598" s="27"/>
      <c r="G598" s="27"/>
      <c r="H598" s="27"/>
      <c r="I598" s="27"/>
      <c r="J598" s="27"/>
      <c r="N598" s="27"/>
    </row>
    <row r="599">
      <c r="F599" s="27"/>
      <c r="G599" s="27"/>
      <c r="H599" s="27"/>
      <c r="I599" s="27"/>
      <c r="J599" s="27"/>
      <c r="N599" s="27"/>
    </row>
    <row r="600">
      <c r="F600" s="27"/>
      <c r="G600" s="27"/>
      <c r="H600" s="27"/>
      <c r="I600" s="27"/>
      <c r="J600" s="27"/>
      <c r="N600" s="27"/>
    </row>
    <row r="601">
      <c r="F601" s="27"/>
      <c r="G601" s="27"/>
      <c r="H601" s="27"/>
      <c r="I601" s="27"/>
      <c r="J601" s="27"/>
      <c r="N601" s="27"/>
    </row>
    <row r="602">
      <c r="F602" s="27"/>
      <c r="G602" s="27"/>
      <c r="H602" s="27"/>
      <c r="I602" s="27"/>
      <c r="J602" s="27"/>
      <c r="N602" s="27"/>
    </row>
    <row r="603">
      <c r="F603" s="27"/>
      <c r="G603" s="27"/>
      <c r="H603" s="27"/>
      <c r="I603" s="27"/>
      <c r="J603" s="27"/>
      <c r="N603" s="27"/>
    </row>
    <row r="604">
      <c r="F604" s="27"/>
      <c r="G604" s="27"/>
      <c r="H604" s="27"/>
      <c r="I604" s="27"/>
      <c r="J604" s="27"/>
      <c r="N604" s="27"/>
    </row>
    <row r="605">
      <c r="F605" s="27"/>
      <c r="G605" s="27"/>
      <c r="H605" s="27"/>
      <c r="I605" s="27"/>
      <c r="J605" s="27"/>
      <c r="N605" s="27"/>
    </row>
    <row r="606">
      <c r="F606" s="27"/>
      <c r="G606" s="27"/>
      <c r="H606" s="27"/>
      <c r="I606" s="27"/>
      <c r="J606" s="27"/>
      <c r="N606" s="27"/>
    </row>
    <row r="607">
      <c r="F607" s="27"/>
      <c r="G607" s="27"/>
      <c r="H607" s="27"/>
      <c r="I607" s="27"/>
      <c r="J607" s="27"/>
      <c r="N607" s="27"/>
    </row>
    <row r="608">
      <c r="F608" s="27"/>
      <c r="G608" s="27"/>
      <c r="H608" s="27"/>
      <c r="I608" s="27"/>
      <c r="J608" s="27"/>
      <c r="N608" s="27"/>
    </row>
    <row r="609">
      <c r="F609" s="27"/>
      <c r="G609" s="27"/>
      <c r="H609" s="27"/>
      <c r="I609" s="27"/>
      <c r="J609" s="27"/>
      <c r="N609" s="27"/>
    </row>
    <row r="610">
      <c r="F610" s="27"/>
      <c r="G610" s="27"/>
      <c r="H610" s="27"/>
      <c r="I610" s="27"/>
      <c r="J610" s="27"/>
      <c r="N610" s="27"/>
    </row>
    <row r="611">
      <c r="F611" s="27"/>
      <c r="G611" s="27"/>
      <c r="H611" s="27"/>
      <c r="I611" s="27"/>
      <c r="J611" s="27"/>
      <c r="N611" s="27"/>
    </row>
    <row r="612">
      <c r="F612" s="27"/>
      <c r="G612" s="27"/>
      <c r="H612" s="27"/>
      <c r="I612" s="27"/>
      <c r="J612" s="27"/>
      <c r="N612" s="27"/>
    </row>
    <row r="613">
      <c r="F613" s="27"/>
      <c r="G613" s="27"/>
      <c r="H613" s="27"/>
      <c r="I613" s="27"/>
      <c r="J613" s="27"/>
      <c r="N613" s="27"/>
    </row>
    <row r="614">
      <c r="F614" s="27"/>
      <c r="G614" s="27"/>
      <c r="H614" s="27"/>
      <c r="I614" s="27"/>
      <c r="J614" s="27"/>
      <c r="N614" s="27"/>
    </row>
    <row r="615">
      <c r="F615" s="27"/>
      <c r="G615" s="27"/>
      <c r="H615" s="27"/>
      <c r="I615" s="27"/>
      <c r="J615" s="27"/>
      <c r="N615" s="27"/>
    </row>
    <row r="616">
      <c r="F616" s="27"/>
      <c r="G616" s="27"/>
      <c r="H616" s="27"/>
      <c r="I616" s="27"/>
      <c r="J616" s="27"/>
      <c r="N616" s="27"/>
    </row>
    <row r="617">
      <c r="F617" s="27"/>
      <c r="G617" s="27"/>
      <c r="H617" s="27"/>
      <c r="I617" s="27"/>
      <c r="J617" s="27"/>
      <c r="N617" s="27"/>
    </row>
    <row r="618">
      <c r="F618" s="27"/>
      <c r="G618" s="27"/>
      <c r="H618" s="27"/>
      <c r="I618" s="27"/>
      <c r="J618" s="27"/>
      <c r="N618" s="27"/>
    </row>
    <row r="619">
      <c r="F619" s="27"/>
      <c r="G619" s="27"/>
      <c r="H619" s="27"/>
      <c r="I619" s="27"/>
      <c r="J619" s="27"/>
      <c r="N619" s="27"/>
    </row>
    <row r="620">
      <c r="F620" s="27"/>
      <c r="G620" s="27"/>
      <c r="H620" s="27"/>
      <c r="I620" s="27"/>
      <c r="J620" s="27"/>
      <c r="N620" s="27"/>
    </row>
    <row r="621">
      <c r="F621" s="27"/>
      <c r="G621" s="27"/>
      <c r="H621" s="27"/>
      <c r="I621" s="27"/>
      <c r="J621" s="27"/>
      <c r="N621" s="27"/>
    </row>
    <row r="622">
      <c r="F622" s="27"/>
      <c r="G622" s="27"/>
      <c r="H622" s="27"/>
      <c r="I622" s="27"/>
      <c r="J622" s="27"/>
      <c r="N622" s="27"/>
    </row>
    <row r="623">
      <c r="F623" s="27"/>
      <c r="G623" s="27"/>
      <c r="H623" s="27"/>
      <c r="I623" s="27"/>
      <c r="J623" s="27"/>
      <c r="N623" s="27"/>
    </row>
    <row r="624">
      <c r="F624" s="27"/>
      <c r="G624" s="27"/>
      <c r="H624" s="27"/>
      <c r="I624" s="27"/>
      <c r="J624" s="27"/>
      <c r="N624" s="27"/>
    </row>
    <row r="625">
      <c r="F625" s="27"/>
      <c r="G625" s="27"/>
      <c r="H625" s="27"/>
      <c r="I625" s="27"/>
      <c r="J625" s="27"/>
      <c r="N625" s="27"/>
    </row>
    <row r="626">
      <c r="F626" s="27"/>
      <c r="G626" s="27"/>
      <c r="H626" s="27"/>
      <c r="I626" s="27"/>
      <c r="J626" s="27"/>
      <c r="N626" s="27"/>
    </row>
    <row r="627">
      <c r="F627" s="27"/>
      <c r="G627" s="27"/>
      <c r="H627" s="27"/>
      <c r="I627" s="27"/>
      <c r="J627" s="27"/>
      <c r="N627" s="27"/>
    </row>
    <row r="628">
      <c r="F628" s="27"/>
      <c r="G628" s="27"/>
      <c r="H628" s="27"/>
      <c r="I628" s="27"/>
      <c r="J628" s="27"/>
      <c r="N628" s="27"/>
    </row>
    <row r="629">
      <c r="F629" s="27"/>
      <c r="G629" s="27"/>
      <c r="H629" s="27"/>
      <c r="I629" s="27"/>
      <c r="J629" s="27"/>
      <c r="N629" s="27"/>
    </row>
    <row r="630">
      <c r="F630" s="27"/>
      <c r="G630" s="27"/>
      <c r="H630" s="27"/>
      <c r="I630" s="27"/>
      <c r="J630" s="27"/>
      <c r="N630" s="27"/>
    </row>
    <row r="631">
      <c r="F631" s="27"/>
      <c r="G631" s="27"/>
      <c r="H631" s="27"/>
      <c r="I631" s="27"/>
      <c r="J631" s="27"/>
      <c r="N631" s="27"/>
    </row>
    <row r="632">
      <c r="F632" s="27"/>
      <c r="G632" s="27"/>
      <c r="H632" s="27"/>
      <c r="I632" s="27"/>
      <c r="J632" s="27"/>
      <c r="N632" s="27"/>
    </row>
    <row r="633">
      <c r="F633" s="27"/>
      <c r="G633" s="27"/>
      <c r="H633" s="27"/>
      <c r="I633" s="27"/>
      <c r="J633" s="27"/>
      <c r="N633" s="27"/>
    </row>
    <row r="634">
      <c r="F634" s="27"/>
      <c r="G634" s="27"/>
      <c r="H634" s="27"/>
      <c r="I634" s="27"/>
      <c r="J634" s="27"/>
      <c r="N634" s="27"/>
    </row>
    <row r="635">
      <c r="F635" s="27"/>
      <c r="G635" s="27"/>
      <c r="H635" s="27"/>
      <c r="I635" s="27"/>
      <c r="J635" s="27"/>
      <c r="N635" s="27"/>
    </row>
    <row r="636">
      <c r="F636" s="27"/>
      <c r="G636" s="27"/>
      <c r="H636" s="27"/>
      <c r="I636" s="27"/>
      <c r="J636" s="27"/>
      <c r="N636" s="27"/>
    </row>
    <row r="637">
      <c r="F637" s="27"/>
      <c r="G637" s="27"/>
      <c r="H637" s="27"/>
      <c r="I637" s="27"/>
      <c r="J637" s="27"/>
      <c r="N637" s="27"/>
    </row>
    <row r="638">
      <c r="F638" s="27"/>
      <c r="G638" s="27"/>
      <c r="H638" s="27"/>
      <c r="I638" s="27"/>
      <c r="J638" s="27"/>
      <c r="N638" s="27"/>
    </row>
    <row r="639">
      <c r="F639" s="27"/>
      <c r="G639" s="27"/>
      <c r="H639" s="27"/>
      <c r="I639" s="27"/>
      <c r="J639" s="27"/>
      <c r="N639" s="27"/>
    </row>
    <row r="640">
      <c r="F640" s="27"/>
      <c r="G640" s="27"/>
      <c r="H640" s="27"/>
      <c r="I640" s="27"/>
      <c r="J640" s="27"/>
      <c r="N640" s="27"/>
    </row>
    <row r="641">
      <c r="F641" s="27"/>
      <c r="G641" s="27"/>
      <c r="H641" s="27"/>
      <c r="I641" s="27"/>
      <c r="J641" s="27"/>
      <c r="N641" s="27"/>
    </row>
    <row r="642">
      <c r="F642" s="27"/>
      <c r="G642" s="27"/>
      <c r="H642" s="27"/>
      <c r="I642" s="27"/>
      <c r="J642" s="27"/>
      <c r="N642" s="27"/>
    </row>
    <row r="643">
      <c r="F643" s="27"/>
      <c r="G643" s="27"/>
      <c r="H643" s="27"/>
      <c r="I643" s="27"/>
      <c r="J643" s="27"/>
      <c r="N643" s="27"/>
    </row>
    <row r="644">
      <c r="F644" s="27"/>
      <c r="G644" s="27"/>
      <c r="H644" s="27"/>
      <c r="I644" s="27"/>
      <c r="J644" s="27"/>
      <c r="N644" s="27"/>
    </row>
    <row r="645">
      <c r="F645" s="27"/>
      <c r="G645" s="27"/>
      <c r="H645" s="27"/>
      <c r="I645" s="27"/>
      <c r="J645" s="27"/>
      <c r="N645" s="27"/>
    </row>
    <row r="646">
      <c r="F646" s="27"/>
      <c r="G646" s="27"/>
      <c r="H646" s="27"/>
      <c r="I646" s="27"/>
      <c r="J646" s="27"/>
      <c r="N646" s="27"/>
    </row>
    <row r="647">
      <c r="F647" s="27"/>
      <c r="G647" s="27"/>
      <c r="H647" s="27"/>
      <c r="I647" s="27"/>
      <c r="J647" s="27"/>
      <c r="N647" s="27"/>
    </row>
    <row r="648">
      <c r="F648" s="27"/>
      <c r="G648" s="27"/>
      <c r="H648" s="27"/>
      <c r="I648" s="27"/>
      <c r="J648" s="27"/>
      <c r="N648" s="27"/>
    </row>
    <row r="649">
      <c r="F649" s="27"/>
      <c r="G649" s="27"/>
      <c r="H649" s="27"/>
      <c r="I649" s="27"/>
      <c r="J649" s="27"/>
      <c r="N649" s="27"/>
    </row>
    <row r="650">
      <c r="F650" s="27"/>
      <c r="G650" s="27"/>
      <c r="H650" s="27"/>
      <c r="I650" s="27"/>
      <c r="J650" s="27"/>
      <c r="N650" s="27"/>
    </row>
    <row r="651">
      <c r="F651" s="27"/>
      <c r="G651" s="27"/>
      <c r="H651" s="27"/>
      <c r="I651" s="27"/>
      <c r="J651" s="27"/>
      <c r="N651" s="27"/>
    </row>
    <row r="652">
      <c r="F652" s="27"/>
      <c r="G652" s="27"/>
      <c r="H652" s="27"/>
      <c r="I652" s="27"/>
      <c r="J652" s="27"/>
      <c r="N652" s="27"/>
    </row>
    <row r="653">
      <c r="F653" s="27"/>
      <c r="G653" s="27"/>
      <c r="H653" s="27"/>
      <c r="I653" s="27"/>
      <c r="J653" s="27"/>
      <c r="N653" s="27"/>
    </row>
    <row r="654">
      <c r="F654" s="27"/>
      <c r="G654" s="27"/>
      <c r="H654" s="27"/>
      <c r="I654" s="27"/>
      <c r="J654" s="27"/>
      <c r="N654" s="27"/>
    </row>
    <row r="655">
      <c r="F655" s="27"/>
      <c r="G655" s="27"/>
      <c r="H655" s="27"/>
      <c r="I655" s="27"/>
      <c r="J655" s="27"/>
      <c r="N655" s="27"/>
    </row>
    <row r="656">
      <c r="F656" s="27"/>
      <c r="G656" s="27"/>
      <c r="H656" s="27"/>
      <c r="I656" s="27"/>
      <c r="J656" s="27"/>
      <c r="N656" s="27"/>
    </row>
    <row r="657">
      <c r="F657" s="27"/>
      <c r="G657" s="27"/>
      <c r="H657" s="27"/>
      <c r="I657" s="27"/>
      <c r="J657" s="27"/>
      <c r="N657" s="27"/>
    </row>
    <row r="658">
      <c r="F658" s="27"/>
      <c r="G658" s="27"/>
      <c r="H658" s="27"/>
      <c r="I658" s="27"/>
      <c r="J658" s="27"/>
      <c r="N658" s="27"/>
    </row>
    <row r="659">
      <c r="F659" s="27"/>
      <c r="G659" s="27"/>
      <c r="H659" s="27"/>
      <c r="I659" s="27"/>
      <c r="J659" s="27"/>
      <c r="N659" s="27"/>
    </row>
    <row r="660">
      <c r="F660" s="27"/>
      <c r="G660" s="27"/>
      <c r="H660" s="27"/>
      <c r="I660" s="27"/>
      <c r="J660" s="27"/>
      <c r="N660" s="27"/>
    </row>
    <row r="661">
      <c r="F661" s="27"/>
      <c r="G661" s="27"/>
      <c r="H661" s="27"/>
      <c r="I661" s="27"/>
      <c r="J661" s="27"/>
      <c r="N661" s="27"/>
    </row>
    <row r="662">
      <c r="F662" s="27"/>
      <c r="G662" s="27"/>
      <c r="H662" s="27"/>
      <c r="I662" s="27"/>
      <c r="J662" s="27"/>
      <c r="N662" s="27"/>
    </row>
    <row r="663">
      <c r="F663" s="27"/>
      <c r="G663" s="27"/>
      <c r="H663" s="27"/>
      <c r="I663" s="27"/>
      <c r="J663" s="27"/>
      <c r="N663" s="27"/>
    </row>
    <row r="664">
      <c r="F664" s="27"/>
      <c r="G664" s="27"/>
      <c r="H664" s="27"/>
      <c r="I664" s="27"/>
      <c r="J664" s="27"/>
      <c r="N664" s="27"/>
    </row>
    <row r="665">
      <c r="F665" s="27"/>
      <c r="G665" s="27"/>
      <c r="H665" s="27"/>
      <c r="I665" s="27"/>
      <c r="J665" s="27"/>
      <c r="N665" s="27"/>
    </row>
    <row r="666">
      <c r="F666" s="27"/>
      <c r="G666" s="27"/>
      <c r="H666" s="27"/>
      <c r="I666" s="27"/>
      <c r="J666" s="27"/>
      <c r="N666" s="27"/>
    </row>
    <row r="667">
      <c r="F667" s="27"/>
      <c r="G667" s="27"/>
      <c r="H667" s="27"/>
      <c r="I667" s="27"/>
      <c r="J667" s="27"/>
      <c r="N667" s="27"/>
    </row>
    <row r="668">
      <c r="F668" s="27"/>
      <c r="G668" s="27"/>
      <c r="H668" s="27"/>
      <c r="I668" s="27"/>
      <c r="J668" s="27"/>
      <c r="N668" s="27"/>
    </row>
    <row r="669">
      <c r="F669" s="27"/>
      <c r="G669" s="27"/>
      <c r="H669" s="27"/>
      <c r="I669" s="27"/>
      <c r="J669" s="27"/>
      <c r="N669" s="27"/>
    </row>
    <row r="670">
      <c r="F670" s="27"/>
      <c r="G670" s="27"/>
      <c r="H670" s="27"/>
      <c r="I670" s="27"/>
      <c r="J670" s="27"/>
      <c r="N670" s="27"/>
    </row>
    <row r="671">
      <c r="F671" s="27"/>
      <c r="G671" s="27"/>
      <c r="H671" s="27"/>
      <c r="I671" s="27"/>
      <c r="J671" s="27"/>
      <c r="N671" s="27"/>
    </row>
    <row r="672">
      <c r="F672" s="27"/>
      <c r="G672" s="27"/>
      <c r="H672" s="27"/>
      <c r="I672" s="27"/>
      <c r="J672" s="27"/>
      <c r="N672" s="27"/>
    </row>
    <row r="673">
      <c r="F673" s="27"/>
      <c r="G673" s="27"/>
      <c r="H673" s="27"/>
      <c r="I673" s="27"/>
      <c r="J673" s="27"/>
      <c r="N673" s="27"/>
    </row>
    <row r="674">
      <c r="F674" s="27"/>
      <c r="G674" s="27"/>
      <c r="H674" s="27"/>
      <c r="I674" s="27"/>
      <c r="J674" s="27"/>
      <c r="N674" s="27"/>
    </row>
    <row r="675">
      <c r="F675" s="27"/>
      <c r="G675" s="27"/>
      <c r="H675" s="27"/>
      <c r="I675" s="27"/>
      <c r="J675" s="27"/>
      <c r="N675" s="27"/>
    </row>
    <row r="676">
      <c r="F676" s="27"/>
      <c r="G676" s="27"/>
      <c r="H676" s="27"/>
      <c r="I676" s="27"/>
      <c r="J676" s="27"/>
      <c r="N676" s="27"/>
    </row>
    <row r="677">
      <c r="F677" s="27"/>
      <c r="G677" s="27"/>
      <c r="H677" s="27"/>
      <c r="I677" s="27"/>
      <c r="J677" s="27"/>
      <c r="N677" s="27"/>
    </row>
    <row r="678">
      <c r="F678" s="27"/>
      <c r="G678" s="27"/>
      <c r="H678" s="27"/>
      <c r="I678" s="27"/>
      <c r="J678" s="27"/>
      <c r="N678" s="27"/>
    </row>
    <row r="679">
      <c r="F679" s="27"/>
      <c r="G679" s="27"/>
      <c r="H679" s="27"/>
      <c r="I679" s="27"/>
      <c r="J679" s="27"/>
      <c r="N679" s="27"/>
    </row>
    <row r="680">
      <c r="F680" s="27"/>
      <c r="G680" s="27"/>
      <c r="H680" s="27"/>
      <c r="I680" s="27"/>
      <c r="J680" s="27"/>
      <c r="N680" s="27"/>
    </row>
    <row r="681">
      <c r="F681" s="27"/>
      <c r="G681" s="27"/>
      <c r="H681" s="27"/>
      <c r="I681" s="27"/>
      <c r="J681" s="27"/>
      <c r="N681" s="27"/>
    </row>
    <row r="682">
      <c r="F682" s="27"/>
      <c r="G682" s="27"/>
      <c r="H682" s="27"/>
      <c r="I682" s="27"/>
      <c r="J682" s="27"/>
      <c r="N682" s="27"/>
    </row>
    <row r="683">
      <c r="F683" s="27"/>
      <c r="G683" s="27"/>
      <c r="H683" s="27"/>
      <c r="I683" s="27"/>
      <c r="J683" s="27"/>
      <c r="N683" s="27"/>
    </row>
    <row r="684">
      <c r="F684" s="27"/>
      <c r="G684" s="27"/>
      <c r="H684" s="27"/>
      <c r="I684" s="27"/>
      <c r="J684" s="27"/>
      <c r="N684" s="27"/>
    </row>
    <row r="685">
      <c r="F685" s="27"/>
      <c r="G685" s="27"/>
      <c r="H685" s="27"/>
      <c r="I685" s="27"/>
      <c r="J685" s="27"/>
      <c r="N685" s="27"/>
    </row>
    <row r="686">
      <c r="F686" s="27"/>
      <c r="G686" s="27"/>
      <c r="H686" s="27"/>
      <c r="I686" s="27"/>
      <c r="J686" s="27"/>
      <c r="N686" s="27"/>
    </row>
    <row r="687">
      <c r="F687" s="27"/>
      <c r="G687" s="27"/>
      <c r="H687" s="27"/>
      <c r="I687" s="27"/>
      <c r="J687" s="27"/>
      <c r="N687" s="27"/>
    </row>
    <row r="688">
      <c r="F688" s="27"/>
      <c r="G688" s="27"/>
      <c r="H688" s="27"/>
      <c r="I688" s="27"/>
      <c r="J688" s="27"/>
      <c r="N688" s="27"/>
    </row>
    <row r="689">
      <c r="F689" s="27"/>
      <c r="G689" s="27"/>
      <c r="H689" s="27"/>
      <c r="I689" s="27"/>
      <c r="J689" s="27"/>
      <c r="N689" s="27"/>
    </row>
    <row r="690">
      <c r="F690" s="27"/>
      <c r="G690" s="27"/>
      <c r="H690" s="27"/>
      <c r="I690" s="27"/>
      <c r="J690" s="27"/>
      <c r="N690" s="27"/>
    </row>
    <row r="691">
      <c r="F691" s="27"/>
      <c r="G691" s="27"/>
      <c r="H691" s="27"/>
      <c r="I691" s="27"/>
      <c r="J691" s="27"/>
      <c r="N691" s="27"/>
    </row>
    <row r="692">
      <c r="F692" s="27"/>
      <c r="G692" s="27"/>
      <c r="H692" s="27"/>
      <c r="I692" s="27"/>
      <c r="J692" s="27"/>
      <c r="N692" s="27"/>
    </row>
    <row r="693">
      <c r="F693" s="27"/>
      <c r="G693" s="27"/>
      <c r="H693" s="27"/>
      <c r="I693" s="27"/>
      <c r="J693" s="27"/>
      <c r="N693" s="27"/>
    </row>
    <row r="694">
      <c r="F694" s="27"/>
      <c r="G694" s="27"/>
      <c r="H694" s="27"/>
      <c r="I694" s="27"/>
      <c r="J694" s="27"/>
      <c r="N694" s="27"/>
    </row>
    <row r="695">
      <c r="F695" s="27"/>
      <c r="G695" s="27"/>
      <c r="H695" s="27"/>
      <c r="I695" s="27"/>
      <c r="J695" s="27"/>
      <c r="N695" s="27"/>
    </row>
    <row r="696">
      <c r="F696" s="27"/>
      <c r="G696" s="27"/>
      <c r="H696" s="27"/>
      <c r="I696" s="27"/>
      <c r="J696" s="27"/>
      <c r="N696" s="27"/>
    </row>
    <row r="697">
      <c r="F697" s="27"/>
      <c r="G697" s="27"/>
      <c r="H697" s="27"/>
      <c r="I697" s="27"/>
      <c r="J697" s="27"/>
      <c r="N697" s="27"/>
    </row>
    <row r="698">
      <c r="F698" s="27"/>
      <c r="G698" s="27"/>
      <c r="H698" s="27"/>
      <c r="I698" s="27"/>
      <c r="J698" s="27"/>
      <c r="N698" s="27"/>
    </row>
    <row r="699">
      <c r="F699" s="27"/>
      <c r="G699" s="27"/>
      <c r="H699" s="27"/>
      <c r="I699" s="27"/>
      <c r="J699" s="27"/>
      <c r="N699" s="27"/>
    </row>
    <row r="700">
      <c r="F700" s="27"/>
      <c r="G700" s="27"/>
      <c r="H700" s="27"/>
      <c r="I700" s="27"/>
      <c r="J700" s="27"/>
      <c r="N700" s="27"/>
    </row>
    <row r="701">
      <c r="F701" s="27"/>
      <c r="G701" s="27"/>
      <c r="H701" s="27"/>
      <c r="I701" s="27"/>
      <c r="J701" s="27"/>
      <c r="N701" s="27"/>
    </row>
    <row r="702">
      <c r="F702" s="27"/>
      <c r="G702" s="27"/>
      <c r="H702" s="27"/>
      <c r="I702" s="27"/>
      <c r="J702" s="27"/>
      <c r="N702" s="27"/>
    </row>
    <row r="703">
      <c r="F703" s="27"/>
      <c r="G703" s="27"/>
      <c r="H703" s="27"/>
      <c r="I703" s="27"/>
      <c r="J703" s="27"/>
      <c r="N703" s="27"/>
    </row>
    <row r="704">
      <c r="F704" s="27"/>
      <c r="G704" s="27"/>
      <c r="H704" s="27"/>
      <c r="I704" s="27"/>
      <c r="J704" s="27"/>
      <c r="N704" s="27"/>
    </row>
    <row r="705">
      <c r="F705" s="27"/>
      <c r="G705" s="27"/>
      <c r="H705" s="27"/>
      <c r="I705" s="27"/>
      <c r="J705" s="27"/>
      <c r="N705" s="27"/>
    </row>
    <row r="706">
      <c r="F706" s="27"/>
      <c r="G706" s="27"/>
      <c r="H706" s="27"/>
      <c r="I706" s="27"/>
      <c r="J706" s="27"/>
      <c r="N706" s="27"/>
    </row>
    <row r="707">
      <c r="F707" s="27"/>
      <c r="G707" s="27"/>
      <c r="H707" s="27"/>
      <c r="I707" s="27"/>
      <c r="J707" s="27"/>
      <c r="N707" s="27"/>
    </row>
    <row r="708">
      <c r="F708" s="27"/>
      <c r="G708" s="27"/>
      <c r="H708" s="27"/>
      <c r="I708" s="27"/>
      <c r="J708" s="27"/>
      <c r="N708" s="27"/>
    </row>
    <row r="709">
      <c r="F709" s="27"/>
      <c r="G709" s="27"/>
      <c r="H709" s="27"/>
      <c r="I709" s="27"/>
      <c r="J709" s="27"/>
      <c r="N709" s="27"/>
    </row>
    <row r="710">
      <c r="F710" s="27"/>
      <c r="G710" s="27"/>
      <c r="H710" s="27"/>
      <c r="I710" s="27"/>
      <c r="J710" s="27"/>
      <c r="N710" s="27"/>
    </row>
    <row r="711">
      <c r="F711" s="27"/>
      <c r="G711" s="27"/>
      <c r="H711" s="27"/>
      <c r="I711" s="27"/>
      <c r="J711" s="27"/>
      <c r="N711" s="27"/>
    </row>
    <row r="712">
      <c r="F712" s="27"/>
      <c r="G712" s="27"/>
      <c r="H712" s="27"/>
      <c r="I712" s="27"/>
      <c r="J712" s="27"/>
      <c r="N712" s="27"/>
    </row>
    <row r="713">
      <c r="F713" s="27"/>
      <c r="G713" s="27"/>
      <c r="H713" s="27"/>
      <c r="I713" s="27"/>
      <c r="J713" s="27"/>
      <c r="N713" s="27"/>
    </row>
    <row r="714">
      <c r="F714" s="27"/>
      <c r="G714" s="27"/>
      <c r="H714" s="27"/>
      <c r="I714" s="27"/>
      <c r="J714" s="27"/>
      <c r="N714" s="27"/>
    </row>
    <row r="715">
      <c r="F715" s="27"/>
      <c r="G715" s="27"/>
      <c r="H715" s="27"/>
      <c r="I715" s="27"/>
      <c r="J715" s="27"/>
      <c r="N715" s="27"/>
    </row>
    <row r="716">
      <c r="F716" s="27"/>
      <c r="G716" s="27"/>
      <c r="H716" s="27"/>
      <c r="I716" s="27"/>
      <c r="J716" s="27"/>
      <c r="N716" s="27"/>
    </row>
    <row r="717">
      <c r="F717" s="27"/>
      <c r="G717" s="27"/>
      <c r="H717" s="27"/>
      <c r="I717" s="27"/>
      <c r="J717" s="27"/>
      <c r="N717" s="27"/>
    </row>
    <row r="718">
      <c r="F718" s="27"/>
      <c r="G718" s="27"/>
      <c r="H718" s="27"/>
      <c r="I718" s="27"/>
      <c r="J718" s="27"/>
      <c r="N718" s="27"/>
    </row>
    <row r="719">
      <c r="F719" s="27"/>
      <c r="G719" s="27"/>
      <c r="H719" s="27"/>
      <c r="I719" s="27"/>
      <c r="J719" s="27"/>
      <c r="N719" s="27"/>
    </row>
    <row r="720">
      <c r="F720" s="27"/>
      <c r="G720" s="27"/>
      <c r="H720" s="27"/>
      <c r="I720" s="27"/>
      <c r="J720" s="27"/>
      <c r="N720" s="27"/>
    </row>
    <row r="721">
      <c r="F721" s="27"/>
      <c r="G721" s="27"/>
      <c r="H721" s="27"/>
      <c r="I721" s="27"/>
      <c r="J721" s="27"/>
      <c r="N721" s="27"/>
    </row>
    <row r="722">
      <c r="F722" s="27"/>
      <c r="G722" s="27"/>
      <c r="H722" s="27"/>
      <c r="I722" s="27"/>
      <c r="J722" s="27"/>
      <c r="N722" s="27"/>
    </row>
    <row r="723">
      <c r="F723" s="27"/>
      <c r="G723" s="27"/>
      <c r="H723" s="27"/>
      <c r="I723" s="27"/>
      <c r="J723" s="27"/>
      <c r="N723" s="27"/>
    </row>
    <row r="724">
      <c r="F724" s="27"/>
      <c r="G724" s="27"/>
      <c r="H724" s="27"/>
      <c r="I724" s="27"/>
      <c r="J724" s="27"/>
      <c r="N724" s="27"/>
    </row>
    <row r="725">
      <c r="F725" s="27"/>
      <c r="G725" s="27"/>
      <c r="H725" s="27"/>
      <c r="I725" s="27"/>
      <c r="J725" s="27"/>
      <c r="N725" s="27"/>
    </row>
    <row r="726">
      <c r="F726" s="27"/>
      <c r="G726" s="27"/>
      <c r="H726" s="27"/>
      <c r="I726" s="27"/>
      <c r="J726" s="27"/>
      <c r="N726" s="27"/>
    </row>
    <row r="727">
      <c r="F727" s="27"/>
      <c r="G727" s="27"/>
      <c r="H727" s="27"/>
      <c r="I727" s="27"/>
      <c r="J727" s="27"/>
      <c r="N727" s="27"/>
    </row>
    <row r="728">
      <c r="F728" s="27"/>
      <c r="G728" s="27"/>
      <c r="H728" s="27"/>
      <c r="I728" s="27"/>
      <c r="J728" s="27"/>
      <c r="N728" s="27"/>
    </row>
    <row r="729">
      <c r="F729" s="27"/>
      <c r="G729" s="27"/>
      <c r="H729" s="27"/>
      <c r="I729" s="27"/>
      <c r="J729" s="27"/>
      <c r="N729" s="27"/>
    </row>
    <row r="730">
      <c r="F730" s="27"/>
      <c r="G730" s="27"/>
      <c r="H730" s="27"/>
      <c r="I730" s="27"/>
      <c r="J730" s="27"/>
      <c r="N730" s="27"/>
    </row>
    <row r="731">
      <c r="F731" s="27"/>
      <c r="G731" s="27"/>
      <c r="H731" s="27"/>
      <c r="I731" s="27"/>
      <c r="J731" s="27"/>
      <c r="N731" s="27"/>
    </row>
    <row r="732">
      <c r="F732" s="27"/>
      <c r="G732" s="27"/>
      <c r="H732" s="27"/>
      <c r="I732" s="27"/>
      <c r="J732" s="27"/>
      <c r="N732" s="27"/>
    </row>
    <row r="733">
      <c r="F733" s="27"/>
      <c r="G733" s="27"/>
      <c r="H733" s="27"/>
      <c r="I733" s="27"/>
      <c r="J733" s="27"/>
      <c r="N733" s="27"/>
    </row>
    <row r="734">
      <c r="F734" s="27"/>
      <c r="G734" s="27"/>
      <c r="H734" s="27"/>
      <c r="I734" s="27"/>
      <c r="J734" s="27"/>
      <c r="N734" s="27"/>
    </row>
    <row r="735">
      <c r="F735" s="27"/>
      <c r="G735" s="27"/>
      <c r="H735" s="27"/>
      <c r="I735" s="27"/>
      <c r="J735" s="27"/>
      <c r="N735" s="27"/>
    </row>
    <row r="736">
      <c r="F736" s="27"/>
      <c r="G736" s="27"/>
      <c r="H736" s="27"/>
      <c r="I736" s="27"/>
      <c r="J736" s="27"/>
      <c r="N736" s="27"/>
    </row>
    <row r="737">
      <c r="F737" s="27"/>
      <c r="G737" s="27"/>
      <c r="H737" s="27"/>
      <c r="I737" s="27"/>
      <c r="J737" s="27"/>
      <c r="N737" s="27"/>
    </row>
    <row r="738">
      <c r="F738" s="27"/>
      <c r="G738" s="27"/>
      <c r="H738" s="27"/>
      <c r="I738" s="27"/>
      <c r="J738" s="27"/>
      <c r="N738" s="27"/>
    </row>
    <row r="739">
      <c r="F739" s="27"/>
      <c r="G739" s="27"/>
      <c r="H739" s="27"/>
      <c r="I739" s="27"/>
      <c r="J739" s="27"/>
      <c r="N739" s="27"/>
    </row>
    <row r="740">
      <c r="F740" s="27"/>
      <c r="G740" s="27"/>
      <c r="H740" s="27"/>
      <c r="I740" s="27"/>
      <c r="J740" s="27"/>
      <c r="N740" s="27"/>
    </row>
    <row r="741">
      <c r="F741" s="27"/>
      <c r="G741" s="27"/>
      <c r="H741" s="27"/>
      <c r="I741" s="27"/>
      <c r="J741" s="27"/>
      <c r="N741" s="27"/>
    </row>
    <row r="742">
      <c r="F742" s="27"/>
      <c r="G742" s="27"/>
      <c r="H742" s="27"/>
      <c r="I742" s="27"/>
      <c r="J742" s="27"/>
      <c r="N742" s="27"/>
    </row>
    <row r="743">
      <c r="F743" s="27"/>
      <c r="G743" s="27"/>
      <c r="H743" s="27"/>
      <c r="I743" s="27"/>
      <c r="J743" s="27"/>
      <c r="N743" s="27"/>
    </row>
    <row r="744">
      <c r="F744" s="27"/>
      <c r="G744" s="27"/>
      <c r="H744" s="27"/>
      <c r="I744" s="27"/>
      <c r="J744" s="27"/>
      <c r="N744" s="27"/>
    </row>
    <row r="745">
      <c r="F745" s="27"/>
      <c r="G745" s="27"/>
      <c r="H745" s="27"/>
      <c r="I745" s="27"/>
      <c r="J745" s="27"/>
      <c r="N745" s="27"/>
    </row>
    <row r="746">
      <c r="F746" s="27"/>
      <c r="G746" s="27"/>
      <c r="H746" s="27"/>
      <c r="I746" s="27"/>
      <c r="J746" s="27"/>
      <c r="N746" s="27"/>
    </row>
    <row r="747">
      <c r="F747" s="27"/>
      <c r="G747" s="27"/>
      <c r="H747" s="27"/>
      <c r="I747" s="27"/>
      <c r="J747" s="27"/>
      <c r="N747" s="27"/>
    </row>
    <row r="748">
      <c r="F748" s="27"/>
      <c r="G748" s="27"/>
      <c r="H748" s="27"/>
      <c r="I748" s="27"/>
      <c r="J748" s="27"/>
      <c r="N748" s="27"/>
    </row>
    <row r="749">
      <c r="F749" s="27"/>
      <c r="G749" s="27"/>
      <c r="H749" s="27"/>
      <c r="I749" s="27"/>
      <c r="J749" s="27"/>
      <c r="N749" s="27"/>
    </row>
    <row r="750">
      <c r="F750" s="27"/>
      <c r="G750" s="27"/>
      <c r="H750" s="27"/>
      <c r="I750" s="27"/>
      <c r="J750" s="27"/>
      <c r="N750" s="27"/>
    </row>
    <row r="751">
      <c r="F751" s="27"/>
      <c r="G751" s="27"/>
      <c r="H751" s="27"/>
      <c r="I751" s="27"/>
      <c r="J751" s="27"/>
      <c r="N751" s="27"/>
    </row>
    <row r="752">
      <c r="F752" s="27"/>
      <c r="G752" s="27"/>
      <c r="H752" s="27"/>
      <c r="I752" s="27"/>
      <c r="J752" s="27"/>
      <c r="N752" s="27"/>
    </row>
    <row r="753">
      <c r="F753" s="27"/>
      <c r="G753" s="27"/>
      <c r="H753" s="27"/>
      <c r="I753" s="27"/>
      <c r="J753" s="27"/>
      <c r="N753" s="27"/>
    </row>
    <row r="754">
      <c r="F754" s="27"/>
      <c r="G754" s="27"/>
      <c r="H754" s="27"/>
      <c r="I754" s="27"/>
      <c r="J754" s="27"/>
      <c r="N754" s="27"/>
    </row>
    <row r="755">
      <c r="F755" s="27"/>
      <c r="G755" s="27"/>
      <c r="H755" s="27"/>
      <c r="I755" s="27"/>
      <c r="J755" s="27"/>
      <c r="N755" s="27"/>
    </row>
    <row r="756">
      <c r="F756" s="27"/>
      <c r="G756" s="27"/>
      <c r="H756" s="27"/>
      <c r="I756" s="27"/>
      <c r="J756" s="27"/>
      <c r="N756" s="27"/>
    </row>
    <row r="757">
      <c r="F757" s="27"/>
      <c r="G757" s="27"/>
      <c r="H757" s="27"/>
      <c r="I757" s="27"/>
      <c r="J757" s="27"/>
      <c r="N757" s="27"/>
    </row>
    <row r="758">
      <c r="F758" s="27"/>
      <c r="G758" s="27"/>
      <c r="H758" s="27"/>
      <c r="I758" s="27"/>
      <c r="J758" s="27"/>
      <c r="N758" s="27"/>
    </row>
    <row r="759">
      <c r="F759" s="27"/>
      <c r="G759" s="27"/>
      <c r="H759" s="27"/>
      <c r="I759" s="27"/>
      <c r="J759" s="27"/>
      <c r="N759" s="27"/>
    </row>
    <row r="760">
      <c r="F760" s="27"/>
      <c r="G760" s="27"/>
      <c r="H760" s="27"/>
      <c r="I760" s="27"/>
      <c r="J760" s="27"/>
      <c r="N760" s="27"/>
    </row>
    <row r="761">
      <c r="F761" s="27"/>
      <c r="G761" s="27"/>
      <c r="H761" s="27"/>
      <c r="I761" s="27"/>
      <c r="J761" s="27"/>
      <c r="N761" s="27"/>
    </row>
    <row r="762">
      <c r="F762" s="27"/>
      <c r="G762" s="27"/>
      <c r="H762" s="27"/>
      <c r="I762" s="27"/>
      <c r="J762" s="27"/>
      <c r="N762" s="27"/>
    </row>
    <row r="763">
      <c r="F763" s="27"/>
      <c r="G763" s="27"/>
      <c r="H763" s="27"/>
      <c r="I763" s="27"/>
      <c r="J763" s="27"/>
      <c r="N763" s="27"/>
    </row>
    <row r="764">
      <c r="F764" s="27"/>
      <c r="G764" s="27"/>
      <c r="H764" s="27"/>
      <c r="I764" s="27"/>
      <c r="J764" s="27"/>
      <c r="N764" s="27"/>
    </row>
    <row r="765">
      <c r="F765" s="27"/>
      <c r="G765" s="27"/>
      <c r="H765" s="27"/>
      <c r="I765" s="27"/>
      <c r="J765" s="27"/>
      <c r="N765" s="27"/>
    </row>
    <row r="766">
      <c r="F766" s="27"/>
      <c r="G766" s="27"/>
      <c r="H766" s="27"/>
      <c r="I766" s="27"/>
      <c r="J766" s="27"/>
      <c r="N766" s="27"/>
    </row>
    <row r="767">
      <c r="F767" s="27"/>
      <c r="G767" s="27"/>
      <c r="H767" s="27"/>
      <c r="I767" s="27"/>
      <c r="J767" s="27"/>
      <c r="N767" s="27"/>
    </row>
    <row r="768">
      <c r="F768" s="27"/>
      <c r="G768" s="27"/>
      <c r="H768" s="27"/>
      <c r="I768" s="27"/>
      <c r="J768" s="27"/>
      <c r="N768" s="27"/>
    </row>
    <row r="769">
      <c r="F769" s="27"/>
      <c r="G769" s="27"/>
      <c r="H769" s="27"/>
      <c r="I769" s="27"/>
      <c r="J769" s="27"/>
      <c r="N769" s="27"/>
    </row>
    <row r="770">
      <c r="F770" s="27"/>
      <c r="G770" s="27"/>
      <c r="H770" s="27"/>
      <c r="I770" s="27"/>
      <c r="J770" s="27"/>
      <c r="N770" s="27"/>
    </row>
    <row r="771">
      <c r="F771" s="27"/>
      <c r="G771" s="27"/>
      <c r="H771" s="27"/>
      <c r="I771" s="27"/>
      <c r="J771" s="27"/>
      <c r="N771" s="27"/>
    </row>
    <row r="772">
      <c r="F772" s="27"/>
      <c r="G772" s="27"/>
      <c r="H772" s="27"/>
      <c r="I772" s="27"/>
      <c r="J772" s="27"/>
      <c r="N772" s="27"/>
    </row>
    <row r="773">
      <c r="F773" s="27"/>
      <c r="G773" s="27"/>
      <c r="H773" s="27"/>
      <c r="I773" s="27"/>
      <c r="J773" s="27"/>
      <c r="N773" s="27"/>
    </row>
    <row r="774">
      <c r="F774" s="27"/>
      <c r="G774" s="27"/>
      <c r="H774" s="27"/>
      <c r="I774" s="27"/>
      <c r="J774" s="27"/>
      <c r="N774" s="27"/>
    </row>
    <row r="775">
      <c r="F775" s="27"/>
      <c r="G775" s="27"/>
      <c r="H775" s="27"/>
      <c r="I775" s="27"/>
      <c r="J775" s="27"/>
      <c r="N775" s="27"/>
    </row>
    <row r="776">
      <c r="F776" s="27"/>
      <c r="G776" s="27"/>
      <c r="H776" s="27"/>
      <c r="I776" s="27"/>
      <c r="J776" s="27"/>
      <c r="N776" s="27"/>
    </row>
    <row r="777">
      <c r="F777" s="27"/>
      <c r="G777" s="27"/>
      <c r="H777" s="27"/>
      <c r="I777" s="27"/>
      <c r="J777" s="27"/>
      <c r="N777" s="27"/>
    </row>
    <row r="778">
      <c r="F778" s="27"/>
      <c r="G778" s="27"/>
      <c r="H778" s="27"/>
      <c r="I778" s="27"/>
      <c r="J778" s="27"/>
      <c r="N778" s="27"/>
    </row>
    <row r="779">
      <c r="F779" s="27"/>
      <c r="G779" s="27"/>
      <c r="H779" s="27"/>
      <c r="I779" s="27"/>
      <c r="J779" s="27"/>
      <c r="N779" s="27"/>
    </row>
    <row r="780">
      <c r="F780" s="27"/>
      <c r="G780" s="27"/>
      <c r="H780" s="27"/>
      <c r="I780" s="27"/>
      <c r="J780" s="27"/>
      <c r="N780" s="27"/>
    </row>
    <row r="781">
      <c r="F781" s="27"/>
      <c r="G781" s="27"/>
      <c r="H781" s="27"/>
      <c r="I781" s="27"/>
      <c r="J781" s="27"/>
      <c r="N781" s="27"/>
    </row>
    <row r="782">
      <c r="F782" s="27"/>
      <c r="G782" s="27"/>
      <c r="H782" s="27"/>
      <c r="I782" s="27"/>
      <c r="J782" s="27"/>
      <c r="N782" s="27"/>
    </row>
    <row r="783">
      <c r="F783" s="27"/>
      <c r="G783" s="27"/>
      <c r="H783" s="27"/>
      <c r="I783" s="27"/>
      <c r="J783" s="27"/>
      <c r="N783" s="27"/>
    </row>
    <row r="784">
      <c r="F784" s="27"/>
      <c r="G784" s="27"/>
      <c r="H784" s="27"/>
      <c r="I784" s="27"/>
      <c r="J784" s="27"/>
      <c r="N784" s="27"/>
    </row>
    <row r="785">
      <c r="F785" s="27"/>
      <c r="G785" s="27"/>
      <c r="H785" s="27"/>
      <c r="I785" s="27"/>
      <c r="J785" s="27"/>
      <c r="N785" s="27"/>
    </row>
    <row r="786">
      <c r="F786" s="27"/>
      <c r="G786" s="27"/>
      <c r="H786" s="27"/>
      <c r="I786" s="27"/>
      <c r="J786" s="27"/>
      <c r="N786" s="27"/>
    </row>
    <row r="787">
      <c r="F787" s="27"/>
      <c r="G787" s="27"/>
      <c r="H787" s="27"/>
      <c r="I787" s="27"/>
      <c r="J787" s="27"/>
      <c r="N787" s="27"/>
    </row>
    <row r="788">
      <c r="F788" s="27"/>
      <c r="G788" s="27"/>
      <c r="H788" s="27"/>
      <c r="I788" s="27"/>
      <c r="J788" s="27"/>
      <c r="N788" s="27"/>
    </row>
    <row r="789">
      <c r="F789" s="27"/>
      <c r="G789" s="27"/>
      <c r="H789" s="27"/>
      <c r="I789" s="27"/>
      <c r="J789" s="27"/>
      <c r="N789" s="27"/>
    </row>
    <row r="790">
      <c r="F790" s="27"/>
      <c r="G790" s="27"/>
      <c r="H790" s="27"/>
      <c r="I790" s="27"/>
      <c r="J790" s="27"/>
      <c r="N790" s="27"/>
    </row>
    <row r="791">
      <c r="F791" s="27"/>
      <c r="G791" s="27"/>
      <c r="H791" s="27"/>
      <c r="I791" s="27"/>
      <c r="J791" s="27"/>
      <c r="N791" s="27"/>
    </row>
    <row r="792">
      <c r="F792" s="27"/>
      <c r="G792" s="27"/>
      <c r="H792" s="27"/>
      <c r="I792" s="27"/>
      <c r="J792" s="27"/>
      <c r="N792" s="27"/>
    </row>
    <row r="793">
      <c r="F793" s="27"/>
      <c r="G793" s="27"/>
      <c r="H793" s="27"/>
      <c r="I793" s="27"/>
      <c r="J793" s="27"/>
      <c r="N793" s="27"/>
    </row>
    <row r="794">
      <c r="F794" s="27"/>
      <c r="G794" s="27"/>
      <c r="H794" s="27"/>
      <c r="I794" s="27"/>
      <c r="J794" s="27"/>
      <c r="N794" s="27"/>
    </row>
    <row r="795">
      <c r="F795" s="27"/>
      <c r="G795" s="27"/>
      <c r="H795" s="27"/>
      <c r="I795" s="27"/>
      <c r="J795" s="27"/>
      <c r="N795" s="27"/>
    </row>
    <row r="796">
      <c r="F796" s="27"/>
      <c r="G796" s="27"/>
      <c r="H796" s="27"/>
      <c r="I796" s="27"/>
      <c r="J796" s="27"/>
      <c r="N796" s="27"/>
    </row>
    <row r="797">
      <c r="F797" s="27"/>
      <c r="G797" s="27"/>
      <c r="H797" s="27"/>
      <c r="I797" s="27"/>
      <c r="J797" s="27"/>
      <c r="N797" s="27"/>
    </row>
    <row r="798">
      <c r="F798" s="27"/>
      <c r="G798" s="27"/>
      <c r="H798" s="27"/>
      <c r="I798" s="27"/>
      <c r="J798" s="27"/>
      <c r="N798" s="27"/>
    </row>
    <row r="799">
      <c r="F799" s="27"/>
      <c r="G799" s="27"/>
      <c r="H799" s="27"/>
      <c r="I799" s="27"/>
      <c r="J799" s="27"/>
      <c r="N799" s="27"/>
    </row>
    <row r="800">
      <c r="F800" s="27"/>
      <c r="G800" s="27"/>
      <c r="H800" s="27"/>
      <c r="I800" s="27"/>
      <c r="J800" s="27"/>
      <c r="N800" s="27"/>
    </row>
    <row r="801">
      <c r="F801" s="27"/>
      <c r="G801" s="27"/>
      <c r="H801" s="27"/>
      <c r="I801" s="27"/>
      <c r="J801" s="27"/>
      <c r="N801" s="27"/>
    </row>
    <row r="802">
      <c r="F802" s="27"/>
      <c r="G802" s="27"/>
      <c r="H802" s="27"/>
      <c r="I802" s="27"/>
      <c r="J802" s="27"/>
      <c r="N802" s="27"/>
    </row>
    <row r="803">
      <c r="F803" s="27"/>
      <c r="G803" s="27"/>
      <c r="H803" s="27"/>
      <c r="I803" s="27"/>
      <c r="J803" s="27"/>
      <c r="N803" s="27"/>
    </row>
    <row r="804">
      <c r="F804" s="27"/>
      <c r="G804" s="27"/>
      <c r="H804" s="27"/>
      <c r="I804" s="27"/>
      <c r="J804" s="27"/>
      <c r="N804" s="27"/>
    </row>
    <row r="805">
      <c r="F805" s="27"/>
      <c r="G805" s="27"/>
      <c r="H805" s="27"/>
      <c r="I805" s="27"/>
      <c r="J805" s="27"/>
      <c r="N805" s="27"/>
    </row>
    <row r="806">
      <c r="F806" s="27"/>
      <c r="G806" s="27"/>
      <c r="H806" s="27"/>
      <c r="I806" s="27"/>
      <c r="J806" s="27"/>
      <c r="N806" s="27"/>
    </row>
    <row r="807">
      <c r="F807" s="27"/>
      <c r="G807" s="27"/>
      <c r="H807" s="27"/>
      <c r="I807" s="27"/>
      <c r="J807" s="27"/>
      <c r="N807" s="27"/>
    </row>
    <row r="808">
      <c r="F808" s="27"/>
      <c r="G808" s="27"/>
      <c r="H808" s="27"/>
      <c r="I808" s="27"/>
      <c r="J808" s="27"/>
      <c r="N808" s="27"/>
    </row>
    <row r="809">
      <c r="F809" s="27"/>
      <c r="G809" s="27"/>
      <c r="H809" s="27"/>
      <c r="I809" s="27"/>
      <c r="J809" s="27"/>
      <c r="N809" s="27"/>
    </row>
    <row r="810">
      <c r="F810" s="27"/>
      <c r="G810" s="27"/>
      <c r="H810" s="27"/>
      <c r="I810" s="27"/>
      <c r="J810" s="27"/>
      <c r="N810" s="27"/>
    </row>
    <row r="811">
      <c r="F811" s="27"/>
      <c r="G811" s="27"/>
      <c r="H811" s="27"/>
      <c r="I811" s="27"/>
      <c r="J811" s="27"/>
      <c r="N811" s="27"/>
    </row>
    <row r="812">
      <c r="F812" s="27"/>
      <c r="G812" s="27"/>
      <c r="H812" s="27"/>
      <c r="I812" s="27"/>
      <c r="J812" s="27"/>
      <c r="N812" s="27"/>
    </row>
    <row r="813">
      <c r="F813" s="27"/>
      <c r="G813" s="27"/>
      <c r="H813" s="27"/>
      <c r="I813" s="27"/>
      <c r="J813" s="27"/>
      <c r="N813" s="27"/>
    </row>
    <row r="814">
      <c r="F814" s="27"/>
      <c r="G814" s="27"/>
      <c r="H814" s="27"/>
      <c r="I814" s="27"/>
      <c r="J814" s="27"/>
      <c r="N814" s="27"/>
    </row>
    <row r="815">
      <c r="F815" s="27"/>
      <c r="G815" s="27"/>
      <c r="H815" s="27"/>
      <c r="I815" s="27"/>
      <c r="J815" s="27"/>
      <c r="N815" s="27"/>
    </row>
    <row r="816">
      <c r="F816" s="27"/>
      <c r="G816" s="27"/>
      <c r="H816" s="27"/>
      <c r="I816" s="27"/>
      <c r="J816" s="27"/>
      <c r="N816" s="27"/>
    </row>
    <row r="817">
      <c r="F817" s="27"/>
      <c r="G817" s="27"/>
      <c r="H817" s="27"/>
      <c r="I817" s="27"/>
      <c r="J817" s="27"/>
      <c r="N817" s="27"/>
    </row>
    <row r="818">
      <c r="F818" s="27"/>
      <c r="G818" s="27"/>
      <c r="H818" s="27"/>
      <c r="I818" s="27"/>
      <c r="J818" s="27"/>
      <c r="N818" s="27"/>
    </row>
    <row r="819">
      <c r="F819" s="27"/>
      <c r="G819" s="27"/>
      <c r="H819" s="27"/>
      <c r="I819" s="27"/>
      <c r="J819" s="27"/>
      <c r="N819" s="27"/>
    </row>
    <row r="820">
      <c r="F820" s="27"/>
      <c r="G820" s="27"/>
      <c r="H820" s="27"/>
      <c r="I820" s="27"/>
      <c r="J820" s="27"/>
      <c r="N820" s="27"/>
    </row>
    <row r="821">
      <c r="F821" s="27"/>
      <c r="G821" s="27"/>
      <c r="H821" s="27"/>
      <c r="I821" s="27"/>
      <c r="J821" s="27"/>
      <c r="N821" s="27"/>
    </row>
    <row r="822">
      <c r="F822" s="27"/>
      <c r="G822" s="27"/>
      <c r="H822" s="27"/>
      <c r="I822" s="27"/>
      <c r="J822" s="27"/>
      <c r="N822" s="27"/>
    </row>
    <row r="823">
      <c r="F823" s="27"/>
      <c r="G823" s="27"/>
      <c r="H823" s="27"/>
      <c r="I823" s="27"/>
      <c r="J823" s="27"/>
      <c r="N823" s="27"/>
    </row>
    <row r="824">
      <c r="F824" s="27"/>
      <c r="G824" s="27"/>
      <c r="H824" s="27"/>
      <c r="I824" s="27"/>
      <c r="J824" s="27"/>
      <c r="N824" s="27"/>
    </row>
    <row r="825">
      <c r="F825" s="27"/>
      <c r="G825" s="27"/>
      <c r="H825" s="27"/>
      <c r="I825" s="27"/>
      <c r="J825" s="27"/>
      <c r="N825" s="27"/>
    </row>
    <row r="826">
      <c r="F826" s="27"/>
      <c r="G826" s="27"/>
      <c r="H826" s="27"/>
      <c r="I826" s="27"/>
      <c r="J826" s="27"/>
      <c r="N826" s="27"/>
    </row>
    <row r="827">
      <c r="F827" s="27"/>
      <c r="G827" s="27"/>
      <c r="H827" s="27"/>
      <c r="I827" s="27"/>
      <c r="J827" s="27"/>
      <c r="N827" s="27"/>
    </row>
    <row r="828">
      <c r="F828" s="27"/>
      <c r="G828" s="27"/>
      <c r="H828" s="27"/>
      <c r="I828" s="27"/>
      <c r="J828" s="27"/>
      <c r="N828" s="27"/>
    </row>
    <row r="829">
      <c r="F829" s="27"/>
      <c r="G829" s="27"/>
      <c r="H829" s="27"/>
      <c r="I829" s="27"/>
      <c r="J829" s="27"/>
      <c r="N829" s="27"/>
    </row>
    <row r="830">
      <c r="F830" s="27"/>
      <c r="G830" s="27"/>
      <c r="H830" s="27"/>
      <c r="I830" s="27"/>
      <c r="J830" s="27"/>
      <c r="N830" s="27"/>
    </row>
    <row r="831">
      <c r="F831" s="27"/>
      <c r="G831" s="27"/>
      <c r="H831" s="27"/>
      <c r="I831" s="27"/>
      <c r="J831" s="27"/>
      <c r="N831" s="27"/>
    </row>
    <row r="832">
      <c r="F832" s="27"/>
      <c r="G832" s="27"/>
      <c r="H832" s="27"/>
      <c r="I832" s="27"/>
      <c r="J832" s="27"/>
      <c r="N832" s="27"/>
    </row>
    <row r="833">
      <c r="F833" s="27"/>
      <c r="G833" s="27"/>
      <c r="H833" s="27"/>
      <c r="I833" s="27"/>
      <c r="J833" s="27"/>
      <c r="N833" s="27"/>
    </row>
    <row r="834">
      <c r="F834" s="27"/>
      <c r="G834" s="27"/>
      <c r="H834" s="27"/>
      <c r="I834" s="27"/>
      <c r="J834" s="27"/>
      <c r="N834" s="27"/>
    </row>
    <row r="835">
      <c r="F835" s="27"/>
      <c r="G835" s="27"/>
      <c r="H835" s="27"/>
      <c r="I835" s="27"/>
      <c r="J835" s="27"/>
      <c r="N835" s="27"/>
    </row>
    <row r="836">
      <c r="F836" s="27"/>
      <c r="G836" s="27"/>
      <c r="H836" s="27"/>
      <c r="I836" s="27"/>
      <c r="J836" s="27"/>
      <c r="N836" s="27"/>
    </row>
    <row r="837">
      <c r="F837" s="27"/>
      <c r="G837" s="27"/>
      <c r="H837" s="27"/>
      <c r="I837" s="27"/>
      <c r="J837" s="27"/>
      <c r="N837" s="27"/>
    </row>
    <row r="838">
      <c r="F838" s="27"/>
      <c r="G838" s="27"/>
      <c r="H838" s="27"/>
      <c r="I838" s="27"/>
      <c r="J838" s="27"/>
      <c r="N838" s="27"/>
    </row>
    <row r="839">
      <c r="F839" s="27"/>
      <c r="G839" s="27"/>
      <c r="H839" s="27"/>
      <c r="I839" s="27"/>
      <c r="J839" s="27"/>
      <c r="N839" s="27"/>
    </row>
    <row r="840">
      <c r="F840" s="27"/>
      <c r="G840" s="27"/>
      <c r="H840" s="27"/>
      <c r="I840" s="27"/>
      <c r="J840" s="27"/>
      <c r="N840" s="27"/>
    </row>
    <row r="841">
      <c r="F841" s="27"/>
      <c r="G841" s="27"/>
      <c r="H841" s="27"/>
      <c r="I841" s="27"/>
      <c r="J841" s="27"/>
      <c r="N841" s="27"/>
    </row>
    <row r="842">
      <c r="F842" s="27"/>
      <c r="G842" s="27"/>
      <c r="H842" s="27"/>
      <c r="I842" s="27"/>
      <c r="J842" s="27"/>
      <c r="N842" s="27"/>
    </row>
    <row r="843">
      <c r="F843" s="27"/>
      <c r="G843" s="27"/>
      <c r="H843" s="27"/>
      <c r="I843" s="27"/>
      <c r="J843" s="27"/>
      <c r="N843" s="27"/>
    </row>
    <row r="844">
      <c r="F844" s="27"/>
      <c r="G844" s="27"/>
      <c r="H844" s="27"/>
      <c r="I844" s="27"/>
      <c r="J844" s="27"/>
      <c r="N844" s="27"/>
    </row>
    <row r="845">
      <c r="F845" s="27"/>
      <c r="G845" s="27"/>
      <c r="H845" s="27"/>
      <c r="I845" s="27"/>
      <c r="J845" s="27"/>
      <c r="N845" s="27"/>
    </row>
    <row r="846">
      <c r="F846" s="27"/>
      <c r="G846" s="27"/>
      <c r="H846" s="27"/>
      <c r="I846" s="27"/>
      <c r="J846" s="27"/>
      <c r="N846" s="27"/>
    </row>
    <row r="847">
      <c r="F847" s="27"/>
      <c r="G847" s="27"/>
      <c r="H847" s="27"/>
      <c r="I847" s="27"/>
      <c r="J847" s="27"/>
      <c r="N847" s="27"/>
    </row>
    <row r="848">
      <c r="F848" s="27"/>
      <c r="G848" s="27"/>
      <c r="H848" s="27"/>
      <c r="I848" s="27"/>
      <c r="J848" s="27"/>
      <c r="N848" s="27"/>
    </row>
    <row r="849">
      <c r="F849" s="27"/>
      <c r="G849" s="27"/>
      <c r="H849" s="27"/>
      <c r="I849" s="27"/>
      <c r="J849" s="27"/>
      <c r="N849" s="27"/>
    </row>
    <row r="850">
      <c r="F850" s="27"/>
      <c r="G850" s="27"/>
      <c r="H850" s="27"/>
      <c r="I850" s="27"/>
      <c r="J850" s="27"/>
      <c r="N850" s="27"/>
    </row>
    <row r="851">
      <c r="F851" s="27"/>
      <c r="G851" s="27"/>
      <c r="H851" s="27"/>
      <c r="I851" s="27"/>
      <c r="J851" s="27"/>
      <c r="N851" s="27"/>
    </row>
    <row r="852">
      <c r="F852" s="27"/>
      <c r="G852" s="27"/>
      <c r="H852" s="27"/>
      <c r="I852" s="27"/>
      <c r="J852" s="27"/>
      <c r="N852" s="27"/>
    </row>
    <row r="853">
      <c r="F853" s="27"/>
      <c r="G853" s="27"/>
      <c r="H853" s="27"/>
      <c r="I853" s="27"/>
      <c r="J853" s="27"/>
      <c r="N853" s="27"/>
    </row>
    <row r="854">
      <c r="F854" s="27"/>
      <c r="G854" s="27"/>
      <c r="H854" s="27"/>
      <c r="I854" s="27"/>
      <c r="J854" s="27"/>
      <c r="N854" s="27"/>
    </row>
    <row r="855">
      <c r="F855" s="27"/>
      <c r="G855" s="27"/>
      <c r="H855" s="27"/>
      <c r="I855" s="27"/>
      <c r="J855" s="27"/>
      <c r="N855" s="27"/>
    </row>
    <row r="856">
      <c r="F856" s="27"/>
      <c r="G856" s="27"/>
      <c r="H856" s="27"/>
      <c r="I856" s="27"/>
      <c r="J856" s="27"/>
      <c r="N856" s="27"/>
    </row>
    <row r="857">
      <c r="F857" s="27"/>
      <c r="G857" s="27"/>
      <c r="H857" s="27"/>
      <c r="I857" s="27"/>
      <c r="J857" s="27"/>
      <c r="N857" s="27"/>
    </row>
    <row r="858">
      <c r="F858" s="27"/>
      <c r="G858" s="27"/>
      <c r="H858" s="27"/>
      <c r="I858" s="27"/>
      <c r="J858" s="27"/>
      <c r="N858" s="27"/>
    </row>
    <row r="859">
      <c r="F859" s="27"/>
      <c r="G859" s="27"/>
      <c r="H859" s="27"/>
      <c r="I859" s="27"/>
      <c r="J859" s="27"/>
      <c r="N859" s="27"/>
    </row>
    <row r="860">
      <c r="F860" s="27"/>
      <c r="G860" s="27"/>
      <c r="H860" s="27"/>
      <c r="I860" s="27"/>
      <c r="J860" s="27"/>
      <c r="N860" s="27"/>
    </row>
    <row r="861">
      <c r="F861" s="27"/>
      <c r="G861" s="27"/>
      <c r="H861" s="27"/>
      <c r="I861" s="27"/>
      <c r="J861" s="27"/>
      <c r="N861" s="27"/>
    </row>
    <row r="862">
      <c r="F862" s="27"/>
      <c r="G862" s="27"/>
      <c r="H862" s="27"/>
      <c r="I862" s="27"/>
      <c r="J862" s="27"/>
      <c r="N862" s="27"/>
    </row>
    <row r="863">
      <c r="F863" s="27"/>
      <c r="G863" s="27"/>
      <c r="H863" s="27"/>
      <c r="I863" s="27"/>
      <c r="J863" s="27"/>
      <c r="N863" s="27"/>
    </row>
    <row r="864">
      <c r="F864" s="27"/>
      <c r="G864" s="27"/>
      <c r="H864" s="27"/>
      <c r="I864" s="27"/>
      <c r="J864" s="27"/>
      <c r="N864" s="27"/>
    </row>
    <row r="865">
      <c r="F865" s="27"/>
      <c r="G865" s="27"/>
      <c r="H865" s="27"/>
      <c r="I865" s="27"/>
      <c r="J865" s="27"/>
      <c r="N865" s="27"/>
    </row>
    <row r="866">
      <c r="F866" s="27"/>
      <c r="G866" s="27"/>
      <c r="H866" s="27"/>
      <c r="I866" s="27"/>
      <c r="J866" s="27"/>
      <c r="N866" s="27"/>
    </row>
    <row r="867">
      <c r="F867" s="27"/>
      <c r="G867" s="27"/>
      <c r="H867" s="27"/>
      <c r="I867" s="27"/>
      <c r="J867" s="27"/>
      <c r="N867" s="27"/>
    </row>
    <row r="868">
      <c r="F868" s="27"/>
      <c r="G868" s="27"/>
      <c r="H868" s="27"/>
      <c r="I868" s="27"/>
      <c r="J868" s="27"/>
      <c r="N868" s="27"/>
    </row>
    <row r="869">
      <c r="F869" s="27"/>
      <c r="G869" s="27"/>
      <c r="H869" s="27"/>
      <c r="I869" s="27"/>
      <c r="J869" s="27"/>
      <c r="N869" s="27"/>
    </row>
    <row r="870">
      <c r="F870" s="27"/>
      <c r="G870" s="27"/>
      <c r="H870" s="27"/>
      <c r="I870" s="27"/>
      <c r="J870" s="27"/>
      <c r="N870" s="27"/>
    </row>
    <row r="871">
      <c r="F871" s="27"/>
      <c r="G871" s="27"/>
      <c r="H871" s="27"/>
      <c r="I871" s="27"/>
      <c r="J871" s="27"/>
      <c r="N871" s="27"/>
    </row>
    <row r="872">
      <c r="F872" s="27"/>
      <c r="G872" s="27"/>
      <c r="H872" s="27"/>
      <c r="I872" s="27"/>
      <c r="J872" s="27"/>
      <c r="N872" s="27"/>
    </row>
    <row r="873">
      <c r="F873" s="27"/>
      <c r="G873" s="27"/>
      <c r="H873" s="27"/>
      <c r="I873" s="27"/>
      <c r="J873" s="27"/>
      <c r="N873" s="27"/>
    </row>
    <row r="874">
      <c r="F874" s="27"/>
      <c r="G874" s="27"/>
      <c r="H874" s="27"/>
      <c r="I874" s="27"/>
      <c r="J874" s="27"/>
      <c r="N874" s="27"/>
    </row>
    <row r="875">
      <c r="F875" s="27"/>
      <c r="G875" s="27"/>
      <c r="H875" s="27"/>
      <c r="I875" s="27"/>
      <c r="J875" s="27"/>
      <c r="N875" s="27"/>
    </row>
    <row r="876">
      <c r="F876" s="27"/>
      <c r="G876" s="27"/>
      <c r="H876" s="27"/>
      <c r="I876" s="27"/>
      <c r="J876" s="27"/>
      <c r="N876" s="27"/>
    </row>
    <row r="877">
      <c r="F877" s="27"/>
      <c r="G877" s="27"/>
      <c r="H877" s="27"/>
      <c r="I877" s="27"/>
      <c r="J877" s="27"/>
      <c r="N877" s="27"/>
    </row>
    <row r="878">
      <c r="F878" s="27"/>
      <c r="G878" s="27"/>
      <c r="H878" s="27"/>
      <c r="I878" s="27"/>
      <c r="J878" s="27"/>
      <c r="N878" s="27"/>
    </row>
    <row r="879">
      <c r="F879" s="27"/>
      <c r="G879" s="27"/>
      <c r="H879" s="27"/>
      <c r="I879" s="27"/>
      <c r="J879" s="27"/>
      <c r="N879" s="27"/>
    </row>
    <row r="880">
      <c r="F880" s="27"/>
      <c r="G880" s="27"/>
      <c r="H880" s="27"/>
      <c r="I880" s="27"/>
      <c r="J880" s="27"/>
      <c r="N880" s="27"/>
    </row>
    <row r="881">
      <c r="F881" s="27"/>
      <c r="G881" s="27"/>
      <c r="H881" s="27"/>
      <c r="I881" s="27"/>
      <c r="J881" s="27"/>
      <c r="N881" s="27"/>
    </row>
    <row r="882">
      <c r="F882" s="27"/>
      <c r="G882" s="27"/>
      <c r="H882" s="27"/>
      <c r="I882" s="27"/>
      <c r="J882" s="27"/>
      <c r="N882" s="27"/>
    </row>
    <row r="883">
      <c r="F883" s="27"/>
      <c r="G883" s="27"/>
      <c r="H883" s="27"/>
      <c r="I883" s="27"/>
      <c r="J883" s="27"/>
      <c r="N883" s="27"/>
    </row>
    <row r="884">
      <c r="F884" s="27"/>
      <c r="G884" s="27"/>
      <c r="H884" s="27"/>
      <c r="I884" s="27"/>
      <c r="J884" s="27"/>
      <c r="N884" s="27"/>
    </row>
    <row r="885">
      <c r="F885" s="27"/>
      <c r="G885" s="27"/>
      <c r="H885" s="27"/>
      <c r="I885" s="27"/>
      <c r="J885" s="27"/>
      <c r="N885" s="27"/>
    </row>
    <row r="886">
      <c r="F886" s="27"/>
      <c r="G886" s="27"/>
      <c r="H886" s="27"/>
      <c r="I886" s="27"/>
      <c r="J886" s="27"/>
      <c r="N886" s="27"/>
    </row>
    <row r="887">
      <c r="F887" s="27"/>
      <c r="G887" s="27"/>
      <c r="H887" s="27"/>
      <c r="I887" s="27"/>
      <c r="J887" s="27"/>
      <c r="N887" s="27"/>
    </row>
    <row r="888">
      <c r="F888" s="27"/>
      <c r="G888" s="27"/>
      <c r="H888" s="27"/>
      <c r="I888" s="27"/>
      <c r="J888" s="27"/>
      <c r="N888" s="27"/>
    </row>
    <row r="889">
      <c r="F889" s="27"/>
      <c r="G889" s="27"/>
      <c r="H889" s="27"/>
      <c r="I889" s="27"/>
      <c r="J889" s="27"/>
      <c r="N889" s="27"/>
    </row>
    <row r="890">
      <c r="F890" s="27"/>
      <c r="G890" s="27"/>
      <c r="H890" s="27"/>
      <c r="I890" s="27"/>
      <c r="J890" s="27"/>
      <c r="N890" s="27"/>
    </row>
    <row r="891">
      <c r="F891" s="27"/>
      <c r="G891" s="27"/>
      <c r="H891" s="27"/>
      <c r="I891" s="27"/>
      <c r="J891" s="27"/>
      <c r="N891" s="27"/>
    </row>
    <row r="892">
      <c r="F892" s="27"/>
      <c r="G892" s="27"/>
      <c r="H892" s="27"/>
      <c r="I892" s="27"/>
      <c r="J892" s="27"/>
      <c r="N892" s="27"/>
    </row>
    <row r="893">
      <c r="F893" s="27"/>
      <c r="G893" s="27"/>
      <c r="H893" s="27"/>
      <c r="I893" s="27"/>
      <c r="J893" s="27"/>
      <c r="N893" s="27"/>
    </row>
    <row r="894">
      <c r="F894" s="27"/>
      <c r="G894" s="27"/>
      <c r="H894" s="27"/>
      <c r="I894" s="27"/>
      <c r="J894" s="27"/>
      <c r="N894" s="27"/>
    </row>
    <row r="895">
      <c r="F895" s="27"/>
      <c r="G895" s="27"/>
      <c r="H895" s="27"/>
      <c r="I895" s="27"/>
      <c r="J895" s="27"/>
      <c r="N895" s="27"/>
    </row>
    <row r="896">
      <c r="F896" s="27"/>
      <c r="G896" s="27"/>
      <c r="H896" s="27"/>
      <c r="I896" s="27"/>
      <c r="J896" s="27"/>
      <c r="N896" s="27"/>
    </row>
    <row r="897">
      <c r="F897" s="27"/>
      <c r="G897" s="27"/>
      <c r="H897" s="27"/>
      <c r="I897" s="27"/>
      <c r="J897" s="27"/>
      <c r="N897" s="27"/>
    </row>
    <row r="898">
      <c r="F898" s="27"/>
      <c r="G898" s="27"/>
      <c r="H898" s="27"/>
      <c r="I898" s="27"/>
      <c r="J898" s="27"/>
      <c r="N898" s="27"/>
    </row>
    <row r="899">
      <c r="F899" s="27"/>
      <c r="G899" s="27"/>
      <c r="H899" s="27"/>
      <c r="I899" s="27"/>
      <c r="J899" s="27"/>
      <c r="N899" s="27"/>
    </row>
    <row r="900">
      <c r="F900" s="27"/>
      <c r="G900" s="27"/>
      <c r="H900" s="27"/>
      <c r="I900" s="27"/>
      <c r="J900" s="27"/>
      <c r="N900" s="27"/>
    </row>
    <row r="901">
      <c r="F901" s="27"/>
      <c r="G901" s="27"/>
      <c r="H901" s="27"/>
      <c r="I901" s="27"/>
      <c r="J901" s="27"/>
      <c r="N901" s="27"/>
    </row>
    <row r="902">
      <c r="F902" s="27"/>
      <c r="G902" s="27"/>
      <c r="H902" s="27"/>
      <c r="I902" s="27"/>
      <c r="J902" s="27"/>
      <c r="N902" s="27"/>
    </row>
    <row r="903">
      <c r="F903" s="27"/>
      <c r="G903" s="27"/>
      <c r="H903" s="27"/>
      <c r="I903" s="27"/>
      <c r="J903" s="27"/>
      <c r="N903" s="27"/>
    </row>
    <row r="904">
      <c r="F904" s="27"/>
      <c r="G904" s="27"/>
      <c r="H904" s="27"/>
      <c r="I904" s="27"/>
      <c r="J904" s="27"/>
      <c r="N904" s="27"/>
    </row>
    <row r="905">
      <c r="F905" s="27"/>
      <c r="G905" s="27"/>
      <c r="H905" s="27"/>
      <c r="I905" s="27"/>
      <c r="J905" s="27"/>
      <c r="N905" s="27"/>
    </row>
    <row r="906">
      <c r="F906" s="27"/>
      <c r="G906" s="27"/>
      <c r="H906" s="27"/>
      <c r="I906" s="27"/>
      <c r="J906" s="27"/>
      <c r="N906" s="27"/>
    </row>
    <row r="907">
      <c r="F907" s="27"/>
      <c r="G907" s="27"/>
      <c r="H907" s="27"/>
      <c r="I907" s="27"/>
      <c r="J907" s="27"/>
      <c r="N907" s="27"/>
    </row>
    <row r="908">
      <c r="F908" s="27"/>
      <c r="G908" s="27"/>
      <c r="H908" s="27"/>
      <c r="I908" s="27"/>
      <c r="J908" s="27"/>
      <c r="N908" s="27"/>
    </row>
    <row r="909">
      <c r="F909" s="27"/>
      <c r="G909" s="27"/>
      <c r="H909" s="27"/>
      <c r="I909" s="27"/>
      <c r="J909" s="27"/>
      <c r="N909" s="27"/>
    </row>
    <row r="910">
      <c r="F910" s="27"/>
      <c r="G910" s="27"/>
      <c r="H910" s="27"/>
      <c r="I910" s="27"/>
      <c r="J910" s="27"/>
      <c r="N910" s="27"/>
    </row>
    <row r="911">
      <c r="F911" s="27"/>
      <c r="G911" s="27"/>
      <c r="H911" s="27"/>
      <c r="I911" s="27"/>
      <c r="J911" s="27"/>
      <c r="N911" s="27"/>
    </row>
    <row r="912">
      <c r="F912" s="27"/>
      <c r="G912" s="27"/>
      <c r="H912" s="27"/>
      <c r="I912" s="27"/>
      <c r="J912" s="27"/>
      <c r="N912" s="27"/>
    </row>
    <row r="913">
      <c r="F913" s="27"/>
      <c r="G913" s="27"/>
      <c r="H913" s="27"/>
      <c r="I913" s="27"/>
      <c r="J913" s="27"/>
      <c r="N913" s="27"/>
    </row>
    <row r="914">
      <c r="F914" s="27"/>
      <c r="G914" s="27"/>
      <c r="H914" s="27"/>
      <c r="I914" s="27"/>
      <c r="J914" s="27"/>
      <c r="N914" s="27"/>
    </row>
    <row r="915">
      <c r="F915" s="27"/>
      <c r="G915" s="27"/>
      <c r="H915" s="27"/>
      <c r="I915" s="27"/>
      <c r="J915" s="27"/>
      <c r="N915" s="27"/>
    </row>
    <row r="916">
      <c r="F916" s="27"/>
      <c r="G916" s="27"/>
      <c r="H916" s="27"/>
      <c r="I916" s="27"/>
      <c r="J916" s="27"/>
      <c r="N916" s="27"/>
    </row>
    <row r="917">
      <c r="F917" s="27"/>
      <c r="G917" s="27"/>
      <c r="H917" s="27"/>
      <c r="I917" s="27"/>
      <c r="J917" s="27"/>
      <c r="N917" s="27"/>
    </row>
    <row r="918">
      <c r="F918" s="27"/>
      <c r="G918" s="27"/>
      <c r="H918" s="27"/>
      <c r="I918" s="27"/>
      <c r="J918" s="27"/>
      <c r="N918" s="27"/>
    </row>
    <row r="919">
      <c r="F919" s="27"/>
      <c r="G919" s="27"/>
      <c r="H919" s="27"/>
      <c r="I919" s="27"/>
      <c r="J919" s="27"/>
      <c r="N919" s="27"/>
    </row>
    <row r="920">
      <c r="F920" s="27"/>
      <c r="G920" s="27"/>
      <c r="H920" s="27"/>
      <c r="I920" s="27"/>
      <c r="J920" s="27"/>
      <c r="N920" s="27"/>
    </row>
    <row r="921">
      <c r="F921" s="27"/>
      <c r="G921" s="27"/>
      <c r="H921" s="27"/>
      <c r="I921" s="27"/>
      <c r="J921" s="27"/>
      <c r="N921" s="27"/>
    </row>
    <row r="922">
      <c r="F922" s="27"/>
      <c r="G922" s="27"/>
      <c r="H922" s="27"/>
      <c r="I922" s="27"/>
      <c r="J922" s="27"/>
      <c r="N922" s="27"/>
    </row>
    <row r="923">
      <c r="F923" s="27"/>
      <c r="G923" s="27"/>
      <c r="H923" s="27"/>
      <c r="I923" s="27"/>
      <c r="J923" s="27"/>
      <c r="N923" s="27"/>
    </row>
    <row r="924">
      <c r="F924" s="27"/>
      <c r="G924" s="27"/>
      <c r="H924" s="27"/>
      <c r="I924" s="27"/>
      <c r="J924" s="27"/>
      <c r="N924" s="27"/>
    </row>
    <row r="925">
      <c r="F925" s="27"/>
      <c r="G925" s="27"/>
      <c r="H925" s="27"/>
      <c r="I925" s="27"/>
      <c r="J925" s="27"/>
      <c r="N925" s="27"/>
    </row>
    <row r="926">
      <c r="F926" s="27"/>
      <c r="G926" s="27"/>
      <c r="H926" s="27"/>
      <c r="I926" s="27"/>
      <c r="J926" s="27"/>
      <c r="N926" s="27"/>
    </row>
    <row r="927">
      <c r="F927" s="27"/>
      <c r="G927" s="27"/>
      <c r="H927" s="27"/>
      <c r="I927" s="27"/>
      <c r="J927" s="27"/>
      <c r="N927" s="27"/>
    </row>
    <row r="928">
      <c r="F928" s="27"/>
      <c r="G928" s="27"/>
      <c r="H928" s="27"/>
      <c r="I928" s="27"/>
      <c r="J928" s="27"/>
      <c r="N928" s="27"/>
    </row>
    <row r="929">
      <c r="F929" s="27"/>
      <c r="G929" s="27"/>
      <c r="H929" s="27"/>
      <c r="I929" s="27"/>
      <c r="J929" s="27"/>
      <c r="N929" s="27"/>
    </row>
    <row r="930">
      <c r="F930" s="27"/>
      <c r="G930" s="27"/>
      <c r="H930" s="27"/>
      <c r="I930" s="27"/>
      <c r="J930" s="27"/>
      <c r="N930" s="27"/>
    </row>
    <row r="931">
      <c r="F931" s="27"/>
      <c r="G931" s="27"/>
      <c r="H931" s="27"/>
      <c r="I931" s="27"/>
      <c r="J931" s="27"/>
      <c r="N931" s="27"/>
    </row>
    <row r="932">
      <c r="F932" s="27"/>
      <c r="G932" s="27"/>
      <c r="H932" s="27"/>
      <c r="I932" s="27"/>
      <c r="J932" s="27"/>
      <c r="N932" s="27"/>
    </row>
    <row r="933">
      <c r="F933" s="27"/>
      <c r="G933" s="27"/>
      <c r="H933" s="27"/>
      <c r="I933" s="27"/>
      <c r="J933" s="27"/>
      <c r="N933" s="27"/>
    </row>
    <row r="934">
      <c r="F934" s="27"/>
      <c r="G934" s="27"/>
      <c r="H934" s="27"/>
      <c r="I934" s="27"/>
      <c r="J934" s="27"/>
      <c r="N934" s="27"/>
    </row>
    <row r="935">
      <c r="F935" s="27"/>
      <c r="G935" s="27"/>
      <c r="H935" s="27"/>
      <c r="I935" s="27"/>
      <c r="J935" s="27"/>
      <c r="N935" s="27"/>
    </row>
    <row r="936">
      <c r="F936" s="27"/>
      <c r="G936" s="27"/>
      <c r="H936" s="27"/>
      <c r="I936" s="27"/>
      <c r="J936" s="27"/>
      <c r="N936" s="27"/>
    </row>
    <row r="937">
      <c r="F937" s="27"/>
      <c r="G937" s="27"/>
      <c r="H937" s="27"/>
      <c r="I937" s="27"/>
      <c r="J937" s="27"/>
      <c r="N937" s="27"/>
    </row>
    <row r="938">
      <c r="F938" s="27"/>
      <c r="G938" s="27"/>
      <c r="H938" s="27"/>
      <c r="I938" s="27"/>
      <c r="J938" s="27"/>
      <c r="N938" s="27"/>
    </row>
    <row r="939">
      <c r="F939" s="27"/>
      <c r="G939" s="27"/>
      <c r="H939" s="27"/>
      <c r="I939" s="27"/>
      <c r="J939" s="27"/>
      <c r="N939" s="27"/>
    </row>
    <row r="940">
      <c r="F940" s="27"/>
      <c r="G940" s="27"/>
      <c r="H940" s="27"/>
      <c r="I940" s="27"/>
      <c r="J940" s="27"/>
      <c r="N940" s="27"/>
    </row>
    <row r="941">
      <c r="F941" s="27"/>
      <c r="G941" s="27"/>
      <c r="H941" s="27"/>
      <c r="I941" s="27"/>
      <c r="J941" s="27"/>
      <c r="N941" s="27"/>
    </row>
    <row r="942">
      <c r="F942" s="27"/>
      <c r="G942" s="27"/>
      <c r="H942" s="27"/>
      <c r="I942" s="27"/>
      <c r="J942" s="27"/>
      <c r="N942" s="27"/>
    </row>
    <row r="943">
      <c r="F943" s="27"/>
      <c r="G943" s="27"/>
      <c r="H943" s="27"/>
      <c r="I943" s="27"/>
      <c r="J943" s="27"/>
      <c r="N943" s="27"/>
    </row>
    <row r="944">
      <c r="F944" s="27"/>
      <c r="G944" s="27"/>
      <c r="H944" s="27"/>
      <c r="I944" s="27"/>
      <c r="J944" s="27"/>
      <c r="N944" s="27"/>
    </row>
    <row r="945">
      <c r="F945" s="27"/>
      <c r="G945" s="27"/>
      <c r="H945" s="27"/>
      <c r="I945" s="27"/>
      <c r="J945" s="27"/>
      <c r="N945" s="27"/>
    </row>
    <row r="946">
      <c r="F946" s="27"/>
      <c r="G946" s="27"/>
      <c r="H946" s="27"/>
      <c r="I946" s="27"/>
      <c r="J946" s="27"/>
      <c r="N946" s="27"/>
    </row>
    <row r="947">
      <c r="F947" s="27"/>
      <c r="G947" s="27"/>
      <c r="H947" s="27"/>
      <c r="I947" s="27"/>
      <c r="J947" s="27"/>
      <c r="N947" s="27"/>
    </row>
    <row r="948">
      <c r="F948" s="27"/>
      <c r="G948" s="27"/>
      <c r="H948" s="27"/>
      <c r="I948" s="27"/>
      <c r="J948" s="27"/>
      <c r="N948" s="27"/>
    </row>
    <row r="949">
      <c r="F949" s="27"/>
      <c r="G949" s="27"/>
      <c r="H949" s="27"/>
      <c r="I949" s="27"/>
      <c r="J949" s="27"/>
      <c r="N949" s="27"/>
    </row>
    <row r="950">
      <c r="F950" s="27"/>
      <c r="G950" s="27"/>
      <c r="H950" s="27"/>
      <c r="I950" s="27"/>
      <c r="J950" s="27"/>
      <c r="N950" s="27"/>
    </row>
    <row r="951">
      <c r="F951" s="27"/>
      <c r="G951" s="27"/>
      <c r="H951" s="27"/>
      <c r="I951" s="27"/>
      <c r="J951" s="27"/>
      <c r="N951" s="27"/>
    </row>
    <row r="952">
      <c r="F952" s="27"/>
      <c r="G952" s="27"/>
      <c r="H952" s="27"/>
      <c r="I952" s="27"/>
      <c r="J952" s="27"/>
      <c r="N952" s="27"/>
    </row>
    <row r="953">
      <c r="F953" s="27"/>
      <c r="G953" s="27"/>
      <c r="H953" s="27"/>
      <c r="I953" s="27"/>
      <c r="J953" s="27"/>
      <c r="N953" s="27"/>
    </row>
    <row r="954">
      <c r="F954" s="27"/>
      <c r="G954" s="27"/>
      <c r="H954" s="27"/>
      <c r="I954" s="27"/>
      <c r="J954" s="27"/>
      <c r="N954" s="27"/>
    </row>
    <row r="955">
      <c r="F955" s="27"/>
      <c r="G955" s="27"/>
      <c r="H955" s="27"/>
      <c r="I955" s="27"/>
      <c r="J955" s="27"/>
      <c r="N955" s="27"/>
    </row>
    <row r="956">
      <c r="F956" s="27"/>
      <c r="G956" s="27"/>
      <c r="H956" s="27"/>
      <c r="I956" s="27"/>
      <c r="J956" s="27"/>
      <c r="N956" s="27"/>
    </row>
    <row r="957">
      <c r="F957" s="27"/>
      <c r="G957" s="27"/>
      <c r="H957" s="27"/>
      <c r="I957" s="27"/>
      <c r="J957" s="27"/>
      <c r="N957" s="27"/>
    </row>
    <row r="958">
      <c r="F958" s="27"/>
      <c r="G958" s="27"/>
      <c r="H958" s="27"/>
      <c r="I958" s="27"/>
      <c r="J958" s="27"/>
      <c r="N958" s="27"/>
    </row>
    <row r="959">
      <c r="F959" s="27"/>
      <c r="G959" s="27"/>
      <c r="H959" s="27"/>
      <c r="I959" s="27"/>
      <c r="J959" s="27"/>
      <c r="N959" s="27"/>
    </row>
    <row r="960">
      <c r="F960" s="27"/>
      <c r="G960" s="27"/>
      <c r="H960" s="27"/>
      <c r="I960" s="27"/>
      <c r="J960" s="27"/>
      <c r="N960" s="27"/>
    </row>
    <row r="961">
      <c r="F961" s="27"/>
      <c r="G961" s="27"/>
      <c r="H961" s="27"/>
      <c r="I961" s="27"/>
      <c r="J961" s="27"/>
      <c r="N961" s="27"/>
    </row>
    <row r="962">
      <c r="F962" s="27"/>
      <c r="G962" s="27"/>
      <c r="H962" s="27"/>
      <c r="I962" s="27"/>
      <c r="J962" s="27"/>
      <c r="N962" s="27"/>
    </row>
    <row r="963">
      <c r="F963" s="27"/>
      <c r="G963" s="27"/>
      <c r="H963" s="27"/>
      <c r="I963" s="27"/>
      <c r="J963" s="27"/>
      <c r="N963" s="27"/>
    </row>
    <row r="964">
      <c r="F964" s="27"/>
      <c r="G964" s="27"/>
      <c r="H964" s="27"/>
      <c r="I964" s="27"/>
      <c r="J964" s="27"/>
      <c r="N964" s="27"/>
    </row>
    <row r="965">
      <c r="F965" s="27"/>
      <c r="G965" s="27"/>
      <c r="H965" s="27"/>
      <c r="I965" s="27"/>
      <c r="J965" s="27"/>
      <c r="N965" s="27"/>
    </row>
    <row r="966">
      <c r="F966" s="27"/>
      <c r="G966" s="27"/>
      <c r="H966" s="27"/>
      <c r="I966" s="27"/>
      <c r="J966" s="27"/>
      <c r="N966" s="27"/>
    </row>
    <row r="967">
      <c r="F967" s="27"/>
      <c r="G967" s="27"/>
      <c r="H967" s="27"/>
      <c r="I967" s="27"/>
      <c r="J967" s="27"/>
      <c r="N967" s="27"/>
    </row>
    <row r="968">
      <c r="F968" s="27"/>
      <c r="G968" s="27"/>
      <c r="H968" s="27"/>
      <c r="I968" s="27"/>
      <c r="J968" s="27"/>
      <c r="N968" s="27"/>
    </row>
    <row r="969">
      <c r="F969" s="27"/>
      <c r="G969" s="27"/>
      <c r="H969" s="27"/>
      <c r="I969" s="27"/>
      <c r="J969" s="27"/>
      <c r="N969" s="27"/>
    </row>
    <row r="970">
      <c r="F970" s="27"/>
      <c r="G970" s="27"/>
      <c r="H970" s="27"/>
      <c r="I970" s="27"/>
      <c r="J970" s="27"/>
      <c r="N970" s="27"/>
    </row>
    <row r="971">
      <c r="F971" s="27"/>
      <c r="G971" s="27"/>
      <c r="H971" s="27"/>
      <c r="I971" s="27"/>
      <c r="J971" s="27"/>
      <c r="N971" s="27"/>
    </row>
    <row r="972">
      <c r="F972" s="27"/>
      <c r="G972" s="27"/>
      <c r="H972" s="27"/>
      <c r="I972" s="27"/>
      <c r="J972" s="27"/>
      <c r="N972" s="27"/>
    </row>
    <row r="973">
      <c r="F973" s="27"/>
      <c r="G973" s="27"/>
      <c r="H973" s="27"/>
      <c r="I973" s="27"/>
      <c r="J973" s="27"/>
      <c r="N973" s="27"/>
    </row>
    <row r="974">
      <c r="F974" s="27"/>
      <c r="G974" s="27"/>
      <c r="H974" s="27"/>
      <c r="I974" s="27"/>
      <c r="J974" s="27"/>
      <c r="N974" s="27"/>
    </row>
    <row r="975">
      <c r="F975" s="27"/>
      <c r="G975" s="27"/>
      <c r="H975" s="27"/>
      <c r="I975" s="27"/>
      <c r="J975" s="27"/>
      <c r="N975" s="27"/>
    </row>
    <row r="976">
      <c r="F976" s="27"/>
      <c r="G976" s="27"/>
      <c r="H976" s="27"/>
      <c r="I976" s="27"/>
      <c r="J976" s="27"/>
      <c r="N976" s="27"/>
    </row>
    <row r="977">
      <c r="F977" s="27"/>
      <c r="G977" s="27"/>
      <c r="H977" s="27"/>
      <c r="I977" s="27"/>
      <c r="J977" s="27"/>
      <c r="N977" s="27"/>
    </row>
    <row r="978">
      <c r="F978" s="27"/>
      <c r="G978" s="27"/>
      <c r="H978" s="27"/>
      <c r="I978" s="27"/>
      <c r="J978" s="27"/>
      <c r="N978" s="27"/>
    </row>
    <row r="979">
      <c r="F979" s="27"/>
      <c r="G979" s="27"/>
      <c r="H979" s="27"/>
      <c r="I979" s="27"/>
      <c r="J979" s="27"/>
      <c r="N979" s="27"/>
    </row>
    <row r="980">
      <c r="F980" s="27"/>
      <c r="G980" s="27"/>
      <c r="H980" s="27"/>
      <c r="I980" s="27"/>
      <c r="J980" s="27"/>
      <c r="N980" s="27"/>
    </row>
    <row r="981">
      <c r="F981" s="27"/>
      <c r="G981" s="27"/>
      <c r="H981" s="27"/>
      <c r="I981" s="27"/>
      <c r="J981" s="27"/>
      <c r="N981" s="27"/>
    </row>
    <row r="982">
      <c r="F982" s="27"/>
      <c r="G982" s="27"/>
      <c r="H982" s="27"/>
      <c r="I982" s="27"/>
      <c r="J982" s="27"/>
      <c r="N982" s="27"/>
    </row>
    <row r="983">
      <c r="F983" s="27"/>
      <c r="G983" s="27"/>
      <c r="H983" s="27"/>
      <c r="I983" s="27"/>
      <c r="J983" s="27"/>
      <c r="N983" s="27"/>
    </row>
    <row r="984">
      <c r="F984" s="27"/>
      <c r="G984" s="27"/>
      <c r="H984" s="27"/>
      <c r="I984" s="27"/>
      <c r="J984" s="27"/>
      <c r="N984" s="27"/>
    </row>
    <row r="985">
      <c r="F985" s="27"/>
      <c r="G985" s="27"/>
      <c r="H985" s="27"/>
      <c r="I985" s="27"/>
      <c r="J985" s="27"/>
      <c r="N985" s="27"/>
    </row>
    <row r="986">
      <c r="F986" s="27"/>
      <c r="G986" s="27"/>
      <c r="H986" s="27"/>
      <c r="I986" s="27"/>
      <c r="J986" s="27"/>
      <c r="N986" s="27"/>
    </row>
    <row r="987">
      <c r="F987" s="27"/>
      <c r="G987" s="27"/>
      <c r="H987" s="27"/>
      <c r="I987" s="27"/>
      <c r="J987" s="27"/>
      <c r="N987" s="27"/>
    </row>
    <row r="988">
      <c r="F988" s="27"/>
      <c r="G988" s="27"/>
      <c r="H988" s="27"/>
      <c r="I988" s="27"/>
      <c r="J988" s="27"/>
      <c r="N988" s="27"/>
    </row>
    <row r="989">
      <c r="F989" s="27"/>
      <c r="G989" s="27"/>
      <c r="H989" s="27"/>
      <c r="I989" s="27"/>
      <c r="J989" s="27"/>
      <c r="N989" s="27"/>
    </row>
    <row r="990">
      <c r="F990" s="27"/>
      <c r="G990" s="27"/>
      <c r="H990" s="27"/>
      <c r="I990" s="27"/>
      <c r="J990" s="27"/>
      <c r="N990" s="27"/>
    </row>
    <row r="991">
      <c r="F991" s="27"/>
      <c r="G991" s="27"/>
      <c r="H991" s="27"/>
      <c r="I991" s="27"/>
      <c r="J991" s="27"/>
      <c r="N991" s="27"/>
    </row>
    <row r="992">
      <c r="F992" s="27"/>
      <c r="G992" s="27"/>
      <c r="H992" s="27"/>
      <c r="I992" s="27"/>
      <c r="J992" s="27"/>
      <c r="N992" s="27"/>
    </row>
    <row r="993">
      <c r="F993" s="27"/>
      <c r="G993" s="27"/>
      <c r="H993" s="27"/>
      <c r="I993" s="27"/>
      <c r="J993" s="27"/>
      <c r="N993" s="27"/>
    </row>
    <row r="994">
      <c r="F994" s="27"/>
      <c r="G994" s="27"/>
      <c r="H994" s="27"/>
      <c r="I994" s="27"/>
      <c r="J994" s="27"/>
      <c r="N994" s="27"/>
    </row>
    <row r="995">
      <c r="F995" s="27"/>
      <c r="G995" s="27"/>
      <c r="H995" s="27"/>
      <c r="I995" s="27"/>
      <c r="J995" s="27"/>
      <c r="N995" s="27"/>
    </row>
    <row r="996">
      <c r="F996" s="27"/>
      <c r="G996" s="27"/>
      <c r="H996" s="27"/>
      <c r="I996" s="27"/>
      <c r="J996" s="27"/>
      <c r="N996" s="27"/>
    </row>
    <row r="997">
      <c r="F997" s="27"/>
      <c r="G997" s="27"/>
      <c r="H997" s="27"/>
      <c r="I997" s="27"/>
      <c r="J997" s="27"/>
      <c r="N997" s="27"/>
    </row>
    <row r="998">
      <c r="F998" s="27"/>
      <c r="G998" s="27"/>
      <c r="H998" s="27"/>
      <c r="I998" s="27"/>
      <c r="J998" s="27"/>
      <c r="N998" s="27"/>
    </row>
    <row r="999">
      <c r="F999" s="27"/>
      <c r="G999" s="27"/>
      <c r="H999" s="27"/>
      <c r="I999" s="27"/>
      <c r="J999" s="27"/>
      <c r="N999" s="27"/>
    </row>
    <row r="1000">
      <c r="F1000" s="27"/>
      <c r="G1000" s="27"/>
      <c r="H1000" s="27"/>
      <c r="I1000" s="27"/>
      <c r="J1000" s="27"/>
      <c r="N1000" s="27"/>
    </row>
    <row r="1001">
      <c r="F1001" s="27"/>
      <c r="G1001" s="27"/>
      <c r="H1001" s="27"/>
      <c r="I1001" s="27"/>
      <c r="J1001" s="27"/>
      <c r="N1001" s="27"/>
    </row>
    <row r="1002">
      <c r="F1002" s="27"/>
      <c r="G1002" s="27"/>
      <c r="H1002" s="27"/>
      <c r="I1002" s="27"/>
      <c r="J1002" s="27"/>
      <c r="N1002" s="27"/>
    </row>
    <row r="1003">
      <c r="F1003" s="27"/>
      <c r="G1003" s="27"/>
      <c r="H1003" s="27"/>
      <c r="I1003" s="27"/>
      <c r="J1003" s="27"/>
      <c r="N1003" s="27"/>
    </row>
  </sheetData>
  <hyperlinks>
    <hyperlink r:id="rId2" ref="G33"/>
    <hyperlink r:id="rId3" ref="G34"/>
    <hyperlink r:id="rId4" ref="H34"/>
    <hyperlink r:id="rId5" ref="G37"/>
    <hyperlink r:id="rId6" ref="H37"/>
    <hyperlink r:id="rId7" ref="G38"/>
    <hyperlink r:id="rId8" ref="H38"/>
    <hyperlink r:id="rId9" ref="G39"/>
    <hyperlink r:id="rId10" ref="G41"/>
    <hyperlink r:id="rId11" ref="G42"/>
    <hyperlink r:id="rId12" ref="G43"/>
    <hyperlink r:id="rId13" ref="H43"/>
    <hyperlink r:id="rId14" ref="G48"/>
    <hyperlink r:id="rId15" ref="G53"/>
  </hyperlinks>
  <drawing r:id="rId16"/>
  <legacy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25.0"/>
  </cols>
  <sheetData>
    <row r="1">
      <c r="K1" s="18" t="s">
        <v>116</v>
      </c>
    </row>
    <row r="2">
      <c r="B2" s="50" t="s">
        <v>117</v>
      </c>
      <c r="C2" s="51"/>
      <c r="D2" s="52" t="s">
        <v>118</v>
      </c>
      <c r="J2" s="18" t="s">
        <v>119</v>
      </c>
      <c r="K2" s="18">
        <v>8500.0</v>
      </c>
    </row>
    <row r="3">
      <c r="J3" s="18" t="s">
        <v>120</v>
      </c>
      <c r="K3" s="18">
        <v>4300.0</v>
      </c>
    </row>
    <row r="6">
      <c r="B6" s="53" t="s">
        <v>121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</row>
    <row r="9">
      <c r="B9" s="55" t="s">
        <v>122</v>
      </c>
      <c r="C9" s="56"/>
      <c r="D9" s="57" t="s">
        <v>123</v>
      </c>
      <c r="E9" s="57" t="s">
        <v>124</v>
      </c>
      <c r="F9" s="57" t="s">
        <v>125</v>
      </c>
      <c r="G9" s="57" t="s">
        <v>126</v>
      </c>
      <c r="H9" s="57" t="s">
        <v>127</v>
      </c>
      <c r="I9" s="57" t="s">
        <v>128</v>
      </c>
      <c r="J9" s="57" t="s">
        <v>129</v>
      </c>
      <c r="K9" s="57" t="s">
        <v>130</v>
      </c>
      <c r="L9" s="57" t="s">
        <v>131</v>
      </c>
      <c r="M9" s="57" t="s">
        <v>132</v>
      </c>
      <c r="N9" s="57" t="s">
        <v>133</v>
      </c>
      <c r="O9" s="57" t="s">
        <v>134</v>
      </c>
      <c r="P9" s="58" t="s">
        <v>135</v>
      </c>
    </row>
    <row r="10">
      <c r="B10" s="59" t="s">
        <v>129</v>
      </c>
      <c r="C10" s="60"/>
      <c r="D10" s="61">
        <v>6625.0</v>
      </c>
      <c r="E10" s="61">
        <v>6625.0</v>
      </c>
      <c r="F10" s="61">
        <v>6625.0</v>
      </c>
      <c r="G10" s="61">
        <v>6625.0</v>
      </c>
      <c r="H10" s="61">
        <v>6625.0</v>
      </c>
      <c r="I10" s="61">
        <v>6625.0</v>
      </c>
      <c r="J10" s="61">
        <v>6625.0</v>
      </c>
      <c r="K10" s="61">
        <v>6625.0</v>
      </c>
      <c r="L10" s="61">
        <v>6625.0</v>
      </c>
      <c r="M10" s="61">
        <v>6625.0</v>
      </c>
      <c r="N10" s="61">
        <v>6625.0</v>
      </c>
      <c r="O10" s="61">
        <v>6625.0</v>
      </c>
      <c r="P10" s="62">
        <f t="shared" ref="P10:P14" si="1">SUM(C10:O10)</f>
        <v>79500</v>
      </c>
    </row>
    <row r="11">
      <c r="B11" s="59" t="s">
        <v>136</v>
      </c>
      <c r="C11" s="60"/>
      <c r="D11" s="62">
        <v>3781.96</v>
      </c>
      <c r="E11" s="62">
        <v>3781.96</v>
      </c>
      <c r="F11" s="62">
        <v>3781.96</v>
      </c>
      <c r="G11" s="62">
        <v>3781.96</v>
      </c>
      <c r="H11" s="62">
        <v>3781.96</v>
      </c>
      <c r="I11" s="62">
        <v>3781.96</v>
      </c>
      <c r="J11" s="62">
        <v>3781.96</v>
      </c>
      <c r="K11" s="62">
        <v>3781.96</v>
      </c>
      <c r="L11" s="62">
        <v>3781.96</v>
      </c>
      <c r="M11" s="62">
        <v>3781.96</v>
      </c>
      <c r="N11" s="62">
        <v>3781.96</v>
      </c>
      <c r="O11" s="62">
        <v>3781.96</v>
      </c>
      <c r="P11" s="62">
        <f t="shared" si="1"/>
        <v>45383.52</v>
      </c>
    </row>
    <row r="12">
      <c r="B12" s="59" t="s">
        <v>137</v>
      </c>
      <c r="C12" s="60"/>
      <c r="D12" s="63"/>
      <c r="E12" s="62">
        <v>500.0</v>
      </c>
      <c r="F12" s="63"/>
      <c r="G12" s="63"/>
      <c r="H12" s="62">
        <v>500.0</v>
      </c>
      <c r="I12" s="62"/>
      <c r="J12" s="63"/>
      <c r="K12" s="62">
        <v>500.0</v>
      </c>
      <c r="L12" s="63"/>
      <c r="M12" s="63"/>
      <c r="N12" s="62">
        <v>500.0</v>
      </c>
      <c r="O12" s="62"/>
      <c r="P12" s="62">
        <f t="shared" si="1"/>
        <v>2000</v>
      </c>
    </row>
    <row r="13">
      <c r="B13" s="59" t="s">
        <v>138</v>
      </c>
      <c r="C13" s="60"/>
      <c r="D13" s="64"/>
      <c r="E13" s="65">
        <v>4300.0</v>
      </c>
      <c r="F13" s="62">
        <v>5000.0</v>
      </c>
      <c r="G13" s="63"/>
      <c r="H13" s="63"/>
      <c r="I13" s="66"/>
      <c r="J13" s="65">
        <f>(K2*1.0675)+(K3*1.0675)</f>
        <v>13664</v>
      </c>
      <c r="K13" s="66"/>
      <c r="L13" s="66"/>
      <c r="M13" s="66"/>
      <c r="N13" s="66"/>
      <c r="O13" s="65">
        <f>(K2*1.0675)+(K3*1.0675)</f>
        <v>13664</v>
      </c>
      <c r="P13" s="62">
        <f t="shared" si="1"/>
        <v>36628</v>
      </c>
    </row>
    <row r="14">
      <c r="B14" s="67" t="s">
        <v>139</v>
      </c>
      <c r="C14" s="68"/>
      <c r="D14" s="69">
        <f t="shared" ref="D14:O14" si="2">SUM(D10:D13)</f>
        <v>10406.96</v>
      </c>
      <c r="E14" s="69">
        <f t="shared" si="2"/>
        <v>15206.96</v>
      </c>
      <c r="F14" s="69">
        <f t="shared" si="2"/>
        <v>15406.96</v>
      </c>
      <c r="G14" s="69">
        <f t="shared" si="2"/>
        <v>10406.96</v>
      </c>
      <c r="H14" s="69">
        <f t="shared" si="2"/>
        <v>10906.96</v>
      </c>
      <c r="I14" s="69">
        <f t="shared" si="2"/>
        <v>10406.96</v>
      </c>
      <c r="J14" s="69">
        <f t="shared" si="2"/>
        <v>24070.96</v>
      </c>
      <c r="K14" s="69">
        <f t="shared" si="2"/>
        <v>10906.96</v>
      </c>
      <c r="L14" s="69">
        <f t="shared" si="2"/>
        <v>10406.96</v>
      </c>
      <c r="M14" s="69">
        <f t="shared" si="2"/>
        <v>10406.96</v>
      </c>
      <c r="N14" s="69">
        <f t="shared" si="2"/>
        <v>10906.96</v>
      </c>
      <c r="O14" s="69">
        <f t="shared" si="2"/>
        <v>24070.96</v>
      </c>
      <c r="P14" s="62">
        <f t="shared" si="1"/>
        <v>163511.52</v>
      </c>
    </row>
    <row r="16">
      <c r="B16" s="70" t="s">
        <v>140</v>
      </c>
      <c r="C16" s="71"/>
      <c r="D16" s="58" t="s">
        <v>123</v>
      </c>
      <c r="E16" s="58" t="s">
        <v>124</v>
      </c>
      <c r="F16" s="58" t="s">
        <v>125</v>
      </c>
      <c r="G16" s="58" t="s">
        <v>126</v>
      </c>
      <c r="H16" s="58" t="s">
        <v>127</v>
      </c>
      <c r="I16" s="58" t="s">
        <v>128</v>
      </c>
      <c r="J16" s="58" t="s">
        <v>129</v>
      </c>
      <c r="K16" s="58" t="s">
        <v>130</v>
      </c>
      <c r="L16" s="58" t="s">
        <v>131</v>
      </c>
      <c r="M16" s="58" t="s">
        <v>132</v>
      </c>
      <c r="N16" s="58" t="s">
        <v>133</v>
      </c>
      <c r="O16" s="58" t="s">
        <v>134</v>
      </c>
      <c r="P16" s="58" t="s">
        <v>135</v>
      </c>
    </row>
    <row r="17">
      <c r="B17" s="72" t="s">
        <v>141</v>
      </c>
      <c r="C17" s="73"/>
      <c r="D17" s="74"/>
      <c r="E17" s="75">
        <v>300.0</v>
      </c>
      <c r="F17" s="75">
        <v>300.0</v>
      </c>
      <c r="G17" s="75">
        <v>300.0</v>
      </c>
      <c r="H17" s="75">
        <v>300.0</v>
      </c>
      <c r="I17" s="75">
        <v>300.0</v>
      </c>
      <c r="J17" s="75">
        <v>300.0</v>
      </c>
      <c r="K17" s="75">
        <v>300.0</v>
      </c>
      <c r="L17" s="75">
        <v>300.0</v>
      </c>
      <c r="M17" s="75">
        <v>300.0</v>
      </c>
      <c r="N17" s="75">
        <v>300.0</v>
      </c>
      <c r="O17" s="75">
        <v>300.0</v>
      </c>
      <c r="P17" s="76">
        <f t="shared" ref="P17:P36" si="3">SUM(D17:O17)</f>
        <v>3300</v>
      </c>
    </row>
    <row r="18">
      <c r="B18" s="72" t="s">
        <v>142</v>
      </c>
      <c r="C18" s="73"/>
      <c r="D18" s="74"/>
      <c r="E18" s="75">
        <v>200.0</v>
      </c>
      <c r="F18" s="75">
        <v>200.0</v>
      </c>
      <c r="G18" s="75">
        <v>200.0</v>
      </c>
      <c r="H18" s="75">
        <v>200.0</v>
      </c>
      <c r="I18" s="75">
        <v>200.0</v>
      </c>
      <c r="J18" s="75">
        <v>200.0</v>
      </c>
      <c r="K18" s="75">
        <v>200.0</v>
      </c>
      <c r="L18" s="75">
        <v>200.0</v>
      </c>
      <c r="M18" s="75">
        <v>200.0</v>
      </c>
      <c r="N18" s="75">
        <v>200.0</v>
      </c>
      <c r="O18" s="75">
        <v>200.0</v>
      </c>
      <c r="P18" s="76">
        <f t="shared" si="3"/>
        <v>2200</v>
      </c>
    </row>
    <row r="19">
      <c r="B19" s="72" t="s">
        <v>143</v>
      </c>
      <c r="C19" s="73"/>
      <c r="D19" s="75">
        <v>157.0</v>
      </c>
      <c r="E19" s="75">
        <v>157.0</v>
      </c>
      <c r="F19" s="75">
        <v>157.0</v>
      </c>
      <c r="G19" s="75">
        <v>157.0</v>
      </c>
      <c r="H19" s="75">
        <v>157.0</v>
      </c>
      <c r="I19" s="75">
        <v>157.0</v>
      </c>
      <c r="J19" s="75">
        <v>157.0</v>
      </c>
      <c r="K19" s="75">
        <v>157.0</v>
      </c>
      <c r="L19" s="75">
        <v>157.0</v>
      </c>
      <c r="M19" s="75">
        <v>157.0</v>
      </c>
      <c r="N19" s="75">
        <v>157.0</v>
      </c>
      <c r="O19" s="75">
        <v>157.0</v>
      </c>
      <c r="P19" s="76">
        <f t="shared" si="3"/>
        <v>1884</v>
      </c>
    </row>
    <row r="20">
      <c r="B20" s="72" t="s">
        <v>144</v>
      </c>
      <c r="C20" s="73"/>
      <c r="D20" s="75">
        <v>100.0</v>
      </c>
      <c r="E20" s="75">
        <v>100.0</v>
      </c>
      <c r="F20" s="75">
        <v>100.0</v>
      </c>
      <c r="G20" s="75">
        <v>100.0</v>
      </c>
      <c r="H20" s="75">
        <v>100.0</v>
      </c>
      <c r="I20" s="75">
        <v>100.0</v>
      </c>
      <c r="J20" s="75">
        <v>100.0</v>
      </c>
      <c r="K20" s="75">
        <v>100.0</v>
      </c>
      <c r="L20" s="75">
        <v>100.0</v>
      </c>
      <c r="M20" s="75">
        <v>100.0</v>
      </c>
      <c r="N20" s="75">
        <v>100.0</v>
      </c>
      <c r="O20" s="75">
        <v>100.0</v>
      </c>
      <c r="P20" s="76">
        <f t="shared" si="3"/>
        <v>1200</v>
      </c>
    </row>
    <row r="21">
      <c r="B21" s="72" t="s">
        <v>145</v>
      </c>
      <c r="C21" s="73"/>
      <c r="D21" s="74"/>
      <c r="E21" s="75">
        <v>2800.0</v>
      </c>
      <c r="F21" s="75">
        <v>2800.0</v>
      </c>
      <c r="G21" s="75">
        <v>2800.0</v>
      </c>
      <c r="H21" s="75">
        <v>2800.0</v>
      </c>
      <c r="I21" s="75">
        <v>2800.0</v>
      </c>
      <c r="J21" s="75">
        <v>2800.0</v>
      </c>
      <c r="K21" s="75">
        <v>2800.0</v>
      </c>
      <c r="L21" s="75">
        <v>2800.0</v>
      </c>
      <c r="M21" s="75">
        <v>2800.0</v>
      </c>
      <c r="N21" s="75">
        <v>2800.0</v>
      </c>
      <c r="O21" s="75">
        <v>2800.0</v>
      </c>
      <c r="P21" s="76">
        <f t="shared" si="3"/>
        <v>30800</v>
      </c>
    </row>
    <row r="22">
      <c r="B22" s="72" t="s">
        <v>146</v>
      </c>
      <c r="C22" s="77" t="s">
        <v>147</v>
      </c>
      <c r="D22" s="75">
        <v>400.0</v>
      </c>
      <c r="E22" s="75">
        <v>400.0</v>
      </c>
      <c r="F22" s="75">
        <v>400.0</v>
      </c>
      <c r="G22" s="75">
        <v>400.0</v>
      </c>
      <c r="H22" s="75">
        <v>400.0</v>
      </c>
      <c r="I22" s="75">
        <v>400.0</v>
      </c>
      <c r="J22" s="75">
        <v>400.0</v>
      </c>
      <c r="K22" s="75">
        <v>400.0</v>
      </c>
      <c r="L22" s="75">
        <v>400.0</v>
      </c>
      <c r="M22" s="75">
        <v>400.0</v>
      </c>
      <c r="N22" s="75">
        <v>400.0</v>
      </c>
      <c r="O22" s="75">
        <v>400.0</v>
      </c>
      <c r="P22" s="76">
        <f t="shared" si="3"/>
        <v>4800</v>
      </c>
    </row>
    <row r="23">
      <c r="B23" s="72" t="s">
        <v>148</v>
      </c>
      <c r="C23" s="73"/>
      <c r="D23" s="74"/>
      <c r="E23" s="75">
        <v>500.0</v>
      </c>
      <c r="F23" s="75">
        <v>500.0</v>
      </c>
      <c r="G23" s="75">
        <v>500.0</v>
      </c>
      <c r="H23" s="75">
        <v>650.0</v>
      </c>
      <c r="I23" s="75">
        <v>650.0</v>
      </c>
      <c r="J23" s="75">
        <v>500.0</v>
      </c>
      <c r="K23" s="75">
        <v>500.0</v>
      </c>
      <c r="L23" s="75">
        <v>500.0</v>
      </c>
      <c r="M23" s="75">
        <v>500.0</v>
      </c>
      <c r="N23" s="75">
        <v>500.0</v>
      </c>
      <c r="O23" s="75">
        <v>500.0</v>
      </c>
      <c r="P23" s="76">
        <f t="shared" si="3"/>
        <v>5800</v>
      </c>
    </row>
    <row r="24">
      <c r="B24" s="72" t="s">
        <v>149</v>
      </c>
      <c r="C24" s="73"/>
      <c r="D24" s="74"/>
      <c r="E24" s="75">
        <v>603.0</v>
      </c>
      <c r="F24" s="75">
        <v>603.0</v>
      </c>
      <c r="G24" s="75">
        <v>603.0</v>
      </c>
      <c r="H24" s="75">
        <v>603.0</v>
      </c>
      <c r="I24" s="75">
        <v>603.0</v>
      </c>
      <c r="J24" s="75">
        <v>603.0</v>
      </c>
      <c r="K24" s="75">
        <v>603.0</v>
      </c>
      <c r="L24" s="75">
        <v>603.0</v>
      </c>
      <c r="M24" s="75">
        <v>603.0</v>
      </c>
      <c r="N24" s="75">
        <v>603.0</v>
      </c>
      <c r="O24" s="75">
        <v>603.0</v>
      </c>
      <c r="P24" s="76">
        <f t="shared" si="3"/>
        <v>6633</v>
      </c>
    </row>
    <row r="25">
      <c r="B25" s="72" t="s">
        <v>150</v>
      </c>
      <c r="C25" s="73"/>
      <c r="D25" s="75">
        <v>300.0</v>
      </c>
      <c r="E25" s="75">
        <v>300.0</v>
      </c>
      <c r="F25" s="75">
        <v>300.0</v>
      </c>
      <c r="G25" s="75">
        <v>300.0</v>
      </c>
      <c r="H25" s="75">
        <v>300.0</v>
      </c>
      <c r="I25" s="75">
        <v>300.0</v>
      </c>
      <c r="J25" s="75">
        <v>300.0</v>
      </c>
      <c r="K25" s="75">
        <v>300.0</v>
      </c>
      <c r="L25" s="75">
        <v>300.0</v>
      </c>
      <c r="M25" s="75">
        <v>300.0</v>
      </c>
      <c r="N25" s="75">
        <v>300.0</v>
      </c>
      <c r="O25" s="75">
        <v>300.0</v>
      </c>
      <c r="P25" s="76">
        <f t="shared" si="3"/>
        <v>3600</v>
      </c>
    </row>
    <row r="26">
      <c r="B26" s="72" t="s">
        <v>151</v>
      </c>
      <c r="C26" s="73"/>
      <c r="D26" s="74"/>
      <c r="E26" s="75">
        <v>142.95</v>
      </c>
      <c r="F26" s="75">
        <v>142.95</v>
      </c>
      <c r="G26" s="75">
        <v>142.95</v>
      </c>
      <c r="H26" s="75">
        <v>142.95</v>
      </c>
      <c r="I26" s="75">
        <v>142.95</v>
      </c>
      <c r="J26" s="75">
        <v>142.95</v>
      </c>
      <c r="K26" s="75">
        <v>142.95</v>
      </c>
      <c r="L26" s="75">
        <v>142.95</v>
      </c>
      <c r="M26" s="75">
        <v>142.95</v>
      </c>
      <c r="N26" s="75">
        <v>142.95</v>
      </c>
      <c r="O26" s="75">
        <v>142.95</v>
      </c>
      <c r="P26" s="76">
        <f t="shared" si="3"/>
        <v>1572.45</v>
      </c>
    </row>
    <row r="27">
      <c r="B27" s="72" t="s">
        <v>152</v>
      </c>
      <c r="C27" s="73"/>
      <c r="D27" s="74"/>
      <c r="E27" s="74"/>
      <c r="F27" s="75">
        <v>200.0</v>
      </c>
      <c r="G27" s="74"/>
      <c r="H27" s="75">
        <v>200.0</v>
      </c>
      <c r="I27" s="74"/>
      <c r="J27" s="75">
        <v>200.0</v>
      </c>
      <c r="K27" s="74"/>
      <c r="L27" s="75">
        <v>200.0</v>
      </c>
      <c r="M27" s="74"/>
      <c r="N27" s="75">
        <v>200.0</v>
      </c>
      <c r="O27" s="74"/>
      <c r="P27" s="76">
        <f t="shared" si="3"/>
        <v>1000</v>
      </c>
    </row>
    <row r="28">
      <c r="B28" s="72" t="s">
        <v>153</v>
      </c>
      <c r="C28" s="73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6">
        <f t="shared" si="3"/>
        <v>0</v>
      </c>
    </row>
    <row r="29">
      <c r="B29" s="72" t="s">
        <v>154</v>
      </c>
      <c r="C29" s="73"/>
      <c r="D29" s="75">
        <v>104.8</v>
      </c>
      <c r="E29" s="75">
        <v>104.8</v>
      </c>
      <c r="F29" s="75">
        <v>104.8</v>
      </c>
      <c r="G29" s="75">
        <v>104.8</v>
      </c>
      <c r="H29" s="75">
        <v>104.8</v>
      </c>
      <c r="I29" s="75">
        <v>104.8</v>
      </c>
      <c r="J29" s="75">
        <v>104.8</v>
      </c>
      <c r="K29" s="75">
        <v>104.8</v>
      </c>
      <c r="L29" s="75">
        <v>104.8</v>
      </c>
      <c r="M29" s="75">
        <v>104.8</v>
      </c>
      <c r="N29" s="75">
        <v>104.8</v>
      </c>
      <c r="O29" s="75">
        <v>104.8</v>
      </c>
      <c r="P29" s="76">
        <f t="shared" si="3"/>
        <v>1257.6</v>
      </c>
    </row>
    <row r="30">
      <c r="B30" s="72" t="s">
        <v>155</v>
      </c>
      <c r="C30" s="73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6">
        <f t="shared" si="3"/>
        <v>0</v>
      </c>
    </row>
    <row r="31">
      <c r="B31" s="72" t="s">
        <v>156</v>
      </c>
      <c r="C31" s="73"/>
      <c r="D31" s="75">
        <v>200.0</v>
      </c>
      <c r="E31" s="75">
        <v>200.0</v>
      </c>
      <c r="F31" s="74"/>
      <c r="G31" s="75">
        <v>200.0</v>
      </c>
      <c r="H31" s="75">
        <v>1200.0</v>
      </c>
      <c r="I31" s="75">
        <v>1000.0</v>
      </c>
      <c r="J31" s="75">
        <v>400.0</v>
      </c>
      <c r="K31" s="75">
        <v>200.0</v>
      </c>
      <c r="L31" s="74"/>
      <c r="M31" s="75">
        <v>400.0</v>
      </c>
      <c r="N31" s="75">
        <v>200.0</v>
      </c>
      <c r="O31" s="74"/>
      <c r="P31" s="76">
        <f t="shared" si="3"/>
        <v>4000</v>
      </c>
    </row>
    <row r="32">
      <c r="B32" s="72" t="s">
        <v>157</v>
      </c>
      <c r="C32" s="73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6">
        <f t="shared" si="3"/>
        <v>0</v>
      </c>
    </row>
    <row r="33">
      <c r="B33" s="72" t="s">
        <v>158</v>
      </c>
      <c r="C33" s="73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6">
        <f t="shared" si="3"/>
        <v>0</v>
      </c>
    </row>
    <row r="34">
      <c r="B34" s="72" t="s">
        <v>159</v>
      </c>
      <c r="C34" s="73"/>
      <c r="D34" s="75">
        <v>1500.0</v>
      </c>
      <c r="E34" s="75">
        <v>800.0</v>
      </c>
      <c r="F34" s="75">
        <v>800.0</v>
      </c>
      <c r="G34" s="75">
        <v>800.0</v>
      </c>
      <c r="H34" s="75">
        <v>800.0</v>
      </c>
      <c r="I34" s="75">
        <v>800.0</v>
      </c>
      <c r="J34" s="75">
        <v>800.0</v>
      </c>
      <c r="K34" s="75">
        <v>800.0</v>
      </c>
      <c r="L34" s="75">
        <v>800.0</v>
      </c>
      <c r="M34" s="75">
        <v>800.0</v>
      </c>
      <c r="N34" s="75">
        <v>800.0</v>
      </c>
      <c r="O34" s="75">
        <v>800.0</v>
      </c>
      <c r="P34" s="76">
        <f t="shared" si="3"/>
        <v>10300</v>
      </c>
    </row>
    <row r="35">
      <c r="B35" s="72" t="s">
        <v>160</v>
      </c>
      <c r="C35" s="73"/>
      <c r="D35" s="75">
        <v>1800.0</v>
      </c>
      <c r="E35" s="75">
        <v>1800.0</v>
      </c>
      <c r="F35" s="75">
        <v>1800.0</v>
      </c>
      <c r="G35" s="75">
        <v>1800.0</v>
      </c>
      <c r="H35" s="75">
        <v>1800.0</v>
      </c>
      <c r="I35" s="75">
        <v>1800.0</v>
      </c>
      <c r="J35" s="75">
        <v>1800.0</v>
      </c>
      <c r="K35" s="75">
        <v>1800.0</v>
      </c>
      <c r="L35" s="75">
        <v>1800.0</v>
      </c>
      <c r="M35" s="75">
        <v>1800.0</v>
      </c>
      <c r="N35" s="75">
        <v>1800.0</v>
      </c>
      <c r="O35" s="75">
        <v>1800.0</v>
      </c>
      <c r="P35" s="76">
        <f t="shared" si="3"/>
        <v>21600</v>
      </c>
    </row>
    <row r="36">
      <c r="B36" s="67" t="s">
        <v>161</v>
      </c>
      <c r="C36" s="68"/>
      <c r="D36" s="78">
        <f t="shared" ref="D36:O36" si="4">SUM(D17:D35)*-1</f>
        <v>-4561.8</v>
      </c>
      <c r="E36" s="78">
        <f t="shared" si="4"/>
        <v>-8407.75</v>
      </c>
      <c r="F36" s="78">
        <f t="shared" si="4"/>
        <v>-8407.75</v>
      </c>
      <c r="G36" s="78">
        <f t="shared" si="4"/>
        <v>-8407.75</v>
      </c>
      <c r="H36" s="78">
        <f t="shared" si="4"/>
        <v>-9757.75</v>
      </c>
      <c r="I36" s="78">
        <f t="shared" si="4"/>
        <v>-9357.75</v>
      </c>
      <c r="J36" s="78">
        <f t="shared" si="4"/>
        <v>-8807.75</v>
      </c>
      <c r="K36" s="78">
        <f t="shared" si="4"/>
        <v>-8407.75</v>
      </c>
      <c r="L36" s="78">
        <f t="shared" si="4"/>
        <v>-8407.75</v>
      </c>
      <c r="M36" s="78">
        <f t="shared" si="4"/>
        <v>-8607.75</v>
      </c>
      <c r="N36" s="78">
        <f t="shared" si="4"/>
        <v>-8607.75</v>
      </c>
      <c r="O36" s="78">
        <f t="shared" si="4"/>
        <v>-8207.75</v>
      </c>
      <c r="P36" s="79">
        <f t="shared" si="3"/>
        <v>-99947.05</v>
      </c>
    </row>
    <row r="38">
      <c r="B38" s="80" t="s">
        <v>162</v>
      </c>
      <c r="C38" s="81"/>
      <c r="D38" s="82">
        <f t="shared" ref="D38:P38" si="5">D14+D36</f>
        <v>5845.16</v>
      </c>
      <c r="E38" s="82">
        <f t="shared" si="5"/>
        <v>6799.21</v>
      </c>
      <c r="F38" s="82">
        <f t="shared" si="5"/>
        <v>6999.21</v>
      </c>
      <c r="G38" s="82">
        <f t="shared" si="5"/>
        <v>1999.21</v>
      </c>
      <c r="H38" s="82">
        <f t="shared" si="5"/>
        <v>1149.21</v>
      </c>
      <c r="I38" s="82">
        <f t="shared" si="5"/>
        <v>1049.21</v>
      </c>
      <c r="J38" s="82">
        <f t="shared" si="5"/>
        <v>15263.21</v>
      </c>
      <c r="K38" s="82">
        <f t="shared" si="5"/>
        <v>2499.21</v>
      </c>
      <c r="L38" s="82">
        <f t="shared" si="5"/>
        <v>1999.21</v>
      </c>
      <c r="M38" s="82">
        <f t="shared" si="5"/>
        <v>1799.21</v>
      </c>
      <c r="N38" s="82">
        <f t="shared" si="5"/>
        <v>2299.21</v>
      </c>
      <c r="O38" s="82">
        <f t="shared" si="5"/>
        <v>15863.21</v>
      </c>
      <c r="P38" s="82">
        <f t="shared" si="5"/>
        <v>63564.47</v>
      </c>
    </row>
    <row r="39">
      <c r="B39" s="83"/>
      <c r="C39" s="83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</row>
    <row r="40">
      <c r="B40" s="85" t="s">
        <v>163</v>
      </c>
      <c r="C40" s="86"/>
      <c r="D40" s="57" t="s">
        <v>123</v>
      </c>
      <c r="E40" s="57" t="s">
        <v>124</v>
      </c>
      <c r="F40" s="57" t="s">
        <v>125</v>
      </c>
      <c r="G40" s="57" t="s">
        <v>126</v>
      </c>
      <c r="H40" s="57" t="s">
        <v>127</v>
      </c>
      <c r="I40" s="57" t="s">
        <v>128</v>
      </c>
      <c r="J40" s="57" t="s">
        <v>129</v>
      </c>
      <c r="K40" s="57" t="s">
        <v>130</v>
      </c>
      <c r="L40" s="57" t="s">
        <v>131</v>
      </c>
      <c r="M40" s="57" t="s">
        <v>132</v>
      </c>
      <c r="N40" s="57" t="s">
        <v>133</v>
      </c>
      <c r="O40" s="57" t="s">
        <v>134</v>
      </c>
      <c r="P40" s="58" t="s">
        <v>135</v>
      </c>
    </row>
    <row r="41">
      <c r="B41" s="87" t="s">
        <v>164</v>
      </c>
      <c r="C41" s="88">
        <v>4055.1</v>
      </c>
      <c r="D41" s="89">
        <v>498.84</v>
      </c>
      <c r="E41" s="89">
        <v>498.84</v>
      </c>
      <c r="F41" s="89">
        <v>498.84</v>
      </c>
      <c r="G41" s="89">
        <v>498.84</v>
      </c>
      <c r="H41" s="89">
        <v>498.84</v>
      </c>
      <c r="I41" s="89">
        <v>498.84</v>
      </c>
      <c r="J41" s="89">
        <v>498.84</v>
      </c>
      <c r="K41" s="89">
        <v>498.84</v>
      </c>
      <c r="L41" s="89">
        <v>498.84</v>
      </c>
      <c r="M41" s="90"/>
      <c r="N41" s="90"/>
      <c r="O41" s="90"/>
      <c r="P41" s="91">
        <f t="shared" ref="P41:P43" si="6">SUM(D41:O41)</f>
        <v>4489.56</v>
      </c>
    </row>
    <row r="42">
      <c r="B42" s="87" t="s">
        <v>165</v>
      </c>
      <c r="C42" s="88">
        <v>8943.65</v>
      </c>
      <c r="D42" s="91">
        <v>385.96</v>
      </c>
      <c r="E42" s="91">
        <v>385.96</v>
      </c>
      <c r="F42" s="91">
        <v>385.96</v>
      </c>
      <c r="G42" s="91">
        <v>385.96</v>
      </c>
      <c r="H42" s="91">
        <v>385.96</v>
      </c>
      <c r="I42" s="91">
        <v>385.96</v>
      </c>
      <c r="J42" s="91">
        <v>385.96</v>
      </c>
      <c r="K42" s="91">
        <v>385.96</v>
      </c>
      <c r="L42" s="91">
        <v>385.96</v>
      </c>
      <c r="M42" s="91">
        <v>385.96</v>
      </c>
      <c r="N42" s="91">
        <v>385.96</v>
      </c>
      <c r="O42" s="91">
        <v>385.96</v>
      </c>
      <c r="P42" s="91">
        <f t="shared" si="6"/>
        <v>4631.52</v>
      </c>
    </row>
    <row r="43">
      <c r="B43" s="87" t="s">
        <v>166</v>
      </c>
      <c r="C43" s="88">
        <v>8200.0</v>
      </c>
      <c r="D43" s="91">
        <v>180.0</v>
      </c>
      <c r="E43" s="91">
        <v>180.0</v>
      </c>
      <c r="F43" s="91">
        <v>180.0</v>
      </c>
      <c r="G43" s="91">
        <v>180.0</v>
      </c>
      <c r="H43" s="91">
        <v>180.0</v>
      </c>
      <c r="I43" s="91">
        <v>180.0</v>
      </c>
      <c r="J43" s="91">
        <v>180.0</v>
      </c>
      <c r="K43" s="91">
        <v>180.0</v>
      </c>
      <c r="L43" s="91">
        <v>180.0</v>
      </c>
      <c r="M43" s="91">
        <v>180.0</v>
      </c>
      <c r="N43" s="91">
        <v>180.0</v>
      </c>
      <c r="O43" s="91">
        <v>180.0</v>
      </c>
      <c r="P43" s="91">
        <f t="shared" si="6"/>
        <v>2160</v>
      </c>
    </row>
    <row r="44">
      <c r="B44" s="92"/>
      <c r="C44" s="93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</row>
    <row r="45">
      <c r="B45" s="67" t="s">
        <v>167</v>
      </c>
      <c r="C45" s="95">
        <f>SUM(C41:C43)</f>
        <v>21198.75</v>
      </c>
      <c r="D45" s="78">
        <f t="shared" ref="D45:O45" si="7">SUM(D41:D43)*-1</f>
        <v>-1064.8</v>
      </c>
      <c r="E45" s="78">
        <f t="shared" si="7"/>
        <v>-1064.8</v>
      </c>
      <c r="F45" s="78">
        <f t="shared" si="7"/>
        <v>-1064.8</v>
      </c>
      <c r="G45" s="78">
        <f t="shared" si="7"/>
        <v>-1064.8</v>
      </c>
      <c r="H45" s="78">
        <f t="shared" si="7"/>
        <v>-1064.8</v>
      </c>
      <c r="I45" s="78">
        <f t="shared" si="7"/>
        <v>-1064.8</v>
      </c>
      <c r="J45" s="78">
        <f t="shared" si="7"/>
        <v>-1064.8</v>
      </c>
      <c r="K45" s="78">
        <f t="shared" si="7"/>
        <v>-1064.8</v>
      </c>
      <c r="L45" s="78">
        <f t="shared" si="7"/>
        <v>-1064.8</v>
      </c>
      <c r="M45" s="78">
        <f t="shared" si="7"/>
        <v>-565.96</v>
      </c>
      <c r="N45" s="78">
        <f t="shared" si="7"/>
        <v>-565.96</v>
      </c>
      <c r="O45" s="78">
        <f t="shared" si="7"/>
        <v>-565.96</v>
      </c>
      <c r="P45" s="78">
        <f>SUM(P41:P44)*-1</f>
        <v>-11281.08</v>
      </c>
    </row>
    <row r="46">
      <c r="B46" s="83"/>
      <c r="C46" s="83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</row>
    <row r="47">
      <c r="B47" s="97" t="s">
        <v>168</v>
      </c>
      <c r="C47" s="98"/>
      <c r="D47" s="99">
        <f t="shared" ref="D47:P47" si="8">D38+D45</f>
        <v>4780.36</v>
      </c>
      <c r="E47" s="99">
        <f t="shared" si="8"/>
        <v>5734.41</v>
      </c>
      <c r="F47" s="99">
        <f t="shared" si="8"/>
        <v>5934.41</v>
      </c>
      <c r="G47" s="99">
        <f t="shared" si="8"/>
        <v>934.41</v>
      </c>
      <c r="H47" s="99">
        <f t="shared" si="8"/>
        <v>84.41</v>
      </c>
      <c r="I47" s="99">
        <f t="shared" si="8"/>
        <v>-15.59</v>
      </c>
      <c r="J47" s="99">
        <f t="shared" si="8"/>
        <v>14198.41</v>
      </c>
      <c r="K47" s="99">
        <f t="shared" si="8"/>
        <v>1434.41</v>
      </c>
      <c r="L47" s="99">
        <f t="shared" si="8"/>
        <v>934.41</v>
      </c>
      <c r="M47" s="99">
        <f t="shared" si="8"/>
        <v>1233.25</v>
      </c>
      <c r="N47" s="99">
        <f t="shared" si="8"/>
        <v>1733.25</v>
      </c>
      <c r="O47" s="99">
        <f t="shared" si="8"/>
        <v>15297.25</v>
      </c>
      <c r="P47" s="99">
        <f t="shared" si="8"/>
        <v>52283.39</v>
      </c>
    </row>
    <row r="48">
      <c r="B48" s="83"/>
      <c r="C48" s="83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</row>
    <row r="49">
      <c r="B49" s="100" t="s">
        <v>169</v>
      </c>
      <c r="C49" s="101"/>
      <c r="D49" s="57" t="s">
        <v>123</v>
      </c>
      <c r="E49" s="57" t="s">
        <v>124</v>
      </c>
      <c r="F49" s="57" t="s">
        <v>125</v>
      </c>
      <c r="G49" s="57" t="s">
        <v>126</v>
      </c>
      <c r="H49" s="57" t="s">
        <v>127</v>
      </c>
      <c r="I49" s="57" t="s">
        <v>128</v>
      </c>
      <c r="J49" s="57" t="s">
        <v>129</v>
      </c>
      <c r="K49" s="57" t="s">
        <v>130</v>
      </c>
      <c r="L49" s="57" t="s">
        <v>131</v>
      </c>
      <c r="M49" s="57" t="s">
        <v>132</v>
      </c>
      <c r="N49" s="57" t="s">
        <v>133</v>
      </c>
      <c r="O49" s="57" t="s">
        <v>134</v>
      </c>
      <c r="P49" s="58" t="s">
        <v>135</v>
      </c>
    </row>
    <row r="50">
      <c r="B50" s="102" t="s">
        <v>170</v>
      </c>
      <c r="C50" s="103"/>
      <c r="D50" s="104"/>
      <c r="E50" s="105">
        <f t="shared" ref="E50:P50" si="9">D52</f>
        <v>4780.36</v>
      </c>
      <c r="F50" s="105">
        <f t="shared" si="9"/>
        <v>10514.77</v>
      </c>
      <c r="G50" s="105">
        <f t="shared" si="9"/>
        <v>16449.18</v>
      </c>
      <c r="H50" s="105">
        <f t="shared" si="9"/>
        <v>17383.59</v>
      </c>
      <c r="I50" s="105">
        <f t="shared" si="9"/>
        <v>17468</v>
      </c>
      <c r="J50" s="105">
        <f t="shared" si="9"/>
        <v>17452.41</v>
      </c>
      <c r="K50" s="105">
        <f t="shared" si="9"/>
        <v>31650.82</v>
      </c>
      <c r="L50" s="105">
        <f t="shared" si="9"/>
        <v>33085.23</v>
      </c>
      <c r="M50" s="105">
        <f t="shared" si="9"/>
        <v>34019.64</v>
      </c>
      <c r="N50" s="105">
        <f t="shared" si="9"/>
        <v>35252.89</v>
      </c>
      <c r="O50" s="105">
        <f t="shared" si="9"/>
        <v>36986.14</v>
      </c>
      <c r="P50" s="105">
        <f t="shared" si="9"/>
        <v>52283.39</v>
      </c>
    </row>
    <row r="51">
      <c r="B51" s="102" t="s">
        <v>171</v>
      </c>
      <c r="C51" s="103"/>
      <c r="D51" s="106">
        <f t="shared" ref="D51:O51" si="10">+D47</f>
        <v>4780.36</v>
      </c>
      <c r="E51" s="106">
        <f t="shared" si="10"/>
        <v>5734.41</v>
      </c>
      <c r="F51" s="106">
        <f t="shared" si="10"/>
        <v>5934.41</v>
      </c>
      <c r="G51" s="106">
        <f t="shared" si="10"/>
        <v>934.41</v>
      </c>
      <c r="H51" s="106">
        <f t="shared" si="10"/>
        <v>84.41</v>
      </c>
      <c r="I51" s="106">
        <f t="shared" si="10"/>
        <v>-15.59</v>
      </c>
      <c r="J51" s="106">
        <f t="shared" si="10"/>
        <v>14198.41</v>
      </c>
      <c r="K51" s="106">
        <f t="shared" si="10"/>
        <v>1434.41</v>
      </c>
      <c r="L51" s="106">
        <f t="shared" si="10"/>
        <v>934.41</v>
      </c>
      <c r="M51" s="106">
        <f t="shared" si="10"/>
        <v>1233.25</v>
      </c>
      <c r="N51" s="106">
        <f t="shared" si="10"/>
        <v>1733.25</v>
      </c>
      <c r="O51" s="106">
        <f t="shared" si="10"/>
        <v>15297.25</v>
      </c>
      <c r="P51" s="106" t="s">
        <v>172</v>
      </c>
    </row>
    <row r="52">
      <c r="B52" s="67" t="s">
        <v>173</v>
      </c>
      <c r="C52" s="68"/>
      <c r="D52" s="95">
        <f t="shared" ref="D52:P52" si="11">SUM(D50:D51)</f>
        <v>4780.36</v>
      </c>
      <c r="E52" s="95">
        <f t="shared" si="11"/>
        <v>10514.77</v>
      </c>
      <c r="F52" s="95">
        <f t="shared" si="11"/>
        <v>16449.18</v>
      </c>
      <c r="G52" s="95">
        <f t="shared" si="11"/>
        <v>17383.59</v>
      </c>
      <c r="H52" s="95">
        <f t="shared" si="11"/>
        <v>17468</v>
      </c>
      <c r="I52" s="95">
        <f t="shared" si="11"/>
        <v>17452.41</v>
      </c>
      <c r="J52" s="95">
        <f t="shared" si="11"/>
        <v>31650.82</v>
      </c>
      <c r="K52" s="95">
        <f t="shared" si="11"/>
        <v>33085.23</v>
      </c>
      <c r="L52" s="95">
        <f t="shared" si="11"/>
        <v>34019.64</v>
      </c>
      <c r="M52" s="95">
        <f t="shared" si="11"/>
        <v>35252.89</v>
      </c>
      <c r="N52" s="95">
        <f t="shared" si="11"/>
        <v>36986.14</v>
      </c>
      <c r="O52" s="95">
        <f t="shared" si="11"/>
        <v>52283.39</v>
      </c>
      <c r="P52" s="95">
        <f t="shared" si="11"/>
        <v>52283.39</v>
      </c>
    </row>
  </sheetData>
  <mergeCells count="2">
    <mergeCell ref="D2:F2"/>
    <mergeCell ref="B6:Q6"/>
  </mergeCells>
  <conditionalFormatting sqref="D38:P38">
    <cfRule type="cellIs" dxfId="0" priority="1" operator="lessThan">
      <formula>0</formula>
    </cfRule>
  </conditionalFormatting>
  <conditionalFormatting sqref="D47:P47">
    <cfRule type="cellIs" dxfId="0" priority="2" operator="lessThan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25.0"/>
  </cols>
  <sheetData>
    <row r="1">
      <c r="K1" s="18" t="s">
        <v>116</v>
      </c>
    </row>
    <row r="2">
      <c r="B2" s="50" t="s">
        <v>117</v>
      </c>
      <c r="C2" s="51"/>
      <c r="D2" s="52" t="s">
        <v>174</v>
      </c>
      <c r="J2" s="18" t="s">
        <v>119</v>
      </c>
      <c r="K2" s="18">
        <v>8500.0</v>
      </c>
    </row>
    <row r="3">
      <c r="J3" s="18" t="s">
        <v>120</v>
      </c>
      <c r="K3" s="18">
        <v>4300.0</v>
      </c>
    </row>
    <row r="6">
      <c r="B6" s="53" t="s">
        <v>121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</row>
    <row r="9">
      <c r="B9" s="55" t="s">
        <v>122</v>
      </c>
      <c r="C9" s="56"/>
      <c r="D9" s="57" t="s">
        <v>123</v>
      </c>
      <c r="E9" s="57" t="s">
        <v>124</v>
      </c>
      <c r="F9" s="57" t="s">
        <v>125</v>
      </c>
      <c r="G9" s="57" t="s">
        <v>126</v>
      </c>
      <c r="H9" s="57" t="s">
        <v>127</v>
      </c>
      <c r="I9" s="57" t="s">
        <v>128</v>
      </c>
      <c r="J9" s="57" t="s">
        <v>129</v>
      </c>
      <c r="K9" s="57" t="s">
        <v>130</v>
      </c>
      <c r="L9" s="57" t="s">
        <v>131</v>
      </c>
      <c r="M9" s="57" t="s">
        <v>132</v>
      </c>
      <c r="N9" s="57" t="s">
        <v>133</v>
      </c>
      <c r="O9" s="57" t="s">
        <v>134</v>
      </c>
      <c r="P9" s="58" t="s">
        <v>135</v>
      </c>
    </row>
    <row r="10">
      <c r="B10" s="59" t="s">
        <v>129</v>
      </c>
      <c r="C10" s="60"/>
      <c r="D10" s="61">
        <v>6625.0</v>
      </c>
      <c r="E10" s="61">
        <v>6625.0</v>
      </c>
      <c r="F10" s="61">
        <v>6625.0</v>
      </c>
      <c r="G10" s="61">
        <v>6625.0</v>
      </c>
      <c r="H10" s="61">
        <v>6625.0</v>
      </c>
      <c r="I10" s="61">
        <v>6625.0</v>
      </c>
      <c r="J10" s="61">
        <v>6625.0</v>
      </c>
      <c r="K10" s="61">
        <v>6625.0</v>
      </c>
      <c r="L10" s="61">
        <v>6625.0</v>
      </c>
      <c r="M10" s="61">
        <v>6625.0</v>
      </c>
      <c r="N10" s="61">
        <v>6625.0</v>
      </c>
      <c r="O10" s="61">
        <v>6625.0</v>
      </c>
      <c r="P10" s="62">
        <f t="shared" ref="P10:P14" si="1">SUM(C10:O10)</f>
        <v>79500</v>
      </c>
    </row>
    <row r="11">
      <c r="B11" s="59" t="s">
        <v>136</v>
      </c>
      <c r="C11" s="60"/>
      <c r="D11" s="62">
        <v>3781.96</v>
      </c>
      <c r="E11" s="62">
        <v>3781.96</v>
      </c>
      <c r="F11" s="62">
        <v>3781.96</v>
      </c>
      <c r="G11" s="62">
        <v>3781.96</v>
      </c>
      <c r="H11" s="62">
        <v>3781.96</v>
      </c>
      <c r="I11" s="62">
        <v>3781.96</v>
      </c>
      <c r="J11" s="62">
        <v>3781.96</v>
      </c>
      <c r="K11" s="62">
        <v>3781.96</v>
      </c>
      <c r="L11" s="62">
        <v>3781.96</v>
      </c>
      <c r="M11" s="62">
        <v>3781.96</v>
      </c>
      <c r="N11" s="62">
        <v>3781.96</v>
      </c>
      <c r="O11" s="62">
        <v>3781.96</v>
      </c>
      <c r="P11" s="62">
        <f t="shared" si="1"/>
        <v>45383.52</v>
      </c>
    </row>
    <row r="12">
      <c r="B12" s="59" t="s">
        <v>137</v>
      </c>
      <c r="C12" s="60"/>
      <c r="D12" s="63"/>
      <c r="E12" s="62">
        <v>500.0</v>
      </c>
      <c r="F12" s="63"/>
      <c r="G12" s="62">
        <v>500.0</v>
      </c>
      <c r="H12" s="63"/>
      <c r="I12" s="62">
        <v>500.0</v>
      </c>
      <c r="J12" s="63"/>
      <c r="K12" s="62">
        <v>500.0</v>
      </c>
      <c r="L12" s="63"/>
      <c r="M12" s="62">
        <v>500.0</v>
      </c>
      <c r="N12" s="63"/>
      <c r="O12" s="62">
        <v>500.0</v>
      </c>
      <c r="P12" s="62">
        <f t="shared" si="1"/>
        <v>3000</v>
      </c>
    </row>
    <row r="13">
      <c r="B13" s="59" t="s">
        <v>138</v>
      </c>
      <c r="C13" s="60"/>
      <c r="D13" s="64"/>
      <c r="E13" s="65">
        <v>4300.0</v>
      </c>
      <c r="F13" s="62">
        <v>5000.0</v>
      </c>
      <c r="G13" s="63"/>
      <c r="H13" s="63"/>
      <c r="I13" s="66"/>
      <c r="J13" s="65">
        <f>(K2*1.0675)+(K3*1.0675)</f>
        <v>13664</v>
      </c>
      <c r="K13" s="66"/>
      <c r="L13" s="66"/>
      <c r="M13" s="66"/>
      <c r="N13" s="66"/>
      <c r="O13" s="65">
        <f>(K2*1.0675)+(K3*1.0675)</f>
        <v>13664</v>
      </c>
      <c r="P13" s="62">
        <f t="shared" si="1"/>
        <v>36628</v>
      </c>
    </row>
    <row r="14">
      <c r="B14" s="67" t="s">
        <v>139</v>
      </c>
      <c r="C14" s="68"/>
      <c r="D14" s="69">
        <f t="shared" ref="D14:O14" si="2">SUM(D10:D13)</f>
        <v>10406.96</v>
      </c>
      <c r="E14" s="69">
        <f t="shared" si="2"/>
        <v>15206.96</v>
      </c>
      <c r="F14" s="69">
        <f t="shared" si="2"/>
        <v>15406.96</v>
      </c>
      <c r="G14" s="69">
        <f t="shared" si="2"/>
        <v>10906.96</v>
      </c>
      <c r="H14" s="69">
        <f t="shared" si="2"/>
        <v>10406.96</v>
      </c>
      <c r="I14" s="69">
        <f t="shared" si="2"/>
        <v>10906.96</v>
      </c>
      <c r="J14" s="69">
        <f t="shared" si="2"/>
        <v>24070.96</v>
      </c>
      <c r="K14" s="69">
        <f t="shared" si="2"/>
        <v>10906.96</v>
      </c>
      <c r="L14" s="69">
        <f t="shared" si="2"/>
        <v>10406.96</v>
      </c>
      <c r="M14" s="69">
        <f t="shared" si="2"/>
        <v>10906.96</v>
      </c>
      <c r="N14" s="69">
        <f t="shared" si="2"/>
        <v>10406.96</v>
      </c>
      <c r="O14" s="69">
        <f t="shared" si="2"/>
        <v>24570.96</v>
      </c>
      <c r="P14" s="62">
        <f t="shared" si="1"/>
        <v>164511.52</v>
      </c>
    </row>
    <row r="16">
      <c r="B16" s="70" t="s">
        <v>140</v>
      </c>
      <c r="C16" s="71"/>
      <c r="D16" s="58" t="s">
        <v>123</v>
      </c>
      <c r="E16" s="58" t="s">
        <v>124</v>
      </c>
      <c r="F16" s="58" t="s">
        <v>125</v>
      </c>
      <c r="G16" s="58" t="s">
        <v>126</v>
      </c>
      <c r="H16" s="58" t="s">
        <v>127</v>
      </c>
      <c r="I16" s="58" t="s">
        <v>128</v>
      </c>
      <c r="J16" s="58" t="s">
        <v>129</v>
      </c>
      <c r="K16" s="58" t="s">
        <v>130</v>
      </c>
      <c r="L16" s="58" t="s">
        <v>131</v>
      </c>
      <c r="M16" s="58" t="s">
        <v>132</v>
      </c>
      <c r="N16" s="58" t="s">
        <v>133</v>
      </c>
      <c r="O16" s="58" t="s">
        <v>134</v>
      </c>
      <c r="P16" s="58" t="s">
        <v>135</v>
      </c>
    </row>
    <row r="17">
      <c r="B17" s="72" t="s">
        <v>141</v>
      </c>
      <c r="C17" s="73"/>
      <c r="D17" s="74"/>
      <c r="E17" s="75">
        <v>300.0</v>
      </c>
      <c r="F17" s="75">
        <f t="shared" ref="F17:O17" si="3">E17</f>
        <v>300</v>
      </c>
      <c r="G17" s="75">
        <f t="shared" si="3"/>
        <v>300</v>
      </c>
      <c r="H17" s="75">
        <f t="shared" si="3"/>
        <v>300</v>
      </c>
      <c r="I17" s="75">
        <f t="shared" si="3"/>
        <v>300</v>
      </c>
      <c r="J17" s="75">
        <f t="shared" si="3"/>
        <v>300</v>
      </c>
      <c r="K17" s="75">
        <f t="shared" si="3"/>
        <v>300</v>
      </c>
      <c r="L17" s="75">
        <f t="shared" si="3"/>
        <v>300</v>
      </c>
      <c r="M17" s="75">
        <f t="shared" si="3"/>
        <v>300</v>
      </c>
      <c r="N17" s="75">
        <f t="shared" si="3"/>
        <v>300</v>
      </c>
      <c r="O17" s="75">
        <f t="shared" si="3"/>
        <v>300</v>
      </c>
      <c r="P17" s="76">
        <f t="shared" ref="P17:P36" si="5">SUM(D17:O17)</f>
        <v>3300</v>
      </c>
    </row>
    <row r="18">
      <c r="B18" s="72" t="s">
        <v>142</v>
      </c>
      <c r="C18" s="73"/>
      <c r="D18" s="74"/>
      <c r="E18" s="75">
        <v>200.0</v>
      </c>
      <c r="F18" s="75">
        <f t="shared" ref="F18:O18" si="4">E18</f>
        <v>200</v>
      </c>
      <c r="G18" s="75">
        <f t="shared" si="4"/>
        <v>200</v>
      </c>
      <c r="H18" s="75">
        <f t="shared" si="4"/>
        <v>200</v>
      </c>
      <c r="I18" s="75">
        <f t="shared" si="4"/>
        <v>200</v>
      </c>
      <c r="J18" s="75">
        <f t="shared" si="4"/>
        <v>200</v>
      </c>
      <c r="K18" s="75">
        <f t="shared" si="4"/>
        <v>200</v>
      </c>
      <c r="L18" s="75">
        <f t="shared" si="4"/>
        <v>200</v>
      </c>
      <c r="M18" s="75">
        <f t="shared" si="4"/>
        <v>200</v>
      </c>
      <c r="N18" s="75">
        <f t="shared" si="4"/>
        <v>200</v>
      </c>
      <c r="O18" s="75">
        <f t="shared" si="4"/>
        <v>200</v>
      </c>
      <c r="P18" s="76">
        <f t="shared" si="5"/>
        <v>2200</v>
      </c>
    </row>
    <row r="19">
      <c r="B19" s="72" t="s">
        <v>143</v>
      </c>
      <c r="C19" s="73"/>
      <c r="D19" s="75">
        <v>157.0</v>
      </c>
      <c r="E19" s="75">
        <v>157.0</v>
      </c>
      <c r="F19" s="75">
        <f t="shared" ref="F19:O19" si="6">E19</f>
        <v>157</v>
      </c>
      <c r="G19" s="75">
        <f t="shared" si="6"/>
        <v>157</v>
      </c>
      <c r="H19" s="75">
        <f t="shared" si="6"/>
        <v>157</v>
      </c>
      <c r="I19" s="75">
        <f t="shared" si="6"/>
        <v>157</v>
      </c>
      <c r="J19" s="75">
        <f t="shared" si="6"/>
        <v>157</v>
      </c>
      <c r="K19" s="75">
        <f t="shared" si="6"/>
        <v>157</v>
      </c>
      <c r="L19" s="75">
        <f t="shared" si="6"/>
        <v>157</v>
      </c>
      <c r="M19" s="75">
        <f t="shared" si="6"/>
        <v>157</v>
      </c>
      <c r="N19" s="75">
        <f t="shared" si="6"/>
        <v>157</v>
      </c>
      <c r="O19" s="75">
        <f t="shared" si="6"/>
        <v>157</v>
      </c>
      <c r="P19" s="76">
        <f t="shared" si="5"/>
        <v>1884</v>
      </c>
    </row>
    <row r="20">
      <c r="B20" s="72" t="s">
        <v>144</v>
      </c>
      <c r="C20" s="73"/>
      <c r="D20" s="75">
        <v>100.0</v>
      </c>
      <c r="E20" s="75">
        <v>100.0</v>
      </c>
      <c r="F20" s="75">
        <f t="shared" ref="F20:O20" si="7">E20</f>
        <v>100</v>
      </c>
      <c r="G20" s="75">
        <f t="shared" si="7"/>
        <v>100</v>
      </c>
      <c r="H20" s="75">
        <f t="shared" si="7"/>
        <v>100</v>
      </c>
      <c r="I20" s="75">
        <f t="shared" si="7"/>
        <v>100</v>
      </c>
      <c r="J20" s="75">
        <f t="shared" si="7"/>
        <v>100</v>
      </c>
      <c r="K20" s="75">
        <f t="shared" si="7"/>
        <v>100</v>
      </c>
      <c r="L20" s="75">
        <f t="shared" si="7"/>
        <v>100</v>
      </c>
      <c r="M20" s="75">
        <f t="shared" si="7"/>
        <v>100</v>
      </c>
      <c r="N20" s="75">
        <f t="shared" si="7"/>
        <v>100</v>
      </c>
      <c r="O20" s="75">
        <f t="shared" si="7"/>
        <v>100</v>
      </c>
      <c r="P20" s="76">
        <f t="shared" si="5"/>
        <v>1200</v>
      </c>
    </row>
    <row r="21">
      <c r="B21" s="72" t="s">
        <v>145</v>
      </c>
      <c r="C21" s="73"/>
      <c r="D21" s="74"/>
      <c r="E21" s="75">
        <v>2800.0</v>
      </c>
      <c r="F21" s="75">
        <f t="shared" ref="F21:O21" si="8">E21</f>
        <v>2800</v>
      </c>
      <c r="G21" s="75">
        <f t="shared" si="8"/>
        <v>2800</v>
      </c>
      <c r="H21" s="75">
        <f t="shared" si="8"/>
        <v>2800</v>
      </c>
      <c r="I21" s="75">
        <f t="shared" si="8"/>
        <v>2800</v>
      </c>
      <c r="J21" s="75">
        <f t="shared" si="8"/>
        <v>2800</v>
      </c>
      <c r="K21" s="75">
        <f t="shared" si="8"/>
        <v>2800</v>
      </c>
      <c r="L21" s="75">
        <f t="shared" si="8"/>
        <v>2800</v>
      </c>
      <c r="M21" s="75">
        <f t="shared" si="8"/>
        <v>2800</v>
      </c>
      <c r="N21" s="75">
        <f t="shared" si="8"/>
        <v>2800</v>
      </c>
      <c r="O21" s="75">
        <f t="shared" si="8"/>
        <v>2800</v>
      </c>
      <c r="P21" s="76">
        <f t="shared" si="5"/>
        <v>30800</v>
      </c>
    </row>
    <row r="22">
      <c r="B22" s="72" t="s">
        <v>146</v>
      </c>
      <c r="C22" s="77" t="s">
        <v>147</v>
      </c>
      <c r="D22" s="75">
        <v>400.0</v>
      </c>
      <c r="E22" s="75">
        <v>400.0</v>
      </c>
      <c r="F22" s="75">
        <f t="shared" ref="F22:O22" si="9">E22</f>
        <v>400</v>
      </c>
      <c r="G22" s="75">
        <f t="shared" si="9"/>
        <v>400</v>
      </c>
      <c r="H22" s="75">
        <f t="shared" si="9"/>
        <v>400</v>
      </c>
      <c r="I22" s="75">
        <f t="shared" si="9"/>
        <v>400</v>
      </c>
      <c r="J22" s="75">
        <f t="shared" si="9"/>
        <v>400</v>
      </c>
      <c r="K22" s="75">
        <f t="shared" si="9"/>
        <v>400</v>
      </c>
      <c r="L22" s="75">
        <f t="shared" si="9"/>
        <v>400</v>
      </c>
      <c r="M22" s="75">
        <f t="shared" si="9"/>
        <v>400</v>
      </c>
      <c r="N22" s="75">
        <f t="shared" si="9"/>
        <v>400</v>
      </c>
      <c r="O22" s="75">
        <f t="shared" si="9"/>
        <v>400</v>
      </c>
      <c r="P22" s="76">
        <f t="shared" si="5"/>
        <v>4800</v>
      </c>
    </row>
    <row r="23">
      <c r="B23" s="72" t="s">
        <v>148</v>
      </c>
      <c r="C23" s="73"/>
      <c r="D23" s="74"/>
      <c r="E23" s="75">
        <v>500.0</v>
      </c>
      <c r="F23" s="75">
        <f t="shared" ref="F23:G23" si="10">E23</f>
        <v>500</v>
      </c>
      <c r="G23" s="75">
        <f t="shared" si="10"/>
        <v>500</v>
      </c>
      <c r="H23" s="75">
        <v>650.0</v>
      </c>
      <c r="I23" s="75">
        <f>H23</f>
        <v>650</v>
      </c>
      <c r="J23" s="75">
        <f>G23</f>
        <v>500</v>
      </c>
      <c r="K23" s="75">
        <f t="shared" ref="K23:O23" si="11">J23</f>
        <v>500</v>
      </c>
      <c r="L23" s="75">
        <f t="shared" si="11"/>
        <v>500</v>
      </c>
      <c r="M23" s="75">
        <f t="shared" si="11"/>
        <v>500</v>
      </c>
      <c r="N23" s="75">
        <f t="shared" si="11"/>
        <v>500</v>
      </c>
      <c r="O23" s="75">
        <f t="shared" si="11"/>
        <v>500</v>
      </c>
      <c r="P23" s="76">
        <f t="shared" si="5"/>
        <v>5800</v>
      </c>
    </row>
    <row r="24">
      <c r="B24" s="72" t="s">
        <v>149</v>
      </c>
      <c r="C24" s="73"/>
      <c r="D24" s="74"/>
      <c r="E24" s="75">
        <v>603.0</v>
      </c>
      <c r="F24" s="75">
        <f t="shared" ref="F24:O24" si="12">E24</f>
        <v>603</v>
      </c>
      <c r="G24" s="75">
        <f t="shared" si="12"/>
        <v>603</v>
      </c>
      <c r="H24" s="75">
        <f t="shared" si="12"/>
        <v>603</v>
      </c>
      <c r="I24" s="75">
        <f t="shared" si="12"/>
        <v>603</v>
      </c>
      <c r="J24" s="75">
        <f t="shared" si="12"/>
        <v>603</v>
      </c>
      <c r="K24" s="75">
        <f t="shared" si="12"/>
        <v>603</v>
      </c>
      <c r="L24" s="75">
        <f t="shared" si="12"/>
        <v>603</v>
      </c>
      <c r="M24" s="75">
        <f t="shared" si="12"/>
        <v>603</v>
      </c>
      <c r="N24" s="75">
        <f t="shared" si="12"/>
        <v>603</v>
      </c>
      <c r="O24" s="75">
        <f t="shared" si="12"/>
        <v>603</v>
      </c>
      <c r="P24" s="76">
        <f t="shared" si="5"/>
        <v>6633</v>
      </c>
    </row>
    <row r="25">
      <c r="B25" s="72" t="s">
        <v>150</v>
      </c>
      <c r="C25" s="73"/>
      <c r="D25" s="75">
        <v>300.0</v>
      </c>
      <c r="E25" s="75">
        <v>300.0</v>
      </c>
      <c r="F25" s="75">
        <f t="shared" ref="F25:O25" si="13">E25</f>
        <v>300</v>
      </c>
      <c r="G25" s="75">
        <f t="shared" si="13"/>
        <v>300</v>
      </c>
      <c r="H25" s="75">
        <f t="shared" si="13"/>
        <v>300</v>
      </c>
      <c r="I25" s="75">
        <f t="shared" si="13"/>
        <v>300</v>
      </c>
      <c r="J25" s="75">
        <f t="shared" si="13"/>
        <v>300</v>
      </c>
      <c r="K25" s="75">
        <f t="shared" si="13"/>
        <v>300</v>
      </c>
      <c r="L25" s="75">
        <f t="shared" si="13"/>
        <v>300</v>
      </c>
      <c r="M25" s="75">
        <f t="shared" si="13"/>
        <v>300</v>
      </c>
      <c r="N25" s="75">
        <f t="shared" si="13"/>
        <v>300</v>
      </c>
      <c r="O25" s="75">
        <f t="shared" si="13"/>
        <v>300</v>
      </c>
      <c r="P25" s="76">
        <f t="shared" si="5"/>
        <v>3600</v>
      </c>
    </row>
    <row r="26">
      <c r="B26" s="72" t="s">
        <v>151</v>
      </c>
      <c r="C26" s="73"/>
      <c r="D26" s="74"/>
      <c r="E26" s="75">
        <v>142.95</v>
      </c>
      <c r="F26" s="75">
        <f t="shared" ref="F26:O26" si="14">E26</f>
        <v>142.95</v>
      </c>
      <c r="G26" s="75">
        <f t="shared" si="14"/>
        <v>142.95</v>
      </c>
      <c r="H26" s="75">
        <f t="shared" si="14"/>
        <v>142.95</v>
      </c>
      <c r="I26" s="75">
        <f t="shared" si="14"/>
        <v>142.95</v>
      </c>
      <c r="J26" s="75">
        <f t="shared" si="14"/>
        <v>142.95</v>
      </c>
      <c r="K26" s="75">
        <f t="shared" si="14"/>
        <v>142.95</v>
      </c>
      <c r="L26" s="75">
        <f t="shared" si="14"/>
        <v>142.95</v>
      </c>
      <c r="M26" s="75">
        <f t="shared" si="14"/>
        <v>142.95</v>
      </c>
      <c r="N26" s="75">
        <f t="shared" si="14"/>
        <v>142.95</v>
      </c>
      <c r="O26" s="75">
        <f t="shared" si="14"/>
        <v>142.95</v>
      </c>
      <c r="P26" s="76">
        <f t="shared" si="5"/>
        <v>1572.45</v>
      </c>
    </row>
    <row r="27">
      <c r="B27" s="72" t="s">
        <v>152</v>
      </c>
      <c r="C27" s="73"/>
      <c r="D27" s="74"/>
      <c r="E27" s="74"/>
      <c r="F27" s="75">
        <v>200.0</v>
      </c>
      <c r="G27" s="74"/>
      <c r="H27" s="75">
        <v>200.0</v>
      </c>
      <c r="I27" s="74"/>
      <c r="J27" s="75">
        <v>200.0</v>
      </c>
      <c r="K27" s="74"/>
      <c r="L27" s="75">
        <v>200.0</v>
      </c>
      <c r="M27" s="74"/>
      <c r="N27" s="75">
        <v>200.0</v>
      </c>
      <c r="O27" s="75">
        <f>N27</f>
        <v>200</v>
      </c>
      <c r="P27" s="76">
        <f t="shared" si="5"/>
        <v>1200</v>
      </c>
    </row>
    <row r="28">
      <c r="B28" s="72" t="s">
        <v>153</v>
      </c>
      <c r="C28" s="73"/>
      <c r="D28" s="74"/>
      <c r="E28" s="74"/>
      <c r="F28" s="75" t="str">
        <f t="shared" ref="F28:O28" si="15">E28</f>
        <v/>
      </c>
      <c r="G28" s="75" t="str">
        <f t="shared" si="15"/>
        <v/>
      </c>
      <c r="H28" s="75" t="str">
        <f t="shared" si="15"/>
        <v/>
      </c>
      <c r="I28" s="75" t="str">
        <f t="shared" si="15"/>
        <v/>
      </c>
      <c r="J28" s="75" t="str">
        <f t="shared" si="15"/>
        <v/>
      </c>
      <c r="K28" s="75" t="str">
        <f t="shared" si="15"/>
        <v/>
      </c>
      <c r="L28" s="75" t="str">
        <f t="shared" si="15"/>
        <v/>
      </c>
      <c r="M28" s="75" t="str">
        <f t="shared" si="15"/>
        <v/>
      </c>
      <c r="N28" s="75" t="str">
        <f t="shared" si="15"/>
        <v/>
      </c>
      <c r="O28" s="75" t="str">
        <f t="shared" si="15"/>
        <v/>
      </c>
      <c r="P28" s="76">
        <f t="shared" si="5"/>
        <v>0</v>
      </c>
    </row>
    <row r="29">
      <c r="B29" s="72" t="s">
        <v>154</v>
      </c>
      <c r="C29" s="73"/>
      <c r="D29" s="75">
        <v>104.8</v>
      </c>
      <c r="E29" s="75">
        <v>104.8</v>
      </c>
      <c r="F29" s="75">
        <f t="shared" ref="F29:L29" si="16">E29</f>
        <v>104.8</v>
      </c>
      <c r="G29" s="75">
        <f t="shared" si="16"/>
        <v>104.8</v>
      </c>
      <c r="H29" s="75">
        <f t="shared" si="16"/>
        <v>104.8</v>
      </c>
      <c r="I29" s="75">
        <f t="shared" si="16"/>
        <v>104.8</v>
      </c>
      <c r="J29" s="75">
        <f t="shared" si="16"/>
        <v>104.8</v>
      </c>
      <c r="K29" s="75">
        <f t="shared" si="16"/>
        <v>104.8</v>
      </c>
      <c r="L29" s="75">
        <f t="shared" si="16"/>
        <v>104.8</v>
      </c>
      <c r="M29" s="75">
        <f>L29+170</f>
        <v>274.8</v>
      </c>
      <c r="N29" s="75">
        <f t="shared" ref="N29:O29" si="17">M29</f>
        <v>274.8</v>
      </c>
      <c r="O29" s="75">
        <f t="shared" si="17"/>
        <v>274.8</v>
      </c>
      <c r="P29" s="76">
        <f t="shared" si="5"/>
        <v>1767.6</v>
      </c>
    </row>
    <row r="30">
      <c r="B30" s="72" t="s">
        <v>155</v>
      </c>
      <c r="C30" s="73"/>
      <c r="D30" s="74"/>
      <c r="E30" s="74"/>
      <c r="F30" s="75" t="str">
        <f t="shared" ref="F30:O30" si="18">E30</f>
        <v/>
      </c>
      <c r="G30" s="75" t="str">
        <f t="shared" si="18"/>
        <v/>
      </c>
      <c r="H30" s="75" t="str">
        <f t="shared" si="18"/>
        <v/>
      </c>
      <c r="I30" s="75" t="str">
        <f t="shared" si="18"/>
        <v/>
      </c>
      <c r="J30" s="75" t="str">
        <f t="shared" si="18"/>
        <v/>
      </c>
      <c r="K30" s="75" t="str">
        <f t="shared" si="18"/>
        <v/>
      </c>
      <c r="L30" s="75" t="str">
        <f t="shared" si="18"/>
        <v/>
      </c>
      <c r="M30" s="75" t="str">
        <f t="shared" si="18"/>
        <v/>
      </c>
      <c r="N30" s="75" t="str">
        <f t="shared" si="18"/>
        <v/>
      </c>
      <c r="O30" s="75" t="str">
        <f t="shared" si="18"/>
        <v/>
      </c>
      <c r="P30" s="76">
        <f t="shared" si="5"/>
        <v>0</v>
      </c>
    </row>
    <row r="31">
      <c r="B31" s="72" t="s">
        <v>156</v>
      </c>
      <c r="C31" s="73"/>
      <c r="D31" s="75">
        <v>200.0</v>
      </c>
      <c r="E31" s="75">
        <v>200.0</v>
      </c>
      <c r="F31" s="74"/>
      <c r="G31" s="75">
        <v>200.0</v>
      </c>
      <c r="H31" s="75">
        <v>1200.0</v>
      </c>
      <c r="I31" s="75">
        <v>1000.0</v>
      </c>
      <c r="J31" s="75">
        <v>400.0</v>
      </c>
      <c r="K31" s="75">
        <v>200.0</v>
      </c>
      <c r="L31" s="74"/>
      <c r="M31" s="75">
        <v>400.0</v>
      </c>
      <c r="N31" s="75">
        <v>200.0</v>
      </c>
      <c r="O31" s="75">
        <f>N31</f>
        <v>200</v>
      </c>
      <c r="P31" s="76">
        <f t="shared" si="5"/>
        <v>4200</v>
      </c>
    </row>
    <row r="32">
      <c r="B32" s="72" t="s">
        <v>157</v>
      </c>
      <c r="C32" s="73"/>
      <c r="D32" s="74"/>
      <c r="E32" s="74"/>
      <c r="F32" s="75" t="str">
        <f t="shared" ref="F32:O32" si="19">E32</f>
        <v/>
      </c>
      <c r="G32" s="75" t="str">
        <f t="shared" si="19"/>
        <v/>
      </c>
      <c r="H32" s="75" t="str">
        <f t="shared" si="19"/>
        <v/>
      </c>
      <c r="I32" s="75" t="str">
        <f t="shared" si="19"/>
        <v/>
      </c>
      <c r="J32" s="75" t="str">
        <f t="shared" si="19"/>
        <v/>
      </c>
      <c r="K32" s="75" t="str">
        <f t="shared" si="19"/>
        <v/>
      </c>
      <c r="L32" s="75" t="str">
        <f t="shared" si="19"/>
        <v/>
      </c>
      <c r="M32" s="75" t="str">
        <f t="shared" si="19"/>
        <v/>
      </c>
      <c r="N32" s="75" t="str">
        <f t="shared" si="19"/>
        <v/>
      </c>
      <c r="O32" s="75" t="str">
        <f t="shared" si="19"/>
        <v/>
      </c>
      <c r="P32" s="76">
        <f t="shared" si="5"/>
        <v>0</v>
      </c>
    </row>
    <row r="33">
      <c r="B33" s="72" t="s">
        <v>158</v>
      </c>
      <c r="C33" s="73"/>
      <c r="D33" s="74"/>
      <c r="E33" s="74"/>
      <c r="F33" s="75" t="str">
        <f t="shared" ref="F33:O33" si="20">E33</f>
        <v/>
      </c>
      <c r="G33" s="75" t="str">
        <f t="shared" si="20"/>
        <v/>
      </c>
      <c r="H33" s="75" t="str">
        <f t="shared" si="20"/>
        <v/>
      </c>
      <c r="I33" s="75" t="str">
        <f t="shared" si="20"/>
        <v/>
      </c>
      <c r="J33" s="75" t="str">
        <f t="shared" si="20"/>
        <v/>
      </c>
      <c r="K33" s="75" t="str">
        <f t="shared" si="20"/>
        <v/>
      </c>
      <c r="L33" s="75" t="str">
        <f t="shared" si="20"/>
        <v/>
      </c>
      <c r="M33" s="75" t="str">
        <f t="shared" si="20"/>
        <v/>
      </c>
      <c r="N33" s="75" t="str">
        <f t="shared" si="20"/>
        <v/>
      </c>
      <c r="O33" s="75" t="str">
        <f t="shared" si="20"/>
        <v/>
      </c>
      <c r="P33" s="76">
        <f t="shared" si="5"/>
        <v>0</v>
      </c>
    </row>
    <row r="34">
      <c r="B34" s="72" t="s">
        <v>159</v>
      </c>
      <c r="C34" s="73"/>
      <c r="D34" s="75">
        <v>1500.0</v>
      </c>
      <c r="E34" s="75">
        <v>800.0</v>
      </c>
      <c r="F34" s="75">
        <f t="shared" ref="F34:O34" si="21">E34</f>
        <v>800</v>
      </c>
      <c r="G34" s="75">
        <f t="shared" si="21"/>
        <v>800</v>
      </c>
      <c r="H34" s="75">
        <f t="shared" si="21"/>
        <v>800</v>
      </c>
      <c r="I34" s="75">
        <f t="shared" si="21"/>
        <v>800</v>
      </c>
      <c r="J34" s="75">
        <f t="shared" si="21"/>
        <v>800</v>
      </c>
      <c r="K34" s="75">
        <f t="shared" si="21"/>
        <v>800</v>
      </c>
      <c r="L34" s="75">
        <f t="shared" si="21"/>
        <v>800</v>
      </c>
      <c r="M34" s="75">
        <f t="shared" si="21"/>
        <v>800</v>
      </c>
      <c r="N34" s="75">
        <f t="shared" si="21"/>
        <v>800</v>
      </c>
      <c r="O34" s="75">
        <f t="shared" si="21"/>
        <v>800</v>
      </c>
      <c r="P34" s="76">
        <f t="shared" si="5"/>
        <v>10300</v>
      </c>
    </row>
    <row r="35">
      <c r="B35" s="72" t="s">
        <v>160</v>
      </c>
      <c r="C35" s="73"/>
      <c r="D35" s="75">
        <v>1800.0</v>
      </c>
      <c r="E35" s="75">
        <v>1800.0</v>
      </c>
      <c r="F35" s="75">
        <f t="shared" ref="F35:O35" si="22">E35</f>
        <v>1800</v>
      </c>
      <c r="G35" s="75">
        <f t="shared" si="22"/>
        <v>1800</v>
      </c>
      <c r="H35" s="75">
        <f t="shared" si="22"/>
        <v>1800</v>
      </c>
      <c r="I35" s="75">
        <f t="shared" si="22"/>
        <v>1800</v>
      </c>
      <c r="J35" s="75">
        <f t="shared" si="22"/>
        <v>1800</v>
      </c>
      <c r="K35" s="75">
        <f t="shared" si="22"/>
        <v>1800</v>
      </c>
      <c r="L35" s="75">
        <f t="shared" si="22"/>
        <v>1800</v>
      </c>
      <c r="M35" s="75">
        <f t="shared" si="22"/>
        <v>1800</v>
      </c>
      <c r="N35" s="75">
        <f t="shared" si="22"/>
        <v>1800</v>
      </c>
      <c r="O35" s="75">
        <f t="shared" si="22"/>
        <v>1800</v>
      </c>
      <c r="P35" s="76">
        <f t="shared" si="5"/>
        <v>21600</v>
      </c>
    </row>
    <row r="36">
      <c r="B36" s="67" t="s">
        <v>161</v>
      </c>
      <c r="C36" s="68"/>
      <c r="D36" s="78">
        <f t="shared" ref="D36:O36" si="23">SUM(D17:D35)*-1</f>
        <v>-4561.8</v>
      </c>
      <c r="E36" s="78">
        <f t="shared" si="23"/>
        <v>-8407.75</v>
      </c>
      <c r="F36" s="78">
        <f t="shared" si="23"/>
        <v>-8407.75</v>
      </c>
      <c r="G36" s="78">
        <f t="shared" si="23"/>
        <v>-8407.75</v>
      </c>
      <c r="H36" s="78">
        <f t="shared" si="23"/>
        <v>-9757.75</v>
      </c>
      <c r="I36" s="78">
        <f t="shared" si="23"/>
        <v>-9357.75</v>
      </c>
      <c r="J36" s="78">
        <f t="shared" si="23"/>
        <v>-8807.75</v>
      </c>
      <c r="K36" s="78">
        <f t="shared" si="23"/>
        <v>-8407.75</v>
      </c>
      <c r="L36" s="78">
        <f t="shared" si="23"/>
        <v>-8407.75</v>
      </c>
      <c r="M36" s="78">
        <f t="shared" si="23"/>
        <v>-8777.75</v>
      </c>
      <c r="N36" s="78">
        <f t="shared" si="23"/>
        <v>-8777.75</v>
      </c>
      <c r="O36" s="78">
        <f t="shared" si="23"/>
        <v>-8777.75</v>
      </c>
      <c r="P36" s="79">
        <f t="shared" si="5"/>
        <v>-100857.05</v>
      </c>
    </row>
    <row r="38">
      <c r="B38" s="80" t="s">
        <v>162</v>
      </c>
      <c r="C38" s="81"/>
      <c r="D38" s="82">
        <f t="shared" ref="D38:P38" si="24">D14+D36</f>
        <v>5845.16</v>
      </c>
      <c r="E38" s="82">
        <f t="shared" si="24"/>
        <v>6799.21</v>
      </c>
      <c r="F38" s="82">
        <f t="shared" si="24"/>
        <v>6999.21</v>
      </c>
      <c r="G38" s="82">
        <f t="shared" si="24"/>
        <v>2499.21</v>
      </c>
      <c r="H38" s="82">
        <f t="shared" si="24"/>
        <v>649.21</v>
      </c>
      <c r="I38" s="82">
        <f t="shared" si="24"/>
        <v>1549.21</v>
      </c>
      <c r="J38" s="82">
        <f t="shared" si="24"/>
        <v>15263.21</v>
      </c>
      <c r="K38" s="82">
        <f t="shared" si="24"/>
        <v>2499.21</v>
      </c>
      <c r="L38" s="82">
        <f t="shared" si="24"/>
        <v>1999.21</v>
      </c>
      <c r="M38" s="82">
        <f t="shared" si="24"/>
        <v>2129.21</v>
      </c>
      <c r="N38" s="82">
        <f t="shared" si="24"/>
        <v>1629.21</v>
      </c>
      <c r="O38" s="82">
        <f t="shared" si="24"/>
        <v>15793.21</v>
      </c>
      <c r="P38" s="82">
        <f t="shared" si="24"/>
        <v>63654.47</v>
      </c>
    </row>
    <row r="39">
      <c r="B39" s="83"/>
      <c r="C39" s="83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</row>
    <row r="40">
      <c r="B40" s="85" t="s">
        <v>163</v>
      </c>
      <c r="C40" s="86"/>
      <c r="D40" s="57" t="s">
        <v>123</v>
      </c>
      <c r="E40" s="57" t="s">
        <v>124</v>
      </c>
      <c r="F40" s="57" t="s">
        <v>125</v>
      </c>
      <c r="G40" s="57" t="s">
        <v>126</v>
      </c>
      <c r="H40" s="57" t="s">
        <v>127</v>
      </c>
      <c r="I40" s="57" t="s">
        <v>128</v>
      </c>
      <c r="J40" s="57" t="s">
        <v>129</v>
      </c>
      <c r="K40" s="57" t="s">
        <v>130</v>
      </c>
      <c r="L40" s="57" t="s">
        <v>131</v>
      </c>
      <c r="M40" s="57" t="s">
        <v>132</v>
      </c>
      <c r="N40" s="57" t="s">
        <v>133</v>
      </c>
      <c r="O40" s="57" t="s">
        <v>134</v>
      </c>
      <c r="P40" s="58" t="s">
        <v>135</v>
      </c>
    </row>
    <row r="41">
      <c r="B41" s="87" t="s">
        <v>164</v>
      </c>
      <c r="C41" s="88">
        <v>4055.1</v>
      </c>
      <c r="D41" s="89">
        <v>498.84</v>
      </c>
      <c r="E41" s="89">
        <v>498.84</v>
      </c>
      <c r="F41" s="89">
        <v>498.84</v>
      </c>
      <c r="G41" s="89">
        <v>498.84</v>
      </c>
      <c r="H41" s="89">
        <v>498.84</v>
      </c>
      <c r="I41" s="89">
        <v>498.84</v>
      </c>
      <c r="J41" s="89">
        <v>498.84</v>
      </c>
      <c r="K41" s="89">
        <v>498.84</v>
      </c>
      <c r="L41" s="89">
        <v>498.84</v>
      </c>
      <c r="M41" s="90"/>
      <c r="N41" s="90"/>
      <c r="O41" s="90"/>
      <c r="P41" s="91">
        <f t="shared" ref="P41:P43" si="25">SUM(D41:O41)</f>
        <v>4489.56</v>
      </c>
    </row>
    <row r="42">
      <c r="B42" s="87" t="s">
        <v>165</v>
      </c>
      <c r="C42" s="88">
        <v>8943.65</v>
      </c>
      <c r="D42" s="91">
        <v>385.96</v>
      </c>
      <c r="E42" s="91">
        <v>385.96</v>
      </c>
      <c r="F42" s="91">
        <v>385.96</v>
      </c>
      <c r="G42" s="91">
        <v>385.96</v>
      </c>
      <c r="H42" s="91">
        <v>385.96</v>
      </c>
      <c r="I42" s="91">
        <v>385.96</v>
      </c>
      <c r="J42" s="91">
        <v>385.96</v>
      </c>
      <c r="K42" s="91">
        <v>385.96</v>
      </c>
      <c r="L42" s="91">
        <v>385.96</v>
      </c>
      <c r="M42" s="91">
        <v>385.96</v>
      </c>
      <c r="N42" s="91">
        <v>385.96</v>
      </c>
      <c r="O42" s="91">
        <v>385.96</v>
      </c>
      <c r="P42" s="91">
        <f t="shared" si="25"/>
        <v>4631.52</v>
      </c>
    </row>
    <row r="43">
      <c r="B43" s="87" t="s">
        <v>166</v>
      </c>
      <c r="C43" s="88">
        <v>8200.0</v>
      </c>
      <c r="D43" s="91">
        <v>512.0</v>
      </c>
      <c r="E43" s="91">
        <v>512.0</v>
      </c>
      <c r="F43" s="91">
        <v>512.0</v>
      </c>
      <c r="G43" s="91">
        <v>512.0</v>
      </c>
      <c r="H43" s="91">
        <v>512.0</v>
      </c>
      <c r="I43" s="91">
        <v>512.0</v>
      </c>
      <c r="J43" s="91">
        <v>512.0</v>
      </c>
      <c r="K43" s="91">
        <v>512.0</v>
      </c>
      <c r="L43" s="91">
        <v>512.0</v>
      </c>
      <c r="M43" s="91">
        <v>512.0</v>
      </c>
      <c r="N43" s="91">
        <v>512.0</v>
      </c>
      <c r="O43" s="91">
        <v>512.0</v>
      </c>
      <c r="P43" s="91">
        <f t="shared" si="25"/>
        <v>6144</v>
      </c>
    </row>
    <row r="44">
      <c r="B44" s="92"/>
      <c r="C44" s="93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</row>
    <row r="45">
      <c r="B45" s="67" t="s">
        <v>167</v>
      </c>
      <c r="C45" s="95">
        <f>SUM(C41:C44)</f>
        <v>21198.75</v>
      </c>
      <c r="D45" s="78">
        <f t="shared" ref="D45:P45" si="26">SUM(D41:D44)*-1</f>
        <v>-1396.8</v>
      </c>
      <c r="E45" s="78">
        <f t="shared" si="26"/>
        <v>-1396.8</v>
      </c>
      <c r="F45" s="78">
        <f t="shared" si="26"/>
        <v>-1396.8</v>
      </c>
      <c r="G45" s="78">
        <f t="shared" si="26"/>
        <v>-1396.8</v>
      </c>
      <c r="H45" s="78">
        <f t="shared" si="26"/>
        <v>-1396.8</v>
      </c>
      <c r="I45" s="78">
        <f t="shared" si="26"/>
        <v>-1396.8</v>
      </c>
      <c r="J45" s="78">
        <f t="shared" si="26"/>
        <v>-1396.8</v>
      </c>
      <c r="K45" s="78">
        <f t="shared" si="26"/>
        <v>-1396.8</v>
      </c>
      <c r="L45" s="78">
        <f t="shared" si="26"/>
        <v>-1396.8</v>
      </c>
      <c r="M45" s="78">
        <f t="shared" si="26"/>
        <v>-897.96</v>
      </c>
      <c r="N45" s="78">
        <f t="shared" si="26"/>
        <v>-897.96</v>
      </c>
      <c r="O45" s="78">
        <f t="shared" si="26"/>
        <v>-897.96</v>
      </c>
      <c r="P45" s="78">
        <f t="shared" si="26"/>
        <v>-15265.08</v>
      </c>
    </row>
    <row r="46">
      <c r="B46" s="83"/>
      <c r="C46" s="83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</row>
    <row r="47">
      <c r="B47" s="97" t="s">
        <v>168</v>
      </c>
      <c r="C47" s="98"/>
      <c r="D47" s="99">
        <f t="shared" ref="D47:P47" si="27">D38+D45</f>
        <v>4448.36</v>
      </c>
      <c r="E47" s="99">
        <f t="shared" si="27"/>
        <v>5402.41</v>
      </c>
      <c r="F47" s="99">
        <f t="shared" si="27"/>
        <v>5602.41</v>
      </c>
      <c r="G47" s="99">
        <f t="shared" si="27"/>
        <v>1102.41</v>
      </c>
      <c r="H47" s="99">
        <f t="shared" si="27"/>
        <v>-747.59</v>
      </c>
      <c r="I47" s="99">
        <f t="shared" si="27"/>
        <v>152.41</v>
      </c>
      <c r="J47" s="99">
        <f t="shared" si="27"/>
        <v>13866.41</v>
      </c>
      <c r="K47" s="99">
        <f t="shared" si="27"/>
        <v>1102.41</v>
      </c>
      <c r="L47" s="99">
        <f t="shared" si="27"/>
        <v>602.41</v>
      </c>
      <c r="M47" s="99">
        <f t="shared" si="27"/>
        <v>1231.25</v>
      </c>
      <c r="N47" s="99">
        <f t="shared" si="27"/>
        <v>731.25</v>
      </c>
      <c r="O47" s="99">
        <f t="shared" si="27"/>
        <v>14895.25</v>
      </c>
      <c r="P47" s="99">
        <f t="shared" si="27"/>
        <v>48389.39</v>
      </c>
    </row>
    <row r="48">
      <c r="B48" s="83"/>
      <c r="C48" s="83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</row>
    <row r="49">
      <c r="B49" s="100" t="s">
        <v>169</v>
      </c>
      <c r="C49" s="101"/>
      <c r="D49" s="57" t="s">
        <v>123</v>
      </c>
      <c r="E49" s="57" t="s">
        <v>124</v>
      </c>
      <c r="F49" s="57" t="s">
        <v>125</v>
      </c>
      <c r="G49" s="57" t="s">
        <v>126</v>
      </c>
      <c r="H49" s="57" t="s">
        <v>127</v>
      </c>
      <c r="I49" s="57" t="s">
        <v>128</v>
      </c>
      <c r="J49" s="57" t="s">
        <v>129</v>
      </c>
      <c r="K49" s="57" t="s">
        <v>130</v>
      </c>
      <c r="L49" s="57" t="s">
        <v>131</v>
      </c>
      <c r="M49" s="57" t="s">
        <v>132</v>
      </c>
      <c r="N49" s="57" t="s">
        <v>133</v>
      </c>
      <c r="O49" s="57" t="s">
        <v>134</v>
      </c>
      <c r="P49" s="58" t="s">
        <v>135</v>
      </c>
    </row>
    <row r="50">
      <c r="B50" s="102" t="s">
        <v>170</v>
      </c>
      <c r="C50" s="103"/>
      <c r="D50" s="104"/>
      <c r="E50" s="105">
        <f t="shared" ref="E50:P50" si="28">D52</f>
        <v>4448.36</v>
      </c>
      <c r="F50" s="105">
        <f t="shared" si="28"/>
        <v>9850.77</v>
      </c>
      <c r="G50" s="105">
        <f t="shared" si="28"/>
        <v>15453.18</v>
      </c>
      <c r="H50" s="105">
        <f t="shared" si="28"/>
        <v>16555.59</v>
      </c>
      <c r="I50" s="105">
        <f t="shared" si="28"/>
        <v>15808</v>
      </c>
      <c r="J50" s="105">
        <f t="shared" si="28"/>
        <v>15960.41</v>
      </c>
      <c r="K50" s="105">
        <f t="shared" si="28"/>
        <v>29826.82</v>
      </c>
      <c r="L50" s="105">
        <f t="shared" si="28"/>
        <v>30929.23</v>
      </c>
      <c r="M50" s="105">
        <f t="shared" si="28"/>
        <v>31531.64</v>
      </c>
      <c r="N50" s="105">
        <f t="shared" si="28"/>
        <v>32762.89</v>
      </c>
      <c r="O50" s="105">
        <f t="shared" si="28"/>
        <v>33494.14</v>
      </c>
      <c r="P50" s="105">
        <f t="shared" si="28"/>
        <v>48389.39</v>
      </c>
    </row>
    <row r="51">
      <c r="B51" s="102" t="s">
        <v>171</v>
      </c>
      <c r="C51" s="103"/>
      <c r="D51" s="106">
        <f t="shared" ref="D51:O51" si="29">+D47</f>
        <v>4448.36</v>
      </c>
      <c r="E51" s="106">
        <f t="shared" si="29"/>
        <v>5402.41</v>
      </c>
      <c r="F51" s="106">
        <f t="shared" si="29"/>
        <v>5602.41</v>
      </c>
      <c r="G51" s="106">
        <f t="shared" si="29"/>
        <v>1102.41</v>
      </c>
      <c r="H51" s="106">
        <f t="shared" si="29"/>
        <v>-747.59</v>
      </c>
      <c r="I51" s="106">
        <f t="shared" si="29"/>
        <v>152.41</v>
      </c>
      <c r="J51" s="106">
        <f t="shared" si="29"/>
        <v>13866.41</v>
      </c>
      <c r="K51" s="106">
        <f t="shared" si="29"/>
        <v>1102.41</v>
      </c>
      <c r="L51" s="106">
        <f t="shared" si="29"/>
        <v>602.41</v>
      </c>
      <c r="M51" s="106">
        <f t="shared" si="29"/>
        <v>1231.25</v>
      </c>
      <c r="N51" s="106">
        <f t="shared" si="29"/>
        <v>731.25</v>
      </c>
      <c r="O51" s="106">
        <f t="shared" si="29"/>
        <v>14895.25</v>
      </c>
      <c r="P51" s="106" t="s">
        <v>172</v>
      </c>
    </row>
    <row r="52">
      <c r="B52" s="67" t="s">
        <v>173</v>
      </c>
      <c r="C52" s="68"/>
      <c r="D52" s="95">
        <f t="shared" ref="D52:P52" si="30">SUM(D50:D51)</f>
        <v>4448.36</v>
      </c>
      <c r="E52" s="95">
        <f t="shared" si="30"/>
        <v>9850.77</v>
      </c>
      <c r="F52" s="95">
        <f t="shared" si="30"/>
        <v>15453.18</v>
      </c>
      <c r="G52" s="95">
        <f t="shared" si="30"/>
        <v>16555.59</v>
      </c>
      <c r="H52" s="95">
        <f t="shared" si="30"/>
        <v>15808</v>
      </c>
      <c r="I52" s="95">
        <f t="shared" si="30"/>
        <v>15960.41</v>
      </c>
      <c r="J52" s="95">
        <f t="shared" si="30"/>
        <v>29826.82</v>
      </c>
      <c r="K52" s="95">
        <f t="shared" si="30"/>
        <v>30929.23</v>
      </c>
      <c r="L52" s="95">
        <f t="shared" si="30"/>
        <v>31531.64</v>
      </c>
      <c r="M52" s="95">
        <f t="shared" si="30"/>
        <v>32762.89</v>
      </c>
      <c r="N52" s="95">
        <f t="shared" si="30"/>
        <v>33494.14</v>
      </c>
      <c r="O52" s="95">
        <f t="shared" si="30"/>
        <v>48389.39</v>
      </c>
      <c r="P52" s="95">
        <f t="shared" si="30"/>
        <v>48389.39</v>
      </c>
    </row>
  </sheetData>
  <mergeCells count="2">
    <mergeCell ref="D2:F2"/>
    <mergeCell ref="B6:Q6"/>
  </mergeCells>
  <conditionalFormatting sqref="D38:P38">
    <cfRule type="cellIs" dxfId="0" priority="1" operator="lessThan">
      <formula>0</formula>
    </cfRule>
  </conditionalFormatting>
  <conditionalFormatting sqref="D47:P47">
    <cfRule type="cellIs" dxfId="0" priority="2" operator="lessThan">
      <formula>0</formula>
    </cfRule>
  </conditionalFormatting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25.0"/>
    <col customWidth="1" min="11" max="11" width="17.5"/>
    <col customWidth="1" min="12" max="12" width="17.63"/>
  </cols>
  <sheetData>
    <row r="1">
      <c r="K1" s="107" t="s">
        <v>175</v>
      </c>
      <c r="L1" s="107" t="s">
        <v>176</v>
      </c>
    </row>
    <row r="2">
      <c r="B2" s="108" t="s">
        <v>117</v>
      </c>
      <c r="C2" s="109"/>
      <c r="D2" s="110" t="s">
        <v>177</v>
      </c>
      <c r="J2" s="18" t="s">
        <v>119</v>
      </c>
      <c r="K2" s="107">
        <v>11000.0</v>
      </c>
      <c r="L2" s="107">
        <v>11000.0</v>
      </c>
    </row>
    <row r="3">
      <c r="J3" s="18" t="s">
        <v>120</v>
      </c>
      <c r="K3" s="107">
        <v>6800.0</v>
      </c>
      <c r="L3" s="27">
        <f>K3+400</f>
        <v>7200</v>
      </c>
    </row>
    <row r="6">
      <c r="B6" s="111" t="s">
        <v>178</v>
      </c>
    </row>
    <row r="8">
      <c r="F8" s="107" t="s">
        <v>179</v>
      </c>
    </row>
    <row r="9">
      <c r="B9" s="55" t="s">
        <v>122</v>
      </c>
      <c r="C9" s="56"/>
      <c r="D9" s="112" t="s">
        <v>123</v>
      </c>
      <c r="E9" s="112" t="s">
        <v>124</v>
      </c>
      <c r="F9" s="112" t="s">
        <v>125</v>
      </c>
      <c r="G9" s="112" t="s">
        <v>126</v>
      </c>
      <c r="H9" s="112" t="s">
        <v>127</v>
      </c>
      <c r="I9" s="112" t="s">
        <v>128</v>
      </c>
      <c r="J9" s="112" t="s">
        <v>129</v>
      </c>
      <c r="K9" s="112" t="s">
        <v>130</v>
      </c>
      <c r="L9" s="112" t="s">
        <v>131</v>
      </c>
      <c r="M9" s="112" t="s">
        <v>132</v>
      </c>
      <c r="N9" s="112" t="s">
        <v>133</v>
      </c>
      <c r="O9" s="112" t="s">
        <v>134</v>
      </c>
      <c r="P9" s="58" t="s">
        <v>135</v>
      </c>
    </row>
    <row r="10">
      <c r="B10" s="59" t="s">
        <v>129</v>
      </c>
      <c r="C10" s="60"/>
      <c r="D10" s="113">
        <v>8324.69</v>
      </c>
      <c r="E10" s="113">
        <v>8324.69</v>
      </c>
      <c r="F10" s="113">
        <v>8324.69</v>
      </c>
      <c r="G10" s="113">
        <v>8324.69</v>
      </c>
      <c r="H10" s="113">
        <v>8324.69</v>
      </c>
      <c r="I10" s="113">
        <v>8324.69</v>
      </c>
      <c r="J10" s="113">
        <v>8324.69</v>
      </c>
      <c r="K10" s="113">
        <v>8324.69</v>
      </c>
      <c r="L10" s="113">
        <v>8324.69</v>
      </c>
      <c r="M10" s="113">
        <v>8324.69</v>
      </c>
      <c r="N10" s="113">
        <v>8324.69</v>
      </c>
      <c r="O10" s="113">
        <v>8324.69</v>
      </c>
      <c r="P10" s="114">
        <f t="shared" ref="P10:P14" si="1">SUM(C10:O10)</f>
        <v>99896.28</v>
      </c>
    </row>
    <row r="11">
      <c r="B11" s="59" t="s">
        <v>136</v>
      </c>
      <c r="C11" s="60"/>
      <c r="D11" s="114">
        <v>5419.11</v>
      </c>
      <c r="E11" s="114">
        <v>5419.11</v>
      </c>
      <c r="F11" s="114">
        <v>5721.67</v>
      </c>
      <c r="G11" s="114">
        <v>5721.67</v>
      </c>
      <c r="H11" s="114">
        <v>5721.67</v>
      </c>
      <c r="I11" s="114">
        <v>5721.67</v>
      </c>
      <c r="J11" s="114">
        <v>5721.67</v>
      </c>
      <c r="K11" s="114">
        <v>5721.67</v>
      </c>
      <c r="L11" s="114">
        <v>5721.67</v>
      </c>
      <c r="M11" s="114">
        <v>5721.67</v>
      </c>
      <c r="N11" s="114">
        <v>5721.67</v>
      </c>
      <c r="O11" s="114">
        <v>5721.67</v>
      </c>
      <c r="P11" s="114">
        <f t="shared" si="1"/>
        <v>68054.92</v>
      </c>
    </row>
    <row r="12">
      <c r="B12" s="59" t="s">
        <v>137</v>
      </c>
      <c r="C12" s="60"/>
      <c r="D12" s="115"/>
      <c r="E12" s="114"/>
      <c r="F12" s="115"/>
      <c r="G12" s="114"/>
      <c r="H12" s="115"/>
      <c r="I12" s="114"/>
      <c r="J12" s="115"/>
      <c r="K12" s="114"/>
      <c r="L12" s="115"/>
      <c r="M12" s="114"/>
      <c r="N12" s="115"/>
      <c r="O12" s="114"/>
      <c r="P12" s="114">
        <f t="shared" si="1"/>
        <v>0</v>
      </c>
    </row>
    <row r="13">
      <c r="B13" s="59" t="s">
        <v>138</v>
      </c>
      <c r="C13" s="60"/>
      <c r="D13" s="116"/>
      <c r="E13" s="117">
        <f>7000+1500</f>
        <v>8500</v>
      </c>
      <c r="F13" s="114">
        <v>7291.58</v>
      </c>
      <c r="G13" s="115"/>
      <c r="H13" s="115"/>
      <c r="I13" s="118"/>
      <c r="J13" s="117">
        <f>(L2*1.0675)+(L3*1.0675)</f>
        <v>19428.5</v>
      </c>
      <c r="K13" s="118"/>
      <c r="L13" s="118"/>
      <c r="M13" s="118"/>
      <c r="N13" s="118"/>
      <c r="O13" s="117">
        <f>(L2*1.0675)+(L3*1.0675)+9867</f>
        <v>29295.5</v>
      </c>
      <c r="P13" s="114">
        <f t="shared" si="1"/>
        <v>64515.58</v>
      </c>
    </row>
    <row r="14">
      <c r="B14" s="67" t="s">
        <v>139</v>
      </c>
      <c r="C14" s="68"/>
      <c r="D14" s="119">
        <f t="shared" ref="D14:O14" si="2">SUM(D10:D13)</f>
        <v>13743.8</v>
      </c>
      <c r="E14" s="119">
        <f t="shared" si="2"/>
        <v>22243.8</v>
      </c>
      <c r="F14" s="119">
        <f t="shared" si="2"/>
        <v>21337.94</v>
      </c>
      <c r="G14" s="119">
        <f t="shared" si="2"/>
        <v>14046.36</v>
      </c>
      <c r="H14" s="119">
        <f t="shared" si="2"/>
        <v>14046.36</v>
      </c>
      <c r="I14" s="119">
        <f t="shared" si="2"/>
        <v>14046.36</v>
      </c>
      <c r="J14" s="119">
        <f t="shared" si="2"/>
        <v>33474.86</v>
      </c>
      <c r="K14" s="119">
        <f t="shared" si="2"/>
        <v>14046.36</v>
      </c>
      <c r="L14" s="119">
        <f t="shared" si="2"/>
        <v>14046.36</v>
      </c>
      <c r="M14" s="119">
        <f t="shared" si="2"/>
        <v>14046.36</v>
      </c>
      <c r="N14" s="119">
        <f t="shared" si="2"/>
        <v>14046.36</v>
      </c>
      <c r="O14" s="119">
        <f t="shared" si="2"/>
        <v>43341.86</v>
      </c>
      <c r="P14" s="114">
        <f t="shared" si="1"/>
        <v>232466.78</v>
      </c>
    </row>
    <row r="16">
      <c r="B16" s="70" t="s">
        <v>140</v>
      </c>
      <c r="C16" s="71"/>
      <c r="D16" s="120" t="s">
        <v>123</v>
      </c>
      <c r="E16" s="120" t="s">
        <v>124</v>
      </c>
      <c r="F16" s="120" t="s">
        <v>125</v>
      </c>
      <c r="G16" s="58" t="s">
        <v>126</v>
      </c>
      <c r="H16" s="58" t="s">
        <v>127</v>
      </c>
      <c r="I16" s="58" t="s">
        <v>128</v>
      </c>
      <c r="J16" s="58" t="s">
        <v>129</v>
      </c>
      <c r="K16" s="58" t="s">
        <v>130</v>
      </c>
      <c r="L16" s="58" t="s">
        <v>131</v>
      </c>
      <c r="M16" s="58" t="s">
        <v>132</v>
      </c>
      <c r="N16" s="58" t="s">
        <v>133</v>
      </c>
      <c r="O16" s="58" t="s">
        <v>134</v>
      </c>
      <c r="P16" s="58" t="s">
        <v>135</v>
      </c>
    </row>
    <row r="17">
      <c r="B17" s="121" t="s">
        <v>141</v>
      </c>
      <c r="C17" s="122"/>
      <c r="D17" s="123">
        <v>350.0</v>
      </c>
      <c r="E17" s="123">
        <v>350.0</v>
      </c>
      <c r="F17" s="123">
        <v>350.0</v>
      </c>
      <c r="G17" s="123">
        <f>350+69</f>
        <v>419</v>
      </c>
      <c r="H17" s="123">
        <f t="shared" ref="H17:O17" si="3">G17</f>
        <v>419</v>
      </c>
      <c r="I17" s="123">
        <f t="shared" si="3"/>
        <v>419</v>
      </c>
      <c r="J17" s="123">
        <f t="shared" si="3"/>
        <v>419</v>
      </c>
      <c r="K17" s="123">
        <f t="shared" si="3"/>
        <v>419</v>
      </c>
      <c r="L17" s="123">
        <f t="shared" si="3"/>
        <v>419</v>
      </c>
      <c r="M17" s="123">
        <f t="shared" si="3"/>
        <v>419</v>
      </c>
      <c r="N17" s="123">
        <f t="shared" si="3"/>
        <v>419</v>
      </c>
      <c r="O17" s="123">
        <f t="shared" si="3"/>
        <v>419</v>
      </c>
      <c r="P17" s="124">
        <f t="shared" ref="P17:P40" si="5">SUM(D17:O17)</f>
        <v>4821</v>
      </c>
    </row>
    <row r="18">
      <c r="B18" s="121" t="s">
        <v>142</v>
      </c>
      <c r="C18" s="122"/>
      <c r="D18" s="123">
        <v>200.0</v>
      </c>
      <c r="E18" s="123">
        <v>200.0</v>
      </c>
      <c r="F18" s="123">
        <f t="shared" ref="F18:O18" si="4">E18</f>
        <v>200</v>
      </c>
      <c r="G18" s="123">
        <f t="shared" si="4"/>
        <v>200</v>
      </c>
      <c r="H18" s="123">
        <f t="shared" si="4"/>
        <v>200</v>
      </c>
      <c r="I18" s="123">
        <f t="shared" si="4"/>
        <v>200</v>
      </c>
      <c r="J18" s="123">
        <f t="shared" si="4"/>
        <v>200</v>
      </c>
      <c r="K18" s="123">
        <f t="shared" si="4"/>
        <v>200</v>
      </c>
      <c r="L18" s="123">
        <f t="shared" si="4"/>
        <v>200</v>
      </c>
      <c r="M18" s="123">
        <f t="shared" si="4"/>
        <v>200</v>
      </c>
      <c r="N18" s="123">
        <f t="shared" si="4"/>
        <v>200</v>
      </c>
      <c r="O18" s="123">
        <f t="shared" si="4"/>
        <v>200</v>
      </c>
      <c r="P18" s="124">
        <f t="shared" si="5"/>
        <v>2400</v>
      </c>
    </row>
    <row r="19">
      <c r="B19" s="121" t="s">
        <v>143</v>
      </c>
      <c r="C19" s="122"/>
      <c r="D19" s="125">
        <v>174.85</v>
      </c>
      <c r="E19" s="125">
        <v>174.85</v>
      </c>
      <c r="F19" s="125">
        <v>174.85</v>
      </c>
      <c r="G19" s="125">
        <v>174.85</v>
      </c>
      <c r="H19" s="125">
        <v>174.85</v>
      </c>
      <c r="I19" s="125">
        <v>174.85</v>
      </c>
      <c r="J19" s="125">
        <v>174.85</v>
      </c>
      <c r="K19" s="125">
        <v>174.85</v>
      </c>
      <c r="L19" s="125">
        <v>174.85</v>
      </c>
      <c r="M19" s="125">
        <v>174.85</v>
      </c>
      <c r="N19" s="125">
        <v>174.85</v>
      </c>
      <c r="O19" s="125">
        <v>174.85</v>
      </c>
      <c r="P19" s="124">
        <f t="shared" si="5"/>
        <v>2098.2</v>
      </c>
    </row>
    <row r="20">
      <c r="B20" s="121" t="s">
        <v>144</v>
      </c>
      <c r="C20" s="122"/>
      <c r="D20" s="123">
        <v>100.0</v>
      </c>
      <c r="E20" s="123">
        <v>100.0</v>
      </c>
      <c r="F20" s="123">
        <f t="shared" ref="F20:O20" si="6">E20</f>
        <v>100</v>
      </c>
      <c r="G20" s="123">
        <f t="shared" si="6"/>
        <v>100</v>
      </c>
      <c r="H20" s="123">
        <f t="shared" si="6"/>
        <v>100</v>
      </c>
      <c r="I20" s="123">
        <f t="shared" si="6"/>
        <v>100</v>
      </c>
      <c r="J20" s="123">
        <f t="shared" si="6"/>
        <v>100</v>
      </c>
      <c r="K20" s="123">
        <f t="shared" si="6"/>
        <v>100</v>
      </c>
      <c r="L20" s="123">
        <f t="shared" si="6"/>
        <v>100</v>
      </c>
      <c r="M20" s="123">
        <f t="shared" si="6"/>
        <v>100</v>
      </c>
      <c r="N20" s="123">
        <f t="shared" si="6"/>
        <v>100</v>
      </c>
      <c r="O20" s="123">
        <f t="shared" si="6"/>
        <v>100</v>
      </c>
      <c r="P20" s="124">
        <f t="shared" si="5"/>
        <v>1200</v>
      </c>
    </row>
    <row r="21">
      <c r="B21" s="121" t="s">
        <v>145</v>
      </c>
      <c r="C21" s="122"/>
      <c r="D21" s="123">
        <v>2500.0</v>
      </c>
      <c r="E21" s="123">
        <v>2500.0</v>
      </c>
      <c r="F21" s="123">
        <v>0.0</v>
      </c>
      <c r="G21" s="123">
        <v>3000.0</v>
      </c>
      <c r="H21" s="123">
        <f t="shared" ref="H21:O21" si="7">G21</f>
        <v>3000</v>
      </c>
      <c r="I21" s="123">
        <f t="shared" si="7"/>
        <v>3000</v>
      </c>
      <c r="J21" s="123">
        <f t="shared" si="7"/>
        <v>3000</v>
      </c>
      <c r="K21" s="123">
        <f t="shared" si="7"/>
        <v>3000</v>
      </c>
      <c r="L21" s="123">
        <f t="shared" si="7"/>
        <v>3000</v>
      </c>
      <c r="M21" s="123">
        <f t="shared" si="7"/>
        <v>3000</v>
      </c>
      <c r="N21" s="123">
        <f t="shared" si="7"/>
        <v>3000</v>
      </c>
      <c r="O21" s="123">
        <f t="shared" si="7"/>
        <v>3000</v>
      </c>
      <c r="P21" s="124">
        <f t="shared" si="5"/>
        <v>32000</v>
      </c>
    </row>
    <row r="22">
      <c r="B22" s="121" t="s">
        <v>146</v>
      </c>
      <c r="C22" s="126" t="s">
        <v>147</v>
      </c>
      <c r="D22" s="123">
        <v>400.0</v>
      </c>
      <c r="E22" s="123">
        <v>400.0</v>
      </c>
      <c r="F22" s="123">
        <f t="shared" ref="F22:G22" si="8">E22</f>
        <v>400</v>
      </c>
      <c r="G22" s="123">
        <f t="shared" si="8"/>
        <v>400</v>
      </c>
      <c r="H22" s="123">
        <v>400.0</v>
      </c>
      <c r="I22" s="123">
        <v>400.0</v>
      </c>
      <c r="J22" s="123">
        <v>200.0</v>
      </c>
      <c r="K22" s="123">
        <f t="shared" ref="K22:O22" si="9">J22</f>
        <v>200</v>
      </c>
      <c r="L22" s="123">
        <f t="shared" si="9"/>
        <v>200</v>
      </c>
      <c r="M22" s="123">
        <f t="shared" si="9"/>
        <v>200</v>
      </c>
      <c r="N22" s="123">
        <f t="shared" si="9"/>
        <v>200</v>
      </c>
      <c r="O22" s="123">
        <f t="shared" si="9"/>
        <v>200</v>
      </c>
      <c r="P22" s="124">
        <f t="shared" si="5"/>
        <v>3600</v>
      </c>
    </row>
    <row r="23">
      <c r="B23" s="127" t="s">
        <v>180</v>
      </c>
      <c r="C23" s="128"/>
      <c r="D23" s="129">
        <v>0.0</v>
      </c>
      <c r="E23" s="129">
        <v>0.0</v>
      </c>
      <c r="F23" s="129">
        <v>0.0</v>
      </c>
      <c r="G23" s="129">
        <v>0.0</v>
      </c>
      <c r="H23" s="129">
        <v>0.0</v>
      </c>
      <c r="I23" s="129">
        <v>0.0</v>
      </c>
      <c r="J23" s="129">
        <v>500.0</v>
      </c>
      <c r="K23" s="129">
        <v>500.0</v>
      </c>
      <c r="L23" s="129">
        <v>500.0</v>
      </c>
      <c r="M23" s="129">
        <v>500.0</v>
      </c>
      <c r="N23" s="129">
        <v>500.0</v>
      </c>
      <c r="O23" s="129">
        <v>500.0</v>
      </c>
      <c r="P23" s="130">
        <f t="shared" si="5"/>
        <v>3000</v>
      </c>
    </row>
    <row r="24">
      <c r="B24" s="121" t="s">
        <v>148</v>
      </c>
      <c r="C24" s="122"/>
      <c r="D24" s="123">
        <v>500.0</v>
      </c>
      <c r="E24" s="123">
        <v>500.0</v>
      </c>
      <c r="F24" s="123">
        <f t="shared" ref="F24:G24" si="10">E24</f>
        <v>500</v>
      </c>
      <c r="G24" s="123">
        <f t="shared" si="10"/>
        <v>500</v>
      </c>
      <c r="H24" s="123">
        <v>650.0</v>
      </c>
      <c r="I24" s="123">
        <f>H24</f>
        <v>650</v>
      </c>
      <c r="J24" s="123">
        <f>G24</f>
        <v>500</v>
      </c>
      <c r="K24" s="123">
        <f t="shared" ref="K24:O24" si="11">J24</f>
        <v>500</v>
      </c>
      <c r="L24" s="123">
        <f t="shared" si="11"/>
        <v>500</v>
      </c>
      <c r="M24" s="123">
        <f t="shared" si="11"/>
        <v>500</v>
      </c>
      <c r="N24" s="123">
        <f t="shared" si="11"/>
        <v>500</v>
      </c>
      <c r="O24" s="123">
        <f t="shared" si="11"/>
        <v>500</v>
      </c>
      <c r="P24" s="124">
        <f t="shared" si="5"/>
        <v>6300</v>
      </c>
    </row>
    <row r="25">
      <c r="B25" s="121" t="s">
        <v>149</v>
      </c>
      <c r="C25" s="122"/>
      <c r="D25" s="123">
        <v>500.0</v>
      </c>
      <c r="E25" s="123">
        <v>500.0</v>
      </c>
      <c r="F25" s="123">
        <f t="shared" ref="F25:O25" si="12">E25</f>
        <v>500</v>
      </c>
      <c r="G25" s="123">
        <f t="shared" si="12"/>
        <v>500</v>
      </c>
      <c r="H25" s="123">
        <f t="shared" si="12"/>
        <v>500</v>
      </c>
      <c r="I25" s="123">
        <f t="shared" si="12"/>
        <v>500</v>
      </c>
      <c r="J25" s="123">
        <f t="shared" si="12"/>
        <v>500</v>
      </c>
      <c r="K25" s="123">
        <f t="shared" si="12"/>
        <v>500</v>
      </c>
      <c r="L25" s="123">
        <f t="shared" si="12"/>
        <v>500</v>
      </c>
      <c r="M25" s="123">
        <f t="shared" si="12"/>
        <v>500</v>
      </c>
      <c r="N25" s="123">
        <f t="shared" si="12"/>
        <v>500</v>
      </c>
      <c r="O25" s="123">
        <f t="shared" si="12"/>
        <v>500</v>
      </c>
      <c r="P25" s="124">
        <f t="shared" si="5"/>
        <v>6000</v>
      </c>
    </row>
    <row r="26">
      <c r="B26" s="127" t="s">
        <v>181</v>
      </c>
      <c r="C26" s="128"/>
      <c r="D26" s="129">
        <v>650.0</v>
      </c>
      <c r="E26" s="129">
        <v>150.0</v>
      </c>
      <c r="F26" s="129">
        <v>150.0</v>
      </c>
      <c r="G26" s="129">
        <v>150.0</v>
      </c>
      <c r="H26" s="129">
        <v>150.0</v>
      </c>
      <c r="I26" s="129">
        <v>150.0</v>
      </c>
      <c r="J26" s="129">
        <v>150.0</v>
      </c>
      <c r="K26" s="129">
        <v>150.0</v>
      </c>
      <c r="L26" s="129">
        <v>150.0</v>
      </c>
      <c r="M26" s="129">
        <v>150.0</v>
      </c>
      <c r="N26" s="129">
        <v>150.0</v>
      </c>
      <c r="O26" s="129">
        <v>150.0</v>
      </c>
      <c r="P26" s="130">
        <f t="shared" si="5"/>
        <v>2300</v>
      </c>
    </row>
    <row r="27">
      <c r="B27" s="121" t="s">
        <v>150</v>
      </c>
      <c r="C27" s="122"/>
      <c r="D27" s="123">
        <v>400.0</v>
      </c>
      <c r="E27" s="123">
        <v>400.0</v>
      </c>
      <c r="F27" s="123">
        <f t="shared" ref="F27:O27" si="13">E27</f>
        <v>400</v>
      </c>
      <c r="G27" s="123">
        <f t="shared" si="13"/>
        <v>400</v>
      </c>
      <c r="H27" s="123">
        <f t="shared" si="13"/>
        <v>400</v>
      </c>
      <c r="I27" s="123">
        <f t="shared" si="13"/>
        <v>400</v>
      </c>
      <c r="J27" s="123">
        <f t="shared" si="13"/>
        <v>400</v>
      </c>
      <c r="K27" s="123">
        <f t="shared" si="13"/>
        <v>400</v>
      </c>
      <c r="L27" s="123">
        <f t="shared" si="13"/>
        <v>400</v>
      </c>
      <c r="M27" s="123">
        <f t="shared" si="13"/>
        <v>400</v>
      </c>
      <c r="N27" s="123">
        <f t="shared" si="13"/>
        <v>400</v>
      </c>
      <c r="O27" s="123">
        <f t="shared" si="13"/>
        <v>400</v>
      </c>
      <c r="P27" s="124">
        <f t="shared" si="5"/>
        <v>4800</v>
      </c>
    </row>
    <row r="28">
      <c r="B28" s="127" t="s">
        <v>182</v>
      </c>
      <c r="C28" s="128"/>
      <c r="D28" s="129"/>
      <c r="E28" s="129"/>
      <c r="F28" s="129"/>
      <c r="G28" s="129">
        <v>160.0</v>
      </c>
      <c r="H28" s="129">
        <v>160.0</v>
      </c>
      <c r="I28" s="129">
        <v>160.0</v>
      </c>
      <c r="J28" s="129">
        <v>160.0</v>
      </c>
      <c r="K28" s="129">
        <v>160.0</v>
      </c>
      <c r="L28" s="129">
        <v>160.0</v>
      </c>
      <c r="M28" s="129">
        <v>160.0</v>
      </c>
      <c r="N28" s="129">
        <v>160.0</v>
      </c>
      <c r="O28" s="129">
        <v>160.0</v>
      </c>
      <c r="P28" s="124">
        <f t="shared" si="5"/>
        <v>1440</v>
      </c>
    </row>
    <row r="29">
      <c r="B29" s="127" t="s">
        <v>183</v>
      </c>
      <c r="C29" s="128"/>
      <c r="D29" s="129">
        <v>400.0</v>
      </c>
      <c r="E29" s="129">
        <v>400.0</v>
      </c>
      <c r="F29" s="129">
        <v>400.0</v>
      </c>
      <c r="G29" s="129">
        <v>400.0</v>
      </c>
      <c r="H29" s="129">
        <v>400.0</v>
      </c>
      <c r="I29" s="129">
        <v>400.0</v>
      </c>
      <c r="J29" s="129">
        <v>400.0</v>
      </c>
      <c r="K29" s="129">
        <v>400.0</v>
      </c>
      <c r="L29" s="129">
        <v>400.0</v>
      </c>
      <c r="M29" s="129">
        <v>400.0</v>
      </c>
      <c r="N29" s="129">
        <v>400.0</v>
      </c>
      <c r="O29" s="129">
        <v>400.0</v>
      </c>
      <c r="P29" s="130">
        <f t="shared" si="5"/>
        <v>4800</v>
      </c>
    </row>
    <row r="30">
      <c r="B30" s="121" t="s">
        <v>152</v>
      </c>
      <c r="C30" s="122"/>
      <c r="D30" s="131"/>
      <c r="E30" s="123">
        <v>1000.0</v>
      </c>
      <c r="F30" s="123"/>
      <c r="G30" s="131"/>
      <c r="H30" s="123"/>
      <c r="I30" s="131"/>
      <c r="J30" s="123"/>
      <c r="K30" s="123">
        <v>1000.0</v>
      </c>
      <c r="L30" s="123"/>
      <c r="M30" s="131"/>
      <c r="N30" s="123"/>
      <c r="O30" s="123">
        <v>1000.0</v>
      </c>
      <c r="P30" s="124">
        <f t="shared" si="5"/>
        <v>3000</v>
      </c>
    </row>
    <row r="31">
      <c r="B31" s="121" t="s">
        <v>154</v>
      </c>
      <c r="C31" s="122"/>
      <c r="D31" s="123">
        <v>122.0</v>
      </c>
      <c r="E31" s="123">
        <v>122.0</v>
      </c>
      <c r="F31" s="123">
        <f t="shared" ref="F31:H31" si="14">E31</f>
        <v>122</v>
      </c>
      <c r="G31" s="123">
        <f t="shared" si="14"/>
        <v>122</v>
      </c>
      <c r="H31" s="123">
        <f t="shared" si="14"/>
        <v>122</v>
      </c>
      <c r="I31" s="123">
        <v>136.92</v>
      </c>
      <c r="J31" s="123">
        <f t="shared" ref="J31:L31" si="15">I31</f>
        <v>136.92</v>
      </c>
      <c r="K31" s="123">
        <f t="shared" si="15"/>
        <v>136.92</v>
      </c>
      <c r="L31" s="123">
        <f t="shared" si="15"/>
        <v>136.92</v>
      </c>
      <c r="M31" s="123">
        <v>122.0</v>
      </c>
      <c r="N31" s="123">
        <v>122.0</v>
      </c>
      <c r="O31" s="123">
        <v>122.0</v>
      </c>
      <c r="P31" s="124">
        <f t="shared" si="5"/>
        <v>1523.68</v>
      </c>
    </row>
    <row r="32">
      <c r="B32" s="121" t="s">
        <v>155</v>
      </c>
      <c r="C32" s="122"/>
      <c r="D32" s="131"/>
      <c r="E32" s="131"/>
      <c r="F32" s="123" t="str">
        <f t="shared" ref="F32:O32" si="16">E32</f>
        <v/>
      </c>
      <c r="G32" s="123" t="str">
        <f t="shared" si="16"/>
        <v/>
      </c>
      <c r="H32" s="123" t="str">
        <f t="shared" si="16"/>
        <v/>
      </c>
      <c r="I32" s="123" t="str">
        <f t="shared" si="16"/>
        <v/>
      </c>
      <c r="J32" s="123" t="str">
        <f t="shared" si="16"/>
        <v/>
      </c>
      <c r="K32" s="123" t="str">
        <f t="shared" si="16"/>
        <v/>
      </c>
      <c r="L32" s="123" t="str">
        <f t="shared" si="16"/>
        <v/>
      </c>
      <c r="M32" s="123" t="str">
        <f t="shared" si="16"/>
        <v/>
      </c>
      <c r="N32" s="123" t="str">
        <f t="shared" si="16"/>
        <v/>
      </c>
      <c r="O32" s="123" t="str">
        <f t="shared" si="16"/>
        <v/>
      </c>
      <c r="P32" s="124">
        <f t="shared" si="5"/>
        <v>0</v>
      </c>
    </row>
    <row r="33">
      <c r="B33" s="121" t="s">
        <v>156</v>
      </c>
      <c r="C33" s="122"/>
      <c r="D33" s="123">
        <v>150.0</v>
      </c>
      <c r="E33" s="123">
        <v>150.0</v>
      </c>
      <c r="F33" s="131"/>
      <c r="G33" s="123">
        <v>150.0</v>
      </c>
      <c r="H33" s="123">
        <f>400+400+150</f>
        <v>950</v>
      </c>
      <c r="I33" s="123">
        <v>800.0</v>
      </c>
      <c r="J33" s="123">
        <v>300.0</v>
      </c>
      <c r="K33" s="123">
        <v>150.0</v>
      </c>
      <c r="L33" s="131"/>
      <c r="M33" s="123">
        <v>300.0</v>
      </c>
      <c r="N33" s="123">
        <v>150.0</v>
      </c>
      <c r="O33" s="123">
        <v>300.0</v>
      </c>
      <c r="P33" s="124">
        <f t="shared" si="5"/>
        <v>3400</v>
      </c>
    </row>
    <row r="34">
      <c r="B34" s="121" t="s">
        <v>157</v>
      </c>
      <c r="C34" s="122"/>
      <c r="D34" s="123">
        <v>50.0</v>
      </c>
      <c r="E34" s="123">
        <v>50.0</v>
      </c>
      <c r="F34" s="123">
        <f t="shared" ref="F34:O34" si="17">E34</f>
        <v>50</v>
      </c>
      <c r="G34" s="123">
        <f t="shared" si="17"/>
        <v>50</v>
      </c>
      <c r="H34" s="123">
        <f t="shared" si="17"/>
        <v>50</v>
      </c>
      <c r="I34" s="123">
        <f t="shared" si="17"/>
        <v>50</v>
      </c>
      <c r="J34" s="123">
        <f t="shared" si="17"/>
        <v>50</v>
      </c>
      <c r="K34" s="123">
        <f t="shared" si="17"/>
        <v>50</v>
      </c>
      <c r="L34" s="123">
        <f t="shared" si="17"/>
        <v>50</v>
      </c>
      <c r="M34" s="123">
        <f t="shared" si="17"/>
        <v>50</v>
      </c>
      <c r="N34" s="123">
        <f t="shared" si="17"/>
        <v>50</v>
      </c>
      <c r="O34" s="123">
        <f t="shared" si="17"/>
        <v>50</v>
      </c>
      <c r="P34" s="124">
        <f t="shared" si="5"/>
        <v>600</v>
      </c>
    </row>
    <row r="35">
      <c r="B35" s="121" t="s">
        <v>158</v>
      </c>
      <c r="C35" s="122"/>
      <c r="D35" s="131"/>
      <c r="E35" s="131"/>
      <c r="F35" s="123" t="str">
        <f t="shared" ref="F35:O35" si="18">E35</f>
        <v/>
      </c>
      <c r="G35" s="123" t="str">
        <f t="shared" si="18"/>
        <v/>
      </c>
      <c r="H35" s="123" t="str">
        <f t="shared" si="18"/>
        <v/>
      </c>
      <c r="I35" s="123" t="str">
        <f t="shared" si="18"/>
        <v/>
      </c>
      <c r="J35" s="123" t="str">
        <f t="shared" si="18"/>
        <v/>
      </c>
      <c r="K35" s="123" t="str">
        <f t="shared" si="18"/>
        <v/>
      </c>
      <c r="L35" s="123" t="str">
        <f t="shared" si="18"/>
        <v/>
      </c>
      <c r="M35" s="123" t="str">
        <f t="shared" si="18"/>
        <v/>
      </c>
      <c r="N35" s="123" t="str">
        <f t="shared" si="18"/>
        <v/>
      </c>
      <c r="O35" s="123" t="str">
        <f t="shared" si="18"/>
        <v/>
      </c>
      <c r="P35" s="124">
        <f t="shared" si="5"/>
        <v>0</v>
      </c>
    </row>
    <row r="36">
      <c r="B36" s="121" t="s">
        <v>159</v>
      </c>
      <c r="C36" s="122"/>
      <c r="D36" s="123">
        <f>400+400+150</f>
        <v>950</v>
      </c>
      <c r="E36" s="123">
        <v>950.0</v>
      </c>
      <c r="F36" s="123">
        <f t="shared" ref="F36:I36" si="19">400+400+150</f>
        <v>950</v>
      </c>
      <c r="G36" s="123">
        <f t="shared" si="19"/>
        <v>950</v>
      </c>
      <c r="H36" s="123">
        <f t="shared" si="19"/>
        <v>950</v>
      </c>
      <c r="I36" s="123">
        <f t="shared" si="19"/>
        <v>950</v>
      </c>
      <c r="J36" s="123">
        <v>800.0</v>
      </c>
      <c r="K36" s="123">
        <v>800.0</v>
      </c>
      <c r="L36" s="123">
        <v>800.0</v>
      </c>
      <c r="M36" s="123">
        <v>800.0</v>
      </c>
      <c r="N36" s="123">
        <v>800.0</v>
      </c>
      <c r="O36" s="123">
        <v>800.0</v>
      </c>
      <c r="P36" s="124">
        <f t="shared" si="5"/>
        <v>10500</v>
      </c>
    </row>
    <row r="37">
      <c r="B37" s="121" t="s">
        <v>160</v>
      </c>
      <c r="C37" s="122"/>
      <c r="D37" s="123">
        <v>3000.0</v>
      </c>
      <c r="E37" s="123">
        <v>3000.0</v>
      </c>
      <c r="F37" s="123">
        <f t="shared" ref="F37:O37" si="20">E37</f>
        <v>3000</v>
      </c>
      <c r="G37" s="123">
        <f t="shared" si="20"/>
        <v>3000</v>
      </c>
      <c r="H37" s="123">
        <f t="shared" si="20"/>
        <v>3000</v>
      </c>
      <c r="I37" s="123">
        <f t="shared" si="20"/>
        <v>3000</v>
      </c>
      <c r="J37" s="123">
        <f t="shared" si="20"/>
        <v>3000</v>
      </c>
      <c r="K37" s="123">
        <f t="shared" si="20"/>
        <v>3000</v>
      </c>
      <c r="L37" s="123">
        <f t="shared" si="20"/>
        <v>3000</v>
      </c>
      <c r="M37" s="123">
        <f t="shared" si="20"/>
        <v>3000</v>
      </c>
      <c r="N37" s="123">
        <f t="shared" si="20"/>
        <v>3000</v>
      </c>
      <c r="O37" s="123">
        <f t="shared" si="20"/>
        <v>3000</v>
      </c>
      <c r="P37" s="124">
        <f t="shared" si="5"/>
        <v>36000</v>
      </c>
    </row>
    <row r="38">
      <c r="B38" s="127" t="s">
        <v>184</v>
      </c>
      <c r="C38" s="128"/>
      <c r="D38" s="129">
        <v>700.0</v>
      </c>
      <c r="E38" s="129">
        <v>700.0</v>
      </c>
      <c r="F38" s="129">
        <v>700.0</v>
      </c>
      <c r="G38" s="129">
        <v>700.0</v>
      </c>
      <c r="H38" s="129">
        <v>700.0</v>
      </c>
      <c r="I38" s="129">
        <v>700.0</v>
      </c>
      <c r="J38" s="129">
        <v>700.0</v>
      </c>
      <c r="K38" s="129">
        <v>700.0</v>
      </c>
      <c r="L38" s="129">
        <v>700.0</v>
      </c>
      <c r="M38" s="129">
        <v>700.0</v>
      </c>
      <c r="N38" s="129">
        <v>700.0</v>
      </c>
      <c r="O38" s="129">
        <v>700.0</v>
      </c>
      <c r="P38" s="130">
        <f t="shared" si="5"/>
        <v>8400</v>
      </c>
    </row>
    <row r="39">
      <c r="B39" s="127" t="s">
        <v>3</v>
      </c>
      <c r="C39" s="128"/>
      <c r="D39" s="129">
        <v>500.0</v>
      </c>
      <c r="E39" s="129">
        <v>500.0</v>
      </c>
      <c r="F39" s="129">
        <v>500.0</v>
      </c>
      <c r="G39" s="129">
        <v>500.0</v>
      </c>
      <c r="H39" s="129">
        <v>500.0</v>
      </c>
      <c r="I39" s="129">
        <v>500.0</v>
      </c>
      <c r="J39" s="129">
        <v>500.0</v>
      </c>
      <c r="K39" s="129">
        <v>500.0</v>
      </c>
      <c r="L39" s="129">
        <v>500.0</v>
      </c>
      <c r="M39" s="129">
        <v>500.0</v>
      </c>
      <c r="N39" s="129">
        <v>500.0</v>
      </c>
      <c r="O39" s="129">
        <v>500.0</v>
      </c>
      <c r="P39" s="130">
        <f t="shared" si="5"/>
        <v>6000</v>
      </c>
    </row>
    <row r="40">
      <c r="B40" s="67" t="s">
        <v>161</v>
      </c>
      <c r="C40" s="68"/>
      <c r="D40" s="132">
        <f t="shared" ref="D40:O40" si="21">SUM(D17:D39)*-1</f>
        <v>-11646.85</v>
      </c>
      <c r="E40" s="132">
        <f t="shared" si="21"/>
        <v>-12146.85</v>
      </c>
      <c r="F40" s="132">
        <f t="shared" si="21"/>
        <v>-8496.85</v>
      </c>
      <c r="G40" s="132">
        <f t="shared" si="21"/>
        <v>-11875.85</v>
      </c>
      <c r="H40" s="132">
        <f t="shared" si="21"/>
        <v>-12825.85</v>
      </c>
      <c r="I40" s="132">
        <f t="shared" si="21"/>
        <v>-12690.77</v>
      </c>
      <c r="J40" s="132">
        <f t="shared" si="21"/>
        <v>-12190.77</v>
      </c>
      <c r="K40" s="132">
        <f t="shared" si="21"/>
        <v>-13040.77</v>
      </c>
      <c r="L40" s="132">
        <f t="shared" si="21"/>
        <v>-11890.77</v>
      </c>
      <c r="M40" s="132">
        <f t="shared" si="21"/>
        <v>-12175.85</v>
      </c>
      <c r="N40" s="132">
        <f t="shared" si="21"/>
        <v>-12025.85</v>
      </c>
      <c r="O40" s="132">
        <f t="shared" si="21"/>
        <v>-13175.85</v>
      </c>
      <c r="P40" s="133">
        <f t="shared" si="5"/>
        <v>-144182.88</v>
      </c>
    </row>
    <row r="42">
      <c r="B42" s="80" t="s">
        <v>162</v>
      </c>
      <c r="C42" s="81"/>
      <c r="D42" s="82">
        <f t="shared" ref="D42:P42" si="22">D14+D40</f>
        <v>2096.95</v>
      </c>
      <c r="E42" s="82">
        <f t="shared" si="22"/>
        <v>10096.95</v>
      </c>
      <c r="F42" s="82">
        <f t="shared" si="22"/>
        <v>12841.09</v>
      </c>
      <c r="G42" s="82">
        <f t="shared" si="22"/>
        <v>2170.51</v>
      </c>
      <c r="H42" s="82">
        <f t="shared" si="22"/>
        <v>1220.51</v>
      </c>
      <c r="I42" s="82">
        <f t="shared" si="22"/>
        <v>1355.59</v>
      </c>
      <c r="J42" s="82">
        <f t="shared" si="22"/>
        <v>21284.09</v>
      </c>
      <c r="K42" s="82">
        <f t="shared" si="22"/>
        <v>1005.59</v>
      </c>
      <c r="L42" s="82">
        <f t="shared" si="22"/>
        <v>2155.59</v>
      </c>
      <c r="M42" s="82">
        <f t="shared" si="22"/>
        <v>1870.51</v>
      </c>
      <c r="N42" s="82">
        <f t="shared" si="22"/>
        <v>2020.51</v>
      </c>
      <c r="O42" s="82">
        <f t="shared" si="22"/>
        <v>30166.01</v>
      </c>
      <c r="P42" s="82">
        <f t="shared" si="22"/>
        <v>88283.9</v>
      </c>
    </row>
    <row r="43">
      <c r="B43" s="83"/>
      <c r="C43" s="83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</row>
    <row r="44">
      <c r="B44" s="85" t="s">
        <v>163</v>
      </c>
      <c r="C44" s="86"/>
      <c r="D44" s="57" t="s">
        <v>123</v>
      </c>
      <c r="E44" s="57" t="s">
        <v>124</v>
      </c>
      <c r="F44" s="57" t="s">
        <v>125</v>
      </c>
      <c r="G44" s="57" t="s">
        <v>126</v>
      </c>
      <c r="H44" s="57" t="s">
        <v>127</v>
      </c>
      <c r="I44" s="57" t="s">
        <v>128</v>
      </c>
      <c r="J44" s="57" t="s">
        <v>129</v>
      </c>
      <c r="K44" s="57" t="s">
        <v>130</v>
      </c>
      <c r="L44" s="57" t="s">
        <v>131</v>
      </c>
      <c r="M44" s="57" t="s">
        <v>132</v>
      </c>
      <c r="N44" s="57" t="s">
        <v>133</v>
      </c>
      <c r="O44" s="57" t="s">
        <v>134</v>
      </c>
      <c r="P44" s="58" t="s">
        <v>135</v>
      </c>
    </row>
    <row r="45">
      <c r="B45" s="87" t="s">
        <v>185</v>
      </c>
      <c r="C45" s="88"/>
      <c r="D45" s="89"/>
      <c r="E45" s="89"/>
      <c r="F45" s="134">
        <v>512.38</v>
      </c>
      <c r="G45" s="134">
        <v>512.38</v>
      </c>
      <c r="H45" s="134">
        <v>512.38</v>
      </c>
      <c r="I45" s="134">
        <v>512.38</v>
      </c>
      <c r="J45" s="134">
        <v>512.38</v>
      </c>
      <c r="K45" s="134">
        <v>512.38</v>
      </c>
      <c r="L45" s="134">
        <v>512.38</v>
      </c>
      <c r="M45" s="134">
        <v>512.38</v>
      </c>
      <c r="N45" s="134">
        <v>512.38</v>
      </c>
      <c r="O45" s="134">
        <v>512.38</v>
      </c>
      <c r="P45" s="91">
        <f t="shared" ref="P45:P47" si="23">SUM(D45:O45)</f>
        <v>5123.8</v>
      </c>
    </row>
    <row r="46">
      <c r="B46" s="87" t="s">
        <v>58</v>
      </c>
      <c r="C46" s="88"/>
      <c r="D46" s="91"/>
      <c r="E46" s="91"/>
      <c r="F46" s="135"/>
      <c r="G46" s="135"/>
      <c r="H46" s="135">
        <v>1000.0</v>
      </c>
      <c r="I46" s="135">
        <v>1000.0</v>
      </c>
      <c r="J46" s="135">
        <v>1000.0</v>
      </c>
      <c r="K46" s="135">
        <v>1000.0</v>
      </c>
      <c r="L46" s="135">
        <v>1000.0</v>
      </c>
      <c r="M46" s="135">
        <v>1000.0</v>
      </c>
      <c r="N46" s="135">
        <v>1000.0</v>
      </c>
      <c r="O46" s="135">
        <v>1000.0</v>
      </c>
      <c r="P46" s="91">
        <f t="shared" si="23"/>
        <v>8000</v>
      </c>
    </row>
    <row r="47">
      <c r="B47" s="87"/>
      <c r="C47" s="88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>
        <f t="shared" si="23"/>
        <v>0</v>
      </c>
    </row>
    <row r="48">
      <c r="B48" s="92"/>
      <c r="C48" s="93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</row>
    <row r="49">
      <c r="B49" s="67" t="s">
        <v>167</v>
      </c>
      <c r="C49" s="95">
        <f>SUM(C45:C48)</f>
        <v>0</v>
      </c>
      <c r="D49" s="78">
        <f t="shared" ref="D49:P49" si="24">SUM(D45:D48)*-1</f>
        <v>0</v>
      </c>
      <c r="E49" s="78">
        <f t="shared" si="24"/>
        <v>0</v>
      </c>
      <c r="F49" s="78">
        <f t="shared" si="24"/>
        <v>-512.38</v>
      </c>
      <c r="G49" s="78">
        <f t="shared" si="24"/>
        <v>-512.38</v>
      </c>
      <c r="H49" s="78">
        <f t="shared" si="24"/>
        <v>-1512.38</v>
      </c>
      <c r="I49" s="78">
        <f t="shared" si="24"/>
        <v>-1512.38</v>
      </c>
      <c r="J49" s="78">
        <f t="shared" si="24"/>
        <v>-1512.38</v>
      </c>
      <c r="K49" s="78">
        <f t="shared" si="24"/>
        <v>-1512.38</v>
      </c>
      <c r="L49" s="78">
        <f t="shared" si="24"/>
        <v>-1512.38</v>
      </c>
      <c r="M49" s="78">
        <f t="shared" si="24"/>
        <v>-1512.38</v>
      </c>
      <c r="N49" s="78">
        <f t="shared" si="24"/>
        <v>-1512.38</v>
      </c>
      <c r="O49" s="78">
        <f t="shared" si="24"/>
        <v>-1512.38</v>
      </c>
      <c r="P49" s="78">
        <f t="shared" si="24"/>
        <v>-13123.8</v>
      </c>
    </row>
    <row r="50">
      <c r="B50" s="83"/>
      <c r="C50" s="83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</row>
    <row r="51">
      <c r="B51" s="97" t="s">
        <v>168</v>
      </c>
      <c r="C51" s="98"/>
      <c r="D51" s="99">
        <f t="shared" ref="D51:P51" si="25">D42+D49</f>
        <v>2096.95</v>
      </c>
      <c r="E51" s="99">
        <f t="shared" si="25"/>
        <v>10096.95</v>
      </c>
      <c r="F51" s="99">
        <f t="shared" si="25"/>
        <v>12328.71</v>
      </c>
      <c r="G51" s="99">
        <f t="shared" si="25"/>
        <v>1658.13</v>
      </c>
      <c r="H51" s="99">
        <f t="shared" si="25"/>
        <v>-291.87</v>
      </c>
      <c r="I51" s="99">
        <f t="shared" si="25"/>
        <v>-156.79</v>
      </c>
      <c r="J51" s="99">
        <f t="shared" si="25"/>
        <v>19771.71</v>
      </c>
      <c r="K51" s="99">
        <f t="shared" si="25"/>
        <v>-506.79</v>
      </c>
      <c r="L51" s="99">
        <f t="shared" si="25"/>
        <v>643.21</v>
      </c>
      <c r="M51" s="99">
        <f t="shared" si="25"/>
        <v>358.13</v>
      </c>
      <c r="N51" s="99">
        <f t="shared" si="25"/>
        <v>508.13</v>
      </c>
      <c r="O51" s="99">
        <f t="shared" si="25"/>
        <v>28653.63</v>
      </c>
      <c r="P51" s="99">
        <f t="shared" si="25"/>
        <v>75160.1</v>
      </c>
    </row>
    <row r="52">
      <c r="B52" s="83"/>
      <c r="C52" s="83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</row>
    <row r="53">
      <c r="B53" s="100" t="s">
        <v>169</v>
      </c>
      <c r="C53" s="101"/>
      <c r="D53" s="57" t="s">
        <v>123</v>
      </c>
      <c r="E53" s="57" t="s">
        <v>124</v>
      </c>
      <c r="F53" s="57" t="s">
        <v>125</v>
      </c>
      <c r="G53" s="57" t="s">
        <v>126</v>
      </c>
      <c r="H53" s="57" t="s">
        <v>127</v>
      </c>
      <c r="I53" s="57" t="s">
        <v>128</v>
      </c>
      <c r="J53" s="57" t="s">
        <v>129</v>
      </c>
      <c r="K53" s="57" t="s">
        <v>130</v>
      </c>
      <c r="L53" s="57" t="s">
        <v>131</v>
      </c>
      <c r="M53" s="57" t="s">
        <v>132</v>
      </c>
      <c r="N53" s="57" t="s">
        <v>133</v>
      </c>
      <c r="O53" s="57" t="s">
        <v>134</v>
      </c>
      <c r="P53" s="58" t="s">
        <v>135</v>
      </c>
    </row>
    <row r="54">
      <c r="B54" s="102" t="s">
        <v>170</v>
      </c>
      <c r="C54" s="103"/>
      <c r="D54" s="104"/>
      <c r="E54" s="105">
        <f t="shared" ref="E54:P54" si="26">D56</f>
        <v>2096.95</v>
      </c>
      <c r="F54" s="105">
        <f t="shared" si="26"/>
        <v>12193.9</v>
      </c>
      <c r="G54" s="105">
        <f t="shared" si="26"/>
        <v>24522.61</v>
      </c>
      <c r="H54" s="105">
        <f t="shared" si="26"/>
        <v>26180.74</v>
      </c>
      <c r="I54" s="105">
        <f t="shared" si="26"/>
        <v>25888.87</v>
      </c>
      <c r="J54" s="105">
        <f t="shared" si="26"/>
        <v>25732.08</v>
      </c>
      <c r="K54" s="105">
        <f t="shared" si="26"/>
        <v>45503.79</v>
      </c>
      <c r="L54" s="105">
        <f t="shared" si="26"/>
        <v>44997</v>
      </c>
      <c r="M54" s="105">
        <f t="shared" si="26"/>
        <v>45640.21</v>
      </c>
      <c r="N54" s="105">
        <f t="shared" si="26"/>
        <v>45998.34</v>
      </c>
      <c r="O54" s="105">
        <f t="shared" si="26"/>
        <v>46506.47</v>
      </c>
      <c r="P54" s="105">
        <f t="shared" si="26"/>
        <v>75160.1</v>
      </c>
    </row>
    <row r="55">
      <c r="B55" s="102" t="s">
        <v>171</v>
      </c>
      <c r="C55" s="103"/>
      <c r="D55" s="106">
        <f t="shared" ref="D55:O55" si="27">+D51</f>
        <v>2096.95</v>
      </c>
      <c r="E55" s="106">
        <f t="shared" si="27"/>
        <v>10096.95</v>
      </c>
      <c r="F55" s="106">
        <f t="shared" si="27"/>
        <v>12328.71</v>
      </c>
      <c r="G55" s="106">
        <f t="shared" si="27"/>
        <v>1658.13</v>
      </c>
      <c r="H55" s="106">
        <f t="shared" si="27"/>
        <v>-291.87</v>
      </c>
      <c r="I55" s="106">
        <f t="shared" si="27"/>
        <v>-156.79</v>
      </c>
      <c r="J55" s="106">
        <f t="shared" si="27"/>
        <v>19771.71</v>
      </c>
      <c r="K55" s="106">
        <f t="shared" si="27"/>
        <v>-506.79</v>
      </c>
      <c r="L55" s="106">
        <f t="shared" si="27"/>
        <v>643.21</v>
      </c>
      <c r="M55" s="106">
        <f t="shared" si="27"/>
        <v>358.13</v>
      </c>
      <c r="N55" s="106">
        <f t="shared" si="27"/>
        <v>508.13</v>
      </c>
      <c r="O55" s="106">
        <f t="shared" si="27"/>
        <v>28653.63</v>
      </c>
      <c r="P55" s="106" t="s">
        <v>172</v>
      </c>
    </row>
    <row r="56">
      <c r="B56" s="67" t="s">
        <v>173</v>
      </c>
      <c r="C56" s="68"/>
      <c r="D56" s="95">
        <f t="shared" ref="D56:P56" si="28">SUM(D54:D55)</f>
        <v>2096.95</v>
      </c>
      <c r="E56" s="95">
        <f t="shared" si="28"/>
        <v>12193.9</v>
      </c>
      <c r="F56" s="95">
        <f t="shared" si="28"/>
        <v>24522.61</v>
      </c>
      <c r="G56" s="95">
        <f t="shared" si="28"/>
        <v>26180.74</v>
      </c>
      <c r="H56" s="95">
        <f t="shared" si="28"/>
        <v>25888.87</v>
      </c>
      <c r="I56" s="95">
        <f t="shared" si="28"/>
        <v>25732.08</v>
      </c>
      <c r="J56" s="95">
        <f t="shared" si="28"/>
        <v>45503.79</v>
      </c>
      <c r="K56" s="95">
        <f t="shared" si="28"/>
        <v>44997</v>
      </c>
      <c r="L56" s="95">
        <f t="shared" si="28"/>
        <v>45640.21</v>
      </c>
      <c r="M56" s="95">
        <f t="shared" si="28"/>
        <v>45998.34</v>
      </c>
      <c r="N56" s="95">
        <f t="shared" si="28"/>
        <v>46506.47</v>
      </c>
      <c r="O56" s="95">
        <f t="shared" si="28"/>
        <v>75160.1</v>
      </c>
      <c r="P56" s="95">
        <f t="shared" si="28"/>
        <v>75160.1</v>
      </c>
    </row>
  </sheetData>
  <mergeCells count="2">
    <mergeCell ref="D2:F2"/>
    <mergeCell ref="B6:Q6"/>
  </mergeCells>
  <conditionalFormatting sqref="D42:P42">
    <cfRule type="cellIs" dxfId="0" priority="1" operator="lessThan">
      <formula>0</formula>
    </cfRule>
  </conditionalFormatting>
  <conditionalFormatting sqref="D51:P51">
    <cfRule type="cellIs" dxfId="0" priority="2" operator="lessThan">
      <formula>0</formula>
    </cfRule>
  </conditionalFormatting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25.0"/>
    <col customWidth="1" min="3" max="3" width="5.25"/>
    <col customWidth="1" min="11" max="11" width="17.5"/>
    <col customWidth="1" min="12" max="12" width="17.63"/>
  </cols>
  <sheetData>
    <row r="1">
      <c r="C1" s="27"/>
      <c r="K1" s="107" t="s">
        <v>186</v>
      </c>
      <c r="L1" s="107" t="s">
        <v>187</v>
      </c>
    </row>
    <row r="2">
      <c r="B2" s="136" t="s">
        <v>117</v>
      </c>
      <c r="C2" s="137"/>
      <c r="D2" s="138" t="s">
        <v>188</v>
      </c>
      <c r="J2" s="18" t="s">
        <v>119</v>
      </c>
      <c r="K2" s="107">
        <v>11000.0</v>
      </c>
      <c r="L2" s="107">
        <v>11500.0</v>
      </c>
    </row>
    <row r="3">
      <c r="C3" s="27"/>
      <c r="J3" s="18" t="s">
        <v>120</v>
      </c>
      <c r="K3" s="107">
        <v>7200.0</v>
      </c>
      <c r="L3" s="27">
        <f>K3+260</f>
        <v>7460</v>
      </c>
    </row>
    <row r="4">
      <c r="C4" s="27"/>
    </row>
    <row r="5">
      <c r="C5" s="27"/>
    </row>
    <row r="6">
      <c r="B6" s="139" t="s">
        <v>189</v>
      </c>
    </row>
    <row r="7">
      <c r="C7" s="27"/>
    </row>
    <row r="8">
      <c r="C8" s="27"/>
      <c r="F8" s="107"/>
    </row>
    <row r="9">
      <c r="B9" s="55" t="s">
        <v>122</v>
      </c>
      <c r="C9" s="56"/>
      <c r="D9" s="140" t="s">
        <v>123</v>
      </c>
      <c r="E9" s="140" t="s">
        <v>124</v>
      </c>
      <c r="F9" s="140" t="s">
        <v>125</v>
      </c>
      <c r="G9" s="140" t="s">
        <v>126</v>
      </c>
      <c r="H9" s="140" t="s">
        <v>127</v>
      </c>
      <c r="I9" s="140" t="s">
        <v>128</v>
      </c>
      <c r="J9" s="140" t="s">
        <v>129</v>
      </c>
      <c r="K9" s="140" t="s">
        <v>130</v>
      </c>
      <c r="L9" s="140" t="s">
        <v>131</v>
      </c>
      <c r="M9" s="140" t="s">
        <v>132</v>
      </c>
      <c r="N9" s="140" t="s">
        <v>133</v>
      </c>
      <c r="O9" s="140" t="s">
        <v>134</v>
      </c>
      <c r="P9" s="58" t="s">
        <v>135</v>
      </c>
    </row>
    <row r="10">
      <c r="B10" s="59" t="s">
        <v>129</v>
      </c>
      <c r="C10" s="141"/>
      <c r="D10" s="113">
        <v>8402.26</v>
      </c>
      <c r="E10" s="113">
        <v>8402.26</v>
      </c>
      <c r="F10" s="113">
        <v>8402.26</v>
      </c>
      <c r="G10" s="113">
        <v>8402.26</v>
      </c>
      <c r="H10" s="113">
        <v>8402.26</v>
      </c>
      <c r="I10" s="113">
        <v>8402.26</v>
      </c>
      <c r="J10" s="113">
        <v>8402.26</v>
      </c>
      <c r="K10" s="113">
        <v>8402.26</v>
      </c>
      <c r="L10" s="113">
        <v>8402.26</v>
      </c>
      <c r="M10" s="113">
        <v>8402.26</v>
      </c>
      <c r="N10" s="113">
        <v>8402.26</v>
      </c>
      <c r="O10" s="113">
        <v>8402.26</v>
      </c>
      <c r="P10" s="114">
        <f t="shared" ref="P10:P14" si="2">SUM(C10:O10)</f>
        <v>100827.12</v>
      </c>
    </row>
    <row r="11">
      <c r="B11" s="59" t="s">
        <v>136</v>
      </c>
      <c r="C11" s="141"/>
      <c r="D11" s="114">
        <f t="shared" ref="D11:O11" si="1">2160+3544.87</f>
        <v>5704.87</v>
      </c>
      <c r="E11" s="114">
        <f t="shared" si="1"/>
        <v>5704.87</v>
      </c>
      <c r="F11" s="114">
        <f t="shared" si="1"/>
        <v>5704.87</v>
      </c>
      <c r="G11" s="114">
        <f t="shared" si="1"/>
        <v>5704.87</v>
      </c>
      <c r="H11" s="114">
        <f t="shared" si="1"/>
        <v>5704.87</v>
      </c>
      <c r="I11" s="114">
        <f t="shared" si="1"/>
        <v>5704.87</v>
      </c>
      <c r="J11" s="114">
        <f t="shared" si="1"/>
        <v>5704.87</v>
      </c>
      <c r="K11" s="114">
        <f t="shared" si="1"/>
        <v>5704.87</v>
      </c>
      <c r="L11" s="114">
        <f t="shared" si="1"/>
        <v>5704.87</v>
      </c>
      <c r="M11" s="114">
        <f t="shared" si="1"/>
        <v>5704.87</v>
      </c>
      <c r="N11" s="114">
        <f t="shared" si="1"/>
        <v>5704.87</v>
      </c>
      <c r="O11" s="114">
        <f t="shared" si="1"/>
        <v>5704.87</v>
      </c>
      <c r="P11" s="114">
        <f t="shared" si="2"/>
        <v>68458.44</v>
      </c>
    </row>
    <row r="12">
      <c r="B12" s="59" t="s">
        <v>137</v>
      </c>
      <c r="C12" s="141"/>
      <c r="D12" s="115"/>
      <c r="E12" s="114"/>
      <c r="F12" s="115"/>
      <c r="G12" s="114"/>
      <c r="H12" s="115"/>
      <c r="I12" s="114"/>
      <c r="J12" s="115"/>
      <c r="K12" s="114"/>
      <c r="L12" s="115"/>
      <c r="M12" s="114"/>
      <c r="N12" s="115"/>
      <c r="O12" s="114"/>
      <c r="P12" s="114">
        <f t="shared" si="2"/>
        <v>0</v>
      </c>
    </row>
    <row r="13">
      <c r="B13" s="59" t="s">
        <v>138</v>
      </c>
      <c r="C13" s="141"/>
      <c r="D13" s="116"/>
      <c r="E13" s="117">
        <f>7000+1500</f>
        <v>8500</v>
      </c>
      <c r="F13" s="114">
        <v>7291.58</v>
      </c>
      <c r="G13" s="115"/>
      <c r="H13" s="115"/>
      <c r="I13" s="118"/>
      <c r="J13" s="117">
        <f>(L2*1.0675)+(L3*1.0675)</f>
        <v>20239.8</v>
      </c>
      <c r="K13" s="118"/>
      <c r="L13" s="118"/>
      <c r="M13" s="118"/>
      <c r="N13" s="118"/>
      <c r="O13" s="117">
        <f>(L2*1.0675)+(L3*1.0675)+5000</f>
        <v>25239.8</v>
      </c>
      <c r="P13" s="114">
        <f t="shared" si="2"/>
        <v>61271.18</v>
      </c>
    </row>
    <row r="14">
      <c r="B14" s="142" t="s">
        <v>139</v>
      </c>
      <c r="C14" s="143"/>
      <c r="D14" s="144">
        <f t="shared" ref="D14:O14" si="3">SUM(D10:D13)</f>
        <v>14107.13</v>
      </c>
      <c r="E14" s="144">
        <f t="shared" si="3"/>
        <v>22607.13</v>
      </c>
      <c r="F14" s="144">
        <f t="shared" si="3"/>
        <v>21398.71</v>
      </c>
      <c r="G14" s="144">
        <f t="shared" si="3"/>
        <v>14107.13</v>
      </c>
      <c r="H14" s="144">
        <f t="shared" si="3"/>
        <v>14107.13</v>
      </c>
      <c r="I14" s="144">
        <f t="shared" si="3"/>
        <v>14107.13</v>
      </c>
      <c r="J14" s="144">
        <f t="shared" si="3"/>
        <v>34346.93</v>
      </c>
      <c r="K14" s="144">
        <f t="shared" si="3"/>
        <v>14107.13</v>
      </c>
      <c r="L14" s="144">
        <f t="shared" si="3"/>
        <v>14107.13</v>
      </c>
      <c r="M14" s="144">
        <f t="shared" si="3"/>
        <v>14107.13</v>
      </c>
      <c r="N14" s="144">
        <f t="shared" si="3"/>
        <v>14107.13</v>
      </c>
      <c r="O14" s="144">
        <f t="shared" si="3"/>
        <v>39346.93</v>
      </c>
      <c r="P14" s="114">
        <f t="shared" si="2"/>
        <v>230556.74</v>
      </c>
    </row>
    <row r="15">
      <c r="C15" s="27"/>
    </row>
    <row r="16">
      <c r="B16" s="70" t="s">
        <v>140</v>
      </c>
      <c r="C16" s="71"/>
      <c r="D16" s="58" t="s">
        <v>123</v>
      </c>
      <c r="E16" s="58" t="s">
        <v>124</v>
      </c>
      <c r="F16" s="58" t="s">
        <v>125</v>
      </c>
      <c r="G16" s="58" t="s">
        <v>126</v>
      </c>
      <c r="H16" s="58" t="s">
        <v>127</v>
      </c>
      <c r="I16" s="58" t="s">
        <v>128</v>
      </c>
      <c r="J16" s="58" t="s">
        <v>129</v>
      </c>
      <c r="K16" s="58" t="s">
        <v>130</v>
      </c>
      <c r="L16" s="58" t="s">
        <v>131</v>
      </c>
      <c r="M16" s="58" t="s">
        <v>132</v>
      </c>
      <c r="N16" s="58" t="s">
        <v>133</v>
      </c>
      <c r="O16" s="58" t="s">
        <v>134</v>
      </c>
      <c r="P16" s="58" t="s">
        <v>135</v>
      </c>
    </row>
    <row r="17">
      <c r="B17" s="145" t="s">
        <v>141</v>
      </c>
      <c r="C17" s="146"/>
      <c r="D17" s="147">
        <v>410.0</v>
      </c>
      <c r="E17" s="147">
        <v>410.0</v>
      </c>
      <c r="F17" s="147">
        <v>410.0</v>
      </c>
      <c r="G17" s="147">
        <v>410.0</v>
      </c>
      <c r="H17" s="147">
        <v>410.0</v>
      </c>
      <c r="I17" s="147">
        <v>410.0</v>
      </c>
      <c r="J17" s="147">
        <v>410.0</v>
      </c>
      <c r="K17" s="147">
        <v>410.0</v>
      </c>
      <c r="L17" s="147">
        <v>410.0</v>
      </c>
      <c r="M17" s="147">
        <v>410.0</v>
      </c>
      <c r="N17" s="147">
        <v>410.0</v>
      </c>
      <c r="O17" s="147">
        <v>410.0</v>
      </c>
      <c r="P17" s="148">
        <f t="shared" ref="P17:P40" si="4">SUM(D17:O17)</f>
        <v>4920</v>
      </c>
    </row>
    <row r="18">
      <c r="B18" s="145" t="s">
        <v>142</v>
      </c>
      <c r="C18" s="146"/>
      <c r="D18" s="147">
        <v>220.0</v>
      </c>
      <c r="E18" s="147">
        <v>220.0</v>
      </c>
      <c r="F18" s="147">
        <v>220.0</v>
      </c>
      <c r="G18" s="147">
        <v>220.0</v>
      </c>
      <c r="H18" s="147">
        <v>220.0</v>
      </c>
      <c r="I18" s="147">
        <v>220.0</v>
      </c>
      <c r="J18" s="147">
        <v>220.0</v>
      </c>
      <c r="K18" s="147">
        <v>220.0</v>
      </c>
      <c r="L18" s="147">
        <v>220.0</v>
      </c>
      <c r="M18" s="147">
        <v>220.0</v>
      </c>
      <c r="N18" s="147">
        <v>220.0</v>
      </c>
      <c r="O18" s="147">
        <v>220.0</v>
      </c>
      <c r="P18" s="148">
        <f t="shared" si="4"/>
        <v>2640</v>
      </c>
    </row>
    <row r="19">
      <c r="B19" s="145" t="s">
        <v>143</v>
      </c>
      <c r="C19" s="146"/>
      <c r="D19" s="149">
        <v>139.9</v>
      </c>
      <c r="E19" s="149">
        <v>139.9</v>
      </c>
      <c r="F19" s="149">
        <v>139.9</v>
      </c>
      <c r="G19" s="149">
        <v>139.9</v>
      </c>
      <c r="H19" s="149">
        <v>139.9</v>
      </c>
      <c r="I19" s="149">
        <v>139.9</v>
      </c>
      <c r="J19" s="149">
        <v>139.9</v>
      </c>
      <c r="K19" s="149">
        <v>139.9</v>
      </c>
      <c r="L19" s="149">
        <v>139.9</v>
      </c>
      <c r="M19" s="149">
        <v>139.9</v>
      </c>
      <c r="N19" s="149">
        <v>139.9</v>
      </c>
      <c r="O19" s="149">
        <v>139.9</v>
      </c>
      <c r="P19" s="148">
        <f t="shared" si="4"/>
        <v>1678.8</v>
      </c>
    </row>
    <row r="20">
      <c r="B20" s="145" t="s">
        <v>144</v>
      </c>
      <c r="C20" s="146"/>
      <c r="D20" s="147">
        <v>100.0</v>
      </c>
      <c r="E20" s="147">
        <v>100.0</v>
      </c>
      <c r="F20" s="147">
        <f t="shared" ref="F20:O20" si="5">E20</f>
        <v>100</v>
      </c>
      <c r="G20" s="147">
        <f t="shared" si="5"/>
        <v>100</v>
      </c>
      <c r="H20" s="147">
        <f t="shared" si="5"/>
        <v>100</v>
      </c>
      <c r="I20" s="147">
        <f t="shared" si="5"/>
        <v>100</v>
      </c>
      <c r="J20" s="147">
        <f t="shared" si="5"/>
        <v>100</v>
      </c>
      <c r="K20" s="147">
        <f t="shared" si="5"/>
        <v>100</v>
      </c>
      <c r="L20" s="147">
        <f t="shared" si="5"/>
        <v>100</v>
      </c>
      <c r="M20" s="147">
        <f t="shared" si="5"/>
        <v>100</v>
      </c>
      <c r="N20" s="147">
        <f t="shared" si="5"/>
        <v>100</v>
      </c>
      <c r="O20" s="147">
        <f t="shared" si="5"/>
        <v>100</v>
      </c>
      <c r="P20" s="148">
        <f t="shared" si="4"/>
        <v>1200</v>
      </c>
    </row>
    <row r="21">
      <c r="B21" s="145" t="s">
        <v>145</v>
      </c>
      <c r="C21" s="146"/>
      <c r="D21" s="147">
        <v>3000.0</v>
      </c>
      <c r="E21" s="147">
        <v>3000.0</v>
      </c>
      <c r="F21" s="147">
        <v>3000.0</v>
      </c>
      <c r="G21" s="147">
        <v>3000.0</v>
      </c>
      <c r="H21" s="147">
        <v>3000.0</v>
      </c>
      <c r="I21" s="147">
        <v>3000.0</v>
      </c>
      <c r="J21" s="147">
        <v>3000.0</v>
      </c>
      <c r="K21" s="147">
        <v>3000.0</v>
      </c>
      <c r="L21" s="147">
        <v>3000.0</v>
      </c>
      <c r="M21" s="147">
        <v>3000.0</v>
      </c>
      <c r="N21" s="147">
        <v>3000.0</v>
      </c>
      <c r="O21" s="147">
        <v>3000.0</v>
      </c>
      <c r="P21" s="148">
        <f t="shared" si="4"/>
        <v>36000</v>
      </c>
    </row>
    <row r="22">
      <c r="B22" s="145" t="s">
        <v>146</v>
      </c>
      <c r="C22" s="150" t="s">
        <v>136</v>
      </c>
      <c r="D22" s="147">
        <v>50.0</v>
      </c>
      <c r="E22" s="147">
        <v>50.0</v>
      </c>
      <c r="F22" s="147">
        <v>50.0</v>
      </c>
      <c r="G22" s="147"/>
      <c r="H22" s="147"/>
      <c r="I22" s="147"/>
      <c r="J22" s="147"/>
      <c r="K22" s="147"/>
      <c r="L22" s="147"/>
      <c r="M22" s="147"/>
      <c r="N22" s="147"/>
      <c r="O22" s="147"/>
      <c r="P22" s="148">
        <f t="shared" si="4"/>
        <v>150</v>
      </c>
    </row>
    <row r="23">
      <c r="B23" s="145" t="s">
        <v>180</v>
      </c>
      <c r="C23" s="146"/>
      <c r="D23" s="147">
        <v>400.0</v>
      </c>
      <c r="E23" s="147">
        <v>400.0</v>
      </c>
      <c r="F23" s="147">
        <v>400.0</v>
      </c>
      <c r="G23" s="147">
        <v>400.0</v>
      </c>
      <c r="H23" s="147">
        <v>400.0</v>
      </c>
      <c r="I23" s="147">
        <v>400.0</v>
      </c>
      <c r="J23" s="147">
        <v>400.0</v>
      </c>
      <c r="K23" s="147">
        <v>400.0</v>
      </c>
      <c r="L23" s="147">
        <v>400.0</v>
      </c>
      <c r="M23" s="147">
        <v>400.0</v>
      </c>
      <c r="N23" s="147">
        <v>400.0</v>
      </c>
      <c r="O23" s="147">
        <v>400.0</v>
      </c>
      <c r="P23" s="148">
        <f t="shared" si="4"/>
        <v>4800</v>
      </c>
    </row>
    <row r="24">
      <c r="B24" s="145" t="s">
        <v>148</v>
      </c>
      <c r="C24" s="146"/>
      <c r="D24" s="147">
        <v>600.0</v>
      </c>
      <c r="E24" s="147">
        <v>600.0</v>
      </c>
      <c r="F24" s="147">
        <v>600.0</v>
      </c>
      <c r="G24" s="147">
        <v>600.0</v>
      </c>
      <c r="H24" s="147">
        <v>600.0</v>
      </c>
      <c r="I24" s="147">
        <v>600.0</v>
      </c>
      <c r="J24" s="147">
        <v>600.0</v>
      </c>
      <c r="K24" s="147">
        <v>600.0</v>
      </c>
      <c r="L24" s="147">
        <v>600.0</v>
      </c>
      <c r="M24" s="147">
        <v>600.0</v>
      </c>
      <c r="N24" s="147">
        <v>600.0</v>
      </c>
      <c r="O24" s="147">
        <v>600.0</v>
      </c>
      <c r="P24" s="148">
        <f t="shared" si="4"/>
        <v>7200</v>
      </c>
    </row>
    <row r="25">
      <c r="B25" s="145" t="s">
        <v>149</v>
      </c>
      <c r="C25" s="146"/>
      <c r="D25" s="147">
        <v>500.0</v>
      </c>
      <c r="E25" s="147">
        <v>500.0</v>
      </c>
      <c r="F25" s="147">
        <f t="shared" ref="F25:O25" si="6">E25</f>
        <v>500</v>
      </c>
      <c r="G25" s="147">
        <f t="shared" si="6"/>
        <v>500</v>
      </c>
      <c r="H25" s="147">
        <f t="shared" si="6"/>
        <v>500</v>
      </c>
      <c r="I25" s="147">
        <f t="shared" si="6"/>
        <v>500</v>
      </c>
      <c r="J25" s="147">
        <f t="shared" si="6"/>
        <v>500</v>
      </c>
      <c r="K25" s="147">
        <f t="shared" si="6"/>
        <v>500</v>
      </c>
      <c r="L25" s="147">
        <f t="shared" si="6"/>
        <v>500</v>
      </c>
      <c r="M25" s="147">
        <f t="shared" si="6"/>
        <v>500</v>
      </c>
      <c r="N25" s="147">
        <f t="shared" si="6"/>
        <v>500</v>
      </c>
      <c r="O25" s="147">
        <f t="shared" si="6"/>
        <v>500</v>
      </c>
      <c r="P25" s="148">
        <f t="shared" si="4"/>
        <v>6000</v>
      </c>
    </row>
    <row r="26">
      <c r="B26" s="145" t="s">
        <v>181</v>
      </c>
      <c r="C26" s="146"/>
      <c r="D26" s="147">
        <v>150.0</v>
      </c>
      <c r="E26" s="147">
        <v>150.0</v>
      </c>
      <c r="F26" s="147">
        <v>150.0</v>
      </c>
      <c r="G26" s="147">
        <v>150.0</v>
      </c>
      <c r="H26" s="147">
        <v>150.0</v>
      </c>
      <c r="I26" s="147">
        <v>150.0</v>
      </c>
      <c r="J26" s="147">
        <v>150.0</v>
      </c>
      <c r="K26" s="147">
        <v>150.0</v>
      </c>
      <c r="L26" s="147">
        <v>150.0</v>
      </c>
      <c r="M26" s="147">
        <v>150.0</v>
      </c>
      <c r="N26" s="147">
        <v>150.0</v>
      </c>
      <c r="O26" s="147">
        <v>150.0</v>
      </c>
      <c r="P26" s="148">
        <f t="shared" si="4"/>
        <v>1800</v>
      </c>
    </row>
    <row r="27">
      <c r="B27" s="145" t="s">
        <v>150</v>
      </c>
      <c r="C27" s="146"/>
      <c r="D27" s="147">
        <v>400.0</v>
      </c>
      <c r="E27" s="147">
        <v>400.0</v>
      </c>
      <c r="F27" s="147">
        <f t="shared" ref="F27:O27" si="7">E27</f>
        <v>400</v>
      </c>
      <c r="G27" s="147">
        <f t="shared" si="7"/>
        <v>400</v>
      </c>
      <c r="H27" s="147">
        <f t="shared" si="7"/>
        <v>400</v>
      </c>
      <c r="I27" s="147">
        <f t="shared" si="7"/>
        <v>400</v>
      </c>
      <c r="J27" s="147">
        <f t="shared" si="7"/>
        <v>400</v>
      </c>
      <c r="K27" s="147">
        <f t="shared" si="7"/>
        <v>400</v>
      </c>
      <c r="L27" s="147">
        <f t="shared" si="7"/>
        <v>400</v>
      </c>
      <c r="M27" s="147">
        <f t="shared" si="7"/>
        <v>400</v>
      </c>
      <c r="N27" s="147">
        <f t="shared" si="7"/>
        <v>400</v>
      </c>
      <c r="O27" s="147">
        <f t="shared" si="7"/>
        <v>400</v>
      </c>
      <c r="P27" s="148">
        <f t="shared" si="4"/>
        <v>4800</v>
      </c>
    </row>
    <row r="28">
      <c r="B28" s="145" t="s">
        <v>182</v>
      </c>
      <c r="C28" s="146"/>
      <c r="D28" s="147">
        <v>160.0</v>
      </c>
      <c r="E28" s="147">
        <v>160.0</v>
      </c>
      <c r="F28" s="147">
        <v>160.0</v>
      </c>
      <c r="G28" s="147">
        <v>160.0</v>
      </c>
      <c r="H28" s="147">
        <v>160.0</v>
      </c>
      <c r="I28" s="147">
        <v>160.0</v>
      </c>
      <c r="J28" s="147">
        <v>160.0</v>
      </c>
      <c r="K28" s="147">
        <v>160.0</v>
      </c>
      <c r="L28" s="147">
        <v>160.0</v>
      </c>
      <c r="M28" s="147">
        <v>160.0</v>
      </c>
      <c r="N28" s="147">
        <v>160.0</v>
      </c>
      <c r="O28" s="147">
        <v>160.0</v>
      </c>
      <c r="P28" s="148">
        <f t="shared" si="4"/>
        <v>1920</v>
      </c>
    </row>
    <row r="29">
      <c r="B29" s="145" t="s">
        <v>183</v>
      </c>
      <c r="C29" s="146"/>
      <c r="D29" s="147">
        <v>400.0</v>
      </c>
      <c r="E29" s="147">
        <v>400.0</v>
      </c>
      <c r="F29" s="147">
        <v>400.0</v>
      </c>
      <c r="G29" s="147">
        <v>400.0</v>
      </c>
      <c r="H29" s="147">
        <v>400.0</v>
      </c>
      <c r="I29" s="147">
        <v>400.0</v>
      </c>
      <c r="J29" s="147">
        <v>400.0</v>
      </c>
      <c r="K29" s="147">
        <v>400.0</v>
      </c>
      <c r="L29" s="147">
        <v>400.0</v>
      </c>
      <c r="M29" s="147">
        <v>400.0</v>
      </c>
      <c r="N29" s="147">
        <v>400.0</v>
      </c>
      <c r="O29" s="147">
        <v>400.0</v>
      </c>
      <c r="P29" s="148">
        <f t="shared" si="4"/>
        <v>4800</v>
      </c>
    </row>
    <row r="30">
      <c r="B30" s="145" t="s">
        <v>152</v>
      </c>
      <c r="C30" s="146"/>
      <c r="D30" s="151"/>
      <c r="E30" s="147"/>
      <c r="F30" s="147"/>
      <c r="G30" s="151"/>
      <c r="H30" s="147"/>
      <c r="I30" s="147"/>
      <c r="J30" s="147"/>
      <c r="K30" s="147"/>
      <c r="L30" s="147"/>
      <c r="M30" s="151"/>
      <c r="N30" s="147"/>
      <c r="O30" s="147"/>
      <c r="P30" s="148">
        <f t="shared" si="4"/>
        <v>0</v>
      </c>
    </row>
    <row r="31">
      <c r="B31" s="145" t="s">
        <v>154</v>
      </c>
      <c r="C31" s="146"/>
      <c r="D31" s="151">
        <v>136.92</v>
      </c>
      <c r="E31" s="151">
        <v>136.92</v>
      </c>
      <c r="F31" s="151">
        <v>136.92</v>
      </c>
      <c r="G31" s="151">
        <v>136.92</v>
      </c>
      <c r="H31" s="151">
        <v>136.92</v>
      </c>
      <c r="I31" s="151">
        <v>136.92</v>
      </c>
      <c r="J31" s="151">
        <v>136.92</v>
      </c>
      <c r="K31" s="151">
        <v>136.92</v>
      </c>
      <c r="L31" s="151">
        <v>136.92</v>
      </c>
      <c r="M31" s="151">
        <v>136.92</v>
      </c>
      <c r="N31" s="151">
        <v>136.92</v>
      </c>
      <c r="O31" s="151">
        <v>136.92</v>
      </c>
      <c r="P31" s="148">
        <f t="shared" si="4"/>
        <v>1643.04</v>
      </c>
    </row>
    <row r="32">
      <c r="B32" s="145" t="s">
        <v>155</v>
      </c>
      <c r="C32" s="146"/>
      <c r="D32" s="151"/>
      <c r="E32" s="151"/>
      <c r="F32" s="147" t="str">
        <f t="shared" ref="F32:O32" si="8">E32</f>
        <v/>
      </c>
      <c r="G32" s="147" t="str">
        <f t="shared" si="8"/>
        <v/>
      </c>
      <c r="H32" s="147" t="str">
        <f t="shared" si="8"/>
        <v/>
      </c>
      <c r="I32" s="147" t="str">
        <f t="shared" si="8"/>
        <v/>
      </c>
      <c r="J32" s="147" t="str">
        <f t="shared" si="8"/>
        <v/>
      </c>
      <c r="K32" s="147" t="str">
        <f t="shared" si="8"/>
        <v/>
      </c>
      <c r="L32" s="147" t="str">
        <f t="shared" si="8"/>
        <v/>
      </c>
      <c r="M32" s="147" t="str">
        <f t="shared" si="8"/>
        <v/>
      </c>
      <c r="N32" s="147" t="str">
        <f t="shared" si="8"/>
        <v/>
      </c>
      <c r="O32" s="147" t="str">
        <f t="shared" si="8"/>
        <v/>
      </c>
      <c r="P32" s="148">
        <f t="shared" si="4"/>
        <v>0</v>
      </c>
    </row>
    <row r="33">
      <c r="B33" s="145" t="s">
        <v>156</v>
      </c>
      <c r="C33" s="146"/>
      <c r="D33" s="147">
        <v>100.0</v>
      </c>
      <c r="E33" s="147">
        <v>100.0</v>
      </c>
      <c r="F33" s="151"/>
      <c r="G33" s="147">
        <v>100.0</v>
      </c>
      <c r="H33" s="147">
        <v>600.0</v>
      </c>
      <c r="I33" s="147">
        <v>500.0</v>
      </c>
      <c r="J33" s="147">
        <v>200.0</v>
      </c>
      <c r="K33" s="147">
        <v>100.0</v>
      </c>
      <c r="L33" s="151"/>
      <c r="M33" s="147">
        <v>200.0</v>
      </c>
      <c r="N33" s="147">
        <v>100.0</v>
      </c>
      <c r="O33" s="147">
        <v>200.0</v>
      </c>
      <c r="P33" s="148">
        <f t="shared" si="4"/>
        <v>2200</v>
      </c>
    </row>
    <row r="34">
      <c r="B34" s="145" t="s">
        <v>157</v>
      </c>
      <c r="C34" s="146"/>
      <c r="D34" s="147">
        <v>50.0</v>
      </c>
      <c r="E34" s="147">
        <v>50.0</v>
      </c>
      <c r="F34" s="147">
        <f t="shared" ref="F34:O34" si="9">E34</f>
        <v>50</v>
      </c>
      <c r="G34" s="147">
        <f t="shared" si="9"/>
        <v>50</v>
      </c>
      <c r="H34" s="147">
        <f t="shared" si="9"/>
        <v>50</v>
      </c>
      <c r="I34" s="147">
        <f t="shared" si="9"/>
        <v>50</v>
      </c>
      <c r="J34" s="147">
        <f t="shared" si="9"/>
        <v>50</v>
      </c>
      <c r="K34" s="147">
        <f t="shared" si="9"/>
        <v>50</v>
      </c>
      <c r="L34" s="147">
        <f t="shared" si="9"/>
        <v>50</v>
      </c>
      <c r="M34" s="147">
        <f t="shared" si="9"/>
        <v>50</v>
      </c>
      <c r="N34" s="147">
        <f t="shared" si="9"/>
        <v>50</v>
      </c>
      <c r="O34" s="147">
        <f t="shared" si="9"/>
        <v>50</v>
      </c>
      <c r="P34" s="148">
        <f t="shared" si="4"/>
        <v>600</v>
      </c>
    </row>
    <row r="35">
      <c r="B35" s="145" t="s">
        <v>158</v>
      </c>
      <c r="C35" s="146"/>
      <c r="D35" s="151"/>
      <c r="E35" s="151"/>
      <c r="F35" s="147" t="str">
        <f t="shared" ref="F35:O35" si="10">E35</f>
        <v/>
      </c>
      <c r="G35" s="147" t="str">
        <f t="shared" si="10"/>
        <v/>
      </c>
      <c r="H35" s="147" t="str">
        <f t="shared" si="10"/>
        <v/>
      </c>
      <c r="I35" s="147" t="str">
        <f t="shared" si="10"/>
        <v/>
      </c>
      <c r="J35" s="147" t="str">
        <f t="shared" si="10"/>
        <v/>
      </c>
      <c r="K35" s="147" t="str">
        <f t="shared" si="10"/>
        <v/>
      </c>
      <c r="L35" s="147" t="str">
        <f t="shared" si="10"/>
        <v/>
      </c>
      <c r="M35" s="147" t="str">
        <f t="shared" si="10"/>
        <v/>
      </c>
      <c r="N35" s="147" t="str">
        <f t="shared" si="10"/>
        <v/>
      </c>
      <c r="O35" s="147" t="str">
        <f t="shared" si="10"/>
        <v/>
      </c>
      <c r="P35" s="148">
        <f t="shared" si="4"/>
        <v>0</v>
      </c>
    </row>
    <row r="36">
      <c r="B36" s="145" t="s">
        <v>159</v>
      </c>
      <c r="C36" s="146"/>
      <c r="D36" s="147">
        <v>800.0</v>
      </c>
      <c r="E36" s="147">
        <v>800.0</v>
      </c>
      <c r="F36" s="147">
        <v>800.0</v>
      </c>
      <c r="G36" s="147">
        <v>800.0</v>
      </c>
      <c r="H36" s="147">
        <v>800.0</v>
      </c>
      <c r="I36" s="147">
        <v>800.0</v>
      </c>
      <c r="J36" s="147">
        <v>800.0</v>
      </c>
      <c r="K36" s="147">
        <v>800.0</v>
      </c>
      <c r="L36" s="147">
        <v>800.0</v>
      </c>
      <c r="M36" s="147">
        <v>800.0</v>
      </c>
      <c r="N36" s="147">
        <v>800.0</v>
      </c>
      <c r="O36" s="147">
        <v>800.0</v>
      </c>
      <c r="P36" s="148">
        <f t="shared" si="4"/>
        <v>9600</v>
      </c>
    </row>
    <row r="37">
      <c r="B37" s="145" t="s">
        <v>160</v>
      </c>
      <c r="C37" s="146"/>
      <c r="D37" s="147">
        <v>3000.0</v>
      </c>
      <c r="E37" s="147">
        <v>3000.0</v>
      </c>
      <c r="F37" s="147">
        <f t="shared" ref="F37:O37" si="11">E37</f>
        <v>3000</v>
      </c>
      <c r="G37" s="147">
        <f t="shared" si="11"/>
        <v>3000</v>
      </c>
      <c r="H37" s="147">
        <f t="shared" si="11"/>
        <v>3000</v>
      </c>
      <c r="I37" s="147">
        <f t="shared" si="11"/>
        <v>3000</v>
      </c>
      <c r="J37" s="147">
        <f t="shared" si="11"/>
        <v>3000</v>
      </c>
      <c r="K37" s="147">
        <f t="shared" si="11"/>
        <v>3000</v>
      </c>
      <c r="L37" s="147">
        <f t="shared" si="11"/>
        <v>3000</v>
      </c>
      <c r="M37" s="147">
        <f t="shared" si="11"/>
        <v>3000</v>
      </c>
      <c r="N37" s="147">
        <f t="shared" si="11"/>
        <v>3000</v>
      </c>
      <c r="O37" s="147">
        <f t="shared" si="11"/>
        <v>3000</v>
      </c>
      <c r="P37" s="148">
        <f t="shared" si="4"/>
        <v>36000</v>
      </c>
    </row>
    <row r="38">
      <c r="B38" s="145" t="s">
        <v>184</v>
      </c>
      <c r="C38" s="146"/>
      <c r="D38" s="147">
        <v>700.0</v>
      </c>
      <c r="E38" s="147">
        <v>700.0</v>
      </c>
      <c r="F38" s="147">
        <v>700.0</v>
      </c>
      <c r="G38" s="147">
        <v>700.0</v>
      </c>
      <c r="H38" s="147">
        <v>700.0</v>
      </c>
      <c r="I38" s="147">
        <v>700.0</v>
      </c>
      <c r="J38" s="147">
        <v>700.0</v>
      </c>
      <c r="K38" s="147">
        <v>700.0</v>
      </c>
      <c r="L38" s="147">
        <v>700.0</v>
      </c>
      <c r="M38" s="147">
        <v>700.0</v>
      </c>
      <c r="N38" s="147">
        <v>700.0</v>
      </c>
      <c r="O38" s="147">
        <v>700.0</v>
      </c>
      <c r="P38" s="148">
        <f t="shared" si="4"/>
        <v>8400</v>
      </c>
    </row>
    <row r="39">
      <c r="B39" s="145" t="s">
        <v>3</v>
      </c>
      <c r="C39" s="146"/>
      <c r="D39" s="147">
        <v>500.0</v>
      </c>
      <c r="E39" s="147">
        <v>500.0</v>
      </c>
      <c r="F39" s="147">
        <v>500.0</v>
      </c>
      <c r="G39" s="147">
        <v>500.0</v>
      </c>
      <c r="H39" s="147">
        <v>500.0</v>
      </c>
      <c r="I39" s="147">
        <v>500.0</v>
      </c>
      <c r="J39" s="147">
        <v>500.0</v>
      </c>
      <c r="K39" s="147">
        <v>500.0</v>
      </c>
      <c r="L39" s="147">
        <v>500.0</v>
      </c>
      <c r="M39" s="147">
        <v>500.0</v>
      </c>
      <c r="N39" s="147">
        <v>500.0</v>
      </c>
      <c r="O39" s="147">
        <v>500.0</v>
      </c>
      <c r="P39" s="148">
        <f t="shared" si="4"/>
        <v>6000</v>
      </c>
    </row>
    <row r="40">
      <c r="B40" s="152" t="s">
        <v>161</v>
      </c>
      <c r="C40" s="153"/>
      <c r="D40" s="154">
        <f t="shared" ref="D40:O40" si="12">SUM(D17:D39)*-1</f>
        <v>-11816.82</v>
      </c>
      <c r="E40" s="154">
        <f t="shared" si="12"/>
        <v>-11816.82</v>
      </c>
      <c r="F40" s="154">
        <f t="shared" si="12"/>
        <v>-11716.82</v>
      </c>
      <c r="G40" s="154">
        <f t="shared" si="12"/>
        <v>-11766.82</v>
      </c>
      <c r="H40" s="154">
        <f t="shared" si="12"/>
        <v>-12266.82</v>
      </c>
      <c r="I40" s="154">
        <f t="shared" si="12"/>
        <v>-12166.82</v>
      </c>
      <c r="J40" s="154">
        <f t="shared" si="12"/>
        <v>-11866.82</v>
      </c>
      <c r="K40" s="154">
        <f t="shared" si="12"/>
        <v>-11766.82</v>
      </c>
      <c r="L40" s="154">
        <f t="shared" si="12"/>
        <v>-11666.82</v>
      </c>
      <c r="M40" s="154">
        <f t="shared" si="12"/>
        <v>-11866.82</v>
      </c>
      <c r="N40" s="154">
        <f t="shared" si="12"/>
        <v>-11766.82</v>
      </c>
      <c r="O40" s="154">
        <f t="shared" si="12"/>
        <v>-11866.82</v>
      </c>
      <c r="P40" s="155">
        <f t="shared" si="4"/>
        <v>-142351.84</v>
      </c>
    </row>
    <row r="41">
      <c r="C41" s="27"/>
    </row>
    <row r="42">
      <c r="B42" s="156" t="s">
        <v>162</v>
      </c>
      <c r="C42" s="157"/>
      <c r="D42" s="158">
        <f t="shared" ref="D42:P42" si="13">D14+D40</f>
        <v>2290.31</v>
      </c>
      <c r="E42" s="158">
        <f t="shared" si="13"/>
        <v>10790.31</v>
      </c>
      <c r="F42" s="158">
        <f t="shared" si="13"/>
        <v>9681.89</v>
      </c>
      <c r="G42" s="158">
        <f t="shared" si="13"/>
        <v>2340.31</v>
      </c>
      <c r="H42" s="158">
        <f t="shared" si="13"/>
        <v>1840.31</v>
      </c>
      <c r="I42" s="158">
        <f t="shared" si="13"/>
        <v>1940.31</v>
      </c>
      <c r="J42" s="158">
        <f t="shared" si="13"/>
        <v>22480.11</v>
      </c>
      <c r="K42" s="158">
        <f t="shared" si="13"/>
        <v>2340.31</v>
      </c>
      <c r="L42" s="158">
        <f t="shared" si="13"/>
        <v>2440.31</v>
      </c>
      <c r="M42" s="158">
        <f t="shared" si="13"/>
        <v>2240.31</v>
      </c>
      <c r="N42" s="158">
        <f t="shared" si="13"/>
        <v>2340.31</v>
      </c>
      <c r="O42" s="158">
        <f t="shared" si="13"/>
        <v>27480.11</v>
      </c>
      <c r="P42" s="158">
        <f t="shared" si="13"/>
        <v>88204.9</v>
      </c>
    </row>
    <row r="43">
      <c r="B43" s="83"/>
      <c r="C43" s="159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</row>
    <row r="44">
      <c r="B44" s="85" t="s">
        <v>163</v>
      </c>
      <c r="C44" s="160"/>
      <c r="D44" s="161" t="s">
        <v>123</v>
      </c>
      <c r="E44" s="161" t="s">
        <v>124</v>
      </c>
      <c r="F44" s="161" t="s">
        <v>125</v>
      </c>
      <c r="G44" s="161" t="s">
        <v>126</v>
      </c>
      <c r="H44" s="161" t="s">
        <v>127</v>
      </c>
      <c r="I44" s="161" t="s">
        <v>128</v>
      </c>
      <c r="J44" s="161" t="s">
        <v>129</v>
      </c>
      <c r="K44" s="161" t="s">
        <v>130</v>
      </c>
      <c r="L44" s="161" t="s">
        <v>131</v>
      </c>
      <c r="M44" s="161" t="s">
        <v>132</v>
      </c>
      <c r="N44" s="161" t="s">
        <v>133</v>
      </c>
      <c r="O44" s="161" t="s">
        <v>134</v>
      </c>
      <c r="P44" s="58" t="s">
        <v>135</v>
      </c>
    </row>
    <row r="45">
      <c r="B45" s="162"/>
      <c r="C45" s="163"/>
      <c r="D45" s="164"/>
      <c r="E45" s="164"/>
      <c r="F45" s="165"/>
      <c r="G45" s="165"/>
      <c r="H45" s="165"/>
      <c r="I45" s="165"/>
      <c r="J45" s="165"/>
      <c r="K45" s="165"/>
      <c r="L45" s="165"/>
      <c r="M45" s="165"/>
      <c r="N45" s="165"/>
      <c r="O45" s="165"/>
      <c r="P45" s="166">
        <f t="shared" ref="P45:P47" si="14">SUM(D45:O45)</f>
        <v>0</v>
      </c>
    </row>
    <row r="46">
      <c r="B46" s="162" t="s">
        <v>58</v>
      </c>
      <c r="C46" s="163"/>
      <c r="D46" s="167">
        <v>962.79</v>
      </c>
      <c r="E46" s="167">
        <v>962.79</v>
      </c>
      <c r="F46" s="167">
        <v>962.79</v>
      </c>
      <c r="G46" s="167">
        <v>962.79</v>
      </c>
      <c r="H46" s="167">
        <v>962.79</v>
      </c>
      <c r="I46" s="167">
        <v>962.79</v>
      </c>
      <c r="J46" s="167">
        <v>962.79</v>
      </c>
      <c r="K46" s="167">
        <v>962.79</v>
      </c>
      <c r="L46" s="167">
        <v>962.79</v>
      </c>
      <c r="M46" s="167">
        <v>962.79</v>
      </c>
      <c r="N46" s="167">
        <v>962.79</v>
      </c>
      <c r="O46" s="167">
        <v>962.79</v>
      </c>
      <c r="P46" s="166">
        <f t="shared" si="14"/>
        <v>11553.48</v>
      </c>
    </row>
    <row r="47">
      <c r="B47" s="162"/>
      <c r="C47" s="163"/>
      <c r="D47" s="166"/>
      <c r="E47" s="166"/>
      <c r="F47" s="166"/>
      <c r="G47" s="166"/>
      <c r="H47" s="166"/>
      <c r="I47" s="166"/>
      <c r="J47" s="166"/>
      <c r="K47" s="166"/>
      <c r="L47" s="166"/>
      <c r="M47" s="166"/>
      <c r="N47" s="166"/>
      <c r="O47" s="166"/>
      <c r="P47" s="166">
        <f t="shared" si="14"/>
        <v>0</v>
      </c>
    </row>
    <row r="48">
      <c r="B48" s="168"/>
      <c r="C48" s="169"/>
      <c r="D48" s="170"/>
      <c r="E48" s="170"/>
      <c r="F48" s="170"/>
      <c r="G48" s="170"/>
      <c r="H48" s="170"/>
      <c r="I48" s="170"/>
      <c r="J48" s="170"/>
      <c r="K48" s="170"/>
      <c r="L48" s="170"/>
      <c r="M48" s="170"/>
      <c r="N48" s="170"/>
      <c r="O48" s="170"/>
      <c r="P48" s="170"/>
    </row>
    <row r="49">
      <c r="B49" s="152" t="s">
        <v>167</v>
      </c>
      <c r="C49" s="171"/>
      <c r="D49" s="172">
        <f t="shared" ref="D49:P49" si="15">SUM(D45:D48)*-1</f>
        <v>-962.79</v>
      </c>
      <c r="E49" s="172">
        <f t="shared" si="15"/>
        <v>-962.79</v>
      </c>
      <c r="F49" s="172">
        <f t="shared" si="15"/>
        <v>-962.79</v>
      </c>
      <c r="G49" s="172">
        <f t="shared" si="15"/>
        <v>-962.79</v>
      </c>
      <c r="H49" s="172">
        <f t="shared" si="15"/>
        <v>-962.79</v>
      </c>
      <c r="I49" s="172">
        <f t="shared" si="15"/>
        <v>-962.79</v>
      </c>
      <c r="J49" s="172">
        <f t="shared" si="15"/>
        <v>-962.79</v>
      </c>
      <c r="K49" s="172">
        <f t="shared" si="15"/>
        <v>-962.79</v>
      </c>
      <c r="L49" s="172">
        <f t="shared" si="15"/>
        <v>-962.79</v>
      </c>
      <c r="M49" s="172">
        <f t="shared" si="15"/>
        <v>-962.79</v>
      </c>
      <c r="N49" s="172">
        <f t="shared" si="15"/>
        <v>-962.79</v>
      </c>
      <c r="O49" s="172">
        <f t="shared" si="15"/>
        <v>-962.79</v>
      </c>
      <c r="P49" s="172">
        <f t="shared" si="15"/>
        <v>-11553.48</v>
      </c>
    </row>
    <row r="50">
      <c r="B50" s="83"/>
      <c r="C50" s="159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</row>
    <row r="51">
      <c r="B51" s="173" t="s">
        <v>168</v>
      </c>
      <c r="C51" s="174"/>
      <c r="D51" s="175">
        <f t="shared" ref="D51:P51" si="16">D42+D49</f>
        <v>1327.52</v>
      </c>
      <c r="E51" s="175">
        <f t="shared" si="16"/>
        <v>9827.52</v>
      </c>
      <c r="F51" s="175">
        <f t="shared" si="16"/>
        <v>8719.1</v>
      </c>
      <c r="G51" s="175">
        <f t="shared" si="16"/>
        <v>1377.52</v>
      </c>
      <c r="H51" s="175">
        <f t="shared" si="16"/>
        <v>877.52</v>
      </c>
      <c r="I51" s="175">
        <f t="shared" si="16"/>
        <v>977.52</v>
      </c>
      <c r="J51" s="175">
        <f t="shared" si="16"/>
        <v>21517.32</v>
      </c>
      <c r="K51" s="175">
        <f t="shared" si="16"/>
        <v>1377.52</v>
      </c>
      <c r="L51" s="175">
        <f t="shared" si="16"/>
        <v>1477.52</v>
      </c>
      <c r="M51" s="175">
        <f t="shared" si="16"/>
        <v>1277.52</v>
      </c>
      <c r="N51" s="175">
        <f t="shared" si="16"/>
        <v>1377.52</v>
      </c>
      <c r="O51" s="175">
        <f t="shared" si="16"/>
        <v>26517.32</v>
      </c>
      <c r="P51" s="175">
        <f t="shared" si="16"/>
        <v>76651.42</v>
      </c>
    </row>
    <row r="52">
      <c r="B52" s="83"/>
      <c r="C52" s="159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</row>
    <row r="53">
      <c r="B53" s="100" t="s">
        <v>169</v>
      </c>
      <c r="C53" s="176"/>
      <c r="D53" s="177" t="s">
        <v>123</v>
      </c>
      <c r="E53" s="177" t="s">
        <v>124</v>
      </c>
      <c r="F53" s="177" t="s">
        <v>125</v>
      </c>
      <c r="G53" s="177" t="s">
        <v>126</v>
      </c>
      <c r="H53" s="177" t="s">
        <v>127</v>
      </c>
      <c r="I53" s="177" t="s">
        <v>128</v>
      </c>
      <c r="J53" s="177" t="s">
        <v>129</v>
      </c>
      <c r="K53" s="177" t="s">
        <v>130</v>
      </c>
      <c r="L53" s="177" t="s">
        <v>131</v>
      </c>
      <c r="M53" s="177" t="s">
        <v>132</v>
      </c>
      <c r="N53" s="177" t="s">
        <v>133</v>
      </c>
      <c r="O53" s="177" t="s">
        <v>134</v>
      </c>
      <c r="P53" s="58" t="s">
        <v>135</v>
      </c>
    </row>
    <row r="54">
      <c r="B54" s="152" t="s">
        <v>171</v>
      </c>
      <c r="C54" s="153"/>
      <c r="D54" s="178">
        <f t="shared" ref="D54:O54" si="17">+D51</f>
        <v>1327.52</v>
      </c>
      <c r="E54" s="178">
        <f t="shared" si="17"/>
        <v>9827.52</v>
      </c>
      <c r="F54" s="178">
        <f t="shared" si="17"/>
        <v>8719.1</v>
      </c>
      <c r="G54" s="178">
        <f t="shared" si="17"/>
        <v>1377.52</v>
      </c>
      <c r="H54" s="178">
        <f t="shared" si="17"/>
        <v>877.52</v>
      </c>
      <c r="I54" s="178">
        <f t="shared" si="17"/>
        <v>977.52</v>
      </c>
      <c r="J54" s="178">
        <f t="shared" si="17"/>
        <v>21517.32</v>
      </c>
      <c r="K54" s="178">
        <f t="shared" si="17"/>
        <v>1377.52</v>
      </c>
      <c r="L54" s="178">
        <f t="shared" si="17"/>
        <v>1477.52</v>
      </c>
      <c r="M54" s="178">
        <f t="shared" si="17"/>
        <v>1277.52</v>
      </c>
      <c r="N54" s="178">
        <f t="shared" si="17"/>
        <v>1377.52</v>
      </c>
      <c r="O54" s="178">
        <f t="shared" si="17"/>
        <v>26517.32</v>
      </c>
      <c r="P54" s="178" t="s">
        <v>172</v>
      </c>
    </row>
    <row r="55">
      <c r="C55" s="27"/>
    </row>
    <row r="56">
      <c r="C56" s="27"/>
    </row>
    <row r="57">
      <c r="C57" s="27"/>
    </row>
    <row r="58">
      <c r="C58" s="27"/>
    </row>
    <row r="59">
      <c r="C59" s="27"/>
    </row>
    <row r="60">
      <c r="C60" s="27"/>
    </row>
    <row r="61">
      <c r="C61" s="27"/>
    </row>
    <row r="62">
      <c r="C62" s="27"/>
    </row>
    <row r="63">
      <c r="C63" s="27"/>
    </row>
    <row r="64">
      <c r="C64" s="27"/>
    </row>
    <row r="65">
      <c r="C65" s="27"/>
    </row>
    <row r="66">
      <c r="C66" s="27"/>
    </row>
    <row r="67">
      <c r="C67" s="27"/>
    </row>
    <row r="68">
      <c r="C68" s="27"/>
    </row>
    <row r="69">
      <c r="C69" s="27"/>
    </row>
    <row r="70">
      <c r="C70" s="27"/>
    </row>
    <row r="71">
      <c r="C71" s="27"/>
    </row>
    <row r="72">
      <c r="C72" s="27"/>
    </row>
    <row r="73">
      <c r="C73" s="27"/>
    </row>
    <row r="74">
      <c r="C74" s="27"/>
    </row>
    <row r="75">
      <c r="C75" s="27"/>
    </row>
    <row r="76">
      <c r="C76" s="27"/>
    </row>
    <row r="77">
      <c r="C77" s="27"/>
    </row>
    <row r="78">
      <c r="C78" s="27"/>
    </row>
    <row r="79">
      <c r="C79" s="27"/>
    </row>
    <row r="80">
      <c r="C80" s="27"/>
    </row>
    <row r="81">
      <c r="C81" s="27"/>
    </row>
    <row r="82">
      <c r="C82" s="27"/>
    </row>
    <row r="83">
      <c r="C83" s="27"/>
    </row>
    <row r="84">
      <c r="C84" s="27"/>
    </row>
    <row r="85">
      <c r="C85" s="27"/>
    </row>
    <row r="86">
      <c r="C86" s="27"/>
    </row>
    <row r="87">
      <c r="C87" s="27"/>
    </row>
    <row r="88">
      <c r="C88" s="27"/>
    </row>
    <row r="89">
      <c r="C89" s="27"/>
    </row>
    <row r="90">
      <c r="C90" s="27"/>
    </row>
    <row r="91">
      <c r="C91" s="27"/>
    </row>
    <row r="92">
      <c r="C92" s="27"/>
    </row>
    <row r="93">
      <c r="C93" s="27"/>
    </row>
    <row r="94">
      <c r="C94" s="27"/>
    </row>
    <row r="95">
      <c r="C95" s="27"/>
    </row>
    <row r="96">
      <c r="C96" s="27"/>
    </row>
    <row r="97">
      <c r="C97" s="27"/>
    </row>
    <row r="98">
      <c r="C98" s="27"/>
    </row>
    <row r="99">
      <c r="C99" s="27"/>
    </row>
    <row r="100">
      <c r="C100" s="27"/>
    </row>
    <row r="101">
      <c r="C101" s="27"/>
    </row>
    <row r="102">
      <c r="C102" s="27"/>
    </row>
    <row r="103">
      <c r="C103" s="27"/>
    </row>
    <row r="104">
      <c r="C104" s="27"/>
    </row>
    <row r="105">
      <c r="C105" s="27"/>
    </row>
    <row r="106">
      <c r="C106" s="27"/>
    </row>
    <row r="107">
      <c r="C107" s="27"/>
    </row>
    <row r="108">
      <c r="C108" s="27"/>
    </row>
    <row r="109">
      <c r="C109" s="27"/>
    </row>
    <row r="110">
      <c r="C110" s="27"/>
    </row>
    <row r="111">
      <c r="C111" s="27"/>
    </row>
    <row r="112">
      <c r="C112" s="27"/>
    </row>
    <row r="113">
      <c r="C113" s="27"/>
    </row>
    <row r="114">
      <c r="C114" s="27"/>
    </row>
    <row r="115">
      <c r="C115" s="27"/>
    </row>
    <row r="116">
      <c r="C116" s="27"/>
    </row>
    <row r="117">
      <c r="C117" s="27"/>
    </row>
    <row r="118">
      <c r="C118" s="27"/>
    </row>
    <row r="119">
      <c r="C119" s="27"/>
    </row>
    <row r="120">
      <c r="C120" s="27"/>
    </row>
    <row r="121">
      <c r="C121" s="27"/>
    </row>
    <row r="122">
      <c r="C122" s="27"/>
    </row>
    <row r="123">
      <c r="C123" s="27"/>
    </row>
    <row r="124">
      <c r="C124" s="27"/>
    </row>
    <row r="125">
      <c r="C125" s="27"/>
    </row>
    <row r="126">
      <c r="C126" s="27"/>
    </row>
    <row r="127">
      <c r="C127" s="27"/>
    </row>
    <row r="128">
      <c r="C128" s="27"/>
    </row>
    <row r="129">
      <c r="C129" s="27"/>
    </row>
    <row r="130">
      <c r="C130" s="27"/>
    </row>
    <row r="131">
      <c r="C131" s="27"/>
    </row>
    <row r="132">
      <c r="C132" s="27"/>
    </row>
    <row r="133">
      <c r="C133" s="27"/>
    </row>
    <row r="134">
      <c r="C134" s="27"/>
    </row>
    <row r="135">
      <c r="C135" s="27"/>
    </row>
    <row r="136">
      <c r="C136" s="27"/>
    </row>
    <row r="137">
      <c r="C137" s="27"/>
    </row>
    <row r="138">
      <c r="C138" s="27"/>
    </row>
    <row r="139">
      <c r="C139" s="27"/>
    </row>
    <row r="140">
      <c r="C140" s="27"/>
    </row>
    <row r="141">
      <c r="C141" s="27"/>
    </row>
    <row r="142">
      <c r="C142" s="27"/>
    </row>
    <row r="143">
      <c r="C143" s="27"/>
    </row>
    <row r="144">
      <c r="C144" s="27"/>
    </row>
    <row r="145">
      <c r="C145" s="27"/>
    </row>
    <row r="146">
      <c r="C146" s="27"/>
    </row>
    <row r="147">
      <c r="C147" s="27"/>
    </row>
    <row r="148">
      <c r="C148" s="27"/>
    </row>
    <row r="149">
      <c r="C149" s="27"/>
    </row>
    <row r="150">
      <c r="C150" s="27"/>
    </row>
    <row r="151">
      <c r="C151" s="27"/>
    </row>
    <row r="152">
      <c r="C152" s="27"/>
    </row>
    <row r="153">
      <c r="C153" s="27"/>
    </row>
    <row r="154">
      <c r="C154" s="27"/>
    </row>
    <row r="155">
      <c r="C155" s="27"/>
    </row>
    <row r="156">
      <c r="C156" s="27"/>
    </row>
    <row r="157">
      <c r="C157" s="27"/>
    </row>
    <row r="158">
      <c r="C158" s="27"/>
    </row>
    <row r="159">
      <c r="C159" s="27"/>
    </row>
    <row r="160">
      <c r="C160" s="27"/>
    </row>
    <row r="161">
      <c r="C161" s="27"/>
    </row>
    <row r="162">
      <c r="C162" s="27"/>
    </row>
    <row r="163">
      <c r="C163" s="27"/>
    </row>
    <row r="164">
      <c r="C164" s="27"/>
    </row>
    <row r="165">
      <c r="C165" s="27"/>
    </row>
    <row r="166">
      <c r="C166" s="27"/>
    </row>
    <row r="167">
      <c r="C167" s="27"/>
    </row>
    <row r="168">
      <c r="C168" s="27"/>
    </row>
    <row r="169">
      <c r="C169" s="27"/>
    </row>
    <row r="170">
      <c r="C170" s="27"/>
    </row>
    <row r="171">
      <c r="C171" s="27"/>
    </row>
    <row r="172">
      <c r="C172" s="27"/>
    </row>
    <row r="173">
      <c r="C173" s="27"/>
    </row>
    <row r="174">
      <c r="C174" s="27"/>
    </row>
    <row r="175">
      <c r="C175" s="27"/>
    </row>
    <row r="176">
      <c r="C176" s="27"/>
    </row>
    <row r="177">
      <c r="C177" s="27"/>
    </row>
    <row r="178">
      <c r="C178" s="27"/>
    </row>
    <row r="179">
      <c r="C179" s="27"/>
    </row>
    <row r="180">
      <c r="C180" s="27"/>
    </row>
    <row r="181">
      <c r="C181" s="27"/>
    </row>
    <row r="182">
      <c r="C182" s="27"/>
    </row>
    <row r="183">
      <c r="C183" s="27"/>
    </row>
    <row r="184">
      <c r="C184" s="27"/>
    </row>
    <row r="185">
      <c r="C185" s="27"/>
    </row>
    <row r="186">
      <c r="C186" s="27"/>
    </row>
    <row r="187">
      <c r="C187" s="27"/>
    </row>
    <row r="188">
      <c r="C188" s="27"/>
    </row>
    <row r="189">
      <c r="C189" s="27"/>
    </row>
    <row r="190">
      <c r="C190" s="27"/>
    </row>
    <row r="191">
      <c r="C191" s="27"/>
    </row>
    <row r="192">
      <c r="C192" s="27"/>
    </row>
    <row r="193">
      <c r="C193" s="27"/>
    </row>
    <row r="194">
      <c r="C194" s="27"/>
    </row>
    <row r="195">
      <c r="C195" s="27"/>
    </row>
    <row r="196">
      <c r="C196" s="27"/>
    </row>
    <row r="197">
      <c r="C197" s="27"/>
    </row>
    <row r="198">
      <c r="C198" s="27"/>
    </row>
    <row r="199">
      <c r="C199" s="27"/>
    </row>
    <row r="200">
      <c r="C200" s="27"/>
    </row>
    <row r="201">
      <c r="C201" s="27"/>
    </row>
    <row r="202">
      <c r="C202" s="27"/>
    </row>
    <row r="203">
      <c r="C203" s="27"/>
    </row>
    <row r="204">
      <c r="C204" s="27"/>
    </row>
    <row r="205">
      <c r="C205" s="27"/>
    </row>
    <row r="206">
      <c r="C206" s="27"/>
    </row>
    <row r="207">
      <c r="C207" s="27"/>
    </row>
    <row r="208">
      <c r="C208" s="27"/>
    </row>
    <row r="209">
      <c r="C209" s="27"/>
    </row>
    <row r="210">
      <c r="C210" s="27"/>
    </row>
    <row r="211">
      <c r="C211" s="27"/>
    </row>
    <row r="212">
      <c r="C212" s="27"/>
    </row>
    <row r="213">
      <c r="C213" s="27"/>
    </row>
    <row r="214">
      <c r="C214" s="27"/>
    </row>
    <row r="215">
      <c r="C215" s="27"/>
    </row>
    <row r="216">
      <c r="C216" s="27"/>
    </row>
    <row r="217">
      <c r="C217" s="27"/>
    </row>
    <row r="218">
      <c r="C218" s="27"/>
    </row>
    <row r="219">
      <c r="C219" s="27"/>
    </row>
    <row r="220">
      <c r="C220" s="27"/>
    </row>
    <row r="221">
      <c r="C221" s="27"/>
    </row>
    <row r="222">
      <c r="C222" s="27"/>
    </row>
    <row r="223">
      <c r="C223" s="27"/>
    </row>
    <row r="224">
      <c r="C224" s="27"/>
    </row>
    <row r="225">
      <c r="C225" s="27"/>
    </row>
    <row r="226">
      <c r="C226" s="27"/>
    </row>
    <row r="227">
      <c r="C227" s="27"/>
    </row>
    <row r="228">
      <c r="C228" s="27"/>
    </row>
    <row r="229">
      <c r="C229" s="27"/>
    </row>
    <row r="230">
      <c r="C230" s="27"/>
    </row>
    <row r="231">
      <c r="C231" s="27"/>
    </row>
    <row r="232">
      <c r="C232" s="27"/>
    </row>
    <row r="233">
      <c r="C233" s="27"/>
    </row>
    <row r="234">
      <c r="C234" s="27"/>
    </row>
    <row r="235">
      <c r="C235" s="27"/>
    </row>
    <row r="236">
      <c r="C236" s="27"/>
    </row>
    <row r="237">
      <c r="C237" s="27"/>
    </row>
    <row r="238">
      <c r="C238" s="27"/>
    </row>
    <row r="239">
      <c r="C239" s="27"/>
    </row>
    <row r="240">
      <c r="C240" s="27"/>
    </row>
    <row r="241">
      <c r="C241" s="27"/>
    </row>
    <row r="242">
      <c r="C242" s="27"/>
    </row>
    <row r="243">
      <c r="C243" s="27"/>
    </row>
    <row r="244">
      <c r="C244" s="27"/>
    </row>
    <row r="245">
      <c r="C245" s="27"/>
    </row>
    <row r="246">
      <c r="C246" s="27"/>
    </row>
    <row r="247">
      <c r="C247" s="27"/>
    </row>
    <row r="248">
      <c r="C248" s="27"/>
    </row>
    <row r="249">
      <c r="C249" s="27"/>
    </row>
    <row r="250">
      <c r="C250" s="27"/>
    </row>
    <row r="251">
      <c r="C251" s="27"/>
    </row>
    <row r="252">
      <c r="C252" s="27"/>
    </row>
    <row r="253">
      <c r="C253" s="27"/>
    </row>
    <row r="254">
      <c r="C254" s="27"/>
    </row>
    <row r="255">
      <c r="C255" s="27"/>
    </row>
    <row r="256">
      <c r="C256" s="27"/>
    </row>
    <row r="257">
      <c r="C257" s="27"/>
    </row>
    <row r="258">
      <c r="C258" s="27"/>
    </row>
    <row r="259">
      <c r="C259" s="27"/>
    </row>
    <row r="260">
      <c r="C260" s="27"/>
    </row>
    <row r="261">
      <c r="C261" s="27"/>
    </row>
    <row r="262">
      <c r="C262" s="27"/>
    </row>
    <row r="263">
      <c r="C263" s="27"/>
    </row>
    <row r="264">
      <c r="C264" s="27"/>
    </row>
    <row r="265">
      <c r="C265" s="27"/>
    </row>
    <row r="266">
      <c r="C266" s="27"/>
    </row>
    <row r="267">
      <c r="C267" s="27"/>
    </row>
    <row r="268">
      <c r="C268" s="27"/>
    </row>
    <row r="269">
      <c r="C269" s="27"/>
    </row>
    <row r="270">
      <c r="C270" s="27"/>
    </row>
    <row r="271">
      <c r="C271" s="27"/>
    </row>
    <row r="272">
      <c r="C272" s="27"/>
    </row>
    <row r="273">
      <c r="C273" s="27"/>
    </row>
    <row r="274">
      <c r="C274" s="27"/>
    </row>
    <row r="275">
      <c r="C275" s="27"/>
    </row>
    <row r="276">
      <c r="C276" s="27"/>
    </row>
    <row r="277">
      <c r="C277" s="27"/>
    </row>
    <row r="278">
      <c r="C278" s="27"/>
    </row>
    <row r="279">
      <c r="C279" s="27"/>
    </row>
    <row r="280">
      <c r="C280" s="27"/>
    </row>
    <row r="281">
      <c r="C281" s="27"/>
    </row>
    <row r="282">
      <c r="C282" s="27"/>
    </row>
    <row r="283">
      <c r="C283" s="27"/>
    </row>
    <row r="284">
      <c r="C284" s="27"/>
    </row>
    <row r="285">
      <c r="C285" s="27"/>
    </row>
    <row r="286">
      <c r="C286" s="27"/>
    </row>
    <row r="287">
      <c r="C287" s="27"/>
    </row>
    <row r="288">
      <c r="C288" s="27"/>
    </row>
    <row r="289">
      <c r="C289" s="27"/>
    </row>
    <row r="290">
      <c r="C290" s="27"/>
    </row>
    <row r="291">
      <c r="C291" s="27"/>
    </row>
    <row r="292">
      <c r="C292" s="27"/>
    </row>
    <row r="293">
      <c r="C293" s="27"/>
    </row>
    <row r="294">
      <c r="C294" s="27"/>
    </row>
    <row r="295">
      <c r="C295" s="27"/>
    </row>
    <row r="296">
      <c r="C296" s="27"/>
    </row>
    <row r="297">
      <c r="C297" s="27"/>
    </row>
    <row r="298">
      <c r="C298" s="27"/>
    </row>
    <row r="299">
      <c r="C299" s="27"/>
    </row>
    <row r="300">
      <c r="C300" s="27"/>
    </row>
    <row r="301">
      <c r="C301" s="27"/>
    </row>
    <row r="302">
      <c r="C302" s="27"/>
    </row>
    <row r="303">
      <c r="C303" s="27"/>
    </row>
    <row r="304">
      <c r="C304" s="27"/>
    </row>
    <row r="305">
      <c r="C305" s="27"/>
    </row>
    <row r="306">
      <c r="C306" s="27"/>
    </row>
    <row r="307">
      <c r="C307" s="27"/>
    </row>
    <row r="308">
      <c r="C308" s="27"/>
    </row>
    <row r="309">
      <c r="C309" s="27"/>
    </row>
    <row r="310">
      <c r="C310" s="27"/>
    </row>
    <row r="311">
      <c r="C311" s="27"/>
    </row>
    <row r="312">
      <c r="C312" s="27"/>
    </row>
    <row r="313">
      <c r="C313" s="27"/>
    </row>
    <row r="314">
      <c r="C314" s="27"/>
    </row>
    <row r="315">
      <c r="C315" s="27"/>
    </row>
    <row r="316">
      <c r="C316" s="27"/>
    </row>
    <row r="317">
      <c r="C317" s="27"/>
    </row>
    <row r="318">
      <c r="C318" s="27"/>
    </row>
    <row r="319">
      <c r="C319" s="27"/>
    </row>
    <row r="320">
      <c r="C320" s="27"/>
    </row>
    <row r="321">
      <c r="C321" s="27"/>
    </row>
    <row r="322">
      <c r="C322" s="27"/>
    </row>
    <row r="323">
      <c r="C323" s="27"/>
    </row>
    <row r="324">
      <c r="C324" s="27"/>
    </row>
    <row r="325">
      <c r="C325" s="27"/>
    </row>
    <row r="326">
      <c r="C326" s="27"/>
    </row>
    <row r="327">
      <c r="C327" s="27"/>
    </row>
    <row r="328">
      <c r="C328" s="27"/>
    </row>
    <row r="329">
      <c r="C329" s="27"/>
    </row>
    <row r="330">
      <c r="C330" s="27"/>
    </row>
    <row r="331">
      <c r="C331" s="27"/>
    </row>
    <row r="332">
      <c r="C332" s="27"/>
    </row>
    <row r="333">
      <c r="C333" s="27"/>
    </row>
    <row r="334">
      <c r="C334" s="27"/>
    </row>
    <row r="335">
      <c r="C335" s="27"/>
    </row>
    <row r="336">
      <c r="C336" s="27"/>
    </row>
    <row r="337">
      <c r="C337" s="27"/>
    </row>
    <row r="338">
      <c r="C338" s="27"/>
    </row>
    <row r="339">
      <c r="C339" s="27"/>
    </row>
    <row r="340">
      <c r="C340" s="27"/>
    </row>
    <row r="341">
      <c r="C341" s="27"/>
    </row>
    <row r="342">
      <c r="C342" s="27"/>
    </row>
    <row r="343">
      <c r="C343" s="27"/>
    </row>
    <row r="344">
      <c r="C344" s="27"/>
    </row>
    <row r="345">
      <c r="C345" s="27"/>
    </row>
    <row r="346">
      <c r="C346" s="27"/>
    </row>
    <row r="347">
      <c r="C347" s="27"/>
    </row>
    <row r="348">
      <c r="C348" s="27"/>
    </row>
    <row r="349">
      <c r="C349" s="27"/>
    </row>
    <row r="350">
      <c r="C350" s="27"/>
    </row>
    <row r="351">
      <c r="C351" s="27"/>
    </row>
    <row r="352">
      <c r="C352" s="27"/>
    </row>
    <row r="353">
      <c r="C353" s="27"/>
    </row>
    <row r="354">
      <c r="C354" s="27"/>
    </row>
    <row r="355">
      <c r="C355" s="27"/>
    </row>
    <row r="356">
      <c r="C356" s="27"/>
    </row>
    <row r="357">
      <c r="C357" s="27"/>
    </row>
    <row r="358">
      <c r="C358" s="27"/>
    </row>
    <row r="359">
      <c r="C359" s="27"/>
    </row>
    <row r="360">
      <c r="C360" s="27"/>
    </row>
    <row r="361">
      <c r="C361" s="27"/>
    </row>
    <row r="362">
      <c r="C362" s="27"/>
    </row>
    <row r="363">
      <c r="C363" s="27"/>
    </row>
    <row r="364">
      <c r="C364" s="27"/>
    </row>
    <row r="365">
      <c r="C365" s="27"/>
    </row>
    <row r="366">
      <c r="C366" s="27"/>
    </row>
    <row r="367">
      <c r="C367" s="27"/>
    </row>
    <row r="368">
      <c r="C368" s="27"/>
    </row>
    <row r="369">
      <c r="C369" s="27"/>
    </row>
    <row r="370">
      <c r="C370" s="27"/>
    </row>
    <row r="371">
      <c r="C371" s="27"/>
    </row>
    <row r="372">
      <c r="C372" s="27"/>
    </row>
    <row r="373">
      <c r="C373" s="27"/>
    </row>
    <row r="374">
      <c r="C374" s="27"/>
    </row>
    <row r="375">
      <c r="C375" s="27"/>
    </row>
    <row r="376">
      <c r="C376" s="27"/>
    </row>
    <row r="377">
      <c r="C377" s="27"/>
    </row>
    <row r="378">
      <c r="C378" s="27"/>
    </row>
    <row r="379">
      <c r="C379" s="27"/>
    </row>
    <row r="380">
      <c r="C380" s="27"/>
    </row>
    <row r="381">
      <c r="C381" s="27"/>
    </row>
    <row r="382">
      <c r="C382" s="27"/>
    </row>
    <row r="383">
      <c r="C383" s="27"/>
    </row>
    <row r="384">
      <c r="C384" s="27"/>
    </row>
    <row r="385">
      <c r="C385" s="27"/>
    </row>
    <row r="386">
      <c r="C386" s="27"/>
    </row>
    <row r="387">
      <c r="C387" s="27"/>
    </row>
    <row r="388">
      <c r="C388" s="27"/>
    </row>
    <row r="389">
      <c r="C389" s="27"/>
    </row>
    <row r="390">
      <c r="C390" s="27"/>
    </row>
    <row r="391">
      <c r="C391" s="27"/>
    </row>
    <row r="392">
      <c r="C392" s="27"/>
    </row>
    <row r="393">
      <c r="C393" s="27"/>
    </row>
    <row r="394">
      <c r="C394" s="27"/>
    </row>
    <row r="395">
      <c r="C395" s="27"/>
    </row>
    <row r="396">
      <c r="C396" s="27"/>
    </row>
    <row r="397">
      <c r="C397" s="27"/>
    </row>
    <row r="398">
      <c r="C398" s="27"/>
    </row>
    <row r="399">
      <c r="C399" s="27"/>
    </row>
    <row r="400">
      <c r="C400" s="27"/>
    </row>
    <row r="401">
      <c r="C401" s="27"/>
    </row>
    <row r="402">
      <c r="C402" s="27"/>
    </row>
    <row r="403">
      <c r="C403" s="27"/>
    </row>
    <row r="404">
      <c r="C404" s="27"/>
    </row>
    <row r="405">
      <c r="C405" s="27"/>
    </row>
    <row r="406">
      <c r="C406" s="27"/>
    </row>
    <row r="407">
      <c r="C407" s="27"/>
    </row>
    <row r="408">
      <c r="C408" s="27"/>
    </row>
    <row r="409">
      <c r="C409" s="27"/>
    </row>
    <row r="410">
      <c r="C410" s="27"/>
    </row>
    <row r="411">
      <c r="C411" s="27"/>
    </row>
    <row r="412">
      <c r="C412" s="27"/>
    </row>
    <row r="413">
      <c r="C413" s="27"/>
    </row>
    <row r="414">
      <c r="C414" s="27"/>
    </row>
    <row r="415">
      <c r="C415" s="27"/>
    </row>
    <row r="416">
      <c r="C416" s="27"/>
    </row>
    <row r="417">
      <c r="C417" s="27"/>
    </row>
    <row r="418">
      <c r="C418" s="27"/>
    </row>
    <row r="419">
      <c r="C419" s="27"/>
    </row>
    <row r="420">
      <c r="C420" s="27"/>
    </row>
    <row r="421">
      <c r="C421" s="27"/>
    </row>
    <row r="422">
      <c r="C422" s="27"/>
    </row>
    <row r="423">
      <c r="C423" s="27"/>
    </row>
    <row r="424">
      <c r="C424" s="27"/>
    </row>
    <row r="425">
      <c r="C425" s="27"/>
    </row>
    <row r="426">
      <c r="C426" s="27"/>
    </row>
    <row r="427">
      <c r="C427" s="27"/>
    </row>
    <row r="428">
      <c r="C428" s="27"/>
    </row>
    <row r="429">
      <c r="C429" s="27"/>
    </row>
    <row r="430">
      <c r="C430" s="27"/>
    </row>
    <row r="431">
      <c r="C431" s="27"/>
    </row>
    <row r="432">
      <c r="C432" s="27"/>
    </row>
    <row r="433">
      <c r="C433" s="27"/>
    </row>
    <row r="434">
      <c r="C434" s="27"/>
    </row>
    <row r="435">
      <c r="C435" s="27"/>
    </row>
    <row r="436">
      <c r="C436" s="27"/>
    </row>
    <row r="437">
      <c r="C437" s="27"/>
    </row>
    <row r="438">
      <c r="C438" s="27"/>
    </row>
    <row r="439">
      <c r="C439" s="27"/>
    </row>
    <row r="440">
      <c r="C440" s="27"/>
    </row>
    <row r="441">
      <c r="C441" s="27"/>
    </row>
    <row r="442">
      <c r="C442" s="27"/>
    </row>
    <row r="443">
      <c r="C443" s="27"/>
    </row>
    <row r="444">
      <c r="C444" s="27"/>
    </row>
    <row r="445">
      <c r="C445" s="27"/>
    </row>
    <row r="446">
      <c r="C446" s="27"/>
    </row>
    <row r="447">
      <c r="C447" s="27"/>
    </row>
    <row r="448">
      <c r="C448" s="27"/>
    </row>
    <row r="449">
      <c r="C449" s="27"/>
    </row>
    <row r="450">
      <c r="C450" s="27"/>
    </row>
    <row r="451">
      <c r="C451" s="27"/>
    </row>
    <row r="452">
      <c r="C452" s="27"/>
    </row>
    <row r="453">
      <c r="C453" s="27"/>
    </row>
    <row r="454">
      <c r="C454" s="27"/>
    </row>
    <row r="455">
      <c r="C455" s="27"/>
    </row>
    <row r="456">
      <c r="C456" s="27"/>
    </row>
    <row r="457">
      <c r="C457" s="27"/>
    </row>
    <row r="458">
      <c r="C458" s="27"/>
    </row>
    <row r="459">
      <c r="C459" s="27"/>
    </row>
    <row r="460">
      <c r="C460" s="27"/>
    </row>
    <row r="461">
      <c r="C461" s="27"/>
    </row>
    <row r="462">
      <c r="C462" s="27"/>
    </row>
    <row r="463">
      <c r="C463" s="27"/>
    </row>
    <row r="464">
      <c r="C464" s="27"/>
    </row>
    <row r="465">
      <c r="C465" s="27"/>
    </row>
    <row r="466">
      <c r="C466" s="27"/>
    </row>
    <row r="467">
      <c r="C467" s="27"/>
    </row>
    <row r="468">
      <c r="C468" s="27"/>
    </row>
    <row r="469">
      <c r="C469" s="27"/>
    </row>
    <row r="470">
      <c r="C470" s="27"/>
    </row>
    <row r="471">
      <c r="C471" s="27"/>
    </row>
    <row r="472">
      <c r="C472" s="27"/>
    </row>
    <row r="473">
      <c r="C473" s="27"/>
    </row>
    <row r="474">
      <c r="C474" s="27"/>
    </row>
    <row r="475">
      <c r="C475" s="27"/>
    </row>
    <row r="476">
      <c r="C476" s="27"/>
    </row>
    <row r="477">
      <c r="C477" s="27"/>
    </row>
    <row r="478">
      <c r="C478" s="27"/>
    </row>
    <row r="479">
      <c r="C479" s="27"/>
    </row>
    <row r="480">
      <c r="C480" s="27"/>
    </row>
    <row r="481">
      <c r="C481" s="27"/>
    </row>
    <row r="482">
      <c r="C482" s="27"/>
    </row>
    <row r="483">
      <c r="C483" s="27"/>
    </row>
    <row r="484">
      <c r="C484" s="27"/>
    </row>
    <row r="485">
      <c r="C485" s="27"/>
    </row>
    <row r="486">
      <c r="C486" s="27"/>
    </row>
    <row r="487">
      <c r="C487" s="27"/>
    </row>
    <row r="488">
      <c r="C488" s="27"/>
    </row>
    <row r="489">
      <c r="C489" s="27"/>
    </row>
    <row r="490">
      <c r="C490" s="27"/>
    </row>
    <row r="491">
      <c r="C491" s="27"/>
    </row>
    <row r="492">
      <c r="C492" s="27"/>
    </row>
    <row r="493">
      <c r="C493" s="27"/>
    </row>
    <row r="494">
      <c r="C494" s="27"/>
    </row>
    <row r="495">
      <c r="C495" s="27"/>
    </row>
    <row r="496">
      <c r="C496" s="27"/>
    </row>
    <row r="497">
      <c r="C497" s="27"/>
    </row>
    <row r="498">
      <c r="C498" s="27"/>
    </row>
    <row r="499">
      <c r="C499" s="27"/>
    </row>
    <row r="500">
      <c r="C500" s="27"/>
    </row>
    <row r="501">
      <c r="C501" s="27"/>
    </row>
    <row r="502">
      <c r="C502" s="27"/>
    </row>
    <row r="503">
      <c r="C503" s="27"/>
    </row>
    <row r="504">
      <c r="C504" s="27"/>
    </row>
    <row r="505">
      <c r="C505" s="27"/>
    </row>
    <row r="506">
      <c r="C506" s="27"/>
    </row>
    <row r="507">
      <c r="C507" s="27"/>
    </row>
    <row r="508">
      <c r="C508" s="27"/>
    </row>
    <row r="509">
      <c r="C509" s="27"/>
    </row>
    <row r="510">
      <c r="C510" s="27"/>
    </row>
    <row r="511">
      <c r="C511" s="27"/>
    </row>
    <row r="512">
      <c r="C512" s="27"/>
    </row>
    <row r="513">
      <c r="C513" s="27"/>
    </row>
    <row r="514">
      <c r="C514" s="27"/>
    </row>
    <row r="515">
      <c r="C515" s="27"/>
    </row>
    <row r="516">
      <c r="C516" s="27"/>
    </row>
    <row r="517">
      <c r="C517" s="27"/>
    </row>
    <row r="518">
      <c r="C518" s="27"/>
    </row>
    <row r="519">
      <c r="C519" s="27"/>
    </row>
    <row r="520">
      <c r="C520" s="27"/>
    </row>
    <row r="521">
      <c r="C521" s="27"/>
    </row>
    <row r="522">
      <c r="C522" s="27"/>
    </row>
    <row r="523">
      <c r="C523" s="27"/>
    </row>
    <row r="524">
      <c r="C524" s="27"/>
    </row>
    <row r="525">
      <c r="C525" s="27"/>
    </row>
    <row r="526">
      <c r="C526" s="27"/>
    </row>
    <row r="527">
      <c r="C527" s="27"/>
    </row>
    <row r="528">
      <c r="C528" s="27"/>
    </row>
    <row r="529">
      <c r="C529" s="27"/>
    </row>
    <row r="530">
      <c r="C530" s="27"/>
    </row>
    <row r="531">
      <c r="C531" s="27"/>
    </row>
    <row r="532">
      <c r="C532" s="27"/>
    </row>
    <row r="533">
      <c r="C533" s="27"/>
    </row>
    <row r="534">
      <c r="C534" s="27"/>
    </row>
    <row r="535">
      <c r="C535" s="27"/>
    </row>
    <row r="536">
      <c r="C536" s="27"/>
    </row>
    <row r="537">
      <c r="C537" s="27"/>
    </row>
    <row r="538">
      <c r="C538" s="27"/>
    </row>
    <row r="539">
      <c r="C539" s="27"/>
    </row>
    <row r="540">
      <c r="C540" s="27"/>
    </row>
    <row r="541">
      <c r="C541" s="27"/>
    </row>
    <row r="542">
      <c r="C542" s="27"/>
    </row>
    <row r="543">
      <c r="C543" s="27"/>
    </row>
    <row r="544">
      <c r="C544" s="27"/>
    </row>
    <row r="545">
      <c r="C545" s="27"/>
    </row>
    <row r="546">
      <c r="C546" s="27"/>
    </row>
    <row r="547">
      <c r="C547" s="27"/>
    </row>
    <row r="548">
      <c r="C548" s="27"/>
    </row>
    <row r="549">
      <c r="C549" s="27"/>
    </row>
    <row r="550">
      <c r="C550" s="27"/>
    </row>
    <row r="551">
      <c r="C551" s="27"/>
    </row>
    <row r="552">
      <c r="C552" s="27"/>
    </row>
    <row r="553">
      <c r="C553" s="27"/>
    </row>
    <row r="554">
      <c r="C554" s="27"/>
    </row>
    <row r="555">
      <c r="C555" s="27"/>
    </row>
    <row r="556">
      <c r="C556" s="27"/>
    </row>
    <row r="557">
      <c r="C557" s="27"/>
    </row>
    <row r="558">
      <c r="C558" s="27"/>
    </row>
    <row r="559">
      <c r="C559" s="27"/>
    </row>
    <row r="560">
      <c r="C560" s="27"/>
    </row>
    <row r="561">
      <c r="C561" s="27"/>
    </row>
    <row r="562">
      <c r="C562" s="27"/>
    </row>
    <row r="563">
      <c r="C563" s="27"/>
    </row>
    <row r="564">
      <c r="C564" s="27"/>
    </row>
    <row r="565">
      <c r="C565" s="27"/>
    </row>
    <row r="566">
      <c r="C566" s="27"/>
    </row>
    <row r="567">
      <c r="C567" s="27"/>
    </row>
    <row r="568">
      <c r="C568" s="27"/>
    </row>
    <row r="569">
      <c r="C569" s="27"/>
    </row>
    <row r="570">
      <c r="C570" s="27"/>
    </row>
    <row r="571">
      <c r="C571" s="27"/>
    </row>
    <row r="572">
      <c r="C572" s="27"/>
    </row>
    <row r="573">
      <c r="C573" s="27"/>
    </row>
    <row r="574">
      <c r="C574" s="27"/>
    </row>
    <row r="575">
      <c r="C575" s="27"/>
    </row>
    <row r="576">
      <c r="C576" s="27"/>
    </row>
    <row r="577">
      <c r="C577" s="27"/>
    </row>
    <row r="578">
      <c r="C578" s="27"/>
    </row>
    <row r="579">
      <c r="C579" s="27"/>
    </row>
    <row r="580">
      <c r="C580" s="27"/>
    </row>
    <row r="581">
      <c r="C581" s="27"/>
    </row>
    <row r="582">
      <c r="C582" s="27"/>
    </row>
    <row r="583">
      <c r="C583" s="27"/>
    </row>
    <row r="584">
      <c r="C584" s="27"/>
    </row>
    <row r="585">
      <c r="C585" s="27"/>
    </row>
    <row r="586">
      <c r="C586" s="27"/>
    </row>
    <row r="587">
      <c r="C587" s="27"/>
    </row>
    <row r="588">
      <c r="C588" s="27"/>
    </row>
    <row r="589">
      <c r="C589" s="27"/>
    </row>
    <row r="590">
      <c r="C590" s="27"/>
    </row>
    <row r="591">
      <c r="C591" s="27"/>
    </row>
    <row r="592">
      <c r="C592" s="27"/>
    </row>
    <row r="593">
      <c r="C593" s="27"/>
    </row>
    <row r="594">
      <c r="C594" s="27"/>
    </row>
    <row r="595">
      <c r="C595" s="27"/>
    </row>
    <row r="596">
      <c r="C596" s="27"/>
    </row>
    <row r="597">
      <c r="C597" s="27"/>
    </row>
    <row r="598">
      <c r="C598" s="27"/>
    </row>
    <row r="599">
      <c r="C599" s="27"/>
    </row>
    <row r="600">
      <c r="C600" s="27"/>
    </row>
    <row r="601">
      <c r="C601" s="27"/>
    </row>
    <row r="602">
      <c r="C602" s="27"/>
    </row>
    <row r="603">
      <c r="C603" s="27"/>
    </row>
    <row r="604">
      <c r="C604" s="27"/>
    </row>
    <row r="605">
      <c r="C605" s="27"/>
    </row>
    <row r="606">
      <c r="C606" s="27"/>
    </row>
    <row r="607">
      <c r="C607" s="27"/>
    </row>
    <row r="608">
      <c r="C608" s="27"/>
    </row>
    <row r="609">
      <c r="C609" s="27"/>
    </row>
    <row r="610">
      <c r="C610" s="27"/>
    </row>
    <row r="611">
      <c r="C611" s="27"/>
    </row>
    <row r="612">
      <c r="C612" s="27"/>
    </row>
    <row r="613">
      <c r="C613" s="27"/>
    </row>
    <row r="614">
      <c r="C614" s="27"/>
    </row>
    <row r="615">
      <c r="C615" s="27"/>
    </row>
    <row r="616">
      <c r="C616" s="27"/>
    </row>
    <row r="617">
      <c r="C617" s="27"/>
    </row>
    <row r="618">
      <c r="C618" s="27"/>
    </row>
    <row r="619">
      <c r="C619" s="27"/>
    </row>
    <row r="620">
      <c r="C620" s="27"/>
    </row>
    <row r="621">
      <c r="C621" s="27"/>
    </row>
    <row r="622">
      <c r="C622" s="27"/>
    </row>
    <row r="623">
      <c r="C623" s="27"/>
    </row>
    <row r="624">
      <c r="C624" s="27"/>
    </row>
    <row r="625">
      <c r="C625" s="27"/>
    </row>
    <row r="626">
      <c r="C626" s="27"/>
    </row>
    <row r="627">
      <c r="C627" s="27"/>
    </row>
    <row r="628">
      <c r="C628" s="27"/>
    </row>
    <row r="629">
      <c r="C629" s="27"/>
    </row>
    <row r="630">
      <c r="C630" s="27"/>
    </row>
    <row r="631">
      <c r="C631" s="27"/>
    </row>
    <row r="632">
      <c r="C632" s="27"/>
    </row>
    <row r="633">
      <c r="C633" s="27"/>
    </row>
    <row r="634">
      <c r="C634" s="27"/>
    </row>
    <row r="635">
      <c r="C635" s="27"/>
    </row>
    <row r="636">
      <c r="C636" s="27"/>
    </row>
    <row r="637">
      <c r="C637" s="27"/>
    </row>
    <row r="638">
      <c r="C638" s="27"/>
    </row>
    <row r="639">
      <c r="C639" s="27"/>
    </row>
    <row r="640">
      <c r="C640" s="27"/>
    </row>
    <row r="641">
      <c r="C641" s="27"/>
    </row>
    <row r="642">
      <c r="C642" s="27"/>
    </row>
    <row r="643">
      <c r="C643" s="27"/>
    </row>
    <row r="644">
      <c r="C644" s="27"/>
    </row>
    <row r="645">
      <c r="C645" s="27"/>
    </row>
    <row r="646">
      <c r="C646" s="27"/>
    </row>
    <row r="647">
      <c r="C647" s="27"/>
    </row>
    <row r="648">
      <c r="C648" s="27"/>
    </row>
    <row r="649">
      <c r="C649" s="27"/>
    </row>
    <row r="650">
      <c r="C650" s="27"/>
    </row>
    <row r="651">
      <c r="C651" s="27"/>
    </row>
    <row r="652">
      <c r="C652" s="27"/>
    </row>
    <row r="653">
      <c r="C653" s="27"/>
    </row>
    <row r="654">
      <c r="C654" s="27"/>
    </row>
    <row r="655">
      <c r="C655" s="27"/>
    </row>
    <row r="656">
      <c r="C656" s="27"/>
    </row>
    <row r="657">
      <c r="C657" s="27"/>
    </row>
    <row r="658">
      <c r="C658" s="27"/>
    </row>
    <row r="659">
      <c r="C659" s="27"/>
    </row>
    <row r="660">
      <c r="C660" s="27"/>
    </row>
    <row r="661">
      <c r="C661" s="27"/>
    </row>
    <row r="662">
      <c r="C662" s="27"/>
    </row>
    <row r="663">
      <c r="C663" s="27"/>
    </row>
    <row r="664">
      <c r="C664" s="27"/>
    </row>
    <row r="665">
      <c r="C665" s="27"/>
    </row>
    <row r="666">
      <c r="C666" s="27"/>
    </row>
    <row r="667">
      <c r="C667" s="27"/>
    </row>
    <row r="668">
      <c r="C668" s="27"/>
    </row>
    <row r="669">
      <c r="C669" s="27"/>
    </row>
    <row r="670">
      <c r="C670" s="27"/>
    </row>
    <row r="671">
      <c r="C671" s="27"/>
    </row>
    <row r="672">
      <c r="C672" s="27"/>
    </row>
    <row r="673">
      <c r="C673" s="27"/>
    </row>
    <row r="674">
      <c r="C674" s="27"/>
    </row>
    <row r="675">
      <c r="C675" s="27"/>
    </row>
    <row r="676">
      <c r="C676" s="27"/>
    </row>
    <row r="677">
      <c r="C677" s="27"/>
    </row>
    <row r="678">
      <c r="C678" s="27"/>
    </row>
    <row r="679">
      <c r="C679" s="27"/>
    </row>
    <row r="680">
      <c r="C680" s="27"/>
    </row>
    <row r="681">
      <c r="C681" s="27"/>
    </row>
    <row r="682">
      <c r="C682" s="27"/>
    </row>
    <row r="683">
      <c r="C683" s="27"/>
    </row>
    <row r="684">
      <c r="C684" s="27"/>
    </row>
    <row r="685">
      <c r="C685" s="27"/>
    </row>
    <row r="686">
      <c r="C686" s="27"/>
    </row>
    <row r="687">
      <c r="C687" s="27"/>
    </row>
    <row r="688">
      <c r="C688" s="27"/>
    </row>
    <row r="689">
      <c r="C689" s="27"/>
    </row>
    <row r="690">
      <c r="C690" s="27"/>
    </row>
    <row r="691">
      <c r="C691" s="27"/>
    </row>
    <row r="692">
      <c r="C692" s="27"/>
    </row>
    <row r="693">
      <c r="C693" s="27"/>
    </row>
    <row r="694">
      <c r="C694" s="27"/>
    </row>
    <row r="695">
      <c r="C695" s="27"/>
    </row>
    <row r="696">
      <c r="C696" s="27"/>
    </row>
    <row r="697">
      <c r="C697" s="27"/>
    </row>
    <row r="698">
      <c r="C698" s="27"/>
    </row>
    <row r="699">
      <c r="C699" s="27"/>
    </row>
    <row r="700">
      <c r="C700" s="27"/>
    </row>
    <row r="701">
      <c r="C701" s="27"/>
    </row>
    <row r="702">
      <c r="C702" s="27"/>
    </row>
    <row r="703">
      <c r="C703" s="27"/>
    </row>
    <row r="704">
      <c r="C704" s="27"/>
    </row>
    <row r="705">
      <c r="C705" s="27"/>
    </row>
    <row r="706">
      <c r="C706" s="27"/>
    </row>
    <row r="707">
      <c r="C707" s="27"/>
    </row>
    <row r="708">
      <c r="C708" s="27"/>
    </row>
    <row r="709">
      <c r="C709" s="27"/>
    </row>
    <row r="710">
      <c r="C710" s="27"/>
    </row>
    <row r="711">
      <c r="C711" s="27"/>
    </row>
    <row r="712">
      <c r="C712" s="27"/>
    </row>
    <row r="713">
      <c r="C713" s="27"/>
    </row>
    <row r="714">
      <c r="C714" s="27"/>
    </row>
    <row r="715">
      <c r="C715" s="27"/>
    </row>
    <row r="716">
      <c r="C716" s="27"/>
    </row>
    <row r="717">
      <c r="C717" s="27"/>
    </row>
    <row r="718">
      <c r="C718" s="27"/>
    </row>
    <row r="719">
      <c r="C719" s="27"/>
    </row>
    <row r="720">
      <c r="C720" s="27"/>
    </row>
    <row r="721">
      <c r="C721" s="27"/>
    </row>
    <row r="722">
      <c r="C722" s="27"/>
    </row>
    <row r="723">
      <c r="C723" s="27"/>
    </row>
    <row r="724">
      <c r="C724" s="27"/>
    </row>
    <row r="725">
      <c r="C725" s="27"/>
    </row>
    <row r="726">
      <c r="C726" s="27"/>
    </row>
    <row r="727">
      <c r="C727" s="27"/>
    </row>
    <row r="728">
      <c r="C728" s="27"/>
    </row>
    <row r="729">
      <c r="C729" s="27"/>
    </row>
    <row r="730">
      <c r="C730" s="27"/>
    </row>
    <row r="731">
      <c r="C731" s="27"/>
    </row>
    <row r="732">
      <c r="C732" s="27"/>
    </row>
    <row r="733">
      <c r="C733" s="27"/>
    </row>
    <row r="734">
      <c r="C734" s="27"/>
    </row>
    <row r="735">
      <c r="C735" s="27"/>
    </row>
    <row r="736">
      <c r="C736" s="27"/>
    </row>
    <row r="737">
      <c r="C737" s="27"/>
    </row>
    <row r="738">
      <c r="C738" s="27"/>
    </row>
    <row r="739">
      <c r="C739" s="27"/>
    </row>
    <row r="740">
      <c r="C740" s="27"/>
    </row>
    <row r="741">
      <c r="C741" s="27"/>
    </row>
    <row r="742">
      <c r="C742" s="27"/>
    </row>
    <row r="743">
      <c r="C743" s="27"/>
    </row>
    <row r="744">
      <c r="C744" s="27"/>
    </row>
    <row r="745">
      <c r="C745" s="27"/>
    </row>
    <row r="746">
      <c r="C746" s="27"/>
    </row>
    <row r="747">
      <c r="C747" s="27"/>
    </row>
    <row r="748">
      <c r="C748" s="27"/>
    </row>
    <row r="749">
      <c r="C749" s="27"/>
    </row>
    <row r="750">
      <c r="C750" s="27"/>
    </row>
    <row r="751">
      <c r="C751" s="27"/>
    </row>
    <row r="752">
      <c r="C752" s="27"/>
    </row>
    <row r="753">
      <c r="C753" s="27"/>
    </row>
    <row r="754">
      <c r="C754" s="27"/>
    </row>
    <row r="755">
      <c r="C755" s="27"/>
    </row>
    <row r="756">
      <c r="C756" s="27"/>
    </row>
    <row r="757">
      <c r="C757" s="27"/>
    </row>
    <row r="758">
      <c r="C758" s="27"/>
    </row>
    <row r="759">
      <c r="C759" s="27"/>
    </row>
    <row r="760">
      <c r="C760" s="27"/>
    </row>
    <row r="761">
      <c r="C761" s="27"/>
    </row>
    <row r="762">
      <c r="C762" s="27"/>
    </row>
    <row r="763">
      <c r="C763" s="27"/>
    </row>
    <row r="764">
      <c r="C764" s="27"/>
    </row>
    <row r="765">
      <c r="C765" s="27"/>
    </row>
    <row r="766">
      <c r="C766" s="27"/>
    </row>
    <row r="767">
      <c r="C767" s="27"/>
    </row>
    <row r="768">
      <c r="C768" s="27"/>
    </row>
    <row r="769">
      <c r="C769" s="27"/>
    </row>
    <row r="770">
      <c r="C770" s="27"/>
    </row>
    <row r="771">
      <c r="C771" s="27"/>
    </row>
    <row r="772">
      <c r="C772" s="27"/>
    </row>
    <row r="773">
      <c r="C773" s="27"/>
    </row>
    <row r="774">
      <c r="C774" s="27"/>
    </row>
    <row r="775">
      <c r="C775" s="27"/>
    </row>
    <row r="776">
      <c r="C776" s="27"/>
    </row>
    <row r="777">
      <c r="C777" s="27"/>
    </row>
    <row r="778">
      <c r="C778" s="27"/>
    </row>
    <row r="779">
      <c r="C779" s="27"/>
    </row>
    <row r="780">
      <c r="C780" s="27"/>
    </row>
    <row r="781">
      <c r="C781" s="27"/>
    </row>
    <row r="782">
      <c r="C782" s="27"/>
    </row>
    <row r="783">
      <c r="C783" s="27"/>
    </row>
    <row r="784">
      <c r="C784" s="27"/>
    </row>
    <row r="785">
      <c r="C785" s="27"/>
    </row>
    <row r="786">
      <c r="C786" s="27"/>
    </row>
    <row r="787">
      <c r="C787" s="27"/>
    </row>
    <row r="788">
      <c r="C788" s="27"/>
    </row>
    <row r="789">
      <c r="C789" s="27"/>
    </row>
    <row r="790">
      <c r="C790" s="27"/>
    </row>
    <row r="791">
      <c r="C791" s="27"/>
    </row>
    <row r="792">
      <c r="C792" s="27"/>
    </row>
    <row r="793">
      <c r="C793" s="27"/>
    </row>
    <row r="794">
      <c r="C794" s="27"/>
    </row>
    <row r="795">
      <c r="C795" s="27"/>
    </row>
    <row r="796">
      <c r="C796" s="27"/>
    </row>
    <row r="797">
      <c r="C797" s="27"/>
    </row>
    <row r="798">
      <c r="C798" s="27"/>
    </row>
    <row r="799">
      <c r="C799" s="27"/>
    </row>
    <row r="800">
      <c r="C800" s="27"/>
    </row>
    <row r="801">
      <c r="C801" s="27"/>
    </row>
    <row r="802">
      <c r="C802" s="27"/>
    </row>
    <row r="803">
      <c r="C803" s="27"/>
    </row>
    <row r="804">
      <c r="C804" s="27"/>
    </row>
    <row r="805">
      <c r="C805" s="27"/>
    </row>
    <row r="806">
      <c r="C806" s="27"/>
    </row>
    <row r="807">
      <c r="C807" s="27"/>
    </row>
    <row r="808">
      <c r="C808" s="27"/>
    </row>
    <row r="809">
      <c r="C809" s="27"/>
    </row>
    <row r="810">
      <c r="C810" s="27"/>
    </row>
    <row r="811">
      <c r="C811" s="27"/>
    </row>
    <row r="812">
      <c r="C812" s="27"/>
    </row>
    <row r="813">
      <c r="C813" s="27"/>
    </row>
    <row r="814">
      <c r="C814" s="27"/>
    </row>
    <row r="815">
      <c r="C815" s="27"/>
    </row>
    <row r="816">
      <c r="C816" s="27"/>
    </row>
    <row r="817">
      <c r="C817" s="27"/>
    </row>
    <row r="818">
      <c r="C818" s="27"/>
    </row>
    <row r="819">
      <c r="C819" s="27"/>
    </row>
    <row r="820">
      <c r="C820" s="27"/>
    </row>
    <row r="821">
      <c r="C821" s="27"/>
    </row>
    <row r="822">
      <c r="C822" s="27"/>
    </row>
    <row r="823">
      <c r="C823" s="27"/>
    </row>
    <row r="824">
      <c r="C824" s="27"/>
    </row>
    <row r="825">
      <c r="C825" s="27"/>
    </row>
    <row r="826">
      <c r="C826" s="27"/>
    </row>
    <row r="827">
      <c r="C827" s="27"/>
    </row>
    <row r="828">
      <c r="C828" s="27"/>
    </row>
    <row r="829">
      <c r="C829" s="27"/>
    </row>
    <row r="830">
      <c r="C830" s="27"/>
    </row>
    <row r="831">
      <c r="C831" s="27"/>
    </row>
    <row r="832">
      <c r="C832" s="27"/>
    </row>
    <row r="833">
      <c r="C833" s="27"/>
    </row>
    <row r="834">
      <c r="C834" s="27"/>
    </row>
    <row r="835">
      <c r="C835" s="27"/>
    </row>
    <row r="836">
      <c r="C836" s="27"/>
    </row>
    <row r="837">
      <c r="C837" s="27"/>
    </row>
    <row r="838">
      <c r="C838" s="27"/>
    </row>
    <row r="839">
      <c r="C839" s="27"/>
    </row>
    <row r="840">
      <c r="C840" s="27"/>
    </row>
    <row r="841">
      <c r="C841" s="27"/>
    </row>
    <row r="842">
      <c r="C842" s="27"/>
    </row>
    <row r="843">
      <c r="C843" s="27"/>
    </row>
    <row r="844">
      <c r="C844" s="27"/>
    </row>
    <row r="845">
      <c r="C845" s="27"/>
    </row>
    <row r="846">
      <c r="C846" s="27"/>
    </row>
    <row r="847">
      <c r="C847" s="27"/>
    </row>
    <row r="848">
      <c r="C848" s="27"/>
    </row>
    <row r="849">
      <c r="C849" s="27"/>
    </row>
    <row r="850">
      <c r="C850" s="27"/>
    </row>
    <row r="851">
      <c r="C851" s="27"/>
    </row>
    <row r="852">
      <c r="C852" s="27"/>
    </row>
    <row r="853">
      <c r="C853" s="27"/>
    </row>
    <row r="854">
      <c r="C854" s="27"/>
    </row>
    <row r="855">
      <c r="C855" s="27"/>
    </row>
    <row r="856">
      <c r="C856" s="27"/>
    </row>
    <row r="857">
      <c r="C857" s="27"/>
    </row>
    <row r="858">
      <c r="C858" s="27"/>
    </row>
    <row r="859">
      <c r="C859" s="27"/>
    </row>
    <row r="860">
      <c r="C860" s="27"/>
    </row>
    <row r="861">
      <c r="C861" s="27"/>
    </row>
    <row r="862">
      <c r="C862" s="27"/>
    </row>
    <row r="863">
      <c r="C863" s="27"/>
    </row>
    <row r="864">
      <c r="C864" s="27"/>
    </row>
    <row r="865">
      <c r="C865" s="27"/>
    </row>
    <row r="866">
      <c r="C866" s="27"/>
    </row>
    <row r="867">
      <c r="C867" s="27"/>
    </row>
    <row r="868">
      <c r="C868" s="27"/>
    </row>
    <row r="869">
      <c r="C869" s="27"/>
    </row>
    <row r="870">
      <c r="C870" s="27"/>
    </row>
    <row r="871">
      <c r="C871" s="27"/>
    </row>
    <row r="872">
      <c r="C872" s="27"/>
    </row>
    <row r="873">
      <c r="C873" s="27"/>
    </row>
    <row r="874">
      <c r="C874" s="27"/>
    </row>
    <row r="875">
      <c r="C875" s="27"/>
    </row>
    <row r="876">
      <c r="C876" s="27"/>
    </row>
    <row r="877">
      <c r="C877" s="27"/>
    </row>
    <row r="878">
      <c r="C878" s="27"/>
    </row>
    <row r="879">
      <c r="C879" s="27"/>
    </row>
    <row r="880">
      <c r="C880" s="27"/>
    </row>
    <row r="881">
      <c r="C881" s="27"/>
    </row>
    <row r="882">
      <c r="C882" s="27"/>
    </row>
    <row r="883">
      <c r="C883" s="27"/>
    </row>
    <row r="884">
      <c r="C884" s="27"/>
    </row>
    <row r="885">
      <c r="C885" s="27"/>
    </row>
    <row r="886">
      <c r="C886" s="27"/>
    </row>
    <row r="887">
      <c r="C887" s="27"/>
    </row>
    <row r="888">
      <c r="C888" s="27"/>
    </row>
    <row r="889">
      <c r="C889" s="27"/>
    </row>
    <row r="890">
      <c r="C890" s="27"/>
    </row>
    <row r="891">
      <c r="C891" s="27"/>
    </row>
    <row r="892">
      <c r="C892" s="27"/>
    </row>
    <row r="893">
      <c r="C893" s="27"/>
    </row>
    <row r="894">
      <c r="C894" s="27"/>
    </row>
    <row r="895">
      <c r="C895" s="27"/>
    </row>
    <row r="896">
      <c r="C896" s="27"/>
    </row>
    <row r="897">
      <c r="C897" s="27"/>
    </row>
    <row r="898">
      <c r="C898" s="27"/>
    </row>
    <row r="899">
      <c r="C899" s="27"/>
    </row>
    <row r="900">
      <c r="C900" s="27"/>
    </row>
    <row r="901">
      <c r="C901" s="27"/>
    </row>
    <row r="902">
      <c r="C902" s="27"/>
    </row>
    <row r="903">
      <c r="C903" s="27"/>
    </row>
    <row r="904">
      <c r="C904" s="27"/>
    </row>
    <row r="905">
      <c r="C905" s="27"/>
    </row>
    <row r="906">
      <c r="C906" s="27"/>
    </row>
    <row r="907">
      <c r="C907" s="27"/>
    </row>
    <row r="908">
      <c r="C908" s="27"/>
    </row>
    <row r="909">
      <c r="C909" s="27"/>
    </row>
    <row r="910">
      <c r="C910" s="27"/>
    </row>
    <row r="911">
      <c r="C911" s="27"/>
    </row>
    <row r="912">
      <c r="C912" s="27"/>
    </row>
    <row r="913">
      <c r="C913" s="27"/>
    </row>
    <row r="914">
      <c r="C914" s="27"/>
    </row>
    <row r="915">
      <c r="C915" s="27"/>
    </row>
    <row r="916">
      <c r="C916" s="27"/>
    </row>
    <row r="917">
      <c r="C917" s="27"/>
    </row>
    <row r="918">
      <c r="C918" s="27"/>
    </row>
    <row r="919">
      <c r="C919" s="27"/>
    </row>
    <row r="920">
      <c r="C920" s="27"/>
    </row>
    <row r="921">
      <c r="C921" s="27"/>
    </row>
    <row r="922">
      <c r="C922" s="27"/>
    </row>
    <row r="923">
      <c r="C923" s="27"/>
    </row>
    <row r="924">
      <c r="C924" s="27"/>
    </row>
    <row r="925">
      <c r="C925" s="27"/>
    </row>
    <row r="926">
      <c r="C926" s="27"/>
    </row>
    <row r="927">
      <c r="C927" s="27"/>
    </row>
    <row r="928">
      <c r="C928" s="27"/>
    </row>
    <row r="929">
      <c r="C929" s="27"/>
    </row>
    <row r="930">
      <c r="C930" s="27"/>
    </row>
    <row r="931">
      <c r="C931" s="27"/>
    </row>
    <row r="932">
      <c r="C932" s="27"/>
    </row>
    <row r="933">
      <c r="C933" s="27"/>
    </row>
    <row r="934">
      <c r="C934" s="27"/>
    </row>
    <row r="935">
      <c r="C935" s="27"/>
    </row>
    <row r="936">
      <c r="C936" s="27"/>
    </row>
    <row r="937">
      <c r="C937" s="27"/>
    </row>
    <row r="938">
      <c r="C938" s="27"/>
    </row>
    <row r="939">
      <c r="C939" s="27"/>
    </row>
    <row r="940">
      <c r="C940" s="27"/>
    </row>
    <row r="941">
      <c r="C941" s="27"/>
    </row>
    <row r="942">
      <c r="C942" s="27"/>
    </row>
    <row r="943">
      <c r="C943" s="27"/>
    </row>
    <row r="944">
      <c r="C944" s="27"/>
    </row>
    <row r="945">
      <c r="C945" s="27"/>
    </row>
    <row r="946">
      <c r="C946" s="27"/>
    </row>
    <row r="947">
      <c r="C947" s="27"/>
    </row>
    <row r="948">
      <c r="C948" s="27"/>
    </row>
    <row r="949">
      <c r="C949" s="27"/>
    </row>
    <row r="950">
      <c r="C950" s="27"/>
    </row>
    <row r="951">
      <c r="C951" s="27"/>
    </row>
    <row r="952">
      <c r="C952" s="27"/>
    </row>
    <row r="953">
      <c r="C953" s="27"/>
    </row>
    <row r="954">
      <c r="C954" s="27"/>
    </row>
    <row r="955">
      <c r="C955" s="27"/>
    </row>
    <row r="956">
      <c r="C956" s="27"/>
    </row>
    <row r="957">
      <c r="C957" s="27"/>
    </row>
    <row r="958">
      <c r="C958" s="27"/>
    </row>
    <row r="959">
      <c r="C959" s="27"/>
    </row>
    <row r="960">
      <c r="C960" s="27"/>
    </row>
    <row r="961">
      <c r="C961" s="27"/>
    </row>
    <row r="962">
      <c r="C962" s="27"/>
    </row>
    <row r="963">
      <c r="C963" s="27"/>
    </row>
    <row r="964">
      <c r="C964" s="27"/>
    </row>
    <row r="965">
      <c r="C965" s="27"/>
    </row>
    <row r="966">
      <c r="C966" s="27"/>
    </row>
    <row r="967">
      <c r="C967" s="27"/>
    </row>
    <row r="968">
      <c r="C968" s="27"/>
    </row>
    <row r="969">
      <c r="C969" s="27"/>
    </row>
    <row r="970">
      <c r="C970" s="27"/>
    </row>
    <row r="971">
      <c r="C971" s="27"/>
    </row>
    <row r="972">
      <c r="C972" s="27"/>
    </row>
    <row r="973">
      <c r="C973" s="27"/>
    </row>
    <row r="974">
      <c r="C974" s="27"/>
    </row>
    <row r="975">
      <c r="C975" s="27"/>
    </row>
    <row r="976">
      <c r="C976" s="27"/>
    </row>
    <row r="977">
      <c r="C977" s="27"/>
    </row>
    <row r="978">
      <c r="C978" s="27"/>
    </row>
    <row r="979">
      <c r="C979" s="27"/>
    </row>
    <row r="980">
      <c r="C980" s="27"/>
    </row>
    <row r="981">
      <c r="C981" s="27"/>
    </row>
    <row r="982">
      <c r="C982" s="27"/>
    </row>
    <row r="983">
      <c r="C983" s="27"/>
    </row>
    <row r="984">
      <c r="C984" s="27"/>
    </row>
    <row r="985">
      <c r="C985" s="27"/>
    </row>
    <row r="986">
      <c r="C986" s="27"/>
    </row>
    <row r="987">
      <c r="C987" s="27"/>
    </row>
    <row r="988">
      <c r="C988" s="27"/>
    </row>
    <row r="989">
      <c r="C989" s="27"/>
    </row>
    <row r="990">
      <c r="C990" s="27"/>
    </row>
    <row r="991">
      <c r="C991" s="27"/>
    </row>
    <row r="992">
      <c r="C992" s="27"/>
    </row>
    <row r="993">
      <c r="C993" s="27"/>
    </row>
    <row r="994">
      <c r="C994" s="27"/>
    </row>
    <row r="995">
      <c r="C995" s="27"/>
    </row>
    <row r="996">
      <c r="C996" s="27"/>
    </row>
    <row r="997">
      <c r="C997" s="27"/>
    </row>
    <row r="998">
      <c r="C998" s="27"/>
    </row>
    <row r="999">
      <c r="C999" s="27"/>
    </row>
    <row r="1000">
      <c r="C1000" s="27"/>
    </row>
    <row r="1001">
      <c r="C1001" s="27"/>
    </row>
    <row r="1002">
      <c r="C1002" s="27"/>
    </row>
  </sheetData>
  <mergeCells count="2">
    <mergeCell ref="D2:G2"/>
    <mergeCell ref="B6:Q6"/>
  </mergeCells>
  <conditionalFormatting sqref="D42:P42">
    <cfRule type="cellIs" dxfId="0" priority="1" operator="lessThan">
      <formula>0</formula>
    </cfRule>
  </conditionalFormatting>
  <conditionalFormatting sqref="D51:P51">
    <cfRule type="cellIs" dxfId="0" priority="2" operator="lessThan">
      <formula>0</formula>
    </cfRule>
  </conditionalFormatting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3.75"/>
    <col customWidth="1" min="11" max="11" width="14.38"/>
  </cols>
  <sheetData>
    <row r="1">
      <c r="G1" s="27"/>
      <c r="H1" s="27"/>
    </row>
    <row r="2">
      <c r="G2" s="27"/>
      <c r="H2" s="27"/>
    </row>
    <row r="3">
      <c r="G3" s="27"/>
      <c r="H3" s="27"/>
    </row>
    <row r="4">
      <c r="G4" s="27"/>
      <c r="H4" s="27"/>
    </row>
    <row r="5">
      <c r="G5" s="27"/>
      <c r="H5" s="27"/>
    </row>
    <row r="6">
      <c r="G6" s="27"/>
      <c r="H6" s="27"/>
    </row>
    <row r="7">
      <c r="G7" s="27"/>
      <c r="H7" s="27"/>
    </row>
    <row r="8">
      <c r="G8" s="27"/>
      <c r="H8" s="27"/>
    </row>
    <row r="9">
      <c r="B9" s="55" t="s">
        <v>122</v>
      </c>
      <c r="C9" s="56"/>
      <c r="D9" s="57" t="s">
        <v>123</v>
      </c>
      <c r="E9" s="57" t="s">
        <v>124</v>
      </c>
      <c r="G9" s="27"/>
      <c r="H9" s="27"/>
    </row>
    <row r="10">
      <c r="B10" s="59" t="s">
        <v>129</v>
      </c>
      <c r="C10" s="60"/>
      <c r="D10" s="61">
        <v>6595.33</v>
      </c>
      <c r="E10" s="61">
        <v>6595.33</v>
      </c>
      <c r="G10" s="107">
        <f>5595.33-1648.84</f>
        <v>3946.49</v>
      </c>
      <c r="H10" s="27"/>
    </row>
    <row r="11">
      <c r="B11" s="59" t="s">
        <v>136</v>
      </c>
      <c r="C11" s="60"/>
      <c r="D11" s="62">
        <f>1290+1914.26+385.96</f>
        <v>3590.22</v>
      </c>
      <c r="E11" s="62">
        <f>1290+1914.26+386.96</f>
        <v>3591.22</v>
      </c>
      <c r="G11" s="27"/>
      <c r="H11" s="27"/>
    </row>
    <row r="12">
      <c r="B12" s="59" t="s">
        <v>137</v>
      </c>
      <c r="C12" s="60"/>
      <c r="D12" s="63"/>
      <c r="E12" s="62">
        <v>500.0</v>
      </c>
      <c r="G12" s="27"/>
      <c r="H12" s="27"/>
    </row>
    <row r="13">
      <c r="B13" s="59" t="s">
        <v>138</v>
      </c>
      <c r="C13" s="60"/>
      <c r="D13" s="64"/>
      <c r="E13" s="65">
        <v>4300.0</v>
      </c>
      <c r="G13" s="27"/>
      <c r="H13" s="27"/>
    </row>
    <row r="14">
      <c r="B14" s="67" t="s">
        <v>139</v>
      </c>
      <c r="C14" s="68"/>
      <c r="D14" s="69">
        <f t="shared" ref="D14:E14" si="1">SUM(D10:D13)</f>
        <v>10185.55</v>
      </c>
      <c r="E14" s="69">
        <f t="shared" si="1"/>
        <v>14986.55</v>
      </c>
      <c r="G14" s="27"/>
      <c r="H14" s="27"/>
    </row>
    <row r="15">
      <c r="G15" s="27"/>
      <c r="H15" s="27"/>
    </row>
    <row r="16">
      <c r="B16" s="70" t="s">
        <v>140</v>
      </c>
      <c r="C16" s="71"/>
      <c r="D16" s="58" t="s">
        <v>123</v>
      </c>
      <c r="E16" s="58" t="s">
        <v>124</v>
      </c>
      <c r="J16" s="107" t="s">
        <v>120</v>
      </c>
      <c r="K16" s="107" t="s">
        <v>119</v>
      </c>
    </row>
    <row r="17">
      <c r="B17" s="72" t="s">
        <v>141</v>
      </c>
      <c r="C17" s="73"/>
      <c r="D17" s="75"/>
      <c r="E17" s="179">
        <v>350.0</v>
      </c>
      <c r="I17" s="18" t="s">
        <v>190</v>
      </c>
      <c r="J17" s="180">
        <v>30.0</v>
      </c>
      <c r="K17" s="181">
        <v>50.0</v>
      </c>
      <c r="L17" s="27"/>
      <c r="M17" s="27"/>
    </row>
    <row r="18">
      <c r="B18" s="72" t="s">
        <v>142</v>
      </c>
      <c r="C18" s="73"/>
      <c r="D18" s="75">
        <v>45.6</v>
      </c>
      <c r="E18" s="179">
        <v>300.0</v>
      </c>
      <c r="I18" s="18" t="s">
        <v>191</v>
      </c>
      <c r="J18" s="107">
        <v>200.0</v>
      </c>
      <c r="K18" s="107">
        <v>200.0</v>
      </c>
      <c r="L18" s="27"/>
      <c r="M18" s="27"/>
    </row>
    <row r="19">
      <c r="B19" s="72" t="s">
        <v>143</v>
      </c>
      <c r="C19" s="73"/>
      <c r="D19" s="179">
        <v>157.0</v>
      </c>
      <c r="E19" s="75">
        <v>157.0</v>
      </c>
      <c r="I19" s="18" t="s">
        <v>192</v>
      </c>
      <c r="J19" s="107">
        <v>300.0</v>
      </c>
      <c r="K19" s="27"/>
      <c r="L19" s="27"/>
      <c r="M19" s="27"/>
    </row>
    <row r="20">
      <c r="B20" s="72" t="s">
        <v>144</v>
      </c>
      <c r="C20" s="73"/>
      <c r="D20" s="75">
        <f>30+50</f>
        <v>80</v>
      </c>
      <c r="E20" s="75">
        <v>100.0</v>
      </c>
      <c r="I20" s="18" t="s">
        <v>193</v>
      </c>
      <c r="J20" s="107">
        <v>900.0</v>
      </c>
      <c r="K20" s="107">
        <v>900.0</v>
      </c>
      <c r="L20" s="27"/>
      <c r="M20" s="27"/>
    </row>
    <row r="21">
      <c r="B21" s="72" t="s">
        <v>145</v>
      </c>
      <c r="C21" s="73"/>
      <c r="D21" s="74"/>
      <c r="E21" s="75">
        <v>2500.0</v>
      </c>
      <c r="I21" s="18" t="s">
        <v>194</v>
      </c>
      <c r="J21" s="27"/>
      <c r="K21" s="181">
        <v>62.4</v>
      </c>
      <c r="L21" s="27"/>
      <c r="M21" s="27"/>
    </row>
    <row r="22">
      <c r="B22" s="72" t="s">
        <v>146</v>
      </c>
      <c r="C22" s="77" t="s">
        <v>147</v>
      </c>
      <c r="D22" s="75">
        <v>400.0</v>
      </c>
      <c r="E22" s="75">
        <v>400.0</v>
      </c>
      <c r="G22" s="27"/>
      <c r="H22" s="27"/>
      <c r="I22" s="18" t="s">
        <v>195</v>
      </c>
      <c r="J22" s="27"/>
      <c r="K22" s="181">
        <v>176.02</v>
      </c>
      <c r="L22" s="27"/>
      <c r="M22" s="27"/>
    </row>
    <row r="23">
      <c r="B23" s="72" t="s">
        <v>148</v>
      </c>
      <c r="C23" s="73"/>
      <c r="D23" s="75">
        <v>220.0</v>
      </c>
      <c r="E23" s="179">
        <v>500.0</v>
      </c>
      <c r="G23" s="27"/>
      <c r="H23" s="27"/>
      <c r="I23" s="18" t="s">
        <v>196</v>
      </c>
      <c r="J23" s="180">
        <v>220.0</v>
      </c>
      <c r="K23" s="27"/>
      <c r="L23" s="27"/>
      <c r="M23" s="27"/>
    </row>
    <row r="24">
      <c r="B24" s="72" t="s">
        <v>149</v>
      </c>
      <c r="C24" s="73"/>
      <c r="D24" s="74"/>
      <c r="E24" s="179">
        <v>603.0</v>
      </c>
      <c r="G24" s="27"/>
      <c r="H24" s="27"/>
      <c r="I24" s="18" t="s">
        <v>197</v>
      </c>
      <c r="J24" s="27"/>
      <c r="K24" s="181">
        <v>498.84</v>
      </c>
      <c r="L24" s="27"/>
      <c r="M24" s="27"/>
    </row>
    <row r="25">
      <c r="A25" s="32" t="s">
        <v>120</v>
      </c>
      <c r="B25" s="72" t="s">
        <v>150</v>
      </c>
      <c r="C25" s="73"/>
      <c r="D25" s="75">
        <v>300.0</v>
      </c>
      <c r="E25" s="75">
        <v>300.0</v>
      </c>
      <c r="G25" s="27"/>
      <c r="H25" s="27"/>
      <c r="J25" s="27"/>
      <c r="K25" s="27"/>
      <c r="L25" s="27"/>
      <c r="M25" s="27"/>
    </row>
    <row r="26">
      <c r="B26" s="72" t="s">
        <v>151</v>
      </c>
      <c r="C26" s="73"/>
      <c r="D26" s="74"/>
      <c r="E26" s="75">
        <v>0.0</v>
      </c>
      <c r="G26" s="27"/>
      <c r="H26" s="27"/>
      <c r="I26" s="182" t="s">
        <v>198</v>
      </c>
      <c r="J26" s="183">
        <f>SUM(J17:J23)</f>
        <v>1650</v>
      </c>
      <c r="K26" s="183">
        <f>SUM(K17:K24)</f>
        <v>1887.26</v>
      </c>
      <c r="L26" s="27"/>
      <c r="M26" s="27"/>
    </row>
    <row r="27">
      <c r="B27" s="72" t="s">
        <v>152</v>
      </c>
      <c r="C27" s="73"/>
      <c r="D27" s="74"/>
      <c r="E27" s="74"/>
      <c r="G27" s="27"/>
      <c r="H27" s="27"/>
      <c r="J27" s="27"/>
      <c r="K27" s="27"/>
      <c r="L27" s="27"/>
      <c r="M27" s="184">
        <v>5595.33</v>
      </c>
    </row>
    <row r="28">
      <c r="B28" s="72" t="s">
        <v>153</v>
      </c>
      <c r="C28" s="73"/>
      <c r="D28" s="74"/>
      <c r="E28" s="74"/>
      <c r="G28" s="27"/>
      <c r="H28" s="27"/>
      <c r="I28" s="185" t="s">
        <v>199</v>
      </c>
      <c r="J28" s="186">
        <v>235.74</v>
      </c>
      <c r="K28" s="27"/>
      <c r="L28" s="27"/>
      <c r="M28" s="27"/>
    </row>
    <row r="29">
      <c r="B29" s="72" t="s">
        <v>154</v>
      </c>
      <c r="C29" s="73"/>
      <c r="D29" s="75">
        <f>47.4+15+12</f>
        <v>74.4</v>
      </c>
      <c r="E29" s="75">
        <v>104.8</v>
      </c>
      <c r="G29" s="27"/>
      <c r="H29" s="27"/>
      <c r="J29" s="27"/>
      <c r="K29" s="27"/>
      <c r="L29" s="27"/>
      <c r="M29" s="27"/>
    </row>
    <row r="30">
      <c r="B30" s="72" t="s">
        <v>155</v>
      </c>
      <c r="C30" s="73"/>
      <c r="D30" s="74"/>
      <c r="E30" s="74"/>
      <c r="G30" s="27"/>
      <c r="H30" s="27"/>
      <c r="I30" s="187"/>
      <c r="J30" s="184">
        <f>1290+1414.26</f>
        <v>2704.26</v>
      </c>
      <c r="K30" s="184">
        <v>5595.33</v>
      </c>
      <c r="L30" s="188">
        <f>J30+K30</f>
        <v>8299.59</v>
      </c>
      <c r="M30" s="27"/>
    </row>
    <row r="31">
      <c r="B31" s="72" t="s">
        <v>156</v>
      </c>
      <c r="C31" s="73"/>
      <c r="D31" s="75">
        <v>176.02</v>
      </c>
      <c r="E31" s="179">
        <v>200.0</v>
      </c>
      <c r="G31" s="27"/>
      <c r="H31" s="27"/>
      <c r="I31" s="189" t="s">
        <v>200</v>
      </c>
      <c r="J31" s="188">
        <f>L30-J26-K26</f>
        <v>4762.33</v>
      </c>
      <c r="K31" s="27"/>
      <c r="L31" s="27"/>
      <c r="M31" s="27"/>
    </row>
    <row r="32">
      <c r="B32" s="72" t="s">
        <v>157</v>
      </c>
      <c r="C32" s="73"/>
      <c r="D32" s="74"/>
      <c r="E32" s="74"/>
      <c r="G32" s="27"/>
      <c r="H32" s="27"/>
      <c r="J32" s="190"/>
      <c r="K32" s="27"/>
      <c r="L32" s="27"/>
      <c r="M32" s="27"/>
    </row>
    <row r="33">
      <c r="B33" s="72" t="s">
        <v>158</v>
      </c>
      <c r="C33" s="73"/>
      <c r="D33" s="74"/>
      <c r="E33" s="74"/>
      <c r="G33" s="27"/>
      <c r="H33" s="27"/>
      <c r="J33" s="27"/>
      <c r="K33" s="27">
        <f>K30-K26</f>
        <v>3708.07</v>
      </c>
      <c r="L33" s="27"/>
      <c r="M33" s="27"/>
    </row>
    <row r="34">
      <c r="B34" s="72" t="s">
        <v>159</v>
      </c>
      <c r="C34" s="73"/>
      <c r="D34" s="75">
        <v>1500.0</v>
      </c>
      <c r="E34" s="75">
        <v>800.0</v>
      </c>
      <c r="G34" s="27"/>
      <c r="H34" s="27"/>
      <c r="J34" s="27"/>
      <c r="K34" s="27">
        <f>K33-3500</f>
        <v>208.07</v>
      </c>
      <c r="L34" s="27"/>
      <c r="M34" s="27"/>
    </row>
    <row r="35">
      <c r="B35" s="72" t="s">
        <v>160</v>
      </c>
      <c r="C35" s="73"/>
      <c r="D35" s="75">
        <v>1800.0</v>
      </c>
      <c r="E35" s="75">
        <v>1800.0</v>
      </c>
      <c r="G35" s="27"/>
      <c r="H35" s="27"/>
    </row>
    <row r="36">
      <c r="B36" s="67" t="s">
        <v>161</v>
      </c>
      <c r="C36" s="68"/>
      <c r="D36" s="78">
        <f t="shared" ref="D36:E36" si="2">SUM(D17:D35)*-1</f>
        <v>-4753.02</v>
      </c>
      <c r="E36" s="78">
        <f t="shared" si="2"/>
        <v>-8114.8</v>
      </c>
      <c r="G36" s="27"/>
      <c r="H36" s="27"/>
    </row>
    <row r="37">
      <c r="G37" s="27"/>
      <c r="H37" s="27"/>
    </row>
    <row r="38">
      <c r="B38" s="80" t="s">
        <v>162</v>
      </c>
      <c r="C38" s="81"/>
      <c r="D38" s="82">
        <f t="shared" ref="D38:E38" si="3">D14+D36</f>
        <v>5432.53</v>
      </c>
      <c r="E38" s="82">
        <f t="shared" si="3"/>
        <v>6871.75</v>
      </c>
      <c r="G38" s="27"/>
      <c r="H38" s="27"/>
    </row>
    <row r="39">
      <c r="B39" s="83"/>
      <c r="C39" s="83"/>
      <c r="D39" s="84"/>
      <c r="E39" s="84"/>
      <c r="G39" s="27"/>
      <c r="H39" s="27"/>
    </row>
    <row r="40">
      <c r="B40" s="85" t="s">
        <v>163</v>
      </c>
      <c r="C40" s="86"/>
      <c r="D40" s="57" t="s">
        <v>123</v>
      </c>
      <c r="E40" s="57" t="s">
        <v>124</v>
      </c>
      <c r="G40" s="27"/>
      <c r="H40" s="27"/>
    </row>
    <row r="41">
      <c r="B41" s="87" t="s">
        <v>164</v>
      </c>
      <c r="C41" s="88">
        <v>4055.1</v>
      </c>
      <c r="D41" s="89">
        <v>498.84</v>
      </c>
      <c r="E41" s="89">
        <v>498.84</v>
      </c>
      <c r="G41" s="27"/>
      <c r="H41" s="27"/>
    </row>
    <row r="42">
      <c r="B42" s="87" t="s">
        <v>165</v>
      </c>
      <c r="C42" s="88">
        <v>8943.65</v>
      </c>
      <c r="D42" s="91">
        <v>385.96</v>
      </c>
      <c r="E42" s="91">
        <v>385.96</v>
      </c>
      <c r="G42" s="27"/>
      <c r="H42" s="27"/>
      <c r="K42" s="12">
        <f>6262.59-1500</f>
        <v>4762.59</v>
      </c>
    </row>
    <row r="43">
      <c r="B43" s="87" t="s">
        <v>166</v>
      </c>
      <c r="C43" s="88">
        <v>8200.0</v>
      </c>
      <c r="D43" s="91">
        <v>0.0</v>
      </c>
      <c r="E43" s="91">
        <v>180.0</v>
      </c>
      <c r="G43" s="27"/>
      <c r="H43" s="27"/>
    </row>
    <row r="44">
      <c r="B44" s="92"/>
      <c r="C44" s="93"/>
      <c r="D44" s="94"/>
      <c r="E44" s="94"/>
      <c r="G44" s="27"/>
      <c r="H44" s="27"/>
    </row>
    <row r="45">
      <c r="B45" s="67" t="s">
        <v>167</v>
      </c>
      <c r="C45" s="95">
        <f>SUM(C41:C43)</f>
        <v>21198.75</v>
      </c>
      <c r="D45" s="78">
        <f t="shared" ref="D45:E45" si="4">SUM(D41:D43)*-1</f>
        <v>-884.8</v>
      </c>
      <c r="E45" s="78">
        <f t="shared" si="4"/>
        <v>-1064.8</v>
      </c>
      <c r="G45" s="27"/>
      <c r="H45" s="27"/>
    </row>
    <row r="46">
      <c r="B46" s="83"/>
      <c r="C46" s="83"/>
      <c r="D46" s="96"/>
      <c r="E46" s="96"/>
      <c r="G46" s="27"/>
      <c r="H46" s="27"/>
    </row>
    <row r="47">
      <c r="B47" s="97" t="s">
        <v>168</v>
      </c>
      <c r="C47" s="98"/>
      <c r="D47" s="99">
        <f t="shared" ref="D47:E47" si="5">D38+D45</f>
        <v>4547.73</v>
      </c>
      <c r="E47" s="99">
        <f t="shared" si="5"/>
        <v>5806.95</v>
      </c>
      <c r="G47" s="27"/>
      <c r="H47" s="27"/>
    </row>
    <row r="48">
      <c r="B48" s="83"/>
      <c r="C48" s="83"/>
      <c r="D48" s="96"/>
      <c r="E48" s="96"/>
      <c r="G48" s="27"/>
      <c r="H48" s="27"/>
    </row>
    <row r="49">
      <c r="B49" s="100" t="s">
        <v>169</v>
      </c>
      <c r="C49" s="101"/>
      <c r="D49" s="57" t="s">
        <v>123</v>
      </c>
      <c r="E49" s="57" t="s">
        <v>124</v>
      </c>
      <c r="G49" s="27"/>
      <c r="H49" s="27"/>
    </row>
    <row r="50">
      <c r="B50" s="102" t="s">
        <v>170</v>
      </c>
      <c r="C50" s="103"/>
      <c r="D50" s="104"/>
      <c r="E50" s="105">
        <f>D52</f>
        <v>4547.73</v>
      </c>
      <c r="G50" s="27"/>
      <c r="H50" s="27"/>
    </row>
    <row r="51">
      <c r="B51" s="102" t="s">
        <v>171</v>
      </c>
      <c r="C51" s="103"/>
      <c r="D51" s="106">
        <f t="shared" ref="D51:E51" si="6">+D47</f>
        <v>4547.73</v>
      </c>
      <c r="E51" s="106">
        <f t="shared" si="6"/>
        <v>5806.95</v>
      </c>
      <c r="G51" s="27"/>
      <c r="H51" s="27"/>
    </row>
    <row r="52">
      <c r="B52" s="67" t="s">
        <v>173</v>
      </c>
      <c r="C52" s="68"/>
      <c r="D52" s="95">
        <f t="shared" ref="D52:E52" si="7">SUM(D50:D51)</f>
        <v>4547.73</v>
      </c>
      <c r="E52" s="95">
        <f t="shared" si="7"/>
        <v>10354.68</v>
      </c>
      <c r="G52" s="27"/>
      <c r="H52" s="27"/>
    </row>
    <row r="53">
      <c r="G53" s="27"/>
      <c r="H53" s="27"/>
    </row>
    <row r="54">
      <c r="G54" s="27"/>
      <c r="H54" s="27"/>
    </row>
    <row r="55">
      <c r="G55" s="27"/>
      <c r="H55" s="27"/>
    </row>
    <row r="56">
      <c r="G56" s="27"/>
      <c r="H56" s="27"/>
    </row>
    <row r="57">
      <c r="G57" s="27"/>
      <c r="H57" s="27"/>
    </row>
    <row r="58">
      <c r="G58" s="27"/>
      <c r="H58" s="27"/>
    </row>
    <row r="59">
      <c r="G59" s="27"/>
      <c r="H59" s="27"/>
    </row>
    <row r="60">
      <c r="G60" s="27"/>
      <c r="H60" s="27"/>
    </row>
    <row r="61">
      <c r="G61" s="27"/>
      <c r="H61" s="27"/>
    </row>
    <row r="62">
      <c r="G62" s="27"/>
      <c r="H62" s="27"/>
    </row>
    <row r="63">
      <c r="G63" s="27"/>
      <c r="H63" s="27"/>
    </row>
    <row r="64">
      <c r="G64" s="27"/>
      <c r="H64" s="27"/>
    </row>
    <row r="65">
      <c r="G65" s="27"/>
      <c r="H65" s="27"/>
    </row>
    <row r="66">
      <c r="G66" s="27"/>
      <c r="H66" s="27"/>
    </row>
    <row r="67">
      <c r="G67" s="27"/>
      <c r="H67" s="27"/>
    </row>
    <row r="68">
      <c r="G68" s="27"/>
      <c r="H68" s="27"/>
    </row>
    <row r="69">
      <c r="G69" s="27"/>
      <c r="H69" s="27"/>
    </row>
    <row r="70">
      <c r="G70" s="27"/>
      <c r="H70" s="27"/>
    </row>
    <row r="71">
      <c r="G71" s="27"/>
      <c r="H71" s="27"/>
    </row>
    <row r="72">
      <c r="G72" s="27"/>
      <c r="H72" s="27"/>
    </row>
    <row r="73">
      <c r="G73" s="27"/>
      <c r="H73" s="27"/>
    </row>
    <row r="74">
      <c r="G74" s="27"/>
      <c r="H74" s="27"/>
    </row>
    <row r="75">
      <c r="G75" s="27"/>
      <c r="H75" s="27"/>
    </row>
    <row r="76">
      <c r="G76" s="27"/>
      <c r="H76" s="27"/>
    </row>
    <row r="77">
      <c r="G77" s="27"/>
      <c r="H77" s="27"/>
    </row>
    <row r="78">
      <c r="G78" s="27"/>
      <c r="H78" s="27"/>
    </row>
    <row r="79">
      <c r="G79" s="27"/>
      <c r="H79" s="27"/>
    </row>
    <row r="80">
      <c r="G80" s="27"/>
      <c r="H80" s="27"/>
    </row>
    <row r="81">
      <c r="G81" s="27"/>
      <c r="H81" s="27"/>
    </row>
    <row r="82">
      <c r="G82" s="27"/>
      <c r="H82" s="27"/>
    </row>
    <row r="83">
      <c r="G83" s="27"/>
      <c r="H83" s="27"/>
    </row>
    <row r="84">
      <c r="G84" s="27"/>
      <c r="H84" s="27"/>
    </row>
    <row r="85">
      <c r="G85" s="27"/>
      <c r="H85" s="27"/>
    </row>
    <row r="86">
      <c r="G86" s="27"/>
      <c r="H86" s="27"/>
    </row>
    <row r="87">
      <c r="G87" s="27"/>
      <c r="H87" s="27"/>
    </row>
    <row r="88">
      <c r="G88" s="27"/>
      <c r="H88" s="27"/>
    </row>
    <row r="89">
      <c r="G89" s="27"/>
      <c r="H89" s="27"/>
    </row>
    <row r="90">
      <c r="G90" s="27"/>
      <c r="H90" s="27"/>
    </row>
    <row r="91">
      <c r="G91" s="27"/>
      <c r="H91" s="27"/>
    </row>
    <row r="92">
      <c r="G92" s="27"/>
      <c r="H92" s="27"/>
    </row>
    <row r="93">
      <c r="G93" s="27"/>
      <c r="H93" s="27"/>
    </row>
    <row r="94">
      <c r="G94" s="27"/>
      <c r="H94" s="27"/>
    </row>
    <row r="95">
      <c r="G95" s="27"/>
      <c r="H95" s="27"/>
    </row>
    <row r="96">
      <c r="G96" s="27"/>
      <c r="H96" s="27"/>
    </row>
    <row r="97">
      <c r="G97" s="27"/>
      <c r="H97" s="27"/>
    </row>
    <row r="98">
      <c r="G98" s="27"/>
      <c r="H98" s="27"/>
    </row>
    <row r="99">
      <c r="G99" s="27"/>
      <c r="H99" s="27"/>
    </row>
    <row r="100">
      <c r="G100" s="27"/>
      <c r="H100" s="27"/>
    </row>
    <row r="101">
      <c r="G101" s="27"/>
      <c r="H101" s="27"/>
    </row>
    <row r="102">
      <c r="G102" s="27"/>
      <c r="H102" s="27"/>
    </row>
    <row r="103">
      <c r="G103" s="27"/>
      <c r="H103" s="27"/>
    </row>
    <row r="104">
      <c r="G104" s="27"/>
      <c r="H104" s="27"/>
    </row>
    <row r="105">
      <c r="G105" s="27"/>
      <c r="H105" s="27"/>
    </row>
    <row r="106">
      <c r="G106" s="27"/>
      <c r="H106" s="27"/>
    </row>
    <row r="107">
      <c r="G107" s="27"/>
      <c r="H107" s="27"/>
    </row>
    <row r="108">
      <c r="G108" s="27"/>
      <c r="H108" s="27"/>
    </row>
    <row r="109">
      <c r="G109" s="27"/>
      <c r="H109" s="27"/>
    </row>
    <row r="110">
      <c r="G110" s="27"/>
      <c r="H110" s="27"/>
    </row>
    <row r="111">
      <c r="G111" s="27"/>
      <c r="H111" s="27"/>
    </row>
    <row r="112">
      <c r="G112" s="27"/>
      <c r="H112" s="27"/>
    </row>
    <row r="113">
      <c r="G113" s="27"/>
      <c r="H113" s="27"/>
    </row>
    <row r="114">
      <c r="G114" s="27"/>
      <c r="H114" s="27"/>
    </row>
    <row r="115">
      <c r="G115" s="27"/>
      <c r="H115" s="27"/>
    </row>
    <row r="116">
      <c r="G116" s="27"/>
      <c r="H116" s="27"/>
    </row>
    <row r="117">
      <c r="G117" s="27"/>
      <c r="H117" s="27"/>
    </row>
    <row r="118">
      <c r="G118" s="27"/>
      <c r="H118" s="27"/>
    </row>
    <row r="119">
      <c r="G119" s="27"/>
      <c r="H119" s="27"/>
    </row>
    <row r="120">
      <c r="G120" s="27"/>
      <c r="H120" s="27"/>
    </row>
    <row r="121">
      <c r="G121" s="27"/>
      <c r="H121" s="27"/>
    </row>
    <row r="122">
      <c r="G122" s="27"/>
      <c r="H122" s="27"/>
    </row>
    <row r="123">
      <c r="G123" s="27"/>
      <c r="H123" s="27"/>
    </row>
    <row r="124">
      <c r="G124" s="27"/>
      <c r="H124" s="27"/>
    </row>
    <row r="125">
      <c r="G125" s="27"/>
      <c r="H125" s="27"/>
    </row>
    <row r="126">
      <c r="G126" s="27"/>
      <c r="H126" s="27"/>
    </row>
    <row r="127">
      <c r="G127" s="27"/>
      <c r="H127" s="27"/>
    </row>
    <row r="128">
      <c r="G128" s="27"/>
      <c r="H128" s="27"/>
    </row>
    <row r="129">
      <c r="G129" s="27"/>
      <c r="H129" s="27"/>
    </row>
    <row r="130">
      <c r="G130" s="27"/>
      <c r="H130" s="27"/>
    </row>
    <row r="131">
      <c r="G131" s="27"/>
      <c r="H131" s="27"/>
    </row>
    <row r="132">
      <c r="G132" s="27"/>
      <c r="H132" s="27"/>
    </row>
    <row r="133">
      <c r="G133" s="27"/>
      <c r="H133" s="27"/>
    </row>
    <row r="134">
      <c r="G134" s="27"/>
      <c r="H134" s="27"/>
    </row>
    <row r="135">
      <c r="G135" s="27"/>
      <c r="H135" s="27"/>
    </row>
    <row r="136">
      <c r="G136" s="27"/>
      <c r="H136" s="27"/>
    </row>
    <row r="137">
      <c r="G137" s="27"/>
      <c r="H137" s="27"/>
    </row>
    <row r="138">
      <c r="G138" s="27"/>
      <c r="H138" s="27"/>
    </row>
    <row r="139">
      <c r="G139" s="27"/>
      <c r="H139" s="27"/>
    </row>
    <row r="140">
      <c r="G140" s="27"/>
      <c r="H140" s="27"/>
    </row>
    <row r="141">
      <c r="G141" s="27"/>
      <c r="H141" s="27"/>
    </row>
    <row r="142">
      <c r="G142" s="27"/>
      <c r="H142" s="27"/>
    </row>
    <row r="143">
      <c r="G143" s="27"/>
      <c r="H143" s="27"/>
    </row>
    <row r="144">
      <c r="G144" s="27"/>
      <c r="H144" s="27"/>
    </row>
    <row r="145">
      <c r="G145" s="27"/>
      <c r="H145" s="27"/>
    </row>
    <row r="146">
      <c r="G146" s="27"/>
      <c r="H146" s="27"/>
    </row>
    <row r="147">
      <c r="G147" s="27"/>
      <c r="H147" s="27"/>
    </row>
    <row r="148">
      <c r="G148" s="27"/>
      <c r="H148" s="27"/>
    </row>
    <row r="149">
      <c r="G149" s="27"/>
      <c r="H149" s="27"/>
    </row>
    <row r="150">
      <c r="G150" s="27"/>
      <c r="H150" s="27"/>
    </row>
    <row r="151">
      <c r="G151" s="27"/>
      <c r="H151" s="27"/>
    </row>
    <row r="152">
      <c r="G152" s="27"/>
      <c r="H152" s="27"/>
    </row>
    <row r="153">
      <c r="G153" s="27"/>
      <c r="H153" s="27"/>
    </row>
    <row r="154">
      <c r="G154" s="27"/>
      <c r="H154" s="27"/>
    </row>
    <row r="155">
      <c r="G155" s="27"/>
      <c r="H155" s="27"/>
    </row>
    <row r="156">
      <c r="G156" s="27"/>
      <c r="H156" s="27"/>
    </row>
    <row r="157">
      <c r="G157" s="27"/>
      <c r="H157" s="27"/>
    </row>
    <row r="158">
      <c r="G158" s="27"/>
      <c r="H158" s="27"/>
    </row>
    <row r="159">
      <c r="G159" s="27"/>
      <c r="H159" s="27"/>
    </row>
    <row r="160">
      <c r="G160" s="27"/>
      <c r="H160" s="27"/>
    </row>
    <row r="161">
      <c r="G161" s="27"/>
      <c r="H161" s="27"/>
    </row>
    <row r="162">
      <c r="G162" s="27"/>
      <c r="H162" s="27"/>
    </row>
    <row r="163">
      <c r="G163" s="27"/>
      <c r="H163" s="27"/>
    </row>
    <row r="164">
      <c r="G164" s="27"/>
      <c r="H164" s="27"/>
    </row>
    <row r="165">
      <c r="G165" s="27"/>
      <c r="H165" s="27"/>
    </row>
    <row r="166">
      <c r="G166" s="27"/>
      <c r="H166" s="27"/>
    </row>
    <row r="167">
      <c r="G167" s="27"/>
      <c r="H167" s="27"/>
    </row>
    <row r="168">
      <c r="G168" s="27"/>
      <c r="H168" s="27"/>
    </row>
    <row r="169">
      <c r="G169" s="27"/>
      <c r="H169" s="27"/>
    </row>
    <row r="170">
      <c r="G170" s="27"/>
      <c r="H170" s="27"/>
    </row>
    <row r="171">
      <c r="G171" s="27"/>
      <c r="H171" s="27"/>
    </row>
    <row r="172">
      <c r="G172" s="27"/>
      <c r="H172" s="27"/>
    </row>
    <row r="173">
      <c r="G173" s="27"/>
      <c r="H173" s="27"/>
    </row>
    <row r="174">
      <c r="G174" s="27"/>
      <c r="H174" s="27"/>
    </row>
    <row r="175">
      <c r="G175" s="27"/>
      <c r="H175" s="27"/>
    </row>
    <row r="176">
      <c r="G176" s="27"/>
      <c r="H176" s="27"/>
    </row>
    <row r="177">
      <c r="G177" s="27"/>
      <c r="H177" s="27"/>
    </row>
    <row r="178">
      <c r="G178" s="27"/>
      <c r="H178" s="27"/>
    </row>
    <row r="179">
      <c r="G179" s="27"/>
      <c r="H179" s="27"/>
    </row>
    <row r="180">
      <c r="G180" s="27"/>
      <c r="H180" s="27"/>
    </row>
    <row r="181">
      <c r="G181" s="27"/>
      <c r="H181" s="27"/>
    </row>
    <row r="182">
      <c r="G182" s="27"/>
      <c r="H182" s="27"/>
    </row>
    <row r="183">
      <c r="G183" s="27"/>
      <c r="H183" s="27"/>
    </row>
    <row r="184">
      <c r="G184" s="27"/>
      <c r="H184" s="27"/>
    </row>
    <row r="185">
      <c r="G185" s="27"/>
      <c r="H185" s="27"/>
    </row>
    <row r="186">
      <c r="G186" s="27"/>
      <c r="H186" s="27"/>
    </row>
    <row r="187">
      <c r="G187" s="27"/>
      <c r="H187" s="27"/>
    </row>
    <row r="188">
      <c r="G188" s="27"/>
      <c r="H188" s="27"/>
    </row>
    <row r="189">
      <c r="G189" s="27"/>
      <c r="H189" s="27"/>
    </row>
    <row r="190">
      <c r="G190" s="27"/>
      <c r="H190" s="27"/>
    </row>
    <row r="191">
      <c r="G191" s="27"/>
      <c r="H191" s="27"/>
    </row>
    <row r="192">
      <c r="G192" s="27"/>
      <c r="H192" s="27"/>
    </row>
    <row r="193">
      <c r="G193" s="27"/>
      <c r="H193" s="27"/>
    </row>
    <row r="194">
      <c r="G194" s="27"/>
      <c r="H194" s="27"/>
    </row>
    <row r="195">
      <c r="G195" s="27"/>
      <c r="H195" s="27"/>
    </row>
    <row r="196">
      <c r="G196" s="27"/>
      <c r="H196" s="27"/>
    </row>
    <row r="197">
      <c r="G197" s="27"/>
      <c r="H197" s="27"/>
    </row>
    <row r="198">
      <c r="G198" s="27"/>
      <c r="H198" s="27"/>
    </row>
    <row r="199">
      <c r="G199" s="27"/>
      <c r="H199" s="27"/>
    </row>
    <row r="200">
      <c r="G200" s="27"/>
      <c r="H200" s="27"/>
    </row>
    <row r="201">
      <c r="G201" s="27"/>
      <c r="H201" s="27"/>
    </row>
    <row r="202">
      <c r="G202" s="27"/>
      <c r="H202" s="27"/>
    </row>
    <row r="203">
      <c r="G203" s="27"/>
      <c r="H203" s="27"/>
    </row>
    <row r="204">
      <c r="G204" s="27"/>
      <c r="H204" s="27"/>
    </row>
    <row r="205">
      <c r="G205" s="27"/>
      <c r="H205" s="27"/>
    </row>
    <row r="206">
      <c r="G206" s="27"/>
      <c r="H206" s="27"/>
    </row>
    <row r="207">
      <c r="G207" s="27"/>
      <c r="H207" s="27"/>
    </row>
    <row r="208">
      <c r="G208" s="27"/>
      <c r="H208" s="27"/>
    </row>
    <row r="209">
      <c r="G209" s="27"/>
      <c r="H209" s="27"/>
    </row>
    <row r="210">
      <c r="G210" s="27"/>
      <c r="H210" s="27"/>
    </row>
    <row r="211">
      <c r="G211" s="27"/>
      <c r="H211" s="27"/>
    </row>
    <row r="212">
      <c r="G212" s="27"/>
      <c r="H212" s="27"/>
    </row>
    <row r="213">
      <c r="G213" s="27"/>
      <c r="H213" s="27"/>
    </row>
    <row r="214">
      <c r="G214" s="27"/>
      <c r="H214" s="27"/>
    </row>
    <row r="215">
      <c r="G215" s="27"/>
      <c r="H215" s="27"/>
    </row>
    <row r="216">
      <c r="G216" s="27"/>
      <c r="H216" s="27"/>
    </row>
    <row r="217">
      <c r="G217" s="27"/>
      <c r="H217" s="27"/>
    </row>
    <row r="218">
      <c r="G218" s="27"/>
      <c r="H218" s="27"/>
    </row>
    <row r="219">
      <c r="G219" s="27"/>
      <c r="H219" s="27"/>
    </row>
    <row r="220">
      <c r="G220" s="27"/>
      <c r="H220" s="27"/>
    </row>
    <row r="221">
      <c r="G221" s="27"/>
      <c r="H221" s="27"/>
    </row>
    <row r="222">
      <c r="G222" s="27"/>
      <c r="H222" s="27"/>
    </row>
    <row r="223">
      <c r="G223" s="27"/>
      <c r="H223" s="27"/>
    </row>
    <row r="224">
      <c r="G224" s="27"/>
      <c r="H224" s="27"/>
    </row>
    <row r="225">
      <c r="G225" s="27"/>
      <c r="H225" s="27"/>
    </row>
    <row r="226">
      <c r="G226" s="27"/>
      <c r="H226" s="27"/>
    </row>
    <row r="227">
      <c r="G227" s="27"/>
      <c r="H227" s="27"/>
    </row>
    <row r="228">
      <c r="G228" s="27"/>
      <c r="H228" s="27"/>
    </row>
    <row r="229">
      <c r="G229" s="27"/>
      <c r="H229" s="27"/>
    </row>
    <row r="230">
      <c r="G230" s="27"/>
      <c r="H230" s="27"/>
    </row>
    <row r="231">
      <c r="G231" s="27"/>
      <c r="H231" s="27"/>
    </row>
    <row r="232">
      <c r="G232" s="27"/>
      <c r="H232" s="27"/>
    </row>
    <row r="233">
      <c r="G233" s="27"/>
      <c r="H233" s="27"/>
    </row>
    <row r="234">
      <c r="G234" s="27"/>
      <c r="H234" s="27"/>
    </row>
    <row r="235">
      <c r="G235" s="27"/>
      <c r="H235" s="27"/>
    </row>
    <row r="236">
      <c r="G236" s="27"/>
      <c r="H236" s="27"/>
    </row>
    <row r="237">
      <c r="G237" s="27"/>
      <c r="H237" s="27"/>
    </row>
    <row r="238">
      <c r="G238" s="27"/>
      <c r="H238" s="27"/>
    </row>
    <row r="239">
      <c r="G239" s="27"/>
      <c r="H239" s="27"/>
    </row>
    <row r="240">
      <c r="G240" s="27"/>
      <c r="H240" s="27"/>
    </row>
    <row r="241">
      <c r="G241" s="27"/>
      <c r="H241" s="27"/>
    </row>
    <row r="242">
      <c r="G242" s="27"/>
      <c r="H242" s="27"/>
    </row>
    <row r="243">
      <c r="G243" s="27"/>
      <c r="H243" s="27"/>
    </row>
    <row r="244">
      <c r="G244" s="27"/>
      <c r="H244" s="27"/>
    </row>
    <row r="245">
      <c r="G245" s="27"/>
      <c r="H245" s="27"/>
    </row>
    <row r="246">
      <c r="G246" s="27"/>
      <c r="H246" s="27"/>
    </row>
    <row r="247">
      <c r="G247" s="27"/>
      <c r="H247" s="27"/>
    </row>
    <row r="248">
      <c r="G248" s="27"/>
      <c r="H248" s="27"/>
    </row>
    <row r="249">
      <c r="G249" s="27"/>
      <c r="H249" s="27"/>
    </row>
    <row r="250">
      <c r="G250" s="27"/>
      <c r="H250" s="27"/>
    </row>
    <row r="251">
      <c r="G251" s="27"/>
      <c r="H251" s="27"/>
    </row>
    <row r="252">
      <c r="G252" s="27"/>
      <c r="H252" s="27"/>
    </row>
    <row r="253">
      <c r="G253" s="27"/>
      <c r="H253" s="27"/>
    </row>
    <row r="254">
      <c r="G254" s="27"/>
      <c r="H254" s="27"/>
    </row>
    <row r="255">
      <c r="G255" s="27"/>
      <c r="H255" s="27"/>
    </row>
    <row r="256">
      <c r="G256" s="27"/>
      <c r="H256" s="27"/>
    </row>
    <row r="257">
      <c r="G257" s="27"/>
      <c r="H257" s="27"/>
    </row>
    <row r="258">
      <c r="G258" s="27"/>
      <c r="H258" s="27"/>
    </row>
    <row r="259">
      <c r="G259" s="27"/>
      <c r="H259" s="27"/>
    </row>
    <row r="260">
      <c r="G260" s="27"/>
      <c r="H260" s="27"/>
    </row>
    <row r="261">
      <c r="G261" s="27"/>
      <c r="H261" s="27"/>
    </row>
    <row r="262">
      <c r="G262" s="27"/>
      <c r="H262" s="27"/>
    </row>
    <row r="263">
      <c r="G263" s="27"/>
      <c r="H263" s="27"/>
    </row>
    <row r="264">
      <c r="G264" s="27"/>
      <c r="H264" s="27"/>
    </row>
    <row r="265">
      <c r="G265" s="27"/>
      <c r="H265" s="27"/>
    </row>
    <row r="266">
      <c r="G266" s="27"/>
      <c r="H266" s="27"/>
    </row>
    <row r="267">
      <c r="G267" s="27"/>
      <c r="H267" s="27"/>
    </row>
    <row r="268">
      <c r="G268" s="27"/>
      <c r="H268" s="27"/>
    </row>
    <row r="269">
      <c r="G269" s="27"/>
      <c r="H269" s="27"/>
    </row>
    <row r="270">
      <c r="G270" s="27"/>
      <c r="H270" s="27"/>
    </row>
    <row r="271">
      <c r="G271" s="27"/>
      <c r="H271" s="27"/>
    </row>
    <row r="272">
      <c r="G272" s="27"/>
      <c r="H272" s="27"/>
    </row>
    <row r="273">
      <c r="G273" s="27"/>
      <c r="H273" s="27"/>
    </row>
    <row r="274">
      <c r="G274" s="27"/>
      <c r="H274" s="27"/>
    </row>
    <row r="275">
      <c r="G275" s="27"/>
      <c r="H275" s="27"/>
    </row>
    <row r="276">
      <c r="G276" s="27"/>
      <c r="H276" s="27"/>
    </row>
    <row r="277">
      <c r="G277" s="27"/>
      <c r="H277" s="27"/>
    </row>
    <row r="278">
      <c r="G278" s="27"/>
      <c r="H278" s="27"/>
    </row>
    <row r="279">
      <c r="G279" s="27"/>
      <c r="H279" s="27"/>
    </row>
    <row r="280">
      <c r="G280" s="27"/>
      <c r="H280" s="27"/>
    </row>
    <row r="281">
      <c r="G281" s="27"/>
      <c r="H281" s="27"/>
    </row>
    <row r="282">
      <c r="G282" s="27"/>
      <c r="H282" s="27"/>
    </row>
    <row r="283">
      <c r="G283" s="27"/>
      <c r="H283" s="27"/>
    </row>
    <row r="284">
      <c r="G284" s="27"/>
      <c r="H284" s="27"/>
    </row>
    <row r="285">
      <c r="G285" s="27"/>
      <c r="H285" s="27"/>
    </row>
    <row r="286">
      <c r="G286" s="27"/>
      <c r="H286" s="27"/>
    </row>
    <row r="287">
      <c r="G287" s="27"/>
      <c r="H287" s="27"/>
    </row>
    <row r="288">
      <c r="G288" s="27"/>
      <c r="H288" s="27"/>
    </row>
    <row r="289">
      <c r="G289" s="27"/>
      <c r="H289" s="27"/>
    </row>
    <row r="290">
      <c r="G290" s="27"/>
      <c r="H290" s="27"/>
    </row>
    <row r="291">
      <c r="G291" s="27"/>
      <c r="H291" s="27"/>
    </row>
    <row r="292">
      <c r="G292" s="27"/>
      <c r="H292" s="27"/>
    </row>
    <row r="293">
      <c r="G293" s="27"/>
      <c r="H293" s="27"/>
    </row>
    <row r="294">
      <c r="G294" s="27"/>
      <c r="H294" s="27"/>
    </row>
    <row r="295">
      <c r="G295" s="27"/>
      <c r="H295" s="27"/>
    </row>
    <row r="296">
      <c r="G296" s="27"/>
      <c r="H296" s="27"/>
    </row>
    <row r="297">
      <c r="G297" s="27"/>
      <c r="H297" s="27"/>
    </row>
    <row r="298">
      <c r="G298" s="27"/>
      <c r="H298" s="27"/>
    </row>
    <row r="299">
      <c r="G299" s="27"/>
      <c r="H299" s="27"/>
    </row>
    <row r="300">
      <c r="G300" s="27"/>
      <c r="H300" s="27"/>
    </row>
    <row r="301">
      <c r="G301" s="27"/>
      <c r="H301" s="27"/>
    </row>
    <row r="302">
      <c r="G302" s="27"/>
      <c r="H302" s="27"/>
    </row>
    <row r="303">
      <c r="G303" s="27"/>
      <c r="H303" s="27"/>
    </row>
    <row r="304">
      <c r="G304" s="27"/>
      <c r="H304" s="27"/>
    </row>
    <row r="305">
      <c r="G305" s="27"/>
      <c r="H305" s="27"/>
    </row>
    <row r="306">
      <c r="G306" s="27"/>
      <c r="H306" s="27"/>
    </row>
    <row r="307">
      <c r="G307" s="27"/>
      <c r="H307" s="27"/>
    </row>
    <row r="308">
      <c r="G308" s="27"/>
      <c r="H308" s="27"/>
    </row>
    <row r="309">
      <c r="G309" s="27"/>
      <c r="H309" s="27"/>
    </row>
    <row r="310">
      <c r="G310" s="27"/>
      <c r="H310" s="27"/>
    </row>
    <row r="311">
      <c r="G311" s="27"/>
      <c r="H311" s="27"/>
    </row>
    <row r="312">
      <c r="G312" s="27"/>
      <c r="H312" s="27"/>
    </row>
    <row r="313">
      <c r="G313" s="27"/>
      <c r="H313" s="27"/>
    </row>
    <row r="314">
      <c r="G314" s="27"/>
      <c r="H314" s="27"/>
    </row>
    <row r="315">
      <c r="G315" s="27"/>
      <c r="H315" s="27"/>
    </row>
    <row r="316">
      <c r="G316" s="27"/>
      <c r="H316" s="27"/>
    </row>
    <row r="317">
      <c r="G317" s="27"/>
      <c r="H317" s="27"/>
    </row>
    <row r="318">
      <c r="G318" s="27"/>
      <c r="H318" s="27"/>
    </row>
    <row r="319">
      <c r="G319" s="27"/>
      <c r="H319" s="27"/>
    </row>
    <row r="320">
      <c r="G320" s="27"/>
      <c r="H320" s="27"/>
    </row>
    <row r="321">
      <c r="G321" s="27"/>
      <c r="H321" s="27"/>
    </row>
    <row r="322">
      <c r="G322" s="27"/>
      <c r="H322" s="27"/>
    </row>
    <row r="323">
      <c r="G323" s="27"/>
      <c r="H323" s="27"/>
    </row>
    <row r="324">
      <c r="G324" s="27"/>
      <c r="H324" s="27"/>
    </row>
    <row r="325">
      <c r="G325" s="27"/>
      <c r="H325" s="27"/>
    </row>
    <row r="326">
      <c r="G326" s="27"/>
      <c r="H326" s="27"/>
    </row>
    <row r="327">
      <c r="G327" s="27"/>
      <c r="H327" s="27"/>
    </row>
    <row r="328">
      <c r="G328" s="27"/>
      <c r="H328" s="27"/>
    </row>
    <row r="329">
      <c r="G329" s="27"/>
      <c r="H329" s="27"/>
    </row>
    <row r="330">
      <c r="G330" s="27"/>
      <c r="H330" s="27"/>
    </row>
    <row r="331">
      <c r="G331" s="27"/>
      <c r="H331" s="27"/>
    </row>
    <row r="332">
      <c r="G332" s="27"/>
      <c r="H332" s="27"/>
    </row>
    <row r="333">
      <c r="G333" s="27"/>
      <c r="H333" s="27"/>
    </row>
    <row r="334">
      <c r="G334" s="27"/>
      <c r="H334" s="27"/>
    </row>
    <row r="335">
      <c r="G335" s="27"/>
      <c r="H335" s="27"/>
    </row>
    <row r="336">
      <c r="G336" s="27"/>
      <c r="H336" s="27"/>
    </row>
    <row r="337">
      <c r="G337" s="27"/>
      <c r="H337" s="27"/>
    </row>
    <row r="338">
      <c r="G338" s="27"/>
      <c r="H338" s="27"/>
    </row>
    <row r="339">
      <c r="G339" s="27"/>
      <c r="H339" s="27"/>
    </row>
    <row r="340">
      <c r="G340" s="27"/>
      <c r="H340" s="27"/>
    </row>
    <row r="341">
      <c r="G341" s="27"/>
      <c r="H341" s="27"/>
    </row>
    <row r="342">
      <c r="G342" s="27"/>
      <c r="H342" s="27"/>
    </row>
    <row r="343">
      <c r="G343" s="27"/>
      <c r="H343" s="27"/>
    </row>
    <row r="344">
      <c r="G344" s="27"/>
      <c r="H344" s="27"/>
    </row>
    <row r="345">
      <c r="G345" s="27"/>
      <c r="H345" s="27"/>
    </row>
    <row r="346">
      <c r="G346" s="27"/>
      <c r="H346" s="27"/>
    </row>
    <row r="347">
      <c r="G347" s="27"/>
      <c r="H347" s="27"/>
    </row>
    <row r="348">
      <c r="G348" s="27"/>
      <c r="H348" s="27"/>
    </row>
    <row r="349">
      <c r="G349" s="27"/>
      <c r="H349" s="27"/>
    </row>
    <row r="350">
      <c r="G350" s="27"/>
      <c r="H350" s="27"/>
    </row>
    <row r="351">
      <c r="G351" s="27"/>
      <c r="H351" s="27"/>
    </row>
    <row r="352">
      <c r="G352" s="27"/>
      <c r="H352" s="27"/>
    </row>
    <row r="353">
      <c r="G353" s="27"/>
      <c r="H353" s="27"/>
    </row>
    <row r="354">
      <c r="G354" s="27"/>
      <c r="H354" s="27"/>
    </row>
    <row r="355">
      <c r="G355" s="27"/>
      <c r="H355" s="27"/>
    </row>
    <row r="356">
      <c r="G356" s="27"/>
      <c r="H356" s="27"/>
    </row>
    <row r="357">
      <c r="G357" s="27"/>
      <c r="H357" s="27"/>
    </row>
    <row r="358">
      <c r="G358" s="27"/>
      <c r="H358" s="27"/>
    </row>
    <row r="359">
      <c r="G359" s="27"/>
      <c r="H359" s="27"/>
    </row>
    <row r="360">
      <c r="G360" s="27"/>
      <c r="H360" s="27"/>
    </row>
    <row r="361">
      <c r="G361" s="27"/>
      <c r="H361" s="27"/>
    </row>
    <row r="362">
      <c r="G362" s="27"/>
      <c r="H362" s="27"/>
    </row>
    <row r="363">
      <c r="G363" s="27"/>
      <c r="H363" s="27"/>
    </row>
    <row r="364">
      <c r="G364" s="27"/>
      <c r="H364" s="27"/>
    </row>
    <row r="365">
      <c r="G365" s="27"/>
      <c r="H365" s="27"/>
    </row>
    <row r="366">
      <c r="G366" s="27"/>
      <c r="H366" s="27"/>
    </row>
    <row r="367">
      <c r="G367" s="27"/>
      <c r="H367" s="27"/>
    </row>
    <row r="368">
      <c r="G368" s="27"/>
      <c r="H368" s="27"/>
    </row>
    <row r="369">
      <c r="G369" s="27"/>
      <c r="H369" s="27"/>
    </row>
    <row r="370">
      <c r="G370" s="27"/>
      <c r="H370" s="27"/>
    </row>
    <row r="371">
      <c r="G371" s="27"/>
      <c r="H371" s="27"/>
    </row>
    <row r="372">
      <c r="G372" s="27"/>
      <c r="H372" s="27"/>
    </row>
    <row r="373">
      <c r="G373" s="27"/>
      <c r="H373" s="27"/>
    </row>
    <row r="374">
      <c r="G374" s="27"/>
      <c r="H374" s="27"/>
    </row>
    <row r="375">
      <c r="G375" s="27"/>
      <c r="H375" s="27"/>
    </row>
    <row r="376">
      <c r="G376" s="27"/>
      <c r="H376" s="27"/>
    </row>
    <row r="377">
      <c r="G377" s="27"/>
      <c r="H377" s="27"/>
    </row>
    <row r="378">
      <c r="G378" s="27"/>
      <c r="H378" s="27"/>
    </row>
    <row r="379">
      <c r="G379" s="27"/>
      <c r="H379" s="27"/>
    </row>
    <row r="380">
      <c r="G380" s="27"/>
      <c r="H380" s="27"/>
    </row>
    <row r="381">
      <c r="G381" s="27"/>
      <c r="H381" s="27"/>
    </row>
    <row r="382">
      <c r="G382" s="27"/>
      <c r="H382" s="27"/>
    </row>
    <row r="383">
      <c r="G383" s="27"/>
      <c r="H383" s="27"/>
    </row>
    <row r="384">
      <c r="G384" s="27"/>
      <c r="H384" s="27"/>
    </row>
    <row r="385">
      <c r="G385" s="27"/>
      <c r="H385" s="27"/>
    </row>
    <row r="386">
      <c r="G386" s="27"/>
      <c r="H386" s="27"/>
    </row>
    <row r="387">
      <c r="G387" s="27"/>
      <c r="H387" s="27"/>
    </row>
    <row r="388">
      <c r="G388" s="27"/>
      <c r="H388" s="27"/>
    </row>
    <row r="389">
      <c r="G389" s="27"/>
      <c r="H389" s="27"/>
    </row>
    <row r="390">
      <c r="G390" s="27"/>
      <c r="H390" s="27"/>
    </row>
    <row r="391">
      <c r="G391" s="27"/>
      <c r="H391" s="27"/>
    </row>
    <row r="392">
      <c r="G392" s="27"/>
      <c r="H392" s="27"/>
    </row>
    <row r="393">
      <c r="G393" s="27"/>
      <c r="H393" s="27"/>
    </row>
    <row r="394">
      <c r="G394" s="27"/>
      <c r="H394" s="27"/>
    </row>
    <row r="395">
      <c r="G395" s="27"/>
      <c r="H395" s="27"/>
    </row>
    <row r="396">
      <c r="G396" s="27"/>
      <c r="H396" s="27"/>
    </row>
    <row r="397">
      <c r="G397" s="27"/>
      <c r="H397" s="27"/>
    </row>
    <row r="398">
      <c r="G398" s="27"/>
      <c r="H398" s="27"/>
    </row>
    <row r="399">
      <c r="G399" s="27"/>
      <c r="H399" s="27"/>
    </row>
    <row r="400">
      <c r="G400" s="27"/>
      <c r="H400" s="27"/>
    </row>
    <row r="401">
      <c r="G401" s="27"/>
      <c r="H401" s="27"/>
    </row>
    <row r="402">
      <c r="G402" s="27"/>
      <c r="H402" s="27"/>
    </row>
    <row r="403">
      <c r="G403" s="27"/>
      <c r="H403" s="27"/>
    </row>
    <row r="404">
      <c r="G404" s="27"/>
      <c r="H404" s="27"/>
    </row>
    <row r="405">
      <c r="G405" s="27"/>
      <c r="H405" s="27"/>
    </row>
    <row r="406">
      <c r="G406" s="27"/>
      <c r="H406" s="27"/>
    </row>
    <row r="407">
      <c r="G407" s="27"/>
      <c r="H407" s="27"/>
    </row>
    <row r="408">
      <c r="G408" s="27"/>
      <c r="H408" s="27"/>
    </row>
    <row r="409">
      <c r="G409" s="27"/>
      <c r="H409" s="27"/>
    </row>
    <row r="410">
      <c r="G410" s="27"/>
      <c r="H410" s="27"/>
    </row>
    <row r="411">
      <c r="G411" s="27"/>
      <c r="H411" s="27"/>
    </row>
    <row r="412">
      <c r="G412" s="27"/>
      <c r="H412" s="27"/>
    </row>
    <row r="413">
      <c r="G413" s="27"/>
      <c r="H413" s="27"/>
    </row>
    <row r="414">
      <c r="G414" s="27"/>
      <c r="H414" s="27"/>
    </row>
    <row r="415">
      <c r="G415" s="27"/>
      <c r="H415" s="27"/>
    </row>
    <row r="416">
      <c r="G416" s="27"/>
      <c r="H416" s="27"/>
    </row>
    <row r="417">
      <c r="G417" s="27"/>
      <c r="H417" s="27"/>
    </row>
    <row r="418">
      <c r="G418" s="27"/>
      <c r="H418" s="27"/>
    </row>
    <row r="419">
      <c r="G419" s="27"/>
      <c r="H419" s="27"/>
    </row>
    <row r="420">
      <c r="G420" s="27"/>
      <c r="H420" s="27"/>
    </row>
    <row r="421">
      <c r="G421" s="27"/>
      <c r="H421" s="27"/>
    </row>
    <row r="422">
      <c r="G422" s="27"/>
      <c r="H422" s="27"/>
    </row>
    <row r="423">
      <c r="G423" s="27"/>
      <c r="H423" s="27"/>
    </row>
    <row r="424">
      <c r="G424" s="27"/>
      <c r="H424" s="27"/>
    </row>
    <row r="425">
      <c r="G425" s="27"/>
      <c r="H425" s="27"/>
    </row>
    <row r="426">
      <c r="G426" s="27"/>
      <c r="H426" s="27"/>
    </row>
    <row r="427">
      <c r="G427" s="27"/>
      <c r="H427" s="27"/>
    </row>
    <row r="428">
      <c r="G428" s="27"/>
      <c r="H428" s="27"/>
    </row>
    <row r="429">
      <c r="G429" s="27"/>
      <c r="H429" s="27"/>
    </row>
    <row r="430">
      <c r="G430" s="27"/>
      <c r="H430" s="27"/>
    </row>
    <row r="431">
      <c r="G431" s="27"/>
      <c r="H431" s="27"/>
    </row>
    <row r="432">
      <c r="G432" s="27"/>
      <c r="H432" s="27"/>
    </row>
    <row r="433">
      <c r="G433" s="27"/>
      <c r="H433" s="27"/>
    </row>
    <row r="434">
      <c r="G434" s="27"/>
      <c r="H434" s="27"/>
    </row>
    <row r="435">
      <c r="G435" s="27"/>
      <c r="H435" s="27"/>
    </row>
    <row r="436">
      <c r="G436" s="27"/>
      <c r="H436" s="27"/>
    </row>
    <row r="437">
      <c r="G437" s="27"/>
      <c r="H437" s="27"/>
    </row>
    <row r="438">
      <c r="G438" s="27"/>
      <c r="H438" s="27"/>
    </row>
    <row r="439">
      <c r="G439" s="27"/>
      <c r="H439" s="27"/>
    </row>
    <row r="440">
      <c r="G440" s="27"/>
      <c r="H440" s="27"/>
    </row>
    <row r="441">
      <c r="G441" s="27"/>
      <c r="H441" s="27"/>
    </row>
    <row r="442">
      <c r="G442" s="27"/>
      <c r="H442" s="27"/>
    </row>
    <row r="443">
      <c r="G443" s="27"/>
      <c r="H443" s="27"/>
    </row>
    <row r="444">
      <c r="G444" s="27"/>
      <c r="H444" s="27"/>
    </row>
    <row r="445">
      <c r="G445" s="27"/>
      <c r="H445" s="27"/>
    </row>
    <row r="446">
      <c r="G446" s="27"/>
      <c r="H446" s="27"/>
    </row>
    <row r="447">
      <c r="G447" s="27"/>
      <c r="H447" s="27"/>
    </row>
    <row r="448">
      <c r="G448" s="27"/>
      <c r="H448" s="27"/>
    </row>
    <row r="449">
      <c r="G449" s="27"/>
      <c r="H449" s="27"/>
    </row>
    <row r="450">
      <c r="G450" s="27"/>
      <c r="H450" s="27"/>
    </row>
    <row r="451">
      <c r="G451" s="27"/>
      <c r="H451" s="27"/>
    </row>
    <row r="452">
      <c r="G452" s="27"/>
      <c r="H452" s="27"/>
    </row>
    <row r="453">
      <c r="G453" s="27"/>
      <c r="H453" s="27"/>
    </row>
    <row r="454">
      <c r="G454" s="27"/>
      <c r="H454" s="27"/>
    </row>
    <row r="455">
      <c r="G455" s="27"/>
      <c r="H455" s="27"/>
    </row>
    <row r="456">
      <c r="G456" s="27"/>
      <c r="H456" s="27"/>
    </row>
    <row r="457">
      <c r="G457" s="27"/>
      <c r="H457" s="27"/>
    </row>
    <row r="458">
      <c r="G458" s="27"/>
      <c r="H458" s="27"/>
    </row>
    <row r="459">
      <c r="G459" s="27"/>
      <c r="H459" s="27"/>
    </row>
    <row r="460">
      <c r="G460" s="27"/>
      <c r="H460" s="27"/>
    </row>
    <row r="461">
      <c r="G461" s="27"/>
      <c r="H461" s="27"/>
    </row>
    <row r="462">
      <c r="G462" s="27"/>
      <c r="H462" s="27"/>
    </row>
    <row r="463">
      <c r="G463" s="27"/>
      <c r="H463" s="27"/>
    </row>
    <row r="464">
      <c r="G464" s="27"/>
      <c r="H464" s="27"/>
    </row>
    <row r="465">
      <c r="G465" s="27"/>
      <c r="H465" s="27"/>
    </row>
    <row r="466">
      <c r="G466" s="27"/>
      <c r="H466" s="27"/>
    </row>
    <row r="467">
      <c r="G467" s="27"/>
      <c r="H467" s="27"/>
    </row>
    <row r="468">
      <c r="G468" s="27"/>
      <c r="H468" s="27"/>
    </row>
    <row r="469">
      <c r="G469" s="27"/>
      <c r="H469" s="27"/>
    </row>
    <row r="470">
      <c r="G470" s="27"/>
      <c r="H470" s="27"/>
    </row>
    <row r="471">
      <c r="G471" s="27"/>
      <c r="H471" s="27"/>
    </row>
    <row r="472">
      <c r="G472" s="27"/>
      <c r="H472" s="27"/>
    </row>
    <row r="473">
      <c r="G473" s="27"/>
      <c r="H473" s="27"/>
    </row>
    <row r="474">
      <c r="G474" s="27"/>
      <c r="H474" s="27"/>
    </row>
    <row r="475">
      <c r="G475" s="27"/>
      <c r="H475" s="27"/>
    </row>
    <row r="476">
      <c r="G476" s="27"/>
      <c r="H476" s="27"/>
    </row>
    <row r="477">
      <c r="G477" s="27"/>
      <c r="H477" s="27"/>
    </row>
    <row r="478">
      <c r="G478" s="27"/>
      <c r="H478" s="27"/>
    </row>
    <row r="479">
      <c r="G479" s="27"/>
      <c r="H479" s="27"/>
    </row>
    <row r="480">
      <c r="G480" s="27"/>
      <c r="H480" s="27"/>
    </row>
    <row r="481">
      <c r="G481" s="27"/>
      <c r="H481" s="27"/>
    </row>
    <row r="482">
      <c r="G482" s="27"/>
      <c r="H482" s="27"/>
    </row>
    <row r="483">
      <c r="G483" s="27"/>
      <c r="H483" s="27"/>
    </row>
    <row r="484">
      <c r="G484" s="27"/>
      <c r="H484" s="27"/>
    </row>
    <row r="485">
      <c r="G485" s="27"/>
      <c r="H485" s="27"/>
    </row>
    <row r="486">
      <c r="G486" s="27"/>
      <c r="H486" s="27"/>
    </row>
    <row r="487">
      <c r="G487" s="27"/>
      <c r="H487" s="27"/>
    </row>
    <row r="488">
      <c r="G488" s="27"/>
      <c r="H488" s="27"/>
    </row>
    <row r="489">
      <c r="G489" s="27"/>
      <c r="H489" s="27"/>
    </row>
    <row r="490">
      <c r="G490" s="27"/>
      <c r="H490" s="27"/>
    </row>
    <row r="491">
      <c r="G491" s="27"/>
      <c r="H491" s="27"/>
    </row>
    <row r="492">
      <c r="G492" s="27"/>
      <c r="H492" s="27"/>
    </row>
    <row r="493">
      <c r="G493" s="27"/>
      <c r="H493" s="27"/>
    </row>
    <row r="494">
      <c r="G494" s="27"/>
      <c r="H494" s="27"/>
    </row>
    <row r="495">
      <c r="G495" s="27"/>
      <c r="H495" s="27"/>
    </row>
    <row r="496">
      <c r="G496" s="27"/>
      <c r="H496" s="27"/>
    </row>
    <row r="497">
      <c r="G497" s="27"/>
      <c r="H497" s="27"/>
    </row>
    <row r="498">
      <c r="G498" s="27"/>
      <c r="H498" s="27"/>
    </row>
    <row r="499">
      <c r="G499" s="27"/>
      <c r="H499" s="27"/>
    </row>
    <row r="500">
      <c r="G500" s="27"/>
      <c r="H500" s="27"/>
    </row>
    <row r="501">
      <c r="G501" s="27"/>
      <c r="H501" s="27"/>
    </row>
    <row r="502">
      <c r="G502" s="27"/>
      <c r="H502" s="27"/>
    </row>
    <row r="503">
      <c r="G503" s="27"/>
      <c r="H503" s="27"/>
    </row>
    <row r="504">
      <c r="G504" s="27"/>
      <c r="H504" s="27"/>
    </row>
    <row r="505">
      <c r="G505" s="27"/>
      <c r="H505" s="27"/>
    </row>
    <row r="506">
      <c r="G506" s="27"/>
      <c r="H506" s="27"/>
    </row>
    <row r="507">
      <c r="G507" s="27"/>
      <c r="H507" s="27"/>
    </row>
    <row r="508">
      <c r="G508" s="27"/>
      <c r="H508" s="27"/>
    </row>
    <row r="509">
      <c r="G509" s="27"/>
      <c r="H509" s="27"/>
    </row>
    <row r="510">
      <c r="G510" s="27"/>
      <c r="H510" s="27"/>
    </row>
    <row r="511">
      <c r="G511" s="27"/>
      <c r="H511" s="27"/>
    </row>
    <row r="512">
      <c r="G512" s="27"/>
      <c r="H512" s="27"/>
    </row>
    <row r="513">
      <c r="G513" s="27"/>
      <c r="H513" s="27"/>
    </row>
    <row r="514">
      <c r="G514" s="27"/>
      <c r="H514" s="27"/>
    </row>
    <row r="515">
      <c r="G515" s="27"/>
      <c r="H515" s="27"/>
    </row>
    <row r="516">
      <c r="G516" s="27"/>
      <c r="H516" s="27"/>
    </row>
    <row r="517">
      <c r="G517" s="27"/>
      <c r="H517" s="27"/>
    </row>
    <row r="518">
      <c r="G518" s="27"/>
      <c r="H518" s="27"/>
    </row>
    <row r="519">
      <c r="G519" s="27"/>
      <c r="H519" s="27"/>
    </row>
    <row r="520">
      <c r="G520" s="27"/>
      <c r="H520" s="27"/>
    </row>
    <row r="521">
      <c r="G521" s="27"/>
      <c r="H521" s="27"/>
    </row>
    <row r="522">
      <c r="G522" s="27"/>
      <c r="H522" s="27"/>
    </row>
    <row r="523">
      <c r="G523" s="27"/>
      <c r="H523" s="27"/>
    </row>
    <row r="524">
      <c r="G524" s="27"/>
      <c r="H524" s="27"/>
    </row>
    <row r="525">
      <c r="G525" s="27"/>
      <c r="H525" s="27"/>
    </row>
    <row r="526">
      <c r="G526" s="27"/>
      <c r="H526" s="27"/>
    </row>
    <row r="527">
      <c r="G527" s="27"/>
      <c r="H527" s="27"/>
    </row>
    <row r="528">
      <c r="G528" s="27"/>
      <c r="H528" s="27"/>
    </row>
    <row r="529">
      <c r="G529" s="27"/>
      <c r="H529" s="27"/>
    </row>
    <row r="530">
      <c r="G530" s="27"/>
      <c r="H530" s="27"/>
    </row>
    <row r="531">
      <c r="G531" s="27"/>
      <c r="H531" s="27"/>
    </row>
    <row r="532">
      <c r="G532" s="27"/>
      <c r="H532" s="27"/>
    </row>
    <row r="533">
      <c r="G533" s="27"/>
      <c r="H533" s="27"/>
    </row>
    <row r="534">
      <c r="G534" s="27"/>
      <c r="H534" s="27"/>
    </row>
    <row r="535">
      <c r="G535" s="27"/>
      <c r="H535" s="27"/>
    </row>
    <row r="536">
      <c r="G536" s="27"/>
      <c r="H536" s="27"/>
    </row>
    <row r="537">
      <c r="G537" s="27"/>
      <c r="H537" s="27"/>
    </row>
    <row r="538">
      <c r="G538" s="27"/>
      <c r="H538" s="27"/>
    </row>
    <row r="539">
      <c r="G539" s="27"/>
      <c r="H539" s="27"/>
    </row>
    <row r="540">
      <c r="G540" s="27"/>
      <c r="H540" s="27"/>
    </row>
    <row r="541">
      <c r="G541" s="27"/>
      <c r="H541" s="27"/>
    </row>
    <row r="542">
      <c r="G542" s="27"/>
      <c r="H542" s="27"/>
    </row>
    <row r="543">
      <c r="G543" s="27"/>
      <c r="H543" s="27"/>
    </row>
    <row r="544">
      <c r="G544" s="27"/>
      <c r="H544" s="27"/>
    </row>
    <row r="545">
      <c r="G545" s="27"/>
      <c r="H545" s="27"/>
    </row>
    <row r="546">
      <c r="G546" s="27"/>
      <c r="H546" s="27"/>
    </row>
    <row r="547">
      <c r="G547" s="27"/>
      <c r="H547" s="27"/>
    </row>
    <row r="548">
      <c r="G548" s="27"/>
      <c r="H548" s="27"/>
    </row>
    <row r="549">
      <c r="G549" s="27"/>
      <c r="H549" s="27"/>
    </row>
    <row r="550">
      <c r="G550" s="27"/>
      <c r="H550" s="27"/>
    </row>
    <row r="551">
      <c r="G551" s="27"/>
      <c r="H551" s="27"/>
    </row>
    <row r="552">
      <c r="G552" s="27"/>
      <c r="H552" s="27"/>
    </row>
    <row r="553">
      <c r="G553" s="27"/>
      <c r="H553" s="27"/>
    </row>
    <row r="554">
      <c r="G554" s="27"/>
      <c r="H554" s="27"/>
    </row>
    <row r="555">
      <c r="G555" s="27"/>
      <c r="H555" s="27"/>
    </row>
    <row r="556">
      <c r="G556" s="27"/>
      <c r="H556" s="27"/>
    </row>
    <row r="557">
      <c r="G557" s="27"/>
      <c r="H557" s="27"/>
    </row>
    <row r="558">
      <c r="G558" s="27"/>
      <c r="H558" s="27"/>
    </row>
    <row r="559">
      <c r="G559" s="27"/>
      <c r="H559" s="27"/>
    </row>
    <row r="560">
      <c r="G560" s="27"/>
      <c r="H560" s="27"/>
    </row>
    <row r="561">
      <c r="G561" s="27"/>
      <c r="H561" s="27"/>
    </row>
    <row r="562">
      <c r="G562" s="27"/>
      <c r="H562" s="27"/>
    </row>
    <row r="563">
      <c r="G563" s="27"/>
      <c r="H563" s="27"/>
    </row>
    <row r="564">
      <c r="G564" s="27"/>
      <c r="H564" s="27"/>
    </row>
    <row r="565">
      <c r="G565" s="27"/>
      <c r="H565" s="27"/>
    </row>
    <row r="566">
      <c r="G566" s="27"/>
      <c r="H566" s="27"/>
    </row>
    <row r="567">
      <c r="G567" s="27"/>
      <c r="H567" s="27"/>
    </row>
    <row r="568">
      <c r="G568" s="27"/>
      <c r="H568" s="27"/>
    </row>
    <row r="569">
      <c r="G569" s="27"/>
      <c r="H569" s="27"/>
    </row>
    <row r="570">
      <c r="G570" s="27"/>
      <c r="H570" s="27"/>
    </row>
    <row r="571">
      <c r="G571" s="27"/>
      <c r="H571" s="27"/>
    </row>
    <row r="572">
      <c r="G572" s="27"/>
      <c r="H572" s="27"/>
    </row>
    <row r="573">
      <c r="G573" s="27"/>
      <c r="H573" s="27"/>
    </row>
    <row r="574">
      <c r="G574" s="27"/>
      <c r="H574" s="27"/>
    </row>
    <row r="575">
      <c r="G575" s="27"/>
      <c r="H575" s="27"/>
    </row>
    <row r="576">
      <c r="G576" s="27"/>
      <c r="H576" s="27"/>
    </row>
    <row r="577">
      <c r="G577" s="27"/>
      <c r="H577" s="27"/>
    </row>
    <row r="578">
      <c r="G578" s="27"/>
      <c r="H578" s="27"/>
    </row>
    <row r="579">
      <c r="G579" s="27"/>
      <c r="H579" s="27"/>
    </row>
    <row r="580">
      <c r="G580" s="27"/>
      <c r="H580" s="27"/>
    </row>
    <row r="581">
      <c r="G581" s="27"/>
      <c r="H581" s="27"/>
    </row>
    <row r="582">
      <c r="G582" s="27"/>
      <c r="H582" s="27"/>
    </row>
    <row r="583">
      <c r="G583" s="27"/>
      <c r="H583" s="27"/>
    </row>
    <row r="584">
      <c r="G584" s="27"/>
      <c r="H584" s="27"/>
    </row>
    <row r="585">
      <c r="G585" s="27"/>
      <c r="H585" s="27"/>
    </row>
    <row r="586">
      <c r="G586" s="27"/>
      <c r="H586" s="27"/>
    </row>
    <row r="587">
      <c r="G587" s="27"/>
      <c r="H587" s="27"/>
    </row>
    <row r="588">
      <c r="G588" s="27"/>
      <c r="H588" s="27"/>
    </row>
    <row r="589">
      <c r="G589" s="27"/>
      <c r="H589" s="27"/>
    </row>
    <row r="590">
      <c r="G590" s="27"/>
      <c r="H590" s="27"/>
    </row>
    <row r="591">
      <c r="G591" s="27"/>
      <c r="H591" s="27"/>
    </row>
    <row r="592">
      <c r="G592" s="27"/>
      <c r="H592" s="27"/>
    </row>
    <row r="593">
      <c r="G593" s="27"/>
      <c r="H593" s="27"/>
    </row>
    <row r="594">
      <c r="G594" s="27"/>
      <c r="H594" s="27"/>
    </row>
    <row r="595">
      <c r="G595" s="27"/>
      <c r="H595" s="27"/>
    </row>
    <row r="596">
      <c r="G596" s="27"/>
      <c r="H596" s="27"/>
    </row>
    <row r="597">
      <c r="G597" s="27"/>
      <c r="H597" s="27"/>
    </row>
    <row r="598">
      <c r="G598" s="27"/>
      <c r="H598" s="27"/>
    </row>
    <row r="599">
      <c r="G599" s="27"/>
      <c r="H599" s="27"/>
    </row>
    <row r="600">
      <c r="G600" s="27"/>
      <c r="H600" s="27"/>
    </row>
    <row r="601">
      <c r="G601" s="27"/>
      <c r="H601" s="27"/>
    </row>
    <row r="602">
      <c r="G602" s="27"/>
      <c r="H602" s="27"/>
    </row>
    <row r="603">
      <c r="G603" s="27"/>
      <c r="H603" s="27"/>
    </row>
    <row r="604">
      <c r="G604" s="27"/>
      <c r="H604" s="27"/>
    </row>
    <row r="605">
      <c r="G605" s="27"/>
      <c r="H605" s="27"/>
    </row>
    <row r="606">
      <c r="G606" s="27"/>
      <c r="H606" s="27"/>
    </row>
    <row r="607">
      <c r="G607" s="27"/>
      <c r="H607" s="27"/>
    </row>
    <row r="608">
      <c r="G608" s="27"/>
      <c r="H608" s="27"/>
    </row>
    <row r="609">
      <c r="G609" s="27"/>
      <c r="H609" s="27"/>
    </row>
    <row r="610">
      <c r="G610" s="27"/>
      <c r="H610" s="27"/>
    </row>
    <row r="611">
      <c r="G611" s="27"/>
      <c r="H611" s="27"/>
    </row>
    <row r="612">
      <c r="G612" s="27"/>
      <c r="H612" s="27"/>
    </row>
    <row r="613">
      <c r="G613" s="27"/>
      <c r="H613" s="27"/>
    </row>
    <row r="614">
      <c r="G614" s="27"/>
      <c r="H614" s="27"/>
    </row>
    <row r="615">
      <c r="G615" s="27"/>
      <c r="H615" s="27"/>
    </row>
    <row r="616">
      <c r="G616" s="27"/>
      <c r="H616" s="27"/>
    </row>
    <row r="617">
      <c r="G617" s="27"/>
      <c r="H617" s="27"/>
    </row>
    <row r="618">
      <c r="G618" s="27"/>
      <c r="H618" s="27"/>
    </row>
    <row r="619">
      <c r="G619" s="27"/>
      <c r="H619" s="27"/>
    </row>
    <row r="620">
      <c r="G620" s="27"/>
      <c r="H620" s="27"/>
    </row>
    <row r="621">
      <c r="G621" s="27"/>
      <c r="H621" s="27"/>
    </row>
    <row r="622">
      <c r="G622" s="27"/>
      <c r="H622" s="27"/>
    </row>
    <row r="623">
      <c r="G623" s="27"/>
      <c r="H623" s="27"/>
    </row>
    <row r="624">
      <c r="G624" s="27"/>
      <c r="H624" s="27"/>
    </row>
    <row r="625">
      <c r="G625" s="27"/>
      <c r="H625" s="27"/>
    </row>
    <row r="626">
      <c r="G626" s="27"/>
      <c r="H626" s="27"/>
    </row>
    <row r="627">
      <c r="G627" s="27"/>
      <c r="H627" s="27"/>
    </row>
    <row r="628">
      <c r="G628" s="27"/>
      <c r="H628" s="27"/>
    </row>
    <row r="629">
      <c r="G629" s="27"/>
      <c r="H629" s="27"/>
    </row>
    <row r="630">
      <c r="G630" s="27"/>
      <c r="H630" s="27"/>
    </row>
    <row r="631">
      <c r="G631" s="27"/>
      <c r="H631" s="27"/>
    </row>
    <row r="632">
      <c r="G632" s="27"/>
      <c r="H632" s="27"/>
    </row>
    <row r="633">
      <c r="G633" s="27"/>
      <c r="H633" s="27"/>
    </row>
    <row r="634">
      <c r="G634" s="27"/>
      <c r="H634" s="27"/>
    </row>
    <row r="635">
      <c r="G635" s="27"/>
      <c r="H635" s="27"/>
    </row>
    <row r="636">
      <c r="G636" s="27"/>
      <c r="H636" s="27"/>
    </row>
    <row r="637">
      <c r="G637" s="27"/>
      <c r="H637" s="27"/>
    </row>
    <row r="638">
      <c r="G638" s="27"/>
      <c r="H638" s="27"/>
    </row>
    <row r="639">
      <c r="G639" s="27"/>
      <c r="H639" s="27"/>
    </row>
    <row r="640">
      <c r="G640" s="27"/>
      <c r="H640" s="27"/>
    </row>
    <row r="641">
      <c r="G641" s="27"/>
      <c r="H641" s="27"/>
    </row>
    <row r="642">
      <c r="G642" s="27"/>
      <c r="H642" s="27"/>
    </row>
    <row r="643">
      <c r="G643" s="27"/>
      <c r="H643" s="27"/>
    </row>
    <row r="644">
      <c r="G644" s="27"/>
      <c r="H644" s="27"/>
    </row>
    <row r="645">
      <c r="G645" s="27"/>
      <c r="H645" s="27"/>
    </row>
    <row r="646">
      <c r="G646" s="27"/>
      <c r="H646" s="27"/>
    </row>
    <row r="647">
      <c r="G647" s="27"/>
      <c r="H647" s="27"/>
    </row>
    <row r="648">
      <c r="G648" s="27"/>
      <c r="H648" s="27"/>
    </row>
    <row r="649">
      <c r="G649" s="27"/>
      <c r="H649" s="27"/>
    </row>
    <row r="650">
      <c r="G650" s="27"/>
      <c r="H650" s="27"/>
    </row>
    <row r="651">
      <c r="G651" s="27"/>
      <c r="H651" s="27"/>
    </row>
    <row r="652">
      <c r="G652" s="27"/>
      <c r="H652" s="27"/>
    </row>
    <row r="653">
      <c r="G653" s="27"/>
      <c r="H653" s="27"/>
    </row>
    <row r="654">
      <c r="G654" s="27"/>
      <c r="H654" s="27"/>
    </row>
    <row r="655">
      <c r="G655" s="27"/>
      <c r="H655" s="27"/>
    </row>
    <row r="656">
      <c r="G656" s="27"/>
      <c r="H656" s="27"/>
    </row>
    <row r="657">
      <c r="G657" s="27"/>
      <c r="H657" s="27"/>
    </row>
    <row r="658">
      <c r="G658" s="27"/>
      <c r="H658" s="27"/>
    </row>
    <row r="659">
      <c r="G659" s="27"/>
      <c r="H659" s="27"/>
    </row>
    <row r="660">
      <c r="G660" s="27"/>
      <c r="H660" s="27"/>
    </row>
    <row r="661">
      <c r="G661" s="27"/>
      <c r="H661" s="27"/>
    </row>
    <row r="662">
      <c r="G662" s="27"/>
      <c r="H662" s="27"/>
    </row>
    <row r="663">
      <c r="G663" s="27"/>
      <c r="H663" s="27"/>
    </row>
    <row r="664">
      <c r="G664" s="27"/>
      <c r="H664" s="27"/>
    </row>
    <row r="665">
      <c r="G665" s="27"/>
      <c r="H665" s="27"/>
    </row>
    <row r="666">
      <c r="G666" s="27"/>
      <c r="H666" s="27"/>
    </row>
    <row r="667">
      <c r="G667" s="27"/>
      <c r="H667" s="27"/>
    </row>
    <row r="668">
      <c r="G668" s="27"/>
      <c r="H668" s="27"/>
    </row>
    <row r="669">
      <c r="G669" s="27"/>
      <c r="H669" s="27"/>
    </row>
    <row r="670">
      <c r="G670" s="27"/>
      <c r="H670" s="27"/>
    </row>
    <row r="671">
      <c r="G671" s="27"/>
      <c r="H671" s="27"/>
    </row>
    <row r="672">
      <c r="G672" s="27"/>
      <c r="H672" s="27"/>
    </row>
    <row r="673">
      <c r="G673" s="27"/>
      <c r="H673" s="27"/>
    </row>
    <row r="674">
      <c r="G674" s="27"/>
      <c r="H674" s="27"/>
    </row>
    <row r="675">
      <c r="G675" s="27"/>
      <c r="H675" s="27"/>
    </row>
    <row r="676">
      <c r="G676" s="27"/>
      <c r="H676" s="27"/>
    </row>
    <row r="677">
      <c r="G677" s="27"/>
      <c r="H677" s="27"/>
    </row>
    <row r="678">
      <c r="G678" s="27"/>
      <c r="H678" s="27"/>
    </row>
    <row r="679">
      <c r="G679" s="27"/>
      <c r="H679" s="27"/>
    </row>
    <row r="680">
      <c r="G680" s="27"/>
      <c r="H680" s="27"/>
    </row>
    <row r="681">
      <c r="G681" s="27"/>
      <c r="H681" s="27"/>
    </row>
    <row r="682">
      <c r="G682" s="27"/>
      <c r="H682" s="27"/>
    </row>
    <row r="683">
      <c r="G683" s="27"/>
      <c r="H683" s="27"/>
    </row>
    <row r="684">
      <c r="G684" s="27"/>
      <c r="H684" s="27"/>
    </row>
    <row r="685">
      <c r="G685" s="27"/>
      <c r="H685" s="27"/>
    </row>
    <row r="686">
      <c r="G686" s="27"/>
      <c r="H686" s="27"/>
    </row>
    <row r="687">
      <c r="G687" s="27"/>
      <c r="H687" s="27"/>
    </row>
    <row r="688">
      <c r="G688" s="27"/>
      <c r="H688" s="27"/>
    </row>
    <row r="689">
      <c r="G689" s="27"/>
      <c r="H689" s="27"/>
    </row>
    <row r="690">
      <c r="G690" s="27"/>
      <c r="H690" s="27"/>
    </row>
    <row r="691">
      <c r="G691" s="27"/>
      <c r="H691" s="27"/>
    </row>
    <row r="692">
      <c r="G692" s="27"/>
      <c r="H692" s="27"/>
    </row>
    <row r="693">
      <c r="G693" s="27"/>
      <c r="H693" s="27"/>
    </row>
    <row r="694">
      <c r="G694" s="27"/>
      <c r="H694" s="27"/>
    </row>
    <row r="695">
      <c r="G695" s="27"/>
      <c r="H695" s="27"/>
    </row>
    <row r="696">
      <c r="G696" s="27"/>
      <c r="H696" s="27"/>
    </row>
    <row r="697">
      <c r="G697" s="27"/>
      <c r="H697" s="27"/>
    </row>
    <row r="698">
      <c r="G698" s="27"/>
      <c r="H698" s="27"/>
    </row>
    <row r="699">
      <c r="G699" s="27"/>
      <c r="H699" s="27"/>
    </row>
    <row r="700">
      <c r="G700" s="27"/>
      <c r="H700" s="27"/>
    </row>
    <row r="701">
      <c r="G701" s="27"/>
      <c r="H701" s="27"/>
    </row>
    <row r="702">
      <c r="G702" s="27"/>
      <c r="H702" s="27"/>
    </row>
    <row r="703">
      <c r="G703" s="27"/>
      <c r="H703" s="27"/>
    </row>
    <row r="704">
      <c r="G704" s="27"/>
      <c r="H704" s="27"/>
    </row>
    <row r="705">
      <c r="G705" s="27"/>
      <c r="H705" s="27"/>
    </row>
    <row r="706">
      <c r="G706" s="27"/>
      <c r="H706" s="27"/>
    </row>
    <row r="707">
      <c r="G707" s="27"/>
      <c r="H707" s="27"/>
    </row>
    <row r="708">
      <c r="G708" s="27"/>
      <c r="H708" s="27"/>
    </row>
    <row r="709">
      <c r="G709" s="27"/>
      <c r="H709" s="27"/>
    </row>
    <row r="710">
      <c r="G710" s="27"/>
      <c r="H710" s="27"/>
    </row>
    <row r="711">
      <c r="G711" s="27"/>
      <c r="H711" s="27"/>
    </row>
    <row r="712">
      <c r="G712" s="27"/>
      <c r="H712" s="27"/>
    </row>
    <row r="713">
      <c r="G713" s="27"/>
      <c r="H713" s="27"/>
    </row>
    <row r="714">
      <c r="G714" s="27"/>
      <c r="H714" s="27"/>
    </row>
    <row r="715">
      <c r="G715" s="27"/>
      <c r="H715" s="27"/>
    </row>
    <row r="716">
      <c r="G716" s="27"/>
      <c r="H716" s="27"/>
    </row>
    <row r="717">
      <c r="G717" s="27"/>
      <c r="H717" s="27"/>
    </row>
    <row r="718">
      <c r="G718" s="27"/>
      <c r="H718" s="27"/>
    </row>
    <row r="719">
      <c r="G719" s="27"/>
      <c r="H719" s="27"/>
    </row>
    <row r="720">
      <c r="G720" s="27"/>
      <c r="H720" s="27"/>
    </row>
    <row r="721">
      <c r="G721" s="27"/>
      <c r="H721" s="27"/>
    </row>
    <row r="722">
      <c r="G722" s="27"/>
      <c r="H722" s="27"/>
    </row>
    <row r="723">
      <c r="G723" s="27"/>
      <c r="H723" s="27"/>
    </row>
    <row r="724">
      <c r="G724" s="27"/>
      <c r="H724" s="27"/>
    </row>
    <row r="725">
      <c r="G725" s="27"/>
      <c r="H725" s="27"/>
    </row>
    <row r="726">
      <c r="G726" s="27"/>
      <c r="H726" s="27"/>
    </row>
    <row r="727">
      <c r="G727" s="27"/>
      <c r="H727" s="27"/>
    </row>
    <row r="728">
      <c r="G728" s="27"/>
      <c r="H728" s="27"/>
    </row>
    <row r="729">
      <c r="G729" s="27"/>
      <c r="H729" s="27"/>
    </row>
    <row r="730">
      <c r="G730" s="27"/>
      <c r="H730" s="27"/>
    </row>
    <row r="731">
      <c r="G731" s="27"/>
      <c r="H731" s="27"/>
    </row>
    <row r="732">
      <c r="G732" s="27"/>
      <c r="H732" s="27"/>
    </row>
    <row r="733">
      <c r="G733" s="27"/>
      <c r="H733" s="27"/>
    </row>
    <row r="734">
      <c r="G734" s="27"/>
      <c r="H734" s="27"/>
    </row>
    <row r="735">
      <c r="G735" s="27"/>
      <c r="H735" s="27"/>
    </row>
    <row r="736">
      <c r="G736" s="27"/>
      <c r="H736" s="27"/>
    </row>
    <row r="737">
      <c r="G737" s="27"/>
      <c r="H737" s="27"/>
    </row>
    <row r="738">
      <c r="G738" s="27"/>
      <c r="H738" s="27"/>
    </row>
    <row r="739">
      <c r="G739" s="27"/>
      <c r="H739" s="27"/>
    </row>
    <row r="740">
      <c r="G740" s="27"/>
      <c r="H740" s="27"/>
    </row>
    <row r="741">
      <c r="G741" s="27"/>
      <c r="H741" s="27"/>
    </row>
    <row r="742">
      <c r="G742" s="27"/>
      <c r="H742" s="27"/>
    </row>
    <row r="743">
      <c r="G743" s="27"/>
      <c r="H743" s="27"/>
    </row>
    <row r="744">
      <c r="G744" s="27"/>
      <c r="H744" s="27"/>
    </row>
    <row r="745">
      <c r="G745" s="27"/>
      <c r="H745" s="27"/>
    </row>
    <row r="746">
      <c r="G746" s="27"/>
      <c r="H746" s="27"/>
    </row>
    <row r="747">
      <c r="G747" s="27"/>
      <c r="H747" s="27"/>
    </row>
    <row r="748">
      <c r="G748" s="27"/>
      <c r="H748" s="27"/>
    </row>
    <row r="749">
      <c r="G749" s="27"/>
      <c r="H749" s="27"/>
    </row>
    <row r="750">
      <c r="G750" s="27"/>
      <c r="H750" s="27"/>
    </row>
    <row r="751">
      <c r="G751" s="27"/>
      <c r="H751" s="27"/>
    </row>
    <row r="752">
      <c r="G752" s="27"/>
      <c r="H752" s="27"/>
    </row>
    <row r="753">
      <c r="G753" s="27"/>
      <c r="H753" s="27"/>
    </row>
    <row r="754">
      <c r="G754" s="27"/>
      <c r="H754" s="27"/>
    </row>
    <row r="755">
      <c r="G755" s="27"/>
      <c r="H755" s="27"/>
    </row>
    <row r="756">
      <c r="G756" s="27"/>
      <c r="H756" s="27"/>
    </row>
    <row r="757">
      <c r="G757" s="27"/>
      <c r="H757" s="27"/>
    </row>
    <row r="758">
      <c r="G758" s="27"/>
      <c r="H758" s="27"/>
    </row>
    <row r="759">
      <c r="G759" s="27"/>
      <c r="H759" s="27"/>
    </row>
    <row r="760">
      <c r="G760" s="27"/>
      <c r="H760" s="27"/>
    </row>
    <row r="761">
      <c r="G761" s="27"/>
      <c r="H761" s="27"/>
    </row>
    <row r="762">
      <c r="G762" s="27"/>
      <c r="H762" s="27"/>
    </row>
    <row r="763">
      <c r="G763" s="27"/>
      <c r="H763" s="27"/>
    </row>
    <row r="764">
      <c r="G764" s="27"/>
      <c r="H764" s="27"/>
    </row>
    <row r="765">
      <c r="G765" s="27"/>
      <c r="H765" s="27"/>
    </row>
    <row r="766">
      <c r="G766" s="27"/>
      <c r="H766" s="27"/>
    </row>
    <row r="767">
      <c r="G767" s="27"/>
      <c r="H767" s="27"/>
    </row>
    <row r="768">
      <c r="G768" s="27"/>
      <c r="H768" s="27"/>
    </row>
    <row r="769">
      <c r="G769" s="27"/>
      <c r="H769" s="27"/>
    </row>
    <row r="770">
      <c r="G770" s="27"/>
      <c r="H770" s="27"/>
    </row>
    <row r="771">
      <c r="G771" s="27"/>
      <c r="H771" s="27"/>
    </row>
    <row r="772">
      <c r="G772" s="27"/>
      <c r="H772" s="27"/>
    </row>
    <row r="773">
      <c r="G773" s="27"/>
      <c r="H773" s="27"/>
    </row>
    <row r="774">
      <c r="G774" s="27"/>
      <c r="H774" s="27"/>
    </row>
    <row r="775">
      <c r="G775" s="27"/>
      <c r="H775" s="27"/>
    </row>
    <row r="776">
      <c r="G776" s="27"/>
      <c r="H776" s="27"/>
    </row>
    <row r="777">
      <c r="G777" s="27"/>
      <c r="H777" s="27"/>
    </row>
    <row r="778">
      <c r="G778" s="27"/>
      <c r="H778" s="27"/>
    </row>
    <row r="779">
      <c r="G779" s="27"/>
      <c r="H779" s="27"/>
    </row>
    <row r="780">
      <c r="G780" s="27"/>
      <c r="H780" s="27"/>
    </row>
    <row r="781">
      <c r="G781" s="27"/>
      <c r="H781" s="27"/>
    </row>
    <row r="782">
      <c r="G782" s="27"/>
      <c r="H782" s="27"/>
    </row>
    <row r="783">
      <c r="G783" s="27"/>
      <c r="H783" s="27"/>
    </row>
    <row r="784">
      <c r="G784" s="27"/>
      <c r="H784" s="27"/>
    </row>
    <row r="785">
      <c r="G785" s="27"/>
      <c r="H785" s="27"/>
    </row>
    <row r="786">
      <c r="G786" s="27"/>
      <c r="H786" s="27"/>
    </row>
    <row r="787">
      <c r="G787" s="27"/>
      <c r="H787" s="27"/>
    </row>
    <row r="788">
      <c r="G788" s="27"/>
      <c r="H788" s="27"/>
    </row>
    <row r="789">
      <c r="G789" s="27"/>
      <c r="H789" s="27"/>
    </row>
    <row r="790">
      <c r="G790" s="27"/>
      <c r="H790" s="27"/>
    </row>
    <row r="791">
      <c r="G791" s="27"/>
      <c r="H791" s="27"/>
    </row>
    <row r="792">
      <c r="G792" s="27"/>
      <c r="H792" s="27"/>
    </row>
    <row r="793">
      <c r="G793" s="27"/>
      <c r="H793" s="27"/>
    </row>
    <row r="794">
      <c r="G794" s="27"/>
      <c r="H794" s="27"/>
    </row>
    <row r="795">
      <c r="G795" s="27"/>
      <c r="H795" s="27"/>
    </row>
    <row r="796">
      <c r="G796" s="27"/>
      <c r="H796" s="27"/>
    </row>
    <row r="797">
      <c r="G797" s="27"/>
      <c r="H797" s="27"/>
    </row>
    <row r="798">
      <c r="G798" s="27"/>
      <c r="H798" s="27"/>
    </row>
    <row r="799">
      <c r="G799" s="27"/>
      <c r="H799" s="27"/>
    </row>
    <row r="800">
      <c r="G800" s="27"/>
      <c r="H800" s="27"/>
    </row>
    <row r="801">
      <c r="G801" s="27"/>
      <c r="H801" s="27"/>
    </row>
    <row r="802">
      <c r="G802" s="27"/>
      <c r="H802" s="27"/>
    </row>
    <row r="803">
      <c r="G803" s="27"/>
      <c r="H803" s="27"/>
    </row>
    <row r="804">
      <c r="G804" s="27"/>
      <c r="H804" s="27"/>
    </row>
    <row r="805">
      <c r="G805" s="27"/>
      <c r="H805" s="27"/>
    </row>
    <row r="806">
      <c r="G806" s="27"/>
      <c r="H806" s="27"/>
    </row>
    <row r="807">
      <c r="G807" s="27"/>
      <c r="H807" s="27"/>
    </row>
    <row r="808">
      <c r="G808" s="27"/>
      <c r="H808" s="27"/>
    </row>
    <row r="809">
      <c r="G809" s="27"/>
      <c r="H809" s="27"/>
    </row>
    <row r="810">
      <c r="G810" s="27"/>
      <c r="H810" s="27"/>
    </row>
    <row r="811">
      <c r="G811" s="27"/>
      <c r="H811" s="27"/>
    </row>
    <row r="812">
      <c r="G812" s="27"/>
      <c r="H812" s="27"/>
    </row>
    <row r="813">
      <c r="G813" s="27"/>
      <c r="H813" s="27"/>
    </row>
    <row r="814">
      <c r="G814" s="27"/>
      <c r="H814" s="27"/>
    </row>
    <row r="815">
      <c r="G815" s="27"/>
      <c r="H815" s="27"/>
    </row>
    <row r="816">
      <c r="G816" s="27"/>
      <c r="H816" s="27"/>
    </row>
    <row r="817">
      <c r="G817" s="27"/>
      <c r="H817" s="27"/>
    </row>
    <row r="818">
      <c r="G818" s="27"/>
      <c r="H818" s="27"/>
    </row>
    <row r="819">
      <c r="G819" s="27"/>
      <c r="H819" s="27"/>
    </row>
    <row r="820">
      <c r="G820" s="27"/>
      <c r="H820" s="27"/>
    </row>
    <row r="821">
      <c r="G821" s="27"/>
      <c r="H821" s="27"/>
    </row>
    <row r="822">
      <c r="G822" s="27"/>
      <c r="H822" s="27"/>
    </row>
    <row r="823">
      <c r="G823" s="27"/>
      <c r="H823" s="27"/>
    </row>
    <row r="824">
      <c r="G824" s="27"/>
      <c r="H824" s="27"/>
    </row>
    <row r="825">
      <c r="G825" s="27"/>
      <c r="H825" s="27"/>
    </row>
    <row r="826">
      <c r="G826" s="27"/>
      <c r="H826" s="27"/>
    </row>
    <row r="827">
      <c r="G827" s="27"/>
      <c r="H827" s="27"/>
    </row>
    <row r="828">
      <c r="G828" s="27"/>
      <c r="H828" s="27"/>
    </row>
    <row r="829">
      <c r="G829" s="27"/>
      <c r="H829" s="27"/>
    </row>
    <row r="830">
      <c r="G830" s="27"/>
      <c r="H830" s="27"/>
    </row>
    <row r="831">
      <c r="G831" s="27"/>
      <c r="H831" s="27"/>
    </row>
    <row r="832">
      <c r="G832" s="27"/>
      <c r="H832" s="27"/>
    </row>
    <row r="833">
      <c r="G833" s="27"/>
      <c r="H833" s="27"/>
    </row>
    <row r="834">
      <c r="G834" s="27"/>
      <c r="H834" s="27"/>
    </row>
    <row r="835">
      <c r="G835" s="27"/>
      <c r="H835" s="27"/>
    </row>
    <row r="836">
      <c r="G836" s="27"/>
      <c r="H836" s="27"/>
    </row>
    <row r="837">
      <c r="G837" s="27"/>
      <c r="H837" s="27"/>
    </row>
    <row r="838">
      <c r="G838" s="27"/>
      <c r="H838" s="27"/>
    </row>
    <row r="839">
      <c r="G839" s="27"/>
      <c r="H839" s="27"/>
    </row>
    <row r="840">
      <c r="G840" s="27"/>
      <c r="H840" s="27"/>
    </row>
    <row r="841">
      <c r="G841" s="27"/>
      <c r="H841" s="27"/>
    </row>
    <row r="842">
      <c r="G842" s="27"/>
      <c r="H842" s="27"/>
    </row>
    <row r="843">
      <c r="G843" s="27"/>
      <c r="H843" s="27"/>
    </row>
    <row r="844">
      <c r="G844" s="27"/>
      <c r="H844" s="27"/>
    </row>
    <row r="845">
      <c r="G845" s="27"/>
      <c r="H845" s="27"/>
    </row>
    <row r="846">
      <c r="G846" s="27"/>
      <c r="H846" s="27"/>
    </row>
    <row r="847">
      <c r="G847" s="27"/>
      <c r="H847" s="27"/>
    </row>
    <row r="848">
      <c r="G848" s="27"/>
      <c r="H848" s="27"/>
    </row>
    <row r="849">
      <c r="G849" s="27"/>
      <c r="H849" s="27"/>
    </row>
    <row r="850">
      <c r="G850" s="27"/>
      <c r="H850" s="27"/>
    </row>
    <row r="851">
      <c r="G851" s="27"/>
      <c r="H851" s="27"/>
    </row>
    <row r="852">
      <c r="G852" s="27"/>
      <c r="H852" s="27"/>
    </row>
    <row r="853">
      <c r="G853" s="27"/>
      <c r="H853" s="27"/>
    </row>
    <row r="854">
      <c r="G854" s="27"/>
      <c r="H854" s="27"/>
    </row>
    <row r="855">
      <c r="G855" s="27"/>
      <c r="H855" s="27"/>
    </row>
    <row r="856">
      <c r="G856" s="27"/>
      <c r="H856" s="27"/>
    </row>
    <row r="857">
      <c r="G857" s="27"/>
      <c r="H857" s="27"/>
    </row>
    <row r="858">
      <c r="G858" s="27"/>
      <c r="H858" s="27"/>
    </row>
    <row r="859">
      <c r="G859" s="27"/>
      <c r="H859" s="27"/>
    </row>
    <row r="860">
      <c r="G860" s="27"/>
      <c r="H860" s="27"/>
    </row>
    <row r="861">
      <c r="G861" s="27"/>
      <c r="H861" s="27"/>
    </row>
    <row r="862">
      <c r="G862" s="27"/>
      <c r="H862" s="27"/>
    </row>
    <row r="863">
      <c r="G863" s="27"/>
      <c r="H863" s="27"/>
    </row>
    <row r="864">
      <c r="G864" s="27"/>
      <c r="H864" s="27"/>
    </row>
    <row r="865">
      <c r="G865" s="27"/>
      <c r="H865" s="27"/>
    </row>
    <row r="866">
      <c r="G866" s="27"/>
      <c r="H866" s="27"/>
    </row>
    <row r="867">
      <c r="G867" s="27"/>
      <c r="H867" s="27"/>
    </row>
    <row r="868">
      <c r="G868" s="27"/>
      <c r="H868" s="27"/>
    </row>
    <row r="869">
      <c r="G869" s="27"/>
      <c r="H869" s="27"/>
    </row>
    <row r="870">
      <c r="G870" s="27"/>
      <c r="H870" s="27"/>
    </row>
    <row r="871">
      <c r="G871" s="27"/>
      <c r="H871" s="27"/>
    </row>
    <row r="872">
      <c r="G872" s="27"/>
      <c r="H872" s="27"/>
    </row>
    <row r="873">
      <c r="G873" s="27"/>
      <c r="H873" s="27"/>
    </row>
    <row r="874">
      <c r="G874" s="27"/>
      <c r="H874" s="27"/>
    </row>
    <row r="875">
      <c r="G875" s="27"/>
      <c r="H875" s="27"/>
    </row>
    <row r="876">
      <c r="G876" s="27"/>
      <c r="H876" s="27"/>
    </row>
    <row r="877">
      <c r="G877" s="27"/>
      <c r="H877" s="27"/>
    </row>
    <row r="878">
      <c r="G878" s="27"/>
      <c r="H878" s="27"/>
    </row>
    <row r="879">
      <c r="G879" s="27"/>
      <c r="H879" s="27"/>
    </row>
    <row r="880">
      <c r="G880" s="27"/>
      <c r="H880" s="27"/>
    </row>
    <row r="881">
      <c r="G881" s="27"/>
      <c r="H881" s="27"/>
    </row>
    <row r="882">
      <c r="G882" s="27"/>
      <c r="H882" s="27"/>
    </row>
    <row r="883">
      <c r="G883" s="27"/>
      <c r="H883" s="27"/>
    </row>
    <row r="884">
      <c r="G884" s="27"/>
      <c r="H884" s="27"/>
    </row>
    <row r="885">
      <c r="G885" s="27"/>
      <c r="H885" s="27"/>
    </row>
    <row r="886">
      <c r="G886" s="27"/>
      <c r="H886" s="27"/>
    </row>
    <row r="887">
      <c r="G887" s="27"/>
      <c r="H887" s="27"/>
    </row>
    <row r="888">
      <c r="G888" s="27"/>
      <c r="H888" s="27"/>
    </row>
    <row r="889">
      <c r="G889" s="27"/>
      <c r="H889" s="27"/>
    </row>
    <row r="890">
      <c r="G890" s="27"/>
      <c r="H890" s="27"/>
    </row>
    <row r="891">
      <c r="G891" s="27"/>
      <c r="H891" s="27"/>
    </row>
    <row r="892">
      <c r="G892" s="27"/>
      <c r="H892" s="27"/>
    </row>
    <row r="893">
      <c r="G893" s="27"/>
      <c r="H893" s="27"/>
    </row>
    <row r="894">
      <c r="G894" s="27"/>
      <c r="H894" s="27"/>
    </row>
    <row r="895">
      <c r="G895" s="27"/>
      <c r="H895" s="27"/>
    </row>
    <row r="896">
      <c r="G896" s="27"/>
      <c r="H896" s="27"/>
    </row>
    <row r="897">
      <c r="G897" s="27"/>
      <c r="H897" s="27"/>
    </row>
    <row r="898">
      <c r="G898" s="27"/>
      <c r="H898" s="27"/>
    </row>
    <row r="899">
      <c r="G899" s="27"/>
      <c r="H899" s="27"/>
    </row>
    <row r="900">
      <c r="G900" s="27"/>
      <c r="H900" s="27"/>
    </row>
    <row r="901">
      <c r="G901" s="27"/>
      <c r="H901" s="27"/>
    </row>
    <row r="902">
      <c r="G902" s="27"/>
      <c r="H902" s="27"/>
    </row>
    <row r="903">
      <c r="G903" s="27"/>
      <c r="H903" s="27"/>
    </row>
    <row r="904">
      <c r="G904" s="27"/>
      <c r="H904" s="27"/>
    </row>
    <row r="905">
      <c r="G905" s="27"/>
      <c r="H905" s="27"/>
    </row>
    <row r="906">
      <c r="G906" s="27"/>
      <c r="H906" s="27"/>
    </row>
    <row r="907">
      <c r="G907" s="27"/>
      <c r="H907" s="27"/>
    </row>
    <row r="908">
      <c r="G908" s="27"/>
      <c r="H908" s="27"/>
    </row>
    <row r="909">
      <c r="G909" s="27"/>
      <c r="H909" s="27"/>
    </row>
    <row r="910">
      <c r="G910" s="27"/>
      <c r="H910" s="27"/>
    </row>
    <row r="911">
      <c r="G911" s="27"/>
      <c r="H911" s="27"/>
    </row>
    <row r="912">
      <c r="G912" s="27"/>
      <c r="H912" s="27"/>
    </row>
    <row r="913">
      <c r="G913" s="27"/>
      <c r="H913" s="27"/>
    </row>
    <row r="914">
      <c r="G914" s="27"/>
      <c r="H914" s="27"/>
    </row>
    <row r="915">
      <c r="G915" s="27"/>
      <c r="H915" s="27"/>
    </row>
    <row r="916">
      <c r="G916" s="27"/>
      <c r="H916" s="27"/>
    </row>
    <row r="917">
      <c r="G917" s="27"/>
      <c r="H917" s="27"/>
    </row>
    <row r="918">
      <c r="G918" s="27"/>
      <c r="H918" s="27"/>
    </row>
    <row r="919">
      <c r="G919" s="27"/>
      <c r="H919" s="27"/>
    </row>
    <row r="920">
      <c r="G920" s="27"/>
      <c r="H920" s="27"/>
    </row>
    <row r="921">
      <c r="G921" s="27"/>
      <c r="H921" s="27"/>
    </row>
    <row r="922">
      <c r="G922" s="27"/>
      <c r="H922" s="27"/>
    </row>
    <row r="923">
      <c r="G923" s="27"/>
      <c r="H923" s="27"/>
    </row>
    <row r="924">
      <c r="G924" s="27"/>
      <c r="H924" s="27"/>
    </row>
    <row r="925">
      <c r="G925" s="27"/>
      <c r="H925" s="27"/>
    </row>
    <row r="926">
      <c r="G926" s="27"/>
      <c r="H926" s="27"/>
    </row>
    <row r="927">
      <c r="G927" s="27"/>
      <c r="H927" s="27"/>
    </row>
    <row r="928">
      <c r="G928" s="27"/>
      <c r="H928" s="27"/>
    </row>
    <row r="929">
      <c r="G929" s="27"/>
      <c r="H929" s="27"/>
    </row>
    <row r="930">
      <c r="G930" s="27"/>
      <c r="H930" s="27"/>
    </row>
    <row r="931">
      <c r="G931" s="27"/>
      <c r="H931" s="27"/>
    </row>
    <row r="932">
      <c r="G932" s="27"/>
      <c r="H932" s="27"/>
    </row>
    <row r="933">
      <c r="G933" s="27"/>
      <c r="H933" s="27"/>
    </row>
    <row r="934">
      <c r="G934" s="27"/>
      <c r="H934" s="27"/>
    </row>
    <row r="935">
      <c r="G935" s="27"/>
      <c r="H935" s="27"/>
    </row>
    <row r="936">
      <c r="G936" s="27"/>
      <c r="H936" s="27"/>
    </row>
    <row r="937">
      <c r="G937" s="27"/>
      <c r="H937" s="27"/>
    </row>
    <row r="938">
      <c r="G938" s="27"/>
      <c r="H938" s="27"/>
    </row>
    <row r="939">
      <c r="G939" s="27"/>
      <c r="H939" s="27"/>
    </row>
    <row r="940">
      <c r="G940" s="27"/>
      <c r="H940" s="27"/>
    </row>
    <row r="941">
      <c r="G941" s="27"/>
      <c r="H941" s="27"/>
    </row>
    <row r="942">
      <c r="G942" s="27"/>
      <c r="H942" s="27"/>
    </row>
    <row r="943">
      <c r="G943" s="27"/>
      <c r="H943" s="27"/>
    </row>
    <row r="944">
      <c r="G944" s="27"/>
      <c r="H944" s="27"/>
    </row>
    <row r="945">
      <c r="G945" s="27"/>
      <c r="H945" s="27"/>
    </row>
    <row r="946">
      <c r="G946" s="27"/>
      <c r="H946" s="27"/>
    </row>
    <row r="947">
      <c r="G947" s="27"/>
      <c r="H947" s="27"/>
    </row>
    <row r="948">
      <c r="G948" s="27"/>
      <c r="H948" s="27"/>
    </row>
    <row r="949">
      <c r="G949" s="27"/>
      <c r="H949" s="27"/>
    </row>
    <row r="950">
      <c r="G950" s="27"/>
      <c r="H950" s="27"/>
    </row>
    <row r="951">
      <c r="G951" s="27"/>
      <c r="H951" s="27"/>
    </row>
    <row r="952">
      <c r="G952" s="27"/>
      <c r="H952" s="27"/>
    </row>
    <row r="953">
      <c r="G953" s="27"/>
      <c r="H953" s="27"/>
    </row>
    <row r="954">
      <c r="G954" s="27"/>
      <c r="H954" s="27"/>
    </row>
    <row r="955">
      <c r="G955" s="27"/>
      <c r="H955" s="27"/>
    </row>
    <row r="956">
      <c r="G956" s="27"/>
      <c r="H956" s="27"/>
    </row>
    <row r="957">
      <c r="G957" s="27"/>
      <c r="H957" s="27"/>
    </row>
    <row r="958">
      <c r="G958" s="27"/>
      <c r="H958" s="27"/>
    </row>
    <row r="959">
      <c r="G959" s="27"/>
      <c r="H959" s="27"/>
    </row>
    <row r="960">
      <c r="G960" s="27"/>
      <c r="H960" s="27"/>
    </row>
    <row r="961">
      <c r="G961" s="27"/>
      <c r="H961" s="27"/>
    </row>
    <row r="962">
      <c r="G962" s="27"/>
      <c r="H962" s="27"/>
    </row>
    <row r="963">
      <c r="G963" s="27"/>
      <c r="H963" s="27"/>
    </row>
    <row r="964">
      <c r="G964" s="27"/>
      <c r="H964" s="27"/>
    </row>
    <row r="965">
      <c r="G965" s="27"/>
      <c r="H965" s="27"/>
    </row>
    <row r="966">
      <c r="G966" s="27"/>
      <c r="H966" s="27"/>
    </row>
    <row r="967">
      <c r="G967" s="27"/>
      <c r="H967" s="27"/>
    </row>
    <row r="968">
      <c r="G968" s="27"/>
      <c r="H968" s="27"/>
    </row>
    <row r="969">
      <c r="G969" s="27"/>
      <c r="H969" s="27"/>
    </row>
    <row r="970">
      <c r="G970" s="27"/>
      <c r="H970" s="27"/>
    </row>
    <row r="971">
      <c r="G971" s="27"/>
      <c r="H971" s="27"/>
    </row>
    <row r="972">
      <c r="G972" s="27"/>
      <c r="H972" s="27"/>
    </row>
    <row r="973">
      <c r="G973" s="27"/>
      <c r="H973" s="27"/>
    </row>
    <row r="974">
      <c r="G974" s="27"/>
      <c r="H974" s="27"/>
    </row>
    <row r="975">
      <c r="G975" s="27"/>
      <c r="H975" s="27"/>
    </row>
    <row r="976">
      <c r="G976" s="27"/>
      <c r="H976" s="27"/>
    </row>
    <row r="977">
      <c r="G977" s="27"/>
      <c r="H977" s="27"/>
    </row>
    <row r="978">
      <c r="G978" s="27"/>
      <c r="H978" s="27"/>
    </row>
    <row r="979">
      <c r="G979" s="27"/>
      <c r="H979" s="27"/>
    </row>
    <row r="980">
      <c r="G980" s="27"/>
      <c r="H980" s="27"/>
    </row>
    <row r="981">
      <c r="G981" s="27"/>
      <c r="H981" s="27"/>
    </row>
    <row r="982">
      <c r="G982" s="27"/>
      <c r="H982" s="27"/>
    </row>
    <row r="983">
      <c r="G983" s="27"/>
      <c r="H983" s="27"/>
    </row>
    <row r="984">
      <c r="G984" s="27"/>
      <c r="H984" s="27"/>
    </row>
    <row r="985">
      <c r="G985" s="27"/>
      <c r="H985" s="27"/>
    </row>
    <row r="986">
      <c r="G986" s="27"/>
      <c r="H986" s="27"/>
    </row>
    <row r="987">
      <c r="G987" s="27"/>
      <c r="H987" s="27"/>
    </row>
    <row r="988">
      <c r="G988" s="27"/>
      <c r="H988" s="27"/>
    </row>
    <row r="989">
      <c r="G989" s="27"/>
      <c r="H989" s="27"/>
    </row>
    <row r="990">
      <c r="G990" s="27"/>
      <c r="H990" s="27"/>
    </row>
    <row r="991">
      <c r="G991" s="27"/>
      <c r="H991" s="27"/>
    </row>
    <row r="992">
      <c r="G992" s="27"/>
      <c r="H992" s="27"/>
    </row>
    <row r="993">
      <c r="G993" s="27"/>
      <c r="H993" s="27"/>
    </row>
    <row r="994">
      <c r="G994" s="27"/>
      <c r="H994" s="27"/>
    </row>
    <row r="995">
      <c r="G995" s="27"/>
      <c r="H995" s="27"/>
    </row>
    <row r="996">
      <c r="G996" s="27"/>
      <c r="H996" s="27"/>
    </row>
    <row r="997">
      <c r="G997" s="27"/>
      <c r="H997" s="27"/>
    </row>
    <row r="998">
      <c r="G998" s="27"/>
      <c r="H998" s="27"/>
    </row>
    <row r="999">
      <c r="G999" s="27"/>
      <c r="H999" s="27"/>
    </row>
    <row r="1000">
      <c r="G1000" s="27"/>
      <c r="H1000" s="27"/>
    </row>
  </sheetData>
  <conditionalFormatting sqref="D38 E47">
    <cfRule type="cellIs" dxfId="0" priority="1" operator="lessThan">
      <formula>0</formula>
    </cfRule>
  </conditionalFormatting>
  <conditionalFormatting sqref="D47">
    <cfRule type="cellIs" dxfId="0" priority="2" operator="lessThan">
      <formula>0</formula>
    </cfRule>
  </conditionalFormatting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5.63"/>
    <col customWidth="1" min="9" max="9" width="13.75"/>
    <col customWidth="1" min="10" max="10" width="29.0"/>
    <col customWidth="1" min="11" max="11" width="14.38"/>
  </cols>
  <sheetData>
    <row r="1">
      <c r="G1" s="27"/>
      <c r="H1" s="27"/>
    </row>
    <row r="2">
      <c r="G2" s="27"/>
      <c r="H2" s="27"/>
    </row>
    <row r="3">
      <c r="G3" s="27"/>
      <c r="H3" s="27"/>
    </row>
    <row r="4">
      <c r="G4" s="27"/>
      <c r="H4" s="27"/>
    </row>
    <row r="5">
      <c r="G5" s="27"/>
      <c r="H5" s="27"/>
    </row>
    <row r="6">
      <c r="G6" s="27"/>
      <c r="H6" s="27"/>
    </row>
    <row r="7">
      <c r="G7" s="191">
        <f>9361.61-E11</f>
        <v>5770.39</v>
      </c>
      <c r="H7" s="27"/>
    </row>
    <row r="8">
      <c r="G8" s="27"/>
      <c r="H8" s="27"/>
    </row>
    <row r="9">
      <c r="B9" s="55" t="s">
        <v>122</v>
      </c>
      <c r="C9" s="56"/>
      <c r="D9" s="57" t="s">
        <v>123</v>
      </c>
      <c r="E9" s="57" t="s">
        <v>124</v>
      </c>
      <c r="G9" s="191">
        <f>385.96+G7</f>
        <v>6156.35</v>
      </c>
      <c r="H9" s="27"/>
    </row>
    <row r="10">
      <c r="B10" s="59" t="s">
        <v>129</v>
      </c>
      <c r="C10" s="60"/>
      <c r="D10" s="61">
        <v>6595.33</v>
      </c>
      <c r="E10" s="61">
        <v>6595.33</v>
      </c>
      <c r="G10" s="107"/>
      <c r="H10" s="27"/>
    </row>
    <row r="11">
      <c r="B11" s="59" t="s">
        <v>136</v>
      </c>
      <c r="C11" s="60"/>
      <c r="D11" s="62">
        <f>1290+1914.26+385.96</f>
        <v>3590.22</v>
      </c>
      <c r="E11" s="62">
        <f>1290+1914.26+386.96</f>
        <v>3591.22</v>
      </c>
      <c r="G11" s="27"/>
      <c r="H11" s="27"/>
    </row>
    <row r="12">
      <c r="B12" s="59" t="s">
        <v>137</v>
      </c>
      <c r="C12" s="60"/>
      <c r="D12" s="63"/>
      <c r="E12" s="62">
        <v>500.0</v>
      </c>
      <c r="G12" s="27"/>
      <c r="H12" s="27"/>
    </row>
    <row r="13">
      <c r="B13" s="59" t="s">
        <v>138</v>
      </c>
      <c r="C13" s="60"/>
      <c r="D13" s="64"/>
      <c r="E13" s="65">
        <f>6156.35+1296</f>
        <v>7452.35</v>
      </c>
      <c r="G13" s="27"/>
      <c r="H13" s="27"/>
    </row>
    <row r="14">
      <c r="B14" s="67" t="s">
        <v>139</v>
      </c>
      <c r="C14" s="68"/>
      <c r="D14" s="69">
        <f t="shared" ref="D14:E14" si="1">SUM(D10:D13)</f>
        <v>10185.55</v>
      </c>
      <c r="E14" s="69">
        <f t="shared" si="1"/>
        <v>18138.9</v>
      </c>
      <c r="G14" s="27"/>
      <c r="H14" s="27"/>
    </row>
    <row r="15">
      <c r="G15" s="27"/>
      <c r="H15" s="27"/>
    </row>
    <row r="16">
      <c r="B16" s="70" t="s">
        <v>140</v>
      </c>
      <c r="C16" s="71"/>
      <c r="D16" s="58" t="s">
        <v>123</v>
      </c>
      <c r="E16" s="58" t="s">
        <v>124</v>
      </c>
      <c r="G16" s="18" t="s">
        <v>201</v>
      </c>
      <c r="H16" s="18">
        <v>1760.0</v>
      </c>
      <c r="I16" s="18" t="s">
        <v>202</v>
      </c>
    </row>
    <row r="17">
      <c r="B17" s="72" t="s">
        <v>141</v>
      </c>
      <c r="C17" s="73"/>
      <c r="D17" s="75"/>
      <c r="E17" s="75">
        <v>309.0</v>
      </c>
    </row>
    <row r="18">
      <c r="B18" s="72" t="s">
        <v>142</v>
      </c>
      <c r="C18" s="73"/>
      <c r="D18" s="75">
        <v>45.6</v>
      </c>
      <c r="E18" s="75">
        <v>60.0</v>
      </c>
    </row>
    <row r="19">
      <c r="B19" s="72" t="s">
        <v>143</v>
      </c>
      <c r="C19" s="73"/>
      <c r="D19" s="75">
        <v>0.0</v>
      </c>
      <c r="E19" s="75">
        <v>81.4</v>
      </c>
    </row>
    <row r="20">
      <c r="B20" s="72" t="s">
        <v>144</v>
      </c>
      <c r="C20" s="73"/>
      <c r="D20" s="75">
        <f>30+50</f>
        <v>80</v>
      </c>
      <c r="E20" s="75">
        <v>100.0</v>
      </c>
    </row>
    <row r="21">
      <c r="B21" s="72" t="s">
        <v>145</v>
      </c>
      <c r="C21" s="73"/>
      <c r="D21" s="75"/>
      <c r="E21" s="75">
        <v>2500.0</v>
      </c>
    </row>
    <row r="22">
      <c r="B22" s="72" t="s">
        <v>146</v>
      </c>
      <c r="C22" s="77" t="s">
        <v>147</v>
      </c>
      <c r="D22" s="75">
        <v>400.0</v>
      </c>
      <c r="E22" s="75">
        <v>400.0</v>
      </c>
      <c r="G22" s="27"/>
    </row>
    <row r="23">
      <c r="B23" s="72" t="s">
        <v>148</v>
      </c>
      <c r="C23" s="73"/>
      <c r="D23" s="75">
        <v>220.0</v>
      </c>
      <c r="E23" s="75">
        <v>500.0</v>
      </c>
      <c r="G23" s="27"/>
    </row>
    <row r="24">
      <c r="B24" s="72" t="s">
        <v>149</v>
      </c>
      <c r="C24" s="73"/>
      <c r="D24" s="74"/>
      <c r="E24" s="75">
        <v>603.0</v>
      </c>
      <c r="G24" s="27"/>
    </row>
    <row r="25">
      <c r="A25" s="32" t="s">
        <v>120</v>
      </c>
      <c r="B25" s="72" t="s">
        <v>150</v>
      </c>
      <c r="C25" s="73"/>
      <c r="D25" s="75">
        <v>300.0</v>
      </c>
      <c r="E25" s="75">
        <v>300.0</v>
      </c>
      <c r="G25" s="27"/>
    </row>
    <row r="26">
      <c r="B26" s="72" t="s">
        <v>151</v>
      </c>
      <c r="C26" s="73"/>
      <c r="D26" s="74"/>
      <c r="E26" s="75">
        <v>0.0</v>
      </c>
      <c r="G26" s="27"/>
    </row>
    <row r="27">
      <c r="B27" s="72" t="s">
        <v>152</v>
      </c>
      <c r="C27" s="73"/>
      <c r="D27" s="74"/>
      <c r="E27" s="74"/>
      <c r="G27" s="27"/>
    </row>
    <row r="28">
      <c r="B28" s="72" t="s">
        <v>153</v>
      </c>
      <c r="C28" s="73"/>
      <c r="D28" s="74"/>
      <c r="E28" s="74"/>
      <c r="G28" s="27"/>
    </row>
    <row r="29">
      <c r="B29" s="72" t="s">
        <v>154</v>
      </c>
      <c r="C29" s="73"/>
      <c r="D29" s="75">
        <f>47.4+15+12</f>
        <v>74.4</v>
      </c>
      <c r="E29" s="75">
        <v>104.8</v>
      </c>
      <c r="G29" s="27"/>
    </row>
    <row r="30">
      <c r="B30" s="72" t="s">
        <v>155</v>
      </c>
      <c r="C30" s="73"/>
      <c r="D30" s="74"/>
      <c r="E30" s="74"/>
      <c r="G30" s="27"/>
    </row>
    <row r="31">
      <c r="B31" s="72" t="s">
        <v>156</v>
      </c>
      <c r="C31" s="73"/>
      <c r="D31" s="75">
        <v>176.02</v>
      </c>
      <c r="E31" s="179">
        <v>200.0</v>
      </c>
      <c r="G31" s="27"/>
    </row>
    <row r="32">
      <c r="B32" s="72" t="s">
        <v>157</v>
      </c>
      <c r="C32" s="73"/>
      <c r="D32" s="74"/>
      <c r="E32" s="74"/>
      <c r="G32" s="27"/>
    </row>
    <row r="33">
      <c r="B33" s="72" t="s">
        <v>158</v>
      </c>
      <c r="C33" s="73"/>
      <c r="D33" s="74"/>
      <c r="E33" s="74"/>
      <c r="G33" s="27"/>
    </row>
    <row r="34">
      <c r="B34" s="72" t="s">
        <v>159</v>
      </c>
      <c r="C34" s="73"/>
      <c r="D34" s="75">
        <v>1500.0</v>
      </c>
      <c r="E34" s="75">
        <v>800.0</v>
      </c>
      <c r="G34" s="27"/>
    </row>
    <row r="35">
      <c r="B35" s="72" t="s">
        <v>160</v>
      </c>
      <c r="C35" s="73"/>
      <c r="D35" s="75">
        <v>1800.0</v>
      </c>
      <c r="E35" s="75">
        <v>1800.0</v>
      </c>
      <c r="G35" s="27"/>
      <c r="H35" s="27"/>
    </row>
    <row r="36">
      <c r="B36" s="67" t="s">
        <v>161</v>
      </c>
      <c r="C36" s="68"/>
      <c r="D36" s="78">
        <f t="shared" ref="D36:E36" si="2">SUM(D17:D35)*-1</f>
        <v>-4596.02</v>
      </c>
      <c r="E36" s="78">
        <f t="shared" si="2"/>
        <v>-7758.2</v>
      </c>
      <c r="G36" s="27"/>
      <c r="H36" s="27"/>
    </row>
    <row r="37">
      <c r="G37" s="27"/>
      <c r="H37" s="27"/>
    </row>
    <row r="38">
      <c r="B38" s="80" t="s">
        <v>162</v>
      </c>
      <c r="C38" s="81"/>
      <c r="D38" s="82">
        <f t="shared" ref="D38:E38" si="3">D14+D36</f>
        <v>5589.53</v>
      </c>
      <c r="E38" s="82">
        <f t="shared" si="3"/>
        <v>10380.7</v>
      </c>
      <c r="G38" s="27"/>
      <c r="H38" s="27"/>
    </row>
    <row r="39">
      <c r="B39" s="83"/>
      <c r="C39" s="83"/>
      <c r="D39" s="84"/>
      <c r="E39" s="84"/>
      <c r="G39" s="27"/>
      <c r="H39" s="27"/>
    </row>
    <row r="40">
      <c r="B40" s="85" t="s">
        <v>163</v>
      </c>
      <c r="C40" s="86"/>
      <c r="D40" s="57" t="s">
        <v>123</v>
      </c>
      <c r="E40" s="57" t="s">
        <v>124</v>
      </c>
      <c r="G40" s="27"/>
      <c r="H40" s="107"/>
    </row>
    <row r="41">
      <c r="B41" s="87" t="s">
        <v>164</v>
      </c>
      <c r="C41" s="88">
        <v>4055.1</v>
      </c>
      <c r="D41" s="89">
        <v>498.84</v>
      </c>
      <c r="E41" s="89">
        <v>498.84</v>
      </c>
      <c r="G41" s="27"/>
      <c r="H41" s="27"/>
    </row>
    <row r="42">
      <c r="B42" s="87" t="s">
        <v>165</v>
      </c>
      <c r="C42" s="88">
        <v>8943.65</v>
      </c>
      <c r="D42" s="91">
        <v>385.96</v>
      </c>
      <c r="E42" s="91">
        <v>385.96</v>
      </c>
      <c r="G42" s="27"/>
      <c r="H42" s="27"/>
    </row>
    <row r="43">
      <c r="B43" s="87" t="s">
        <v>166</v>
      </c>
      <c r="C43" s="88">
        <v>8200.0</v>
      </c>
      <c r="D43" s="91">
        <v>0.0</v>
      </c>
      <c r="E43" s="91">
        <v>512.0</v>
      </c>
      <c r="G43" s="27"/>
      <c r="H43" s="27"/>
    </row>
    <row r="44">
      <c r="B44" s="87" t="s">
        <v>203</v>
      </c>
      <c r="C44" s="88">
        <v>1760.0</v>
      </c>
      <c r="D44" s="94"/>
      <c r="E44" s="91">
        <v>440.0</v>
      </c>
      <c r="G44" s="27"/>
      <c r="H44" s="27"/>
    </row>
    <row r="45">
      <c r="B45" s="67" t="s">
        <v>167</v>
      </c>
      <c r="C45" s="95">
        <f>SUM(C41:C44)</f>
        <v>22958.75</v>
      </c>
      <c r="D45" s="78">
        <f>SUM(D41:D43)*-1</f>
        <v>-884.8</v>
      </c>
      <c r="E45" s="78">
        <f>SUM(E41:E44)*-1</f>
        <v>-1836.8</v>
      </c>
      <c r="G45" s="107" t="s">
        <v>204</v>
      </c>
      <c r="H45" s="27"/>
    </row>
    <row r="46">
      <c r="B46" s="83"/>
      <c r="C46" s="83"/>
      <c r="D46" s="96"/>
      <c r="E46" s="96"/>
      <c r="G46" s="192" t="s">
        <v>205</v>
      </c>
      <c r="H46" s="192">
        <v>39.99</v>
      </c>
      <c r="I46" s="22" t="s">
        <v>206</v>
      </c>
      <c r="K46" s="12">
        <f>H46+H48+H53</f>
        <v>139.1</v>
      </c>
    </row>
    <row r="47">
      <c r="B47" s="97" t="s">
        <v>168</v>
      </c>
      <c r="C47" s="98"/>
      <c r="D47" s="99">
        <f t="shared" ref="D47:E47" si="4">D38+D45</f>
        <v>4704.73</v>
      </c>
      <c r="E47" s="99">
        <f t="shared" si="4"/>
        <v>8543.9</v>
      </c>
      <c r="G47" s="193" t="s">
        <v>207</v>
      </c>
      <c r="H47" s="193">
        <f>50*3.86</f>
        <v>193</v>
      </c>
      <c r="I47" s="194" t="s">
        <v>208</v>
      </c>
    </row>
    <row r="48">
      <c r="B48" s="83"/>
      <c r="C48" s="83"/>
      <c r="D48" s="96"/>
      <c r="E48" s="96"/>
      <c r="G48" s="192" t="s">
        <v>209</v>
      </c>
      <c r="H48" s="192">
        <v>49.11</v>
      </c>
      <c r="I48" s="22" t="s">
        <v>206</v>
      </c>
    </row>
    <row r="49">
      <c r="B49" s="100" t="s">
        <v>169</v>
      </c>
      <c r="C49" s="101"/>
      <c r="D49" s="57" t="s">
        <v>123</v>
      </c>
      <c r="E49" s="57" t="s">
        <v>124</v>
      </c>
      <c r="G49" s="195" t="s">
        <v>210</v>
      </c>
      <c r="H49" s="195">
        <f>28.98*3.86</f>
        <v>111.8628</v>
      </c>
      <c r="I49" s="196" t="s">
        <v>208</v>
      </c>
    </row>
    <row r="50">
      <c r="B50" s="102" t="s">
        <v>170</v>
      </c>
      <c r="C50" s="103"/>
      <c r="D50" s="104"/>
      <c r="E50" s="105">
        <f>D52</f>
        <v>4704.73</v>
      </c>
      <c r="G50" s="193" t="s">
        <v>211</v>
      </c>
      <c r="H50" s="193">
        <f>10.91*3.86</f>
        <v>42.1126</v>
      </c>
      <c r="I50" s="194" t="s">
        <v>212</v>
      </c>
      <c r="K50" s="12">
        <f>9.7+10.35+3.5+10.91</f>
        <v>34.46</v>
      </c>
    </row>
    <row r="51">
      <c r="B51" s="102" t="s">
        <v>171</v>
      </c>
      <c r="C51" s="103"/>
      <c r="D51" s="106">
        <f t="shared" ref="D51:E51" si="5">+D47</f>
        <v>4704.73</v>
      </c>
      <c r="E51" s="106">
        <f t="shared" si="5"/>
        <v>8543.9</v>
      </c>
      <c r="G51" s="193" t="s">
        <v>213</v>
      </c>
      <c r="H51" s="193">
        <f>9.7*3.86</f>
        <v>37.442</v>
      </c>
      <c r="I51" s="194" t="s">
        <v>212</v>
      </c>
    </row>
    <row r="52">
      <c r="B52" s="67" t="s">
        <v>173</v>
      </c>
      <c r="C52" s="68"/>
      <c r="D52" s="95">
        <f t="shared" ref="D52:E52" si="6">SUM(D50:D51)</f>
        <v>4704.73</v>
      </c>
      <c r="E52" s="95">
        <f t="shared" si="6"/>
        <v>13248.63</v>
      </c>
      <c r="G52" s="193" t="s">
        <v>214</v>
      </c>
      <c r="H52" s="193">
        <f>12.42*3.86</f>
        <v>47.9412</v>
      </c>
      <c r="I52" s="194" t="s">
        <v>208</v>
      </c>
    </row>
    <row r="53">
      <c r="G53" s="192" t="s">
        <v>215</v>
      </c>
      <c r="H53" s="192">
        <v>50.0</v>
      </c>
      <c r="I53" s="22" t="s">
        <v>206</v>
      </c>
      <c r="K53" s="12">
        <f>K50*3.86</f>
        <v>133.0156</v>
      </c>
    </row>
    <row r="54">
      <c r="G54" s="193" t="s">
        <v>216</v>
      </c>
      <c r="H54" s="193">
        <f>3.5*3.86</f>
        <v>13.51</v>
      </c>
      <c r="I54" s="194" t="s">
        <v>212</v>
      </c>
    </row>
    <row r="55">
      <c r="G55" s="197" t="s">
        <v>217</v>
      </c>
      <c r="H55" s="198">
        <f>SUM(H46:H54)</f>
        <v>584.9686</v>
      </c>
    </row>
    <row r="56">
      <c r="G56" s="27"/>
      <c r="H56" s="27"/>
    </row>
    <row r="57">
      <c r="G57" s="107" t="s">
        <v>218</v>
      </c>
      <c r="H57" s="27"/>
      <c r="J57" s="18" t="s">
        <v>219</v>
      </c>
    </row>
    <row r="58">
      <c r="G58" s="18" t="s">
        <v>220</v>
      </c>
      <c r="H58" s="107">
        <v>0.0</v>
      </c>
      <c r="J58" s="18" t="s">
        <v>221</v>
      </c>
      <c r="K58" s="107">
        <v>1501.34</v>
      </c>
    </row>
    <row r="59">
      <c r="G59" s="107" t="s">
        <v>222</v>
      </c>
      <c r="H59" s="107">
        <v>1501.34</v>
      </c>
      <c r="J59" s="18" t="s">
        <v>223</v>
      </c>
      <c r="K59" s="18">
        <v>2895.63</v>
      </c>
    </row>
    <row r="60">
      <c r="G60" s="107" t="s">
        <v>224</v>
      </c>
      <c r="H60" s="107">
        <v>5270.16</v>
      </c>
      <c r="J60" s="18" t="s">
        <v>225</v>
      </c>
      <c r="K60" s="12">
        <f>SUM(K58:K59)</f>
        <v>4396.97</v>
      </c>
    </row>
    <row r="61">
      <c r="G61" s="107" t="s">
        <v>225</v>
      </c>
      <c r="H61" s="27">
        <f>SUM(H58:H60)</f>
        <v>6771.5</v>
      </c>
    </row>
    <row r="62">
      <c r="G62" s="27"/>
      <c r="H62" s="27"/>
      <c r="J62" s="18" t="s">
        <v>226</v>
      </c>
      <c r="K62" s="18">
        <v>500.0</v>
      </c>
    </row>
    <row r="63">
      <c r="G63" s="107" t="s">
        <v>227</v>
      </c>
      <c r="H63" s="27"/>
      <c r="J63" s="18" t="s">
        <v>228</v>
      </c>
      <c r="K63" s="18">
        <v>603.0</v>
      </c>
    </row>
    <row r="64">
      <c r="G64" s="107" t="s">
        <v>229</v>
      </c>
      <c r="H64" s="27">
        <f>1202.8+13.9</f>
        <v>1216.7</v>
      </c>
      <c r="J64" s="18" t="s">
        <v>141</v>
      </c>
      <c r="K64" s="18">
        <v>350.0</v>
      </c>
    </row>
    <row r="65">
      <c r="G65" s="107" t="s">
        <v>230</v>
      </c>
      <c r="H65" s="27">
        <f>257.02+338.88</f>
        <v>595.9</v>
      </c>
      <c r="J65" s="18" t="s">
        <v>231</v>
      </c>
      <c r="K65" s="18">
        <v>70.0</v>
      </c>
    </row>
    <row r="66">
      <c r="G66" s="107" t="s">
        <v>232</v>
      </c>
      <c r="H66" s="27">
        <f>59+399</f>
        <v>458</v>
      </c>
      <c r="J66" s="18" t="s">
        <v>233</v>
      </c>
      <c r="K66" s="18">
        <v>160.0</v>
      </c>
    </row>
    <row r="67">
      <c r="G67" s="107" t="s">
        <v>234</v>
      </c>
      <c r="H67" s="107">
        <v>61.7</v>
      </c>
      <c r="J67" s="18" t="s">
        <v>235</v>
      </c>
      <c r="K67" s="12">
        <f>SUM(K62:K66)</f>
        <v>1683</v>
      </c>
    </row>
    <row r="68">
      <c r="G68" s="107" t="s">
        <v>236</v>
      </c>
      <c r="H68" s="27">
        <f>14.23+28</f>
        <v>42.23</v>
      </c>
      <c r="J68" s="18" t="s">
        <v>237</v>
      </c>
      <c r="K68" s="12">
        <f>K59-K67</f>
        <v>1212.63</v>
      </c>
    </row>
    <row r="69">
      <c r="G69" s="107" t="s">
        <v>238</v>
      </c>
      <c r="H69" s="27">
        <f>SUM(H64:H68)</f>
        <v>2374.53</v>
      </c>
    </row>
    <row r="70">
      <c r="G70" s="107" t="s">
        <v>239</v>
      </c>
      <c r="H70" s="27"/>
    </row>
    <row r="71">
      <c r="G71" s="18" t="s">
        <v>120</v>
      </c>
      <c r="H71" s="12">
        <f>H64+H65</f>
        <v>1812.6</v>
      </c>
    </row>
    <row r="72">
      <c r="G72" s="18" t="s">
        <v>119</v>
      </c>
      <c r="H72" s="12">
        <f>H66+H67+H68</f>
        <v>561.93</v>
      </c>
    </row>
    <row r="73">
      <c r="G73" s="27"/>
      <c r="H73" s="27"/>
    </row>
    <row r="74">
      <c r="G74" s="27"/>
      <c r="H74" s="27"/>
    </row>
    <row r="75">
      <c r="G75" s="27"/>
      <c r="H75" s="27"/>
    </row>
    <row r="76">
      <c r="G76" s="27"/>
      <c r="H76" s="27"/>
    </row>
    <row r="77">
      <c r="G77" s="27"/>
      <c r="H77" s="27"/>
    </row>
    <row r="78">
      <c r="G78" s="27"/>
      <c r="H78" s="27"/>
    </row>
    <row r="79">
      <c r="G79" s="27"/>
      <c r="H79" s="27"/>
    </row>
    <row r="80">
      <c r="G80" s="27"/>
      <c r="H80" s="27"/>
    </row>
    <row r="81">
      <c r="G81" s="27"/>
      <c r="H81" s="27"/>
    </row>
    <row r="82">
      <c r="G82" s="27"/>
      <c r="H82" s="27"/>
    </row>
    <row r="83">
      <c r="G83" s="27"/>
      <c r="H83" s="27"/>
    </row>
    <row r="84">
      <c r="G84" s="27"/>
      <c r="H84" s="27"/>
    </row>
    <row r="85">
      <c r="G85" s="27"/>
      <c r="H85" s="27"/>
    </row>
    <row r="86">
      <c r="G86" s="27"/>
      <c r="H86" s="27"/>
    </row>
    <row r="87">
      <c r="G87" s="27"/>
      <c r="H87" s="27"/>
    </row>
    <row r="88">
      <c r="G88" s="27"/>
      <c r="H88" s="27"/>
    </row>
    <row r="89">
      <c r="G89" s="27"/>
      <c r="H89" s="27"/>
    </row>
    <row r="90">
      <c r="G90" s="27"/>
      <c r="H90" s="27"/>
    </row>
    <row r="91">
      <c r="G91" s="27"/>
      <c r="H91" s="27"/>
    </row>
    <row r="92">
      <c r="G92" s="27"/>
      <c r="H92" s="27"/>
    </row>
    <row r="93">
      <c r="G93" s="27"/>
      <c r="H93" s="27"/>
    </row>
    <row r="94">
      <c r="G94" s="27"/>
      <c r="H94" s="27"/>
    </row>
    <row r="95">
      <c r="G95" s="27"/>
      <c r="H95" s="27"/>
    </row>
    <row r="96">
      <c r="G96" s="27"/>
      <c r="H96" s="27"/>
    </row>
    <row r="97">
      <c r="G97" s="27"/>
      <c r="H97" s="27"/>
    </row>
    <row r="98">
      <c r="G98" s="27"/>
      <c r="H98" s="27"/>
    </row>
    <row r="99">
      <c r="G99" s="27"/>
      <c r="H99" s="27"/>
    </row>
    <row r="100">
      <c r="G100" s="27"/>
      <c r="H100" s="27"/>
    </row>
    <row r="101">
      <c r="G101" s="27"/>
      <c r="H101" s="27"/>
    </row>
    <row r="102">
      <c r="G102" s="27"/>
      <c r="H102" s="27"/>
    </row>
    <row r="103">
      <c r="G103" s="27"/>
      <c r="H103" s="27"/>
    </row>
    <row r="104">
      <c r="G104" s="27"/>
      <c r="H104" s="27"/>
    </row>
    <row r="105">
      <c r="G105" s="27"/>
      <c r="H105" s="27"/>
    </row>
    <row r="106">
      <c r="G106" s="27"/>
      <c r="H106" s="27"/>
    </row>
    <row r="107">
      <c r="G107" s="27"/>
      <c r="H107" s="27"/>
    </row>
    <row r="108">
      <c r="G108" s="27"/>
      <c r="H108" s="27"/>
    </row>
    <row r="109">
      <c r="G109" s="27"/>
      <c r="H109" s="27"/>
    </row>
    <row r="110">
      <c r="G110" s="27"/>
      <c r="H110" s="27"/>
    </row>
    <row r="111">
      <c r="G111" s="27"/>
      <c r="H111" s="27"/>
    </row>
    <row r="112">
      <c r="G112" s="27"/>
      <c r="H112" s="27"/>
    </row>
    <row r="113">
      <c r="G113" s="27"/>
      <c r="H113" s="27"/>
    </row>
    <row r="114">
      <c r="G114" s="27"/>
      <c r="H114" s="27"/>
    </row>
    <row r="115">
      <c r="G115" s="27"/>
      <c r="H115" s="27"/>
    </row>
    <row r="116">
      <c r="G116" s="27"/>
      <c r="H116" s="27"/>
    </row>
    <row r="117">
      <c r="G117" s="27"/>
      <c r="H117" s="27"/>
    </row>
    <row r="118">
      <c r="G118" s="27"/>
      <c r="H118" s="27"/>
    </row>
    <row r="119">
      <c r="G119" s="27"/>
      <c r="H119" s="27"/>
    </row>
    <row r="120">
      <c r="G120" s="27"/>
      <c r="H120" s="27"/>
    </row>
    <row r="121">
      <c r="G121" s="27"/>
      <c r="H121" s="27"/>
    </row>
    <row r="122">
      <c r="G122" s="27"/>
      <c r="H122" s="27"/>
    </row>
    <row r="123">
      <c r="G123" s="27"/>
      <c r="H123" s="27"/>
    </row>
    <row r="124">
      <c r="G124" s="27"/>
      <c r="H124" s="27"/>
    </row>
    <row r="125">
      <c r="G125" s="27"/>
      <c r="H125" s="27"/>
    </row>
    <row r="126">
      <c r="G126" s="27"/>
      <c r="H126" s="27"/>
    </row>
    <row r="127">
      <c r="G127" s="27"/>
      <c r="H127" s="27"/>
    </row>
    <row r="128">
      <c r="G128" s="27"/>
      <c r="H128" s="27"/>
    </row>
    <row r="129">
      <c r="G129" s="27"/>
      <c r="H129" s="27"/>
    </row>
    <row r="130">
      <c r="G130" s="27"/>
      <c r="H130" s="27"/>
    </row>
    <row r="131">
      <c r="G131" s="27"/>
      <c r="H131" s="27"/>
    </row>
    <row r="132">
      <c r="G132" s="27"/>
      <c r="H132" s="27"/>
    </row>
    <row r="133">
      <c r="G133" s="27"/>
      <c r="H133" s="27"/>
    </row>
    <row r="134">
      <c r="G134" s="27"/>
      <c r="H134" s="27"/>
    </row>
    <row r="135">
      <c r="G135" s="27"/>
      <c r="H135" s="27"/>
    </row>
    <row r="136">
      <c r="G136" s="27"/>
      <c r="H136" s="27"/>
    </row>
    <row r="137">
      <c r="G137" s="27"/>
      <c r="H137" s="27"/>
    </row>
    <row r="138">
      <c r="G138" s="27"/>
      <c r="H138" s="27"/>
    </row>
    <row r="139">
      <c r="G139" s="27"/>
      <c r="H139" s="27"/>
    </row>
    <row r="140">
      <c r="G140" s="27"/>
      <c r="H140" s="27"/>
    </row>
    <row r="141">
      <c r="G141" s="27"/>
      <c r="H141" s="27"/>
    </row>
    <row r="142">
      <c r="G142" s="27"/>
      <c r="H142" s="27"/>
    </row>
    <row r="143">
      <c r="G143" s="27"/>
      <c r="H143" s="27"/>
    </row>
    <row r="144">
      <c r="G144" s="27"/>
      <c r="H144" s="27"/>
    </row>
    <row r="145">
      <c r="G145" s="27"/>
      <c r="H145" s="27"/>
    </row>
    <row r="146">
      <c r="G146" s="27"/>
      <c r="H146" s="27"/>
    </row>
    <row r="147">
      <c r="G147" s="27"/>
      <c r="H147" s="27"/>
    </row>
    <row r="148">
      <c r="G148" s="27"/>
      <c r="H148" s="27"/>
    </row>
    <row r="149">
      <c r="G149" s="27"/>
      <c r="H149" s="27"/>
    </row>
    <row r="150">
      <c r="G150" s="27"/>
      <c r="H150" s="27"/>
    </row>
    <row r="151">
      <c r="G151" s="27"/>
      <c r="H151" s="27"/>
    </row>
    <row r="152">
      <c r="G152" s="27"/>
      <c r="H152" s="27"/>
    </row>
    <row r="153">
      <c r="G153" s="27"/>
      <c r="H153" s="27"/>
    </row>
    <row r="154">
      <c r="G154" s="27"/>
      <c r="H154" s="27"/>
    </row>
    <row r="155">
      <c r="G155" s="27"/>
      <c r="H155" s="27"/>
    </row>
    <row r="156">
      <c r="G156" s="27"/>
      <c r="H156" s="27"/>
    </row>
    <row r="157">
      <c r="G157" s="27"/>
      <c r="H157" s="27"/>
    </row>
    <row r="158">
      <c r="G158" s="27"/>
      <c r="H158" s="27"/>
    </row>
    <row r="159">
      <c r="G159" s="27"/>
      <c r="H159" s="27"/>
    </row>
    <row r="160">
      <c r="G160" s="27"/>
      <c r="H160" s="27"/>
    </row>
    <row r="161">
      <c r="G161" s="27"/>
      <c r="H161" s="27"/>
    </row>
    <row r="162">
      <c r="G162" s="27"/>
      <c r="H162" s="27"/>
    </row>
    <row r="163">
      <c r="G163" s="27"/>
      <c r="H163" s="27"/>
    </row>
    <row r="164">
      <c r="G164" s="27"/>
      <c r="H164" s="27"/>
    </row>
    <row r="165">
      <c r="G165" s="27"/>
      <c r="H165" s="27"/>
    </row>
    <row r="166">
      <c r="G166" s="27"/>
      <c r="H166" s="27"/>
    </row>
    <row r="167">
      <c r="G167" s="27"/>
      <c r="H167" s="27"/>
    </row>
    <row r="168">
      <c r="G168" s="27"/>
      <c r="H168" s="27"/>
    </row>
    <row r="169">
      <c r="G169" s="27"/>
      <c r="H169" s="27"/>
    </row>
    <row r="170">
      <c r="G170" s="27"/>
      <c r="H170" s="27"/>
    </row>
    <row r="171">
      <c r="G171" s="27"/>
      <c r="H171" s="27"/>
    </row>
    <row r="172">
      <c r="G172" s="27"/>
      <c r="H172" s="27"/>
    </row>
    <row r="173">
      <c r="G173" s="27"/>
      <c r="H173" s="27"/>
    </row>
    <row r="174">
      <c r="G174" s="27"/>
      <c r="H174" s="27"/>
    </row>
    <row r="175">
      <c r="G175" s="27"/>
      <c r="H175" s="27"/>
    </row>
    <row r="176">
      <c r="G176" s="27"/>
      <c r="H176" s="27"/>
    </row>
    <row r="177">
      <c r="G177" s="27"/>
      <c r="H177" s="27"/>
    </row>
    <row r="178">
      <c r="G178" s="27"/>
      <c r="H178" s="27"/>
    </row>
    <row r="179">
      <c r="G179" s="27"/>
      <c r="H179" s="27"/>
    </row>
    <row r="180">
      <c r="G180" s="27"/>
      <c r="H180" s="27"/>
    </row>
    <row r="181">
      <c r="G181" s="27"/>
      <c r="H181" s="27"/>
    </row>
    <row r="182">
      <c r="G182" s="27"/>
      <c r="H182" s="27"/>
    </row>
    <row r="183">
      <c r="G183" s="27"/>
      <c r="H183" s="27"/>
    </row>
    <row r="184">
      <c r="G184" s="27"/>
      <c r="H184" s="27"/>
    </row>
    <row r="185">
      <c r="G185" s="27"/>
      <c r="H185" s="27"/>
    </row>
    <row r="186">
      <c r="G186" s="27"/>
      <c r="H186" s="27"/>
    </row>
    <row r="187">
      <c r="G187" s="27"/>
      <c r="H187" s="27"/>
    </row>
    <row r="188">
      <c r="G188" s="27"/>
      <c r="H188" s="27"/>
    </row>
    <row r="189">
      <c r="G189" s="27"/>
      <c r="H189" s="27"/>
    </row>
    <row r="190">
      <c r="G190" s="27"/>
      <c r="H190" s="27"/>
    </row>
    <row r="191">
      <c r="G191" s="27"/>
      <c r="H191" s="27"/>
    </row>
    <row r="192">
      <c r="G192" s="27"/>
      <c r="H192" s="27"/>
    </row>
    <row r="193">
      <c r="G193" s="27"/>
      <c r="H193" s="27"/>
    </row>
    <row r="194">
      <c r="G194" s="27"/>
      <c r="H194" s="27"/>
    </row>
    <row r="195">
      <c r="G195" s="27"/>
      <c r="H195" s="27"/>
    </row>
    <row r="196">
      <c r="G196" s="27"/>
      <c r="H196" s="27"/>
    </row>
    <row r="197">
      <c r="G197" s="27"/>
      <c r="H197" s="27"/>
    </row>
    <row r="198">
      <c r="G198" s="27"/>
      <c r="H198" s="27"/>
    </row>
    <row r="199">
      <c r="G199" s="27"/>
      <c r="H199" s="27"/>
    </row>
    <row r="200">
      <c r="G200" s="27"/>
      <c r="H200" s="27"/>
    </row>
    <row r="201">
      <c r="G201" s="27"/>
      <c r="H201" s="27"/>
    </row>
    <row r="202">
      <c r="G202" s="27"/>
      <c r="H202" s="27"/>
    </row>
    <row r="203">
      <c r="G203" s="27"/>
      <c r="H203" s="27"/>
    </row>
    <row r="204">
      <c r="G204" s="27"/>
      <c r="H204" s="27"/>
    </row>
    <row r="205">
      <c r="G205" s="27"/>
      <c r="H205" s="27"/>
    </row>
    <row r="206">
      <c r="G206" s="27"/>
      <c r="H206" s="27"/>
    </row>
    <row r="207">
      <c r="G207" s="27"/>
      <c r="H207" s="27"/>
    </row>
    <row r="208">
      <c r="G208" s="27"/>
      <c r="H208" s="27"/>
    </row>
    <row r="209">
      <c r="G209" s="27"/>
      <c r="H209" s="27"/>
    </row>
    <row r="210">
      <c r="G210" s="27"/>
      <c r="H210" s="27"/>
    </row>
    <row r="211">
      <c r="G211" s="27"/>
      <c r="H211" s="27"/>
    </row>
    <row r="212">
      <c r="G212" s="27"/>
      <c r="H212" s="27"/>
    </row>
    <row r="213">
      <c r="G213" s="27"/>
      <c r="H213" s="27"/>
    </row>
    <row r="214">
      <c r="G214" s="27"/>
      <c r="H214" s="27"/>
    </row>
    <row r="215">
      <c r="G215" s="27"/>
      <c r="H215" s="27"/>
    </row>
    <row r="216">
      <c r="G216" s="27"/>
      <c r="H216" s="27"/>
    </row>
    <row r="217">
      <c r="G217" s="27"/>
      <c r="H217" s="27"/>
    </row>
    <row r="218">
      <c r="G218" s="27"/>
      <c r="H218" s="27"/>
    </row>
    <row r="219">
      <c r="G219" s="27"/>
      <c r="H219" s="27"/>
    </row>
    <row r="220">
      <c r="G220" s="27"/>
      <c r="H220" s="27"/>
    </row>
    <row r="221">
      <c r="G221" s="27"/>
      <c r="H221" s="27"/>
    </row>
    <row r="222">
      <c r="G222" s="27"/>
      <c r="H222" s="27"/>
    </row>
    <row r="223">
      <c r="G223" s="27"/>
      <c r="H223" s="27"/>
    </row>
    <row r="224">
      <c r="G224" s="27"/>
      <c r="H224" s="27"/>
    </row>
    <row r="225">
      <c r="G225" s="27"/>
      <c r="H225" s="27"/>
    </row>
    <row r="226">
      <c r="G226" s="27"/>
      <c r="H226" s="27"/>
    </row>
    <row r="227">
      <c r="G227" s="27"/>
      <c r="H227" s="27"/>
    </row>
    <row r="228">
      <c r="G228" s="27"/>
      <c r="H228" s="27"/>
    </row>
    <row r="229">
      <c r="G229" s="27"/>
      <c r="H229" s="27"/>
    </row>
    <row r="230">
      <c r="G230" s="27"/>
      <c r="H230" s="27"/>
    </row>
    <row r="231">
      <c r="G231" s="27"/>
      <c r="H231" s="27"/>
    </row>
    <row r="232">
      <c r="G232" s="27"/>
      <c r="H232" s="27"/>
    </row>
    <row r="233">
      <c r="G233" s="27"/>
      <c r="H233" s="27"/>
    </row>
    <row r="234">
      <c r="G234" s="27"/>
      <c r="H234" s="27"/>
    </row>
    <row r="235">
      <c r="G235" s="27"/>
      <c r="H235" s="27"/>
    </row>
    <row r="236">
      <c r="G236" s="27"/>
      <c r="H236" s="27"/>
    </row>
    <row r="237">
      <c r="G237" s="27"/>
      <c r="H237" s="27"/>
    </row>
    <row r="238">
      <c r="G238" s="27"/>
      <c r="H238" s="27"/>
    </row>
    <row r="239">
      <c r="G239" s="27"/>
      <c r="H239" s="27"/>
    </row>
    <row r="240">
      <c r="G240" s="27"/>
      <c r="H240" s="27"/>
    </row>
    <row r="241">
      <c r="G241" s="27"/>
      <c r="H241" s="27"/>
    </row>
    <row r="242">
      <c r="G242" s="27"/>
      <c r="H242" s="27"/>
    </row>
    <row r="243">
      <c r="G243" s="27"/>
      <c r="H243" s="27"/>
    </row>
    <row r="244">
      <c r="G244" s="27"/>
      <c r="H244" s="27"/>
    </row>
    <row r="245">
      <c r="G245" s="27"/>
      <c r="H245" s="27"/>
    </row>
    <row r="246">
      <c r="G246" s="27"/>
      <c r="H246" s="27"/>
    </row>
    <row r="247">
      <c r="G247" s="27"/>
      <c r="H247" s="27"/>
    </row>
    <row r="248">
      <c r="G248" s="27"/>
      <c r="H248" s="27"/>
    </row>
    <row r="249">
      <c r="G249" s="27"/>
      <c r="H249" s="27"/>
    </row>
    <row r="250">
      <c r="G250" s="27"/>
      <c r="H250" s="27"/>
    </row>
    <row r="251">
      <c r="G251" s="27"/>
      <c r="H251" s="27"/>
    </row>
    <row r="252">
      <c r="G252" s="27"/>
      <c r="H252" s="27"/>
    </row>
    <row r="253">
      <c r="G253" s="27"/>
      <c r="H253" s="27"/>
    </row>
    <row r="254">
      <c r="G254" s="27"/>
      <c r="H254" s="27"/>
    </row>
    <row r="255">
      <c r="G255" s="27"/>
      <c r="H255" s="27"/>
    </row>
    <row r="256">
      <c r="G256" s="27"/>
      <c r="H256" s="27"/>
    </row>
    <row r="257">
      <c r="G257" s="27"/>
      <c r="H257" s="27"/>
    </row>
    <row r="258">
      <c r="G258" s="27"/>
      <c r="H258" s="27"/>
    </row>
    <row r="259">
      <c r="G259" s="27"/>
      <c r="H259" s="27"/>
    </row>
    <row r="260">
      <c r="G260" s="27"/>
      <c r="H260" s="27"/>
    </row>
    <row r="261">
      <c r="G261" s="27"/>
      <c r="H261" s="27"/>
    </row>
    <row r="262">
      <c r="G262" s="27"/>
      <c r="H262" s="27"/>
    </row>
    <row r="263">
      <c r="G263" s="27"/>
      <c r="H263" s="27"/>
    </row>
    <row r="264">
      <c r="G264" s="27"/>
      <c r="H264" s="27"/>
    </row>
    <row r="265">
      <c r="G265" s="27"/>
      <c r="H265" s="27"/>
    </row>
    <row r="266">
      <c r="G266" s="27"/>
      <c r="H266" s="27"/>
    </row>
    <row r="267">
      <c r="G267" s="27"/>
      <c r="H267" s="27"/>
    </row>
    <row r="268">
      <c r="G268" s="27"/>
      <c r="H268" s="27"/>
    </row>
    <row r="269">
      <c r="G269" s="27"/>
      <c r="H269" s="27"/>
    </row>
    <row r="270">
      <c r="G270" s="27"/>
      <c r="H270" s="27"/>
    </row>
    <row r="271">
      <c r="G271" s="27"/>
      <c r="H271" s="27"/>
    </row>
    <row r="272">
      <c r="G272" s="27"/>
      <c r="H272" s="27"/>
    </row>
    <row r="273">
      <c r="G273" s="27"/>
      <c r="H273" s="27"/>
    </row>
    <row r="274">
      <c r="G274" s="27"/>
      <c r="H274" s="27"/>
    </row>
    <row r="275">
      <c r="G275" s="27"/>
      <c r="H275" s="27"/>
    </row>
    <row r="276">
      <c r="G276" s="27"/>
      <c r="H276" s="27"/>
    </row>
    <row r="277">
      <c r="G277" s="27"/>
      <c r="H277" s="27"/>
    </row>
    <row r="278">
      <c r="G278" s="27"/>
      <c r="H278" s="27"/>
    </row>
    <row r="279">
      <c r="G279" s="27"/>
      <c r="H279" s="27"/>
    </row>
    <row r="280">
      <c r="G280" s="27"/>
      <c r="H280" s="27"/>
    </row>
    <row r="281">
      <c r="G281" s="27"/>
      <c r="H281" s="27"/>
    </row>
    <row r="282">
      <c r="G282" s="27"/>
      <c r="H282" s="27"/>
    </row>
    <row r="283">
      <c r="G283" s="27"/>
      <c r="H283" s="27"/>
    </row>
    <row r="284">
      <c r="G284" s="27"/>
      <c r="H284" s="27"/>
    </row>
    <row r="285">
      <c r="G285" s="27"/>
      <c r="H285" s="27"/>
    </row>
    <row r="286">
      <c r="G286" s="27"/>
      <c r="H286" s="27"/>
    </row>
    <row r="287">
      <c r="G287" s="27"/>
      <c r="H287" s="27"/>
    </row>
    <row r="288">
      <c r="G288" s="27"/>
      <c r="H288" s="27"/>
    </row>
    <row r="289">
      <c r="G289" s="27"/>
      <c r="H289" s="27"/>
    </row>
    <row r="290">
      <c r="G290" s="27"/>
      <c r="H290" s="27"/>
    </row>
    <row r="291">
      <c r="G291" s="27"/>
      <c r="H291" s="27"/>
    </row>
    <row r="292">
      <c r="G292" s="27"/>
      <c r="H292" s="27"/>
    </row>
    <row r="293">
      <c r="G293" s="27"/>
      <c r="H293" s="27"/>
    </row>
    <row r="294">
      <c r="G294" s="27"/>
      <c r="H294" s="27"/>
    </row>
    <row r="295">
      <c r="G295" s="27"/>
      <c r="H295" s="27"/>
    </row>
    <row r="296">
      <c r="G296" s="27"/>
      <c r="H296" s="27"/>
    </row>
    <row r="297">
      <c r="G297" s="27"/>
      <c r="H297" s="27"/>
    </row>
    <row r="298">
      <c r="G298" s="27"/>
      <c r="H298" s="27"/>
    </row>
    <row r="299">
      <c r="G299" s="27"/>
      <c r="H299" s="27"/>
    </row>
    <row r="300">
      <c r="G300" s="27"/>
      <c r="H300" s="27"/>
    </row>
    <row r="301">
      <c r="G301" s="27"/>
      <c r="H301" s="27"/>
    </row>
    <row r="302">
      <c r="G302" s="27"/>
      <c r="H302" s="27"/>
    </row>
    <row r="303">
      <c r="G303" s="27"/>
      <c r="H303" s="27"/>
    </row>
    <row r="304">
      <c r="G304" s="27"/>
      <c r="H304" s="27"/>
    </row>
    <row r="305">
      <c r="G305" s="27"/>
      <c r="H305" s="27"/>
    </row>
    <row r="306">
      <c r="G306" s="27"/>
      <c r="H306" s="27"/>
    </row>
    <row r="307">
      <c r="G307" s="27"/>
      <c r="H307" s="27"/>
    </row>
    <row r="308">
      <c r="G308" s="27"/>
      <c r="H308" s="27"/>
    </row>
    <row r="309">
      <c r="G309" s="27"/>
      <c r="H309" s="27"/>
    </row>
    <row r="310">
      <c r="G310" s="27"/>
      <c r="H310" s="27"/>
    </row>
    <row r="311">
      <c r="G311" s="27"/>
      <c r="H311" s="27"/>
    </row>
    <row r="312">
      <c r="G312" s="27"/>
      <c r="H312" s="27"/>
    </row>
    <row r="313">
      <c r="G313" s="27"/>
      <c r="H313" s="27"/>
    </row>
    <row r="314">
      <c r="G314" s="27"/>
      <c r="H314" s="27"/>
    </row>
    <row r="315">
      <c r="G315" s="27"/>
      <c r="H315" s="27"/>
    </row>
    <row r="316">
      <c r="G316" s="27"/>
      <c r="H316" s="27"/>
    </row>
    <row r="317">
      <c r="G317" s="27"/>
      <c r="H317" s="27"/>
    </row>
    <row r="318">
      <c r="G318" s="27"/>
      <c r="H318" s="27"/>
    </row>
    <row r="319">
      <c r="G319" s="27"/>
      <c r="H319" s="27"/>
    </row>
    <row r="320">
      <c r="G320" s="27"/>
      <c r="H320" s="27"/>
    </row>
    <row r="321">
      <c r="G321" s="27"/>
      <c r="H321" s="27"/>
    </row>
    <row r="322">
      <c r="G322" s="27"/>
      <c r="H322" s="27"/>
    </row>
    <row r="323">
      <c r="G323" s="27"/>
      <c r="H323" s="27"/>
    </row>
    <row r="324">
      <c r="G324" s="27"/>
      <c r="H324" s="27"/>
    </row>
    <row r="325">
      <c r="G325" s="27"/>
      <c r="H325" s="27"/>
    </row>
    <row r="326">
      <c r="G326" s="27"/>
      <c r="H326" s="27"/>
    </row>
    <row r="327">
      <c r="G327" s="27"/>
      <c r="H327" s="27"/>
    </row>
    <row r="328">
      <c r="G328" s="27"/>
      <c r="H328" s="27"/>
    </row>
    <row r="329">
      <c r="G329" s="27"/>
      <c r="H329" s="27"/>
    </row>
    <row r="330">
      <c r="G330" s="27"/>
      <c r="H330" s="27"/>
    </row>
    <row r="331">
      <c r="G331" s="27"/>
      <c r="H331" s="27"/>
    </row>
    <row r="332">
      <c r="G332" s="27"/>
      <c r="H332" s="27"/>
    </row>
    <row r="333">
      <c r="G333" s="27"/>
      <c r="H333" s="27"/>
    </row>
    <row r="334">
      <c r="G334" s="27"/>
      <c r="H334" s="27"/>
    </row>
    <row r="335">
      <c r="G335" s="27"/>
      <c r="H335" s="27"/>
    </row>
    <row r="336">
      <c r="G336" s="27"/>
      <c r="H336" s="27"/>
    </row>
    <row r="337">
      <c r="G337" s="27"/>
      <c r="H337" s="27"/>
    </row>
    <row r="338">
      <c r="G338" s="27"/>
      <c r="H338" s="27"/>
    </row>
    <row r="339">
      <c r="G339" s="27"/>
      <c r="H339" s="27"/>
    </row>
    <row r="340">
      <c r="G340" s="27"/>
      <c r="H340" s="27"/>
    </row>
    <row r="341">
      <c r="G341" s="27"/>
      <c r="H341" s="27"/>
    </row>
    <row r="342">
      <c r="G342" s="27"/>
      <c r="H342" s="27"/>
    </row>
    <row r="343">
      <c r="G343" s="27"/>
      <c r="H343" s="27"/>
    </row>
    <row r="344">
      <c r="G344" s="27"/>
      <c r="H344" s="27"/>
    </row>
    <row r="345">
      <c r="G345" s="27"/>
      <c r="H345" s="27"/>
    </row>
    <row r="346">
      <c r="G346" s="27"/>
      <c r="H346" s="27"/>
    </row>
    <row r="347">
      <c r="G347" s="27"/>
      <c r="H347" s="27"/>
    </row>
    <row r="348">
      <c r="G348" s="27"/>
      <c r="H348" s="27"/>
    </row>
    <row r="349">
      <c r="G349" s="27"/>
      <c r="H349" s="27"/>
    </row>
    <row r="350">
      <c r="G350" s="27"/>
      <c r="H350" s="27"/>
    </row>
    <row r="351">
      <c r="G351" s="27"/>
      <c r="H351" s="27"/>
    </row>
    <row r="352">
      <c r="G352" s="27"/>
      <c r="H352" s="27"/>
    </row>
    <row r="353">
      <c r="G353" s="27"/>
      <c r="H353" s="27"/>
    </row>
    <row r="354">
      <c r="G354" s="27"/>
      <c r="H354" s="27"/>
    </row>
    <row r="355">
      <c r="G355" s="27"/>
      <c r="H355" s="27"/>
    </row>
    <row r="356">
      <c r="G356" s="27"/>
      <c r="H356" s="27"/>
    </row>
    <row r="357">
      <c r="G357" s="27"/>
      <c r="H357" s="27"/>
    </row>
    <row r="358">
      <c r="G358" s="27"/>
      <c r="H358" s="27"/>
    </row>
    <row r="359">
      <c r="G359" s="27"/>
      <c r="H359" s="27"/>
    </row>
    <row r="360">
      <c r="G360" s="27"/>
      <c r="H360" s="27"/>
    </row>
    <row r="361">
      <c r="G361" s="27"/>
      <c r="H361" s="27"/>
    </row>
    <row r="362">
      <c r="G362" s="27"/>
      <c r="H362" s="27"/>
    </row>
    <row r="363">
      <c r="G363" s="27"/>
      <c r="H363" s="27"/>
    </row>
    <row r="364">
      <c r="G364" s="27"/>
      <c r="H364" s="27"/>
    </row>
    <row r="365">
      <c r="G365" s="27"/>
      <c r="H365" s="27"/>
    </row>
    <row r="366">
      <c r="G366" s="27"/>
      <c r="H366" s="27"/>
    </row>
    <row r="367">
      <c r="G367" s="27"/>
      <c r="H367" s="27"/>
    </row>
    <row r="368">
      <c r="G368" s="27"/>
      <c r="H368" s="27"/>
    </row>
    <row r="369">
      <c r="G369" s="27"/>
      <c r="H369" s="27"/>
    </row>
    <row r="370">
      <c r="G370" s="27"/>
      <c r="H370" s="27"/>
    </row>
    <row r="371">
      <c r="G371" s="27"/>
      <c r="H371" s="27"/>
    </row>
    <row r="372">
      <c r="G372" s="27"/>
      <c r="H372" s="27"/>
    </row>
    <row r="373">
      <c r="G373" s="27"/>
      <c r="H373" s="27"/>
    </row>
    <row r="374">
      <c r="G374" s="27"/>
      <c r="H374" s="27"/>
    </row>
    <row r="375">
      <c r="G375" s="27"/>
      <c r="H375" s="27"/>
    </row>
    <row r="376">
      <c r="G376" s="27"/>
      <c r="H376" s="27"/>
    </row>
    <row r="377">
      <c r="G377" s="27"/>
      <c r="H377" s="27"/>
    </row>
    <row r="378">
      <c r="G378" s="27"/>
      <c r="H378" s="27"/>
    </row>
    <row r="379">
      <c r="G379" s="27"/>
      <c r="H379" s="27"/>
    </row>
    <row r="380">
      <c r="G380" s="27"/>
      <c r="H380" s="27"/>
    </row>
    <row r="381">
      <c r="G381" s="27"/>
      <c r="H381" s="27"/>
    </row>
    <row r="382">
      <c r="G382" s="27"/>
      <c r="H382" s="27"/>
    </row>
    <row r="383">
      <c r="G383" s="27"/>
      <c r="H383" s="27"/>
    </row>
    <row r="384">
      <c r="G384" s="27"/>
      <c r="H384" s="27"/>
    </row>
    <row r="385">
      <c r="G385" s="27"/>
      <c r="H385" s="27"/>
    </row>
    <row r="386">
      <c r="G386" s="27"/>
      <c r="H386" s="27"/>
    </row>
    <row r="387">
      <c r="G387" s="27"/>
      <c r="H387" s="27"/>
    </row>
    <row r="388">
      <c r="G388" s="27"/>
      <c r="H388" s="27"/>
    </row>
    <row r="389">
      <c r="G389" s="27"/>
      <c r="H389" s="27"/>
    </row>
    <row r="390">
      <c r="G390" s="27"/>
      <c r="H390" s="27"/>
    </row>
    <row r="391">
      <c r="G391" s="27"/>
      <c r="H391" s="27"/>
    </row>
    <row r="392">
      <c r="G392" s="27"/>
      <c r="H392" s="27"/>
    </row>
    <row r="393">
      <c r="G393" s="27"/>
      <c r="H393" s="27"/>
    </row>
    <row r="394">
      <c r="G394" s="27"/>
      <c r="H394" s="27"/>
    </row>
    <row r="395">
      <c r="G395" s="27"/>
      <c r="H395" s="27"/>
    </row>
    <row r="396">
      <c r="G396" s="27"/>
      <c r="H396" s="27"/>
    </row>
    <row r="397">
      <c r="G397" s="27"/>
      <c r="H397" s="27"/>
    </row>
    <row r="398">
      <c r="G398" s="27"/>
      <c r="H398" s="27"/>
    </row>
    <row r="399">
      <c r="G399" s="27"/>
      <c r="H399" s="27"/>
    </row>
    <row r="400">
      <c r="G400" s="27"/>
      <c r="H400" s="27"/>
    </row>
    <row r="401">
      <c r="G401" s="27"/>
      <c r="H401" s="27"/>
    </row>
    <row r="402">
      <c r="G402" s="27"/>
      <c r="H402" s="27"/>
    </row>
    <row r="403">
      <c r="G403" s="27"/>
      <c r="H403" s="27"/>
    </row>
    <row r="404">
      <c r="G404" s="27"/>
      <c r="H404" s="27"/>
    </row>
    <row r="405">
      <c r="G405" s="27"/>
      <c r="H405" s="27"/>
    </row>
    <row r="406">
      <c r="G406" s="27"/>
      <c r="H406" s="27"/>
    </row>
    <row r="407">
      <c r="G407" s="27"/>
      <c r="H407" s="27"/>
    </row>
    <row r="408">
      <c r="G408" s="27"/>
      <c r="H408" s="27"/>
    </row>
    <row r="409">
      <c r="G409" s="27"/>
      <c r="H409" s="27"/>
    </row>
    <row r="410">
      <c r="G410" s="27"/>
      <c r="H410" s="27"/>
    </row>
    <row r="411">
      <c r="G411" s="27"/>
      <c r="H411" s="27"/>
    </row>
    <row r="412">
      <c r="G412" s="27"/>
      <c r="H412" s="27"/>
    </row>
    <row r="413">
      <c r="G413" s="27"/>
      <c r="H413" s="27"/>
    </row>
    <row r="414">
      <c r="G414" s="27"/>
      <c r="H414" s="27"/>
    </row>
    <row r="415">
      <c r="G415" s="27"/>
      <c r="H415" s="27"/>
    </row>
    <row r="416">
      <c r="G416" s="27"/>
      <c r="H416" s="27"/>
    </row>
    <row r="417">
      <c r="G417" s="27"/>
      <c r="H417" s="27"/>
    </row>
    <row r="418">
      <c r="G418" s="27"/>
      <c r="H418" s="27"/>
    </row>
    <row r="419">
      <c r="G419" s="27"/>
      <c r="H419" s="27"/>
    </row>
    <row r="420">
      <c r="G420" s="27"/>
      <c r="H420" s="27"/>
    </row>
    <row r="421">
      <c r="G421" s="27"/>
      <c r="H421" s="27"/>
    </row>
    <row r="422">
      <c r="G422" s="27"/>
      <c r="H422" s="27"/>
    </row>
    <row r="423">
      <c r="G423" s="27"/>
      <c r="H423" s="27"/>
    </row>
    <row r="424">
      <c r="G424" s="27"/>
      <c r="H424" s="27"/>
    </row>
    <row r="425">
      <c r="G425" s="27"/>
      <c r="H425" s="27"/>
    </row>
    <row r="426">
      <c r="G426" s="27"/>
      <c r="H426" s="27"/>
    </row>
    <row r="427">
      <c r="G427" s="27"/>
      <c r="H427" s="27"/>
    </row>
    <row r="428">
      <c r="G428" s="27"/>
      <c r="H428" s="27"/>
    </row>
    <row r="429">
      <c r="G429" s="27"/>
      <c r="H429" s="27"/>
    </row>
    <row r="430">
      <c r="G430" s="27"/>
      <c r="H430" s="27"/>
    </row>
    <row r="431">
      <c r="G431" s="27"/>
      <c r="H431" s="27"/>
    </row>
    <row r="432">
      <c r="G432" s="27"/>
      <c r="H432" s="27"/>
    </row>
    <row r="433">
      <c r="G433" s="27"/>
      <c r="H433" s="27"/>
    </row>
    <row r="434">
      <c r="G434" s="27"/>
      <c r="H434" s="27"/>
    </row>
    <row r="435">
      <c r="G435" s="27"/>
      <c r="H435" s="27"/>
    </row>
    <row r="436">
      <c r="G436" s="27"/>
      <c r="H436" s="27"/>
    </row>
    <row r="437">
      <c r="G437" s="27"/>
      <c r="H437" s="27"/>
    </row>
    <row r="438">
      <c r="G438" s="27"/>
      <c r="H438" s="27"/>
    </row>
    <row r="439">
      <c r="G439" s="27"/>
      <c r="H439" s="27"/>
    </row>
    <row r="440">
      <c r="G440" s="27"/>
      <c r="H440" s="27"/>
    </row>
    <row r="441">
      <c r="G441" s="27"/>
      <c r="H441" s="27"/>
    </row>
    <row r="442">
      <c r="G442" s="27"/>
      <c r="H442" s="27"/>
    </row>
    <row r="443">
      <c r="G443" s="27"/>
      <c r="H443" s="27"/>
    </row>
    <row r="444">
      <c r="G444" s="27"/>
      <c r="H444" s="27"/>
    </row>
    <row r="445">
      <c r="G445" s="27"/>
      <c r="H445" s="27"/>
    </row>
    <row r="446">
      <c r="G446" s="27"/>
      <c r="H446" s="27"/>
    </row>
    <row r="447">
      <c r="G447" s="27"/>
      <c r="H447" s="27"/>
    </row>
    <row r="448">
      <c r="G448" s="27"/>
      <c r="H448" s="27"/>
    </row>
    <row r="449">
      <c r="G449" s="27"/>
      <c r="H449" s="27"/>
    </row>
    <row r="450">
      <c r="G450" s="27"/>
      <c r="H450" s="27"/>
    </row>
    <row r="451">
      <c r="G451" s="27"/>
      <c r="H451" s="27"/>
    </row>
    <row r="452">
      <c r="G452" s="27"/>
      <c r="H452" s="27"/>
    </row>
    <row r="453">
      <c r="G453" s="27"/>
      <c r="H453" s="27"/>
    </row>
    <row r="454">
      <c r="G454" s="27"/>
      <c r="H454" s="27"/>
    </row>
    <row r="455">
      <c r="G455" s="27"/>
      <c r="H455" s="27"/>
    </row>
    <row r="456">
      <c r="G456" s="27"/>
      <c r="H456" s="27"/>
    </row>
    <row r="457">
      <c r="G457" s="27"/>
      <c r="H457" s="27"/>
    </row>
    <row r="458">
      <c r="G458" s="27"/>
      <c r="H458" s="27"/>
    </row>
    <row r="459">
      <c r="G459" s="27"/>
      <c r="H459" s="27"/>
    </row>
    <row r="460">
      <c r="G460" s="27"/>
      <c r="H460" s="27"/>
    </row>
    <row r="461">
      <c r="G461" s="27"/>
      <c r="H461" s="27"/>
    </row>
    <row r="462">
      <c r="G462" s="27"/>
      <c r="H462" s="27"/>
    </row>
    <row r="463">
      <c r="G463" s="27"/>
      <c r="H463" s="27"/>
    </row>
    <row r="464">
      <c r="G464" s="27"/>
      <c r="H464" s="27"/>
    </row>
    <row r="465">
      <c r="G465" s="27"/>
      <c r="H465" s="27"/>
    </row>
    <row r="466">
      <c r="G466" s="27"/>
      <c r="H466" s="27"/>
    </row>
    <row r="467">
      <c r="G467" s="27"/>
      <c r="H467" s="27"/>
    </row>
    <row r="468">
      <c r="G468" s="27"/>
      <c r="H468" s="27"/>
    </row>
    <row r="469">
      <c r="G469" s="27"/>
      <c r="H469" s="27"/>
    </row>
    <row r="470">
      <c r="G470" s="27"/>
      <c r="H470" s="27"/>
    </row>
    <row r="471">
      <c r="G471" s="27"/>
      <c r="H471" s="27"/>
    </row>
    <row r="472">
      <c r="G472" s="27"/>
      <c r="H472" s="27"/>
    </row>
    <row r="473">
      <c r="G473" s="27"/>
      <c r="H473" s="27"/>
    </row>
    <row r="474">
      <c r="G474" s="27"/>
      <c r="H474" s="27"/>
    </row>
    <row r="475">
      <c r="G475" s="27"/>
      <c r="H475" s="27"/>
    </row>
    <row r="476">
      <c r="G476" s="27"/>
      <c r="H476" s="27"/>
    </row>
    <row r="477">
      <c r="G477" s="27"/>
      <c r="H477" s="27"/>
    </row>
    <row r="478">
      <c r="G478" s="27"/>
      <c r="H478" s="27"/>
    </row>
    <row r="479">
      <c r="G479" s="27"/>
      <c r="H479" s="27"/>
    </row>
    <row r="480">
      <c r="G480" s="27"/>
      <c r="H480" s="27"/>
    </row>
    <row r="481">
      <c r="G481" s="27"/>
      <c r="H481" s="27"/>
    </row>
    <row r="482">
      <c r="G482" s="27"/>
      <c r="H482" s="27"/>
    </row>
    <row r="483">
      <c r="G483" s="27"/>
      <c r="H483" s="27"/>
    </row>
    <row r="484">
      <c r="G484" s="27"/>
      <c r="H484" s="27"/>
    </row>
    <row r="485">
      <c r="G485" s="27"/>
      <c r="H485" s="27"/>
    </row>
    <row r="486">
      <c r="G486" s="27"/>
      <c r="H486" s="27"/>
    </row>
    <row r="487">
      <c r="G487" s="27"/>
      <c r="H487" s="27"/>
    </row>
    <row r="488">
      <c r="G488" s="27"/>
      <c r="H488" s="27"/>
    </row>
    <row r="489">
      <c r="G489" s="27"/>
      <c r="H489" s="27"/>
    </row>
    <row r="490">
      <c r="G490" s="27"/>
      <c r="H490" s="27"/>
    </row>
    <row r="491">
      <c r="G491" s="27"/>
      <c r="H491" s="27"/>
    </row>
    <row r="492">
      <c r="G492" s="27"/>
      <c r="H492" s="27"/>
    </row>
    <row r="493">
      <c r="G493" s="27"/>
      <c r="H493" s="27"/>
    </row>
    <row r="494">
      <c r="G494" s="27"/>
      <c r="H494" s="27"/>
    </row>
    <row r="495">
      <c r="G495" s="27"/>
      <c r="H495" s="27"/>
    </row>
    <row r="496">
      <c r="G496" s="27"/>
      <c r="H496" s="27"/>
    </row>
    <row r="497">
      <c r="G497" s="27"/>
      <c r="H497" s="27"/>
    </row>
    <row r="498">
      <c r="G498" s="27"/>
      <c r="H498" s="27"/>
    </row>
    <row r="499">
      <c r="G499" s="27"/>
      <c r="H499" s="27"/>
    </row>
    <row r="500">
      <c r="G500" s="27"/>
      <c r="H500" s="27"/>
    </row>
    <row r="501">
      <c r="G501" s="27"/>
      <c r="H501" s="27"/>
    </row>
    <row r="502">
      <c r="G502" s="27"/>
      <c r="H502" s="27"/>
    </row>
    <row r="503">
      <c r="G503" s="27"/>
      <c r="H503" s="27"/>
    </row>
    <row r="504">
      <c r="G504" s="27"/>
      <c r="H504" s="27"/>
    </row>
    <row r="505">
      <c r="G505" s="27"/>
      <c r="H505" s="27"/>
    </row>
    <row r="506">
      <c r="G506" s="27"/>
      <c r="H506" s="27"/>
    </row>
    <row r="507">
      <c r="G507" s="27"/>
      <c r="H507" s="27"/>
    </row>
    <row r="508">
      <c r="G508" s="27"/>
      <c r="H508" s="27"/>
    </row>
    <row r="509">
      <c r="G509" s="27"/>
      <c r="H509" s="27"/>
    </row>
    <row r="510">
      <c r="G510" s="27"/>
      <c r="H510" s="27"/>
    </row>
    <row r="511">
      <c r="G511" s="27"/>
      <c r="H511" s="27"/>
    </row>
    <row r="512">
      <c r="G512" s="27"/>
      <c r="H512" s="27"/>
    </row>
    <row r="513">
      <c r="G513" s="27"/>
      <c r="H513" s="27"/>
    </row>
    <row r="514">
      <c r="G514" s="27"/>
      <c r="H514" s="27"/>
    </row>
    <row r="515">
      <c r="G515" s="27"/>
      <c r="H515" s="27"/>
    </row>
    <row r="516">
      <c r="G516" s="27"/>
      <c r="H516" s="27"/>
    </row>
    <row r="517">
      <c r="G517" s="27"/>
      <c r="H517" s="27"/>
    </row>
    <row r="518">
      <c r="G518" s="27"/>
      <c r="H518" s="27"/>
    </row>
    <row r="519">
      <c r="G519" s="27"/>
      <c r="H519" s="27"/>
    </row>
    <row r="520">
      <c r="G520" s="27"/>
      <c r="H520" s="27"/>
    </row>
    <row r="521">
      <c r="G521" s="27"/>
      <c r="H521" s="27"/>
    </row>
    <row r="522">
      <c r="G522" s="27"/>
      <c r="H522" s="27"/>
    </row>
    <row r="523">
      <c r="G523" s="27"/>
      <c r="H523" s="27"/>
    </row>
    <row r="524">
      <c r="G524" s="27"/>
      <c r="H524" s="27"/>
    </row>
    <row r="525">
      <c r="G525" s="27"/>
      <c r="H525" s="27"/>
    </row>
    <row r="526">
      <c r="G526" s="27"/>
      <c r="H526" s="27"/>
    </row>
    <row r="527">
      <c r="G527" s="27"/>
      <c r="H527" s="27"/>
    </row>
    <row r="528">
      <c r="G528" s="27"/>
      <c r="H528" s="27"/>
    </row>
    <row r="529">
      <c r="G529" s="27"/>
      <c r="H529" s="27"/>
    </row>
    <row r="530">
      <c r="G530" s="27"/>
      <c r="H530" s="27"/>
    </row>
    <row r="531">
      <c r="G531" s="27"/>
      <c r="H531" s="27"/>
    </row>
    <row r="532">
      <c r="G532" s="27"/>
      <c r="H532" s="27"/>
    </row>
    <row r="533">
      <c r="G533" s="27"/>
      <c r="H533" s="27"/>
    </row>
    <row r="534">
      <c r="G534" s="27"/>
      <c r="H534" s="27"/>
    </row>
    <row r="535">
      <c r="G535" s="27"/>
      <c r="H535" s="27"/>
    </row>
    <row r="536">
      <c r="G536" s="27"/>
      <c r="H536" s="27"/>
    </row>
    <row r="537">
      <c r="G537" s="27"/>
      <c r="H537" s="27"/>
    </row>
    <row r="538">
      <c r="G538" s="27"/>
      <c r="H538" s="27"/>
    </row>
    <row r="539">
      <c r="G539" s="27"/>
      <c r="H539" s="27"/>
    </row>
    <row r="540">
      <c r="G540" s="27"/>
      <c r="H540" s="27"/>
    </row>
    <row r="541">
      <c r="G541" s="27"/>
      <c r="H541" s="27"/>
    </row>
    <row r="542">
      <c r="G542" s="27"/>
      <c r="H542" s="27"/>
    </row>
    <row r="543">
      <c r="G543" s="27"/>
      <c r="H543" s="27"/>
    </row>
    <row r="544">
      <c r="G544" s="27"/>
      <c r="H544" s="27"/>
    </row>
    <row r="545">
      <c r="G545" s="27"/>
      <c r="H545" s="27"/>
    </row>
    <row r="546">
      <c r="G546" s="27"/>
      <c r="H546" s="27"/>
    </row>
    <row r="547">
      <c r="G547" s="27"/>
      <c r="H547" s="27"/>
    </row>
    <row r="548">
      <c r="G548" s="27"/>
      <c r="H548" s="27"/>
    </row>
    <row r="549">
      <c r="G549" s="27"/>
      <c r="H549" s="27"/>
    </row>
    <row r="550">
      <c r="G550" s="27"/>
      <c r="H550" s="27"/>
    </row>
    <row r="551">
      <c r="G551" s="27"/>
      <c r="H551" s="27"/>
    </row>
    <row r="552">
      <c r="G552" s="27"/>
      <c r="H552" s="27"/>
    </row>
    <row r="553">
      <c r="G553" s="27"/>
      <c r="H553" s="27"/>
    </row>
    <row r="554">
      <c r="G554" s="27"/>
      <c r="H554" s="27"/>
    </row>
    <row r="555">
      <c r="G555" s="27"/>
      <c r="H555" s="27"/>
    </row>
    <row r="556">
      <c r="G556" s="27"/>
      <c r="H556" s="27"/>
    </row>
    <row r="557">
      <c r="G557" s="27"/>
      <c r="H557" s="27"/>
    </row>
    <row r="558">
      <c r="G558" s="27"/>
      <c r="H558" s="27"/>
    </row>
    <row r="559">
      <c r="G559" s="27"/>
      <c r="H559" s="27"/>
    </row>
    <row r="560">
      <c r="G560" s="27"/>
      <c r="H560" s="27"/>
    </row>
    <row r="561">
      <c r="G561" s="27"/>
      <c r="H561" s="27"/>
    </row>
    <row r="562">
      <c r="G562" s="27"/>
      <c r="H562" s="27"/>
    </row>
    <row r="563">
      <c r="G563" s="27"/>
      <c r="H563" s="27"/>
    </row>
    <row r="564">
      <c r="G564" s="27"/>
      <c r="H564" s="27"/>
    </row>
    <row r="565">
      <c r="G565" s="27"/>
      <c r="H565" s="27"/>
    </row>
    <row r="566">
      <c r="G566" s="27"/>
      <c r="H566" s="27"/>
    </row>
    <row r="567">
      <c r="G567" s="27"/>
      <c r="H567" s="27"/>
    </row>
    <row r="568">
      <c r="G568" s="27"/>
      <c r="H568" s="27"/>
    </row>
    <row r="569">
      <c r="G569" s="27"/>
      <c r="H569" s="27"/>
    </row>
    <row r="570">
      <c r="G570" s="27"/>
      <c r="H570" s="27"/>
    </row>
    <row r="571">
      <c r="G571" s="27"/>
      <c r="H571" s="27"/>
    </row>
    <row r="572">
      <c r="G572" s="27"/>
      <c r="H572" s="27"/>
    </row>
    <row r="573">
      <c r="G573" s="27"/>
      <c r="H573" s="27"/>
    </row>
    <row r="574">
      <c r="G574" s="27"/>
      <c r="H574" s="27"/>
    </row>
    <row r="575">
      <c r="G575" s="27"/>
      <c r="H575" s="27"/>
    </row>
    <row r="576">
      <c r="G576" s="27"/>
      <c r="H576" s="27"/>
    </row>
    <row r="577">
      <c r="G577" s="27"/>
      <c r="H577" s="27"/>
    </row>
    <row r="578">
      <c r="G578" s="27"/>
      <c r="H578" s="27"/>
    </row>
    <row r="579">
      <c r="G579" s="27"/>
      <c r="H579" s="27"/>
    </row>
    <row r="580">
      <c r="G580" s="27"/>
      <c r="H580" s="27"/>
    </row>
    <row r="581">
      <c r="G581" s="27"/>
      <c r="H581" s="27"/>
    </row>
    <row r="582">
      <c r="G582" s="27"/>
      <c r="H582" s="27"/>
    </row>
    <row r="583">
      <c r="G583" s="27"/>
      <c r="H583" s="27"/>
    </row>
    <row r="584">
      <c r="G584" s="27"/>
      <c r="H584" s="27"/>
    </row>
    <row r="585">
      <c r="G585" s="27"/>
      <c r="H585" s="27"/>
    </row>
    <row r="586">
      <c r="G586" s="27"/>
      <c r="H586" s="27"/>
    </row>
    <row r="587">
      <c r="G587" s="27"/>
      <c r="H587" s="27"/>
    </row>
    <row r="588">
      <c r="G588" s="27"/>
      <c r="H588" s="27"/>
    </row>
    <row r="589">
      <c r="G589" s="27"/>
      <c r="H589" s="27"/>
    </row>
    <row r="590">
      <c r="G590" s="27"/>
      <c r="H590" s="27"/>
    </row>
    <row r="591">
      <c r="G591" s="27"/>
      <c r="H591" s="27"/>
    </row>
    <row r="592">
      <c r="G592" s="27"/>
      <c r="H592" s="27"/>
    </row>
    <row r="593">
      <c r="G593" s="27"/>
      <c r="H593" s="27"/>
    </row>
    <row r="594">
      <c r="G594" s="27"/>
      <c r="H594" s="27"/>
    </row>
    <row r="595">
      <c r="G595" s="27"/>
      <c r="H595" s="27"/>
    </row>
    <row r="596">
      <c r="G596" s="27"/>
      <c r="H596" s="27"/>
    </row>
    <row r="597">
      <c r="G597" s="27"/>
      <c r="H597" s="27"/>
    </row>
    <row r="598">
      <c r="G598" s="27"/>
      <c r="H598" s="27"/>
    </row>
    <row r="599">
      <c r="G599" s="27"/>
      <c r="H599" s="27"/>
    </row>
    <row r="600">
      <c r="G600" s="27"/>
      <c r="H600" s="27"/>
    </row>
    <row r="601">
      <c r="G601" s="27"/>
      <c r="H601" s="27"/>
    </row>
    <row r="602">
      <c r="G602" s="27"/>
      <c r="H602" s="27"/>
    </row>
    <row r="603">
      <c r="G603" s="27"/>
      <c r="H603" s="27"/>
    </row>
    <row r="604">
      <c r="G604" s="27"/>
      <c r="H604" s="27"/>
    </row>
    <row r="605">
      <c r="G605" s="27"/>
      <c r="H605" s="27"/>
    </row>
    <row r="606">
      <c r="G606" s="27"/>
      <c r="H606" s="27"/>
    </row>
    <row r="607">
      <c r="G607" s="27"/>
      <c r="H607" s="27"/>
    </row>
    <row r="608">
      <c r="G608" s="27"/>
      <c r="H608" s="27"/>
    </row>
    <row r="609">
      <c r="G609" s="27"/>
      <c r="H609" s="27"/>
    </row>
    <row r="610">
      <c r="G610" s="27"/>
      <c r="H610" s="27"/>
    </row>
    <row r="611">
      <c r="G611" s="27"/>
      <c r="H611" s="27"/>
    </row>
    <row r="612">
      <c r="G612" s="27"/>
      <c r="H612" s="27"/>
    </row>
    <row r="613">
      <c r="G613" s="27"/>
      <c r="H613" s="27"/>
    </row>
    <row r="614">
      <c r="G614" s="27"/>
      <c r="H614" s="27"/>
    </row>
    <row r="615">
      <c r="G615" s="27"/>
      <c r="H615" s="27"/>
    </row>
    <row r="616">
      <c r="G616" s="27"/>
      <c r="H616" s="27"/>
    </row>
    <row r="617">
      <c r="G617" s="27"/>
      <c r="H617" s="27"/>
    </row>
    <row r="618">
      <c r="G618" s="27"/>
      <c r="H618" s="27"/>
    </row>
    <row r="619">
      <c r="G619" s="27"/>
      <c r="H619" s="27"/>
    </row>
    <row r="620">
      <c r="G620" s="27"/>
      <c r="H620" s="27"/>
    </row>
    <row r="621">
      <c r="G621" s="27"/>
      <c r="H621" s="27"/>
    </row>
    <row r="622">
      <c r="G622" s="27"/>
      <c r="H622" s="27"/>
    </row>
    <row r="623">
      <c r="G623" s="27"/>
      <c r="H623" s="27"/>
    </row>
    <row r="624">
      <c r="G624" s="27"/>
      <c r="H624" s="27"/>
    </row>
    <row r="625">
      <c r="G625" s="27"/>
      <c r="H625" s="27"/>
    </row>
    <row r="626">
      <c r="G626" s="27"/>
      <c r="H626" s="27"/>
    </row>
    <row r="627">
      <c r="G627" s="27"/>
      <c r="H627" s="27"/>
    </row>
    <row r="628">
      <c r="G628" s="27"/>
      <c r="H628" s="27"/>
    </row>
    <row r="629">
      <c r="G629" s="27"/>
      <c r="H629" s="27"/>
    </row>
    <row r="630">
      <c r="G630" s="27"/>
      <c r="H630" s="27"/>
    </row>
    <row r="631">
      <c r="G631" s="27"/>
      <c r="H631" s="27"/>
    </row>
    <row r="632">
      <c r="G632" s="27"/>
      <c r="H632" s="27"/>
    </row>
    <row r="633">
      <c r="G633" s="27"/>
      <c r="H633" s="27"/>
    </row>
    <row r="634">
      <c r="G634" s="27"/>
      <c r="H634" s="27"/>
    </row>
    <row r="635">
      <c r="G635" s="27"/>
      <c r="H635" s="27"/>
    </row>
    <row r="636">
      <c r="G636" s="27"/>
      <c r="H636" s="27"/>
    </row>
    <row r="637">
      <c r="G637" s="27"/>
      <c r="H637" s="27"/>
    </row>
    <row r="638">
      <c r="G638" s="27"/>
      <c r="H638" s="27"/>
    </row>
    <row r="639">
      <c r="G639" s="27"/>
      <c r="H639" s="27"/>
    </row>
    <row r="640">
      <c r="G640" s="27"/>
      <c r="H640" s="27"/>
    </row>
    <row r="641">
      <c r="G641" s="27"/>
      <c r="H641" s="27"/>
    </row>
    <row r="642">
      <c r="G642" s="27"/>
      <c r="H642" s="27"/>
    </row>
    <row r="643">
      <c r="G643" s="27"/>
      <c r="H643" s="27"/>
    </row>
    <row r="644">
      <c r="G644" s="27"/>
      <c r="H644" s="27"/>
    </row>
    <row r="645">
      <c r="G645" s="27"/>
      <c r="H645" s="27"/>
    </row>
    <row r="646">
      <c r="G646" s="27"/>
      <c r="H646" s="27"/>
    </row>
    <row r="647">
      <c r="G647" s="27"/>
      <c r="H647" s="27"/>
    </row>
    <row r="648">
      <c r="G648" s="27"/>
      <c r="H648" s="27"/>
    </row>
    <row r="649">
      <c r="G649" s="27"/>
      <c r="H649" s="27"/>
    </row>
    <row r="650">
      <c r="G650" s="27"/>
      <c r="H650" s="27"/>
    </row>
    <row r="651">
      <c r="G651" s="27"/>
      <c r="H651" s="27"/>
    </row>
    <row r="652">
      <c r="G652" s="27"/>
      <c r="H652" s="27"/>
    </row>
    <row r="653">
      <c r="G653" s="27"/>
      <c r="H653" s="27"/>
    </row>
    <row r="654">
      <c r="G654" s="27"/>
      <c r="H654" s="27"/>
    </row>
    <row r="655">
      <c r="G655" s="27"/>
      <c r="H655" s="27"/>
    </row>
    <row r="656">
      <c r="G656" s="27"/>
      <c r="H656" s="27"/>
    </row>
    <row r="657">
      <c r="G657" s="27"/>
      <c r="H657" s="27"/>
    </row>
    <row r="658">
      <c r="G658" s="27"/>
      <c r="H658" s="27"/>
    </row>
    <row r="659">
      <c r="G659" s="27"/>
      <c r="H659" s="27"/>
    </row>
    <row r="660">
      <c r="G660" s="27"/>
      <c r="H660" s="27"/>
    </row>
    <row r="661">
      <c r="G661" s="27"/>
      <c r="H661" s="27"/>
    </row>
    <row r="662">
      <c r="G662" s="27"/>
      <c r="H662" s="27"/>
    </row>
    <row r="663">
      <c r="G663" s="27"/>
      <c r="H663" s="27"/>
    </row>
    <row r="664">
      <c r="G664" s="27"/>
      <c r="H664" s="27"/>
    </row>
    <row r="665">
      <c r="G665" s="27"/>
      <c r="H665" s="27"/>
    </row>
    <row r="666">
      <c r="G666" s="27"/>
      <c r="H666" s="27"/>
    </row>
    <row r="667">
      <c r="G667" s="27"/>
      <c r="H667" s="27"/>
    </row>
    <row r="668">
      <c r="G668" s="27"/>
      <c r="H668" s="27"/>
    </row>
    <row r="669">
      <c r="G669" s="27"/>
      <c r="H669" s="27"/>
    </row>
    <row r="670">
      <c r="G670" s="27"/>
      <c r="H670" s="27"/>
    </row>
    <row r="671">
      <c r="G671" s="27"/>
      <c r="H671" s="27"/>
    </row>
    <row r="672">
      <c r="G672" s="27"/>
      <c r="H672" s="27"/>
    </row>
    <row r="673">
      <c r="G673" s="27"/>
      <c r="H673" s="27"/>
    </row>
    <row r="674">
      <c r="G674" s="27"/>
      <c r="H674" s="27"/>
    </row>
    <row r="675">
      <c r="G675" s="27"/>
      <c r="H675" s="27"/>
    </row>
    <row r="676">
      <c r="G676" s="27"/>
      <c r="H676" s="27"/>
    </row>
    <row r="677">
      <c r="G677" s="27"/>
      <c r="H677" s="27"/>
    </row>
    <row r="678">
      <c r="G678" s="27"/>
      <c r="H678" s="27"/>
    </row>
    <row r="679">
      <c r="G679" s="27"/>
      <c r="H679" s="27"/>
    </row>
    <row r="680">
      <c r="G680" s="27"/>
      <c r="H680" s="27"/>
    </row>
    <row r="681">
      <c r="G681" s="27"/>
      <c r="H681" s="27"/>
    </row>
    <row r="682">
      <c r="G682" s="27"/>
      <c r="H682" s="27"/>
    </row>
    <row r="683">
      <c r="G683" s="27"/>
      <c r="H683" s="27"/>
    </row>
    <row r="684">
      <c r="G684" s="27"/>
      <c r="H684" s="27"/>
    </row>
    <row r="685">
      <c r="G685" s="27"/>
      <c r="H685" s="27"/>
    </row>
    <row r="686">
      <c r="G686" s="27"/>
      <c r="H686" s="27"/>
    </row>
    <row r="687">
      <c r="G687" s="27"/>
      <c r="H687" s="27"/>
    </row>
    <row r="688">
      <c r="G688" s="27"/>
      <c r="H688" s="27"/>
    </row>
    <row r="689">
      <c r="G689" s="27"/>
      <c r="H689" s="27"/>
    </row>
    <row r="690">
      <c r="G690" s="27"/>
      <c r="H690" s="27"/>
    </row>
    <row r="691">
      <c r="G691" s="27"/>
      <c r="H691" s="27"/>
    </row>
    <row r="692">
      <c r="G692" s="27"/>
      <c r="H692" s="27"/>
    </row>
    <row r="693">
      <c r="G693" s="27"/>
      <c r="H693" s="27"/>
    </row>
    <row r="694">
      <c r="G694" s="27"/>
      <c r="H694" s="27"/>
    </row>
    <row r="695">
      <c r="G695" s="27"/>
      <c r="H695" s="27"/>
    </row>
    <row r="696">
      <c r="G696" s="27"/>
      <c r="H696" s="27"/>
    </row>
    <row r="697">
      <c r="G697" s="27"/>
      <c r="H697" s="27"/>
    </row>
    <row r="698">
      <c r="G698" s="27"/>
      <c r="H698" s="27"/>
    </row>
    <row r="699">
      <c r="G699" s="27"/>
      <c r="H699" s="27"/>
    </row>
    <row r="700">
      <c r="G700" s="27"/>
      <c r="H700" s="27"/>
    </row>
    <row r="701">
      <c r="G701" s="27"/>
      <c r="H701" s="27"/>
    </row>
    <row r="702">
      <c r="G702" s="27"/>
      <c r="H702" s="27"/>
    </row>
    <row r="703">
      <c r="G703" s="27"/>
      <c r="H703" s="27"/>
    </row>
    <row r="704">
      <c r="G704" s="27"/>
      <c r="H704" s="27"/>
    </row>
    <row r="705">
      <c r="G705" s="27"/>
      <c r="H705" s="27"/>
    </row>
    <row r="706">
      <c r="G706" s="27"/>
      <c r="H706" s="27"/>
    </row>
    <row r="707">
      <c r="G707" s="27"/>
      <c r="H707" s="27"/>
    </row>
    <row r="708">
      <c r="G708" s="27"/>
      <c r="H708" s="27"/>
    </row>
    <row r="709">
      <c r="G709" s="27"/>
      <c r="H709" s="27"/>
    </row>
    <row r="710">
      <c r="G710" s="27"/>
      <c r="H710" s="27"/>
    </row>
    <row r="711">
      <c r="G711" s="27"/>
      <c r="H711" s="27"/>
    </row>
    <row r="712">
      <c r="G712" s="27"/>
      <c r="H712" s="27"/>
    </row>
    <row r="713">
      <c r="G713" s="27"/>
      <c r="H713" s="27"/>
    </row>
    <row r="714">
      <c r="G714" s="27"/>
      <c r="H714" s="27"/>
    </row>
    <row r="715">
      <c r="G715" s="27"/>
      <c r="H715" s="27"/>
    </row>
    <row r="716">
      <c r="G716" s="27"/>
      <c r="H716" s="27"/>
    </row>
    <row r="717">
      <c r="G717" s="27"/>
      <c r="H717" s="27"/>
    </row>
    <row r="718">
      <c r="G718" s="27"/>
      <c r="H718" s="27"/>
    </row>
    <row r="719">
      <c r="G719" s="27"/>
      <c r="H719" s="27"/>
    </row>
    <row r="720">
      <c r="G720" s="27"/>
      <c r="H720" s="27"/>
    </row>
    <row r="721">
      <c r="G721" s="27"/>
      <c r="H721" s="27"/>
    </row>
    <row r="722">
      <c r="G722" s="27"/>
      <c r="H722" s="27"/>
    </row>
    <row r="723">
      <c r="G723" s="27"/>
      <c r="H723" s="27"/>
    </row>
    <row r="724">
      <c r="G724" s="27"/>
      <c r="H724" s="27"/>
    </row>
    <row r="725">
      <c r="G725" s="27"/>
      <c r="H725" s="27"/>
    </row>
    <row r="726">
      <c r="G726" s="27"/>
      <c r="H726" s="27"/>
    </row>
    <row r="727">
      <c r="G727" s="27"/>
      <c r="H727" s="27"/>
    </row>
    <row r="728">
      <c r="G728" s="27"/>
      <c r="H728" s="27"/>
    </row>
    <row r="729">
      <c r="G729" s="27"/>
      <c r="H729" s="27"/>
    </row>
    <row r="730">
      <c r="G730" s="27"/>
      <c r="H730" s="27"/>
    </row>
    <row r="731">
      <c r="G731" s="27"/>
      <c r="H731" s="27"/>
    </row>
    <row r="732">
      <c r="G732" s="27"/>
      <c r="H732" s="27"/>
    </row>
    <row r="733">
      <c r="G733" s="27"/>
      <c r="H733" s="27"/>
    </row>
    <row r="734">
      <c r="G734" s="27"/>
      <c r="H734" s="27"/>
    </row>
    <row r="735">
      <c r="G735" s="27"/>
      <c r="H735" s="27"/>
    </row>
    <row r="736">
      <c r="G736" s="27"/>
      <c r="H736" s="27"/>
    </row>
    <row r="737">
      <c r="G737" s="27"/>
      <c r="H737" s="27"/>
    </row>
    <row r="738">
      <c r="G738" s="27"/>
      <c r="H738" s="27"/>
    </row>
    <row r="739">
      <c r="G739" s="27"/>
      <c r="H739" s="27"/>
    </row>
    <row r="740">
      <c r="G740" s="27"/>
      <c r="H740" s="27"/>
    </row>
    <row r="741">
      <c r="G741" s="27"/>
      <c r="H741" s="27"/>
    </row>
    <row r="742">
      <c r="G742" s="27"/>
      <c r="H742" s="27"/>
    </row>
    <row r="743">
      <c r="G743" s="27"/>
      <c r="H743" s="27"/>
    </row>
    <row r="744">
      <c r="G744" s="27"/>
      <c r="H744" s="27"/>
    </row>
    <row r="745">
      <c r="G745" s="27"/>
      <c r="H745" s="27"/>
    </row>
    <row r="746">
      <c r="G746" s="27"/>
      <c r="H746" s="27"/>
    </row>
    <row r="747">
      <c r="G747" s="27"/>
      <c r="H747" s="27"/>
    </row>
    <row r="748">
      <c r="G748" s="27"/>
      <c r="H748" s="27"/>
    </row>
    <row r="749">
      <c r="G749" s="27"/>
      <c r="H749" s="27"/>
    </row>
    <row r="750">
      <c r="G750" s="27"/>
      <c r="H750" s="27"/>
    </row>
    <row r="751">
      <c r="G751" s="27"/>
      <c r="H751" s="27"/>
    </row>
    <row r="752">
      <c r="G752" s="27"/>
      <c r="H752" s="27"/>
    </row>
    <row r="753">
      <c r="G753" s="27"/>
      <c r="H753" s="27"/>
    </row>
    <row r="754">
      <c r="G754" s="27"/>
      <c r="H754" s="27"/>
    </row>
    <row r="755">
      <c r="G755" s="27"/>
      <c r="H755" s="27"/>
    </row>
    <row r="756">
      <c r="G756" s="27"/>
      <c r="H756" s="27"/>
    </row>
    <row r="757">
      <c r="G757" s="27"/>
      <c r="H757" s="27"/>
    </row>
    <row r="758">
      <c r="G758" s="27"/>
      <c r="H758" s="27"/>
    </row>
    <row r="759">
      <c r="G759" s="27"/>
      <c r="H759" s="27"/>
    </row>
    <row r="760">
      <c r="G760" s="27"/>
      <c r="H760" s="27"/>
    </row>
    <row r="761">
      <c r="G761" s="27"/>
      <c r="H761" s="27"/>
    </row>
    <row r="762">
      <c r="G762" s="27"/>
      <c r="H762" s="27"/>
    </row>
    <row r="763">
      <c r="G763" s="27"/>
      <c r="H763" s="27"/>
    </row>
    <row r="764">
      <c r="G764" s="27"/>
      <c r="H764" s="27"/>
    </row>
    <row r="765">
      <c r="G765" s="27"/>
      <c r="H765" s="27"/>
    </row>
    <row r="766">
      <c r="G766" s="27"/>
      <c r="H766" s="27"/>
    </row>
    <row r="767">
      <c r="G767" s="27"/>
      <c r="H767" s="27"/>
    </row>
    <row r="768">
      <c r="G768" s="27"/>
      <c r="H768" s="27"/>
    </row>
    <row r="769">
      <c r="G769" s="27"/>
      <c r="H769" s="27"/>
    </row>
    <row r="770">
      <c r="G770" s="27"/>
      <c r="H770" s="27"/>
    </row>
    <row r="771">
      <c r="G771" s="27"/>
      <c r="H771" s="27"/>
    </row>
    <row r="772">
      <c r="G772" s="27"/>
      <c r="H772" s="27"/>
    </row>
    <row r="773">
      <c r="G773" s="27"/>
      <c r="H773" s="27"/>
    </row>
    <row r="774">
      <c r="G774" s="27"/>
      <c r="H774" s="27"/>
    </row>
    <row r="775">
      <c r="G775" s="27"/>
      <c r="H775" s="27"/>
    </row>
    <row r="776">
      <c r="G776" s="27"/>
      <c r="H776" s="27"/>
    </row>
    <row r="777">
      <c r="G777" s="27"/>
      <c r="H777" s="27"/>
    </row>
    <row r="778">
      <c r="G778" s="27"/>
      <c r="H778" s="27"/>
    </row>
    <row r="779">
      <c r="G779" s="27"/>
      <c r="H779" s="27"/>
    </row>
    <row r="780">
      <c r="G780" s="27"/>
      <c r="H780" s="27"/>
    </row>
    <row r="781">
      <c r="G781" s="27"/>
      <c r="H781" s="27"/>
    </row>
    <row r="782">
      <c r="G782" s="27"/>
      <c r="H782" s="27"/>
    </row>
    <row r="783">
      <c r="G783" s="27"/>
      <c r="H783" s="27"/>
    </row>
    <row r="784">
      <c r="G784" s="27"/>
      <c r="H784" s="27"/>
    </row>
    <row r="785">
      <c r="G785" s="27"/>
      <c r="H785" s="27"/>
    </row>
    <row r="786">
      <c r="G786" s="27"/>
      <c r="H786" s="27"/>
    </row>
    <row r="787">
      <c r="G787" s="27"/>
      <c r="H787" s="27"/>
    </row>
    <row r="788">
      <c r="G788" s="27"/>
      <c r="H788" s="27"/>
    </row>
    <row r="789">
      <c r="G789" s="27"/>
      <c r="H789" s="27"/>
    </row>
    <row r="790">
      <c r="G790" s="27"/>
      <c r="H790" s="27"/>
    </row>
    <row r="791">
      <c r="G791" s="27"/>
      <c r="H791" s="27"/>
    </row>
    <row r="792">
      <c r="G792" s="27"/>
      <c r="H792" s="27"/>
    </row>
    <row r="793">
      <c r="G793" s="27"/>
      <c r="H793" s="27"/>
    </row>
    <row r="794">
      <c r="G794" s="27"/>
      <c r="H794" s="27"/>
    </row>
    <row r="795">
      <c r="G795" s="27"/>
      <c r="H795" s="27"/>
    </row>
    <row r="796">
      <c r="G796" s="27"/>
      <c r="H796" s="27"/>
    </row>
    <row r="797">
      <c r="G797" s="27"/>
      <c r="H797" s="27"/>
    </row>
    <row r="798">
      <c r="G798" s="27"/>
      <c r="H798" s="27"/>
    </row>
    <row r="799">
      <c r="G799" s="27"/>
      <c r="H799" s="27"/>
    </row>
    <row r="800">
      <c r="G800" s="27"/>
      <c r="H800" s="27"/>
    </row>
    <row r="801">
      <c r="G801" s="27"/>
      <c r="H801" s="27"/>
    </row>
    <row r="802">
      <c r="G802" s="27"/>
      <c r="H802" s="27"/>
    </row>
    <row r="803">
      <c r="G803" s="27"/>
      <c r="H803" s="27"/>
    </row>
    <row r="804">
      <c r="G804" s="27"/>
      <c r="H804" s="27"/>
    </row>
    <row r="805">
      <c r="G805" s="27"/>
      <c r="H805" s="27"/>
    </row>
    <row r="806">
      <c r="G806" s="27"/>
      <c r="H806" s="27"/>
    </row>
    <row r="807">
      <c r="G807" s="27"/>
      <c r="H807" s="27"/>
    </row>
    <row r="808">
      <c r="G808" s="27"/>
      <c r="H808" s="27"/>
    </row>
    <row r="809">
      <c r="G809" s="27"/>
      <c r="H809" s="27"/>
    </row>
    <row r="810">
      <c r="G810" s="27"/>
      <c r="H810" s="27"/>
    </row>
    <row r="811">
      <c r="G811" s="27"/>
      <c r="H811" s="27"/>
    </row>
    <row r="812">
      <c r="G812" s="27"/>
      <c r="H812" s="27"/>
    </row>
    <row r="813">
      <c r="G813" s="27"/>
      <c r="H813" s="27"/>
    </row>
    <row r="814">
      <c r="G814" s="27"/>
      <c r="H814" s="27"/>
    </row>
    <row r="815">
      <c r="G815" s="27"/>
      <c r="H815" s="27"/>
    </row>
    <row r="816">
      <c r="G816" s="27"/>
      <c r="H816" s="27"/>
    </row>
    <row r="817">
      <c r="G817" s="27"/>
      <c r="H817" s="27"/>
    </row>
    <row r="818">
      <c r="G818" s="27"/>
      <c r="H818" s="27"/>
    </row>
    <row r="819">
      <c r="G819" s="27"/>
      <c r="H819" s="27"/>
    </row>
    <row r="820">
      <c r="G820" s="27"/>
      <c r="H820" s="27"/>
    </row>
    <row r="821">
      <c r="G821" s="27"/>
      <c r="H821" s="27"/>
    </row>
    <row r="822">
      <c r="G822" s="27"/>
      <c r="H822" s="27"/>
    </row>
    <row r="823">
      <c r="G823" s="27"/>
      <c r="H823" s="27"/>
    </row>
    <row r="824">
      <c r="G824" s="27"/>
      <c r="H824" s="27"/>
    </row>
    <row r="825">
      <c r="G825" s="27"/>
      <c r="H825" s="27"/>
    </row>
    <row r="826">
      <c r="G826" s="27"/>
      <c r="H826" s="27"/>
    </row>
    <row r="827">
      <c r="G827" s="27"/>
      <c r="H827" s="27"/>
    </row>
    <row r="828">
      <c r="G828" s="27"/>
      <c r="H828" s="27"/>
    </row>
    <row r="829">
      <c r="G829" s="27"/>
      <c r="H829" s="27"/>
    </row>
    <row r="830">
      <c r="G830" s="27"/>
      <c r="H830" s="27"/>
    </row>
    <row r="831">
      <c r="G831" s="27"/>
      <c r="H831" s="27"/>
    </row>
    <row r="832">
      <c r="G832" s="27"/>
      <c r="H832" s="27"/>
    </row>
    <row r="833">
      <c r="G833" s="27"/>
      <c r="H833" s="27"/>
    </row>
    <row r="834">
      <c r="G834" s="27"/>
      <c r="H834" s="27"/>
    </row>
    <row r="835">
      <c r="G835" s="27"/>
      <c r="H835" s="27"/>
    </row>
    <row r="836">
      <c r="G836" s="27"/>
      <c r="H836" s="27"/>
    </row>
    <row r="837">
      <c r="G837" s="27"/>
      <c r="H837" s="27"/>
    </row>
    <row r="838">
      <c r="G838" s="27"/>
      <c r="H838" s="27"/>
    </row>
    <row r="839">
      <c r="G839" s="27"/>
      <c r="H839" s="27"/>
    </row>
    <row r="840">
      <c r="G840" s="27"/>
      <c r="H840" s="27"/>
    </row>
    <row r="841">
      <c r="G841" s="27"/>
      <c r="H841" s="27"/>
    </row>
    <row r="842">
      <c r="G842" s="27"/>
      <c r="H842" s="27"/>
    </row>
    <row r="843">
      <c r="G843" s="27"/>
      <c r="H843" s="27"/>
    </row>
    <row r="844">
      <c r="G844" s="27"/>
      <c r="H844" s="27"/>
    </row>
    <row r="845">
      <c r="G845" s="27"/>
      <c r="H845" s="27"/>
    </row>
    <row r="846">
      <c r="G846" s="27"/>
      <c r="H846" s="27"/>
    </row>
    <row r="847">
      <c r="G847" s="27"/>
      <c r="H847" s="27"/>
    </row>
    <row r="848">
      <c r="G848" s="27"/>
      <c r="H848" s="27"/>
    </row>
    <row r="849">
      <c r="G849" s="27"/>
      <c r="H849" s="27"/>
    </row>
    <row r="850">
      <c r="G850" s="27"/>
      <c r="H850" s="27"/>
    </row>
    <row r="851">
      <c r="G851" s="27"/>
      <c r="H851" s="27"/>
    </row>
    <row r="852">
      <c r="G852" s="27"/>
      <c r="H852" s="27"/>
    </row>
    <row r="853">
      <c r="G853" s="27"/>
      <c r="H853" s="27"/>
    </row>
    <row r="854">
      <c r="G854" s="27"/>
      <c r="H854" s="27"/>
    </row>
    <row r="855">
      <c r="G855" s="27"/>
      <c r="H855" s="27"/>
    </row>
    <row r="856">
      <c r="G856" s="27"/>
      <c r="H856" s="27"/>
    </row>
    <row r="857">
      <c r="G857" s="27"/>
      <c r="H857" s="27"/>
    </row>
    <row r="858">
      <c r="G858" s="27"/>
      <c r="H858" s="27"/>
    </row>
    <row r="859">
      <c r="G859" s="27"/>
      <c r="H859" s="27"/>
    </row>
    <row r="860">
      <c r="G860" s="27"/>
      <c r="H860" s="27"/>
    </row>
    <row r="861">
      <c r="G861" s="27"/>
      <c r="H861" s="27"/>
    </row>
    <row r="862">
      <c r="G862" s="27"/>
      <c r="H862" s="27"/>
    </row>
    <row r="863">
      <c r="G863" s="27"/>
      <c r="H863" s="27"/>
    </row>
    <row r="864">
      <c r="G864" s="27"/>
      <c r="H864" s="27"/>
    </row>
    <row r="865">
      <c r="G865" s="27"/>
      <c r="H865" s="27"/>
    </row>
    <row r="866">
      <c r="G866" s="27"/>
      <c r="H866" s="27"/>
    </row>
    <row r="867">
      <c r="G867" s="27"/>
      <c r="H867" s="27"/>
    </row>
    <row r="868">
      <c r="G868" s="27"/>
      <c r="H868" s="27"/>
    </row>
    <row r="869">
      <c r="G869" s="27"/>
      <c r="H869" s="27"/>
    </row>
    <row r="870">
      <c r="G870" s="27"/>
      <c r="H870" s="27"/>
    </row>
    <row r="871">
      <c r="G871" s="27"/>
      <c r="H871" s="27"/>
    </row>
    <row r="872">
      <c r="G872" s="27"/>
      <c r="H872" s="27"/>
    </row>
    <row r="873">
      <c r="G873" s="27"/>
      <c r="H873" s="27"/>
    </row>
    <row r="874">
      <c r="G874" s="27"/>
      <c r="H874" s="27"/>
    </row>
    <row r="875">
      <c r="G875" s="27"/>
      <c r="H875" s="27"/>
    </row>
    <row r="876">
      <c r="G876" s="27"/>
      <c r="H876" s="27"/>
    </row>
    <row r="877">
      <c r="G877" s="27"/>
      <c r="H877" s="27"/>
    </row>
    <row r="878">
      <c r="G878" s="27"/>
      <c r="H878" s="27"/>
    </row>
    <row r="879">
      <c r="G879" s="27"/>
      <c r="H879" s="27"/>
    </row>
    <row r="880">
      <c r="G880" s="27"/>
      <c r="H880" s="27"/>
    </row>
    <row r="881">
      <c r="G881" s="27"/>
      <c r="H881" s="27"/>
    </row>
    <row r="882">
      <c r="G882" s="27"/>
      <c r="H882" s="27"/>
    </row>
    <row r="883">
      <c r="G883" s="27"/>
      <c r="H883" s="27"/>
    </row>
    <row r="884">
      <c r="G884" s="27"/>
      <c r="H884" s="27"/>
    </row>
    <row r="885">
      <c r="G885" s="27"/>
      <c r="H885" s="27"/>
    </row>
    <row r="886">
      <c r="G886" s="27"/>
      <c r="H886" s="27"/>
    </row>
    <row r="887">
      <c r="G887" s="27"/>
      <c r="H887" s="27"/>
    </row>
    <row r="888">
      <c r="G888" s="27"/>
      <c r="H888" s="27"/>
    </row>
    <row r="889">
      <c r="G889" s="27"/>
      <c r="H889" s="27"/>
    </row>
    <row r="890">
      <c r="G890" s="27"/>
      <c r="H890" s="27"/>
    </row>
    <row r="891">
      <c r="G891" s="27"/>
      <c r="H891" s="27"/>
    </row>
    <row r="892">
      <c r="G892" s="27"/>
      <c r="H892" s="27"/>
    </row>
    <row r="893">
      <c r="G893" s="27"/>
      <c r="H893" s="27"/>
    </row>
    <row r="894">
      <c r="G894" s="27"/>
      <c r="H894" s="27"/>
    </row>
    <row r="895">
      <c r="G895" s="27"/>
      <c r="H895" s="27"/>
    </row>
    <row r="896">
      <c r="G896" s="27"/>
      <c r="H896" s="27"/>
    </row>
    <row r="897">
      <c r="G897" s="27"/>
      <c r="H897" s="27"/>
    </row>
    <row r="898">
      <c r="G898" s="27"/>
      <c r="H898" s="27"/>
    </row>
    <row r="899">
      <c r="G899" s="27"/>
      <c r="H899" s="27"/>
    </row>
    <row r="900">
      <c r="G900" s="27"/>
      <c r="H900" s="27"/>
    </row>
    <row r="901">
      <c r="G901" s="27"/>
      <c r="H901" s="27"/>
    </row>
    <row r="902">
      <c r="G902" s="27"/>
      <c r="H902" s="27"/>
    </row>
    <row r="903">
      <c r="G903" s="27"/>
      <c r="H903" s="27"/>
    </row>
    <row r="904">
      <c r="G904" s="27"/>
      <c r="H904" s="27"/>
    </row>
    <row r="905">
      <c r="G905" s="27"/>
      <c r="H905" s="27"/>
    </row>
    <row r="906">
      <c r="G906" s="27"/>
      <c r="H906" s="27"/>
    </row>
    <row r="907">
      <c r="G907" s="27"/>
      <c r="H907" s="27"/>
    </row>
    <row r="908">
      <c r="G908" s="27"/>
      <c r="H908" s="27"/>
    </row>
    <row r="909">
      <c r="G909" s="27"/>
      <c r="H909" s="27"/>
    </row>
    <row r="910">
      <c r="G910" s="27"/>
      <c r="H910" s="27"/>
    </row>
    <row r="911">
      <c r="G911" s="27"/>
      <c r="H911" s="27"/>
    </row>
    <row r="912">
      <c r="G912" s="27"/>
      <c r="H912" s="27"/>
    </row>
    <row r="913">
      <c r="G913" s="27"/>
      <c r="H913" s="27"/>
    </row>
    <row r="914">
      <c r="G914" s="27"/>
      <c r="H914" s="27"/>
    </row>
    <row r="915">
      <c r="G915" s="27"/>
      <c r="H915" s="27"/>
    </row>
    <row r="916">
      <c r="G916" s="27"/>
      <c r="H916" s="27"/>
    </row>
    <row r="917">
      <c r="G917" s="27"/>
      <c r="H917" s="27"/>
    </row>
    <row r="918">
      <c r="G918" s="27"/>
      <c r="H918" s="27"/>
    </row>
    <row r="919">
      <c r="G919" s="27"/>
      <c r="H919" s="27"/>
    </row>
    <row r="920">
      <c r="G920" s="27"/>
      <c r="H920" s="27"/>
    </row>
    <row r="921">
      <c r="G921" s="27"/>
      <c r="H921" s="27"/>
    </row>
    <row r="922">
      <c r="G922" s="27"/>
      <c r="H922" s="27"/>
    </row>
    <row r="923">
      <c r="G923" s="27"/>
      <c r="H923" s="27"/>
    </row>
    <row r="924">
      <c r="G924" s="27"/>
      <c r="H924" s="27"/>
    </row>
    <row r="925">
      <c r="G925" s="27"/>
      <c r="H925" s="27"/>
    </row>
    <row r="926">
      <c r="G926" s="27"/>
      <c r="H926" s="27"/>
    </row>
    <row r="927">
      <c r="G927" s="27"/>
      <c r="H927" s="27"/>
    </row>
    <row r="928">
      <c r="G928" s="27"/>
      <c r="H928" s="27"/>
    </row>
    <row r="929">
      <c r="G929" s="27"/>
      <c r="H929" s="27"/>
    </row>
    <row r="930">
      <c r="G930" s="27"/>
      <c r="H930" s="27"/>
    </row>
    <row r="931">
      <c r="G931" s="27"/>
      <c r="H931" s="27"/>
    </row>
    <row r="932">
      <c r="G932" s="27"/>
      <c r="H932" s="27"/>
    </row>
    <row r="933">
      <c r="G933" s="27"/>
      <c r="H933" s="27"/>
    </row>
    <row r="934">
      <c r="G934" s="27"/>
      <c r="H934" s="27"/>
    </row>
    <row r="935">
      <c r="G935" s="27"/>
      <c r="H935" s="27"/>
    </row>
    <row r="936">
      <c r="G936" s="27"/>
      <c r="H936" s="27"/>
    </row>
    <row r="937">
      <c r="G937" s="27"/>
      <c r="H937" s="27"/>
    </row>
    <row r="938">
      <c r="G938" s="27"/>
      <c r="H938" s="27"/>
    </row>
    <row r="939">
      <c r="G939" s="27"/>
      <c r="H939" s="27"/>
    </row>
    <row r="940">
      <c r="G940" s="27"/>
      <c r="H940" s="27"/>
    </row>
    <row r="941">
      <c r="G941" s="27"/>
      <c r="H941" s="27"/>
    </row>
    <row r="942">
      <c r="G942" s="27"/>
      <c r="H942" s="27"/>
    </row>
    <row r="943">
      <c r="G943" s="27"/>
      <c r="H943" s="27"/>
    </row>
    <row r="944">
      <c r="G944" s="27"/>
      <c r="H944" s="27"/>
    </row>
    <row r="945">
      <c r="G945" s="27"/>
      <c r="H945" s="27"/>
    </row>
    <row r="946">
      <c r="G946" s="27"/>
      <c r="H946" s="27"/>
    </row>
    <row r="947">
      <c r="G947" s="27"/>
      <c r="H947" s="27"/>
    </row>
    <row r="948">
      <c r="G948" s="27"/>
      <c r="H948" s="27"/>
    </row>
    <row r="949">
      <c r="G949" s="27"/>
      <c r="H949" s="27"/>
    </row>
    <row r="950">
      <c r="G950" s="27"/>
      <c r="H950" s="27"/>
    </row>
    <row r="951">
      <c r="G951" s="27"/>
      <c r="H951" s="27"/>
    </row>
    <row r="952">
      <c r="G952" s="27"/>
      <c r="H952" s="27"/>
    </row>
    <row r="953">
      <c r="G953" s="27"/>
      <c r="H953" s="27"/>
    </row>
    <row r="954">
      <c r="G954" s="27"/>
      <c r="H954" s="27"/>
    </row>
    <row r="955">
      <c r="G955" s="27"/>
      <c r="H955" s="27"/>
    </row>
    <row r="956">
      <c r="G956" s="27"/>
      <c r="H956" s="27"/>
    </row>
    <row r="957">
      <c r="G957" s="27"/>
      <c r="H957" s="27"/>
    </row>
    <row r="958">
      <c r="G958" s="27"/>
      <c r="H958" s="27"/>
    </row>
    <row r="959">
      <c r="G959" s="27"/>
      <c r="H959" s="27"/>
    </row>
    <row r="960">
      <c r="G960" s="27"/>
      <c r="H960" s="27"/>
    </row>
    <row r="961">
      <c r="G961" s="27"/>
      <c r="H961" s="27"/>
    </row>
    <row r="962">
      <c r="G962" s="27"/>
      <c r="H962" s="27"/>
    </row>
    <row r="963">
      <c r="G963" s="27"/>
      <c r="H963" s="27"/>
    </row>
    <row r="964">
      <c r="G964" s="27"/>
      <c r="H964" s="27"/>
    </row>
    <row r="965">
      <c r="G965" s="27"/>
      <c r="H965" s="27"/>
    </row>
    <row r="966">
      <c r="G966" s="27"/>
      <c r="H966" s="27"/>
    </row>
    <row r="967">
      <c r="G967" s="27"/>
      <c r="H967" s="27"/>
    </row>
    <row r="968">
      <c r="G968" s="27"/>
      <c r="H968" s="27"/>
    </row>
    <row r="969">
      <c r="G969" s="27"/>
      <c r="H969" s="27"/>
    </row>
    <row r="970">
      <c r="G970" s="27"/>
      <c r="H970" s="27"/>
    </row>
    <row r="971">
      <c r="G971" s="27"/>
      <c r="H971" s="27"/>
    </row>
    <row r="972">
      <c r="G972" s="27"/>
      <c r="H972" s="27"/>
    </row>
    <row r="973">
      <c r="G973" s="27"/>
      <c r="H973" s="27"/>
    </row>
    <row r="974">
      <c r="G974" s="27"/>
      <c r="H974" s="27"/>
    </row>
    <row r="975">
      <c r="G975" s="27"/>
      <c r="H975" s="27"/>
    </row>
    <row r="976">
      <c r="G976" s="27"/>
      <c r="H976" s="27"/>
    </row>
    <row r="977">
      <c r="G977" s="27"/>
      <c r="H977" s="27"/>
    </row>
    <row r="978">
      <c r="G978" s="27"/>
      <c r="H978" s="27"/>
    </row>
    <row r="979">
      <c r="G979" s="27"/>
      <c r="H979" s="27"/>
    </row>
    <row r="980">
      <c r="G980" s="27"/>
      <c r="H980" s="27"/>
    </row>
    <row r="981">
      <c r="G981" s="27"/>
      <c r="H981" s="27"/>
    </row>
    <row r="982">
      <c r="G982" s="27"/>
      <c r="H982" s="27"/>
    </row>
    <row r="983">
      <c r="G983" s="27"/>
      <c r="H983" s="27"/>
    </row>
    <row r="984">
      <c r="G984" s="27"/>
      <c r="H984" s="27"/>
    </row>
    <row r="985">
      <c r="G985" s="27"/>
      <c r="H985" s="27"/>
    </row>
    <row r="986">
      <c r="G986" s="27"/>
      <c r="H986" s="27"/>
    </row>
    <row r="987">
      <c r="G987" s="27"/>
      <c r="H987" s="27"/>
    </row>
    <row r="988">
      <c r="G988" s="27"/>
      <c r="H988" s="27"/>
    </row>
    <row r="989">
      <c r="G989" s="27"/>
      <c r="H989" s="27"/>
    </row>
    <row r="990">
      <c r="G990" s="27"/>
      <c r="H990" s="27"/>
    </row>
    <row r="991">
      <c r="G991" s="27"/>
      <c r="H991" s="27"/>
    </row>
    <row r="992">
      <c r="G992" s="27"/>
      <c r="H992" s="27"/>
    </row>
    <row r="993">
      <c r="G993" s="27"/>
      <c r="H993" s="27"/>
    </row>
    <row r="994">
      <c r="G994" s="27"/>
      <c r="H994" s="27"/>
    </row>
    <row r="995">
      <c r="G995" s="27"/>
      <c r="H995" s="27"/>
    </row>
    <row r="996">
      <c r="G996" s="27"/>
      <c r="H996" s="27"/>
    </row>
    <row r="997">
      <c r="G997" s="27"/>
      <c r="H997" s="27"/>
    </row>
    <row r="998">
      <c r="G998" s="27"/>
      <c r="H998" s="27"/>
    </row>
    <row r="999">
      <c r="G999" s="27"/>
      <c r="H999" s="27"/>
    </row>
    <row r="1000">
      <c r="G1000" s="27"/>
      <c r="H1000" s="27"/>
    </row>
  </sheetData>
  <conditionalFormatting sqref="D38 E47">
    <cfRule type="cellIs" dxfId="0" priority="1" operator="lessThan">
      <formula>0</formula>
    </cfRule>
  </conditionalFormatting>
  <conditionalFormatting sqref="D47">
    <cfRule type="cellIs" dxfId="0" priority="2" operator="lessThan">
      <formula>0</formula>
    </cfRule>
  </conditionalFormatting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13"/>
    <col customWidth="1" min="7" max="8" width="25.63"/>
    <col customWidth="1" min="9" max="9" width="10.63"/>
    <col customWidth="1" min="10" max="10" width="21.38"/>
    <col customWidth="1" min="11" max="11" width="29.0"/>
    <col customWidth="1" min="12" max="12" width="14.38"/>
  </cols>
  <sheetData>
    <row r="1">
      <c r="D1" s="199" t="s">
        <v>154</v>
      </c>
      <c r="G1" s="27"/>
      <c r="H1" s="27"/>
      <c r="I1" s="27"/>
      <c r="M1" s="27"/>
    </row>
    <row r="2">
      <c r="D2" s="18" t="s">
        <v>240</v>
      </c>
      <c r="E2" s="18">
        <v>11.0</v>
      </c>
      <c r="G2" s="27"/>
      <c r="H2" s="27"/>
      <c r="I2" s="27"/>
      <c r="M2" s="27"/>
    </row>
    <row r="3">
      <c r="D3" s="18" t="s">
        <v>241</v>
      </c>
      <c r="E3" s="18">
        <v>48.0</v>
      </c>
      <c r="G3" s="27"/>
      <c r="H3" s="27"/>
      <c r="I3" s="27"/>
      <c r="M3" s="27"/>
    </row>
    <row r="4">
      <c r="D4" s="18" t="s">
        <v>242</v>
      </c>
      <c r="E4" s="18">
        <v>15.0</v>
      </c>
      <c r="G4" s="27"/>
      <c r="H4" s="200" t="s">
        <v>243</v>
      </c>
      <c r="I4" s="201">
        <f>I5+I6+I10</f>
        <v>5521.13</v>
      </c>
      <c r="K4" s="202" t="s">
        <v>244</v>
      </c>
      <c r="L4" s="203">
        <v>2990.14</v>
      </c>
      <c r="M4" s="27"/>
    </row>
    <row r="5">
      <c r="D5" s="18" t="s">
        <v>245</v>
      </c>
      <c r="E5" s="18">
        <v>42.0</v>
      </c>
      <c r="G5" s="27"/>
      <c r="H5" s="204" t="s">
        <v>246</v>
      </c>
      <c r="I5" s="205">
        <v>3001.13</v>
      </c>
      <c r="K5" s="18" t="s">
        <v>247</v>
      </c>
      <c r="L5" s="17">
        <v>4.5</v>
      </c>
      <c r="M5" s="27"/>
    </row>
    <row r="6">
      <c r="E6" s="12">
        <f>SUM(E2:E5)</f>
        <v>116</v>
      </c>
      <c r="G6" s="27"/>
      <c r="H6" s="204" t="s">
        <v>248</v>
      </c>
      <c r="I6" s="205">
        <v>2000.0</v>
      </c>
      <c r="J6" s="18" t="s">
        <v>249</v>
      </c>
      <c r="K6" s="18" t="s">
        <v>250</v>
      </c>
      <c r="L6" s="18">
        <v>22.4</v>
      </c>
      <c r="M6" s="27"/>
    </row>
    <row r="7">
      <c r="G7" s="27"/>
      <c r="H7" s="206"/>
      <c r="I7" s="207"/>
      <c r="K7" s="18" t="s">
        <v>251</v>
      </c>
      <c r="L7" s="17">
        <v>183.27</v>
      </c>
      <c r="M7" s="27"/>
    </row>
    <row r="8">
      <c r="G8" s="27"/>
      <c r="H8" s="208"/>
      <c r="I8" s="205"/>
      <c r="K8" s="18" t="s">
        <v>252</v>
      </c>
      <c r="L8" s="17">
        <v>2.5</v>
      </c>
      <c r="M8" s="27"/>
    </row>
    <row r="9">
      <c r="B9" s="55" t="s">
        <v>122</v>
      </c>
      <c r="C9" s="56"/>
      <c r="D9" s="57" t="s">
        <v>123</v>
      </c>
      <c r="E9" s="57" t="s">
        <v>124</v>
      </c>
      <c r="F9" s="57" t="s">
        <v>125</v>
      </c>
      <c r="G9" s="27"/>
      <c r="H9" s="206"/>
      <c r="I9" s="207"/>
      <c r="K9" s="18" t="s">
        <v>253</v>
      </c>
      <c r="L9" s="18">
        <v>300.0</v>
      </c>
      <c r="M9" s="27"/>
    </row>
    <row r="10">
      <c r="B10" s="59" t="s">
        <v>129</v>
      </c>
      <c r="C10" s="60"/>
      <c r="D10" s="61">
        <v>6595.33</v>
      </c>
      <c r="E10" s="61">
        <v>6595.33</v>
      </c>
      <c r="F10" s="61">
        <v>6625.0</v>
      </c>
      <c r="G10" s="107"/>
      <c r="H10" s="209" t="s">
        <v>254</v>
      </c>
      <c r="I10" s="210">
        <v>520.0</v>
      </c>
      <c r="K10" s="18" t="s">
        <v>255</v>
      </c>
      <c r="L10" s="18">
        <v>435.95</v>
      </c>
      <c r="M10" s="27"/>
    </row>
    <row r="11">
      <c r="B11" s="59" t="s">
        <v>136</v>
      </c>
      <c r="C11" s="60"/>
      <c r="D11" s="62">
        <f>1290+1914.26+385.96</f>
        <v>3590.22</v>
      </c>
      <c r="E11" s="62">
        <f>1290+1914.26+386.96</f>
        <v>3591.22</v>
      </c>
      <c r="F11" s="62">
        <v>3781.96</v>
      </c>
      <c r="G11" s="27"/>
      <c r="H11" s="32"/>
      <c r="I11" s="107"/>
      <c r="K11" s="202" t="s">
        <v>256</v>
      </c>
      <c r="L11" s="203">
        <f>L4-L10-L9-L8-L7-L6-L5</f>
        <v>2041.52</v>
      </c>
      <c r="M11" s="27"/>
      <c r="P11" s="107" t="s">
        <v>136</v>
      </c>
    </row>
    <row r="12">
      <c r="B12" s="59" t="s">
        <v>137</v>
      </c>
      <c r="C12" s="60"/>
      <c r="D12" s="63"/>
      <c r="E12" s="62">
        <f>1219</f>
        <v>1219</v>
      </c>
      <c r="F12" s="63"/>
      <c r="G12" s="27"/>
      <c r="H12" s="27"/>
      <c r="I12" s="27"/>
      <c r="K12" s="18" t="s">
        <v>257</v>
      </c>
      <c r="L12" s="17">
        <v>6.5</v>
      </c>
      <c r="M12" s="27"/>
      <c r="P12" s="107">
        <v>11.0</v>
      </c>
    </row>
    <row r="13">
      <c r="B13" s="59" t="s">
        <v>138</v>
      </c>
      <c r="C13" s="60"/>
      <c r="D13" s="64"/>
      <c r="E13" s="65">
        <f>6156.35+1296</f>
        <v>7452.35</v>
      </c>
      <c r="F13" s="62">
        <v>5000.0</v>
      </c>
      <c r="G13" s="27"/>
      <c r="H13" s="107"/>
      <c r="I13" s="107"/>
      <c r="K13" s="18" t="s">
        <v>258</v>
      </c>
      <c r="L13" s="12">
        <f>11.03+6.9+7.31</f>
        <v>25.24</v>
      </c>
      <c r="M13" s="27"/>
    </row>
    <row r="14">
      <c r="B14" s="67" t="s">
        <v>139</v>
      </c>
      <c r="C14" s="68"/>
      <c r="D14" s="69">
        <f t="shared" ref="D14:F14" si="1">SUM(D10:D13)</f>
        <v>10185.55</v>
      </c>
      <c r="E14" s="69">
        <f t="shared" si="1"/>
        <v>18857.9</v>
      </c>
      <c r="F14" s="69">
        <f t="shared" si="1"/>
        <v>15406.96</v>
      </c>
      <c r="G14" s="27"/>
      <c r="H14" s="27"/>
      <c r="I14" s="27"/>
      <c r="K14" s="18" t="s">
        <v>259</v>
      </c>
      <c r="L14" s="18">
        <v>222.0</v>
      </c>
    </row>
    <row r="15">
      <c r="G15" s="27"/>
      <c r="H15" s="211" t="s">
        <v>260</v>
      </c>
      <c r="I15" s="212">
        <v>5784.81</v>
      </c>
      <c r="J15" s="18" t="s">
        <v>249</v>
      </c>
      <c r="K15" s="18" t="s">
        <v>261</v>
      </c>
      <c r="L15" s="18">
        <v>27.7</v>
      </c>
      <c r="M15" s="27"/>
    </row>
    <row r="16">
      <c r="B16" s="70" t="s">
        <v>140</v>
      </c>
      <c r="C16" s="71"/>
      <c r="D16" s="58" t="s">
        <v>123</v>
      </c>
      <c r="E16" s="58" t="s">
        <v>124</v>
      </c>
      <c r="F16" s="58" t="s">
        <v>125</v>
      </c>
      <c r="G16" s="18"/>
      <c r="H16" s="213" t="s">
        <v>262</v>
      </c>
      <c r="I16" s="214">
        <v>2990.14</v>
      </c>
      <c r="K16" s="18" t="s">
        <v>263</v>
      </c>
      <c r="L16" s="18">
        <v>30.0</v>
      </c>
      <c r="M16" s="27"/>
    </row>
    <row r="17">
      <c r="B17" s="72" t="s">
        <v>141</v>
      </c>
      <c r="C17" s="73"/>
      <c r="D17" s="75"/>
      <c r="E17" s="75">
        <v>309.0</v>
      </c>
      <c r="F17" s="75">
        <v>309.4</v>
      </c>
      <c r="H17" s="215" t="s">
        <v>264</v>
      </c>
      <c r="I17" s="216">
        <f>L11-L19-F18-F17-F20-F19</f>
        <v>1052.58</v>
      </c>
      <c r="K17" s="18" t="s">
        <v>265</v>
      </c>
      <c r="L17" s="18">
        <v>59.9</v>
      </c>
      <c r="M17" s="27"/>
    </row>
    <row r="18">
      <c r="B18" s="72" t="s">
        <v>142</v>
      </c>
      <c r="C18" s="73"/>
      <c r="D18" s="75">
        <v>45.6</v>
      </c>
      <c r="E18" s="75">
        <v>60.0</v>
      </c>
      <c r="F18" s="75">
        <v>120.8</v>
      </c>
      <c r="H18" s="217" t="s">
        <v>266</v>
      </c>
      <c r="I18" s="218">
        <f>I17-100</f>
        <v>952.58</v>
      </c>
      <c r="J18" s="18" t="s">
        <v>267</v>
      </c>
      <c r="K18" s="18" t="s">
        <v>268</v>
      </c>
      <c r="L18" s="18">
        <v>6.0</v>
      </c>
      <c r="M18" s="27"/>
    </row>
    <row r="19">
      <c r="B19" s="72" t="s">
        <v>143</v>
      </c>
      <c r="C19" s="73"/>
      <c r="D19" s="75">
        <v>0.0</v>
      </c>
      <c r="E19" s="75">
        <v>81.4</v>
      </c>
      <c r="F19" s="75">
        <v>81.4</v>
      </c>
      <c r="L19" s="49">
        <f>SUM(L12:L18)</f>
        <v>377.34</v>
      </c>
      <c r="M19" s="27"/>
    </row>
    <row r="20">
      <c r="B20" s="72" t="s">
        <v>144</v>
      </c>
      <c r="C20" s="73"/>
      <c r="D20" s="75">
        <f>30+50</f>
        <v>80</v>
      </c>
      <c r="E20" s="75">
        <v>80.0</v>
      </c>
      <c r="F20" s="75">
        <v>100.0</v>
      </c>
      <c r="K20" s="32" t="s">
        <v>269</v>
      </c>
      <c r="L20" s="30">
        <f>+L12+L13+L14</f>
        <v>253.74</v>
      </c>
      <c r="M20" s="107"/>
    </row>
    <row r="21">
      <c r="B21" s="72" t="s">
        <v>145</v>
      </c>
      <c r="C21" s="73"/>
      <c r="D21" s="75"/>
      <c r="E21" s="75">
        <v>2500.0</v>
      </c>
      <c r="F21" s="75">
        <v>2500.0</v>
      </c>
      <c r="K21" s="32" t="s">
        <v>270</v>
      </c>
      <c r="L21" s="12">
        <f>L15+L16+L17</f>
        <v>117.6</v>
      </c>
      <c r="M21" s="27"/>
    </row>
    <row r="22">
      <c r="B22" s="72" t="s">
        <v>146</v>
      </c>
      <c r="C22" s="77" t="s">
        <v>147</v>
      </c>
      <c r="D22" s="75">
        <v>400.0</v>
      </c>
      <c r="E22" s="75">
        <v>400.0</v>
      </c>
      <c r="F22" s="75">
        <v>400.0</v>
      </c>
      <c r="G22" s="27"/>
      <c r="H22" s="32"/>
      <c r="M22" s="27"/>
    </row>
    <row r="23">
      <c r="B23" s="72" t="s">
        <v>148</v>
      </c>
      <c r="C23" s="73"/>
      <c r="D23" s="75">
        <v>220.0</v>
      </c>
      <c r="E23" s="75">
        <v>500.0</v>
      </c>
      <c r="F23" s="75">
        <v>500.0</v>
      </c>
      <c r="G23" s="27"/>
      <c r="H23" s="32"/>
      <c r="M23" s="27"/>
    </row>
    <row r="24">
      <c r="B24" s="72" t="s">
        <v>149</v>
      </c>
      <c r="C24" s="73"/>
      <c r="D24" s="74"/>
      <c r="E24" s="75">
        <v>603.0</v>
      </c>
      <c r="F24" s="75">
        <v>600.0</v>
      </c>
      <c r="G24" s="27"/>
      <c r="H24" s="32"/>
      <c r="M24" s="27"/>
    </row>
    <row r="25">
      <c r="A25" s="32" t="s">
        <v>120</v>
      </c>
      <c r="B25" s="72" t="s">
        <v>150</v>
      </c>
      <c r="C25" s="73"/>
      <c r="D25" s="75">
        <v>300.0</v>
      </c>
      <c r="E25" s="75">
        <v>300.0</v>
      </c>
      <c r="F25" s="75">
        <v>300.0</v>
      </c>
      <c r="G25" s="27"/>
      <c r="H25" s="27"/>
      <c r="M25" s="27"/>
    </row>
    <row r="26">
      <c r="B26" s="72" t="s">
        <v>151</v>
      </c>
      <c r="C26" s="73"/>
      <c r="D26" s="74"/>
      <c r="E26" s="75">
        <v>0.0</v>
      </c>
      <c r="F26" s="75"/>
      <c r="G26" s="27"/>
      <c r="H26" s="27"/>
      <c r="M26" s="27"/>
    </row>
    <row r="27">
      <c r="B27" s="72" t="s">
        <v>152</v>
      </c>
      <c r="C27" s="73"/>
      <c r="D27" s="74"/>
      <c r="E27" s="74"/>
      <c r="F27" s="75">
        <v>200.0</v>
      </c>
      <c r="G27" s="27"/>
      <c r="H27" s="27"/>
      <c r="M27" s="27"/>
    </row>
    <row r="28">
      <c r="B28" s="72" t="s">
        <v>181</v>
      </c>
      <c r="C28" s="73"/>
      <c r="D28" s="74"/>
      <c r="E28" s="75">
        <f>30+33.6</f>
        <v>63.6</v>
      </c>
      <c r="F28" s="179">
        <v>100.0</v>
      </c>
      <c r="G28" s="27"/>
      <c r="H28" s="27"/>
      <c r="M28" s="27"/>
    </row>
    <row r="29">
      <c r="B29" s="72" t="s">
        <v>154</v>
      </c>
      <c r="C29" s="73"/>
      <c r="D29" s="75">
        <f>47.4+15+12</f>
        <v>74.4</v>
      </c>
      <c r="E29" s="75">
        <v>116.0</v>
      </c>
      <c r="F29" s="75">
        <v>104.8</v>
      </c>
      <c r="G29" s="27"/>
      <c r="H29" s="27"/>
      <c r="I29" s="219" t="s">
        <v>271</v>
      </c>
      <c r="J29" s="49"/>
      <c r="K29" s="220">
        <f>F17+F18+F19+F20+F28+F23+E25</f>
        <v>1511.6</v>
      </c>
      <c r="M29" s="221">
        <f>K29+J37</f>
        <v>2742.12</v>
      </c>
    </row>
    <row r="30">
      <c r="B30" s="72" t="s">
        <v>155</v>
      </c>
      <c r="C30" s="73"/>
      <c r="D30" s="74"/>
      <c r="E30" s="74"/>
      <c r="F30" s="74"/>
      <c r="G30" s="27"/>
      <c r="H30" s="27"/>
      <c r="I30" s="222"/>
      <c r="K30" s="223"/>
      <c r="M30" s="27"/>
    </row>
    <row r="31">
      <c r="B31" s="72" t="s">
        <v>156</v>
      </c>
      <c r="C31" s="73"/>
      <c r="D31" s="75">
        <v>176.02</v>
      </c>
      <c r="E31" s="74">
        <f>70+40</f>
        <v>110</v>
      </c>
      <c r="F31" s="74"/>
      <c r="G31" s="27"/>
      <c r="H31" s="27"/>
      <c r="I31" s="222"/>
      <c r="K31" s="223"/>
      <c r="M31" s="27"/>
    </row>
    <row r="32">
      <c r="B32" s="72" t="s">
        <v>272</v>
      </c>
      <c r="C32" s="73"/>
      <c r="D32" s="75">
        <v>2641.33</v>
      </c>
      <c r="E32" s="75">
        <f>1769.01-63.6</f>
        <v>1705.41</v>
      </c>
      <c r="F32" s="74"/>
      <c r="G32" s="27"/>
      <c r="H32" s="27"/>
      <c r="I32" s="224" t="s">
        <v>273</v>
      </c>
      <c r="K32" s="223"/>
      <c r="M32" s="225">
        <f>I15-M29-2000</f>
        <v>1042.69</v>
      </c>
      <c r="N32" s="18" t="s">
        <v>249</v>
      </c>
    </row>
    <row r="33">
      <c r="B33" s="72" t="s">
        <v>158</v>
      </c>
      <c r="C33" s="73"/>
      <c r="D33" s="74"/>
      <c r="E33" s="75">
        <v>1219.0</v>
      </c>
      <c r="F33" s="74"/>
      <c r="G33" s="27"/>
      <c r="H33" s="27"/>
      <c r="I33" s="224" t="s">
        <v>27</v>
      </c>
      <c r="J33" s="12">
        <f>435.95</f>
        <v>435.95</v>
      </c>
      <c r="K33" s="223"/>
      <c r="M33" s="27"/>
    </row>
    <row r="34">
      <c r="B34" s="72" t="s">
        <v>159</v>
      </c>
      <c r="C34" s="73"/>
      <c r="D34" s="75">
        <v>1500.0</v>
      </c>
      <c r="E34" s="75">
        <v>800.0</v>
      </c>
      <c r="F34" s="75">
        <v>800.0</v>
      </c>
      <c r="G34" s="27"/>
      <c r="H34" s="27"/>
      <c r="I34" s="224" t="s">
        <v>274</v>
      </c>
      <c r="J34" s="226">
        <f>296.5+190.34</f>
        <v>486.84</v>
      </c>
      <c r="K34" s="223"/>
      <c r="M34" s="27"/>
    </row>
    <row r="35">
      <c r="B35" s="72" t="s">
        <v>160</v>
      </c>
      <c r="C35" s="73"/>
      <c r="D35" s="75">
        <v>1800.0</v>
      </c>
      <c r="E35" s="75">
        <v>1800.0</v>
      </c>
      <c r="F35" s="75">
        <v>1800.0</v>
      </c>
      <c r="G35" s="27"/>
      <c r="H35" s="27"/>
      <c r="I35" s="204" t="s">
        <v>275</v>
      </c>
      <c r="J35" s="227">
        <v>253.23</v>
      </c>
      <c r="K35" s="223"/>
      <c r="M35" s="27"/>
    </row>
    <row r="36">
      <c r="B36" s="67" t="s">
        <v>161</v>
      </c>
      <c r="C36" s="68"/>
      <c r="D36" s="78">
        <f t="shared" ref="D36:F36" si="2">SUM(D17:D35)*-1</f>
        <v>-7237.35</v>
      </c>
      <c r="E36" s="78">
        <f t="shared" si="2"/>
        <v>-10647.41</v>
      </c>
      <c r="F36" s="78">
        <f t="shared" si="2"/>
        <v>-7916.4</v>
      </c>
      <c r="G36" s="27"/>
      <c r="H36" s="27"/>
      <c r="I36" s="204" t="s">
        <v>276</v>
      </c>
      <c r="J36" s="227">
        <v>54.5</v>
      </c>
      <c r="K36" s="223"/>
      <c r="M36" s="27"/>
    </row>
    <row r="37">
      <c r="G37" s="27"/>
      <c r="H37" s="27"/>
      <c r="I37" s="228" t="s">
        <v>277</v>
      </c>
      <c r="J37" s="229">
        <f>SUM(J33:J36)</f>
        <v>1230.52</v>
      </c>
      <c r="K37" s="223"/>
      <c r="M37" s="27"/>
    </row>
    <row r="38">
      <c r="B38" s="80" t="s">
        <v>162</v>
      </c>
      <c r="C38" s="81"/>
      <c r="D38" s="82">
        <f t="shared" ref="D38:F38" si="3">D14+D36</f>
        <v>2948.2</v>
      </c>
      <c r="E38" s="82">
        <f t="shared" si="3"/>
        <v>8210.49</v>
      </c>
      <c r="F38" s="82">
        <f t="shared" si="3"/>
        <v>7490.56</v>
      </c>
      <c r="G38" s="27"/>
      <c r="H38" s="27"/>
      <c r="I38" s="206"/>
      <c r="K38" s="223"/>
      <c r="M38" s="27"/>
    </row>
    <row r="39">
      <c r="B39" s="83"/>
      <c r="C39" s="83"/>
      <c r="D39" s="84"/>
      <c r="E39" s="84"/>
      <c r="F39" s="84"/>
      <c r="G39" s="27"/>
      <c r="H39" s="27"/>
      <c r="I39" s="230"/>
      <c r="J39" s="231"/>
      <c r="K39" s="232"/>
      <c r="M39" s="27"/>
    </row>
    <row r="40">
      <c r="B40" s="85" t="s">
        <v>163</v>
      </c>
      <c r="C40" s="86"/>
      <c r="D40" s="57" t="s">
        <v>123</v>
      </c>
      <c r="E40" s="57" t="s">
        <v>124</v>
      </c>
      <c r="F40" s="57" t="s">
        <v>125</v>
      </c>
      <c r="G40" s="27"/>
      <c r="H40" s="27"/>
      <c r="I40" s="107"/>
      <c r="M40" s="27"/>
    </row>
    <row r="41">
      <c r="B41" s="87" t="s">
        <v>164</v>
      </c>
      <c r="C41" s="88">
        <v>4055.1</v>
      </c>
      <c r="D41" s="89">
        <v>498.84</v>
      </c>
      <c r="E41" s="134">
        <v>498.84</v>
      </c>
      <c r="F41" s="89">
        <v>498.84</v>
      </c>
      <c r="G41" s="27"/>
      <c r="H41" s="27"/>
      <c r="I41" s="233" t="s">
        <v>278</v>
      </c>
      <c r="J41" s="49"/>
      <c r="K41" s="234"/>
      <c r="M41" s="27"/>
    </row>
    <row r="42">
      <c r="B42" s="87" t="s">
        <v>165</v>
      </c>
      <c r="C42" s="88">
        <v>8943.65</v>
      </c>
      <c r="D42" s="91">
        <v>385.96</v>
      </c>
      <c r="E42" s="235">
        <v>385.96</v>
      </c>
      <c r="F42" s="91">
        <v>385.96</v>
      </c>
      <c r="G42" s="27"/>
      <c r="H42" s="27"/>
      <c r="I42" s="206"/>
      <c r="K42" s="223"/>
      <c r="M42" s="27"/>
    </row>
    <row r="43">
      <c r="B43" s="87" t="s">
        <v>166</v>
      </c>
      <c r="C43" s="88">
        <v>8200.0</v>
      </c>
      <c r="D43" s="91">
        <v>0.0</v>
      </c>
      <c r="E43" s="135">
        <v>512.0</v>
      </c>
      <c r="F43" s="91">
        <v>180.0</v>
      </c>
      <c r="G43" s="27"/>
      <c r="H43" s="27"/>
      <c r="I43" s="204" t="s">
        <v>279</v>
      </c>
      <c r="K43" s="236">
        <v>145.0</v>
      </c>
      <c r="M43" s="27"/>
    </row>
    <row r="44">
      <c r="B44" s="87" t="s">
        <v>280</v>
      </c>
      <c r="C44" s="88"/>
      <c r="D44" s="94"/>
      <c r="E44" s="135">
        <v>727.23</v>
      </c>
      <c r="F44" s="94"/>
      <c r="G44" s="27"/>
      <c r="H44" s="27"/>
      <c r="I44" s="204" t="s">
        <v>281</v>
      </c>
      <c r="K44" s="236">
        <v>2000.0</v>
      </c>
      <c r="M44" s="27"/>
    </row>
    <row r="45">
      <c r="B45" s="87" t="s">
        <v>203</v>
      </c>
      <c r="C45" s="88">
        <v>1760.0</v>
      </c>
      <c r="D45" s="94"/>
      <c r="E45" s="235">
        <v>440.0</v>
      </c>
      <c r="F45" s="94"/>
      <c r="G45" s="27"/>
      <c r="H45" s="27"/>
      <c r="I45" s="204" t="s">
        <v>282</v>
      </c>
      <c r="K45" s="236">
        <v>129.0</v>
      </c>
      <c r="M45" s="27"/>
    </row>
    <row r="46">
      <c r="B46" s="67" t="s">
        <v>167</v>
      </c>
      <c r="C46" s="95">
        <f>SUM(C41:C45)</f>
        <v>22958.75</v>
      </c>
      <c r="D46" s="78">
        <f>SUM(D41:D43)*-1</f>
        <v>-884.8</v>
      </c>
      <c r="E46" s="78">
        <f>SUM(E41:E45)*-1</f>
        <v>-2564.03</v>
      </c>
      <c r="F46" s="78">
        <f>SUM(F41:F43)*-1</f>
        <v>-1064.8</v>
      </c>
      <c r="G46" s="107"/>
      <c r="H46" s="107"/>
      <c r="I46" s="204" t="s">
        <v>283</v>
      </c>
      <c r="K46" s="237">
        <v>200.0</v>
      </c>
      <c r="M46" s="27"/>
    </row>
    <row r="47">
      <c r="B47" s="83"/>
      <c r="C47" s="83"/>
      <c r="D47" s="96"/>
      <c r="E47" s="96"/>
      <c r="F47" s="96"/>
      <c r="G47" s="192"/>
      <c r="H47" s="192"/>
      <c r="I47" s="238" t="s">
        <v>284</v>
      </c>
      <c r="J47" s="22"/>
      <c r="K47" s="237">
        <v>200.0</v>
      </c>
      <c r="M47" s="27"/>
    </row>
    <row r="48">
      <c r="B48" s="97" t="s">
        <v>168</v>
      </c>
      <c r="C48" s="98"/>
      <c r="D48" s="99">
        <f t="shared" ref="D48:F48" si="4">D38+D46</f>
        <v>2063.4</v>
      </c>
      <c r="E48" s="99">
        <f t="shared" si="4"/>
        <v>5646.46</v>
      </c>
      <c r="F48" s="99">
        <f t="shared" si="4"/>
        <v>6425.76</v>
      </c>
      <c r="G48" s="192"/>
      <c r="H48" s="192"/>
      <c r="I48" s="239"/>
      <c r="J48" s="240"/>
      <c r="K48" s="241">
        <f>SUM(K43:K47)</f>
        <v>2674</v>
      </c>
      <c r="M48" s="27"/>
    </row>
    <row r="49">
      <c r="B49" s="242"/>
      <c r="C49" s="243"/>
      <c r="D49" s="244"/>
      <c r="E49" s="244"/>
      <c r="F49" s="244"/>
      <c r="G49" s="192"/>
      <c r="H49" s="192"/>
      <c r="I49" s="192"/>
      <c r="J49" s="22"/>
      <c r="K49" s="245"/>
      <c r="M49" s="27"/>
    </row>
    <row r="50">
      <c r="B50" s="242"/>
      <c r="C50" s="243"/>
      <c r="D50" s="244"/>
      <c r="E50" s="244"/>
      <c r="F50" s="244"/>
      <c r="G50" s="192"/>
      <c r="H50" s="192"/>
      <c r="I50" s="192"/>
      <c r="J50" s="22"/>
      <c r="K50" s="245"/>
      <c r="M50" s="27"/>
    </row>
    <row r="51">
      <c r="B51" s="83"/>
      <c r="C51" s="83"/>
      <c r="D51" s="96"/>
      <c r="E51" s="96"/>
      <c r="F51" s="96"/>
      <c r="G51" s="192"/>
      <c r="H51" s="192"/>
      <c r="I51" s="192"/>
      <c r="J51" s="22"/>
      <c r="M51" s="27"/>
    </row>
    <row r="52">
      <c r="B52" s="100" t="s">
        <v>169</v>
      </c>
      <c r="C52" s="101"/>
      <c r="D52" s="57" t="s">
        <v>123</v>
      </c>
      <c r="E52" s="57" t="s">
        <v>124</v>
      </c>
      <c r="F52" s="57" t="s">
        <v>125</v>
      </c>
      <c r="G52" s="192"/>
      <c r="H52" s="192"/>
      <c r="I52" s="192"/>
      <c r="J52" s="22"/>
      <c r="M52" s="27"/>
    </row>
    <row r="53">
      <c r="B53" s="102" t="s">
        <v>170</v>
      </c>
      <c r="C53" s="103"/>
      <c r="D53" s="104"/>
      <c r="E53" s="105">
        <f t="shared" ref="E53:F53" si="5">D55</f>
        <v>2063.4</v>
      </c>
      <c r="F53" s="105">
        <f t="shared" si="5"/>
        <v>7709.86</v>
      </c>
      <c r="G53" s="192"/>
      <c r="H53" s="192"/>
      <c r="I53" s="192"/>
      <c r="J53" s="22"/>
      <c r="M53" s="27"/>
    </row>
    <row r="54">
      <c r="B54" s="102" t="s">
        <v>171</v>
      </c>
      <c r="C54" s="103"/>
      <c r="D54" s="106">
        <f t="shared" ref="D54:F54" si="6">+D48</f>
        <v>2063.4</v>
      </c>
      <c r="E54" s="106">
        <f t="shared" si="6"/>
        <v>5646.46</v>
      </c>
      <c r="F54" s="106">
        <f t="shared" si="6"/>
        <v>6425.76</v>
      </c>
      <c r="G54" s="192"/>
      <c r="H54" s="192"/>
      <c r="I54" s="192"/>
      <c r="J54" s="22"/>
      <c r="M54" s="27"/>
    </row>
    <row r="55">
      <c r="B55" s="67" t="s">
        <v>173</v>
      </c>
      <c r="C55" s="68"/>
      <c r="D55" s="95">
        <f t="shared" ref="D55:F55" si="7">SUM(D53:D54)</f>
        <v>2063.4</v>
      </c>
      <c r="E55" s="95">
        <f t="shared" si="7"/>
        <v>7709.86</v>
      </c>
      <c r="F55" s="95">
        <f t="shared" si="7"/>
        <v>14135.62</v>
      </c>
      <c r="G55" s="192"/>
      <c r="H55" s="192"/>
      <c r="I55" s="192"/>
      <c r="J55" s="22"/>
      <c r="M55" s="27"/>
    </row>
    <row r="56">
      <c r="G56" s="192"/>
      <c r="H56" s="192"/>
      <c r="I56" s="192"/>
      <c r="J56" s="22"/>
      <c r="M56" s="27"/>
    </row>
    <row r="57">
      <c r="G57" s="192"/>
      <c r="H57" s="192"/>
      <c r="I57" s="192"/>
      <c r="J57" s="22"/>
      <c r="M57" s="27"/>
    </row>
    <row r="58">
      <c r="G58" s="107"/>
      <c r="H58" s="107"/>
      <c r="I58" s="27"/>
      <c r="M58" s="27"/>
    </row>
    <row r="59">
      <c r="G59" s="27"/>
      <c r="H59" s="27"/>
      <c r="I59" s="27"/>
      <c r="M59" s="27"/>
    </row>
    <row r="60">
      <c r="G60" s="107"/>
      <c r="H60" s="107"/>
      <c r="I60" s="27"/>
      <c r="M60" s="27"/>
    </row>
    <row r="61">
      <c r="I61" s="107"/>
      <c r="L61" s="107"/>
      <c r="M61" s="27"/>
    </row>
    <row r="62">
      <c r="G62" s="107"/>
      <c r="H62" s="107"/>
      <c r="I62" s="107"/>
      <c r="M62" s="27"/>
    </row>
    <row r="63">
      <c r="G63" s="107"/>
      <c r="H63" s="107"/>
      <c r="I63" s="107"/>
      <c r="M63" s="27"/>
    </row>
    <row r="64">
      <c r="G64" s="107"/>
      <c r="H64" s="107"/>
      <c r="I64" s="27"/>
      <c r="M64" s="27"/>
    </row>
    <row r="65">
      <c r="G65" s="27"/>
      <c r="H65" s="27"/>
      <c r="I65" s="27"/>
      <c r="M65" s="27"/>
    </row>
    <row r="66">
      <c r="G66" s="107"/>
      <c r="H66" s="107"/>
      <c r="I66" s="27"/>
      <c r="M66" s="27"/>
    </row>
    <row r="67">
      <c r="G67" s="107"/>
      <c r="H67" s="107"/>
      <c r="I67" s="27"/>
      <c r="M67" s="27"/>
    </row>
    <row r="68">
      <c r="G68" s="107"/>
      <c r="H68" s="107"/>
      <c r="I68" s="27"/>
      <c r="M68" s="27"/>
    </row>
    <row r="69">
      <c r="G69" s="107"/>
      <c r="H69" s="107"/>
      <c r="I69" s="27"/>
      <c r="M69" s="27"/>
    </row>
    <row r="70">
      <c r="G70" s="107"/>
      <c r="H70" s="107"/>
      <c r="I70" s="107"/>
      <c r="M70" s="27"/>
    </row>
    <row r="71">
      <c r="G71" s="107"/>
      <c r="H71" s="107"/>
      <c r="I71" s="27"/>
      <c r="M71" s="27"/>
    </row>
    <row r="72">
      <c r="G72" s="107"/>
      <c r="H72" s="107"/>
      <c r="I72" s="27"/>
      <c r="M72" s="27"/>
    </row>
    <row r="73">
      <c r="G73" s="107"/>
      <c r="H73" s="107"/>
      <c r="I73" s="27"/>
      <c r="M73" s="27"/>
    </row>
    <row r="74">
      <c r="M74" s="27"/>
    </row>
    <row r="75">
      <c r="M75" s="27"/>
    </row>
    <row r="76">
      <c r="G76" s="27"/>
      <c r="H76" s="27"/>
      <c r="I76" s="27"/>
      <c r="M76" s="27"/>
    </row>
    <row r="77">
      <c r="G77" s="27"/>
      <c r="H77" s="27"/>
      <c r="I77" s="27"/>
      <c r="M77" s="27"/>
    </row>
    <row r="78">
      <c r="G78" s="27"/>
      <c r="H78" s="27"/>
      <c r="I78" s="27"/>
      <c r="M78" s="27"/>
    </row>
    <row r="79">
      <c r="G79" s="27"/>
      <c r="H79" s="27"/>
      <c r="I79" s="27"/>
      <c r="M79" s="27"/>
    </row>
    <row r="80">
      <c r="G80" s="27"/>
      <c r="H80" s="27"/>
      <c r="I80" s="27"/>
      <c r="M80" s="27"/>
    </row>
    <row r="81">
      <c r="G81" s="27"/>
      <c r="H81" s="27"/>
      <c r="I81" s="27"/>
      <c r="M81" s="27"/>
    </row>
    <row r="82">
      <c r="G82" s="27"/>
      <c r="H82" s="27"/>
      <c r="I82" s="27"/>
      <c r="M82" s="27"/>
    </row>
    <row r="83">
      <c r="G83" s="27"/>
      <c r="H83" s="27"/>
      <c r="I83" s="27"/>
      <c r="M83" s="27"/>
    </row>
    <row r="84">
      <c r="G84" s="27"/>
      <c r="H84" s="27"/>
      <c r="I84" s="27"/>
      <c r="M84" s="27"/>
    </row>
    <row r="85">
      <c r="G85" s="27"/>
      <c r="H85" s="27"/>
      <c r="I85" s="27"/>
      <c r="M85" s="27"/>
    </row>
    <row r="86">
      <c r="G86" s="27"/>
      <c r="H86" s="27"/>
      <c r="I86" s="27"/>
      <c r="M86" s="27"/>
    </row>
    <row r="87">
      <c r="G87" s="27"/>
      <c r="H87" s="27"/>
      <c r="I87" s="27"/>
      <c r="M87" s="27"/>
    </row>
    <row r="88">
      <c r="G88" s="27"/>
      <c r="H88" s="27"/>
      <c r="I88" s="27"/>
      <c r="M88" s="27"/>
    </row>
    <row r="89">
      <c r="G89" s="27"/>
      <c r="H89" s="27"/>
      <c r="I89" s="27"/>
      <c r="M89" s="27"/>
    </row>
    <row r="90">
      <c r="G90" s="27"/>
      <c r="H90" s="27"/>
      <c r="I90" s="27"/>
      <c r="M90" s="27"/>
    </row>
    <row r="91">
      <c r="G91" s="27"/>
      <c r="H91" s="27"/>
      <c r="I91" s="27"/>
      <c r="M91" s="27"/>
    </row>
    <row r="92">
      <c r="G92" s="27"/>
      <c r="H92" s="27"/>
      <c r="I92" s="27"/>
      <c r="M92" s="27"/>
    </row>
    <row r="93">
      <c r="G93" s="27"/>
      <c r="H93" s="27"/>
      <c r="I93" s="27"/>
      <c r="M93" s="27"/>
    </row>
    <row r="94">
      <c r="G94" s="27"/>
      <c r="H94" s="27"/>
      <c r="I94" s="27"/>
      <c r="M94" s="27"/>
    </row>
    <row r="95">
      <c r="G95" s="27"/>
      <c r="H95" s="27"/>
      <c r="I95" s="27"/>
      <c r="M95" s="27"/>
    </row>
    <row r="96">
      <c r="G96" s="27"/>
      <c r="H96" s="27"/>
      <c r="I96" s="27"/>
      <c r="M96" s="27"/>
    </row>
    <row r="97">
      <c r="G97" s="27"/>
      <c r="H97" s="27"/>
      <c r="I97" s="27"/>
      <c r="M97" s="27"/>
    </row>
    <row r="98">
      <c r="G98" s="27"/>
      <c r="H98" s="27"/>
      <c r="I98" s="27"/>
      <c r="M98" s="27"/>
    </row>
    <row r="99">
      <c r="G99" s="27"/>
      <c r="H99" s="27"/>
      <c r="I99" s="27"/>
      <c r="M99" s="27"/>
    </row>
    <row r="100">
      <c r="G100" s="27"/>
      <c r="H100" s="27"/>
      <c r="I100" s="27"/>
      <c r="M100" s="27"/>
    </row>
    <row r="101">
      <c r="G101" s="27"/>
      <c r="H101" s="27"/>
      <c r="I101" s="27"/>
      <c r="M101" s="27"/>
    </row>
    <row r="102">
      <c r="G102" s="27"/>
      <c r="H102" s="27"/>
      <c r="I102" s="27"/>
      <c r="M102" s="27"/>
    </row>
    <row r="103">
      <c r="G103" s="27"/>
      <c r="H103" s="27"/>
      <c r="I103" s="27"/>
      <c r="M103" s="27"/>
    </row>
    <row r="104">
      <c r="G104" s="27"/>
      <c r="H104" s="27"/>
      <c r="I104" s="27"/>
      <c r="M104" s="27"/>
    </row>
    <row r="105">
      <c r="G105" s="27"/>
      <c r="H105" s="27"/>
      <c r="I105" s="27"/>
      <c r="M105" s="27"/>
    </row>
    <row r="106">
      <c r="G106" s="27"/>
      <c r="H106" s="27"/>
      <c r="I106" s="27"/>
      <c r="M106" s="27"/>
    </row>
    <row r="107">
      <c r="G107" s="27"/>
      <c r="H107" s="27"/>
      <c r="I107" s="27"/>
      <c r="M107" s="27"/>
    </row>
    <row r="108">
      <c r="G108" s="27"/>
      <c r="H108" s="27"/>
      <c r="I108" s="27"/>
      <c r="M108" s="27"/>
    </row>
    <row r="109">
      <c r="G109" s="27"/>
      <c r="H109" s="27"/>
      <c r="I109" s="27"/>
      <c r="M109" s="27"/>
    </row>
    <row r="110">
      <c r="G110" s="27"/>
      <c r="H110" s="27"/>
      <c r="I110" s="27"/>
      <c r="M110" s="27"/>
    </row>
    <row r="111">
      <c r="G111" s="27"/>
      <c r="H111" s="27"/>
      <c r="I111" s="27"/>
      <c r="M111" s="27"/>
    </row>
    <row r="112">
      <c r="G112" s="27"/>
      <c r="H112" s="27"/>
      <c r="I112" s="27"/>
      <c r="M112" s="27"/>
    </row>
    <row r="113">
      <c r="G113" s="27"/>
      <c r="H113" s="27"/>
      <c r="I113" s="27"/>
      <c r="M113" s="27"/>
    </row>
    <row r="114">
      <c r="G114" s="27"/>
      <c r="H114" s="27"/>
      <c r="I114" s="27"/>
      <c r="M114" s="27"/>
    </row>
    <row r="115">
      <c r="G115" s="27"/>
      <c r="H115" s="27"/>
      <c r="I115" s="27"/>
      <c r="M115" s="27"/>
    </row>
    <row r="116">
      <c r="G116" s="27"/>
      <c r="H116" s="27"/>
      <c r="I116" s="27"/>
      <c r="M116" s="27"/>
    </row>
    <row r="117">
      <c r="G117" s="27"/>
      <c r="H117" s="27"/>
      <c r="I117" s="27"/>
      <c r="M117" s="27"/>
    </row>
    <row r="118">
      <c r="G118" s="27"/>
      <c r="H118" s="27"/>
      <c r="I118" s="27"/>
      <c r="M118" s="27"/>
    </row>
    <row r="119">
      <c r="G119" s="27"/>
      <c r="H119" s="27"/>
      <c r="I119" s="27"/>
      <c r="M119" s="27"/>
    </row>
    <row r="120">
      <c r="G120" s="27"/>
      <c r="H120" s="27"/>
      <c r="I120" s="27"/>
      <c r="M120" s="27"/>
    </row>
    <row r="121">
      <c r="G121" s="27"/>
      <c r="H121" s="27"/>
      <c r="I121" s="27"/>
      <c r="M121" s="27"/>
    </row>
    <row r="122">
      <c r="G122" s="27"/>
      <c r="H122" s="27"/>
      <c r="I122" s="27"/>
      <c r="M122" s="27"/>
    </row>
    <row r="123">
      <c r="G123" s="27"/>
      <c r="H123" s="27"/>
      <c r="I123" s="27"/>
      <c r="M123" s="27"/>
    </row>
    <row r="124">
      <c r="G124" s="27"/>
      <c r="H124" s="27"/>
      <c r="I124" s="27"/>
      <c r="M124" s="27"/>
    </row>
    <row r="125">
      <c r="G125" s="27"/>
      <c r="H125" s="27"/>
      <c r="I125" s="27"/>
      <c r="M125" s="27"/>
    </row>
    <row r="126">
      <c r="G126" s="27"/>
      <c r="H126" s="27"/>
      <c r="I126" s="27"/>
      <c r="M126" s="27"/>
    </row>
    <row r="127">
      <c r="G127" s="27"/>
      <c r="H127" s="27"/>
      <c r="I127" s="27"/>
      <c r="M127" s="27"/>
    </row>
    <row r="128">
      <c r="G128" s="27"/>
      <c r="H128" s="27"/>
      <c r="I128" s="27"/>
      <c r="M128" s="27"/>
    </row>
    <row r="129">
      <c r="G129" s="27"/>
      <c r="H129" s="27"/>
      <c r="I129" s="27"/>
      <c r="M129" s="27"/>
    </row>
    <row r="130">
      <c r="G130" s="27"/>
      <c r="H130" s="27"/>
      <c r="I130" s="27"/>
      <c r="M130" s="27"/>
    </row>
    <row r="131">
      <c r="G131" s="27"/>
      <c r="H131" s="27"/>
      <c r="I131" s="27"/>
      <c r="M131" s="27"/>
    </row>
    <row r="132">
      <c r="G132" s="27"/>
      <c r="H132" s="27"/>
      <c r="I132" s="27"/>
      <c r="M132" s="27"/>
    </row>
    <row r="133">
      <c r="G133" s="27"/>
      <c r="H133" s="27"/>
      <c r="I133" s="27"/>
      <c r="M133" s="27"/>
    </row>
    <row r="134">
      <c r="G134" s="27"/>
      <c r="H134" s="27"/>
      <c r="I134" s="27"/>
      <c r="M134" s="27"/>
    </row>
    <row r="135">
      <c r="G135" s="27"/>
      <c r="H135" s="27"/>
      <c r="I135" s="27"/>
      <c r="M135" s="27"/>
    </row>
    <row r="136">
      <c r="G136" s="27"/>
      <c r="H136" s="27"/>
      <c r="I136" s="27"/>
      <c r="M136" s="27"/>
    </row>
    <row r="137">
      <c r="G137" s="27"/>
      <c r="H137" s="27"/>
      <c r="I137" s="27"/>
      <c r="M137" s="27"/>
    </row>
    <row r="138">
      <c r="G138" s="27"/>
      <c r="H138" s="27"/>
      <c r="I138" s="27"/>
      <c r="M138" s="27"/>
    </row>
    <row r="139">
      <c r="G139" s="27"/>
      <c r="H139" s="27"/>
      <c r="I139" s="27"/>
      <c r="M139" s="27"/>
    </row>
    <row r="140">
      <c r="G140" s="27"/>
      <c r="H140" s="27"/>
      <c r="I140" s="27"/>
      <c r="M140" s="27"/>
    </row>
    <row r="141">
      <c r="G141" s="27"/>
      <c r="H141" s="27"/>
      <c r="I141" s="27"/>
      <c r="M141" s="27"/>
    </row>
    <row r="142">
      <c r="G142" s="27"/>
      <c r="H142" s="27"/>
      <c r="I142" s="27"/>
      <c r="M142" s="27"/>
    </row>
    <row r="143">
      <c r="G143" s="27"/>
      <c r="H143" s="27"/>
      <c r="I143" s="27"/>
      <c r="M143" s="27"/>
    </row>
    <row r="144">
      <c r="G144" s="27"/>
      <c r="H144" s="27"/>
      <c r="I144" s="27"/>
      <c r="M144" s="27"/>
    </row>
    <row r="145">
      <c r="G145" s="27"/>
      <c r="H145" s="27"/>
      <c r="I145" s="27"/>
      <c r="M145" s="27"/>
    </row>
    <row r="146">
      <c r="G146" s="27"/>
      <c r="H146" s="27"/>
      <c r="I146" s="27"/>
      <c r="M146" s="27"/>
    </row>
    <row r="147">
      <c r="G147" s="27"/>
      <c r="H147" s="27"/>
      <c r="I147" s="27"/>
      <c r="M147" s="27"/>
    </row>
    <row r="148">
      <c r="G148" s="27"/>
      <c r="H148" s="27"/>
      <c r="I148" s="27"/>
      <c r="M148" s="27"/>
    </row>
    <row r="149">
      <c r="G149" s="27"/>
      <c r="H149" s="27"/>
      <c r="I149" s="27"/>
      <c r="M149" s="27"/>
    </row>
    <row r="150">
      <c r="G150" s="27"/>
      <c r="H150" s="27"/>
      <c r="I150" s="27"/>
      <c r="M150" s="27"/>
    </row>
    <row r="151">
      <c r="G151" s="27"/>
      <c r="H151" s="27"/>
      <c r="I151" s="27"/>
      <c r="M151" s="27"/>
    </row>
    <row r="152">
      <c r="G152" s="27"/>
      <c r="H152" s="27"/>
      <c r="I152" s="27"/>
      <c r="M152" s="27"/>
    </row>
    <row r="153">
      <c r="G153" s="27"/>
      <c r="H153" s="27"/>
      <c r="I153" s="27"/>
      <c r="M153" s="27"/>
    </row>
    <row r="154">
      <c r="G154" s="27"/>
      <c r="H154" s="27"/>
      <c r="I154" s="27"/>
      <c r="M154" s="27"/>
    </row>
    <row r="155">
      <c r="G155" s="27"/>
      <c r="H155" s="27"/>
      <c r="I155" s="27"/>
      <c r="M155" s="27"/>
    </row>
    <row r="156">
      <c r="G156" s="27"/>
      <c r="H156" s="27"/>
      <c r="I156" s="27"/>
      <c r="M156" s="27"/>
    </row>
    <row r="157">
      <c r="G157" s="27"/>
      <c r="H157" s="27"/>
      <c r="I157" s="27"/>
      <c r="M157" s="27"/>
    </row>
    <row r="158">
      <c r="G158" s="27"/>
      <c r="H158" s="27"/>
      <c r="I158" s="27"/>
      <c r="M158" s="27"/>
    </row>
    <row r="159">
      <c r="G159" s="27"/>
      <c r="H159" s="27"/>
      <c r="I159" s="27"/>
      <c r="M159" s="27"/>
    </row>
    <row r="160">
      <c r="G160" s="27"/>
      <c r="H160" s="27"/>
      <c r="I160" s="27"/>
      <c r="M160" s="27"/>
    </row>
    <row r="161">
      <c r="G161" s="27"/>
      <c r="H161" s="27"/>
      <c r="I161" s="27"/>
      <c r="M161" s="27"/>
    </row>
    <row r="162">
      <c r="G162" s="27"/>
      <c r="H162" s="27"/>
      <c r="I162" s="27"/>
      <c r="M162" s="27"/>
    </row>
    <row r="163">
      <c r="G163" s="27"/>
      <c r="H163" s="27"/>
      <c r="I163" s="27"/>
      <c r="M163" s="27"/>
    </row>
    <row r="164">
      <c r="G164" s="27"/>
      <c r="H164" s="27"/>
      <c r="I164" s="27"/>
      <c r="M164" s="27"/>
    </row>
    <row r="165">
      <c r="G165" s="27"/>
      <c r="H165" s="27"/>
      <c r="I165" s="27"/>
      <c r="M165" s="27"/>
    </row>
    <row r="166">
      <c r="G166" s="27"/>
      <c r="H166" s="27"/>
      <c r="I166" s="27"/>
      <c r="M166" s="27"/>
    </row>
    <row r="167">
      <c r="G167" s="27"/>
      <c r="H167" s="27"/>
      <c r="I167" s="27"/>
      <c r="M167" s="27"/>
    </row>
    <row r="168">
      <c r="G168" s="27"/>
      <c r="H168" s="27"/>
      <c r="I168" s="27"/>
      <c r="M168" s="27"/>
    </row>
    <row r="169">
      <c r="G169" s="27"/>
      <c r="H169" s="27"/>
      <c r="I169" s="27"/>
      <c r="M169" s="27"/>
    </row>
    <row r="170">
      <c r="G170" s="27"/>
      <c r="H170" s="27"/>
      <c r="I170" s="27"/>
      <c r="M170" s="27"/>
    </row>
    <row r="171">
      <c r="G171" s="27"/>
      <c r="H171" s="27"/>
      <c r="I171" s="27"/>
      <c r="M171" s="27"/>
    </row>
    <row r="172">
      <c r="G172" s="27"/>
      <c r="H172" s="27"/>
      <c r="I172" s="27"/>
      <c r="M172" s="27"/>
    </row>
    <row r="173">
      <c r="G173" s="27"/>
      <c r="H173" s="27"/>
      <c r="I173" s="27"/>
      <c r="M173" s="27"/>
    </row>
    <row r="174">
      <c r="G174" s="27"/>
      <c r="H174" s="27"/>
      <c r="I174" s="27"/>
      <c r="M174" s="27"/>
    </row>
    <row r="175">
      <c r="G175" s="27"/>
      <c r="H175" s="27"/>
      <c r="I175" s="27"/>
      <c r="M175" s="27"/>
    </row>
    <row r="176">
      <c r="G176" s="27"/>
      <c r="H176" s="27"/>
      <c r="I176" s="27"/>
      <c r="M176" s="27"/>
    </row>
    <row r="177">
      <c r="G177" s="27"/>
      <c r="H177" s="27"/>
      <c r="I177" s="27"/>
      <c r="M177" s="27"/>
    </row>
    <row r="178">
      <c r="G178" s="27"/>
      <c r="H178" s="27"/>
      <c r="I178" s="27"/>
      <c r="M178" s="27"/>
    </row>
    <row r="179">
      <c r="G179" s="27"/>
      <c r="H179" s="27"/>
      <c r="I179" s="27"/>
      <c r="M179" s="27"/>
    </row>
    <row r="180">
      <c r="G180" s="27"/>
      <c r="H180" s="27"/>
      <c r="I180" s="27"/>
      <c r="M180" s="27"/>
    </row>
    <row r="181">
      <c r="G181" s="27"/>
      <c r="H181" s="27"/>
      <c r="I181" s="27"/>
      <c r="M181" s="27"/>
    </row>
    <row r="182">
      <c r="G182" s="27"/>
      <c r="H182" s="27"/>
      <c r="I182" s="27"/>
      <c r="M182" s="27"/>
    </row>
    <row r="183">
      <c r="G183" s="27"/>
      <c r="H183" s="27"/>
      <c r="I183" s="27"/>
      <c r="M183" s="27"/>
    </row>
    <row r="184">
      <c r="G184" s="27"/>
      <c r="H184" s="27"/>
      <c r="I184" s="27"/>
      <c r="M184" s="27"/>
    </row>
    <row r="185">
      <c r="G185" s="27"/>
      <c r="H185" s="27"/>
      <c r="I185" s="27"/>
      <c r="M185" s="27"/>
    </row>
    <row r="186">
      <c r="G186" s="27"/>
      <c r="H186" s="27"/>
      <c r="I186" s="27"/>
      <c r="M186" s="27"/>
    </row>
    <row r="187">
      <c r="G187" s="27"/>
      <c r="H187" s="27"/>
      <c r="I187" s="27"/>
      <c r="M187" s="27"/>
    </row>
    <row r="188">
      <c r="G188" s="27"/>
      <c r="H188" s="27"/>
      <c r="I188" s="27"/>
      <c r="M188" s="27"/>
    </row>
    <row r="189">
      <c r="G189" s="27"/>
      <c r="H189" s="27"/>
      <c r="I189" s="27"/>
      <c r="M189" s="27"/>
    </row>
    <row r="190">
      <c r="G190" s="27"/>
      <c r="H190" s="27"/>
      <c r="I190" s="27"/>
      <c r="M190" s="27"/>
    </row>
    <row r="191">
      <c r="G191" s="27"/>
      <c r="H191" s="27"/>
      <c r="I191" s="27"/>
      <c r="M191" s="27"/>
    </row>
    <row r="192">
      <c r="G192" s="27"/>
      <c r="H192" s="27"/>
      <c r="I192" s="27"/>
      <c r="M192" s="27"/>
    </row>
    <row r="193">
      <c r="G193" s="27"/>
      <c r="H193" s="27"/>
      <c r="I193" s="27"/>
      <c r="M193" s="27"/>
    </row>
    <row r="194">
      <c r="G194" s="27"/>
      <c r="H194" s="27"/>
      <c r="I194" s="27"/>
      <c r="M194" s="27"/>
    </row>
    <row r="195">
      <c r="G195" s="27"/>
      <c r="H195" s="27"/>
      <c r="I195" s="27"/>
      <c r="M195" s="27"/>
    </row>
    <row r="196">
      <c r="G196" s="27"/>
      <c r="H196" s="27"/>
      <c r="I196" s="27"/>
      <c r="M196" s="27"/>
    </row>
    <row r="197">
      <c r="G197" s="27"/>
      <c r="H197" s="27"/>
      <c r="I197" s="27"/>
      <c r="M197" s="27"/>
    </row>
    <row r="198">
      <c r="G198" s="27"/>
      <c r="H198" s="27"/>
      <c r="I198" s="27"/>
      <c r="M198" s="27"/>
    </row>
    <row r="199">
      <c r="G199" s="27"/>
      <c r="H199" s="27"/>
      <c r="I199" s="27"/>
      <c r="M199" s="27"/>
    </row>
    <row r="200">
      <c r="G200" s="27"/>
      <c r="H200" s="27"/>
      <c r="I200" s="27"/>
      <c r="M200" s="27"/>
    </row>
    <row r="201">
      <c r="G201" s="27"/>
      <c r="H201" s="27"/>
      <c r="I201" s="27"/>
      <c r="M201" s="27"/>
    </row>
    <row r="202">
      <c r="G202" s="27"/>
      <c r="H202" s="27"/>
      <c r="I202" s="27"/>
      <c r="M202" s="27"/>
    </row>
    <row r="203">
      <c r="G203" s="27"/>
      <c r="H203" s="27"/>
      <c r="I203" s="27"/>
      <c r="M203" s="27"/>
    </row>
    <row r="204">
      <c r="G204" s="27"/>
      <c r="H204" s="27"/>
      <c r="I204" s="27"/>
      <c r="M204" s="27"/>
    </row>
    <row r="205">
      <c r="G205" s="27"/>
      <c r="H205" s="27"/>
      <c r="I205" s="27"/>
      <c r="M205" s="27"/>
    </row>
    <row r="206">
      <c r="G206" s="27"/>
      <c r="H206" s="27"/>
      <c r="I206" s="27"/>
      <c r="M206" s="27"/>
    </row>
    <row r="207">
      <c r="G207" s="27"/>
      <c r="H207" s="27"/>
      <c r="I207" s="27"/>
      <c r="M207" s="27"/>
    </row>
    <row r="208">
      <c r="G208" s="27"/>
      <c r="H208" s="27"/>
      <c r="I208" s="27"/>
      <c r="M208" s="27"/>
    </row>
    <row r="209">
      <c r="G209" s="27"/>
      <c r="H209" s="27"/>
      <c r="I209" s="27"/>
      <c r="M209" s="27"/>
    </row>
    <row r="210">
      <c r="G210" s="27"/>
      <c r="H210" s="27"/>
      <c r="I210" s="27"/>
      <c r="M210" s="27"/>
    </row>
    <row r="211">
      <c r="G211" s="27"/>
      <c r="H211" s="27"/>
      <c r="I211" s="27"/>
      <c r="M211" s="27"/>
    </row>
    <row r="212">
      <c r="G212" s="27"/>
      <c r="H212" s="27"/>
      <c r="I212" s="27"/>
      <c r="M212" s="27"/>
    </row>
    <row r="213">
      <c r="G213" s="27"/>
      <c r="H213" s="27"/>
      <c r="I213" s="27"/>
      <c r="M213" s="27"/>
    </row>
    <row r="214">
      <c r="G214" s="27"/>
      <c r="H214" s="27"/>
      <c r="I214" s="27"/>
      <c r="M214" s="27"/>
    </row>
    <row r="215">
      <c r="G215" s="27"/>
      <c r="H215" s="27"/>
      <c r="I215" s="27"/>
      <c r="M215" s="27"/>
    </row>
    <row r="216">
      <c r="G216" s="27"/>
      <c r="H216" s="27"/>
      <c r="I216" s="27"/>
      <c r="M216" s="27"/>
    </row>
    <row r="217">
      <c r="G217" s="27"/>
      <c r="H217" s="27"/>
      <c r="I217" s="27"/>
      <c r="M217" s="27"/>
    </row>
    <row r="218">
      <c r="G218" s="27"/>
      <c r="H218" s="27"/>
      <c r="I218" s="27"/>
      <c r="M218" s="27"/>
    </row>
    <row r="219">
      <c r="G219" s="27"/>
      <c r="H219" s="27"/>
      <c r="I219" s="27"/>
      <c r="M219" s="27"/>
    </row>
    <row r="220">
      <c r="G220" s="27"/>
      <c r="H220" s="27"/>
      <c r="I220" s="27"/>
      <c r="M220" s="27"/>
    </row>
    <row r="221">
      <c r="G221" s="27"/>
      <c r="H221" s="27"/>
      <c r="I221" s="27"/>
      <c r="M221" s="27"/>
    </row>
    <row r="222">
      <c r="G222" s="27"/>
      <c r="H222" s="27"/>
      <c r="I222" s="27"/>
      <c r="M222" s="27"/>
    </row>
    <row r="223">
      <c r="G223" s="27"/>
      <c r="H223" s="27"/>
      <c r="I223" s="27"/>
      <c r="M223" s="27"/>
    </row>
    <row r="224">
      <c r="G224" s="27"/>
      <c r="H224" s="27"/>
      <c r="I224" s="27"/>
      <c r="M224" s="27"/>
    </row>
    <row r="225">
      <c r="G225" s="27"/>
      <c r="H225" s="27"/>
      <c r="I225" s="27"/>
      <c r="M225" s="27"/>
    </row>
    <row r="226">
      <c r="G226" s="27"/>
      <c r="H226" s="27"/>
      <c r="I226" s="27"/>
      <c r="M226" s="27"/>
    </row>
    <row r="227">
      <c r="G227" s="27"/>
      <c r="H227" s="27"/>
      <c r="I227" s="27"/>
      <c r="M227" s="27"/>
    </row>
    <row r="228">
      <c r="G228" s="27"/>
      <c r="H228" s="27"/>
      <c r="I228" s="27"/>
      <c r="M228" s="27"/>
    </row>
    <row r="229">
      <c r="G229" s="27"/>
      <c r="H229" s="27"/>
      <c r="I229" s="27"/>
      <c r="M229" s="27"/>
    </row>
    <row r="230">
      <c r="G230" s="27"/>
      <c r="H230" s="27"/>
      <c r="I230" s="27"/>
      <c r="M230" s="27"/>
    </row>
    <row r="231">
      <c r="G231" s="27"/>
      <c r="H231" s="27"/>
      <c r="I231" s="27"/>
      <c r="M231" s="27"/>
    </row>
    <row r="232">
      <c r="G232" s="27"/>
      <c r="H232" s="27"/>
      <c r="I232" s="27"/>
      <c r="M232" s="27"/>
    </row>
    <row r="233">
      <c r="G233" s="27"/>
      <c r="H233" s="27"/>
      <c r="I233" s="27"/>
      <c r="M233" s="27"/>
    </row>
    <row r="234">
      <c r="G234" s="27"/>
      <c r="H234" s="27"/>
      <c r="I234" s="27"/>
      <c r="M234" s="27"/>
    </row>
    <row r="235">
      <c r="G235" s="27"/>
      <c r="H235" s="27"/>
      <c r="I235" s="27"/>
      <c r="M235" s="27"/>
    </row>
    <row r="236">
      <c r="G236" s="27"/>
      <c r="H236" s="27"/>
      <c r="I236" s="27"/>
      <c r="M236" s="27"/>
    </row>
    <row r="237">
      <c r="G237" s="27"/>
      <c r="H237" s="27"/>
      <c r="I237" s="27"/>
      <c r="M237" s="27"/>
    </row>
    <row r="238">
      <c r="G238" s="27"/>
      <c r="H238" s="27"/>
      <c r="I238" s="27"/>
      <c r="M238" s="27"/>
    </row>
    <row r="239">
      <c r="G239" s="27"/>
      <c r="H239" s="27"/>
      <c r="I239" s="27"/>
      <c r="M239" s="27"/>
    </row>
    <row r="240">
      <c r="G240" s="27"/>
      <c r="H240" s="27"/>
      <c r="I240" s="27"/>
      <c r="M240" s="27"/>
    </row>
    <row r="241">
      <c r="G241" s="27"/>
      <c r="H241" s="27"/>
      <c r="I241" s="27"/>
      <c r="M241" s="27"/>
    </row>
    <row r="242">
      <c r="G242" s="27"/>
      <c r="H242" s="27"/>
      <c r="I242" s="27"/>
      <c r="M242" s="27"/>
    </row>
    <row r="243">
      <c r="G243" s="27"/>
      <c r="H243" s="27"/>
      <c r="I243" s="27"/>
      <c r="M243" s="27"/>
    </row>
    <row r="244">
      <c r="G244" s="27"/>
      <c r="H244" s="27"/>
      <c r="I244" s="27"/>
      <c r="M244" s="27"/>
    </row>
    <row r="245">
      <c r="G245" s="27"/>
      <c r="H245" s="27"/>
      <c r="I245" s="27"/>
      <c r="M245" s="27"/>
    </row>
    <row r="246">
      <c r="G246" s="27"/>
      <c r="H246" s="27"/>
      <c r="I246" s="27"/>
      <c r="M246" s="27"/>
    </row>
    <row r="247">
      <c r="G247" s="27"/>
      <c r="H247" s="27"/>
      <c r="I247" s="27"/>
      <c r="M247" s="27"/>
    </row>
    <row r="248">
      <c r="G248" s="27"/>
      <c r="H248" s="27"/>
      <c r="I248" s="27"/>
      <c r="M248" s="27"/>
    </row>
    <row r="249">
      <c r="G249" s="27"/>
      <c r="H249" s="27"/>
      <c r="I249" s="27"/>
      <c r="M249" s="27"/>
    </row>
    <row r="250">
      <c r="G250" s="27"/>
      <c r="H250" s="27"/>
      <c r="I250" s="27"/>
      <c r="M250" s="27"/>
    </row>
    <row r="251">
      <c r="G251" s="27"/>
      <c r="H251" s="27"/>
      <c r="I251" s="27"/>
      <c r="M251" s="27"/>
    </row>
    <row r="252">
      <c r="G252" s="27"/>
      <c r="H252" s="27"/>
      <c r="I252" s="27"/>
      <c r="M252" s="27"/>
    </row>
    <row r="253">
      <c r="G253" s="27"/>
      <c r="H253" s="27"/>
      <c r="I253" s="27"/>
      <c r="M253" s="27"/>
    </row>
    <row r="254">
      <c r="G254" s="27"/>
      <c r="H254" s="27"/>
      <c r="I254" s="27"/>
      <c r="M254" s="27"/>
    </row>
    <row r="255">
      <c r="G255" s="27"/>
      <c r="H255" s="27"/>
      <c r="I255" s="27"/>
      <c r="M255" s="27"/>
    </row>
    <row r="256">
      <c r="G256" s="27"/>
      <c r="H256" s="27"/>
      <c r="I256" s="27"/>
      <c r="M256" s="27"/>
    </row>
    <row r="257">
      <c r="G257" s="27"/>
      <c r="H257" s="27"/>
      <c r="I257" s="27"/>
      <c r="M257" s="27"/>
    </row>
    <row r="258">
      <c r="G258" s="27"/>
      <c r="H258" s="27"/>
      <c r="I258" s="27"/>
      <c r="M258" s="27"/>
    </row>
    <row r="259">
      <c r="G259" s="27"/>
      <c r="H259" s="27"/>
      <c r="I259" s="27"/>
      <c r="M259" s="27"/>
    </row>
    <row r="260">
      <c r="G260" s="27"/>
      <c r="H260" s="27"/>
      <c r="I260" s="27"/>
      <c r="M260" s="27"/>
    </row>
    <row r="261">
      <c r="G261" s="27"/>
      <c r="H261" s="27"/>
      <c r="I261" s="27"/>
      <c r="M261" s="27"/>
    </row>
    <row r="262">
      <c r="G262" s="27"/>
      <c r="H262" s="27"/>
      <c r="I262" s="27"/>
      <c r="M262" s="27"/>
    </row>
    <row r="263">
      <c r="G263" s="27"/>
      <c r="H263" s="27"/>
      <c r="I263" s="27"/>
      <c r="M263" s="27"/>
    </row>
    <row r="264">
      <c r="G264" s="27"/>
      <c r="H264" s="27"/>
      <c r="I264" s="27"/>
      <c r="M264" s="27"/>
    </row>
    <row r="265">
      <c r="G265" s="27"/>
      <c r="H265" s="27"/>
      <c r="I265" s="27"/>
      <c r="M265" s="27"/>
    </row>
    <row r="266">
      <c r="G266" s="27"/>
      <c r="H266" s="27"/>
      <c r="I266" s="27"/>
      <c r="M266" s="27"/>
    </row>
    <row r="267">
      <c r="G267" s="27"/>
      <c r="H267" s="27"/>
      <c r="I267" s="27"/>
      <c r="M267" s="27"/>
    </row>
    <row r="268">
      <c r="G268" s="27"/>
      <c r="H268" s="27"/>
      <c r="I268" s="27"/>
      <c r="M268" s="27"/>
    </row>
    <row r="269">
      <c r="G269" s="27"/>
      <c r="H269" s="27"/>
      <c r="I269" s="27"/>
      <c r="M269" s="27"/>
    </row>
    <row r="270">
      <c r="G270" s="27"/>
      <c r="H270" s="27"/>
      <c r="I270" s="27"/>
      <c r="M270" s="27"/>
    </row>
    <row r="271">
      <c r="G271" s="27"/>
      <c r="H271" s="27"/>
      <c r="I271" s="27"/>
      <c r="M271" s="27"/>
    </row>
    <row r="272">
      <c r="G272" s="27"/>
      <c r="H272" s="27"/>
      <c r="I272" s="27"/>
      <c r="M272" s="27"/>
    </row>
    <row r="273">
      <c r="G273" s="27"/>
      <c r="H273" s="27"/>
      <c r="I273" s="27"/>
      <c r="M273" s="27"/>
    </row>
    <row r="274">
      <c r="G274" s="27"/>
      <c r="H274" s="27"/>
      <c r="I274" s="27"/>
      <c r="M274" s="27"/>
    </row>
    <row r="275">
      <c r="G275" s="27"/>
      <c r="H275" s="27"/>
      <c r="I275" s="27"/>
      <c r="M275" s="27"/>
    </row>
    <row r="276">
      <c r="G276" s="27"/>
      <c r="H276" s="27"/>
      <c r="I276" s="27"/>
      <c r="M276" s="27"/>
    </row>
    <row r="277">
      <c r="G277" s="27"/>
      <c r="H277" s="27"/>
      <c r="I277" s="27"/>
      <c r="M277" s="27"/>
    </row>
    <row r="278">
      <c r="G278" s="27"/>
      <c r="H278" s="27"/>
      <c r="I278" s="27"/>
      <c r="M278" s="27"/>
    </row>
    <row r="279">
      <c r="G279" s="27"/>
      <c r="H279" s="27"/>
      <c r="I279" s="27"/>
      <c r="M279" s="27"/>
    </row>
    <row r="280">
      <c r="G280" s="27"/>
      <c r="H280" s="27"/>
      <c r="I280" s="27"/>
      <c r="M280" s="27"/>
    </row>
    <row r="281">
      <c r="G281" s="27"/>
      <c r="H281" s="27"/>
      <c r="I281" s="27"/>
      <c r="M281" s="27"/>
    </row>
    <row r="282">
      <c r="G282" s="27"/>
      <c r="H282" s="27"/>
      <c r="I282" s="27"/>
      <c r="M282" s="27"/>
    </row>
    <row r="283">
      <c r="G283" s="27"/>
      <c r="H283" s="27"/>
      <c r="I283" s="27"/>
      <c r="M283" s="27"/>
    </row>
    <row r="284">
      <c r="G284" s="27"/>
      <c r="H284" s="27"/>
      <c r="I284" s="27"/>
      <c r="M284" s="27"/>
    </row>
    <row r="285">
      <c r="G285" s="27"/>
      <c r="H285" s="27"/>
      <c r="I285" s="27"/>
      <c r="M285" s="27"/>
    </row>
    <row r="286">
      <c r="G286" s="27"/>
      <c r="H286" s="27"/>
      <c r="I286" s="27"/>
      <c r="M286" s="27"/>
    </row>
    <row r="287">
      <c r="G287" s="27"/>
      <c r="H287" s="27"/>
      <c r="I287" s="27"/>
      <c r="M287" s="27"/>
    </row>
    <row r="288">
      <c r="G288" s="27"/>
      <c r="H288" s="27"/>
      <c r="I288" s="27"/>
      <c r="M288" s="27"/>
    </row>
    <row r="289">
      <c r="G289" s="27"/>
      <c r="H289" s="27"/>
      <c r="I289" s="27"/>
      <c r="M289" s="27"/>
    </row>
    <row r="290">
      <c r="G290" s="27"/>
      <c r="H290" s="27"/>
      <c r="I290" s="27"/>
      <c r="M290" s="27"/>
    </row>
    <row r="291">
      <c r="G291" s="27"/>
      <c r="H291" s="27"/>
      <c r="I291" s="27"/>
      <c r="M291" s="27"/>
    </row>
    <row r="292">
      <c r="G292" s="27"/>
      <c r="H292" s="27"/>
      <c r="I292" s="27"/>
      <c r="M292" s="27"/>
    </row>
    <row r="293">
      <c r="G293" s="27"/>
      <c r="H293" s="27"/>
      <c r="I293" s="27"/>
      <c r="M293" s="27"/>
    </row>
    <row r="294">
      <c r="G294" s="27"/>
      <c r="H294" s="27"/>
      <c r="I294" s="27"/>
      <c r="M294" s="27"/>
    </row>
    <row r="295">
      <c r="G295" s="27"/>
      <c r="H295" s="27"/>
      <c r="I295" s="27"/>
      <c r="M295" s="27"/>
    </row>
    <row r="296">
      <c r="G296" s="27"/>
      <c r="H296" s="27"/>
      <c r="I296" s="27"/>
      <c r="M296" s="27"/>
    </row>
    <row r="297">
      <c r="G297" s="27"/>
      <c r="H297" s="27"/>
      <c r="I297" s="27"/>
      <c r="M297" s="27"/>
    </row>
    <row r="298">
      <c r="G298" s="27"/>
      <c r="H298" s="27"/>
      <c r="I298" s="27"/>
      <c r="M298" s="27"/>
    </row>
    <row r="299">
      <c r="G299" s="27"/>
      <c r="H299" s="27"/>
      <c r="I299" s="27"/>
      <c r="M299" s="27"/>
    </row>
    <row r="300">
      <c r="G300" s="27"/>
      <c r="H300" s="27"/>
      <c r="I300" s="27"/>
      <c r="M300" s="27"/>
    </row>
    <row r="301">
      <c r="G301" s="27"/>
      <c r="H301" s="27"/>
      <c r="I301" s="27"/>
      <c r="M301" s="27"/>
    </row>
    <row r="302">
      <c r="G302" s="27"/>
      <c r="H302" s="27"/>
      <c r="I302" s="27"/>
      <c r="M302" s="27"/>
    </row>
    <row r="303">
      <c r="G303" s="27"/>
      <c r="H303" s="27"/>
      <c r="I303" s="27"/>
      <c r="M303" s="27"/>
    </row>
    <row r="304">
      <c r="G304" s="27"/>
      <c r="H304" s="27"/>
      <c r="I304" s="27"/>
      <c r="M304" s="27"/>
    </row>
    <row r="305">
      <c r="G305" s="27"/>
      <c r="H305" s="27"/>
      <c r="I305" s="27"/>
      <c r="M305" s="27"/>
    </row>
    <row r="306">
      <c r="G306" s="27"/>
      <c r="H306" s="27"/>
      <c r="I306" s="27"/>
      <c r="M306" s="27"/>
    </row>
    <row r="307">
      <c r="G307" s="27"/>
      <c r="H307" s="27"/>
      <c r="I307" s="27"/>
      <c r="M307" s="27"/>
    </row>
    <row r="308">
      <c r="G308" s="27"/>
      <c r="H308" s="27"/>
      <c r="I308" s="27"/>
      <c r="M308" s="27"/>
    </row>
    <row r="309">
      <c r="G309" s="27"/>
      <c r="H309" s="27"/>
      <c r="I309" s="27"/>
      <c r="M309" s="27"/>
    </row>
    <row r="310">
      <c r="G310" s="27"/>
      <c r="H310" s="27"/>
      <c r="I310" s="27"/>
      <c r="M310" s="27"/>
    </row>
    <row r="311">
      <c r="G311" s="27"/>
      <c r="H311" s="27"/>
      <c r="I311" s="27"/>
      <c r="M311" s="27"/>
    </row>
    <row r="312">
      <c r="G312" s="27"/>
      <c r="H312" s="27"/>
      <c r="I312" s="27"/>
      <c r="M312" s="27"/>
    </row>
    <row r="313">
      <c r="G313" s="27"/>
      <c r="H313" s="27"/>
      <c r="I313" s="27"/>
      <c r="M313" s="27"/>
    </row>
    <row r="314">
      <c r="G314" s="27"/>
      <c r="H314" s="27"/>
      <c r="I314" s="27"/>
      <c r="M314" s="27"/>
    </row>
    <row r="315">
      <c r="G315" s="27"/>
      <c r="H315" s="27"/>
      <c r="I315" s="27"/>
      <c r="M315" s="27"/>
    </row>
    <row r="316">
      <c r="G316" s="27"/>
      <c r="H316" s="27"/>
      <c r="I316" s="27"/>
      <c r="M316" s="27"/>
    </row>
    <row r="317">
      <c r="G317" s="27"/>
      <c r="H317" s="27"/>
      <c r="I317" s="27"/>
      <c r="M317" s="27"/>
    </row>
    <row r="318">
      <c r="G318" s="27"/>
      <c r="H318" s="27"/>
      <c r="I318" s="27"/>
      <c r="M318" s="27"/>
    </row>
    <row r="319">
      <c r="G319" s="27"/>
      <c r="H319" s="27"/>
      <c r="I319" s="27"/>
      <c r="M319" s="27"/>
    </row>
    <row r="320">
      <c r="G320" s="27"/>
      <c r="H320" s="27"/>
      <c r="I320" s="27"/>
      <c r="M320" s="27"/>
    </row>
    <row r="321">
      <c r="G321" s="27"/>
      <c r="H321" s="27"/>
      <c r="I321" s="27"/>
      <c r="M321" s="27"/>
    </row>
    <row r="322">
      <c r="G322" s="27"/>
      <c r="H322" s="27"/>
      <c r="I322" s="27"/>
      <c r="M322" s="27"/>
    </row>
    <row r="323">
      <c r="G323" s="27"/>
      <c r="H323" s="27"/>
      <c r="I323" s="27"/>
      <c r="M323" s="27"/>
    </row>
    <row r="324">
      <c r="G324" s="27"/>
      <c r="H324" s="27"/>
      <c r="I324" s="27"/>
      <c r="M324" s="27"/>
    </row>
    <row r="325">
      <c r="G325" s="27"/>
      <c r="H325" s="27"/>
      <c r="I325" s="27"/>
      <c r="M325" s="27"/>
    </row>
    <row r="326">
      <c r="G326" s="27"/>
      <c r="H326" s="27"/>
      <c r="I326" s="27"/>
      <c r="M326" s="27"/>
    </row>
    <row r="327">
      <c r="G327" s="27"/>
      <c r="H327" s="27"/>
      <c r="I327" s="27"/>
      <c r="M327" s="27"/>
    </row>
    <row r="328">
      <c r="G328" s="27"/>
      <c r="H328" s="27"/>
      <c r="I328" s="27"/>
      <c r="M328" s="27"/>
    </row>
    <row r="329">
      <c r="G329" s="27"/>
      <c r="H329" s="27"/>
      <c r="I329" s="27"/>
      <c r="M329" s="27"/>
    </row>
    <row r="330">
      <c r="G330" s="27"/>
      <c r="H330" s="27"/>
      <c r="I330" s="27"/>
      <c r="M330" s="27"/>
    </row>
    <row r="331">
      <c r="G331" s="27"/>
      <c r="H331" s="27"/>
      <c r="I331" s="27"/>
      <c r="M331" s="27"/>
    </row>
    <row r="332">
      <c r="G332" s="27"/>
      <c r="H332" s="27"/>
      <c r="I332" s="27"/>
      <c r="M332" s="27"/>
    </row>
    <row r="333">
      <c r="G333" s="27"/>
      <c r="H333" s="27"/>
      <c r="I333" s="27"/>
      <c r="M333" s="27"/>
    </row>
    <row r="334">
      <c r="G334" s="27"/>
      <c r="H334" s="27"/>
      <c r="I334" s="27"/>
      <c r="M334" s="27"/>
    </row>
    <row r="335">
      <c r="G335" s="27"/>
      <c r="H335" s="27"/>
      <c r="I335" s="27"/>
      <c r="M335" s="27"/>
    </row>
    <row r="336">
      <c r="G336" s="27"/>
      <c r="H336" s="27"/>
      <c r="I336" s="27"/>
      <c r="M336" s="27"/>
    </row>
    <row r="337">
      <c r="G337" s="27"/>
      <c r="H337" s="27"/>
      <c r="I337" s="27"/>
      <c r="M337" s="27"/>
    </row>
    <row r="338">
      <c r="G338" s="27"/>
      <c r="H338" s="27"/>
      <c r="I338" s="27"/>
      <c r="M338" s="27"/>
    </row>
    <row r="339">
      <c r="G339" s="27"/>
      <c r="H339" s="27"/>
      <c r="I339" s="27"/>
      <c r="M339" s="27"/>
    </row>
    <row r="340">
      <c r="G340" s="27"/>
      <c r="H340" s="27"/>
      <c r="I340" s="27"/>
      <c r="M340" s="27"/>
    </row>
    <row r="341">
      <c r="G341" s="27"/>
      <c r="H341" s="27"/>
      <c r="I341" s="27"/>
      <c r="M341" s="27"/>
    </row>
    <row r="342">
      <c r="G342" s="27"/>
      <c r="H342" s="27"/>
      <c r="I342" s="27"/>
      <c r="M342" s="27"/>
    </row>
    <row r="343">
      <c r="G343" s="27"/>
      <c r="H343" s="27"/>
      <c r="I343" s="27"/>
      <c r="M343" s="27"/>
    </row>
    <row r="344">
      <c r="G344" s="27"/>
      <c r="H344" s="27"/>
      <c r="I344" s="27"/>
      <c r="M344" s="27"/>
    </row>
    <row r="345">
      <c r="G345" s="27"/>
      <c r="H345" s="27"/>
      <c r="I345" s="27"/>
      <c r="M345" s="27"/>
    </row>
    <row r="346">
      <c r="G346" s="27"/>
      <c r="H346" s="27"/>
      <c r="I346" s="27"/>
      <c r="M346" s="27"/>
    </row>
    <row r="347">
      <c r="G347" s="27"/>
      <c r="H347" s="27"/>
      <c r="I347" s="27"/>
      <c r="M347" s="27"/>
    </row>
    <row r="348">
      <c r="G348" s="27"/>
      <c r="H348" s="27"/>
      <c r="I348" s="27"/>
      <c r="M348" s="27"/>
    </row>
    <row r="349">
      <c r="G349" s="27"/>
      <c r="H349" s="27"/>
      <c r="I349" s="27"/>
      <c r="M349" s="27"/>
    </row>
    <row r="350">
      <c r="G350" s="27"/>
      <c r="H350" s="27"/>
      <c r="I350" s="27"/>
      <c r="M350" s="27"/>
    </row>
    <row r="351">
      <c r="G351" s="27"/>
      <c r="H351" s="27"/>
      <c r="I351" s="27"/>
      <c r="M351" s="27"/>
    </row>
    <row r="352">
      <c r="G352" s="27"/>
      <c r="H352" s="27"/>
      <c r="I352" s="27"/>
      <c r="M352" s="27"/>
    </row>
    <row r="353">
      <c r="G353" s="27"/>
      <c r="H353" s="27"/>
      <c r="I353" s="27"/>
      <c r="M353" s="27"/>
    </row>
    <row r="354">
      <c r="G354" s="27"/>
      <c r="H354" s="27"/>
      <c r="I354" s="27"/>
      <c r="M354" s="27"/>
    </row>
    <row r="355">
      <c r="G355" s="27"/>
      <c r="H355" s="27"/>
      <c r="I355" s="27"/>
      <c r="M355" s="27"/>
    </row>
    <row r="356">
      <c r="G356" s="27"/>
      <c r="H356" s="27"/>
      <c r="I356" s="27"/>
      <c r="M356" s="27"/>
    </row>
    <row r="357">
      <c r="G357" s="27"/>
      <c r="H357" s="27"/>
      <c r="I357" s="27"/>
      <c r="M357" s="27"/>
    </row>
    <row r="358">
      <c r="G358" s="27"/>
      <c r="H358" s="27"/>
      <c r="I358" s="27"/>
      <c r="M358" s="27"/>
    </row>
    <row r="359">
      <c r="G359" s="27"/>
      <c r="H359" s="27"/>
      <c r="I359" s="27"/>
      <c r="M359" s="27"/>
    </row>
    <row r="360">
      <c r="G360" s="27"/>
      <c r="H360" s="27"/>
      <c r="I360" s="27"/>
      <c r="M360" s="27"/>
    </row>
    <row r="361">
      <c r="G361" s="27"/>
      <c r="H361" s="27"/>
      <c r="I361" s="27"/>
      <c r="M361" s="27"/>
    </row>
    <row r="362">
      <c r="G362" s="27"/>
      <c r="H362" s="27"/>
      <c r="I362" s="27"/>
      <c r="M362" s="27"/>
    </row>
    <row r="363">
      <c r="G363" s="27"/>
      <c r="H363" s="27"/>
      <c r="I363" s="27"/>
      <c r="M363" s="27"/>
    </row>
    <row r="364">
      <c r="G364" s="27"/>
      <c r="H364" s="27"/>
      <c r="I364" s="27"/>
      <c r="M364" s="27"/>
    </row>
    <row r="365">
      <c r="G365" s="27"/>
      <c r="H365" s="27"/>
      <c r="I365" s="27"/>
      <c r="M365" s="27"/>
    </row>
    <row r="366">
      <c r="G366" s="27"/>
      <c r="H366" s="27"/>
      <c r="I366" s="27"/>
      <c r="M366" s="27"/>
    </row>
    <row r="367">
      <c r="G367" s="27"/>
      <c r="H367" s="27"/>
      <c r="I367" s="27"/>
      <c r="M367" s="27"/>
    </row>
    <row r="368">
      <c r="G368" s="27"/>
      <c r="H368" s="27"/>
      <c r="I368" s="27"/>
      <c r="M368" s="27"/>
    </row>
    <row r="369">
      <c r="G369" s="27"/>
      <c r="H369" s="27"/>
      <c r="I369" s="27"/>
      <c r="M369" s="27"/>
    </row>
    <row r="370">
      <c r="G370" s="27"/>
      <c r="H370" s="27"/>
      <c r="I370" s="27"/>
      <c r="M370" s="27"/>
    </row>
    <row r="371">
      <c r="G371" s="27"/>
      <c r="H371" s="27"/>
      <c r="I371" s="27"/>
      <c r="M371" s="27"/>
    </row>
    <row r="372">
      <c r="G372" s="27"/>
      <c r="H372" s="27"/>
      <c r="I372" s="27"/>
      <c r="M372" s="27"/>
    </row>
    <row r="373">
      <c r="G373" s="27"/>
      <c r="H373" s="27"/>
      <c r="I373" s="27"/>
      <c r="M373" s="27"/>
    </row>
    <row r="374">
      <c r="G374" s="27"/>
      <c r="H374" s="27"/>
      <c r="I374" s="27"/>
      <c r="M374" s="27"/>
    </row>
    <row r="375">
      <c r="G375" s="27"/>
      <c r="H375" s="27"/>
      <c r="I375" s="27"/>
      <c r="M375" s="27"/>
    </row>
    <row r="376">
      <c r="G376" s="27"/>
      <c r="H376" s="27"/>
      <c r="I376" s="27"/>
      <c r="M376" s="27"/>
    </row>
    <row r="377">
      <c r="G377" s="27"/>
      <c r="H377" s="27"/>
      <c r="I377" s="27"/>
      <c r="M377" s="27"/>
    </row>
    <row r="378">
      <c r="G378" s="27"/>
      <c r="H378" s="27"/>
      <c r="I378" s="27"/>
      <c r="M378" s="27"/>
    </row>
    <row r="379">
      <c r="G379" s="27"/>
      <c r="H379" s="27"/>
      <c r="I379" s="27"/>
      <c r="M379" s="27"/>
    </row>
    <row r="380">
      <c r="G380" s="27"/>
      <c r="H380" s="27"/>
      <c r="I380" s="27"/>
      <c r="M380" s="27"/>
    </row>
    <row r="381">
      <c r="G381" s="27"/>
      <c r="H381" s="27"/>
      <c r="I381" s="27"/>
      <c r="M381" s="27"/>
    </row>
    <row r="382">
      <c r="G382" s="27"/>
      <c r="H382" s="27"/>
      <c r="I382" s="27"/>
      <c r="M382" s="27"/>
    </row>
    <row r="383">
      <c r="G383" s="27"/>
      <c r="H383" s="27"/>
      <c r="I383" s="27"/>
      <c r="M383" s="27"/>
    </row>
    <row r="384">
      <c r="G384" s="27"/>
      <c r="H384" s="27"/>
      <c r="I384" s="27"/>
      <c r="M384" s="27"/>
    </row>
    <row r="385">
      <c r="G385" s="27"/>
      <c r="H385" s="27"/>
      <c r="I385" s="27"/>
      <c r="M385" s="27"/>
    </row>
    <row r="386">
      <c r="G386" s="27"/>
      <c r="H386" s="27"/>
      <c r="I386" s="27"/>
      <c r="M386" s="27"/>
    </row>
    <row r="387">
      <c r="G387" s="27"/>
      <c r="H387" s="27"/>
      <c r="I387" s="27"/>
      <c r="M387" s="27"/>
    </row>
    <row r="388">
      <c r="G388" s="27"/>
      <c r="H388" s="27"/>
      <c r="I388" s="27"/>
      <c r="M388" s="27"/>
    </row>
    <row r="389">
      <c r="G389" s="27"/>
      <c r="H389" s="27"/>
      <c r="I389" s="27"/>
      <c r="M389" s="27"/>
    </row>
    <row r="390">
      <c r="G390" s="27"/>
      <c r="H390" s="27"/>
      <c r="I390" s="27"/>
      <c r="M390" s="27"/>
    </row>
    <row r="391">
      <c r="G391" s="27"/>
      <c r="H391" s="27"/>
      <c r="I391" s="27"/>
      <c r="M391" s="27"/>
    </row>
    <row r="392">
      <c r="G392" s="27"/>
      <c r="H392" s="27"/>
      <c r="I392" s="27"/>
      <c r="M392" s="27"/>
    </row>
    <row r="393">
      <c r="G393" s="27"/>
      <c r="H393" s="27"/>
      <c r="I393" s="27"/>
      <c r="M393" s="27"/>
    </row>
    <row r="394">
      <c r="G394" s="27"/>
      <c r="H394" s="27"/>
      <c r="I394" s="27"/>
      <c r="M394" s="27"/>
    </row>
    <row r="395">
      <c r="G395" s="27"/>
      <c r="H395" s="27"/>
      <c r="I395" s="27"/>
      <c r="M395" s="27"/>
    </row>
    <row r="396">
      <c r="G396" s="27"/>
      <c r="H396" s="27"/>
      <c r="I396" s="27"/>
      <c r="M396" s="27"/>
    </row>
    <row r="397">
      <c r="G397" s="27"/>
      <c r="H397" s="27"/>
      <c r="I397" s="27"/>
      <c r="M397" s="27"/>
    </row>
    <row r="398">
      <c r="G398" s="27"/>
      <c r="H398" s="27"/>
      <c r="I398" s="27"/>
      <c r="M398" s="27"/>
    </row>
    <row r="399">
      <c r="G399" s="27"/>
      <c r="H399" s="27"/>
      <c r="I399" s="27"/>
      <c r="M399" s="27"/>
    </row>
    <row r="400">
      <c r="G400" s="27"/>
      <c r="H400" s="27"/>
      <c r="I400" s="27"/>
      <c r="M400" s="27"/>
    </row>
    <row r="401">
      <c r="G401" s="27"/>
      <c r="H401" s="27"/>
      <c r="I401" s="27"/>
      <c r="M401" s="27"/>
    </row>
    <row r="402">
      <c r="G402" s="27"/>
      <c r="H402" s="27"/>
      <c r="I402" s="27"/>
      <c r="M402" s="27"/>
    </row>
    <row r="403">
      <c r="G403" s="27"/>
      <c r="H403" s="27"/>
      <c r="I403" s="27"/>
      <c r="M403" s="27"/>
    </row>
    <row r="404">
      <c r="G404" s="27"/>
      <c r="H404" s="27"/>
      <c r="I404" s="27"/>
      <c r="M404" s="27"/>
    </row>
    <row r="405">
      <c r="G405" s="27"/>
      <c r="H405" s="27"/>
      <c r="I405" s="27"/>
      <c r="M405" s="27"/>
    </row>
    <row r="406">
      <c r="G406" s="27"/>
      <c r="H406" s="27"/>
      <c r="I406" s="27"/>
      <c r="M406" s="27"/>
    </row>
    <row r="407">
      <c r="G407" s="27"/>
      <c r="H407" s="27"/>
      <c r="I407" s="27"/>
      <c r="M407" s="27"/>
    </row>
    <row r="408">
      <c r="G408" s="27"/>
      <c r="H408" s="27"/>
      <c r="I408" s="27"/>
      <c r="M408" s="27"/>
    </row>
    <row r="409">
      <c r="G409" s="27"/>
      <c r="H409" s="27"/>
      <c r="I409" s="27"/>
      <c r="M409" s="27"/>
    </row>
    <row r="410">
      <c r="G410" s="27"/>
      <c r="H410" s="27"/>
      <c r="I410" s="27"/>
      <c r="M410" s="27"/>
    </row>
    <row r="411">
      <c r="G411" s="27"/>
      <c r="H411" s="27"/>
      <c r="I411" s="27"/>
      <c r="M411" s="27"/>
    </row>
    <row r="412">
      <c r="G412" s="27"/>
      <c r="H412" s="27"/>
      <c r="I412" s="27"/>
      <c r="M412" s="27"/>
    </row>
    <row r="413">
      <c r="G413" s="27"/>
      <c r="H413" s="27"/>
      <c r="I413" s="27"/>
      <c r="M413" s="27"/>
    </row>
    <row r="414">
      <c r="G414" s="27"/>
      <c r="H414" s="27"/>
      <c r="I414" s="27"/>
      <c r="M414" s="27"/>
    </row>
    <row r="415">
      <c r="G415" s="27"/>
      <c r="H415" s="27"/>
      <c r="I415" s="27"/>
      <c r="M415" s="27"/>
    </row>
    <row r="416">
      <c r="G416" s="27"/>
      <c r="H416" s="27"/>
      <c r="I416" s="27"/>
      <c r="M416" s="27"/>
    </row>
    <row r="417">
      <c r="G417" s="27"/>
      <c r="H417" s="27"/>
      <c r="I417" s="27"/>
      <c r="M417" s="27"/>
    </row>
    <row r="418">
      <c r="G418" s="27"/>
      <c r="H418" s="27"/>
      <c r="I418" s="27"/>
      <c r="M418" s="27"/>
    </row>
    <row r="419">
      <c r="G419" s="27"/>
      <c r="H419" s="27"/>
      <c r="I419" s="27"/>
      <c r="M419" s="27"/>
    </row>
    <row r="420">
      <c r="G420" s="27"/>
      <c r="H420" s="27"/>
      <c r="I420" s="27"/>
      <c r="M420" s="27"/>
    </row>
    <row r="421">
      <c r="G421" s="27"/>
      <c r="H421" s="27"/>
      <c r="I421" s="27"/>
      <c r="M421" s="27"/>
    </row>
    <row r="422">
      <c r="G422" s="27"/>
      <c r="H422" s="27"/>
      <c r="I422" s="27"/>
      <c r="M422" s="27"/>
    </row>
    <row r="423">
      <c r="G423" s="27"/>
      <c r="H423" s="27"/>
      <c r="I423" s="27"/>
      <c r="M423" s="27"/>
    </row>
    <row r="424">
      <c r="G424" s="27"/>
      <c r="H424" s="27"/>
      <c r="I424" s="27"/>
      <c r="M424" s="27"/>
    </row>
    <row r="425">
      <c r="G425" s="27"/>
      <c r="H425" s="27"/>
      <c r="I425" s="27"/>
      <c r="M425" s="27"/>
    </row>
    <row r="426">
      <c r="G426" s="27"/>
      <c r="H426" s="27"/>
      <c r="I426" s="27"/>
      <c r="M426" s="27"/>
    </row>
    <row r="427">
      <c r="G427" s="27"/>
      <c r="H427" s="27"/>
      <c r="I427" s="27"/>
      <c r="M427" s="27"/>
    </row>
    <row r="428">
      <c r="G428" s="27"/>
      <c r="H428" s="27"/>
      <c r="I428" s="27"/>
      <c r="M428" s="27"/>
    </row>
    <row r="429">
      <c r="G429" s="27"/>
      <c r="H429" s="27"/>
      <c r="I429" s="27"/>
      <c r="M429" s="27"/>
    </row>
    <row r="430">
      <c r="G430" s="27"/>
      <c r="H430" s="27"/>
      <c r="I430" s="27"/>
      <c r="M430" s="27"/>
    </row>
    <row r="431">
      <c r="G431" s="27"/>
      <c r="H431" s="27"/>
      <c r="I431" s="27"/>
      <c r="M431" s="27"/>
    </row>
    <row r="432">
      <c r="G432" s="27"/>
      <c r="H432" s="27"/>
      <c r="I432" s="27"/>
      <c r="M432" s="27"/>
    </row>
    <row r="433">
      <c r="G433" s="27"/>
      <c r="H433" s="27"/>
      <c r="I433" s="27"/>
      <c r="M433" s="27"/>
    </row>
    <row r="434">
      <c r="G434" s="27"/>
      <c r="H434" s="27"/>
      <c r="I434" s="27"/>
      <c r="M434" s="27"/>
    </row>
    <row r="435">
      <c r="G435" s="27"/>
      <c r="H435" s="27"/>
      <c r="I435" s="27"/>
      <c r="M435" s="27"/>
    </row>
    <row r="436">
      <c r="G436" s="27"/>
      <c r="H436" s="27"/>
      <c r="I436" s="27"/>
      <c r="M436" s="27"/>
    </row>
    <row r="437">
      <c r="G437" s="27"/>
      <c r="H437" s="27"/>
      <c r="I437" s="27"/>
      <c r="M437" s="27"/>
    </row>
    <row r="438">
      <c r="G438" s="27"/>
      <c r="H438" s="27"/>
      <c r="I438" s="27"/>
      <c r="M438" s="27"/>
    </row>
    <row r="439">
      <c r="G439" s="27"/>
      <c r="H439" s="27"/>
      <c r="I439" s="27"/>
      <c r="M439" s="27"/>
    </row>
    <row r="440">
      <c r="G440" s="27"/>
      <c r="H440" s="27"/>
      <c r="I440" s="27"/>
      <c r="M440" s="27"/>
    </row>
    <row r="441">
      <c r="G441" s="27"/>
      <c r="H441" s="27"/>
      <c r="I441" s="27"/>
      <c r="M441" s="27"/>
    </row>
    <row r="442">
      <c r="G442" s="27"/>
      <c r="H442" s="27"/>
      <c r="I442" s="27"/>
      <c r="M442" s="27"/>
    </row>
    <row r="443">
      <c r="G443" s="27"/>
      <c r="H443" s="27"/>
      <c r="I443" s="27"/>
      <c r="M443" s="27"/>
    </row>
    <row r="444">
      <c r="G444" s="27"/>
      <c r="H444" s="27"/>
      <c r="I444" s="27"/>
      <c r="M444" s="27"/>
    </row>
    <row r="445">
      <c r="G445" s="27"/>
      <c r="H445" s="27"/>
      <c r="I445" s="27"/>
      <c r="M445" s="27"/>
    </row>
    <row r="446">
      <c r="G446" s="27"/>
      <c r="H446" s="27"/>
      <c r="I446" s="27"/>
      <c r="M446" s="27"/>
    </row>
    <row r="447">
      <c r="G447" s="27"/>
      <c r="H447" s="27"/>
      <c r="I447" s="27"/>
      <c r="M447" s="27"/>
    </row>
    <row r="448">
      <c r="G448" s="27"/>
      <c r="H448" s="27"/>
      <c r="I448" s="27"/>
      <c r="M448" s="27"/>
    </row>
    <row r="449">
      <c r="G449" s="27"/>
      <c r="H449" s="27"/>
      <c r="I449" s="27"/>
      <c r="M449" s="27"/>
    </row>
    <row r="450">
      <c r="G450" s="27"/>
      <c r="H450" s="27"/>
      <c r="I450" s="27"/>
      <c r="M450" s="27"/>
    </row>
    <row r="451">
      <c r="G451" s="27"/>
      <c r="H451" s="27"/>
      <c r="I451" s="27"/>
      <c r="M451" s="27"/>
    </row>
    <row r="452">
      <c r="G452" s="27"/>
      <c r="H452" s="27"/>
      <c r="I452" s="27"/>
      <c r="M452" s="27"/>
    </row>
    <row r="453">
      <c r="G453" s="27"/>
      <c r="H453" s="27"/>
      <c r="I453" s="27"/>
      <c r="M453" s="27"/>
    </row>
    <row r="454">
      <c r="G454" s="27"/>
      <c r="H454" s="27"/>
      <c r="I454" s="27"/>
      <c r="M454" s="27"/>
    </row>
    <row r="455">
      <c r="G455" s="27"/>
      <c r="H455" s="27"/>
      <c r="I455" s="27"/>
      <c r="M455" s="27"/>
    </row>
    <row r="456">
      <c r="G456" s="27"/>
      <c r="H456" s="27"/>
      <c r="I456" s="27"/>
      <c r="M456" s="27"/>
    </row>
    <row r="457">
      <c r="G457" s="27"/>
      <c r="H457" s="27"/>
      <c r="I457" s="27"/>
      <c r="M457" s="27"/>
    </row>
    <row r="458">
      <c r="G458" s="27"/>
      <c r="H458" s="27"/>
      <c r="I458" s="27"/>
      <c r="M458" s="27"/>
    </row>
    <row r="459">
      <c r="G459" s="27"/>
      <c r="H459" s="27"/>
      <c r="I459" s="27"/>
      <c r="M459" s="27"/>
    </row>
    <row r="460">
      <c r="G460" s="27"/>
      <c r="H460" s="27"/>
      <c r="I460" s="27"/>
      <c r="M460" s="27"/>
    </row>
    <row r="461">
      <c r="G461" s="27"/>
      <c r="H461" s="27"/>
      <c r="I461" s="27"/>
      <c r="M461" s="27"/>
    </row>
    <row r="462">
      <c r="G462" s="27"/>
      <c r="H462" s="27"/>
      <c r="I462" s="27"/>
      <c r="M462" s="27"/>
    </row>
    <row r="463">
      <c r="G463" s="27"/>
      <c r="H463" s="27"/>
      <c r="I463" s="27"/>
      <c r="M463" s="27"/>
    </row>
    <row r="464">
      <c r="G464" s="27"/>
      <c r="H464" s="27"/>
      <c r="I464" s="27"/>
      <c r="M464" s="27"/>
    </row>
    <row r="465">
      <c r="G465" s="27"/>
      <c r="H465" s="27"/>
      <c r="I465" s="27"/>
      <c r="M465" s="27"/>
    </row>
    <row r="466">
      <c r="G466" s="27"/>
      <c r="H466" s="27"/>
      <c r="I466" s="27"/>
      <c r="M466" s="27"/>
    </row>
    <row r="467">
      <c r="G467" s="27"/>
      <c r="H467" s="27"/>
      <c r="I467" s="27"/>
      <c r="M467" s="27"/>
    </row>
    <row r="468">
      <c r="G468" s="27"/>
      <c r="H468" s="27"/>
      <c r="I468" s="27"/>
      <c r="M468" s="27"/>
    </row>
    <row r="469">
      <c r="G469" s="27"/>
      <c r="H469" s="27"/>
      <c r="I469" s="27"/>
      <c r="M469" s="27"/>
    </row>
    <row r="470">
      <c r="G470" s="27"/>
      <c r="H470" s="27"/>
      <c r="I470" s="27"/>
      <c r="M470" s="27"/>
    </row>
    <row r="471">
      <c r="G471" s="27"/>
      <c r="H471" s="27"/>
      <c r="I471" s="27"/>
      <c r="M471" s="27"/>
    </row>
    <row r="472">
      <c r="G472" s="27"/>
      <c r="H472" s="27"/>
      <c r="I472" s="27"/>
      <c r="M472" s="27"/>
    </row>
    <row r="473">
      <c r="G473" s="27"/>
      <c r="H473" s="27"/>
      <c r="I473" s="27"/>
      <c r="M473" s="27"/>
    </row>
    <row r="474">
      <c r="G474" s="27"/>
      <c r="H474" s="27"/>
      <c r="I474" s="27"/>
      <c r="M474" s="27"/>
    </row>
    <row r="475">
      <c r="G475" s="27"/>
      <c r="H475" s="27"/>
      <c r="I475" s="27"/>
      <c r="M475" s="27"/>
    </row>
    <row r="476">
      <c r="G476" s="27"/>
      <c r="H476" s="27"/>
      <c r="I476" s="27"/>
      <c r="M476" s="27"/>
    </row>
    <row r="477">
      <c r="G477" s="27"/>
      <c r="H477" s="27"/>
      <c r="I477" s="27"/>
      <c r="M477" s="27"/>
    </row>
    <row r="478">
      <c r="G478" s="27"/>
      <c r="H478" s="27"/>
      <c r="I478" s="27"/>
      <c r="M478" s="27"/>
    </row>
    <row r="479">
      <c r="G479" s="27"/>
      <c r="H479" s="27"/>
      <c r="I479" s="27"/>
      <c r="M479" s="27"/>
    </row>
    <row r="480">
      <c r="G480" s="27"/>
      <c r="H480" s="27"/>
      <c r="I480" s="27"/>
      <c r="M480" s="27"/>
    </row>
    <row r="481">
      <c r="G481" s="27"/>
      <c r="H481" s="27"/>
      <c r="I481" s="27"/>
      <c r="M481" s="27"/>
    </row>
    <row r="482">
      <c r="G482" s="27"/>
      <c r="H482" s="27"/>
      <c r="I482" s="27"/>
      <c r="M482" s="27"/>
    </row>
    <row r="483">
      <c r="G483" s="27"/>
      <c r="H483" s="27"/>
      <c r="I483" s="27"/>
      <c r="M483" s="27"/>
    </row>
    <row r="484">
      <c r="G484" s="27"/>
      <c r="H484" s="27"/>
      <c r="I484" s="27"/>
      <c r="M484" s="27"/>
    </row>
    <row r="485">
      <c r="G485" s="27"/>
      <c r="H485" s="27"/>
      <c r="I485" s="27"/>
      <c r="M485" s="27"/>
    </row>
    <row r="486">
      <c r="G486" s="27"/>
      <c r="H486" s="27"/>
      <c r="I486" s="27"/>
      <c r="M486" s="27"/>
    </row>
    <row r="487">
      <c r="G487" s="27"/>
      <c r="H487" s="27"/>
      <c r="I487" s="27"/>
      <c r="M487" s="27"/>
    </row>
    <row r="488">
      <c r="G488" s="27"/>
      <c r="H488" s="27"/>
      <c r="I488" s="27"/>
      <c r="M488" s="27"/>
    </row>
    <row r="489">
      <c r="G489" s="27"/>
      <c r="H489" s="27"/>
      <c r="I489" s="27"/>
      <c r="M489" s="27"/>
    </row>
    <row r="490">
      <c r="G490" s="27"/>
      <c r="H490" s="27"/>
      <c r="I490" s="27"/>
      <c r="M490" s="27"/>
    </row>
    <row r="491">
      <c r="G491" s="27"/>
      <c r="H491" s="27"/>
      <c r="I491" s="27"/>
      <c r="M491" s="27"/>
    </row>
    <row r="492">
      <c r="G492" s="27"/>
      <c r="H492" s="27"/>
      <c r="I492" s="27"/>
      <c r="M492" s="27"/>
    </row>
    <row r="493">
      <c r="G493" s="27"/>
      <c r="H493" s="27"/>
      <c r="I493" s="27"/>
      <c r="M493" s="27"/>
    </row>
    <row r="494">
      <c r="G494" s="27"/>
      <c r="H494" s="27"/>
      <c r="I494" s="27"/>
      <c r="M494" s="27"/>
    </row>
    <row r="495">
      <c r="G495" s="27"/>
      <c r="H495" s="27"/>
      <c r="I495" s="27"/>
      <c r="M495" s="27"/>
    </row>
    <row r="496">
      <c r="G496" s="27"/>
      <c r="H496" s="27"/>
      <c r="I496" s="27"/>
      <c r="M496" s="27"/>
    </row>
    <row r="497">
      <c r="G497" s="27"/>
      <c r="H497" s="27"/>
      <c r="I497" s="27"/>
      <c r="M497" s="27"/>
    </row>
    <row r="498">
      <c r="G498" s="27"/>
      <c r="H498" s="27"/>
      <c r="I498" s="27"/>
      <c r="M498" s="27"/>
    </row>
    <row r="499">
      <c r="G499" s="27"/>
      <c r="H499" s="27"/>
      <c r="I499" s="27"/>
      <c r="M499" s="27"/>
    </row>
    <row r="500">
      <c r="G500" s="27"/>
      <c r="H500" s="27"/>
      <c r="I500" s="27"/>
      <c r="M500" s="27"/>
    </row>
    <row r="501">
      <c r="G501" s="27"/>
      <c r="H501" s="27"/>
      <c r="I501" s="27"/>
      <c r="M501" s="27"/>
    </row>
    <row r="502">
      <c r="G502" s="27"/>
      <c r="H502" s="27"/>
      <c r="I502" s="27"/>
      <c r="M502" s="27"/>
    </row>
    <row r="503">
      <c r="G503" s="27"/>
      <c r="H503" s="27"/>
      <c r="I503" s="27"/>
      <c r="M503" s="27"/>
    </row>
    <row r="504">
      <c r="G504" s="27"/>
      <c r="H504" s="27"/>
      <c r="I504" s="27"/>
      <c r="M504" s="27"/>
    </row>
    <row r="505">
      <c r="G505" s="27"/>
      <c r="H505" s="27"/>
      <c r="I505" s="27"/>
      <c r="M505" s="27"/>
    </row>
    <row r="506">
      <c r="G506" s="27"/>
      <c r="H506" s="27"/>
      <c r="I506" s="27"/>
      <c r="M506" s="27"/>
    </row>
    <row r="507">
      <c r="G507" s="27"/>
      <c r="H507" s="27"/>
      <c r="I507" s="27"/>
      <c r="M507" s="27"/>
    </row>
    <row r="508">
      <c r="G508" s="27"/>
      <c r="H508" s="27"/>
      <c r="I508" s="27"/>
      <c r="M508" s="27"/>
    </row>
    <row r="509">
      <c r="G509" s="27"/>
      <c r="H509" s="27"/>
      <c r="I509" s="27"/>
      <c r="M509" s="27"/>
    </row>
    <row r="510">
      <c r="G510" s="27"/>
      <c r="H510" s="27"/>
      <c r="I510" s="27"/>
      <c r="M510" s="27"/>
    </row>
    <row r="511">
      <c r="G511" s="27"/>
      <c r="H511" s="27"/>
      <c r="I511" s="27"/>
      <c r="M511" s="27"/>
    </row>
    <row r="512">
      <c r="G512" s="27"/>
      <c r="H512" s="27"/>
      <c r="I512" s="27"/>
      <c r="M512" s="27"/>
    </row>
    <row r="513">
      <c r="G513" s="27"/>
      <c r="H513" s="27"/>
      <c r="I513" s="27"/>
      <c r="M513" s="27"/>
    </row>
    <row r="514">
      <c r="G514" s="27"/>
      <c r="H514" s="27"/>
      <c r="I514" s="27"/>
      <c r="M514" s="27"/>
    </row>
    <row r="515">
      <c r="G515" s="27"/>
      <c r="H515" s="27"/>
      <c r="I515" s="27"/>
      <c r="M515" s="27"/>
    </row>
    <row r="516">
      <c r="G516" s="27"/>
      <c r="H516" s="27"/>
      <c r="I516" s="27"/>
      <c r="M516" s="27"/>
    </row>
    <row r="517">
      <c r="G517" s="27"/>
      <c r="H517" s="27"/>
      <c r="I517" s="27"/>
      <c r="M517" s="27"/>
    </row>
    <row r="518">
      <c r="G518" s="27"/>
      <c r="H518" s="27"/>
      <c r="I518" s="27"/>
      <c r="M518" s="27"/>
    </row>
    <row r="519">
      <c r="G519" s="27"/>
      <c r="H519" s="27"/>
      <c r="I519" s="27"/>
      <c r="M519" s="27"/>
    </row>
    <row r="520">
      <c r="G520" s="27"/>
      <c r="H520" s="27"/>
      <c r="I520" s="27"/>
      <c r="M520" s="27"/>
    </row>
    <row r="521">
      <c r="G521" s="27"/>
      <c r="H521" s="27"/>
      <c r="I521" s="27"/>
      <c r="M521" s="27"/>
    </row>
    <row r="522">
      <c r="G522" s="27"/>
      <c r="H522" s="27"/>
      <c r="I522" s="27"/>
      <c r="M522" s="27"/>
    </row>
    <row r="523">
      <c r="G523" s="27"/>
      <c r="H523" s="27"/>
      <c r="I523" s="27"/>
      <c r="M523" s="27"/>
    </row>
    <row r="524">
      <c r="G524" s="27"/>
      <c r="H524" s="27"/>
      <c r="I524" s="27"/>
      <c r="M524" s="27"/>
    </row>
    <row r="525">
      <c r="G525" s="27"/>
      <c r="H525" s="27"/>
      <c r="I525" s="27"/>
      <c r="M525" s="27"/>
    </row>
    <row r="526">
      <c r="G526" s="27"/>
      <c r="H526" s="27"/>
      <c r="I526" s="27"/>
      <c r="M526" s="27"/>
    </row>
    <row r="527">
      <c r="G527" s="27"/>
      <c r="H527" s="27"/>
      <c r="I527" s="27"/>
      <c r="M527" s="27"/>
    </row>
    <row r="528">
      <c r="G528" s="27"/>
      <c r="H528" s="27"/>
      <c r="I528" s="27"/>
      <c r="M528" s="27"/>
    </row>
    <row r="529">
      <c r="G529" s="27"/>
      <c r="H529" s="27"/>
      <c r="I529" s="27"/>
      <c r="M529" s="27"/>
    </row>
    <row r="530">
      <c r="G530" s="27"/>
      <c r="H530" s="27"/>
      <c r="I530" s="27"/>
      <c r="M530" s="27"/>
    </row>
    <row r="531">
      <c r="G531" s="27"/>
      <c r="H531" s="27"/>
      <c r="I531" s="27"/>
      <c r="M531" s="27"/>
    </row>
    <row r="532">
      <c r="G532" s="27"/>
      <c r="H532" s="27"/>
      <c r="I532" s="27"/>
      <c r="M532" s="27"/>
    </row>
    <row r="533">
      <c r="G533" s="27"/>
      <c r="H533" s="27"/>
      <c r="I533" s="27"/>
      <c r="M533" s="27"/>
    </row>
    <row r="534">
      <c r="G534" s="27"/>
      <c r="H534" s="27"/>
      <c r="I534" s="27"/>
      <c r="M534" s="27"/>
    </row>
    <row r="535">
      <c r="G535" s="27"/>
      <c r="H535" s="27"/>
      <c r="I535" s="27"/>
      <c r="M535" s="27"/>
    </row>
    <row r="536">
      <c r="G536" s="27"/>
      <c r="H536" s="27"/>
      <c r="I536" s="27"/>
      <c r="M536" s="27"/>
    </row>
    <row r="537">
      <c r="G537" s="27"/>
      <c r="H537" s="27"/>
      <c r="I537" s="27"/>
      <c r="M537" s="27"/>
    </row>
    <row r="538">
      <c r="G538" s="27"/>
      <c r="H538" s="27"/>
      <c r="I538" s="27"/>
      <c r="M538" s="27"/>
    </row>
    <row r="539">
      <c r="G539" s="27"/>
      <c r="H539" s="27"/>
      <c r="I539" s="27"/>
      <c r="M539" s="27"/>
    </row>
    <row r="540">
      <c r="G540" s="27"/>
      <c r="H540" s="27"/>
      <c r="I540" s="27"/>
      <c r="M540" s="27"/>
    </row>
    <row r="541">
      <c r="G541" s="27"/>
      <c r="H541" s="27"/>
      <c r="I541" s="27"/>
      <c r="M541" s="27"/>
    </row>
    <row r="542">
      <c r="G542" s="27"/>
      <c r="H542" s="27"/>
      <c r="I542" s="27"/>
      <c r="M542" s="27"/>
    </row>
    <row r="543">
      <c r="G543" s="27"/>
      <c r="H543" s="27"/>
      <c r="I543" s="27"/>
      <c r="M543" s="27"/>
    </row>
    <row r="544">
      <c r="G544" s="27"/>
      <c r="H544" s="27"/>
      <c r="I544" s="27"/>
      <c r="M544" s="27"/>
    </row>
    <row r="545">
      <c r="G545" s="27"/>
      <c r="H545" s="27"/>
      <c r="I545" s="27"/>
      <c r="M545" s="27"/>
    </row>
    <row r="546">
      <c r="G546" s="27"/>
      <c r="H546" s="27"/>
      <c r="I546" s="27"/>
      <c r="M546" s="27"/>
    </row>
    <row r="547">
      <c r="G547" s="27"/>
      <c r="H547" s="27"/>
      <c r="I547" s="27"/>
      <c r="M547" s="27"/>
    </row>
    <row r="548">
      <c r="G548" s="27"/>
      <c r="H548" s="27"/>
      <c r="I548" s="27"/>
      <c r="M548" s="27"/>
    </row>
    <row r="549">
      <c r="G549" s="27"/>
      <c r="H549" s="27"/>
      <c r="I549" s="27"/>
      <c r="M549" s="27"/>
    </row>
    <row r="550">
      <c r="G550" s="27"/>
      <c r="H550" s="27"/>
      <c r="I550" s="27"/>
      <c r="M550" s="27"/>
    </row>
    <row r="551">
      <c r="G551" s="27"/>
      <c r="H551" s="27"/>
      <c r="I551" s="27"/>
      <c r="M551" s="27"/>
    </row>
    <row r="552">
      <c r="G552" s="27"/>
      <c r="H552" s="27"/>
      <c r="I552" s="27"/>
      <c r="M552" s="27"/>
    </row>
    <row r="553">
      <c r="G553" s="27"/>
      <c r="H553" s="27"/>
      <c r="I553" s="27"/>
      <c r="M553" s="27"/>
    </row>
    <row r="554">
      <c r="G554" s="27"/>
      <c r="H554" s="27"/>
      <c r="I554" s="27"/>
      <c r="M554" s="27"/>
    </row>
    <row r="555">
      <c r="G555" s="27"/>
      <c r="H555" s="27"/>
      <c r="I555" s="27"/>
      <c r="M555" s="27"/>
    </row>
    <row r="556">
      <c r="G556" s="27"/>
      <c r="H556" s="27"/>
      <c r="I556" s="27"/>
      <c r="M556" s="27"/>
    </row>
    <row r="557">
      <c r="G557" s="27"/>
      <c r="H557" s="27"/>
      <c r="I557" s="27"/>
      <c r="M557" s="27"/>
    </row>
    <row r="558">
      <c r="G558" s="27"/>
      <c r="H558" s="27"/>
      <c r="I558" s="27"/>
      <c r="M558" s="27"/>
    </row>
    <row r="559">
      <c r="G559" s="27"/>
      <c r="H559" s="27"/>
      <c r="I559" s="27"/>
      <c r="M559" s="27"/>
    </row>
    <row r="560">
      <c r="G560" s="27"/>
      <c r="H560" s="27"/>
      <c r="I560" s="27"/>
      <c r="M560" s="27"/>
    </row>
    <row r="561">
      <c r="G561" s="27"/>
      <c r="H561" s="27"/>
      <c r="I561" s="27"/>
      <c r="M561" s="27"/>
    </row>
    <row r="562">
      <c r="G562" s="27"/>
      <c r="H562" s="27"/>
      <c r="I562" s="27"/>
      <c r="M562" s="27"/>
    </row>
    <row r="563">
      <c r="G563" s="27"/>
      <c r="H563" s="27"/>
      <c r="I563" s="27"/>
      <c r="M563" s="27"/>
    </row>
    <row r="564">
      <c r="G564" s="27"/>
      <c r="H564" s="27"/>
      <c r="I564" s="27"/>
      <c r="M564" s="27"/>
    </row>
    <row r="565">
      <c r="G565" s="27"/>
      <c r="H565" s="27"/>
      <c r="I565" s="27"/>
      <c r="M565" s="27"/>
    </row>
    <row r="566">
      <c r="G566" s="27"/>
      <c r="H566" s="27"/>
      <c r="I566" s="27"/>
      <c r="M566" s="27"/>
    </row>
    <row r="567">
      <c r="G567" s="27"/>
      <c r="H567" s="27"/>
      <c r="I567" s="27"/>
      <c r="M567" s="27"/>
    </row>
    <row r="568">
      <c r="G568" s="27"/>
      <c r="H568" s="27"/>
      <c r="I568" s="27"/>
      <c r="M568" s="27"/>
    </row>
    <row r="569">
      <c r="G569" s="27"/>
      <c r="H569" s="27"/>
      <c r="I569" s="27"/>
      <c r="M569" s="27"/>
    </row>
    <row r="570">
      <c r="G570" s="27"/>
      <c r="H570" s="27"/>
      <c r="I570" s="27"/>
      <c r="M570" s="27"/>
    </row>
    <row r="571">
      <c r="G571" s="27"/>
      <c r="H571" s="27"/>
      <c r="I571" s="27"/>
      <c r="M571" s="27"/>
    </row>
    <row r="572">
      <c r="G572" s="27"/>
      <c r="H572" s="27"/>
      <c r="I572" s="27"/>
      <c r="M572" s="27"/>
    </row>
    <row r="573">
      <c r="G573" s="27"/>
      <c r="H573" s="27"/>
      <c r="I573" s="27"/>
      <c r="M573" s="27"/>
    </row>
    <row r="574">
      <c r="G574" s="27"/>
      <c r="H574" s="27"/>
      <c r="I574" s="27"/>
      <c r="M574" s="27"/>
    </row>
    <row r="575">
      <c r="G575" s="27"/>
      <c r="H575" s="27"/>
      <c r="I575" s="27"/>
      <c r="M575" s="27"/>
    </row>
    <row r="576">
      <c r="G576" s="27"/>
      <c r="H576" s="27"/>
      <c r="I576" s="27"/>
      <c r="M576" s="27"/>
    </row>
    <row r="577">
      <c r="G577" s="27"/>
      <c r="H577" s="27"/>
      <c r="I577" s="27"/>
      <c r="M577" s="27"/>
    </row>
    <row r="578">
      <c r="G578" s="27"/>
      <c r="H578" s="27"/>
      <c r="I578" s="27"/>
      <c r="M578" s="27"/>
    </row>
    <row r="579">
      <c r="G579" s="27"/>
      <c r="H579" s="27"/>
      <c r="I579" s="27"/>
      <c r="M579" s="27"/>
    </row>
    <row r="580">
      <c r="G580" s="27"/>
      <c r="H580" s="27"/>
      <c r="I580" s="27"/>
      <c r="M580" s="27"/>
    </row>
    <row r="581">
      <c r="G581" s="27"/>
      <c r="H581" s="27"/>
      <c r="I581" s="27"/>
      <c r="M581" s="27"/>
    </row>
    <row r="582">
      <c r="G582" s="27"/>
      <c r="H582" s="27"/>
      <c r="I582" s="27"/>
      <c r="M582" s="27"/>
    </row>
    <row r="583">
      <c r="G583" s="27"/>
      <c r="H583" s="27"/>
      <c r="I583" s="27"/>
      <c r="M583" s="27"/>
    </row>
    <row r="584">
      <c r="G584" s="27"/>
      <c r="H584" s="27"/>
      <c r="I584" s="27"/>
      <c r="M584" s="27"/>
    </row>
    <row r="585">
      <c r="G585" s="27"/>
      <c r="H585" s="27"/>
      <c r="I585" s="27"/>
      <c r="M585" s="27"/>
    </row>
    <row r="586">
      <c r="G586" s="27"/>
      <c r="H586" s="27"/>
      <c r="I586" s="27"/>
      <c r="M586" s="27"/>
    </row>
    <row r="587">
      <c r="G587" s="27"/>
      <c r="H587" s="27"/>
      <c r="I587" s="27"/>
      <c r="M587" s="27"/>
    </row>
    <row r="588">
      <c r="G588" s="27"/>
      <c r="H588" s="27"/>
      <c r="I588" s="27"/>
      <c r="M588" s="27"/>
    </row>
    <row r="589">
      <c r="G589" s="27"/>
      <c r="H589" s="27"/>
      <c r="I589" s="27"/>
      <c r="M589" s="27"/>
    </row>
    <row r="590">
      <c r="G590" s="27"/>
      <c r="H590" s="27"/>
      <c r="I590" s="27"/>
      <c r="M590" s="27"/>
    </row>
    <row r="591">
      <c r="G591" s="27"/>
      <c r="H591" s="27"/>
      <c r="I591" s="27"/>
      <c r="M591" s="27"/>
    </row>
    <row r="592">
      <c r="G592" s="27"/>
      <c r="H592" s="27"/>
      <c r="I592" s="27"/>
      <c r="M592" s="27"/>
    </row>
    <row r="593">
      <c r="G593" s="27"/>
      <c r="H593" s="27"/>
      <c r="I593" s="27"/>
      <c r="M593" s="27"/>
    </row>
    <row r="594">
      <c r="G594" s="27"/>
      <c r="H594" s="27"/>
      <c r="I594" s="27"/>
      <c r="M594" s="27"/>
    </row>
    <row r="595">
      <c r="G595" s="27"/>
      <c r="H595" s="27"/>
      <c r="I595" s="27"/>
      <c r="M595" s="27"/>
    </row>
    <row r="596">
      <c r="G596" s="27"/>
      <c r="H596" s="27"/>
      <c r="I596" s="27"/>
      <c r="M596" s="27"/>
    </row>
    <row r="597">
      <c r="G597" s="27"/>
      <c r="H597" s="27"/>
      <c r="I597" s="27"/>
      <c r="M597" s="27"/>
    </row>
    <row r="598">
      <c r="G598" s="27"/>
      <c r="H598" s="27"/>
      <c r="I598" s="27"/>
      <c r="M598" s="27"/>
    </row>
    <row r="599">
      <c r="G599" s="27"/>
      <c r="H599" s="27"/>
      <c r="I599" s="27"/>
      <c r="M599" s="27"/>
    </row>
    <row r="600">
      <c r="G600" s="27"/>
      <c r="H600" s="27"/>
      <c r="I600" s="27"/>
      <c r="M600" s="27"/>
    </row>
    <row r="601">
      <c r="G601" s="27"/>
      <c r="H601" s="27"/>
      <c r="I601" s="27"/>
      <c r="M601" s="27"/>
    </row>
    <row r="602">
      <c r="G602" s="27"/>
      <c r="H602" s="27"/>
      <c r="I602" s="27"/>
      <c r="M602" s="27"/>
    </row>
    <row r="603">
      <c r="G603" s="27"/>
      <c r="H603" s="27"/>
      <c r="I603" s="27"/>
      <c r="M603" s="27"/>
    </row>
    <row r="604">
      <c r="G604" s="27"/>
      <c r="H604" s="27"/>
      <c r="I604" s="27"/>
      <c r="M604" s="27"/>
    </row>
    <row r="605">
      <c r="G605" s="27"/>
      <c r="H605" s="27"/>
      <c r="I605" s="27"/>
      <c r="M605" s="27"/>
    </row>
    <row r="606">
      <c r="G606" s="27"/>
      <c r="H606" s="27"/>
      <c r="I606" s="27"/>
      <c r="M606" s="27"/>
    </row>
    <row r="607">
      <c r="G607" s="27"/>
      <c r="H607" s="27"/>
      <c r="I607" s="27"/>
      <c r="M607" s="27"/>
    </row>
    <row r="608">
      <c r="G608" s="27"/>
      <c r="H608" s="27"/>
      <c r="I608" s="27"/>
      <c r="M608" s="27"/>
    </row>
    <row r="609">
      <c r="G609" s="27"/>
      <c r="H609" s="27"/>
      <c r="I609" s="27"/>
      <c r="M609" s="27"/>
    </row>
    <row r="610">
      <c r="G610" s="27"/>
      <c r="H610" s="27"/>
      <c r="I610" s="27"/>
      <c r="M610" s="27"/>
    </row>
    <row r="611">
      <c r="G611" s="27"/>
      <c r="H611" s="27"/>
      <c r="I611" s="27"/>
      <c r="M611" s="27"/>
    </row>
    <row r="612">
      <c r="G612" s="27"/>
      <c r="H612" s="27"/>
      <c r="I612" s="27"/>
      <c r="M612" s="27"/>
    </row>
    <row r="613">
      <c r="G613" s="27"/>
      <c r="H613" s="27"/>
      <c r="I613" s="27"/>
      <c r="M613" s="27"/>
    </row>
    <row r="614">
      <c r="G614" s="27"/>
      <c r="H614" s="27"/>
      <c r="I614" s="27"/>
      <c r="M614" s="27"/>
    </row>
    <row r="615">
      <c r="G615" s="27"/>
      <c r="H615" s="27"/>
      <c r="I615" s="27"/>
      <c r="M615" s="27"/>
    </row>
    <row r="616">
      <c r="G616" s="27"/>
      <c r="H616" s="27"/>
      <c r="I616" s="27"/>
      <c r="M616" s="27"/>
    </row>
    <row r="617">
      <c r="G617" s="27"/>
      <c r="H617" s="27"/>
      <c r="I617" s="27"/>
      <c r="M617" s="27"/>
    </row>
    <row r="618">
      <c r="G618" s="27"/>
      <c r="H618" s="27"/>
      <c r="I618" s="27"/>
      <c r="M618" s="27"/>
    </row>
    <row r="619">
      <c r="G619" s="27"/>
      <c r="H619" s="27"/>
      <c r="I619" s="27"/>
      <c r="M619" s="27"/>
    </row>
    <row r="620">
      <c r="G620" s="27"/>
      <c r="H620" s="27"/>
      <c r="I620" s="27"/>
      <c r="M620" s="27"/>
    </row>
    <row r="621">
      <c r="G621" s="27"/>
      <c r="H621" s="27"/>
      <c r="I621" s="27"/>
      <c r="M621" s="27"/>
    </row>
    <row r="622">
      <c r="G622" s="27"/>
      <c r="H622" s="27"/>
      <c r="I622" s="27"/>
      <c r="M622" s="27"/>
    </row>
    <row r="623">
      <c r="G623" s="27"/>
      <c r="H623" s="27"/>
      <c r="I623" s="27"/>
      <c r="M623" s="27"/>
    </row>
    <row r="624">
      <c r="G624" s="27"/>
      <c r="H624" s="27"/>
      <c r="I624" s="27"/>
      <c r="M624" s="27"/>
    </row>
    <row r="625">
      <c r="G625" s="27"/>
      <c r="H625" s="27"/>
      <c r="I625" s="27"/>
      <c r="M625" s="27"/>
    </row>
    <row r="626">
      <c r="G626" s="27"/>
      <c r="H626" s="27"/>
      <c r="I626" s="27"/>
      <c r="M626" s="27"/>
    </row>
    <row r="627">
      <c r="G627" s="27"/>
      <c r="H627" s="27"/>
      <c r="I627" s="27"/>
      <c r="M627" s="27"/>
    </row>
    <row r="628">
      <c r="G628" s="27"/>
      <c r="H628" s="27"/>
      <c r="I628" s="27"/>
      <c r="M628" s="27"/>
    </row>
    <row r="629">
      <c r="G629" s="27"/>
      <c r="H629" s="27"/>
      <c r="I629" s="27"/>
      <c r="M629" s="27"/>
    </row>
    <row r="630">
      <c r="G630" s="27"/>
      <c r="H630" s="27"/>
      <c r="I630" s="27"/>
      <c r="M630" s="27"/>
    </row>
    <row r="631">
      <c r="G631" s="27"/>
      <c r="H631" s="27"/>
      <c r="I631" s="27"/>
      <c r="M631" s="27"/>
    </row>
    <row r="632">
      <c r="G632" s="27"/>
      <c r="H632" s="27"/>
      <c r="I632" s="27"/>
      <c r="M632" s="27"/>
    </row>
    <row r="633">
      <c r="G633" s="27"/>
      <c r="H633" s="27"/>
      <c r="I633" s="27"/>
      <c r="M633" s="27"/>
    </row>
    <row r="634">
      <c r="G634" s="27"/>
      <c r="H634" s="27"/>
      <c r="I634" s="27"/>
      <c r="M634" s="27"/>
    </row>
    <row r="635">
      <c r="G635" s="27"/>
      <c r="H635" s="27"/>
      <c r="I635" s="27"/>
      <c r="M635" s="27"/>
    </row>
    <row r="636">
      <c r="G636" s="27"/>
      <c r="H636" s="27"/>
      <c r="I636" s="27"/>
      <c r="M636" s="27"/>
    </row>
    <row r="637">
      <c r="G637" s="27"/>
      <c r="H637" s="27"/>
      <c r="I637" s="27"/>
      <c r="M637" s="27"/>
    </row>
    <row r="638">
      <c r="G638" s="27"/>
      <c r="H638" s="27"/>
      <c r="I638" s="27"/>
      <c r="M638" s="27"/>
    </row>
    <row r="639">
      <c r="G639" s="27"/>
      <c r="H639" s="27"/>
      <c r="I639" s="27"/>
      <c r="M639" s="27"/>
    </row>
    <row r="640">
      <c r="G640" s="27"/>
      <c r="H640" s="27"/>
      <c r="I640" s="27"/>
      <c r="M640" s="27"/>
    </row>
    <row r="641">
      <c r="G641" s="27"/>
      <c r="H641" s="27"/>
      <c r="I641" s="27"/>
      <c r="M641" s="27"/>
    </row>
    <row r="642">
      <c r="G642" s="27"/>
      <c r="H642" s="27"/>
      <c r="I642" s="27"/>
      <c r="M642" s="27"/>
    </row>
    <row r="643">
      <c r="G643" s="27"/>
      <c r="H643" s="27"/>
      <c r="I643" s="27"/>
      <c r="M643" s="27"/>
    </row>
    <row r="644">
      <c r="G644" s="27"/>
      <c r="H644" s="27"/>
      <c r="I644" s="27"/>
      <c r="M644" s="27"/>
    </row>
    <row r="645">
      <c r="G645" s="27"/>
      <c r="H645" s="27"/>
      <c r="I645" s="27"/>
      <c r="M645" s="27"/>
    </row>
    <row r="646">
      <c r="G646" s="27"/>
      <c r="H646" s="27"/>
      <c r="I646" s="27"/>
      <c r="M646" s="27"/>
    </row>
    <row r="647">
      <c r="G647" s="27"/>
      <c r="H647" s="27"/>
      <c r="I647" s="27"/>
      <c r="M647" s="27"/>
    </row>
    <row r="648">
      <c r="G648" s="27"/>
      <c r="H648" s="27"/>
      <c r="I648" s="27"/>
      <c r="M648" s="27"/>
    </row>
    <row r="649">
      <c r="G649" s="27"/>
      <c r="H649" s="27"/>
      <c r="I649" s="27"/>
      <c r="M649" s="27"/>
    </row>
    <row r="650">
      <c r="G650" s="27"/>
      <c r="H650" s="27"/>
      <c r="I650" s="27"/>
      <c r="M650" s="27"/>
    </row>
    <row r="651">
      <c r="G651" s="27"/>
      <c r="H651" s="27"/>
      <c r="I651" s="27"/>
      <c r="M651" s="27"/>
    </row>
    <row r="652">
      <c r="G652" s="27"/>
      <c r="H652" s="27"/>
      <c r="I652" s="27"/>
      <c r="M652" s="27"/>
    </row>
    <row r="653">
      <c r="G653" s="27"/>
      <c r="H653" s="27"/>
      <c r="I653" s="27"/>
      <c r="M653" s="27"/>
    </row>
    <row r="654">
      <c r="G654" s="27"/>
      <c r="H654" s="27"/>
      <c r="I654" s="27"/>
      <c r="M654" s="27"/>
    </row>
    <row r="655">
      <c r="G655" s="27"/>
      <c r="H655" s="27"/>
      <c r="I655" s="27"/>
      <c r="M655" s="27"/>
    </row>
    <row r="656">
      <c r="G656" s="27"/>
      <c r="H656" s="27"/>
      <c r="I656" s="27"/>
      <c r="M656" s="27"/>
    </row>
    <row r="657">
      <c r="G657" s="27"/>
      <c r="H657" s="27"/>
      <c r="I657" s="27"/>
      <c r="M657" s="27"/>
    </row>
    <row r="658">
      <c r="G658" s="27"/>
      <c r="H658" s="27"/>
      <c r="I658" s="27"/>
      <c r="M658" s="27"/>
    </row>
    <row r="659">
      <c r="G659" s="27"/>
      <c r="H659" s="27"/>
      <c r="I659" s="27"/>
      <c r="M659" s="27"/>
    </row>
    <row r="660">
      <c r="G660" s="27"/>
      <c r="H660" s="27"/>
      <c r="I660" s="27"/>
      <c r="M660" s="27"/>
    </row>
    <row r="661">
      <c r="G661" s="27"/>
      <c r="H661" s="27"/>
      <c r="I661" s="27"/>
      <c r="M661" s="27"/>
    </row>
    <row r="662">
      <c r="G662" s="27"/>
      <c r="H662" s="27"/>
      <c r="I662" s="27"/>
      <c r="M662" s="27"/>
    </row>
    <row r="663">
      <c r="G663" s="27"/>
      <c r="H663" s="27"/>
      <c r="I663" s="27"/>
      <c r="M663" s="27"/>
    </row>
    <row r="664">
      <c r="G664" s="27"/>
      <c r="H664" s="27"/>
      <c r="I664" s="27"/>
      <c r="M664" s="27"/>
    </row>
    <row r="665">
      <c r="G665" s="27"/>
      <c r="H665" s="27"/>
      <c r="I665" s="27"/>
      <c r="M665" s="27"/>
    </row>
    <row r="666">
      <c r="G666" s="27"/>
      <c r="H666" s="27"/>
      <c r="I666" s="27"/>
      <c r="M666" s="27"/>
    </row>
    <row r="667">
      <c r="G667" s="27"/>
      <c r="H667" s="27"/>
      <c r="I667" s="27"/>
      <c r="M667" s="27"/>
    </row>
    <row r="668">
      <c r="G668" s="27"/>
      <c r="H668" s="27"/>
      <c r="I668" s="27"/>
      <c r="M668" s="27"/>
    </row>
    <row r="669">
      <c r="G669" s="27"/>
      <c r="H669" s="27"/>
      <c r="I669" s="27"/>
      <c r="M669" s="27"/>
    </row>
    <row r="670">
      <c r="G670" s="27"/>
      <c r="H670" s="27"/>
      <c r="I670" s="27"/>
      <c r="M670" s="27"/>
    </row>
    <row r="671">
      <c r="G671" s="27"/>
      <c r="H671" s="27"/>
      <c r="I671" s="27"/>
      <c r="M671" s="27"/>
    </row>
    <row r="672">
      <c r="G672" s="27"/>
      <c r="H672" s="27"/>
      <c r="I672" s="27"/>
      <c r="M672" s="27"/>
    </row>
    <row r="673">
      <c r="G673" s="27"/>
      <c r="H673" s="27"/>
      <c r="I673" s="27"/>
      <c r="M673" s="27"/>
    </row>
    <row r="674">
      <c r="G674" s="27"/>
      <c r="H674" s="27"/>
      <c r="I674" s="27"/>
      <c r="M674" s="27"/>
    </row>
    <row r="675">
      <c r="G675" s="27"/>
      <c r="H675" s="27"/>
      <c r="I675" s="27"/>
      <c r="M675" s="27"/>
    </row>
    <row r="676">
      <c r="G676" s="27"/>
      <c r="H676" s="27"/>
      <c r="I676" s="27"/>
      <c r="M676" s="27"/>
    </row>
    <row r="677">
      <c r="G677" s="27"/>
      <c r="H677" s="27"/>
      <c r="I677" s="27"/>
      <c r="M677" s="27"/>
    </row>
    <row r="678">
      <c r="G678" s="27"/>
      <c r="H678" s="27"/>
      <c r="I678" s="27"/>
      <c r="M678" s="27"/>
    </row>
    <row r="679">
      <c r="G679" s="27"/>
      <c r="H679" s="27"/>
      <c r="I679" s="27"/>
      <c r="M679" s="27"/>
    </row>
    <row r="680">
      <c r="G680" s="27"/>
      <c r="H680" s="27"/>
      <c r="I680" s="27"/>
      <c r="M680" s="27"/>
    </row>
    <row r="681">
      <c r="G681" s="27"/>
      <c r="H681" s="27"/>
      <c r="I681" s="27"/>
      <c r="M681" s="27"/>
    </row>
    <row r="682">
      <c r="G682" s="27"/>
      <c r="H682" s="27"/>
      <c r="I682" s="27"/>
      <c r="M682" s="27"/>
    </row>
    <row r="683">
      <c r="G683" s="27"/>
      <c r="H683" s="27"/>
      <c r="I683" s="27"/>
      <c r="M683" s="27"/>
    </row>
    <row r="684">
      <c r="G684" s="27"/>
      <c r="H684" s="27"/>
      <c r="I684" s="27"/>
      <c r="M684" s="27"/>
    </row>
    <row r="685">
      <c r="G685" s="27"/>
      <c r="H685" s="27"/>
      <c r="I685" s="27"/>
      <c r="M685" s="27"/>
    </row>
    <row r="686">
      <c r="G686" s="27"/>
      <c r="H686" s="27"/>
      <c r="I686" s="27"/>
      <c r="M686" s="27"/>
    </row>
    <row r="687">
      <c r="G687" s="27"/>
      <c r="H687" s="27"/>
      <c r="I687" s="27"/>
      <c r="M687" s="27"/>
    </row>
    <row r="688">
      <c r="G688" s="27"/>
      <c r="H688" s="27"/>
      <c r="I688" s="27"/>
      <c r="M688" s="27"/>
    </row>
    <row r="689">
      <c r="G689" s="27"/>
      <c r="H689" s="27"/>
      <c r="I689" s="27"/>
      <c r="M689" s="27"/>
    </row>
    <row r="690">
      <c r="G690" s="27"/>
      <c r="H690" s="27"/>
      <c r="I690" s="27"/>
      <c r="M690" s="27"/>
    </row>
    <row r="691">
      <c r="G691" s="27"/>
      <c r="H691" s="27"/>
      <c r="I691" s="27"/>
      <c r="M691" s="27"/>
    </row>
    <row r="692">
      <c r="G692" s="27"/>
      <c r="H692" s="27"/>
      <c r="I692" s="27"/>
      <c r="M692" s="27"/>
    </row>
    <row r="693">
      <c r="G693" s="27"/>
      <c r="H693" s="27"/>
      <c r="I693" s="27"/>
      <c r="M693" s="27"/>
    </row>
    <row r="694">
      <c r="G694" s="27"/>
      <c r="H694" s="27"/>
      <c r="I694" s="27"/>
      <c r="M694" s="27"/>
    </row>
    <row r="695">
      <c r="G695" s="27"/>
      <c r="H695" s="27"/>
      <c r="I695" s="27"/>
      <c r="M695" s="27"/>
    </row>
    <row r="696">
      <c r="G696" s="27"/>
      <c r="H696" s="27"/>
      <c r="I696" s="27"/>
      <c r="M696" s="27"/>
    </row>
    <row r="697">
      <c r="G697" s="27"/>
      <c r="H697" s="27"/>
      <c r="I697" s="27"/>
      <c r="M697" s="27"/>
    </row>
    <row r="698">
      <c r="G698" s="27"/>
      <c r="H698" s="27"/>
      <c r="I698" s="27"/>
      <c r="M698" s="27"/>
    </row>
    <row r="699">
      <c r="G699" s="27"/>
      <c r="H699" s="27"/>
      <c r="I699" s="27"/>
      <c r="M699" s="27"/>
    </row>
    <row r="700">
      <c r="G700" s="27"/>
      <c r="H700" s="27"/>
      <c r="I700" s="27"/>
      <c r="M700" s="27"/>
    </row>
    <row r="701">
      <c r="G701" s="27"/>
      <c r="H701" s="27"/>
      <c r="I701" s="27"/>
      <c r="M701" s="27"/>
    </row>
    <row r="702">
      <c r="G702" s="27"/>
      <c r="H702" s="27"/>
      <c r="I702" s="27"/>
      <c r="M702" s="27"/>
    </row>
    <row r="703">
      <c r="G703" s="27"/>
      <c r="H703" s="27"/>
      <c r="I703" s="27"/>
      <c r="M703" s="27"/>
    </row>
    <row r="704">
      <c r="G704" s="27"/>
      <c r="H704" s="27"/>
      <c r="I704" s="27"/>
      <c r="M704" s="27"/>
    </row>
    <row r="705">
      <c r="G705" s="27"/>
      <c r="H705" s="27"/>
      <c r="I705" s="27"/>
      <c r="M705" s="27"/>
    </row>
    <row r="706">
      <c r="G706" s="27"/>
      <c r="H706" s="27"/>
      <c r="I706" s="27"/>
      <c r="M706" s="27"/>
    </row>
    <row r="707">
      <c r="G707" s="27"/>
      <c r="H707" s="27"/>
      <c r="I707" s="27"/>
      <c r="M707" s="27"/>
    </row>
    <row r="708">
      <c r="G708" s="27"/>
      <c r="H708" s="27"/>
      <c r="I708" s="27"/>
      <c r="M708" s="27"/>
    </row>
    <row r="709">
      <c r="G709" s="27"/>
      <c r="H709" s="27"/>
      <c r="I709" s="27"/>
      <c r="M709" s="27"/>
    </row>
    <row r="710">
      <c r="G710" s="27"/>
      <c r="H710" s="27"/>
      <c r="I710" s="27"/>
      <c r="M710" s="27"/>
    </row>
    <row r="711">
      <c r="G711" s="27"/>
      <c r="H711" s="27"/>
      <c r="I711" s="27"/>
      <c r="M711" s="27"/>
    </row>
    <row r="712">
      <c r="G712" s="27"/>
      <c r="H712" s="27"/>
      <c r="I712" s="27"/>
      <c r="M712" s="27"/>
    </row>
    <row r="713">
      <c r="G713" s="27"/>
      <c r="H713" s="27"/>
      <c r="I713" s="27"/>
      <c r="M713" s="27"/>
    </row>
    <row r="714">
      <c r="G714" s="27"/>
      <c r="H714" s="27"/>
      <c r="I714" s="27"/>
      <c r="M714" s="27"/>
    </row>
    <row r="715">
      <c r="G715" s="27"/>
      <c r="H715" s="27"/>
      <c r="I715" s="27"/>
      <c r="M715" s="27"/>
    </row>
    <row r="716">
      <c r="G716" s="27"/>
      <c r="H716" s="27"/>
      <c r="I716" s="27"/>
      <c r="M716" s="27"/>
    </row>
    <row r="717">
      <c r="G717" s="27"/>
      <c r="H717" s="27"/>
      <c r="I717" s="27"/>
      <c r="M717" s="27"/>
    </row>
    <row r="718">
      <c r="G718" s="27"/>
      <c r="H718" s="27"/>
      <c r="I718" s="27"/>
      <c r="M718" s="27"/>
    </row>
    <row r="719">
      <c r="G719" s="27"/>
      <c r="H719" s="27"/>
      <c r="I719" s="27"/>
      <c r="M719" s="27"/>
    </row>
    <row r="720">
      <c r="G720" s="27"/>
      <c r="H720" s="27"/>
      <c r="I720" s="27"/>
      <c r="M720" s="27"/>
    </row>
    <row r="721">
      <c r="G721" s="27"/>
      <c r="H721" s="27"/>
      <c r="I721" s="27"/>
      <c r="M721" s="27"/>
    </row>
    <row r="722">
      <c r="G722" s="27"/>
      <c r="H722" s="27"/>
      <c r="I722" s="27"/>
      <c r="M722" s="27"/>
    </row>
    <row r="723">
      <c r="G723" s="27"/>
      <c r="H723" s="27"/>
      <c r="I723" s="27"/>
      <c r="M723" s="27"/>
    </row>
    <row r="724">
      <c r="G724" s="27"/>
      <c r="H724" s="27"/>
      <c r="I724" s="27"/>
      <c r="M724" s="27"/>
    </row>
    <row r="725">
      <c r="G725" s="27"/>
      <c r="H725" s="27"/>
      <c r="I725" s="27"/>
      <c r="M725" s="27"/>
    </row>
    <row r="726">
      <c r="G726" s="27"/>
      <c r="H726" s="27"/>
      <c r="I726" s="27"/>
      <c r="M726" s="27"/>
    </row>
    <row r="727">
      <c r="G727" s="27"/>
      <c r="H727" s="27"/>
      <c r="I727" s="27"/>
      <c r="M727" s="27"/>
    </row>
    <row r="728">
      <c r="G728" s="27"/>
      <c r="H728" s="27"/>
      <c r="I728" s="27"/>
      <c r="M728" s="27"/>
    </row>
    <row r="729">
      <c r="G729" s="27"/>
      <c r="H729" s="27"/>
      <c r="I729" s="27"/>
      <c r="M729" s="27"/>
    </row>
    <row r="730">
      <c r="G730" s="27"/>
      <c r="H730" s="27"/>
      <c r="I730" s="27"/>
      <c r="M730" s="27"/>
    </row>
    <row r="731">
      <c r="G731" s="27"/>
      <c r="H731" s="27"/>
      <c r="I731" s="27"/>
      <c r="M731" s="27"/>
    </row>
    <row r="732">
      <c r="G732" s="27"/>
      <c r="H732" s="27"/>
      <c r="I732" s="27"/>
      <c r="M732" s="27"/>
    </row>
    <row r="733">
      <c r="G733" s="27"/>
      <c r="H733" s="27"/>
      <c r="I733" s="27"/>
      <c r="M733" s="27"/>
    </row>
    <row r="734">
      <c r="G734" s="27"/>
      <c r="H734" s="27"/>
      <c r="I734" s="27"/>
      <c r="M734" s="27"/>
    </row>
    <row r="735">
      <c r="G735" s="27"/>
      <c r="H735" s="27"/>
      <c r="I735" s="27"/>
      <c r="M735" s="27"/>
    </row>
    <row r="736">
      <c r="G736" s="27"/>
      <c r="H736" s="27"/>
      <c r="I736" s="27"/>
      <c r="M736" s="27"/>
    </row>
    <row r="737">
      <c r="G737" s="27"/>
      <c r="H737" s="27"/>
      <c r="I737" s="27"/>
      <c r="M737" s="27"/>
    </row>
    <row r="738">
      <c r="G738" s="27"/>
      <c r="H738" s="27"/>
      <c r="I738" s="27"/>
      <c r="M738" s="27"/>
    </row>
    <row r="739">
      <c r="G739" s="27"/>
      <c r="H739" s="27"/>
      <c r="I739" s="27"/>
      <c r="M739" s="27"/>
    </row>
    <row r="740">
      <c r="G740" s="27"/>
      <c r="H740" s="27"/>
      <c r="I740" s="27"/>
      <c r="M740" s="27"/>
    </row>
    <row r="741">
      <c r="G741" s="27"/>
      <c r="H741" s="27"/>
      <c r="I741" s="27"/>
      <c r="M741" s="27"/>
    </row>
    <row r="742">
      <c r="G742" s="27"/>
      <c r="H742" s="27"/>
      <c r="I742" s="27"/>
      <c r="M742" s="27"/>
    </row>
    <row r="743">
      <c r="G743" s="27"/>
      <c r="H743" s="27"/>
      <c r="I743" s="27"/>
      <c r="M743" s="27"/>
    </row>
    <row r="744">
      <c r="G744" s="27"/>
      <c r="H744" s="27"/>
      <c r="I744" s="27"/>
      <c r="M744" s="27"/>
    </row>
    <row r="745">
      <c r="G745" s="27"/>
      <c r="H745" s="27"/>
      <c r="I745" s="27"/>
      <c r="M745" s="27"/>
    </row>
    <row r="746">
      <c r="G746" s="27"/>
      <c r="H746" s="27"/>
      <c r="I746" s="27"/>
      <c r="M746" s="27"/>
    </row>
    <row r="747">
      <c r="G747" s="27"/>
      <c r="H747" s="27"/>
      <c r="I747" s="27"/>
      <c r="M747" s="27"/>
    </row>
    <row r="748">
      <c r="G748" s="27"/>
      <c r="H748" s="27"/>
      <c r="I748" s="27"/>
      <c r="M748" s="27"/>
    </row>
    <row r="749">
      <c r="G749" s="27"/>
      <c r="H749" s="27"/>
      <c r="I749" s="27"/>
      <c r="M749" s="27"/>
    </row>
    <row r="750">
      <c r="G750" s="27"/>
      <c r="H750" s="27"/>
      <c r="I750" s="27"/>
      <c r="M750" s="27"/>
    </row>
    <row r="751">
      <c r="G751" s="27"/>
      <c r="H751" s="27"/>
      <c r="I751" s="27"/>
      <c r="M751" s="27"/>
    </row>
    <row r="752">
      <c r="G752" s="27"/>
      <c r="H752" s="27"/>
      <c r="I752" s="27"/>
      <c r="M752" s="27"/>
    </row>
    <row r="753">
      <c r="G753" s="27"/>
      <c r="H753" s="27"/>
      <c r="I753" s="27"/>
      <c r="M753" s="27"/>
    </row>
    <row r="754">
      <c r="G754" s="27"/>
      <c r="H754" s="27"/>
      <c r="I754" s="27"/>
      <c r="M754" s="27"/>
    </row>
    <row r="755">
      <c r="G755" s="27"/>
      <c r="H755" s="27"/>
      <c r="I755" s="27"/>
      <c r="M755" s="27"/>
    </row>
    <row r="756">
      <c r="G756" s="27"/>
      <c r="H756" s="27"/>
      <c r="I756" s="27"/>
      <c r="M756" s="27"/>
    </row>
    <row r="757">
      <c r="G757" s="27"/>
      <c r="H757" s="27"/>
      <c r="I757" s="27"/>
      <c r="M757" s="27"/>
    </row>
    <row r="758">
      <c r="G758" s="27"/>
      <c r="H758" s="27"/>
      <c r="I758" s="27"/>
      <c r="M758" s="27"/>
    </row>
    <row r="759">
      <c r="G759" s="27"/>
      <c r="H759" s="27"/>
      <c r="I759" s="27"/>
      <c r="M759" s="27"/>
    </row>
    <row r="760">
      <c r="G760" s="27"/>
      <c r="H760" s="27"/>
      <c r="I760" s="27"/>
      <c r="M760" s="27"/>
    </row>
    <row r="761">
      <c r="G761" s="27"/>
      <c r="H761" s="27"/>
      <c r="I761" s="27"/>
      <c r="M761" s="27"/>
    </row>
    <row r="762">
      <c r="G762" s="27"/>
      <c r="H762" s="27"/>
      <c r="I762" s="27"/>
      <c r="M762" s="27"/>
    </row>
    <row r="763">
      <c r="G763" s="27"/>
      <c r="H763" s="27"/>
      <c r="I763" s="27"/>
      <c r="M763" s="27"/>
    </row>
    <row r="764">
      <c r="G764" s="27"/>
      <c r="H764" s="27"/>
      <c r="I764" s="27"/>
      <c r="M764" s="27"/>
    </row>
    <row r="765">
      <c r="G765" s="27"/>
      <c r="H765" s="27"/>
      <c r="I765" s="27"/>
      <c r="M765" s="27"/>
    </row>
    <row r="766">
      <c r="G766" s="27"/>
      <c r="H766" s="27"/>
      <c r="I766" s="27"/>
      <c r="M766" s="27"/>
    </row>
    <row r="767">
      <c r="G767" s="27"/>
      <c r="H767" s="27"/>
      <c r="I767" s="27"/>
      <c r="M767" s="27"/>
    </row>
    <row r="768">
      <c r="G768" s="27"/>
      <c r="H768" s="27"/>
      <c r="I768" s="27"/>
      <c r="M768" s="27"/>
    </row>
    <row r="769">
      <c r="G769" s="27"/>
      <c r="H769" s="27"/>
      <c r="I769" s="27"/>
      <c r="M769" s="27"/>
    </row>
    <row r="770">
      <c r="G770" s="27"/>
      <c r="H770" s="27"/>
      <c r="I770" s="27"/>
      <c r="M770" s="27"/>
    </row>
    <row r="771">
      <c r="G771" s="27"/>
      <c r="H771" s="27"/>
      <c r="I771" s="27"/>
      <c r="M771" s="27"/>
    </row>
    <row r="772">
      <c r="G772" s="27"/>
      <c r="H772" s="27"/>
      <c r="I772" s="27"/>
      <c r="M772" s="27"/>
    </row>
    <row r="773">
      <c r="G773" s="27"/>
      <c r="H773" s="27"/>
      <c r="I773" s="27"/>
      <c r="M773" s="27"/>
    </row>
    <row r="774">
      <c r="G774" s="27"/>
      <c r="H774" s="27"/>
      <c r="I774" s="27"/>
      <c r="M774" s="27"/>
    </row>
    <row r="775">
      <c r="G775" s="27"/>
      <c r="H775" s="27"/>
      <c r="I775" s="27"/>
      <c r="M775" s="27"/>
    </row>
    <row r="776">
      <c r="G776" s="27"/>
      <c r="H776" s="27"/>
      <c r="I776" s="27"/>
      <c r="M776" s="27"/>
    </row>
    <row r="777">
      <c r="G777" s="27"/>
      <c r="H777" s="27"/>
      <c r="I777" s="27"/>
      <c r="M777" s="27"/>
    </row>
    <row r="778">
      <c r="G778" s="27"/>
      <c r="H778" s="27"/>
      <c r="I778" s="27"/>
      <c r="M778" s="27"/>
    </row>
    <row r="779">
      <c r="G779" s="27"/>
      <c r="H779" s="27"/>
      <c r="I779" s="27"/>
      <c r="M779" s="27"/>
    </row>
    <row r="780">
      <c r="G780" s="27"/>
      <c r="H780" s="27"/>
      <c r="I780" s="27"/>
      <c r="M780" s="27"/>
    </row>
    <row r="781">
      <c r="G781" s="27"/>
      <c r="H781" s="27"/>
      <c r="I781" s="27"/>
      <c r="M781" s="27"/>
    </row>
    <row r="782">
      <c r="G782" s="27"/>
      <c r="H782" s="27"/>
      <c r="I782" s="27"/>
      <c r="M782" s="27"/>
    </row>
    <row r="783">
      <c r="G783" s="27"/>
      <c r="H783" s="27"/>
      <c r="I783" s="27"/>
      <c r="M783" s="27"/>
    </row>
    <row r="784">
      <c r="G784" s="27"/>
      <c r="H784" s="27"/>
      <c r="I784" s="27"/>
      <c r="M784" s="27"/>
    </row>
    <row r="785">
      <c r="G785" s="27"/>
      <c r="H785" s="27"/>
      <c r="I785" s="27"/>
      <c r="M785" s="27"/>
    </row>
    <row r="786">
      <c r="G786" s="27"/>
      <c r="H786" s="27"/>
      <c r="I786" s="27"/>
      <c r="M786" s="27"/>
    </row>
    <row r="787">
      <c r="G787" s="27"/>
      <c r="H787" s="27"/>
      <c r="I787" s="27"/>
      <c r="M787" s="27"/>
    </row>
    <row r="788">
      <c r="G788" s="27"/>
      <c r="H788" s="27"/>
      <c r="I788" s="27"/>
      <c r="M788" s="27"/>
    </row>
    <row r="789">
      <c r="G789" s="27"/>
      <c r="H789" s="27"/>
      <c r="I789" s="27"/>
      <c r="M789" s="27"/>
    </row>
    <row r="790">
      <c r="G790" s="27"/>
      <c r="H790" s="27"/>
      <c r="I790" s="27"/>
      <c r="M790" s="27"/>
    </row>
    <row r="791">
      <c r="G791" s="27"/>
      <c r="H791" s="27"/>
      <c r="I791" s="27"/>
      <c r="M791" s="27"/>
    </row>
    <row r="792">
      <c r="G792" s="27"/>
      <c r="H792" s="27"/>
      <c r="I792" s="27"/>
      <c r="M792" s="27"/>
    </row>
    <row r="793">
      <c r="G793" s="27"/>
      <c r="H793" s="27"/>
      <c r="I793" s="27"/>
      <c r="M793" s="27"/>
    </row>
    <row r="794">
      <c r="G794" s="27"/>
      <c r="H794" s="27"/>
      <c r="I794" s="27"/>
      <c r="M794" s="27"/>
    </row>
    <row r="795">
      <c r="G795" s="27"/>
      <c r="H795" s="27"/>
      <c r="I795" s="27"/>
      <c r="M795" s="27"/>
    </row>
    <row r="796">
      <c r="G796" s="27"/>
      <c r="H796" s="27"/>
      <c r="I796" s="27"/>
      <c r="M796" s="27"/>
    </row>
    <row r="797">
      <c r="G797" s="27"/>
      <c r="H797" s="27"/>
      <c r="I797" s="27"/>
      <c r="M797" s="27"/>
    </row>
    <row r="798">
      <c r="G798" s="27"/>
      <c r="H798" s="27"/>
      <c r="I798" s="27"/>
      <c r="M798" s="27"/>
    </row>
    <row r="799">
      <c r="G799" s="27"/>
      <c r="H799" s="27"/>
      <c r="I799" s="27"/>
      <c r="M799" s="27"/>
    </row>
    <row r="800">
      <c r="G800" s="27"/>
      <c r="H800" s="27"/>
      <c r="I800" s="27"/>
      <c r="M800" s="27"/>
    </row>
    <row r="801">
      <c r="G801" s="27"/>
      <c r="H801" s="27"/>
      <c r="I801" s="27"/>
      <c r="M801" s="27"/>
    </row>
    <row r="802">
      <c r="G802" s="27"/>
      <c r="H802" s="27"/>
      <c r="I802" s="27"/>
      <c r="M802" s="27"/>
    </row>
    <row r="803">
      <c r="G803" s="27"/>
      <c r="H803" s="27"/>
      <c r="I803" s="27"/>
      <c r="M803" s="27"/>
    </row>
    <row r="804">
      <c r="G804" s="27"/>
      <c r="H804" s="27"/>
      <c r="I804" s="27"/>
      <c r="M804" s="27"/>
    </row>
    <row r="805">
      <c r="G805" s="27"/>
      <c r="H805" s="27"/>
      <c r="I805" s="27"/>
      <c r="M805" s="27"/>
    </row>
    <row r="806">
      <c r="G806" s="27"/>
      <c r="H806" s="27"/>
      <c r="I806" s="27"/>
      <c r="M806" s="27"/>
    </row>
    <row r="807">
      <c r="G807" s="27"/>
      <c r="H807" s="27"/>
      <c r="I807" s="27"/>
      <c r="M807" s="27"/>
    </row>
    <row r="808">
      <c r="G808" s="27"/>
      <c r="H808" s="27"/>
      <c r="I808" s="27"/>
      <c r="M808" s="27"/>
    </row>
    <row r="809">
      <c r="G809" s="27"/>
      <c r="H809" s="27"/>
      <c r="I809" s="27"/>
      <c r="M809" s="27"/>
    </row>
    <row r="810">
      <c r="G810" s="27"/>
      <c r="H810" s="27"/>
      <c r="I810" s="27"/>
      <c r="M810" s="27"/>
    </row>
    <row r="811">
      <c r="G811" s="27"/>
      <c r="H811" s="27"/>
      <c r="I811" s="27"/>
      <c r="M811" s="27"/>
    </row>
    <row r="812">
      <c r="G812" s="27"/>
      <c r="H812" s="27"/>
      <c r="I812" s="27"/>
      <c r="M812" s="27"/>
    </row>
    <row r="813">
      <c r="G813" s="27"/>
      <c r="H813" s="27"/>
      <c r="I813" s="27"/>
      <c r="M813" s="27"/>
    </row>
    <row r="814">
      <c r="G814" s="27"/>
      <c r="H814" s="27"/>
      <c r="I814" s="27"/>
      <c r="M814" s="27"/>
    </row>
    <row r="815">
      <c r="G815" s="27"/>
      <c r="H815" s="27"/>
      <c r="I815" s="27"/>
      <c r="M815" s="27"/>
    </row>
    <row r="816">
      <c r="G816" s="27"/>
      <c r="H816" s="27"/>
      <c r="I816" s="27"/>
      <c r="M816" s="27"/>
    </row>
    <row r="817">
      <c r="G817" s="27"/>
      <c r="H817" s="27"/>
      <c r="I817" s="27"/>
      <c r="M817" s="27"/>
    </row>
    <row r="818">
      <c r="G818" s="27"/>
      <c r="H818" s="27"/>
      <c r="I818" s="27"/>
      <c r="M818" s="27"/>
    </row>
    <row r="819">
      <c r="G819" s="27"/>
      <c r="H819" s="27"/>
      <c r="I819" s="27"/>
      <c r="M819" s="27"/>
    </row>
    <row r="820">
      <c r="G820" s="27"/>
      <c r="H820" s="27"/>
      <c r="I820" s="27"/>
      <c r="M820" s="27"/>
    </row>
    <row r="821">
      <c r="G821" s="27"/>
      <c r="H821" s="27"/>
      <c r="I821" s="27"/>
      <c r="M821" s="27"/>
    </row>
    <row r="822">
      <c r="G822" s="27"/>
      <c r="H822" s="27"/>
      <c r="I822" s="27"/>
      <c r="M822" s="27"/>
    </row>
    <row r="823">
      <c r="G823" s="27"/>
      <c r="H823" s="27"/>
      <c r="I823" s="27"/>
      <c r="M823" s="27"/>
    </row>
    <row r="824">
      <c r="G824" s="27"/>
      <c r="H824" s="27"/>
      <c r="I824" s="27"/>
      <c r="M824" s="27"/>
    </row>
    <row r="825">
      <c r="G825" s="27"/>
      <c r="H825" s="27"/>
      <c r="I825" s="27"/>
      <c r="M825" s="27"/>
    </row>
    <row r="826">
      <c r="G826" s="27"/>
      <c r="H826" s="27"/>
      <c r="I826" s="27"/>
      <c r="M826" s="27"/>
    </row>
    <row r="827">
      <c r="G827" s="27"/>
      <c r="H827" s="27"/>
      <c r="I827" s="27"/>
      <c r="M827" s="27"/>
    </row>
    <row r="828">
      <c r="G828" s="27"/>
      <c r="H828" s="27"/>
      <c r="I828" s="27"/>
      <c r="M828" s="27"/>
    </row>
    <row r="829">
      <c r="G829" s="27"/>
      <c r="H829" s="27"/>
      <c r="I829" s="27"/>
      <c r="M829" s="27"/>
    </row>
    <row r="830">
      <c r="G830" s="27"/>
      <c r="H830" s="27"/>
      <c r="I830" s="27"/>
      <c r="M830" s="27"/>
    </row>
    <row r="831">
      <c r="G831" s="27"/>
      <c r="H831" s="27"/>
      <c r="I831" s="27"/>
      <c r="M831" s="27"/>
    </row>
    <row r="832">
      <c r="G832" s="27"/>
      <c r="H832" s="27"/>
      <c r="I832" s="27"/>
      <c r="M832" s="27"/>
    </row>
    <row r="833">
      <c r="G833" s="27"/>
      <c r="H833" s="27"/>
      <c r="I833" s="27"/>
      <c r="M833" s="27"/>
    </row>
    <row r="834">
      <c r="G834" s="27"/>
      <c r="H834" s="27"/>
      <c r="I834" s="27"/>
      <c r="M834" s="27"/>
    </row>
    <row r="835">
      <c r="G835" s="27"/>
      <c r="H835" s="27"/>
      <c r="I835" s="27"/>
      <c r="M835" s="27"/>
    </row>
    <row r="836">
      <c r="G836" s="27"/>
      <c r="H836" s="27"/>
      <c r="I836" s="27"/>
      <c r="M836" s="27"/>
    </row>
    <row r="837">
      <c r="G837" s="27"/>
      <c r="H837" s="27"/>
      <c r="I837" s="27"/>
      <c r="M837" s="27"/>
    </row>
    <row r="838">
      <c r="G838" s="27"/>
      <c r="H838" s="27"/>
      <c r="I838" s="27"/>
      <c r="M838" s="27"/>
    </row>
    <row r="839">
      <c r="G839" s="27"/>
      <c r="H839" s="27"/>
      <c r="I839" s="27"/>
      <c r="M839" s="27"/>
    </row>
    <row r="840">
      <c r="G840" s="27"/>
      <c r="H840" s="27"/>
      <c r="I840" s="27"/>
      <c r="M840" s="27"/>
    </row>
    <row r="841">
      <c r="G841" s="27"/>
      <c r="H841" s="27"/>
      <c r="I841" s="27"/>
      <c r="M841" s="27"/>
    </row>
    <row r="842">
      <c r="G842" s="27"/>
      <c r="H842" s="27"/>
      <c r="I842" s="27"/>
      <c r="M842" s="27"/>
    </row>
    <row r="843">
      <c r="G843" s="27"/>
      <c r="H843" s="27"/>
      <c r="I843" s="27"/>
      <c r="M843" s="27"/>
    </row>
    <row r="844">
      <c r="G844" s="27"/>
      <c r="H844" s="27"/>
      <c r="I844" s="27"/>
      <c r="M844" s="27"/>
    </row>
    <row r="845">
      <c r="G845" s="27"/>
      <c r="H845" s="27"/>
      <c r="I845" s="27"/>
      <c r="M845" s="27"/>
    </row>
    <row r="846">
      <c r="G846" s="27"/>
      <c r="H846" s="27"/>
      <c r="I846" s="27"/>
      <c r="M846" s="27"/>
    </row>
    <row r="847">
      <c r="G847" s="27"/>
      <c r="H847" s="27"/>
      <c r="I847" s="27"/>
      <c r="M847" s="27"/>
    </row>
    <row r="848">
      <c r="G848" s="27"/>
      <c r="H848" s="27"/>
      <c r="I848" s="27"/>
      <c r="M848" s="27"/>
    </row>
    <row r="849">
      <c r="G849" s="27"/>
      <c r="H849" s="27"/>
      <c r="I849" s="27"/>
      <c r="M849" s="27"/>
    </row>
    <row r="850">
      <c r="G850" s="27"/>
      <c r="H850" s="27"/>
      <c r="I850" s="27"/>
      <c r="M850" s="27"/>
    </row>
    <row r="851">
      <c r="G851" s="27"/>
      <c r="H851" s="27"/>
      <c r="I851" s="27"/>
      <c r="M851" s="27"/>
    </row>
    <row r="852">
      <c r="G852" s="27"/>
      <c r="H852" s="27"/>
      <c r="I852" s="27"/>
      <c r="M852" s="27"/>
    </row>
    <row r="853">
      <c r="G853" s="27"/>
      <c r="H853" s="27"/>
      <c r="I853" s="27"/>
      <c r="M853" s="27"/>
    </row>
    <row r="854">
      <c r="G854" s="27"/>
      <c r="H854" s="27"/>
      <c r="I854" s="27"/>
      <c r="M854" s="27"/>
    </row>
    <row r="855">
      <c r="G855" s="27"/>
      <c r="H855" s="27"/>
      <c r="I855" s="27"/>
      <c r="M855" s="27"/>
    </row>
    <row r="856">
      <c r="G856" s="27"/>
      <c r="H856" s="27"/>
      <c r="I856" s="27"/>
      <c r="M856" s="27"/>
    </row>
    <row r="857">
      <c r="G857" s="27"/>
      <c r="H857" s="27"/>
      <c r="I857" s="27"/>
      <c r="M857" s="27"/>
    </row>
    <row r="858">
      <c r="G858" s="27"/>
      <c r="H858" s="27"/>
      <c r="I858" s="27"/>
      <c r="M858" s="27"/>
    </row>
    <row r="859">
      <c r="G859" s="27"/>
      <c r="H859" s="27"/>
      <c r="I859" s="27"/>
      <c r="M859" s="27"/>
    </row>
    <row r="860">
      <c r="G860" s="27"/>
      <c r="H860" s="27"/>
      <c r="I860" s="27"/>
      <c r="M860" s="27"/>
    </row>
    <row r="861">
      <c r="G861" s="27"/>
      <c r="H861" s="27"/>
      <c r="I861" s="27"/>
      <c r="M861" s="27"/>
    </row>
    <row r="862">
      <c r="G862" s="27"/>
      <c r="H862" s="27"/>
      <c r="I862" s="27"/>
      <c r="M862" s="27"/>
    </row>
    <row r="863">
      <c r="G863" s="27"/>
      <c r="H863" s="27"/>
      <c r="I863" s="27"/>
      <c r="M863" s="27"/>
    </row>
    <row r="864">
      <c r="G864" s="27"/>
      <c r="H864" s="27"/>
      <c r="I864" s="27"/>
      <c r="M864" s="27"/>
    </row>
    <row r="865">
      <c r="G865" s="27"/>
      <c r="H865" s="27"/>
      <c r="I865" s="27"/>
      <c r="M865" s="27"/>
    </row>
    <row r="866">
      <c r="G866" s="27"/>
      <c r="H866" s="27"/>
      <c r="I866" s="27"/>
      <c r="M866" s="27"/>
    </row>
    <row r="867">
      <c r="G867" s="27"/>
      <c r="H867" s="27"/>
      <c r="I867" s="27"/>
      <c r="M867" s="27"/>
    </row>
    <row r="868">
      <c r="G868" s="27"/>
      <c r="H868" s="27"/>
      <c r="I868" s="27"/>
      <c r="M868" s="27"/>
    </row>
    <row r="869">
      <c r="G869" s="27"/>
      <c r="H869" s="27"/>
      <c r="I869" s="27"/>
      <c r="M869" s="27"/>
    </row>
    <row r="870">
      <c r="G870" s="27"/>
      <c r="H870" s="27"/>
      <c r="I870" s="27"/>
      <c r="M870" s="27"/>
    </row>
    <row r="871">
      <c r="G871" s="27"/>
      <c r="H871" s="27"/>
      <c r="I871" s="27"/>
      <c r="M871" s="27"/>
    </row>
    <row r="872">
      <c r="G872" s="27"/>
      <c r="H872" s="27"/>
      <c r="I872" s="27"/>
      <c r="M872" s="27"/>
    </row>
    <row r="873">
      <c r="G873" s="27"/>
      <c r="H873" s="27"/>
      <c r="I873" s="27"/>
      <c r="M873" s="27"/>
    </row>
    <row r="874">
      <c r="G874" s="27"/>
      <c r="H874" s="27"/>
      <c r="I874" s="27"/>
      <c r="M874" s="27"/>
    </row>
    <row r="875">
      <c r="G875" s="27"/>
      <c r="H875" s="27"/>
      <c r="I875" s="27"/>
      <c r="M875" s="27"/>
    </row>
    <row r="876">
      <c r="G876" s="27"/>
      <c r="H876" s="27"/>
      <c r="I876" s="27"/>
      <c r="M876" s="27"/>
    </row>
    <row r="877">
      <c r="G877" s="27"/>
      <c r="H877" s="27"/>
      <c r="I877" s="27"/>
      <c r="M877" s="27"/>
    </row>
    <row r="878">
      <c r="G878" s="27"/>
      <c r="H878" s="27"/>
      <c r="I878" s="27"/>
      <c r="M878" s="27"/>
    </row>
    <row r="879">
      <c r="G879" s="27"/>
      <c r="H879" s="27"/>
      <c r="I879" s="27"/>
      <c r="M879" s="27"/>
    </row>
    <row r="880">
      <c r="G880" s="27"/>
      <c r="H880" s="27"/>
      <c r="I880" s="27"/>
      <c r="M880" s="27"/>
    </row>
    <row r="881">
      <c r="G881" s="27"/>
      <c r="H881" s="27"/>
      <c r="I881" s="27"/>
      <c r="M881" s="27"/>
    </row>
    <row r="882">
      <c r="G882" s="27"/>
      <c r="H882" s="27"/>
      <c r="I882" s="27"/>
      <c r="M882" s="27"/>
    </row>
    <row r="883">
      <c r="G883" s="27"/>
      <c r="H883" s="27"/>
      <c r="I883" s="27"/>
      <c r="M883" s="27"/>
    </row>
    <row r="884">
      <c r="G884" s="27"/>
      <c r="H884" s="27"/>
      <c r="I884" s="27"/>
      <c r="M884" s="27"/>
    </row>
    <row r="885">
      <c r="G885" s="27"/>
      <c r="H885" s="27"/>
      <c r="I885" s="27"/>
      <c r="M885" s="27"/>
    </row>
    <row r="886">
      <c r="G886" s="27"/>
      <c r="H886" s="27"/>
      <c r="I886" s="27"/>
      <c r="M886" s="27"/>
    </row>
    <row r="887">
      <c r="G887" s="27"/>
      <c r="H887" s="27"/>
      <c r="I887" s="27"/>
      <c r="M887" s="27"/>
    </row>
    <row r="888">
      <c r="G888" s="27"/>
      <c r="H888" s="27"/>
      <c r="I888" s="27"/>
      <c r="M888" s="27"/>
    </row>
    <row r="889">
      <c r="G889" s="27"/>
      <c r="H889" s="27"/>
      <c r="I889" s="27"/>
      <c r="M889" s="27"/>
    </row>
    <row r="890">
      <c r="G890" s="27"/>
      <c r="H890" s="27"/>
      <c r="I890" s="27"/>
      <c r="M890" s="27"/>
    </row>
    <row r="891">
      <c r="G891" s="27"/>
      <c r="H891" s="27"/>
      <c r="I891" s="27"/>
      <c r="M891" s="27"/>
    </row>
    <row r="892">
      <c r="G892" s="27"/>
      <c r="H892" s="27"/>
      <c r="I892" s="27"/>
      <c r="M892" s="27"/>
    </row>
    <row r="893">
      <c r="G893" s="27"/>
      <c r="H893" s="27"/>
      <c r="I893" s="27"/>
      <c r="M893" s="27"/>
    </row>
    <row r="894">
      <c r="G894" s="27"/>
      <c r="H894" s="27"/>
      <c r="I894" s="27"/>
      <c r="M894" s="27"/>
    </row>
    <row r="895">
      <c r="G895" s="27"/>
      <c r="H895" s="27"/>
      <c r="I895" s="27"/>
      <c r="M895" s="27"/>
    </row>
    <row r="896">
      <c r="G896" s="27"/>
      <c r="H896" s="27"/>
      <c r="I896" s="27"/>
      <c r="M896" s="27"/>
    </row>
    <row r="897">
      <c r="G897" s="27"/>
      <c r="H897" s="27"/>
      <c r="I897" s="27"/>
      <c r="M897" s="27"/>
    </row>
    <row r="898">
      <c r="G898" s="27"/>
      <c r="H898" s="27"/>
      <c r="I898" s="27"/>
      <c r="M898" s="27"/>
    </row>
    <row r="899">
      <c r="G899" s="27"/>
      <c r="H899" s="27"/>
      <c r="I899" s="27"/>
      <c r="M899" s="27"/>
    </row>
    <row r="900">
      <c r="G900" s="27"/>
      <c r="H900" s="27"/>
      <c r="I900" s="27"/>
      <c r="M900" s="27"/>
    </row>
    <row r="901">
      <c r="G901" s="27"/>
      <c r="H901" s="27"/>
      <c r="I901" s="27"/>
      <c r="M901" s="27"/>
    </row>
    <row r="902">
      <c r="G902" s="27"/>
      <c r="H902" s="27"/>
      <c r="I902" s="27"/>
      <c r="M902" s="27"/>
    </row>
    <row r="903">
      <c r="G903" s="27"/>
      <c r="H903" s="27"/>
      <c r="I903" s="27"/>
      <c r="M903" s="27"/>
    </row>
    <row r="904">
      <c r="G904" s="27"/>
      <c r="H904" s="27"/>
      <c r="I904" s="27"/>
      <c r="M904" s="27"/>
    </row>
    <row r="905">
      <c r="G905" s="27"/>
      <c r="H905" s="27"/>
      <c r="I905" s="27"/>
      <c r="M905" s="27"/>
    </row>
    <row r="906">
      <c r="G906" s="27"/>
      <c r="H906" s="27"/>
      <c r="I906" s="27"/>
      <c r="M906" s="27"/>
    </row>
    <row r="907">
      <c r="G907" s="27"/>
      <c r="H907" s="27"/>
      <c r="I907" s="27"/>
      <c r="M907" s="27"/>
    </row>
    <row r="908">
      <c r="G908" s="27"/>
      <c r="H908" s="27"/>
      <c r="I908" s="27"/>
      <c r="M908" s="27"/>
    </row>
    <row r="909">
      <c r="G909" s="27"/>
      <c r="H909" s="27"/>
      <c r="I909" s="27"/>
      <c r="M909" s="27"/>
    </row>
    <row r="910">
      <c r="G910" s="27"/>
      <c r="H910" s="27"/>
      <c r="I910" s="27"/>
      <c r="M910" s="27"/>
    </row>
    <row r="911">
      <c r="G911" s="27"/>
      <c r="H911" s="27"/>
      <c r="I911" s="27"/>
      <c r="M911" s="27"/>
    </row>
    <row r="912">
      <c r="G912" s="27"/>
      <c r="H912" s="27"/>
      <c r="I912" s="27"/>
      <c r="M912" s="27"/>
    </row>
    <row r="913">
      <c r="G913" s="27"/>
      <c r="H913" s="27"/>
      <c r="I913" s="27"/>
      <c r="M913" s="27"/>
    </row>
    <row r="914">
      <c r="G914" s="27"/>
      <c r="H914" s="27"/>
      <c r="I914" s="27"/>
      <c r="M914" s="27"/>
    </row>
    <row r="915">
      <c r="G915" s="27"/>
      <c r="H915" s="27"/>
      <c r="I915" s="27"/>
      <c r="M915" s="27"/>
    </row>
    <row r="916">
      <c r="G916" s="27"/>
      <c r="H916" s="27"/>
      <c r="I916" s="27"/>
      <c r="M916" s="27"/>
    </row>
    <row r="917">
      <c r="G917" s="27"/>
      <c r="H917" s="27"/>
      <c r="I917" s="27"/>
      <c r="M917" s="27"/>
    </row>
    <row r="918">
      <c r="G918" s="27"/>
      <c r="H918" s="27"/>
      <c r="I918" s="27"/>
      <c r="M918" s="27"/>
    </row>
    <row r="919">
      <c r="G919" s="27"/>
      <c r="H919" s="27"/>
      <c r="I919" s="27"/>
      <c r="M919" s="27"/>
    </row>
    <row r="920">
      <c r="G920" s="27"/>
      <c r="H920" s="27"/>
      <c r="I920" s="27"/>
      <c r="M920" s="27"/>
    </row>
    <row r="921">
      <c r="G921" s="27"/>
      <c r="H921" s="27"/>
      <c r="I921" s="27"/>
      <c r="M921" s="27"/>
    </row>
    <row r="922">
      <c r="G922" s="27"/>
      <c r="H922" s="27"/>
      <c r="I922" s="27"/>
      <c r="M922" s="27"/>
    </row>
    <row r="923">
      <c r="G923" s="27"/>
      <c r="H923" s="27"/>
      <c r="I923" s="27"/>
      <c r="M923" s="27"/>
    </row>
    <row r="924">
      <c r="G924" s="27"/>
      <c r="H924" s="27"/>
      <c r="I924" s="27"/>
      <c r="M924" s="27"/>
    </row>
    <row r="925">
      <c r="G925" s="27"/>
      <c r="H925" s="27"/>
      <c r="I925" s="27"/>
      <c r="M925" s="27"/>
    </row>
    <row r="926">
      <c r="G926" s="27"/>
      <c r="H926" s="27"/>
      <c r="I926" s="27"/>
      <c r="M926" s="27"/>
    </row>
    <row r="927">
      <c r="G927" s="27"/>
      <c r="H927" s="27"/>
      <c r="I927" s="27"/>
      <c r="M927" s="27"/>
    </row>
    <row r="928">
      <c r="G928" s="27"/>
      <c r="H928" s="27"/>
      <c r="I928" s="27"/>
      <c r="M928" s="27"/>
    </row>
    <row r="929">
      <c r="G929" s="27"/>
      <c r="H929" s="27"/>
      <c r="I929" s="27"/>
      <c r="M929" s="27"/>
    </row>
    <row r="930">
      <c r="G930" s="27"/>
      <c r="H930" s="27"/>
      <c r="I930" s="27"/>
      <c r="M930" s="27"/>
    </row>
    <row r="931">
      <c r="G931" s="27"/>
      <c r="H931" s="27"/>
      <c r="I931" s="27"/>
      <c r="M931" s="27"/>
    </row>
    <row r="932">
      <c r="G932" s="27"/>
      <c r="H932" s="27"/>
      <c r="I932" s="27"/>
      <c r="M932" s="27"/>
    </row>
    <row r="933">
      <c r="G933" s="27"/>
      <c r="H933" s="27"/>
      <c r="I933" s="27"/>
      <c r="M933" s="27"/>
    </row>
    <row r="934">
      <c r="G934" s="27"/>
      <c r="H934" s="27"/>
      <c r="I934" s="27"/>
      <c r="M934" s="27"/>
    </row>
    <row r="935">
      <c r="G935" s="27"/>
      <c r="H935" s="27"/>
      <c r="I935" s="27"/>
      <c r="M935" s="27"/>
    </row>
    <row r="936">
      <c r="G936" s="27"/>
      <c r="H936" s="27"/>
      <c r="I936" s="27"/>
      <c r="M936" s="27"/>
    </row>
    <row r="937">
      <c r="G937" s="27"/>
      <c r="H937" s="27"/>
      <c r="I937" s="27"/>
      <c r="M937" s="27"/>
    </row>
    <row r="938">
      <c r="G938" s="27"/>
      <c r="H938" s="27"/>
      <c r="I938" s="27"/>
      <c r="M938" s="27"/>
    </row>
    <row r="939">
      <c r="G939" s="27"/>
      <c r="H939" s="27"/>
      <c r="I939" s="27"/>
      <c r="M939" s="27"/>
    </row>
    <row r="940">
      <c r="G940" s="27"/>
      <c r="H940" s="27"/>
      <c r="I940" s="27"/>
      <c r="M940" s="27"/>
    </row>
    <row r="941">
      <c r="G941" s="27"/>
      <c r="H941" s="27"/>
      <c r="I941" s="27"/>
      <c r="M941" s="27"/>
    </row>
    <row r="942">
      <c r="G942" s="27"/>
      <c r="H942" s="27"/>
      <c r="I942" s="27"/>
      <c r="M942" s="27"/>
    </row>
    <row r="943">
      <c r="G943" s="27"/>
      <c r="H943" s="27"/>
      <c r="I943" s="27"/>
      <c r="M943" s="27"/>
    </row>
    <row r="944">
      <c r="G944" s="27"/>
      <c r="H944" s="27"/>
      <c r="I944" s="27"/>
      <c r="M944" s="27"/>
    </row>
    <row r="945">
      <c r="G945" s="27"/>
      <c r="H945" s="27"/>
      <c r="I945" s="27"/>
      <c r="M945" s="27"/>
    </row>
    <row r="946">
      <c r="G946" s="27"/>
      <c r="H946" s="27"/>
      <c r="I946" s="27"/>
      <c r="M946" s="27"/>
    </row>
    <row r="947">
      <c r="G947" s="27"/>
      <c r="H947" s="27"/>
      <c r="I947" s="27"/>
      <c r="M947" s="27"/>
    </row>
    <row r="948">
      <c r="G948" s="27"/>
      <c r="H948" s="27"/>
      <c r="I948" s="27"/>
      <c r="M948" s="27"/>
    </row>
    <row r="949">
      <c r="G949" s="27"/>
      <c r="H949" s="27"/>
      <c r="I949" s="27"/>
      <c r="M949" s="27"/>
    </row>
    <row r="950">
      <c r="G950" s="27"/>
      <c r="H950" s="27"/>
      <c r="I950" s="27"/>
      <c r="M950" s="27"/>
    </row>
    <row r="951">
      <c r="G951" s="27"/>
      <c r="H951" s="27"/>
      <c r="I951" s="27"/>
      <c r="M951" s="27"/>
    </row>
    <row r="952">
      <c r="G952" s="27"/>
      <c r="H952" s="27"/>
      <c r="I952" s="27"/>
      <c r="M952" s="27"/>
    </row>
    <row r="953">
      <c r="G953" s="27"/>
      <c r="H953" s="27"/>
      <c r="I953" s="27"/>
      <c r="M953" s="27"/>
    </row>
    <row r="954">
      <c r="G954" s="27"/>
      <c r="H954" s="27"/>
      <c r="I954" s="27"/>
      <c r="M954" s="27"/>
    </row>
    <row r="955">
      <c r="G955" s="27"/>
      <c r="H955" s="27"/>
      <c r="I955" s="27"/>
      <c r="M955" s="27"/>
    </row>
    <row r="956">
      <c r="G956" s="27"/>
      <c r="H956" s="27"/>
      <c r="I956" s="27"/>
      <c r="M956" s="27"/>
    </row>
    <row r="957">
      <c r="G957" s="27"/>
      <c r="H957" s="27"/>
      <c r="I957" s="27"/>
      <c r="M957" s="27"/>
    </row>
    <row r="958">
      <c r="G958" s="27"/>
      <c r="H958" s="27"/>
      <c r="I958" s="27"/>
      <c r="M958" s="27"/>
    </row>
    <row r="959">
      <c r="G959" s="27"/>
      <c r="H959" s="27"/>
      <c r="I959" s="27"/>
      <c r="M959" s="27"/>
    </row>
    <row r="960">
      <c r="G960" s="27"/>
      <c r="H960" s="27"/>
      <c r="I960" s="27"/>
      <c r="M960" s="27"/>
    </row>
    <row r="961">
      <c r="G961" s="27"/>
      <c r="H961" s="27"/>
      <c r="I961" s="27"/>
      <c r="M961" s="27"/>
    </row>
    <row r="962">
      <c r="G962" s="27"/>
      <c r="H962" s="27"/>
      <c r="I962" s="27"/>
      <c r="M962" s="27"/>
    </row>
    <row r="963">
      <c r="G963" s="27"/>
      <c r="H963" s="27"/>
      <c r="I963" s="27"/>
      <c r="M963" s="27"/>
    </row>
    <row r="964">
      <c r="G964" s="27"/>
      <c r="H964" s="27"/>
      <c r="I964" s="27"/>
      <c r="M964" s="27"/>
    </row>
    <row r="965">
      <c r="G965" s="27"/>
      <c r="H965" s="27"/>
      <c r="I965" s="27"/>
      <c r="M965" s="27"/>
    </row>
    <row r="966">
      <c r="G966" s="27"/>
      <c r="H966" s="27"/>
      <c r="I966" s="27"/>
      <c r="M966" s="27"/>
    </row>
    <row r="967">
      <c r="G967" s="27"/>
      <c r="H967" s="27"/>
      <c r="I967" s="27"/>
      <c r="M967" s="27"/>
    </row>
    <row r="968">
      <c r="G968" s="27"/>
      <c r="H968" s="27"/>
      <c r="I968" s="27"/>
      <c r="M968" s="27"/>
    </row>
    <row r="969">
      <c r="G969" s="27"/>
      <c r="H969" s="27"/>
      <c r="I969" s="27"/>
      <c r="M969" s="27"/>
    </row>
    <row r="970">
      <c r="G970" s="27"/>
      <c r="H970" s="27"/>
      <c r="I970" s="27"/>
      <c r="M970" s="27"/>
    </row>
    <row r="971">
      <c r="G971" s="27"/>
      <c r="H971" s="27"/>
      <c r="I971" s="27"/>
      <c r="M971" s="27"/>
    </row>
    <row r="972">
      <c r="G972" s="27"/>
      <c r="H972" s="27"/>
      <c r="I972" s="27"/>
      <c r="M972" s="27"/>
    </row>
    <row r="973">
      <c r="G973" s="27"/>
      <c r="H973" s="27"/>
      <c r="I973" s="27"/>
      <c r="M973" s="27"/>
    </row>
    <row r="974">
      <c r="G974" s="27"/>
      <c r="H974" s="27"/>
      <c r="I974" s="27"/>
      <c r="M974" s="27"/>
    </row>
    <row r="975">
      <c r="G975" s="27"/>
      <c r="H975" s="27"/>
      <c r="I975" s="27"/>
      <c r="M975" s="27"/>
    </row>
    <row r="976">
      <c r="G976" s="27"/>
      <c r="H976" s="27"/>
      <c r="I976" s="27"/>
      <c r="M976" s="27"/>
    </row>
    <row r="977">
      <c r="G977" s="27"/>
      <c r="H977" s="27"/>
      <c r="I977" s="27"/>
      <c r="M977" s="27"/>
    </row>
    <row r="978">
      <c r="G978" s="27"/>
      <c r="H978" s="27"/>
      <c r="I978" s="27"/>
      <c r="M978" s="27"/>
    </row>
    <row r="979">
      <c r="G979" s="27"/>
      <c r="H979" s="27"/>
      <c r="I979" s="27"/>
      <c r="M979" s="27"/>
    </row>
    <row r="980">
      <c r="G980" s="27"/>
      <c r="H980" s="27"/>
      <c r="I980" s="27"/>
      <c r="M980" s="27"/>
    </row>
    <row r="981">
      <c r="G981" s="27"/>
      <c r="H981" s="27"/>
      <c r="I981" s="27"/>
      <c r="M981" s="27"/>
    </row>
    <row r="982">
      <c r="G982" s="27"/>
      <c r="H982" s="27"/>
      <c r="I982" s="27"/>
      <c r="M982" s="27"/>
    </row>
    <row r="983">
      <c r="G983" s="27"/>
      <c r="H983" s="27"/>
      <c r="I983" s="27"/>
      <c r="M983" s="27"/>
    </row>
    <row r="984">
      <c r="G984" s="27"/>
      <c r="H984" s="27"/>
      <c r="I984" s="27"/>
      <c r="M984" s="27"/>
    </row>
    <row r="985">
      <c r="G985" s="27"/>
      <c r="H985" s="27"/>
      <c r="I985" s="27"/>
      <c r="M985" s="27"/>
    </row>
    <row r="986">
      <c r="G986" s="27"/>
      <c r="H986" s="27"/>
      <c r="I986" s="27"/>
      <c r="M986" s="27"/>
    </row>
    <row r="987">
      <c r="G987" s="27"/>
      <c r="H987" s="27"/>
      <c r="I987" s="27"/>
      <c r="M987" s="27"/>
    </row>
    <row r="988">
      <c r="G988" s="27"/>
      <c r="H988" s="27"/>
      <c r="I988" s="27"/>
      <c r="M988" s="27"/>
    </row>
    <row r="989">
      <c r="G989" s="27"/>
      <c r="H989" s="27"/>
      <c r="I989" s="27"/>
      <c r="M989" s="27"/>
    </row>
    <row r="990">
      <c r="G990" s="27"/>
      <c r="H990" s="27"/>
      <c r="I990" s="27"/>
      <c r="M990" s="27"/>
    </row>
    <row r="991">
      <c r="G991" s="27"/>
      <c r="H991" s="27"/>
      <c r="I991" s="27"/>
      <c r="M991" s="27"/>
    </row>
    <row r="992">
      <c r="G992" s="27"/>
      <c r="H992" s="27"/>
      <c r="I992" s="27"/>
      <c r="M992" s="27"/>
    </row>
    <row r="993">
      <c r="G993" s="27"/>
      <c r="H993" s="27"/>
      <c r="I993" s="27"/>
      <c r="M993" s="27"/>
    </row>
    <row r="994">
      <c r="G994" s="27"/>
      <c r="H994" s="27"/>
      <c r="I994" s="27"/>
      <c r="M994" s="27"/>
    </row>
    <row r="995">
      <c r="G995" s="27"/>
      <c r="H995" s="27"/>
      <c r="I995" s="27"/>
      <c r="M995" s="27"/>
    </row>
    <row r="996">
      <c r="G996" s="27"/>
      <c r="H996" s="27"/>
      <c r="I996" s="27"/>
      <c r="M996" s="27"/>
    </row>
    <row r="997">
      <c r="G997" s="27"/>
      <c r="H997" s="27"/>
      <c r="I997" s="27"/>
      <c r="M997" s="27"/>
    </row>
    <row r="998">
      <c r="G998" s="27"/>
      <c r="H998" s="27"/>
      <c r="I998" s="27"/>
      <c r="M998" s="27"/>
    </row>
    <row r="999">
      <c r="G999" s="27"/>
      <c r="H999" s="27"/>
      <c r="I999" s="27"/>
      <c r="M999" s="27"/>
    </row>
    <row r="1000">
      <c r="G1000" s="27"/>
      <c r="H1000" s="27"/>
      <c r="I1000" s="27"/>
      <c r="M1000" s="27"/>
    </row>
    <row r="1001">
      <c r="G1001" s="27"/>
      <c r="H1001" s="27"/>
      <c r="I1001" s="27"/>
      <c r="M1001" s="27"/>
    </row>
    <row r="1002">
      <c r="G1002" s="27"/>
      <c r="H1002" s="27"/>
      <c r="I1002" s="27"/>
      <c r="M1002" s="27"/>
    </row>
    <row r="1003">
      <c r="G1003" s="27"/>
      <c r="H1003" s="27"/>
      <c r="I1003" s="27"/>
      <c r="M1003" s="27"/>
    </row>
  </sheetData>
  <conditionalFormatting sqref="D38 E48:F50">
    <cfRule type="cellIs" dxfId="0" priority="1" operator="lessThan">
      <formula>0</formula>
    </cfRule>
  </conditionalFormatting>
  <conditionalFormatting sqref="D48:D50">
    <cfRule type="cellIs" dxfId="0" priority="2" operator="lessThan">
      <formula>0</formula>
    </cfRule>
  </conditionalFormatting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0"/>
    <col customWidth="1" min="6" max="6" width="12.75"/>
    <col customWidth="1" min="7" max="8" width="25.63"/>
    <col customWidth="1" min="9" max="9" width="10.63"/>
    <col customWidth="1" min="10" max="10" width="21.38"/>
    <col customWidth="1" min="11" max="11" width="13.75"/>
    <col customWidth="1" min="12" max="12" width="6.13"/>
  </cols>
  <sheetData>
    <row r="1">
      <c r="C1" s="199" t="s">
        <v>154</v>
      </c>
      <c r="E1" s="27"/>
      <c r="F1" s="27"/>
      <c r="G1" s="27"/>
      <c r="H1" s="27"/>
      <c r="I1" s="27"/>
      <c r="J1" s="246"/>
      <c r="K1" s="246"/>
      <c r="L1" s="246"/>
      <c r="M1" s="247"/>
      <c r="N1" s="246"/>
      <c r="O1" s="246"/>
    </row>
    <row r="2">
      <c r="C2" s="18" t="s">
        <v>240</v>
      </c>
      <c r="D2" s="18">
        <v>11.0</v>
      </c>
      <c r="E2" s="27"/>
      <c r="F2" s="27"/>
      <c r="G2" s="27"/>
      <c r="H2" s="27"/>
      <c r="I2" s="27"/>
      <c r="J2" s="246"/>
      <c r="K2" s="246"/>
      <c r="L2" s="246"/>
      <c r="M2" s="247"/>
      <c r="N2" s="246"/>
      <c r="O2" s="246"/>
    </row>
    <row r="3">
      <c r="C3" s="18" t="s">
        <v>241</v>
      </c>
      <c r="D3" s="18">
        <v>48.0</v>
      </c>
      <c r="E3" s="27"/>
      <c r="F3" s="27"/>
      <c r="G3" s="27"/>
      <c r="H3" s="27"/>
      <c r="I3" s="27"/>
      <c r="J3" s="246"/>
      <c r="K3" s="246"/>
      <c r="L3" s="246"/>
      <c r="M3" s="247"/>
      <c r="N3" s="246"/>
      <c r="O3" s="246"/>
    </row>
    <row r="4">
      <c r="C4" s="18" t="s">
        <v>242</v>
      </c>
      <c r="D4" s="18">
        <v>15.0</v>
      </c>
      <c r="E4" s="248"/>
      <c r="F4" s="248"/>
      <c r="G4" s="248"/>
      <c r="H4" s="200" t="s">
        <v>243</v>
      </c>
      <c r="I4" s="201">
        <f>I5+I6+I10</f>
        <v>7021.13</v>
      </c>
      <c r="J4" s="246"/>
      <c r="M4" s="247"/>
      <c r="N4" s="246"/>
      <c r="O4" s="246"/>
    </row>
    <row r="5">
      <c r="C5" s="18" t="s">
        <v>285</v>
      </c>
      <c r="D5" s="18">
        <v>42.0</v>
      </c>
      <c r="E5" s="249"/>
      <c r="F5" s="249"/>
      <c r="G5" s="249"/>
      <c r="H5" s="250" t="s">
        <v>31</v>
      </c>
      <c r="I5" s="19">
        <f>3001.13+1500</f>
        <v>4501.13</v>
      </c>
      <c r="J5" s="246"/>
      <c r="M5" s="247"/>
      <c r="N5" s="246"/>
      <c r="O5" s="246"/>
    </row>
    <row r="6">
      <c r="D6" s="12">
        <f>SUM(D2:D5)</f>
        <v>116</v>
      </c>
      <c r="E6" s="249"/>
      <c r="F6" s="249"/>
      <c r="G6" s="249"/>
      <c r="H6" s="250" t="s">
        <v>286</v>
      </c>
      <c r="I6" s="19">
        <v>2000.0</v>
      </c>
      <c r="J6" s="251"/>
      <c r="M6" s="247"/>
      <c r="N6" s="246"/>
      <c r="O6" s="246"/>
    </row>
    <row r="7">
      <c r="E7" s="27"/>
      <c r="F7" s="27"/>
      <c r="G7" s="27"/>
      <c r="H7" s="206"/>
      <c r="I7" s="207"/>
      <c r="J7" s="246"/>
      <c r="K7" s="246"/>
      <c r="L7" s="252"/>
      <c r="M7" s="247"/>
      <c r="N7" s="246"/>
      <c r="O7" s="246"/>
    </row>
    <row r="8">
      <c r="E8" s="107"/>
      <c r="F8" s="107"/>
      <c r="G8" s="107"/>
      <c r="H8" s="208"/>
      <c r="I8" s="205"/>
      <c r="J8" s="246"/>
      <c r="K8" s="246"/>
      <c r="L8" s="252"/>
      <c r="M8" s="247"/>
      <c r="N8" s="246"/>
      <c r="O8" s="246"/>
    </row>
    <row r="9">
      <c r="B9" s="55" t="s">
        <v>122</v>
      </c>
      <c r="C9" s="56"/>
      <c r="D9" s="253" t="s">
        <v>125</v>
      </c>
      <c r="E9" s="254" t="s">
        <v>126</v>
      </c>
      <c r="F9" s="254" t="s">
        <v>127</v>
      </c>
      <c r="G9" s="27"/>
      <c r="H9" s="206"/>
      <c r="I9" s="207"/>
      <c r="J9" s="246"/>
      <c r="K9" s="246"/>
      <c r="L9" s="251"/>
      <c r="M9" s="247"/>
      <c r="N9" s="246"/>
      <c r="O9" s="246"/>
    </row>
    <row r="10">
      <c r="B10" s="59" t="s">
        <v>129</v>
      </c>
      <c r="C10" s="60"/>
      <c r="D10" s="61">
        <v>6625.0</v>
      </c>
      <c r="E10" s="61">
        <v>6625.0</v>
      </c>
      <c r="F10" s="61">
        <v>6625.0</v>
      </c>
      <c r="G10" s="249"/>
      <c r="H10" s="255" t="s">
        <v>254</v>
      </c>
      <c r="I10" s="210">
        <v>520.0</v>
      </c>
      <c r="J10" s="246"/>
      <c r="K10" s="246"/>
      <c r="L10" s="246"/>
      <c r="M10" s="247"/>
      <c r="N10" s="246"/>
      <c r="O10" s="246"/>
    </row>
    <row r="11">
      <c r="B11" s="59" t="s">
        <v>136</v>
      </c>
      <c r="C11" s="60"/>
      <c r="D11" s="62">
        <f t="shared" ref="D11:F11" si="1">3191.15+385.96</f>
        <v>3577.11</v>
      </c>
      <c r="E11" s="62">
        <f t="shared" si="1"/>
        <v>3577.11</v>
      </c>
      <c r="F11" s="62">
        <f t="shared" si="1"/>
        <v>3577.11</v>
      </c>
      <c r="G11" s="32"/>
      <c r="H11" s="32"/>
      <c r="I11" s="107"/>
      <c r="J11" s="246"/>
      <c r="K11" s="256"/>
      <c r="L11" s="257"/>
      <c r="M11" s="247"/>
      <c r="N11" s="246"/>
      <c r="O11" s="246"/>
    </row>
    <row r="12">
      <c r="B12" s="59" t="s">
        <v>137</v>
      </c>
      <c r="C12" s="60"/>
      <c r="D12" s="62">
        <v>3100.0</v>
      </c>
      <c r="E12" s="62"/>
      <c r="F12" s="62"/>
      <c r="G12" s="27"/>
      <c r="H12" s="27"/>
      <c r="I12" s="27"/>
      <c r="J12" s="246"/>
      <c r="K12" s="251" t="s">
        <v>274</v>
      </c>
      <c r="L12" s="251">
        <f>I27+I29+I30</f>
        <v>965.55</v>
      </c>
      <c r="M12" s="247"/>
      <c r="N12" s="246"/>
      <c r="O12" s="246"/>
    </row>
    <row r="13">
      <c r="B13" s="59" t="s">
        <v>138</v>
      </c>
      <c r="C13" s="60"/>
      <c r="D13" s="62">
        <v>6215.07</v>
      </c>
      <c r="E13" s="258"/>
      <c r="F13" s="258"/>
      <c r="G13" s="107"/>
      <c r="H13" s="257"/>
      <c r="I13" s="257"/>
      <c r="J13" s="246"/>
      <c r="K13" s="251" t="s">
        <v>27</v>
      </c>
      <c r="L13" s="246">
        <f>K16+I28</f>
        <v>140.52</v>
      </c>
      <c r="M13" s="247"/>
      <c r="N13" s="246"/>
      <c r="O13" s="246"/>
    </row>
    <row r="14">
      <c r="B14" s="67" t="s">
        <v>139</v>
      </c>
      <c r="C14" s="68"/>
      <c r="D14" s="69">
        <f t="shared" ref="D14:F14" si="2">SUM(D10:D13)</f>
        <v>19517.18</v>
      </c>
      <c r="E14" s="69">
        <f t="shared" si="2"/>
        <v>10202.11</v>
      </c>
      <c r="F14" s="69">
        <f t="shared" si="2"/>
        <v>10202.11</v>
      </c>
      <c r="G14" s="27"/>
      <c r="H14" s="247"/>
      <c r="I14" s="247"/>
      <c r="J14" s="246"/>
      <c r="K14" s="246"/>
      <c r="L14" s="246"/>
      <c r="M14" s="246"/>
      <c r="N14" s="246"/>
      <c r="O14" s="246"/>
    </row>
    <row r="15">
      <c r="G15" s="259"/>
      <c r="H15" s="256"/>
      <c r="I15" s="257"/>
      <c r="J15" s="246"/>
      <c r="K15" s="246"/>
      <c r="L15" s="246"/>
      <c r="M15" s="247"/>
      <c r="N15" s="246"/>
      <c r="O15" s="246"/>
    </row>
    <row r="16">
      <c r="B16" s="70" t="s">
        <v>140</v>
      </c>
      <c r="C16" s="71"/>
      <c r="D16" s="58" t="s">
        <v>126</v>
      </c>
      <c r="E16" s="58" t="s">
        <v>127</v>
      </c>
      <c r="F16" s="58" t="s">
        <v>128</v>
      </c>
      <c r="G16" s="259"/>
      <c r="H16" s="260" t="s">
        <v>287</v>
      </c>
      <c r="I16" s="261">
        <f>D23+D24</f>
        <v>1100</v>
      </c>
      <c r="J16" s="246"/>
      <c r="K16" s="246">
        <f>66+59.5+6.68</f>
        <v>132.18</v>
      </c>
      <c r="L16" s="246"/>
      <c r="M16" s="247"/>
      <c r="N16" s="246"/>
      <c r="O16" s="246"/>
    </row>
    <row r="17">
      <c r="B17" s="72" t="s">
        <v>141</v>
      </c>
      <c r="C17" s="73"/>
      <c r="D17" s="75">
        <v>325.7</v>
      </c>
      <c r="E17" s="75">
        <v>300.0</v>
      </c>
      <c r="F17" s="75">
        <v>300.0</v>
      </c>
      <c r="G17" s="262"/>
      <c r="H17" s="263" t="s">
        <v>288</v>
      </c>
      <c r="I17" s="264">
        <v>397.42</v>
      </c>
      <c r="J17" s="251"/>
      <c r="K17" s="246"/>
      <c r="L17" s="246"/>
      <c r="M17" s="247"/>
      <c r="N17" s="246"/>
      <c r="O17" s="246"/>
    </row>
    <row r="18">
      <c r="B18" s="72" t="s">
        <v>142</v>
      </c>
      <c r="C18" s="73"/>
      <c r="D18" s="75">
        <v>185.9</v>
      </c>
      <c r="E18" s="75">
        <v>200.0</v>
      </c>
      <c r="F18" s="75">
        <v>200.0</v>
      </c>
      <c r="G18" s="262"/>
      <c r="H18" s="32" t="s">
        <v>289</v>
      </c>
      <c r="I18" s="265">
        <v>200.0</v>
      </c>
      <c r="J18" s="251"/>
      <c r="K18" s="246"/>
      <c r="L18" s="246"/>
      <c r="M18" s="247"/>
      <c r="N18" s="246"/>
      <c r="O18" s="246"/>
    </row>
    <row r="19">
      <c r="B19" s="72" t="s">
        <v>143</v>
      </c>
      <c r="C19" s="73"/>
      <c r="D19" s="75">
        <v>165.0</v>
      </c>
      <c r="E19" s="75">
        <v>157.0</v>
      </c>
      <c r="F19" s="75">
        <v>157.0</v>
      </c>
      <c r="G19" s="262"/>
      <c r="H19" s="263"/>
      <c r="I19" s="266">
        <f>I16-I17-I18</f>
        <v>502.58</v>
      </c>
      <c r="J19" s="251"/>
      <c r="K19" s="246"/>
      <c r="L19" s="246"/>
      <c r="M19" s="247"/>
      <c r="N19" s="246"/>
      <c r="O19" s="246"/>
    </row>
    <row r="20">
      <c r="B20" s="72" t="s">
        <v>144</v>
      </c>
      <c r="C20" s="73"/>
      <c r="D20" s="179">
        <v>106.0</v>
      </c>
      <c r="E20" s="75">
        <v>100.0</v>
      </c>
      <c r="F20" s="75">
        <v>100.0</v>
      </c>
      <c r="G20" s="262"/>
      <c r="H20" s="263"/>
      <c r="I20" s="267">
        <f>I19-H47</f>
        <v>333.73</v>
      </c>
      <c r="J20" s="246"/>
      <c r="K20" s="268">
        <f>I20+K33+200+106-K16</f>
        <v>1037.98</v>
      </c>
      <c r="L20" s="269"/>
      <c r="M20" s="265"/>
      <c r="N20" s="257"/>
      <c r="O20" s="246"/>
    </row>
    <row r="21">
      <c r="B21" s="72" t="s">
        <v>145</v>
      </c>
      <c r="C21" s="73"/>
      <c r="D21" s="75">
        <v>2500.0</v>
      </c>
      <c r="E21" s="75">
        <v>2800.0</v>
      </c>
      <c r="F21" s="75">
        <v>2800.0</v>
      </c>
      <c r="G21" s="262"/>
      <c r="H21" s="263"/>
      <c r="I21" s="266">
        <f>D17+D18+D19+D20+D31+I19</f>
        <v>1485.18</v>
      </c>
      <c r="J21" s="251"/>
      <c r="K21" s="265">
        <f>891.64+81.4</f>
        <v>973.04</v>
      </c>
      <c r="L21" s="246"/>
      <c r="M21" s="265"/>
      <c r="N21" s="251"/>
      <c r="O21" s="246"/>
    </row>
    <row r="22">
      <c r="B22" s="72" t="s">
        <v>146</v>
      </c>
      <c r="C22" s="77" t="s">
        <v>147</v>
      </c>
      <c r="D22" s="75">
        <v>400.0</v>
      </c>
      <c r="E22" s="75">
        <v>400.0</v>
      </c>
      <c r="F22" s="75">
        <v>400.0</v>
      </c>
      <c r="G22" s="262"/>
      <c r="H22" s="263"/>
      <c r="I22" s="251"/>
      <c r="J22" s="246"/>
      <c r="K22" s="246"/>
      <c r="L22" s="246"/>
      <c r="M22" s="265"/>
      <c r="N22" s="246"/>
      <c r="O22" s="246"/>
    </row>
    <row r="23">
      <c r="B23" s="72" t="s">
        <v>148</v>
      </c>
      <c r="C23" s="73"/>
      <c r="D23" s="179">
        <v>600.0</v>
      </c>
      <c r="E23" s="75">
        <v>650.0</v>
      </c>
      <c r="F23" s="75">
        <v>650.0</v>
      </c>
      <c r="G23" s="262"/>
      <c r="H23" s="263"/>
      <c r="I23" s="251"/>
      <c r="J23" s="251"/>
      <c r="K23" s="246"/>
      <c r="L23" s="246"/>
      <c r="M23" s="247"/>
      <c r="N23" s="246"/>
      <c r="O23" s="246"/>
    </row>
    <row r="24">
      <c r="B24" s="72" t="s">
        <v>149</v>
      </c>
      <c r="C24" s="73"/>
      <c r="D24" s="179">
        <v>500.0</v>
      </c>
      <c r="E24" s="75">
        <v>603.0</v>
      </c>
      <c r="F24" s="75">
        <v>603.0</v>
      </c>
      <c r="G24" s="262"/>
      <c r="H24" s="263"/>
      <c r="I24" s="266">
        <f>2677.51-I21</f>
        <v>1192.33</v>
      </c>
      <c r="J24" s="251"/>
      <c r="K24" s="246"/>
      <c r="L24" s="246"/>
      <c r="M24" s="247"/>
      <c r="N24" s="246"/>
      <c r="O24" s="246"/>
    </row>
    <row r="25">
      <c r="A25" s="32" t="s">
        <v>120</v>
      </c>
      <c r="B25" s="72" t="s">
        <v>150</v>
      </c>
      <c r="C25" s="73"/>
      <c r="D25" s="75">
        <v>300.0</v>
      </c>
      <c r="E25" s="75">
        <v>300.0</v>
      </c>
      <c r="F25" s="75">
        <v>300.0</v>
      </c>
      <c r="G25" s="262"/>
      <c r="H25" s="263"/>
      <c r="I25" s="251"/>
      <c r="J25" s="246"/>
      <c r="K25" s="246"/>
      <c r="L25" s="246"/>
      <c r="M25" s="247"/>
      <c r="N25" s="246"/>
      <c r="O25" s="246"/>
    </row>
    <row r="26">
      <c r="B26" s="72" t="s">
        <v>151</v>
      </c>
      <c r="C26" s="73"/>
      <c r="D26" s="75"/>
      <c r="E26" s="75">
        <v>142.95</v>
      </c>
      <c r="F26" s="75">
        <v>142.95</v>
      </c>
      <c r="G26" s="262"/>
      <c r="H26" s="263"/>
      <c r="I26" s="246"/>
      <c r="J26" s="246"/>
      <c r="K26" s="246"/>
      <c r="L26" s="246"/>
      <c r="M26" s="247"/>
      <c r="N26" s="246"/>
      <c r="O26" s="246"/>
    </row>
    <row r="27">
      <c r="B27" s="72" t="s">
        <v>152</v>
      </c>
      <c r="C27" s="73"/>
      <c r="D27" s="75">
        <v>200.0</v>
      </c>
      <c r="E27" s="75">
        <v>200.0</v>
      </c>
      <c r="F27" s="75">
        <v>200.0</v>
      </c>
      <c r="G27" s="262"/>
      <c r="H27" s="263" t="s">
        <v>290</v>
      </c>
      <c r="I27" s="251">
        <v>830.75</v>
      </c>
      <c r="J27" s="246"/>
      <c r="K27" s="246"/>
      <c r="L27" s="246"/>
      <c r="M27" s="233" t="s">
        <v>278</v>
      </c>
      <c r="N27" s="49"/>
      <c r="O27" s="234"/>
    </row>
    <row r="28">
      <c r="B28" s="72" t="s">
        <v>181</v>
      </c>
      <c r="C28" s="73"/>
      <c r="D28" s="179">
        <v>100.0</v>
      </c>
      <c r="E28" s="74"/>
      <c r="F28" s="74"/>
      <c r="G28" s="262"/>
      <c r="H28" s="263" t="s">
        <v>291</v>
      </c>
      <c r="I28" s="251">
        <v>8.34</v>
      </c>
      <c r="J28" s="246"/>
      <c r="K28" s="246"/>
      <c r="L28" s="246"/>
      <c r="M28" s="206"/>
      <c r="O28" s="223"/>
    </row>
    <row r="29">
      <c r="B29" s="72" t="s">
        <v>154</v>
      </c>
      <c r="C29" s="73"/>
      <c r="D29" s="75">
        <v>116.0</v>
      </c>
      <c r="E29" s="75">
        <v>104.8</v>
      </c>
      <c r="F29" s="75">
        <v>104.8</v>
      </c>
      <c r="G29" s="262"/>
      <c r="H29" s="263" t="s">
        <v>292</v>
      </c>
      <c r="I29" s="251">
        <v>51.0</v>
      </c>
      <c r="J29" s="246"/>
      <c r="K29" s="247"/>
      <c r="L29" s="246"/>
      <c r="M29" s="204" t="s">
        <v>279</v>
      </c>
      <c r="O29" s="236">
        <v>145.0</v>
      </c>
    </row>
    <row r="30">
      <c r="B30" s="72" t="s">
        <v>155</v>
      </c>
      <c r="C30" s="73"/>
      <c r="D30" s="74"/>
      <c r="E30" s="74"/>
      <c r="F30" s="74"/>
      <c r="G30" s="270"/>
      <c r="H30" s="263" t="s">
        <v>259</v>
      </c>
      <c r="I30" s="251">
        <v>83.8</v>
      </c>
      <c r="J30" s="246"/>
      <c r="K30" s="246"/>
      <c r="L30" s="246"/>
      <c r="M30" s="204" t="s">
        <v>281</v>
      </c>
      <c r="O30" s="236">
        <v>2000.0</v>
      </c>
    </row>
    <row r="31">
      <c r="B31" s="72" t="s">
        <v>156</v>
      </c>
      <c r="C31" s="73"/>
      <c r="D31" s="179">
        <v>200.0</v>
      </c>
      <c r="E31" s="75">
        <v>1200.0</v>
      </c>
      <c r="F31" s="75">
        <v>1000.0</v>
      </c>
      <c r="G31" s="262"/>
      <c r="H31" s="263"/>
      <c r="I31" s="246"/>
      <c r="J31" s="246"/>
      <c r="K31" s="246"/>
      <c r="L31" s="246"/>
      <c r="M31" s="204" t="s">
        <v>282</v>
      </c>
      <c r="O31" s="236">
        <v>129.0</v>
      </c>
    </row>
    <row r="32">
      <c r="B32" s="72" t="s">
        <v>272</v>
      </c>
      <c r="C32" s="73"/>
      <c r="D32" s="74"/>
      <c r="E32" s="74"/>
      <c r="F32" s="74"/>
      <c r="G32" s="270"/>
      <c r="H32" s="263" t="s">
        <v>293</v>
      </c>
      <c r="I32" s="251"/>
      <c r="J32" s="251" t="s">
        <v>294</v>
      </c>
      <c r="K32" s="271">
        <f>I27-H47</f>
        <v>661.9</v>
      </c>
      <c r="L32" s="246"/>
      <c r="M32" s="204" t="s">
        <v>283</v>
      </c>
      <c r="O32" s="237">
        <v>200.0</v>
      </c>
    </row>
    <row r="33">
      <c r="B33" s="272" t="s">
        <v>295</v>
      </c>
      <c r="C33" s="273"/>
      <c r="D33" s="274">
        <v>1500.0</v>
      </c>
      <c r="E33" s="274">
        <v>1500.0</v>
      </c>
      <c r="F33" s="274">
        <v>1500.0</v>
      </c>
      <c r="G33" s="270"/>
      <c r="H33" s="262">
        <v>33.34</v>
      </c>
      <c r="J33" s="246"/>
      <c r="K33" s="275">
        <f>I24-K32</f>
        <v>530.43</v>
      </c>
      <c r="L33" s="246"/>
      <c r="M33" s="238" t="s">
        <v>284</v>
      </c>
      <c r="N33" s="22"/>
      <c r="O33" s="237">
        <v>200.0</v>
      </c>
    </row>
    <row r="34">
      <c r="B34" s="72" t="s">
        <v>159</v>
      </c>
      <c r="C34" s="73"/>
      <c r="D34" s="75">
        <v>800.0</v>
      </c>
      <c r="E34" s="75">
        <v>800.0</v>
      </c>
      <c r="F34" s="75">
        <v>800.0</v>
      </c>
      <c r="G34" s="262"/>
      <c r="H34" s="262">
        <v>11.6</v>
      </c>
      <c r="J34" s="246"/>
      <c r="K34" s="246"/>
      <c r="L34" s="246"/>
      <c r="M34" s="239"/>
      <c r="N34" s="240"/>
      <c r="O34" s="241">
        <f>SUM(O29:O33)</f>
        <v>2674</v>
      </c>
    </row>
    <row r="35">
      <c r="B35" s="72" t="s">
        <v>160</v>
      </c>
      <c r="C35" s="73"/>
      <c r="D35" s="75">
        <v>1800.0</v>
      </c>
      <c r="E35" s="75">
        <v>1800.0</v>
      </c>
      <c r="F35" s="75">
        <v>1800.0</v>
      </c>
      <c r="G35" s="262"/>
      <c r="H35" s="262">
        <v>15.9</v>
      </c>
      <c r="I35" s="249"/>
      <c r="M35" s="27"/>
    </row>
    <row r="36">
      <c r="B36" s="67" t="s">
        <v>161</v>
      </c>
      <c r="C36" s="68"/>
      <c r="D36" s="78">
        <f t="shared" ref="D36:F36" si="3">SUM(D17:D35)*-1</f>
        <v>-9798.6</v>
      </c>
      <c r="E36" s="78">
        <f t="shared" si="3"/>
        <v>-11257.75</v>
      </c>
      <c r="F36" s="78">
        <f t="shared" si="3"/>
        <v>-11057.75</v>
      </c>
      <c r="G36" s="27"/>
      <c r="H36" s="262">
        <v>15.5</v>
      </c>
      <c r="I36" s="249"/>
      <c r="M36" s="27"/>
    </row>
    <row r="37">
      <c r="G37" s="27"/>
      <c r="H37" s="262">
        <v>7.9</v>
      </c>
      <c r="I37" s="25"/>
      <c r="J37" s="249"/>
      <c r="M37" s="27"/>
    </row>
    <row r="38">
      <c r="B38" s="80" t="s">
        <v>162</v>
      </c>
      <c r="C38" s="81"/>
      <c r="D38" s="82">
        <f t="shared" ref="D38:F38" si="4">D14+D36</f>
        <v>9718.58</v>
      </c>
      <c r="E38" s="82">
        <f t="shared" si="4"/>
        <v>-1055.64</v>
      </c>
      <c r="F38" s="82">
        <f t="shared" si="4"/>
        <v>-855.64</v>
      </c>
      <c r="G38" s="27"/>
      <c r="H38" s="262">
        <v>10.0</v>
      </c>
      <c r="I38" s="249"/>
      <c r="J38" s="249"/>
      <c r="M38" s="27"/>
    </row>
    <row r="39">
      <c r="B39" s="83"/>
      <c r="C39" s="83"/>
      <c r="D39" s="84"/>
      <c r="E39" s="84"/>
      <c r="F39" s="84"/>
      <c r="G39" s="27"/>
      <c r="H39" s="262">
        <v>4.5</v>
      </c>
      <c r="I39" s="249"/>
      <c r="J39" s="249"/>
      <c r="M39" s="27"/>
    </row>
    <row r="40">
      <c r="B40" s="85" t="s">
        <v>163</v>
      </c>
      <c r="C40" s="86"/>
      <c r="D40" s="57" t="s">
        <v>125</v>
      </c>
      <c r="E40" s="57" t="s">
        <v>126</v>
      </c>
      <c r="F40" s="57" t="s">
        <v>127</v>
      </c>
      <c r="G40" s="27"/>
      <c r="H40" s="262">
        <v>4.0</v>
      </c>
      <c r="I40" s="107"/>
      <c r="J40" s="276"/>
      <c r="M40" s="27"/>
    </row>
    <row r="41">
      <c r="B41" s="87" t="s">
        <v>164</v>
      </c>
      <c r="C41" s="88">
        <v>4055.1</v>
      </c>
      <c r="D41" s="134">
        <v>498.84</v>
      </c>
      <c r="E41" s="134">
        <v>498.84</v>
      </c>
      <c r="F41" s="134">
        <v>498.84</v>
      </c>
      <c r="G41" s="27"/>
      <c r="H41" s="262">
        <v>9.9</v>
      </c>
      <c r="M41" s="27"/>
    </row>
    <row r="42">
      <c r="B42" s="87" t="s">
        <v>165</v>
      </c>
      <c r="C42" s="88">
        <v>8943.65</v>
      </c>
      <c r="D42" s="135">
        <v>385.96</v>
      </c>
      <c r="E42" s="135">
        <v>385.96</v>
      </c>
      <c r="F42" s="135">
        <v>385.96</v>
      </c>
      <c r="G42" s="27"/>
      <c r="H42" s="262">
        <v>10.9</v>
      </c>
      <c r="M42" s="27"/>
    </row>
    <row r="43">
      <c r="B43" s="87" t="s">
        <v>166</v>
      </c>
      <c r="C43" s="88">
        <v>8200.0</v>
      </c>
      <c r="D43" s="135">
        <v>520.0</v>
      </c>
      <c r="E43" s="135">
        <v>520.0</v>
      </c>
      <c r="F43" s="135">
        <v>520.0</v>
      </c>
      <c r="G43" s="27"/>
      <c r="H43" s="262">
        <v>9.9</v>
      </c>
      <c r="M43" s="27"/>
    </row>
    <row r="44">
      <c r="B44" s="87" t="s">
        <v>280</v>
      </c>
      <c r="C44" s="88"/>
      <c r="D44" s="135">
        <v>730.49</v>
      </c>
      <c r="E44" s="135">
        <v>730.49</v>
      </c>
      <c r="F44" s="135">
        <v>730.49</v>
      </c>
      <c r="G44" s="27"/>
      <c r="H44" s="262">
        <v>7.9</v>
      </c>
      <c r="M44" s="27"/>
    </row>
    <row r="45">
      <c r="A45" s="18">
        <v>1320.0</v>
      </c>
      <c r="B45" s="87" t="s">
        <v>203</v>
      </c>
      <c r="C45" s="88">
        <v>1760.0</v>
      </c>
      <c r="D45" s="135">
        <v>440.0</v>
      </c>
      <c r="E45" s="135">
        <v>440.0</v>
      </c>
      <c r="F45" s="135">
        <v>440.0</v>
      </c>
      <c r="G45" s="27"/>
      <c r="H45" s="262">
        <v>19.5</v>
      </c>
      <c r="M45" s="27"/>
    </row>
    <row r="46">
      <c r="B46" s="67" t="s">
        <v>167</v>
      </c>
      <c r="C46" s="95">
        <f>SUM(C41:C45)</f>
        <v>22958.75</v>
      </c>
      <c r="D46" s="78">
        <f t="shared" ref="D46:F46" si="5">SUM(D41:D45)*-1</f>
        <v>-2575.29</v>
      </c>
      <c r="E46" s="78">
        <f t="shared" si="5"/>
        <v>-2575.29</v>
      </c>
      <c r="F46" s="78">
        <f t="shared" si="5"/>
        <v>-2575.29</v>
      </c>
      <c r="G46" s="107"/>
      <c r="H46" s="262">
        <v>8.01</v>
      </c>
      <c r="M46" s="27"/>
    </row>
    <row r="47">
      <c r="B47" s="83"/>
      <c r="C47" s="83"/>
      <c r="D47" s="96"/>
      <c r="E47" s="96"/>
      <c r="F47" s="96"/>
      <c r="G47" s="192"/>
      <c r="H47" s="277">
        <f>SUM(H33:H46)</f>
        <v>168.85</v>
      </c>
      <c r="M47" s="27"/>
    </row>
    <row r="48">
      <c r="B48" s="97" t="s">
        <v>168</v>
      </c>
      <c r="C48" s="98"/>
      <c r="D48" s="99">
        <f t="shared" ref="D48:F48" si="6">D38+D46</f>
        <v>7143.29</v>
      </c>
      <c r="E48" s="99">
        <f t="shared" si="6"/>
        <v>-3630.93</v>
      </c>
      <c r="F48" s="99">
        <f t="shared" si="6"/>
        <v>-3430.93</v>
      </c>
      <c r="G48" s="192"/>
      <c r="H48" s="262"/>
      <c r="M48" s="27"/>
    </row>
    <row r="49">
      <c r="B49" s="83"/>
      <c r="C49" s="83"/>
      <c r="D49" s="96"/>
      <c r="E49" s="96"/>
      <c r="F49" s="96"/>
      <c r="G49" s="192"/>
      <c r="H49" s="192"/>
      <c r="I49" s="192"/>
      <c r="J49" s="22"/>
      <c r="M49" s="27"/>
    </row>
    <row r="50">
      <c r="B50" s="100" t="s">
        <v>169</v>
      </c>
      <c r="C50" s="101"/>
      <c r="D50" s="57" t="s">
        <v>125</v>
      </c>
      <c r="E50" s="57" t="s">
        <v>126</v>
      </c>
      <c r="F50" s="57" t="s">
        <v>127</v>
      </c>
      <c r="G50" s="192"/>
      <c r="H50" s="192"/>
      <c r="I50" s="192"/>
      <c r="J50" s="18">
        <f>2000-1760</f>
        <v>240</v>
      </c>
      <c r="M50" s="27"/>
    </row>
    <row r="51">
      <c r="B51" s="102" t="s">
        <v>170</v>
      </c>
      <c r="C51" s="103"/>
      <c r="D51" s="278">
        <v>2101.91</v>
      </c>
      <c r="E51" s="278"/>
      <c r="F51" s="278"/>
      <c r="G51" s="192"/>
      <c r="H51" s="192"/>
      <c r="I51" s="192"/>
      <c r="J51" s="18">
        <f>1760/4</f>
        <v>440</v>
      </c>
      <c r="M51" s="27"/>
    </row>
    <row r="52">
      <c r="B52" s="102" t="s">
        <v>171</v>
      </c>
      <c r="C52" s="103"/>
      <c r="D52" s="279">
        <f>D48</f>
        <v>7143.29</v>
      </c>
      <c r="E52" s="279"/>
      <c r="F52" s="279"/>
      <c r="G52" s="192"/>
      <c r="H52" s="192"/>
      <c r="I52" s="192"/>
      <c r="J52" s="22"/>
      <c r="M52" s="27"/>
    </row>
    <row r="53">
      <c r="B53" s="67"/>
      <c r="C53" s="68"/>
      <c r="D53" s="95"/>
      <c r="E53" s="95"/>
      <c r="F53" s="95"/>
      <c r="G53" s="192"/>
      <c r="H53" s="192"/>
      <c r="I53" s="192"/>
      <c r="J53" s="22"/>
      <c r="M53" s="27"/>
    </row>
    <row r="54">
      <c r="B54" s="67"/>
      <c r="C54" s="68"/>
      <c r="D54" s="95"/>
      <c r="E54" s="95"/>
      <c r="F54" s="95"/>
      <c r="G54" s="192"/>
      <c r="H54" s="192"/>
      <c r="I54" s="192"/>
      <c r="J54" s="22"/>
      <c r="M54" s="27"/>
    </row>
    <row r="55">
      <c r="B55" s="67" t="s">
        <v>173</v>
      </c>
      <c r="C55" s="68"/>
      <c r="D55" s="95">
        <f t="shared" ref="D55:F55" si="7">SUM(D51:D52)</f>
        <v>9245.2</v>
      </c>
      <c r="E55" s="95">
        <f t="shared" si="7"/>
        <v>0</v>
      </c>
      <c r="F55" s="95">
        <f t="shared" si="7"/>
        <v>0</v>
      </c>
      <c r="G55" s="192"/>
      <c r="H55" s="192"/>
      <c r="I55" s="192"/>
      <c r="J55" s="22"/>
      <c r="M55" s="27"/>
    </row>
    <row r="56">
      <c r="E56" s="192"/>
      <c r="F56" s="192"/>
      <c r="G56" s="192"/>
      <c r="H56" s="192"/>
      <c r="I56" s="192"/>
      <c r="J56" s="22"/>
      <c r="M56" s="27"/>
    </row>
    <row r="57">
      <c r="E57" s="192"/>
      <c r="F57" s="192"/>
      <c r="G57" s="192"/>
      <c r="H57" s="192"/>
      <c r="I57" s="192"/>
      <c r="J57" s="22"/>
      <c r="M57" s="27"/>
    </row>
    <row r="58">
      <c r="E58" s="107"/>
      <c r="F58" s="107"/>
      <c r="G58" s="107"/>
      <c r="H58" s="107"/>
      <c r="I58" s="27"/>
      <c r="M58" s="27"/>
    </row>
    <row r="59">
      <c r="E59" s="27"/>
      <c r="F59" s="27"/>
      <c r="G59" s="27"/>
      <c r="H59" s="27"/>
      <c r="I59" s="27"/>
      <c r="M59" s="27"/>
    </row>
    <row r="60">
      <c r="E60" s="107"/>
      <c r="F60" s="107"/>
      <c r="G60" s="107"/>
      <c r="H60" s="107"/>
      <c r="I60" s="27"/>
      <c r="M60" s="27"/>
    </row>
    <row r="61">
      <c r="I61" s="107"/>
      <c r="L61" s="107"/>
      <c r="M61" s="27"/>
    </row>
    <row r="62">
      <c r="E62" s="107"/>
      <c r="F62" s="107"/>
      <c r="G62" s="107"/>
      <c r="H62" s="107"/>
      <c r="I62" s="107"/>
      <c r="M62" s="27"/>
    </row>
    <row r="63">
      <c r="E63" s="107"/>
      <c r="F63" s="107"/>
      <c r="G63" s="107"/>
      <c r="H63" s="107"/>
      <c r="I63" s="107"/>
      <c r="M63" s="27"/>
    </row>
    <row r="64">
      <c r="E64" s="107"/>
      <c r="F64" s="107"/>
      <c r="G64" s="107"/>
      <c r="H64" s="107"/>
      <c r="I64" s="27"/>
      <c r="M64" s="27"/>
    </row>
    <row r="65">
      <c r="E65" s="27"/>
      <c r="F65" s="27"/>
      <c r="G65" s="27"/>
      <c r="H65" s="27"/>
      <c r="I65" s="27"/>
      <c r="M65" s="27"/>
    </row>
    <row r="66">
      <c r="E66" s="107"/>
      <c r="F66" s="107"/>
      <c r="G66" s="107"/>
      <c r="H66" s="107"/>
      <c r="I66" s="27"/>
      <c r="M66" s="27"/>
    </row>
    <row r="67">
      <c r="E67" s="107"/>
      <c r="F67" s="107"/>
      <c r="G67" s="107"/>
      <c r="H67" s="107"/>
      <c r="I67" s="27"/>
      <c r="M67" s="27"/>
    </row>
    <row r="68">
      <c r="E68" s="107"/>
      <c r="F68" s="107"/>
      <c r="G68" s="107"/>
      <c r="H68" s="107"/>
      <c r="I68" s="27"/>
      <c r="M68" s="27"/>
    </row>
    <row r="69">
      <c r="E69" s="107"/>
      <c r="F69" s="107"/>
      <c r="G69" s="107"/>
      <c r="H69" s="107"/>
      <c r="I69" s="27"/>
      <c r="M69" s="27"/>
    </row>
    <row r="70">
      <c r="E70" s="107"/>
      <c r="F70" s="107"/>
      <c r="G70" s="107"/>
      <c r="H70" s="107"/>
      <c r="I70" s="107"/>
      <c r="M70" s="27"/>
    </row>
    <row r="71">
      <c r="E71" s="107"/>
      <c r="F71" s="107"/>
      <c r="G71" s="107"/>
      <c r="H71" s="107"/>
      <c r="I71" s="27"/>
      <c r="M71" s="27"/>
    </row>
    <row r="72">
      <c r="E72" s="107"/>
      <c r="F72" s="107"/>
      <c r="G72" s="107"/>
      <c r="H72" s="107"/>
      <c r="I72" s="27"/>
      <c r="M72" s="27"/>
    </row>
    <row r="73">
      <c r="E73" s="107"/>
      <c r="F73" s="107"/>
      <c r="G73" s="107"/>
      <c r="H73" s="107"/>
      <c r="I73" s="27"/>
      <c r="M73" s="27"/>
    </row>
    <row r="74">
      <c r="M74" s="27"/>
    </row>
    <row r="75">
      <c r="M75" s="27"/>
    </row>
    <row r="76">
      <c r="E76" s="27"/>
      <c r="F76" s="27"/>
      <c r="G76" s="27"/>
      <c r="H76" s="27"/>
      <c r="I76" s="27"/>
      <c r="M76" s="27"/>
    </row>
    <row r="77">
      <c r="E77" s="27"/>
      <c r="F77" s="27"/>
      <c r="G77" s="27"/>
      <c r="H77" s="27"/>
      <c r="I77" s="27"/>
      <c r="M77" s="27"/>
    </row>
    <row r="78">
      <c r="E78" s="27"/>
      <c r="F78" s="27"/>
      <c r="G78" s="27"/>
      <c r="H78" s="27"/>
      <c r="I78" s="27"/>
      <c r="M78" s="27"/>
    </row>
    <row r="79">
      <c r="E79" s="27"/>
      <c r="F79" s="27"/>
      <c r="G79" s="27"/>
      <c r="H79" s="27"/>
      <c r="I79" s="27"/>
      <c r="M79" s="27"/>
    </row>
    <row r="80">
      <c r="E80" s="27"/>
      <c r="F80" s="27"/>
      <c r="G80" s="27"/>
      <c r="H80" s="27"/>
      <c r="I80" s="27"/>
      <c r="M80" s="27"/>
    </row>
    <row r="81">
      <c r="E81" s="27"/>
      <c r="F81" s="27"/>
      <c r="G81" s="27"/>
      <c r="H81" s="27"/>
      <c r="I81" s="27"/>
      <c r="M81" s="27"/>
    </row>
    <row r="82">
      <c r="E82" s="27"/>
      <c r="F82" s="27"/>
      <c r="G82" s="27"/>
      <c r="H82" s="27"/>
      <c r="I82" s="27"/>
      <c r="M82" s="27"/>
    </row>
    <row r="83">
      <c r="E83" s="27"/>
      <c r="F83" s="27"/>
      <c r="G83" s="27"/>
      <c r="H83" s="27"/>
      <c r="I83" s="27"/>
      <c r="M83" s="27"/>
    </row>
    <row r="84">
      <c r="E84" s="27"/>
      <c r="F84" s="27"/>
      <c r="G84" s="27"/>
      <c r="H84" s="27"/>
      <c r="I84" s="27"/>
      <c r="M84" s="27"/>
    </row>
    <row r="85">
      <c r="E85" s="27"/>
      <c r="F85" s="27"/>
      <c r="G85" s="27"/>
      <c r="H85" s="27"/>
      <c r="I85" s="27"/>
      <c r="M85" s="27"/>
    </row>
    <row r="86">
      <c r="E86" s="27"/>
      <c r="F86" s="27"/>
      <c r="G86" s="27"/>
      <c r="H86" s="27"/>
      <c r="I86" s="27"/>
      <c r="M86" s="27"/>
    </row>
    <row r="87">
      <c r="E87" s="27"/>
      <c r="F87" s="27"/>
      <c r="G87" s="27"/>
      <c r="H87" s="27"/>
      <c r="I87" s="27"/>
      <c r="M87" s="27"/>
    </row>
    <row r="88">
      <c r="E88" s="27"/>
      <c r="F88" s="27"/>
      <c r="G88" s="27"/>
      <c r="H88" s="27"/>
      <c r="I88" s="27"/>
      <c r="M88" s="27"/>
    </row>
    <row r="89">
      <c r="E89" s="27"/>
      <c r="F89" s="27"/>
      <c r="G89" s="27"/>
      <c r="H89" s="27"/>
      <c r="I89" s="27"/>
      <c r="M89" s="27"/>
    </row>
    <row r="90">
      <c r="E90" s="27"/>
      <c r="F90" s="27"/>
      <c r="G90" s="27"/>
      <c r="H90" s="27"/>
      <c r="I90" s="27"/>
      <c r="M90" s="27"/>
    </row>
    <row r="91">
      <c r="E91" s="27"/>
      <c r="F91" s="27"/>
      <c r="G91" s="27"/>
      <c r="H91" s="27"/>
      <c r="I91" s="27"/>
      <c r="M91" s="27"/>
    </row>
    <row r="92">
      <c r="E92" s="27"/>
      <c r="F92" s="27"/>
      <c r="G92" s="27"/>
      <c r="H92" s="27"/>
      <c r="I92" s="27"/>
      <c r="M92" s="27"/>
    </row>
    <row r="93">
      <c r="E93" s="27"/>
      <c r="F93" s="27"/>
      <c r="G93" s="27"/>
      <c r="H93" s="27"/>
      <c r="I93" s="27"/>
      <c r="M93" s="27"/>
    </row>
    <row r="94">
      <c r="E94" s="27"/>
      <c r="F94" s="27"/>
      <c r="G94" s="27"/>
      <c r="H94" s="27"/>
      <c r="I94" s="27"/>
      <c r="M94" s="27"/>
    </row>
    <row r="95">
      <c r="E95" s="27"/>
      <c r="F95" s="27"/>
      <c r="G95" s="27"/>
      <c r="H95" s="27"/>
      <c r="I95" s="27"/>
      <c r="M95" s="27"/>
    </row>
    <row r="96">
      <c r="E96" s="27"/>
      <c r="F96" s="27"/>
      <c r="G96" s="27"/>
      <c r="H96" s="27"/>
      <c r="I96" s="27"/>
      <c r="M96" s="27"/>
    </row>
    <row r="97">
      <c r="E97" s="27"/>
      <c r="F97" s="27"/>
      <c r="G97" s="27"/>
      <c r="H97" s="27"/>
      <c r="I97" s="27"/>
      <c r="M97" s="27"/>
    </row>
    <row r="98">
      <c r="E98" s="27"/>
      <c r="F98" s="27"/>
      <c r="G98" s="27"/>
      <c r="H98" s="27"/>
      <c r="I98" s="27"/>
      <c r="M98" s="27"/>
    </row>
    <row r="99">
      <c r="E99" s="27"/>
      <c r="F99" s="27"/>
      <c r="G99" s="27"/>
      <c r="H99" s="27"/>
      <c r="I99" s="27"/>
      <c r="M99" s="27"/>
    </row>
    <row r="100">
      <c r="E100" s="27"/>
      <c r="F100" s="27"/>
      <c r="G100" s="27"/>
      <c r="H100" s="27"/>
      <c r="I100" s="27"/>
      <c r="M100" s="27"/>
    </row>
    <row r="101">
      <c r="E101" s="27"/>
      <c r="F101" s="27"/>
      <c r="G101" s="27"/>
      <c r="H101" s="27"/>
      <c r="I101" s="27"/>
      <c r="M101" s="27"/>
    </row>
    <row r="102">
      <c r="E102" s="27"/>
      <c r="F102" s="27"/>
      <c r="G102" s="27"/>
      <c r="H102" s="27"/>
      <c r="I102" s="27"/>
      <c r="M102" s="27"/>
    </row>
    <row r="103">
      <c r="E103" s="27"/>
      <c r="F103" s="27"/>
      <c r="G103" s="27"/>
      <c r="H103" s="27"/>
      <c r="I103" s="27"/>
      <c r="M103" s="27"/>
    </row>
    <row r="104">
      <c r="E104" s="27"/>
      <c r="F104" s="27"/>
      <c r="G104" s="27"/>
      <c r="H104" s="27"/>
      <c r="I104" s="27"/>
      <c r="M104" s="27"/>
    </row>
    <row r="105">
      <c r="E105" s="27"/>
      <c r="F105" s="27"/>
      <c r="G105" s="27"/>
      <c r="H105" s="27"/>
      <c r="I105" s="27"/>
      <c r="M105" s="27"/>
    </row>
    <row r="106">
      <c r="E106" s="27"/>
      <c r="F106" s="27"/>
      <c r="G106" s="27"/>
      <c r="H106" s="27"/>
      <c r="I106" s="27"/>
      <c r="M106" s="27"/>
    </row>
    <row r="107">
      <c r="E107" s="27"/>
      <c r="F107" s="27"/>
      <c r="G107" s="27"/>
      <c r="H107" s="27"/>
      <c r="I107" s="27"/>
      <c r="M107" s="27"/>
    </row>
    <row r="108">
      <c r="E108" s="27"/>
      <c r="F108" s="27"/>
      <c r="G108" s="27"/>
      <c r="H108" s="27"/>
      <c r="I108" s="27"/>
      <c r="M108" s="27"/>
    </row>
    <row r="109">
      <c r="E109" s="27"/>
      <c r="F109" s="27"/>
      <c r="G109" s="27"/>
      <c r="H109" s="27"/>
      <c r="I109" s="27"/>
      <c r="M109" s="27"/>
    </row>
    <row r="110">
      <c r="E110" s="27"/>
      <c r="F110" s="27"/>
      <c r="G110" s="27"/>
      <c r="H110" s="27"/>
      <c r="I110" s="27"/>
      <c r="M110" s="27"/>
    </row>
    <row r="111">
      <c r="E111" s="27"/>
      <c r="F111" s="27"/>
      <c r="G111" s="27"/>
      <c r="H111" s="27"/>
      <c r="I111" s="27"/>
      <c r="M111" s="27"/>
    </row>
    <row r="112">
      <c r="E112" s="27"/>
      <c r="F112" s="27"/>
      <c r="G112" s="27"/>
      <c r="H112" s="27"/>
      <c r="I112" s="27"/>
      <c r="M112" s="27"/>
    </row>
    <row r="113">
      <c r="E113" s="27"/>
      <c r="F113" s="27"/>
      <c r="G113" s="27"/>
      <c r="H113" s="27"/>
      <c r="I113" s="27"/>
      <c r="M113" s="27"/>
    </row>
    <row r="114">
      <c r="E114" s="27"/>
      <c r="F114" s="27"/>
      <c r="G114" s="27"/>
      <c r="H114" s="27"/>
      <c r="I114" s="27"/>
      <c r="M114" s="27"/>
    </row>
    <row r="115">
      <c r="E115" s="27"/>
      <c r="F115" s="27"/>
      <c r="G115" s="27"/>
      <c r="H115" s="27"/>
      <c r="I115" s="27"/>
      <c r="M115" s="27"/>
    </row>
    <row r="116">
      <c r="E116" s="27"/>
      <c r="F116" s="27"/>
      <c r="G116" s="27"/>
      <c r="H116" s="27"/>
      <c r="I116" s="27"/>
      <c r="M116" s="27"/>
    </row>
    <row r="117">
      <c r="E117" s="27"/>
      <c r="F117" s="27"/>
      <c r="G117" s="27"/>
      <c r="H117" s="27"/>
      <c r="I117" s="27"/>
      <c r="M117" s="27"/>
    </row>
    <row r="118">
      <c r="E118" s="27"/>
      <c r="F118" s="27"/>
      <c r="G118" s="27"/>
      <c r="H118" s="27"/>
      <c r="I118" s="27"/>
      <c r="M118" s="27"/>
    </row>
    <row r="119">
      <c r="E119" s="27"/>
      <c r="F119" s="27"/>
      <c r="G119" s="27"/>
      <c r="H119" s="27"/>
      <c r="I119" s="27"/>
      <c r="M119" s="27"/>
    </row>
    <row r="120">
      <c r="E120" s="27"/>
      <c r="F120" s="27"/>
      <c r="G120" s="27"/>
      <c r="H120" s="27"/>
      <c r="I120" s="27"/>
      <c r="M120" s="27"/>
    </row>
    <row r="121">
      <c r="E121" s="27"/>
      <c r="F121" s="27"/>
      <c r="G121" s="27"/>
      <c r="H121" s="27"/>
      <c r="I121" s="27"/>
      <c r="M121" s="27"/>
    </row>
    <row r="122">
      <c r="E122" s="27"/>
      <c r="F122" s="27"/>
      <c r="G122" s="27"/>
      <c r="H122" s="27"/>
      <c r="I122" s="27"/>
      <c r="M122" s="27"/>
    </row>
    <row r="123">
      <c r="E123" s="27"/>
      <c r="F123" s="27"/>
      <c r="G123" s="27"/>
      <c r="H123" s="27"/>
      <c r="I123" s="27"/>
      <c r="M123" s="27"/>
    </row>
    <row r="124">
      <c r="E124" s="27"/>
      <c r="F124" s="27"/>
      <c r="G124" s="27"/>
      <c r="H124" s="27"/>
      <c r="I124" s="27"/>
      <c r="M124" s="27"/>
    </row>
    <row r="125">
      <c r="E125" s="27"/>
      <c r="F125" s="27"/>
      <c r="G125" s="27"/>
      <c r="H125" s="27"/>
      <c r="I125" s="27"/>
      <c r="M125" s="27"/>
    </row>
    <row r="126">
      <c r="E126" s="27"/>
      <c r="F126" s="27"/>
      <c r="G126" s="27"/>
      <c r="H126" s="27"/>
      <c r="I126" s="27"/>
      <c r="M126" s="27"/>
    </row>
    <row r="127">
      <c r="E127" s="27"/>
      <c r="F127" s="27"/>
      <c r="G127" s="27"/>
      <c r="H127" s="27"/>
      <c r="I127" s="27"/>
      <c r="M127" s="27"/>
    </row>
    <row r="128">
      <c r="E128" s="27"/>
      <c r="F128" s="27"/>
      <c r="G128" s="27"/>
      <c r="H128" s="27"/>
      <c r="I128" s="27"/>
      <c r="M128" s="27"/>
    </row>
    <row r="129">
      <c r="E129" s="27"/>
      <c r="F129" s="27"/>
      <c r="G129" s="27"/>
      <c r="H129" s="27"/>
      <c r="I129" s="27"/>
      <c r="M129" s="27"/>
    </row>
    <row r="130">
      <c r="E130" s="27"/>
      <c r="F130" s="27"/>
      <c r="G130" s="27"/>
      <c r="H130" s="27"/>
      <c r="I130" s="27"/>
      <c r="M130" s="27"/>
    </row>
    <row r="131">
      <c r="E131" s="27"/>
      <c r="F131" s="27"/>
      <c r="G131" s="27"/>
      <c r="H131" s="27"/>
      <c r="I131" s="27"/>
      <c r="M131" s="27"/>
    </row>
    <row r="132">
      <c r="E132" s="27"/>
      <c r="F132" s="27"/>
      <c r="G132" s="27"/>
      <c r="H132" s="27"/>
      <c r="I132" s="27"/>
      <c r="M132" s="27"/>
    </row>
    <row r="133">
      <c r="E133" s="27"/>
      <c r="F133" s="27"/>
      <c r="G133" s="27"/>
      <c r="H133" s="27"/>
      <c r="I133" s="27"/>
      <c r="M133" s="27"/>
    </row>
    <row r="134">
      <c r="E134" s="27"/>
      <c r="F134" s="27"/>
      <c r="G134" s="27"/>
      <c r="H134" s="27"/>
      <c r="I134" s="27"/>
      <c r="M134" s="27"/>
    </row>
    <row r="135">
      <c r="E135" s="27"/>
      <c r="F135" s="27"/>
      <c r="G135" s="27"/>
      <c r="H135" s="27"/>
      <c r="I135" s="27"/>
      <c r="M135" s="27"/>
    </row>
    <row r="136">
      <c r="E136" s="27"/>
      <c r="F136" s="27"/>
      <c r="G136" s="27"/>
      <c r="H136" s="27"/>
      <c r="I136" s="27"/>
      <c r="M136" s="27"/>
    </row>
    <row r="137">
      <c r="E137" s="27"/>
      <c r="F137" s="27"/>
      <c r="G137" s="27"/>
      <c r="H137" s="27"/>
      <c r="I137" s="27"/>
      <c r="M137" s="27"/>
    </row>
    <row r="138">
      <c r="E138" s="27"/>
      <c r="F138" s="27"/>
      <c r="G138" s="27"/>
      <c r="H138" s="27"/>
      <c r="I138" s="27"/>
      <c r="M138" s="27"/>
    </row>
    <row r="139">
      <c r="E139" s="27"/>
      <c r="F139" s="27"/>
      <c r="G139" s="27"/>
      <c r="H139" s="27"/>
      <c r="I139" s="27"/>
      <c r="M139" s="27"/>
    </row>
    <row r="140">
      <c r="E140" s="27"/>
      <c r="F140" s="27"/>
      <c r="G140" s="27"/>
      <c r="H140" s="27"/>
      <c r="I140" s="27"/>
      <c r="M140" s="27"/>
    </row>
    <row r="141">
      <c r="E141" s="27"/>
      <c r="F141" s="27"/>
      <c r="G141" s="27"/>
      <c r="H141" s="27"/>
      <c r="I141" s="27"/>
      <c r="M141" s="27"/>
    </row>
    <row r="142">
      <c r="E142" s="27"/>
      <c r="F142" s="27"/>
      <c r="G142" s="27"/>
      <c r="H142" s="27"/>
      <c r="I142" s="27"/>
      <c r="M142" s="27"/>
    </row>
    <row r="143">
      <c r="E143" s="27"/>
      <c r="F143" s="27"/>
      <c r="G143" s="27"/>
      <c r="H143" s="27"/>
      <c r="I143" s="27"/>
      <c r="M143" s="27"/>
    </row>
    <row r="144">
      <c r="E144" s="27"/>
      <c r="F144" s="27"/>
      <c r="G144" s="27"/>
      <c r="H144" s="27"/>
      <c r="I144" s="27"/>
      <c r="M144" s="27"/>
    </row>
    <row r="145">
      <c r="E145" s="27"/>
      <c r="F145" s="27"/>
      <c r="G145" s="27"/>
      <c r="H145" s="27"/>
      <c r="I145" s="27"/>
      <c r="M145" s="27"/>
    </row>
    <row r="146">
      <c r="E146" s="27"/>
      <c r="F146" s="27"/>
      <c r="G146" s="27"/>
      <c r="H146" s="27"/>
      <c r="I146" s="27"/>
      <c r="M146" s="27"/>
    </row>
    <row r="147">
      <c r="E147" s="27"/>
      <c r="F147" s="27"/>
      <c r="G147" s="27"/>
      <c r="H147" s="27"/>
      <c r="I147" s="27"/>
      <c r="M147" s="27"/>
    </row>
    <row r="148">
      <c r="E148" s="27"/>
      <c r="F148" s="27"/>
      <c r="G148" s="27"/>
      <c r="H148" s="27"/>
      <c r="I148" s="27"/>
      <c r="M148" s="27"/>
    </row>
    <row r="149">
      <c r="E149" s="27"/>
      <c r="F149" s="27"/>
      <c r="G149" s="27"/>
      <c r="H149" s="27"/>
      <c r="I149" s="27"/>
      <c r="M149" s="27"/>
    </row>
    <row r="150">
      <c r="E150" s="27"/>
      <c r="F150" s="27"/>
      <c r="G150" s="27"/>
      <c r="H150" s="27"/>
      <c r="I150" s="27"/>
      <c r="M150" s="27"/>
    </row>
    <row r="151">
      <c r="E151" s="27"/>
      <c r="F151" s="27"/>
      <c r="G151" s="27"/>
      <c r="H151" s="27"/>
      <c r="I151" s="27"/>
      <c r="M151" s="27"/>
    </row>
    <row r="152">
      <c r="E152" s="27"/>
      <c r="F152" s="27"/>
      <c r="G152" s="27"/>
      <c r="H152" s="27"/>
      <c r="I152" s="27"/>
      <c r="M152" s="27"/>
    </row>
    <row r="153">
      <c r="E153" s="27"/>
      <c r="F153" s="27"/>
      <c r="G153" s="27"/>
      <c r="H153" s="27"/>
      <c r="I153" s="27"/>
      <c r="M153" s="27"/>
    </row>
    <row r="154">
      <c r="E154" s="27"/>
      <c r="F154" s="27"/>
      <c r="G154" s="27"/>
      <c r="H154" s="27"/>
      <c r="I154" s="27"/>
      <c r="M154" s="27"/>
    </row>
    <row r="155">
      <c r="E155" s="27"/>
      <c r="F155" s="27"/>
      <c r="G155" s="27"/>
      <c r="H155" s="27"/>
      <c r="I155" s="27"/>
      <c r="M155" s="27"/>
    </row>
    <row r="156">
      <c r="E156" s="27"/>
      <c r="F156" s="27"/>
      <c r="G156" s="27"/>
      <c r="H156" s="27"/>
      <c r="I156" s="27"/>
      <c r="M156" s="27"/>
    </row>
    <row r="157">
      <c r="E157" s="27"/>
      <c r="F157" s="27"/>
      <c r="G157" s="27"/>
      <c r="H157" s="27"/>
      <c r="I157" s="27"/>
      <c r="M157" s="27"/>
    </row>
    <row r="158">
      <c r="E158" s="27"/>
      <c r="F158" s="27"/>
      <c r="G158" s="27"/>
      <c r="H158" s="27"/>
      <c r="I158" s="27"/>
      <c r="M158" s="27"/>
    </row>
    <row r="159">
      <c r="E159" s="27"/>
      <c r="F159" s="27"/>
      <c r="G159" s="27"/>
      <c r="H159" s="27"/>
      <c r="I159" s="27"/>
      <c r="M159" s="27"/>
    </row>
    <row r="160">
      <c r="E160" s="27"/>
      <c r="F160" s="27"/>
      <c r="G160" s="27"/>
      <c r="H160" s="27"/>
      <c r="I160" s="27"/>
      <c r="M160" s="27"/>
    </row>
    <row r="161">
      <c r="E161" s="27"/>
      <c r="F161" s="27"/>
      <c r="G161" s="27"/>
      <c r="H161" s="27"/>
      <c r="I161" s="27"/>
      <c r="M161" s="27"/>
    </row>
    <row r="162">
      <c r="E162" s="27"/>
      <c r="F162" s="27"/>
      <c r="G162" s="27"/>
      <c r="H162" s="27"/>
      <c r="I162" s="27"/>
      <c r="M162" s="27"/>
    </row>
    <row r="163">
      <c r="E163" s="27"/>
      <c r="F163" s="27"/>
      <c r="G163" s="27"/>
      <c r="H163" s="27"/>
      <c r="I163" s="27"/>
      <c r="M163" s="27"/>
    </row>
    <row r="164">
      <c r="E164" s="27"/>
      <c r="F164" s="27"/>
      <c r="G164" s="27"/>
      <c r="H164" s="27"/>
      <c r="I164" s="27"/>
      <c r="M164" s="27"/>
    </row>
    <row r="165">
      <c r="E165" s="27"/>
      <c r="F165" s="27"/>
      <c r="G165" s="27"/>
      <c r="H165" s="27"/>
      <c r="I165" s="27"/>
      <c r="M165" s="27"/>
    </row>
    <row r="166">
      <c r="E166" s="27"/>
      <c r="F166" s="27"/>
      <c r="G166" s="27"/>
      <c r="H166" s="27"/>
      <c r="I166" s="27"/>
      <c r="M166" s="27"/>
    </row>
    <row r="167">
      <c r="E167" s="27"/>
      <c r="F167" s="27"/>
      <c r="G167" s="27"/>
      <c r="H167" s="27"/>
      <c r="I167" s="27"/>
      <c r="M167" s="27"/>
    </row>
    <row r="168">
      <c r="E168" s="27"/>
      <c r="F168" s="27"/>
      <c r="G168" s="27"/>
      <c r="H168" s="27"/>
      <c r="I168" s="27"/>
      <c r="M168" s="27"/>
    </row>
    <row r="169">
      <c r="E169" s="27"/>
      <c r="F169" s="27"/>
      <c r="G169" s="27"/>
      <c r="H169" s="27"/>
      <c r="I169" s="27"/>
      <c r="M169" s="27"/>
    </row>
    <row r="170">
      <c r="E170" s="27"/>
      <c r="F170" s="27"/>
      <c r="G170" s="27"/>
      <c r="H170" s="27"/>
      <c r="I170" s="27"/>
      <c r="M170" s="27"/>
    </row>
    <row r="171">
      <c r="E171" s="27"/>
      <c r="F171" s="27"/>
      <c r="G171" s="27"/>
      <c r="H171" s="27"/>
      <c r="I171" s="27"/>
      <c r="M171" s="27"/>
    </row>
    <row r="172">
      <c r="E172" s="27"/>
      <c r="F172" s="27"/>
      <c r="G172" s="27"/>
      <c r="H172" s="27"/>
      <c r="I172" s="27"/>
      <c r="M172" s="27"/>
    </row>
    <row r="173">
      <c r="E173" s="27"/>
      <c r="F173" s="27"/>
      <c r="G173" s="27"/>
      <c r="H173" s="27"/>
      <c r="I173" s="27"/>
      <c r="M173" s="27"/>
    </row>
    <row r="174">
      <c r="E174" s="27"/>
      <c r="F174" s="27"/>
      <c r="G174" s="27"/>
      <c r="H174" s="27"/>
      <c r="I174" s="27"/>
      <c r="M174" s="27"/>
    </row>
    <row r="175">
      <c r="E175" s="27"/>
      <c r="F175" s="27"/>
      <c r="G175" s="27"/>
      <c r="H175" s="27"/>
      <c r="I175" s="27"/>
      <c r="M175" s="27"/>
    </row>
    <row r="176">
      <c r="E176" s="27"/>
      <c r="F176" s="27"/>
      <c r="G176" s="27"/>
      <c r="H176" s="27"/>
      <c r="I176" s="27"/>
      <c r="M176" s="27"/>
    </row>
    <row r="177">
      <c r="E177" s="27"/>
      <c r="F177" s="27"/>
      <c r="G177" s="27"/>
      <c r="H177" s="27"/>
      <c r="I177" s="27"/>
      <c r="M177" s="27"/>
    </row>
    <row r="178">
      <c r="E178" s="27"/>
      <c r="F178" s="27"/>
      <c r="G178" s="27"/>
      <c r="H178" s="27"/>
      <c r="I178" s="27"/>
      <c r="M178" s="27"/>
    </row>
    <row r="179">
      <c r="E179" s="27"/>
      <c r="F179" s="27"/>
      <c r="G179" s="27"/>
      <c r="H179" s="27"/>
      <c r="I179" s="27"/>
      <c r="M179" s="27"/>
    </row>
    <row r="180">
      <c r="E180" s="27"/>
      <c r="F180" s="27"/>
      <c r="G180" s="27"/>
      <c r="H180" s="27"/>
      <c r="I180" s="27"/>
      <c r="M180" s="27"/>
    </row>
    <row r="181">
      <c r="E181" s="27"/>
      <c r="F181" s="27"/>
      <c r="G181" s="27"/>
      <c r="H181" s="27"/>
      <c r="I181" s="27"/>
      <c r="M181" s="27"/>
    </row>
    <row r="182">
      <c r="E182" s="27"/>
      <c r="F182" s="27"/>
      <c r="G182" s="27"/>
      <c r="H182" s="27"/>
      <c r="I182" s="27"/>
      <c r="M182" s="27"/>
    </row>
    <row r="183">
      <c r="E183" s="27"/>
      <c r="F183" s="27"/>
      <c r="G183" s="27"/>
      <c r="H183" s="27"/>
      <c r="I183" s="27"/>
      <c r="M183" s="27"/>
    </row>
    <row r="184">
      <c r="E184" s="27"/>
      <c r="F184" s="27"/>
      <c r="G184" s="27"/>
      <c r="H184" s="27"/>
      <c r="I184" s="27"/>
      <c r="M184" s="27"/>
    </row>
    <row r="185">
      <c r="E185" s="27"/>
      <c r="F185" s="27"/>
      <c r="G185" s="27"/>
      <c r="H185" s="27"/>
      <c r="I185" s="27"/>
      <c r="M185" s="27"/>
    </row>
    <row r="186">
      <c r="E186" s="27"/>
      <c r="F186" s="27"/>
      <c r="G186" s="27"/>
      <c r="H186" s="27"/>
      <c r="I186" s="27"/>
      <c r="M186" s="27"/>
    </row>
    <row r="187">
      <c r="E187" s="27"/>
      <c r="F187" s="27"/>
      <c r="G187" s="27"/>
      <c r="H187" s="27"/>
      <c r="I187" s="27"/>
      <c r="M187" s="27"/>
    </row>
    <row r="188">
      <c r="E188" s="27"/>
      <c r="F188" s="27"/>
      <c r="G188" s="27"/>
      <c r="H188" s="27"/>
      <c r="I188" s="27"/>
      <c r="M188" s="27"/>
    </row>
    <row r="189">
      <c r="E189" s="27"/>
      <c r="F189" s="27"/>
      <c r="G189" s="27"/>
      <c r="H189" s="27"/>
      <c r="I189" s="27"/>
      <c r="M189" s="27"/>
    </row>
    <row r="190">
      <c r="E190" s="27"/>
      <c r="F190" s="27"/>
      <c r="G190" s="27"/>
      <c r="H190" s="27"/>
      <c r="I190" s="27"/>
      <c r="M190" s="27"/>
    </row>
    <row r="191">
      <c r="E191" s="27"/>
      <c r="F191" s="27"/>
      <c r="G191" s="27"/>
      <c r="H191" s="27"/>
      <c r="I191" s="27"/>
      <c r="M191" s="27"/>
    </row>
    <row r="192">
      <c r="E192" s="27"/>
      <c r="F192" s="27"/>
      <c r="G192" s="27"/>
      <c r="H192" s="27"/>
      <c r="I192" s="27"/>
      <c r="M192" s="27"/>
    </row>
    <row r="193">
      <c r="E193" s="27"/>
      <c r="F193" s="27"/>
      <c r="G193" s="27"/>
      <c r="H193" s="27"/>
      <c r="I193" s="27"/>
      <c r="M193" s="27"/>
    </row>
    <row r="194">
      <c r="E194" s="27"/>
      <c r="F194" s="27"/>
      <c r="G194" s="27"/>
      <c r="H194" s="27"/>
      <c r="I194" s="27"/>
      <c r="M194" s="27"/>
    </row>
    <row r="195">
      <c r="E195" s="27"/>
      <c r="F195" s="27"/>
      <c r="G195" s="27"/>
      <c r="H195" s="27"/>
      <c r="I195" s="27"/>
      <c r="M195" s="27"/>
    </row>
    <row r="196">
      <c r="E196" s="27"/>
      <c r="F196" s="27"/>
      <c r="G196" s="27"/>
      <c r="H196" s="27"/>
      <c r="I196" s="27"/>
      <c r="M196" s="27"/>
    </row>
    <row r="197">
      <c r="E197" s="27"/>
      <c r="F197" s="27"/>
      <c r="G197" s="27"/>
      <c r="H197" s="27"/>
      <c r="I197" s="27"/>
      <c r="M197" s="27"/>
    </row>
    <row r="198">
      <c r="E198" s="27"/>
      <c r="F198" s="27"/>
      <c r="G198" s="27"/>
      <c r="H198" s="27"/>
      <c r="I198" s="27"/>
      <c r="M198" s="27"/>
    </row>
    <row r="199">
      <c r="E199" s="27"/>
      <c r="F199" s="27"/>
      <c r="G199" s="27"/>
      <c r="H199" s="27"/>
      <c r="I199" s="27"/>
      <c r="M199" s="27"/>
    </row>
    <row r="200">
      <c r="E200" s="27"/>
      <c r="F200" s="27"/>
      <c r="G200" s="27"/>
      <c r="H200" s="27"/>
      <c r="I200" s="27"/>
      <c r="M200" s="27"/>
    </row>
    <row r="201">
      <c r="E201" s="27"/>
      <c r="F201" s="27"/>
      <c r="G201" s="27"/>
      <c r="H201" s="27"/>
      <c r="I201" s="27"/>
      <c r="M201" s="27"/>
    </row>
    <row r="202">
      <c r="E202" s="27"/>
      <c r="F202" s="27"/>
      <c r="G202" s="27"/>
      <c r="H202" s="27"/>
      <c r="I202" s="27"/>
      <c r="M202" s="27"/>
    </row>
    <row r="203">
      <c r="E203" s="27"/>
      <c r="F203" s="27"/>
      <c r="G203" s="27"/>
      <c r="H203" s="27"/>
      <c r="I203" s="27"/>
      <c r="M203" s="27"/>
    </row>
    <row r="204">
      <c r="E204" s="27"/>
      <c r="F204" s="27"/>
      <c r="G204" s="27"/>
      <c r="H204" s="27"/>
      <c r="I204" s="27"/>
      <c r="M204" s="27"/>
    </row>
    <row r="205">
      <c r="E205" s="27"/>
      <c r="F205" s="27"/>
      <c r="G205" s="27"/>
      <c r="H205" s="27"/>
      <c r="I205" s="27"/>
      <c r="M205" s="27"/>
    </row>
    <row r="206">
      <c r="E206" s="27"/>
      <c r="F206" s="27"/>
      <c r="G206" s="27"/>
      <c r="H206" s="27"/>
      <c r="I206" s="27"/>
      <c r="M206" s="27"/>
    </row>
    <row r="207">
      <c r="E207" s="27"/>
      <c r="F207" s="27"/>
      <c r="G207" s="27"/>
      <c r="H207" s="27"/>
      <c r="I207" s="27"/>
      <c r="M207" s="27"/>
    </row>
    <row r="208">
      <c r="E208" s="27"/>
      <c r="F208" s="27"/>
      <c r="G208" s="27"/>
      <c r="H208" s="27"/>
      <c r="I208" s="27"/>
      <c r="M208" s="27"/>
    </row>
    <row r="209">
      <c r="E209" s="27"/>
      <c r="F209" s="27"/>
      <c r="G209" s="27"/>
      <c r="H209" s="27"/>
      <c r="I209" s="27"/>
      <c r="M209" s="27"/>
    </row>
    <row r="210">
      <c r="E210" s="27"/>
      <c r="F210" s="27"/>
      <c r="G210" s="27"/>
      <c r="H210" s="27"/>
      <c r="I210" s="27"/>
      <c r="M210" s="27"/>
    </row>
    <row r="211">
      <c r="E211" s="27"/>
      <c r="F211" s="27"/>
      <c r="G211" s="27"/>
      <c r="H211" s="27"/>
      <c r="I211" s="27"/>
      <c r="M211" s="27"/>
    </row>
    <row r="212">
      <c r="E212" s="27"/>
      <c r="F212" s="27"/>
      <c r="G212" s="27"/>
      <c r="H212" s="27"/>
      <c r="I212" s="27"/>
      <c r="M212" s="27"/>
    </row>
    <row r="213">
      <c r="E213" s="27"/>
      <c r="F213" s="27"/>
      <c r="G213" s="27"/>
      <c r="H213" s="27"/>
      <c r="I213" s="27"/>
      <c r="M213" s="27"/>
    </row>
    <row r="214">
      <c r="E214" s="27"/>
      <c r="F214" s="27"/>
      <c r="G214" s="27"/>
      <c r="H214" s="27"/>
      <c r="I214" s="27"/>
      <c r="M214" s="27"/>
    </row>
    <row r="215">
      <c r="E215" s="27"/>
      <c r="F215" s="27"/>
      <c r="G215" s="27"/>
      <c r="H215" s="27"/>
      <c r="I215" s="27"/>
      <c r="M215" s="27"/>
    </row>
    <row r="216">
      <c r="E216" s="27"/>
      <c r="F216" s="27"/>
      <c r="G216" s="27"/>
      <c r="H216" s="27"/>
      <c r="I216" s="27"/>
      <c r="M216" s="27"/>
    </row>
    <row r="217">
      <c r="E217" s="27"/>
      <c r="F217" s="27"/>
      <c r="G217" s="27"/>
      <c r="H217" s="27"/>
      <c r="I217" s="27"/>
      <c r="M217" s="27"/>
    </row>
    <row r="218">
      <c r="E218" s="27"/>
      <c r="F218" s="27"/>
      <c r="G218" s="27"/>
      <c r="H218" s="27"/>
      <c r="I218" s="27"/>
      <c r="M218" s="27"/>
    </row>
    <row r="219">
      <c r="E219" s="27"/>
      <c r="F219" s="27"/>
      <c r="G219" s="27"/>
      <c r="H219" s="27"/>
      <c r="I219" s="27"/>
      <c r="M219" s="27"/>
    </row>
    <row r="220">
      <c r="E220" s="27"/>
      <c r="F220" s="27"/>
      <c r="G220" s="27"/>
      <c r="H220" s="27"/>
      <c r="I220" s="27"/>
      <c r="M220" s="27"/>
    </row>
    <row r="221">
      <c r="E221" s="27"/>
      <c r="F221" s="27"/>
      <c r="G221" s="27"/>
      <c r="H221" s="27"/>
      <c r="I221" s="27"/>
      <c r="M221" s="27"/>
    </row>
    <row r="222">
      <c r="E222" s="27"/>
      <c r="F222" s="27"/>
      <c r="G222" s="27"/>
      <c r="H222" s="27"/>
      <c r="I222" s="27"/>
      <c r="M222" s="27"/>
    </row>
    <row r="223">
      <c r="E223" s="27"/>
      <c r="F223" s="27"/>
      <c r="G223" s="27"/>
      <c r="H223" s="27"/>
      <c r="I223" s="27"/>
      <c r="M223" s="27"/>
    </row>
    <row r="224">
      <c r="E224" s="27"/>
      <c r="F224" s="27"/>
      <c r="G224" s="27"/>
      <c r="H224" s="27"/>
      <c r="I224" s="27"/>
      <c r="M224" s="27"/>
    </row>
    <row r="225">
      <c r="E225" s="27"/>
      <c r="F225" s="27"/>
      <c r="G225" s="27"/>
      <c r="H225" s="27"/>
      <c r="I225" s="27"/>
      <c r="M225" s="27"/>
    </row>
    <row r="226">
      <c r="E226" s="27"/>
      <c r="F226" s="27"/>
      <c r="G226" s="27"/>
      <c r="H226" s="27"/>
      <c r="I226" s="27"/>
      <c r="M226" s="27"/>
    </row>
    <row r="227">
      <c r="E227" s="27"/>
      <c r="F227" s="27"/>
      <c r="G227" s="27"/>
      <c r="H227" s="27"/>
      <c r="I227" s="27"/>
      <c r="M227" s="27"/>
    </row>
    <row r="228">
      <c r="E228" s="27"/>
      <c r="F228" s="27"/>
      <c r="G228" s="27"/>
      <c r="H228" s="27"/>
      <c r="I228" s="27"/>
      <c r="M228" s="27"/>
    </row>
    <row r="229">
      <c r="E229" s="27"/>
      <c r="F229" s="27"/>
      <c r="G229" s="27"/>
      <c r="H229" s="27"/>
      <c r="I229" s="27"/>
      <c r="M229" s="27"/>
    </row>
    <row r="230">
      <c r="E230" s="27"/>
      <c r="F230" s="27"/>
      <c r="G230" s="27"/>
      <c r="H230" s="27"/>
      <c r="I230" s="27"/>
      <c r="M230" s="27"/>
    </row>
    <row r="231">
      <c r="E231" s="27"/>
      <c r="F231" s="27"/>
      <c r="G231" s="27"/>
      <c r="H231" s="27"/>
      <c r="I231" s="27"/>
      <c r="M231" s="27"/>
    </row>
    <row r="232">
      <c r="E232" s="27"/>
      <c r="F232" s="27"/>
      <c r="G232" s="27"/>
      <c r="H232" s="27"/>
      <c r="I232" s="27"/>
      <c r="M232" s="27"/>
    </row>
    <row r="233">
      <c r="E233" s="27"/>
      <c r="F233" s="27"/>
      <c r="G233" s="27"/>
      <c r="H233" s="27"/>
      <c r="I233" s="27"/>
      <c r="M233" s="27"/>
    </row>
    <row r="234">
      <c r="E234" s="27"/>
      <c r="F234" s="27"/>
      <c r="G234" s="27"/>
      <c r="H234" s="27"/>
      <c r="I234" s="27"/>
      <c r="M234" s="27"/>
    </row>
    <row r="235">
      <c r="E235" s="27"/>
      <c r="F235" s="27"/>
      <c r="G235" s="27"/>
      <c r="H235" s="27"/>
      <c r="I235" s="27"/>
      <c r="M235" s="27"/>
    </row>
    <row r="236">
      <c r="E236" s="27"/>
      <c r="F236" s="27"/>
      <c r="G236" s="27"/>
      <c r="H236" s="27"/>
      <c r="I236" s="27"/>
      <c r="M236" s="27"/>
    </row>
    <row r="237">
      <c r="E237" s="27"/>
      <c r="F237" s="27"/>
      <c r="G237" s="27"/>
      <c r="H237" s="27"/>
      <c r="I237" s="27"/>
      <c r="M237" s="27"/>
    </row>
    <row r="238">
      <c r="E238" s="27"/>
      <c r="F238" s="27"/>
      <c r="G238" s="27"/>
      <c r="H238" s="27"/>
      <c r="I238" s="27"/>
      <c r="M238" s="27"/>
    </row>
    <row r="239">
      <c r="E239" s="27"/>
      <c r="F239" s="27"/>
      <c r="G239" s="27"/>
      <c r="H239" s="27"/>
      <c r="I239" s="27"/>
      <c r="M239" s="27"/>
    </row>
    <row r="240">
      <c r="E240" s="27"/>
      <c r="F240" s="27"/>
      <c r="G240" s="27"/>
      <c r="H240" s="27"/>
      <c r="I240" s="27"/>
      <c r="M240" s="27"/>
    </row>
    <row r="241">
      <c r="E241" s="27"/>
      <c r="F241" s="27"/>
      <c r="G241" s="27"/>
      <c r="H241" s="27"/>
      <c r="I241" s="27"/>
      <c r="M241" s="27"/>
    </row>
    <row r="242">
      <c r="E242" s="27"/>
      <c r="F242" s="27"/>
      <c r="G242" s="27"/>
      <c r="H242" s="27"/>
      <c r="I242" s="27"/>
      <c r="M242" s="27"/>
    </row>
    <row r="243">
      <c r="E243" s="27"/>
      <c r="F243" s="27"/>
      <c r="G243" s="27"/>
      <c r="H243" s="27"/>
      <c r="I243" s="27"/>
      <c r="M243" s="27"/>
    </row>
    <row r="244">
      <c r="E244" s="27"/>
      <c r="F244" s="27"/>
      <c r="G244" s="27"/>
      <c r="H244" s="27"/>
      <c r="I244" s="27"/>
      <c r="M244" s="27"/>
    </row>
    <row r="245">
      <c r="E245" s="27"/>
      <c r="F245" s="27"/>
      <c r="G245" s="27"/>
      <c r="H245" s="27"/>
      <c r="I245" s="27"/>
      <c r="M245" s="27"/>
    </row>
    <row r="246">
      <c r="E246" s="27"/>
      <c r="F246" s="27"/>
      <c r="G246" s="27"/>
      <c r="H246" s="27"/>
      <c r="I246" s="27"/>
      <c r="M246" s="27"/>
    </row>
    <row r="247">
      <c r="E247" s="27"/>
      <c r="F247" s="27"/>
      <c r="G247" s="27"/>
      <c r="H247" s="27"/>
      <c r="I247" s="27"/>
      <c r="M247" s="27"/>
    </row>
    <row r="248">
      <c r="E248" s="27"/>
      <c r="F248" s="27"/>
      <c r="G248" s="27"/>
      <c r="H248" s="27"/>
      <c r="I248" s="27"/>
      <c r="M248" s="27"/>
    </row>
    <row r="249">
      <c r="E249" s="27"/>
      <c r="F249" s="27"/>
      <c r="G249" s="27"/>
      <c r="H249" s="27"/>
      <c r="I249" s="27"/>
      <c r="M249" s="27"/>
    </row>
    <row r="250">
      <c r="E250" s="27"/>
      <c r="F250" s="27"/>
      <c r="G250" s="27"/>
      <c r="H250" s="27"/>
      <c r="I250" s="27"/>
      <c r="M250" s="27"/>
    </row>
    <row r="251">
      <c r="E251" s="27"/>
      <c r="F251" s="27"/>
      <c r="G251" s="27"/>
      <c r="H251" s="27"/>
      <c r="I251" s="27"/>
      <c r="M251" s="27"/>
    </row>
    <row r="252">
      <c r="E252" s="27"/>
      <c r="F252" s="27"/>
      <c r="G252" s="27"/>
      <c r="H252" s="27"/>
      <c r="I252" s="27"/>
      <c r="M252" s="27"/>
    </row>
    <row r="253">
      <c r="E253" s="27"/>
      <c r="F253" s="27"/>
      <c r="G253" s="27"/>
      <c r="H253" s="27"/>
      <c r="I253" s="27"/>
      <c r="M253" s="27"/>
    </row>
    <row r="254">
      <c r="E254" s="27"/>
      <c r="F254" s="27"/>
      <c r="G254" s="27"/>
      <c r="H254" s="27"/>
      <c r="I254" s="27"/>
      <c r="M254" s="27"/>
    </row>
    <row r="255">
      <c r="E255" s="27"/>
      <c r="F255" s="27"/>
      <c r="G255" s="27"/>
      <c r="H255" s="27"/>
      <c r="I255" s="27"/>
      <c r="M255" s="27"/>
    </row>
    <row r="256">
      <c r="E256" s="27"/>
      <c r="F256" s="27"/>
      <c r="G256" s="27"/>
      <c r="H256" s="27"/>
      <c r="I256" s="27"/>
      <c r="M256" s="27"/>
    </row>
    <row r="257">
      <c r="E257" s="27"/>
      <c r="F257" s="27"/>
      <c r="G257" s="27"/>
      <c r="H257" s="27"/>
      <c r="I257" s="27"/>
      <c r="M257" s="27"/>
    </row>
    <row r="258">
      <c r="E258" s="27"/>
      <c r="F258" s="27"/>
      <c r="G258" s="27"/>
      <c r="H258" s="27"/>
      <c r="I258" s="27"/>
      <c r="M258" s="27"/>
    </row>
    <row r="259">
      <c r="E259" s="27"/>
      <c r="F259" s="27"/>
      <c r="G259" s="27"/>
      <c r="H259" s="27"/>
      <c r="I259" s="27"/>
      <c r="M259" s="27"/>
    </row>
    <row r="260">
      <c r="E260" s="27"/>
      <c r="F260" s="27"/>
      <c r="G260" s="27"/>
      <c r="H260" s="27"/>
      <c r="I260" s="27"/>
      <c r="M260" s="27"/>
    </row>
    <row r="261">
      <c r="E261" s="27"/>
      <c r="F261" s="27"/>
      <c r="G261" s="27"/>
      <c r="H261" s="27"/>
      <c r="I261" s="27"/>
      <c r="M261" s="27"/>
    </row>
    <row r="262">
      <c r="E262" s="27"/>
      <c r="F262" s="27"/>
      <c r="G262" s="27"/>
      <c r="H262" s="27"/>
      <c r="I262" s="27"/>
      <c r="M262" s="27"/>
    </row>
    <row r="263">
      <c r="E263" s="27"/>
      <c r="F263" s="27"/>
      <c r="G263" s="27"/>
      <c r="H263" s="27"/>
      <c r="I263" s="27"/>
      <c r="M263" s="27"/>
    </row>
    <row r="264">
      <c r="E264" s="27"/>
      <c r="F264" s="27"/>
      <c r="G264" s="27"/>
      <c r="H264" s="27"/>
      <c r="I264" s="27"/>
      <c r="M264" s="27"/>
    </row>
    <row r="265">
      <c r="E265" s="27"/>
      <c r="F265" s="27"/>
      <c r="G265" s="27"/>
      <c r="H265" s="27"/>
      <c r="I265" s="27"/>
      <c r="M265" s="27"/>
    </row>
    <row r="266">
      <c r="E266" s="27"/>
      <c r="F266" s="27"/>
      <c r="G266" s="27"/>
      <c r="H266" s="27"/>
      <c r="I266" s="27"/>
      <c r="M266" s="27"/>
    </row>
    <row r="267">
      <c r="E267" s="27"/>
      <c r="F267" s="27"/>
      <c r="G267" s="27"/>
      <c r="H267" s="27"/>
      <c r="I267" s="27"/>
      <c r="M267" s="27"/>
    </row>
    <row r="268">
      <c r="E268" s="27"/>
      <c r="F268" s="27"/>
      <c r="G268" s="27"/>
      <c r="H268" s="27"/>
      <c r="I268" s="27"/>
      <c r="M268" s="27"/>
    </row>
    <row r="269">
      <c r="E269" s="27"/>
      <c r="F269" s="27"/>
      <c r="G269" s="27"/>
      <c r="H269" s="27"/>
      <c r="I269" s="27"/>
      <c r="M269" s="27"/>
    </row>
    <row r="270">
      <c r="E270" s="27"/>
      <c r="F270" s="27"/>
      <c r="G270" s="27"/>
      <c r="H270" s="27"/>
      <c r="I270" s="27"/>
      <c r="M270" s="27"/>
    </row>
    <row r="271">
      <c r="E271" s="27"/>
      <c r="F271" s="27"/>
      <c r="G271" s="27"/>
      <c r="H271" s="27"/>
      <c r="I271" s="27"/>
      <c r="M271" s="27"/>
    </row>
    <row r="272">
      <c r="E272" s="27"/>
      <c r="F272" s="27"/>
      <c r="G272" s="27"/>
      <c r="H272" s="27"/>
      <c r="I272" s="27"/>
      <c r="M272" s="27"/>
    </row>
    <row r="273">
      <c r="E273" s="27"/>
      <c r="F273" s="27"/>
      <c r="G273" s="27"/>
      <c r="H273" s="27"/>
      <c r="I273" s="27"/>
      <c r="M273" s="27"/>
    </row>
    <row r="274">
      <c r="E274" s="27"/>
      <c r="F274" s="27"/>
      <c r="G274" s="27"/>
      <c r="H274" s="27"/>
      <c r="I274" s="27"/>
      <c r="M274" s="27"/>
    </row>
    <row r="275">
      <c r="E275" s="27"/>
      <c r="F275" s="27"/>
      <c r="G275" s="27"/>
      <c r="H275" s="27"/>
      <c r="I275" s="27"/>
      <c r="M275" s="27"/>
    </row>
    <row r="276">
      <c r="E276" s="27"/>
      <c r="F276" s="27"/>
      <c r="G276" s="27"/>
      <c r="H276" s="27"/>
      <c r="I276" s="27"/>
      <c r="M276" s="27"/>
    </row>
    <row r="277">
      <c r="E277" s="27"/>
      <c r="F277" s="27"/>
      <c r="G277" s="27"/>
      <c r="H277" s="27"/>
      <c r="I277" s="27"/>
      <c r="M277" s="27"/>
    </row>
    <row r="278">
      <c r="E278" s="27"/>
      <c r="F278" s="27"/>
      <c r="G278" s="27"/>
      <c r="H278" s="27"/>
      <c r="I278" s="27"/>
      <c r="M278" s="27"/>
    </row>
    <row r="279">
      <c r="E279" s="27"/>
      <c r="F279" s="27"/>
      <c r="G279" s="27"/>
      <c r="H279" s="27"/>
      <c r="I279" s="27"/>
      <c r="M279" s="27"/>
    </row>
    <row r="280">
      <c r="E280" s="27"/>
      <c r="F280" s="27"/>
      <c r="G280" s="27"/>
      <c r="H280" s="27"/>
      <c r="I280" s="27"/>
      <c r="M280" s="27"/>
    </row>
    <row r="281">
      <c r="E281" s="27"/>
      <c r="F281" s="27"/>
      <c r="G281" s="27"/>
      <c r="H281" s="27"/>
      <c r="I281" s="27"/>
      <c r="M281" s="27"/>
    </row>
    <row r="282">
      <c r="E282" s="27"/>
      <c r="F282" s="27"/>
      <c r="G282" s="27"/>
      <c r="H282" s="27"/>
      <c r="I282" s="27"/>
      <c r="M282" s="27"/>
    </row>
    <row r="283">
      <c r="E283" s="27"/>
      <c r="F283" s="27"/>
      <c r="G283" s="27"/>
      <c r="H283" s="27"/>
      <c r="I283" s="27"/>
      <c r="M283" s="27"/>
    </row>
    <row r="284">
      <c r="E284" s="27"/>
      <c r="F284" s="27"/>
      <c r="G284" s="27"/>
      <c r="H284" s="27"/>
      <c r="I284" s="27"/>
      <c r="M284" s="27"/>
    </row>
    <row r="285">
      <c r="E285" s="27"/>
      <c r="F285" s="27"/>
      <c r="G285" s="27"/>
      <c r="H285" s="27"/>
      <c r="I285" s="27"/>
      <c r="M285" s="27"/>
    </row>
    <row r="286">
      <c r="E286" s="27"/>
      <c r="F286" s="27"/>
      <c r="G286" s="27"/>
      <c r="H286" s="27"/>
      <c r="I286" s="27"/>
      <c r="M286" s="27"/>
    </row>
    <row r="287">
      <c r="E287" s="27"/>
      <c r="F287" s="27"/>
      <c r="G287" s="27"/>
      <c r="H287" s="27"/>
      <c r="I287" s="27"/>
      <c r="M287" s="27"/>
    </row>
    <row r="288">
      <c r="E288" s="27"/>
      <c r="F288" s="27"/>
      <c r="G288" s="27"/>
      <c r="H288" s="27"/>
      <c r="I288" s="27"/>
      <c r="M288" s="27"/>
    </row>
    <row r="289">
      <c r="E289" s="27"/>
      <c r="F289" s="27"/>
      <c r="G289" s="27"/>
      <c r="H289" s="27"/>
      <c r="I289" s="27"/>
      <c r="M289" s="27"/>
    </row>
    <row r="290">
      <c r="E290" s="27"/>
      <c r="F290" s="27"/>
      <c r="G290" s="27"/>
      <c r="H290" s="27"/>
      <c r="I290" s="27"/>
      <c r="M290" s="27"/>
    </row>
    <row r="291">
      <c r="E291" s="27"/>
      <c r="F291" s="27"/>
      <c r="G291" s="27"/>
      <c r="H291" s="27"/>
      <c r="I291" s="27"/>
      <c r="M291" s="27"/>
    </row>
    <row r="292">
      <c r="E292" s="27"/>
      <c r="F292" s="27"/>
      <c r="G292" s="27"/>
      <c r="H292" s="27"/>
      <c r="I292" s="27"/>
      <c r="M292" s="27"/>
    </row>
    <row r="293">
      <c r="E293" s="27"/>
      <c r="F293" s="27"/>
      <c r="G293" s="27"/>
      <c r="H293" s="27"/>
      <c r="I293" s="27"/>
      <c r="M293" s="27"/>
    </row>
    <row r="294">
      <c r="E294" s="27"/>
      <c r="F294" s="27"/>
      <c r="G294" s="27"/>
      <c r="H294" s="27"/>
      <c r="I294" s="27"/>
      <c r="M294" s="27"/>
    </row>
    <row r="295">
      <c r="E295" s="27"/>
      <c r="F295" s="27"/>
      <c r="G295" s="27"/>
      <c r="H295" s="27"/>
      <c r="I295" s="27"/>
      <c r="M295" s="27"/>
    </row>
    <row r="296">
      <c r="E296" s="27"/>
      <c r="F296" s="27"/>
      <c r="G296" s="27"/>
      <c r="H296" s="27"/>
      <c r="I296" s="27"/>
      <c r="M296" s="27"/>
    </row>
    <row r="297">
      <c r="E297" s="27"/>
      <c r="F297" s="27"/>
      <c r="G297" s="27"/>
      <c r="H297" s="27"/>
      <c r="I297" s="27"/>
      <c r="M297" s="27"/>
    </row>
    <row r="298">
      <c r="E298" s="27"/>
      <c r="F298" s="27"/>
      <c r="G298" s="27"/>
      <c r="H298" s="27"/>
      <c r="I298" s="27"/>
      <c r="M298" s="27"/>
    </row>
    <row r="299">
      <c r="E299" s="27"/>
      <c r="F299" s="27"/>
      <c r="G299" s="27"/>
      <c r="H299" s="27"/>
      <c r="I299" s="27"/>
      <c r="M299" s="27"/>
    </row>
    <row r="300">
      <c r="E300" s="27"/>
      <c r="F300" s="27"/>
      <c r="G300" s="27"/>
      <c r="H300" s="27"/>
      <c r="I300" s="27"/>
      <c r="M300" s="27"/>
    </row>
    <row r="301">
      <c r="E301" s="27"/>
      <c r="F301" s="27"/>
      <c r="G301" s="27"/>
      <c r="H301" s="27"/>
      <c r="I301" s="27"/>
      <c r="M301" s="27"/>
    </row>
    <row r="302">
      <c r="E302" s="27"/>
      <c r="F302" s="27"/>
      <c r="G302" s="27"/>
      <c r="H302" s="27"/>
      <c r="I302" s="27"/>
      <c r="M302" s="27"/>
    </row>
    <row r="303">
      <c r="E303" s="27"/>
      <c r="F303" s="27"/>
      <c r="G303" s="27"/>
      <c r="H303" s="27"/>
      <c r="I303" s="27"/>
      <c r="M303" s="27"/>
    </row>
    <row r="304">
      <c r="E304" s="27"/>
      <c r="F304" s="27"/>
      <c r="G304" s="27"/>
      <c r="H304" s="27"/>
      <c r="I304" s="27"/>
      <c r="M304" s="27"/>
    </row>
    <row r="305">
      <c r="E305" s="27"/>
      <c r="F305" s="27"/>
      <c r="G305" s="27"/>
      <c r="H305" s="27"/>
      <c r="I305" s="27"/>
      <c r="M305" s="27"/>
    </row>
    <row r="306">
      <c r="E306" s="27"/>
      <c r="F306" s="27"/>
      <c r="G306" s="27"/>
      <c r="H306" s="27"/>
      <c r="I306" s="27"/>
      <c r="M306" s="27"/>
    </row>
    <row r="307">
      <c r="E307" s="27"/>
      <c r="F307" s="27"/>
      <c r="G307" s="27"/>
      <c r="H307" s="27"/>
      <c r="I307" s="27"/>
      <c r="M307" s="27"/>
    </row>
    <row r="308">
      <c r="E308" s="27"/>
      <c r="F308" s="27"/>
      <c r="G308" s="27"/>
      <c r="H308" s="27"/>
      <c r="I308" s="27"/>
      <c r="M308" s="27"/>
    </row>
    <row r="309">
      <c r="E309" s="27"/>
      <c r="F309" s="27"/>
      <c r="G309" s="27"/>
      <c r="H309" s="27"/>
      <c r="I309" s="27"/>
      <c r="M309" s="27"/>
    </row>
    <row r="310">
      <c r="E310" s="27"/>
      <c r="F310" s="27"/>
      <c r="G310" s="27"/>
      <c r="H310" s="27"/>
      <c r="I310" s="27"/>
      <c r="M310" s="27"/>
    </row>
    <row r="311">
      <c r="E311" s="27"/>
      <c r="F311" s="27"/>
      <c r="G311" s="27"/>
      <c r="H311" s="27"/>
      <c r="I311" s="27"/>
      <c r="M311" s="27"/>
    </row>
    <row r="312">
      <c r="E312" s="27"/>
      <c r="F312" s="27"/>
      <c r="G312" s="27"/>
      <c r="H312" s="27"/>
      <c r="I312" s="27"/>
      <c r="M312" s="27"/>
    </row>
    <row r="313">
      <c r="E313" s="27"/>
      <c r="F313" s="27"/>
      <c r="G313" s="27"/>
      <c r="H313" s="27"/>
      <c r="I313" s="27"/>
      <c r="M313" s="27"/>
    </row>
    <row r="314">
      <c r="E314" s="27"/>
      <c r="F314" s="27"/>
      <c r="G314" s="27"/>
      <c r="H314" s="27"/>
      <c r="I314" s="27"/>
      <c r="M314" s="27"/>
    </row>
    <row r="315">
      <c r="E315" s="27"/>
      <c r="F315" s="27"/>
      <c r="G315" s="27"/>
      <c r="H315" s="27"/>
      <c r="I315" s="27"/>
      <c r="M315" s="27"/>
    </row>
    <row r="316">
      <c r="E316" s="27"/>
      <c r="F316" s="27"/>
      <c r="G316" s="27"/>
      <c r="H316" s="27"/>
      <c r="I316" s="27"/>
      <c r="M316" s="27"/>
    </row>
    <row r="317">
      <c r="E317" s="27"/>
      <c r="F317" s="27"/>
      <c r="G317" s="27"/>
      <c r="H317" s="27"/>
      <c r="I317" s="27"/>
      <c r="M317" s="27"/>
    </row>
    <row r="318">
      <c r="E318" s="27"/>
      <c r="F318" s="27"/>
      <c r="G318" s="27"/>
      <c r="H318" s="27"/>
      <c r="I318" s="27"/>
      <c r="M318" s="27"/>
    </row>
    <row r="319">
      <c r="E319" s="27"/>
      <c r="F319" s="27"/>
      <c r="G319" s="27"/>
      <c r="H319" s="27"/>
      <c r="I319" s="27"/>
      <c r="M319" s="27"/>
    </row>
    <row r="320">
      <c r="E320" s="27"/>
      <c r="F320" s="27"/>
      <c r="G320" s="27"/>
      <c r="H320" s="27"/>
      <c r="I320" s="27"/>
      <c r="M320" s="27"/>
    </row>
    <row r="321">
      <c r="E321" s="27"/>
      <c r="F321" s="27"/>
      <c r="G321" s="27"/>
      <c r="H321" s="27"/>
      <c r="I321" s="27"/>
      <c r="M321" s="27"/>
    </row>
    <row r="322">
      <c r="E322" s="27"/>
      <c r="F322" s="27"/>
      <c r="G322" s="27"/>
      <c r="H322" s="27"/>
      <c r="I322" s="27"/>
      <c r="M322" s="27"/>
    </row>
    <row r="323">
      <c r="E323" s="27"/>
      <c r="F323" s="27"/>
      <c r="G323" s="27"/>
      <c r="H323" s="27"/>
      <c r="I323" s="27"/>
      <c r="M323" s="27"/>
    </row>
    <row r="324">
      <c r="E324" s="27"/>
      <c r="F324" s="27"/>
      <c r="G324" s="27"/>
      <c r="H324" s="27"/>
      <c r="I324" s="27"/>
      <c r="M324" s="27"/>
    </row>
    <row r="325">
      <c r="E325" s="27"/>
      <c r="F325" s="27"/>
      <c r="G325" s="27"/>
      <c r="H325" s="27"/>
      <c r="I325" s="27"/>
      <c r="M325" s="27"/>
    </row>
    <row r="326">
      <c r="E326" s="27"/>
      <c r="F326" s="27"/>
      <c r="G326" s="27"/>
      <c r="H326" s="27"/>
      <c r="I326" s="27"/>
      <c r="M326" s="27"/>
    </row>
    <row r="327">
      <c r="E327" s="27"/>
      <c r="F327" s="27"/>
      <c r="G327" s="27"/>
      <c r="H327" s="27"/>
      <c r="I327" s="27"/>
      <c r="M327" s="27"/>
    </row>
    <row r="328">
      <c r="E328" s="27"/>
      <c r="F328" s="27"/>
      <c r="G328" s="27"/>
      <c r="H328" s="27"/>
      <c r="I328" s="27"/>
      <c r="M328" s="27"/>
    </row>
    <row r="329">
      <c r="E329" s="27"/>
      <c r="F329" s="27"/>
      <c r="G329" s="27"/>
      <c r="H329" s="27"/>
      <c r="I329" s="27"/>
      <c r="M329" s="27"/>
    </row>
    <row r="330">
      <c r="E330" s="27"/>
      <c r="F330" s="27"/>
      <c r="G330" s="27"/>
      <c r="H330" s="27"/>
      <c r="I330" s="27"/>
      <c r="M330" s="27"/>
    </row>
    <row r="331">
      <c r="E331" s="27"/>
      <c r="F331" s="27"/>
      <c r="G331" s="27"/>
      <c r="H331" s="27"/>
      <c r="I331" s="27"/>
      <c r="M331" s="27"/>
    </row>
    <row r="332">
      <c r="E332" s="27"/>
      <c r="F332" s="27"/>
      <c r="G332" s="27"/>
      <c r="H332" s="27"/>
      <c r="I332" s="27"/>
      <c r="M332" s="27"/>
    </row>
    <row r="333">
      <c r="E333" s="27"/>
      <c r="F333" s="27"/>
      <c r="G333" s="27"/>
      <c r="H333" s="27"/>
      <c r="I333" s="27"/>
      <c r="M333" s="27"/>
    </row>
    <row r="334">
      <c r="E334" s="27"/>
      <c r="F334" s="27"/>
      <c r="G334" s="27"/>
      <c r="H334" s="27"/>
      <c r="I334" s="27"/>
      <c r="M334" s="27"/>
    </row>
    <row r="335">
      <c r="E335" s="27"/>
      <c r="F335" s="27"/>
      <c r="G335" s="27"/>
      <c r="H335" s="27"/>
      <c r="I335" s="27"/>
      <c r="M335" s="27"/>
    </row>
    <row r="336">
      <c r="E336" s="27"/>
      <c r="F336" s="27"/>
      <c r="G336" s="27"/>
      <c r="H336" s="27"/>
      <c r="I336" s="27"/>
      <c r="M336" s="27"/>
    </row>
    <row r="337">
      <c r="E337" s="27"/>
      <c r="F337" s="27"/>
      <c r="G337" s="27"/>
      <c r="H337" s="27"/>
      <c r="I337" s="27"/>
      <c r="M337" s="27"/>
    </row>
    <row r="338">
      <c r="E338" s="27"/>
      <c r="F338" s="27"/>
      <c r="G338" s="27"/>
      <c r="H338" s="27"/>
      <c r="I338" s="27"/>
      <c r="M338" s="27"/>
    </row>
    <row r="339">
      <c r="E339" s="27"/>
      <c r="F339" s="27"/>
      <c r="G339" s="27"/>
      <c r="H339" s="27"/>
      <c r="I339" s="27"/>
      <c r="M339" s="27"/>
    </row>
    <row r="340">
      <c r="E340" s="27"/>
      <c r="F340" s="27"/>
      <c r="G340" s="27"/>
      <c r="H340" s="27"/>
      <c r="I340" s="27"/>
      <c r="M340" s="27"/>
    </row>
    <row r="341">
      <c r="E341" s="27"/>
      <c r="F341" s="27"/>
      <c r="G341" s="27"/>
      <c r="H341" s="27"/>
      <c r="I341" s="27"/>
      <c r="M341" s="27"/>
    </row>
    <row r="342">
      <c r="E342" s="27"/>
      <c r="F342" s="27"/>
      <c r="G342" s="27"/>
      <c r="H342" s="27"/>
      <c r="I342" s="27"/>
      <c r="M342" s="27"/>
    </row>
    <row r="343">
      <c r="E343" s="27"/>
      <c r="F343" s="27"/>
      <c r="G343" s="27"/>
      <c r="H343" s="27"/>
      <c r="I343" s="27"/>
      <c r="M343" s="27"/>
    </row>
    <row r="344">
      <c r="E344" s="27"/>
      <c r="F344" s="27"/>
      <c r="G344" s="27"/>
      <c r="H344" s="27"/>
      <c r="I344" s="27"/>
      <c r="M344" s="27"/>
    </row>
    <row r="345">
      <c r="E345" s="27"/>
      <c r="F345" s="27"/>
      <c r="G345" s="27"/>
      <c r="H345" s="27"/>
      <c r="I345" s="27"/>
      <c r="M345" s="27"/>
    </row>
    <row r="346">
      <c r="E346" s="27"/>
      <c r="F346" s="27"/>
      <c r="G346" s="27"/>
      <c r="H346" s="27"/>
      <c r="I346" s="27"/>
      <c r="M346" s="27"/>
    </row>
    <row r="347">
      <c r="E347" s="27"/>
      <c r="F347" s="27"/>
      <c r="G347" s="27"/>
      <c r="H347" s="27"/>
      <c r="I347" s="27"/>
      <c r="M347" s="27"/>
    </row>
    <row r="348">
      <c r="E348" s="27"/>
      <c r="F348" s="27"/>
      <c r="G348" s="27"/>
      <c r="H348" s="27"/>
      <c r="I348" s="27"/>
      <c r="M348" s="27"/>
    </row>
    <row r="349">
      <c r="E349" s="27"/>
      <c r="F349" s="27"/>
      <c r="G349" s="27"/>
      <c r="H349" s="27"/>
      <c r="I349" s="27"/>
      <c r="M349" s="27"/>
    </row>
    <row r="350">
      <c r="E350" s="27"/>
      <c r="F350" s="27"/>
      <c r="G350" s="27"/>
      <c r="H350" s="27"/>
      <c r="I350" s="27"/>
      <c r="M350" s="27"/>
    </row>
    <row r="351">
      <c r="E351" s="27"/>
      <c r="F351" s="27"/>
      <c r="G351" s="27"/>
      <c r="H351" s="27"/>
      <c r="I351" s="27"/>
      <c r="M351" s="27"/>
    </row>
    <row r="352">
      <c r="E352" s="27"/>
      <c r="F352" s="27"/>
      <c r="G352" s="27"/>
      <c r="H352" s="27"/>
      <c r="I352" s="27"/>
      <c r="M352" s="27"/>
    </row>
    <row r="353">
      <c r="E353" s="27"/>
      <c r="F353" s="27"/>
      <c r="G353" s="27"/>
      <c r="H353" s="27"/>
      <c r="I353" s="27"/>
      <c r="M353" s="27"/>
    </row>
    <row r="354">
      <c r="E354" s="27"/>
      <c r="F354" s="27"/>
      <c r="G354" s="27"/>
      <c r="H354" s="27"/>
      <c r="I354" s="27"/>
      <c r="M354" s="27"/>
    </row>
    <row r="355">
      <c r="E355" s="27"/>
      <c r="F355" s="27"/>
      <c r="G355" s="27"/>
      <c r="H355" s="27"/>
      <c r="I355" s="27"/>
      <c r="M355" s="27"/>
    </row>
    <row r="356">
      <c r="E356" s="27"/>
      <c r="F356" s="27"/>
      <c r="G356" s="27"/>
      <c r="H356" s="27"/>
      <c r="I356" s="27"/>
      <c r="M356" s="27"/>
    </row>
    <row r="357">
      <c r="E357" s="27"/>
      <c r="F357" s="27"/>
      <c r="G357" s="27"/>
      <c r="H357" s="27"/>
      <c r="I357" s="27"/>
      <c r="M357" s="27"/>
    </row>
    <row r="358">
      <c r="E358" s="27"/>
      <c r="F358" s="27"/>
      <c r="G358" s="27"/>
      <c r="H358" s="27"/>
      <c r="I358" s="27"/>
      <c r="M358" s="27"/>
    </row>
    <row r="359">
      <c r="E359" s="27"/>
      <c r="F359" s="27"/>
      <c r="G359" s="27"/>
      <c r="H359" s="27"/>
      <c r="I359" s="27"/>
      <c r="M359" s="27"/>
    </row>
    <row r="360">
      <c r="E360" s="27"/>
      <c r="F360" s="27"/>
      <c r="G360" s="27"/>
      <c r="H360" s="27"/>
      <c r="I360" s="27"/>
      <c r="M360" s="27"/>
    </row>
    <row r="361">
      <c r="E361" s="27"/>
      <c r="F361" s="27"/>
      <c r="G361" s="27"/>
      <c r="H361" s="27"/>
      <c r="I361" s="27"/>
      <c r="M361" s="27"/>
    </row>
    <row r="362">
      <c r="E362" s="27"/>
      <c r="F362" s="27"/>
      <c r="G362" s="27"/>
      <c r="H362" s="27"/>
      <c r="I362" s="27"/>
      <c r="M362" s="27"/>
    </row>
    <row r="363">
      <c r="E363" s="27"/>
      <c r="F363" s="27"/>
      <c r="G363" s="27"/>
      <c r="H363" s="27"/>
      <c r="I363" s="27"/>
      <c r="M363" s="27"/>
    </row>
    <row r="364">
      <c r="E364" s="27"/>
      <c r="F364" s="27"/>
      <c r="G364" s="27"/>
      <c r="H364" s="27"/>
      <c r="I364" s="27"/>
      <c r="M364" s="27"/>
    </row>
    <row r="365">
      <c r="E365" s="27"/>
      <c r="F365" s="27"/>
      <c r="G365" s="27"/>
      <c r="H365" s="27"/>
      <c r="I365" s="27"/>
      <c r="M365" s="27"/>
    </row>
    <row r="366">
      <c r="E366" s="27"/>
      <c r="F366" s="27"/>
      <c r="G366" s="27"/>
      <c r="H366" s="27"/>
      <c r="I366" s="27"/>
      <c r="M366" s="27"/>
    </row>
    <row r="367">
      <c r="E367" s="27"/>
      <c r="F367" s="27"/>
      <c r="G367" s="27"/>
      <c r="H367" s="27"/>
      <c r="I367" s="27"/>
      <c r="M367" s="27"/>
    </row>
    <row r="368">
      <c r="E368" s="27"/>
      <c r="F368" s="27"/>
      <c r="G368" s="27"/>
      <c r="H368" s="27"/>
      <c r="I368" s="27"/>
      <c r="M368" s="27"/>
    </row>
    <row r="369">
      <c r="E369" s="27"/>
      <c r="F369" s="27"/>
      <c r="G369" s="27"/>
      <c r="H369" s="27"/>
      <c r="I369" s="27"/>
      <c r="M369" s="27"/>
    </row>
    <row r="370">
      <c r="E370" s="27"/>
      <c r="F370" s="27"/>
      <c r="G370" s="27"/>
      <c r="H370" s="27"/>
      <c r="I370" s="27"/>
      <c r="M370" s="27"/>
    </row>
    <row r="371">
      <c r="E371" s="27"/>
      <c r="F371" s="27"/>
      <c r="G371" s="27"/>
      <c r="H371" s="27"/>
      <c r="I371" s="27"/>
      <c r="M371" s="27"/>
    </row>
    <row r="372">
      <c r="E372" s="27"/>
      <c r="F372" s="27"/>
      <c r="G372" s="27"/>
      <c r="H372" s="27"/>
      <c r="I372" s="27"/>
      <c r="M372" s="27"/>
    </row>
    <row r="373">
      <c r="E373" s="27"/>
      <c r="F373" s="27"/>
      <c r="G373" s="27"/>
      <c r="H373" s="27"/>
      <c r="I373" s="27"/>
      <c r="M373" s="27"/>
    </row>
    <row r="374">
      <c r="E374" s="27"/>
      <c r="F374" s="27"/>
      <c r="G374" s="27"/>
      <c r="H374" s="27"/>
      <c r="I374" s="27"/>
      <c r="M374" s="27"/>
    </row>
    <row r="375">
      <c r="E375" s="27"/>
      <c r="F375" s="27"/>
      <c r="G375" s="27"/>
      <c r="H375" s="27"/>
      <c r="I375" s="27"/>
      <c r="M375" s="27"/>
    </row>
    <row r="376">
      <c r="E376" s="27"/>
      <c r="F376" s="27"/>
      <c r="G376" s="27"/>
      <c r="H376" s="27"/>
      <c r="I376" s="27"/>
      <c r="M376" s="27"/>
    </row>
    <row r="377">
      <c r="E377" s="27"/>
      <c r="F377" s="27"/>
      <c r="G377" s="27"/>
      <c r="H377" s="27"/>
      <c r="I377" s="27"/>
      <c r="M377" s="27"/>
    </row>
    <row r="378">
      <c r="E378" s="27"/>
      <c r="F378" s="27"/>
      <c r="G378" s="27"/>
      <c r="H378" s="27"/>
      <c r="I378" s="27"/>
      <c r="M378" s="27"/>
    </row>
    <row r="379">
      <c r="E379" s="27"/>
      <c r="F379" s="27"/>
      <c r="G379" s="27"/>
      <c r="H379" s="27"/>
      <c r="I379" s="27"/>
      <c r="M379" s="27"/>
    </row>
    <row r="380">
      <c r="E380" s="27"/>
      <c r="F380" s="27"/>
      <c r="G380" s="27"/>
      <c r="H380" s="27"/>
      <c r="I380" s="27"/>
      <c r="M380" s="27"/>
    </row>
    <row r="381">
      <c r="E381" s="27"/>
      <c r="F381" s="27"/>
      <c r="G381" s="27"/>
      <c r="H381" s="27"/>
      <c r="I381" s="27"/>
      <c r="M381" s="27"/>
    </row>
    <row r="382">
      <c r="E382" s="27"/>
      <c r="F382" s="27"/>
      <c r="G382" s="27"/>
      <c r="H382" s="27"/>
      <c r="I382" s="27"/>
      <c r="M382" s="27"/>
    </row>
    <row r="383">
      <c r="E383" s="27"/>
      <c r="F383" s="27"/>
      <c r="G383" s="27"/>
      <c r="H383" s="27"/>
      <c r="I383" s="27"/>
      <c r="M383" s="27"/>
    </row>
    <row r="384">
      <c r="E384" s="27"/>
      <c r="F384" s="27"/>
      <c r="G384" s="27"/>
      <c r="H384" s="27"/>
      <c r="I384" s="27"/>
      <c r="M384" s="27"/>
    </row>
    <row r="385">
      <c r="E385" s="27"/>
      <c r="F385" s="27"/>
      <c r="G385" s="27"/>
      <c r="H385" s="27"/>
      <c r="I385" s="27"/>
      <c r="M385" s="27"/>
    </row>
    <row r="386">
      <c r="E386" s="27"/>
      <c r="F386" s="27"/>
      <c r="G386" s="27"/>
      <c r="H386" s="27"/>
      <c r="I386" s="27"/>
      <c r="M386" s="27"/>
    </row>
    <row r="387">
      <c r="E387" s="27"/>
      <c r="F387" s="27"/>
      <c r="G387" s="27"/>
      <c r="H387" s="27"/>
      <c r="I387" s="27"/>
      <c r="M387" s="27"/>
    </row>
    <row r="388">
      <c r="E388" s="27"/>
      <c r="F388" s="27"/>
      <c r="G388" s="27"/>
      <c r="H388" s="27"/>
      <c r="I388" s="27"/>
      <c r="M388" s="27"/>
    </row>
    <row r="389">
      <c r="E389" s="27"/>
      <c r="F389" s="27"/>
      <c r="G389" s="27"/>
      <c r="H389" s="27"/>
      <c r="I389" s="27"/>
      <c r="M389" s="27"/>
    </row>
    <row r="390">
      <c r="E390" s="27"/>
      <c r="F390" s="27"/>
      <c r="G390" s="27"/>
      <c r="H390" s="27"/>
      <c r="I390" s="27"/>
      <c r="M390" s="27"/>
    </row>
    <row r="391">
      <c r="E391" s="27"/>
      <c r="F391" s="27"/>
      <c r="G391" s="27"/>
      <c r="H391" s="27"/>
      <c r="I391" s="27"/>
      <c r="M391" s="27"/>
    </row>
    <row r="392">
      <c r="E392" s="27"/>
      <c r="F392" s="27"/>
      <c r="G392" s="27"/>
      <c r="H392" s="27"/>
      <c r="I392" s="27"/>
      <c r="M392" s="27"/>
    </row>
    <row r="393">
      <c r="E393" s="27"/>
      <c r="F393" s="27"/>
      <c r="G393" s="27"/>
      <c r="H393" s="27"/>
      <c r="I393" s="27"/>
      <c r="M393" s="27"/>
    </row>
    <row r="394">
      <c r="E394" s="27"/>
      <c r="F394" s="27"/>
      <c r="G394" s="27"/>
      <c r="H394" s="27"/>
      <c r="I394" s="27"/>
      <c r="M394" s="27"/>
    </row>
    <row r="395">
      <c r="E395" s="27"/>
      <c r="F395" s="27"/>
      <c r="G395" s="27"/>
      <c r="H395" s="27"/>
      <c r="I395" s="27"/>
      <c r="M395" s="27"/>
    </row>
    <row r="396">
      <c r="E396" s="27"/>
      <c r="F396" s="27"/>
      <c r="G396" s="27"/>
      <c r="H396" s="27"/>
      <c r="I396" s="27"/>
      <c r="M396" s="27"/>
    </row>
    <row r="397">
      <c r="E397" s="27"/>
      <c r="F397" s="27"/>
      <c r="G397" s="27"/>
      <c r="H397" s="27"/>
      <c r="I397" s="27"/>
      <c r="M397" s="27"/>
    </row>
    <row r="398">
      <c r="E398" s="27"/>
      <c r="F398" s="27"/>
      <c r="G398" s="27"/>
      <c r="H398" s="27"/>
      <c r="I398" s="27"/>
      <c r="M398" s="27"/>
    </row>
    <row r="399">
      <c r="E399" s="27"/>
      <c r="F399" s="27"/>
      <c r="G399" s="27"/>
      <c r="H399" s="27"/>
      <c r="I399" s="27"/>
      <c r="M399" s="27"/>
    </row>
    <row r="400">
      <c r="E400" s="27"/>
      <c r="F400" s="27"/>
      <c r="G400" s="27"/>
      <c r="H400" s="27"/>
      <c r="I400" s="27"/>
      <c r="M400" s="27"/>
    </row>
    <row r="401">
      <c r="E401" s="27"/>
      <c r="F401" s="27"/>
      <c r="G401" s="27"/>
      <c r="H401" s="27"/>
      <c r="I401" s="27"/>
      <c r="M401" s="27"/>
    </row>
    <row r="402">
      <c r="E402" s="27"/>
      <c r="F402" s="27"/>
      <c r="G402" s="27"/>
      <c r="H402" s="27"/>
      <c r="I402" s="27"/>
      <c r="M402" s="27"/>
    </row>
    <row r="403">
      <c r="E403" s="27"/>
      <c r="F403" s="27"/>
      <c r="G403" s="27"/>
      <c r="H403" s="27"/>
      <c r="I403" s="27"/>
      <c r="M403" s="27"/>
    </row>
    <row r="404">
      <c r="E404" s="27"/>
      <c r="F404" s="27"/>
      <c r="G404" s="27"/>
      <c r="H404" s="27"/>
      <c r="I404" s="27"/>
      <c r="M404" s="27"/>
    </row>
    <row r="405">
      <c r="E405" s="27"/>
      <c r="F405" s="27"/>
      <c r="G405" s="27"/>
      <c r="H405" s="27"/>
      <c r="I405" s="27"/>
      <c r="M405" s="27"/>
    </row>
    <row r="406">
      <c r="E406" s="27"/>
      <c r="F406" s="27"/>
      <c r="G406" s="27"/>
      <c r="H406" s="27"/>
      <c r="I406" s="27"/>
      <c r="M406" s="27"/>
    </row>
    <row r="407">
      <c r="E407" s="27"/>
      <c r="F407" s="27"/>
      <c r="G407" s="27"/>
      <c r="H407" s="27"/>
      <c r="I407" s="27"/>
      <c r="M407" s="27"/>
    </row>
    <row r="408">
      <c r="E408" s="27"/>
      <c r="F408" s="27"/>
      <c r="G408" s="27"/>
      <c r="H408" s="27"/>
      <c r="I408" s="27"/>
      <c r="M408" s="27"/>
    </row>
    <row r="409">
      <c r="E409" s="27"/>
      <c r="F409" s="27"/>
      <c r="G409" s="27"/>
      <c r="H409" s="27"/>
      <c r="I409" s="27"/>
      <c r="M409" s="27"/>
    </row>
    <row r="410">
      <c r="E410" s="27"/>
      <c r="F410" s="27"/>
      <c r="G410" s="27"/>
      <c r="H410" s="27"/>
      <c r="I410" s="27"/>
      <c r="M410" s="27"/>
    </row>
    <row r="411">
      <c r="E411" s="27"/>
      <c r="F411" s="27"/>
      <c r="G411" s="27"/>
      <c r="H411" s="27"/>
      <c r="I411" s="27"/>
      <c r="M411" s="27"/>
    </row>
    <row r="412">
      <c r="E412" s="27"/>
      <c r="F412" s="27"/>
      <c r="G412" s="27"/>
      <c r="H412" s="27"/>
      <c r="I412" s="27"/>
      <c r="M412" s="27"/>
    </row>
    <row r="413">
      <c r="E413" s="27"/>
      <c r="F413" s="27"/>
      <c r="G413" s="27"/>
      <c r="H413" s="27"/>
      <c r="I413" s="27"/>
      <c r="M413" s="27"/>
    </row>
    <row r="414">
      <c r="E414" s="27"/>
      <c r="F414" s="27"/>
      <c r="G414" s="27"/>
      <c r="H414" s="27"/>
      <c r="I414" s="27"/>
      <c r="M414" s="27"/>
    </row>
    <row r="415">
      <c r="E415" s="27"/>
      <c r="F415" s="27"/>
      <c r="G415" s="27"/>
      <c r="H415" s="27"/>
      <c r="I415" s="27"/>
      <c r="M415" s="27"/>
    </row>
    <row r="416">
      <c r="E416" s="27"/>
      <c r="F416" s="27"/>
      <c r="G416" s="27"/>
      <c r="H416" s="27"/>
      <c r="I416" s="27"/>
      <c r="M416" s="27"/>
    </row>
    <row r="417">
      <c r="E417" s="27"/>
      <c r="F417" s="27"/>
      <c r="G417" s="27"/>
      <c r="H417" s="27"/>
      <c r="I417" s="27"/>
      <c r="M417" s="27"/>
    </row>
    <row r="418">
      <c r="E418" s="27"/>
      <c r="F418" s="27"/>
      <c r="G418" s="27"/>
      <c r="H418" s="27"/>
      <c r="I418" s="27"/>
      <c r="M418" s="27"/>
    </row>
    <row r="419">
      <c r="E419" s="27"/>
      <c r="F419" s="27"/>
      <c r="G419" s="27"/>
      <c r="H419" s="27"/>
      <c r="I419" s="27"/>
      <c r="M419" s="27"/>
    </row>
    <row r="420">
      <c r="E420" s="27"/>
      <c r="F420" s="27"/>
      <c r="G420" s="27"/>
      <c r="H420" s="27"/>
      <c r="I420" s="27"/>
      <c r="M420" s="27"/>
    </row>
    <row r="421">
      <c r="E421" s="27"/>
      <c r="F421" s="27"/>
      <c r="G421" s="27"/>
      <c r="H421" s="27"/>
      <c r="I421" s="27"/>
      <c r="M421" s="27"/>
    </row>
    <row r="422">
      <c r="E422" s="27"/>
      <c r="F422" s="27"/>
      <c r="G422" s="27"/>
      <c r="H422" s="27"/>
      <c r="I422" s="27"/>
      <c r="M422" s="27"/>
    </row>
    <row r="423">
      <c r="E423" s="27"/>
      <c r="F423" s="27"/>
      <c r="G423" s="27"/>
      <c r="H423" s="27"/>
      <c r="I423" s="27"/>
      <c r="M423" s="27"/>
    </row>
    <row r="424">
      <c r="E424" s="27"/>
      <c r="F424" s="27"/>
      <c r="G424" s="27"/>
      <c r="H424" s="27"/>
      <c r="I424" s="27"/>
      <c r="M424" s="27"/>
    </row>
    <row r="425">
      <c r="E425" s="27"/>
      <c r="F425" s="27"/>
      <c r="G425" s="27"/>
      <c r="H425" s="27"/>
      <c r="I425" s="27"/>
      <c r="M425" s="27"/>
    </row>
    <row r="426">
      <c r="E426" s="27"/>
      <c r="F426" s="27"/>
      <c r="G426" s="27"/>
      <c r="H426" s="27"/>
      <c r="I426" s="27"/>
      <c r="M426" s="27"/>
    </row>
    <row r="427">
      <c r="E427" s="27"/>
      <c r="F427" s="27"/>
      <c r="G427" s="27"/>
      <c r="H427" s="27"/>
      <c r="I427" s="27"/>
      <c r="M427" s="27"/>
    </row>
    <row r="428">
      <c r="E428" s="27"/>
      <c r="F428" s="27"/>
      <c r="G428" s="27"/>
      <c r="H428" s="27"/>
      <c r="I428" s="27"/>
      <c r="M428" s="27"/>
    </row>
    <row r="429">
      <c r="E429" s="27"/>
      <c r="F429" s="27"/>
      <c r="G429" s="27"/>
      <c r="H429" s="27"/>
      <c r="I429" s="27"/>
      <c r="M429" s="27"/>
    </row>
    <row r="430">
      <c r="E430" s="27"/>
      <c r="F430" s="27"/>
      <c r="G430" s="27"/>
      <c r="H430" s="27"/>
      <c r="I430" s="27"/>
      <c r="M430" s="27"/>
    </row>
    <row r="431">
      <c r="E431" s="27"/>
      <c r="F431" s="27"/>
      <c r="G431" s="27"/>
      <c r="H431" s="27"/>
      <c r="I431" s="27"/>
      <c r="M431" s="27"/>
    </row>
    <row r="432">
      <c r="E432" s="27"/>
      <c r="F432" s="27"/>
      <c r="G432" s="27"/>
      <c r="H432" s="27"/>
      <c r="I432" s="27"/>
      <c r="M432" s="27"/>
    </row>
    <row r="433">
      <c r="E433" s="27"/>
      <c r="F433" s="27"/>
      <c r="G433" s="27"/>
      <c r="H433" s="27"/>
      <c r="I433" s="27"/>
      <c r="M433" s="27"/>
    </row>
    <row r="434">
      <c r="E434" s="27"/>
      <c r="F434" s="27"/>
      <c r="G434" s="27"/>
      <c r="H434" s="27"/>
      <c r="I434" s="27"/>
      <c r="M434" s="27"/>
    </row>
    <row r="435">
      <c r="E435" s="27"/>
      <c r="F435" s="27"/>
      <c r="G435" s="27"/>
      <c r="H435" s="27"/>
      <c r="I435" s="27"/>
      <c r="M435" s="27"/>
    </row>
    <row r="436">
      <c r="E436" s="27"/>
      <c r="F436" s="27"/>
      <c r="G436" s="27"/>
      <c r="H436" s="27"/>
      <c r="I436" s="27"/>
      <c r="M436" s="27"/>
    </row>
    <row r="437">
      <c r="E437" s="27"/>
      <c r="F437" s="27"/>
      <c r="G437" s="27"/>
      <c r="H437" s="27"/>
      <c r="I437" s="27"/>
      <c r="M437" s="27"/>
    </row>
    <row r="438">
      <c r="E438" s="27"/>
      <c r="F438" s="27"/>
      <c r="G438" s="27"/>
      <c r="H438" s="27"/>
      <c r="I438" s="27"/>
      <c r="M438" s="27"/>
    </row>
    <row r="439">
      <c r="E439" s="27"/>
      <c r="F439" s="27"/>
      <c r="G439" s="27"/>
      <c r="H439" s="27"/>
      <c r="I439" s="27"/>
      <c r="M439" s="27"/>
    </row>
    <row r="440">
      <c r="E440" s="27"/>
      <c r="F440" s="27"/>
      <c r="G440" s="27"/>
      <c r="H440" s="27"/>
      <c r="I440" s="27"/>
      <c r="M440" s="27"/>
    </row>
    <row r="441">
      <c r="E441" s="27"/>
      <c r="F441" s="27"/>
      <c r="G441" s="27"/>
      <c r="H441" s="27"/>
      <c r="I441" s="27"/>
      <c r="M441" s="27"/>
    </row>
    <row r="442">
      <c r="E442" s="27"/>
      <c r="F442" s="27"/>
      <c r="G442" s="27"/>
      <c r="H442" s="27"/>
      <c r="I442" s="27"/>
      <c r="M442" s="27"/>
    </row>
    <row r="443">
      <c r="E443" s="27"/>
      <c r="F443" s="27"/>
      <c r="G443" s="27"/>
      <c r="H443" s="27"/>
      <c r="I443" s="27"/>
      <c r="M443" s="27"/>
    </row>
    <row r="444">
      <c r="E444" s="27"/>
      <c r="F444" s="27"/>
      <c r="G444" s="27"/>
      <c r="H444" s="27"/>
      <c r="I444" s="27"/>
      <c r="M444" s="27"/>
    </row>
    <row r="445">
      <c r="E445" s="27"/>
      <c r="F445" s="27"/>
      <c r="G445" s="27"/>
      <c r="H445" s="27"/>
      <c r="I445" s="27"/>
      <c r="M445" s="27"/>
    </row>
    <row r="446">
      <c r="E446" s="27"/>
      <c r="F446" s="27"/>
      <c r="G446" s="27"/>
      <c r="H446" s="27"/>
      <c r="I446" s="27"/>
      <c r="M446" s="27"/>
    </row>
    <row r="447">
      <c r="E447" s="27"/>
      <c r="F447" s="27"/>
      <c r="G447" s="27"/>
      <c r="H447" s="27"/>
      <c r="I447" s="27"/>
      <c r="M447" s="27"/>
    </row>
    <row r="448">
      <c r="E448" s="27"/>
      <c r="F448" s="27"/>
      <c r="G448" s="27"/>
      <c r="H448" s="27"/>
      <c r="I448" s="27"/>
      <c r="M448" s="27"/>
    </row>
    <row r="449">
      <c r="E449" s="27"/>
      <c r="F449" s="27"/>
      <c r="G449" s="27"/>
      <c r="H449" s="27"/>
      <c r="I449" s="27"/>
      <c r="M449" s="27"/>
    </row>
    <row r="450">
      <c r="E450" s="27"/>
      <c r="F450" s="27"/>
      <c r="G450" s="27"/>
      <c r="H450" s="27"/>
      <c r="I450" s="27"/>
      <c r="M450" s="27"/>
    </row>
    <row r="451">
      <c r="E451" s="27"/>
      <c r="F451" s="27"/>
      <c r="G451" s="27"/>
      <c r="H451" s="27"/>
      <c r="I451" s="27"/>
      <c r="M451" s="27"/>
    </row>
    <row r="452">
      <c r="E452" s="27"/>
      <c r="F452" s="27"/>
      <c r="G452" s="27"/>
      <c r="H452" s="27"/>
      <c r="I452" s="27"/>
      <c r="M452" s="27"/>
    </row>
    <row r="453">
      <c r="E453" s="27"/>
      <c r="F453" s="27"/>
      <c r="G453" s="27"/>
      <c r="H453" s="27"/>
      <c r="I453" s="27"/>
      <c r="M453" s="27"/>
    </row>
    <row r="454">
      <c r="E454" s="27"/>
      <c r="F454" s="27"/>
      <c r="G454" s="27"/>
      <c r="H454" s="27"/>
      <c r="I454" s="27"/>
      <c r="M454" s="27"/>
    </row>
    <row r="455">
      <c r="E455" s="27"/>
      <c r="F455" s="27"/>
      <c r="G455" s="27"/>
      <c r="H455" s="27"/>
      <c r="I455" s="27"/>
      <c r="M455" s="27"/>
    </row>
    <row r="456">
      <c r="E456" s="27"/>
      <c r="F456" s="27"/>
      <c r="G456" s="27"/>
      <c r="H456" s="27"/>
      <c r="I456" s="27"/>
      <c r="M456" s="27"/>
    </row>
    <row r="457">
      <c r="E457" s="27"/>
      <c r="F457" s="27"/>
      <c r="G457" s="27"/>
      <c r="H457" s="27"/>
      <c r="I457" s="27"/>
      <c r="M457" s="27"/>
    </row>
    <row r="458">
      <c r="E458" s="27"/>
      <c r="F458" s="27"/>
      <c r="G458" s="27"/>
      <c r="H458" s="27"/>
      <c r="I458" s="27"/>
      <c r="M458" s="27"/>
    </row>
    <row r="459">
      <c r="E459" s="27"/>
      <c r="F459" s="27"/>
      <c r="G459" s="27"/>
      <c r="H459" s="27"/>
      <c r="I459" s="27"/>
      <c r="M459" s="27"/>
    </row>
    <row r="460">
      <c r="E460" s="27"/>
      <c r="F460" s="27"/>
      <c r="G460" s="27"/>
      <c r="H460" s="27"/>
      <c r="I460" s="27"/>
      <c r="M460" s="27"/>
    </row>
    <row r="461">
      <c r="E461" s="27"/>
      <c r="F461" s="27"/>
      <c r="G461" s="27"/>
      <c r="H461" s="27"/>
      <c r="I461" s="27"/>
      <c r="M461" s="27"/>
    </row>
    <row r="462">
      <c r="E462" s="27"/>
      <c r="F462" s="27"/>
      <c r="G462" s="27"/>
      <c r="H462" s="27"/>
      <c r="I462" s="27"/>
      <c r="M462" s="27"/>
    </row>
    <row r="463">
      <c r="E463" s="27"/>
      <c r="F463" s="27"/>
      <c r="G463" s="27"/>
      <c r="H463" s="27"/>
      <c r="I463" s="27"/>
      <c r="M463" s="27"/>
    </row>
    <row r="464">
      <c r="E464" s="27"/>
      <c r="F464" s="27"/>
      <c r="G464" s="27"/>
      <c r="H464" s="27"/>
      <c r="I464" s="27"/>
      <c r="M464" s="27"/>
    </row>
    <row r="465">
      <c r="E465" s="27"/>
      <c r="F465" s="27"/>
      <c r="G465" s="27"/>
      <c r="H465" s="27"/>
      <c r="I465" s="27"/>
      <c r="M465" s="27"/>
    </row>
    <row r="466">
      <c r="E466" s="27"/>
      <c r="F466" s="27"/>
      <c r="G466" s="27"/>
      <c r="H466" s="27"/>
      <c r="I466" s="27"/>
      <c r="M466" s="27"/>
    </row>
    <row r="467">
      <c r="E467" s="27"/>
      <c r="F467" s="27"/>
      <c r="G467" s="27"/>
      <c r="H467" s="27"/>
      <c r="I467" s="27"/>
      <c r="M467" s="27"/>
    </row>
    <row r="468">
      <c r="E468" s="27"/>
      <c r="F468" s="27"/>
      <c r="G468" s="27"/>
      <c r="H468" s="27"/>
      <c r="I468" s="27"/>
      <c r="M468" s="27"/>
    </row>
    <row r="469">
      <c r="E469" s="27"/>
      <c r="F469" s="27"/>
      <c r="G469" s="27"/>
      <c r="H469" s="27"/>
      <c r="I469" s="27"/>
      <c r="M469" s="27"/>
    </row>
    <row r="470">
      <c r="E470" s="27"/>
      <c r="F470" s="27"/>
      <c r="G470" s="27"/>
      <c r="H470" s="27"/>
      <c r="I470" s="27"/>
      <c r="M470" s="27"/>
    </row>
    <row r="471">
      <c r="E471" s="27"/>
      <c r="F471" s="27"/>
      <c r="G471" s="27"/>
      <c r="H471" s="27"/>
      <c r="I471" s="27"/>
      <c r="M471" s="27"/>
    </row>
    <row r="472">
      <c r="E472" s="27"/>
      <c r="F472" s="27"/>
      <c r="G472" s="27"/>
      <c r="H472" s="27"/>
      <c r="I472" s="27"/>
      <c r="M472" s="27"/>
    </row>
    <row r="473">
      <c r="E473" s="27"/>
      <c r="F473" s="27"/>
      <c r="G473" s="27"/>
      <c r="H473" s="27"/>
      <c r="I473" s="27"/>
      <c r="M473" s="27"/>
    </row>
    <row r="474">
      <c r="E474" s="27"/>
      <c r="F474" s="27"/>
      <c r="G474" s="27"/>
      <c r="H474" s="27"/>
      <c r="I474" s="27"/>
      <c r="M474" s="27"/>
    </row>
    <row r="475">
      <c r="E475" s="27"/>
      <c r="F475" s="27"/>
      <c r="G475" s="27"/>
      <c r="H475" s="27"/>
      <c r="I475" s="27"/>
      <c r="M475" s="27"/>
    </row>
    <row r="476">
      <c r="E476" s="27"/>
      <c r="F476" s="27"/>
      <c r="G476" s="27"/>
      <c r="H476" s="27"/>
      <c r="I476" s="27"/>
      <c r="M476" s="27"/>
    </row>
    <row r="477">
      <c r="E477" s="27"/>
      <c r="F477" s="27"/>
      <c r="G477" s="27"/>
      <c r="H477" s="27"/>
      <c r="I477" s="27"/>
      <c r="M477" s="27"/>
    </row>
    <row r="478">
      <c r="E478" s="27"/>
      <c r="F478" s="27"/>
      <c r="G478" s="27"/>
      <c r="H478" s="27"/>
      <c r="I478" s="27"/>
      <c r="M478" s="27"/>
    </row>
    <row r="479">
      <c r="E479" s="27"/>
      <c r="F479" s="27"/>
      <c r="G479" s="27"/>
      <c r="H479" s="27"/>
      <c r="I479" s="27"/>
      <c r="M479" s="27"/>
    </row>
    <row r="480">
      <c r="E480" s="27"/>
      <c r="F480" s="27"/>
      <c r="G480" s="27"/>
      <c r="H480" s="27"/>
      <c r="I480" s="27"/>
      <c r="M480" s="27"/>
    </row>
    <row r="481">
      <c r="E481" s="27"/>
      <c r="F481" s="27"/>
      <c r="G481" s="27"/>
      <c r="H481" s="27"/>
      <c r="I481" s="27"/>
      <c r="M481" s="27"/>
    </row>
    <row r="482">
      <c r="E482" s="27"/>
      <c r="F482" s="27"/>
      <c r="G482" s="27"/>
      <c r="H482" s="27"/>
      <c r="I482" s="27"/>
      <c r="M482" s="27"/>
    </row>
    <row r="483">
      <c r="E483" s="27"/>
      <c r="F483" s="27"/>
      <c r="G483" s="27"/>
      <c r="H483" s="27"/>
      <c r="I483" s="27"/>
      <c r="M483" s="27"/>
    </row>
    <row r="484">
      <c r="E484" s="27"/>
      <c r="F484" s="27"/>
      <c r="G484" s="27"/>
      <c r="H484" s="27"/>
      <c r="I484" s="27"/>
      <c r="M484" s="27"/>
    </row>
    <row r="485">
      <c r="E485" s="27"/>
      <c r="F485" s="27"/>
      <c r="G485" s="27"/>
      <c r="H485" s="27"/>
      <c r="I485" s="27"/>
      <c r="M485" s="27"/>
    </row>
    <row r="486">
      <c r="E486" s="27"/>
      <c r="F486" s="27"/>
      <c r="G486" s="27"/>
      <c r="H486" s="27"/>
      <c r="I486" s="27"/>
      <c r="M486" s="27"/>
    </row>
    <row r="487">
      <c r="E487" s="27"/>
      <c r="F487" s="27"/>
      <c r="G487" s="27"/>
      <c r="H487" s="27"/>
      <c r="I487" s="27"/>
      <c r="M487" s="27"/>
    </row>
    <row r="488">
      <c r="E488" s="27"/>
      <c r="F488" s="27"/>
      <c r="G488" s="27"/>
      <c r="H488" s="27"/>
      <c r="I488" s="27"/>
      <c r="M488" s="27"/>
    </row>
    <row r="489">
      <c r="E489" s="27"/>
      <c r="F489" s="27"/>
      <c r="G489" s="27"/>
      <c r="H489" s="27"/>
      <c r="I489" s="27"/>
      <c r="M489" s="27"/>
    </row>
    <row r="490">
      <c r="E490" s="27"/>
      <c r="F490" s="27"/>
      <c r="G490" s="27"/>
      <c r="H490" s="27"/>
      <c r="I490" s="27"/>
      <c r="M490" s="27"/>
    </row>
    <row r="491">
      <c r="E491" s="27"/>
      <c r="F491" s="27"/>
      <c r="G491" s="27"/>
      <c r="H491" s="27"/>
      <c r="I491" s="27"/>
      <c r="M491" s="27"/>
    </row>
    <row r="492">
      <c r="E492" s="27"/>
      <c r="F492" s="27"/>
      <c r="G492" s="27"/>
      <c r="H492" s="27"/>
      <c r="I492" s="27"/>
      <c r="M492" s="27"/>
    </row>
    <row r="493">
      <c r="E493" s="27"/>
      <c r="F493" s="27"/>
      <c r="G493" s="27"/>
      <c r="H493" s="27"/>
      <c r="I493" s="27"/>
      <c r="M493" s="27"/>
    </row>
    <row r="494">
      <c r="E494" s="27"/>
      <c r="F494" s="27"/>
      <c r="G494" s="27"/>
      <c r="H494" s="27"/>
      <c r="I494" s="27"/>
      <c r="M494" s="27"/>
    </row>
    <row r="495">
      <c r="E495" s="27"/>
      <c r="F495" s="27"/>
      <c r="G495" s="27"/>
      <c r="H495" s="27"/>
      <c r="I495" s="27"/>
      <c r="M495" s="27"/>
    </row>
    <row r="496">
      <c r="E496" s="27"/>
      <c r="F496" s="27"/>
      <c r="G496" s="27"/>
      <c r="H496" s="27"/>
      <c r="I496" s="27"/>
      <c r="M496" s="27"/>
    </row>
    <row r="497">
      <c r="E497" s="27"/>
      <c r="F497" s="27"/>
      <c r="G497" s="27"/>
      <c r="H497" s="27"/>
      <c r="I497" s="27"/>
      <c r="M497" s="27"/>
    </row>
    <row r="498">
      <c r="E498" s="27"/>
      <c r="F498" s="27"/>
      <c r="G498" s="27"/>
      <c r="H498" s="27"/>
      <c r="I498" s="27"/>
      <c r="M498" s="27"/>
    </row>
    <row r="499">
      <c r="E499" s="27"/>
      <c r="F499" s="27"/>
      <c r="G499" s="27"/>
      <c r="H499" s="27"/>
      <c r="I499" s="27"/>
      <c r="M499" s="27"/>
    </row>
    <row r="500">
      <c r="E500" s="27"/>
      <c r="F500" s="27"/>
      <c r="G500" s="27"/>
      <c r="H500" s="27"/>
      <c r="I500" s="27"/>
      <c r="M500" s="27"/>
    </row>
    <row r="501">
      <c r="E501" s="27"/>
      <c r="F501" s="27"/>
      <c r="G501" s="27"/>
      <c r="H501" s="27"/>
      <c r="I501" s="27"/>
      <c r="M501" s="27"/>
    </row>
    <row r="502">
      <c r="E502" s="27"/>
      <c r="F502" s="27"/>
      <c r="G502" s="27"/>
      <c r="H502" s="27"/>
      <c r="I502" s="27"/>
      <c r="M502" s="27"/>
    </row>
    <row r="503">
      <c r="E503" s="27"/>
      <c r="F503" s="27"/>
      <c r="G503" s="27"/>
      <c r="H503" s="27"/>
      <c r="I503" s="27"/>
      <c r="M503" s="27"/>
    </row>
    <row r="504">
      <c r="E504" s="27"/>
      <c r="F504" s="27"/>
      <c r="G504" s="27"/>
      <c r="H504" s="27"/>
      <c r="I504" s="27"/>
      <c r="M504" s="27"/>
    </row>
    <row r="505">
      <c r="E505" s="27"/>
      <c r="F505" s="27"/>
      <c r="G505" s="27"/>
      <c r="H505" s="27"/>
      <c r="I505" s="27"/>
      <c r="M505" s="27"/>
    </row>
    <row r="506">
      <c r="E506" s="27"/>
      <c r="F506" s="27"/>
      <c r="G506" s="27"/>
      <c r="H506" s="27"/>
      <c r="I506" s="27"/>
      <c r="M506" s="27"/>
    </row>
    <row r="507">
      <c r="E507" s="27"/>
      <c r="F507" s="27"/>
      <c r="G507" s="27"/>
      <c r="H507" s="27"/>
      <c r="I507" s="27"/>
      <c r="M507" s="27"/>
    </row>
    <row r="508">
      <c r="E508" s="27"/>
      <c r="F508" s="27"/>
      <c r="G508" s="27"/>
      <c r="H508" s="27"/>
      <c r="I508" s="27"/>
      <c r="M508" s="27"/>
    </row>
    <row r="509">
      <c r="E509" s="27"/>
      <c r="F509" s="27"/>
      <c r="G509" s="27"/>
      <c r="H509" s="27"/>
      <c r="I509" s="27"/>
      <c r="M509" s="27"/>
    </row>
    <row r="510">
      <c r="E510" s="27"/>
      <c r="F510" s="27"/>
      <c r="G510" s="27"/>
      <c r="H510" s="27"/>
      <c r="I510" s="27"/>
      <c r="M510" s="27"/>
    </row>
    <row r="511">
      <c r="E511" s="27"/>
      <c r="F511" s="27"/>
      <c r="G511" s="27"/>
      <c r="H511" s="27"/>
      <c r="I511" s="27"/>
      <c r="M511" s="27"/>
    </row>
    <row r="512">
      <c r="E512" s="27"/>
      <c r="F512" s="27"/>
      <c r="G512" s="27"/>
      <c r="H512" s="27"/>
      <c r="I512" s="27"/>
      <c r="M512" s="27"/>
    </row>
    <row r="513">
      <c r="E513" s="27"/>
      <c r="F513" s="27"/>
      <c r="G513" s="27"/>
      <c r="H513" s="27"/>
      <c r="I513" s="27"/>
      <c r="M513" s="27"/>
    </row>
    <row r="514">
      <c r="E514" s="27"/>
      <c r="F514" s="27"/>
      <c r="G514" s="27"/>
      <c r="H514" s="27"/>
      <c r="I514" s="27"/>
      <c r="M514" s="27"/>
    </row>
    <row r="515">
      <c r="E515" s="27"/>
      <c r="F515" s="27"/>
      <c r="G515" s="27"/>
      <c r="H515" s="27"/>
      <c r="I515" s="27"/>
      <c r="M515" s="27"/>
    </row>
    <row r="516">
      <c r="E516" s="27"/>
      <c r="F516" s="27"/>
      <c r="G516" s="27"/>
      <c r="H516" s="27"/>
      <c r="I516" s="27"/>
      <c r="M516" s="27"/>
    </row>
    <row r="517">
      <c r="E517" s="27"/>
      <c r="F517" s="27"/>
      <c r="G517" s="27"/>
      <c r="H517" s="27"/>
      <c r="I517" s="27"/>
      <c r="M517" s="27"/>
    </row>
    <row r="518">
      <c r="E518" s="27"/>
      <c r="F518" s="27"/>
      <c r="G518" s="27"/>
      <c r="H518" s="27"/>
      <c r="I518" s="27"/>
      <c r="M518" s="27"/>
    </row>
    <row r="519">
      <c r="E519" s="27"/>
      <c r="F519" s="27"/>
      <c r="G519" s="27"/>
      <c r="H519" s="27"/>
      <c r="I519" s="27"/>
      <c r="M519" s="27"/>
    </row>
    <row r="520">
      <c r="E520" s="27"/>
      <c r="F520" s="27"/>
      <c r="G520" s="27"/>
      <c r="H520" s="27"/>
      <c r="I520" s="27"/>
      <c r="M520" s="27"/>
    </row>
    <row r="521">
      <c r="E521" s="27"/>
      <c r="F521" s="27"/>
      <c r="G521" s="27"/>
      <c r="H521" s="27"/>
      <c r="I521" s="27"/>
      <c r="M521" s="27"/>
    </row>
    <row r="522">
      <c r="E522" s="27"/>
      <c r="F522" s="27"/>
      <c r="G522" s="27"/>
      <c r="H522" s="27"/>
      <c r="I522" s="27"/>
      <c r="M522" s="27"/>
    </row>
    <row r="523">
      <c r="E523" s="27"/>
      <c r="F523" s="27"/>
      <c r="G523" s="27"/>
      <c r="H523" s="27"/>
      <c r="I523" s="27"/>
      <c r="M523" s="27"/>
    </row>
    <row r="524">
      <c r="E524" s="27"/>
      <c r="F524" s="27"/>
      <c r="G524" s="27"/>
      <c r="H524" s="27"/>
      <c r="I524" s="27"/>
      <c r="M524" s="27"/>
    </row>
    <row r="525">
      <c r="E525" s="27"/>
      <c r="F525" s="27"/>
      <c r="G525" s="27"/>
      <c r="H525" s="27"/>
      <c r="I525" s="27"/>
      <c r="M525" s="27"/>
    </row>
    <row r="526">
      <c r="E526" s="27"/>
      <c r="F526" s="27"/>
      <c r="G526" s="27"/>
      <c r="H526" s="27"/>
      <c r="I526" s="27"/>
      <c r="M526" s="27"/>
    </row>
    <row r="527">
      <c r="E527" s="27"/>
      <c r="F527" s="27"/>
      <c r="G527" s="27"/>
      <c r="H527" s="27"/>
      <c r="I527" s="27"/>
      <c r="M527" s="27"/>
    </row>
    <row r="528">
      <c r="E528" s="27"/>
      <c r="F528" s="27"/>
      <c r="G528" s="27"/>
      <c r="H528" s="27"/>
      <c r="I528" s="27"/>
      <c r="M528" s="27"/>
    </row>
    <row r="529">
      <c r="E529" s="27"/>
      <c r="F529" s="27"/>
      <c r="G529" s="27"/>
      <c r="H529" s="27"/>
      <c r="I529" s="27"/>
      <c r="M529" s="27"/>
    </row>
    <row r="530">
      <c r="E530" s="27"/>
      <c r="F530" s="27"/>
      <c r="G530" s="27"/>
      <c r="H530" s="27"/>
      <c r="I530" s="27"/>
      <c r="M530" s="27"/>
    </row>
    <row r="531">
      <c r="E531" s="27"/>
      <c r="F531" s="27"/>
      <c r="G531" s="27"/>
      <c r="H531" s="27"/>
      <c r="I531" s="27"/>
      <c r="M531" s="27"/>
    </row>
    <row r="532">
      <c r="E532" s="27"/>
      <c r="F532" s="27"/>
      <c r="G532" s="27"/>
      <c r="H532" s="27"/>
      <c r="I532" s="27"/>
      <c r="M532" s="27"/>
    </row>
    <row r="533">
      <c r="E533" s="27"/>
      <c r="F533" s="27"/>
      <c r="G533" s="27"/>
      <c r="H533" s="27"/>
      <c r="I533" s="27"/>
      <c r="M533" s="27"/>
    </row>
    <row r="534">
      <c r="E534" s="27"/>
      <c r="F534" s="27"/>
      <c r="G534" s="27"/>
      <c r="H534" s="27"/>
      <c r="I534" s="27"/>
      <c r="M534" s="27"/>
    </row>
    <row r="535">
      <c r="E535" s="27"/>
      <c r="F535" s="27"/>
      <c r="G535" s="27"/>
      <c r="H535" s="27"/>
      <c r="I535" s="27"/>
      <c r="M535" s="27"/>
    </row>
    <row r="536">
      <c r="E536" s="27"/>
      <c r="F536" s="27"/>
      <c r="G536" s="27"/>
      <c r="H536" s="27"/>
      <c r="I536" s="27"/>
      <c r="M536" s="27"/>
    </row>
    <row r="537">
      <c r="E537" s="27"/>
      <c r="F537" s="27"/>
      <c r="G537" s="27"/>
      <c r="H537" s="27"/>
      <c r="I537" s="27"/>
      <c r="M537" s="27"/>
    </row>
    <row r="538">
      <c r="E538" s="27"/>
      <c r="F538" s="27"/>
      <c r="G538" s="27"/>
      <c r="H538" s="27"/>
      <c r="I538" s="27"/>
      <c r="M538" s="27"/>
    </row>
    <row r="539">
      <c r="E539" s="27"/>
      <c r="F539" s="27"/>
      <c r="G539" s="27"/>
      <c r="H539" s="27"/>
      <c r="I539" s="27"/>
      <c r="M539" s="27"/>
    </row>
    <row r="540">
      <c r="E540" s="27"/>
      <c r="F540" s="27"/>
      <c r="G540" s="27"/>
      <c r="H540" s="27"/>
      <c r="I540" s="27"/>
      <c r="M540" s="27"/>
    </row>
    <row r="541">
      <c r="E541" s="27"/>
      <c r="F541" s="27"/>
      <c r="G541" s="27"/>
      <c r="H541" s="27"/>
      <c r="I541" s="27"/>
      <c r="M541" s="27"/>
    </row>
    <row r="542">
      <c r="E542" s="27"/>
      <c r="F542" s="27"/>
      <c r="G542" s="27"/>
      <c r="H542" s="27"/>
      <c r="I542" s="27"/>
      <c r="M542" s="27"/>
    </row>
    <row r="543">
      <c r="E543" s="27"/>
      <c r="F543" s="27"/>
      <c r="G543" s="27"/>
      <c r="H543" s="27"/>
      <c r="I543" s="27"/>
      <c r="M543" s="27"/>
    </row>
    <row r="544">
      <c r="E544" s="27"/>
      <c r="F544" s="27"/>
      <c r="G544" s="27"/>
      <c r="H544" s="27"/>
      <c r="I544" s="27"/>
      <c r="M544" s="27"/>
    </row>
    <row r="545">
      <c r="E545" s="27"/>
      <c r="F545" s="27"/>
      <c r="G545" s="27"/>
      <c r="H545" s="27"/>
      <c r="I545" s="27"/>
      <c r="M545" s="27"/>
    </row>
    <row r="546">
      <c r="E546" s="27"/>
      <c r="F546" s="27"/>
      <c r="G546" s="27"/>
      <c r="H546" s="27"/>
      <c r="I546" s="27"/>
      <c r="M546" s="27"/>
    </row>
    <row r="547">
      <c r="E547" s="27"/>
      <c r="F547" s="27"/>
      <c r="G547" s="27"/>
      <c r="H547" s="27"/>
      <c r="I547" s="27"/>
      <c r="M547" s="27"/>
    </row>
    <row r="548">
      <c r="E548" s="27"/>
      <c r="F548" s="27"/>
      <c r="G548" s="27"/>
      <c r="H548" s="27"/>
      <c r="I548" s="27"/>
      <c r="M548" s="27"/>
    </row>
    <row r="549">
      <c r="E549" s="27"/>
      <c r="F549" s="27"/>
      <c r="G549" s="27"/>
      <c r="H549" s="27"/>
      <c r="I549" s="27"/>
      <c r="M549" s="27"/>
    </row>
    <row r="550">
      <c r="E550" s="27"/>
      <c r="F550" s="27"/>
      <c r="G550" s="27"/>
      <c r="H550" s="27"/>
      <c r="I550" s="27"/>
      <c r="M550" s="27"/>
    </row>
    <row r="551">
      <c r="E551" s="27"/>
      <c r="F551" s="27"/>
      <c r="G551" s="27"/>
      <c r="H551" s="27"/>
      <c r="I551" s="27"/>
      <c r="M551" s="27"/>
    </row>
    <row r="552">
      <c r="E552" s="27"/>
      <c r="F552" s="27"/>
      <c r="G552" s="27"/>
      <c r="H552" s="27"/>
      <c r="I552" s="27"/>
      <c r="M552" s="27"/>
    </row>
    <row r="553">
      <c r="E553" s="27"/>
      <c r="F553" s="27"/>
      <c r="G553" s="27"/>
      <c r="H553" s="27"/>
      <c r="I553" s="27"/>
      <c r="M553" s="27"/>
    </row>
    <row r="554">
      <c r="E554" s="27"/>
      <c r="F554" s="27"/>
      <c r="G554" s="27"/>
      <c r="H554" s="27"/>
      <c r="I554" s="27"/>
      <c r="M554" s="27"/>
    </row>
    <row r="555">
      <c r="E555" s="27"/>
      <c r="F555" s="27"/>
      <c r="G555" s="27"/>
      <c r="H555" s="27"/>
      <c r="I555" s="27"/>
      <c r="M555" s="27"/>
    </row>
    <row r="556">
      <c r="E556" s="27"/>
      <c r="F556" s="27"/>
      <c r="G556" s="27"/>
      <c r="H556" s="27"/>
      <c r="I556" s="27"/>
      <c r="M556" s="27"/>
    </row>
    <row r="557">
      <c r="E557" s="27"/>
      <c r="F557" s="27"/>
      <c r="G557" s="27"/>
      <c r="H557" s="27"/>
      <c r="I557" s="27"/>
      <c r="M557" s="27"/>
    </row>
    <row r="558">
      <c r="E558" s="27"/>
      <c r="F558" s="27"/>
      <c r="G558" s="27"/>
      <c r="H558" s="27"/>
      <c r="I558" s="27"/>
      <c r="M558" s="27"/>
    </row>
    <row r="559">
      <c r="E559" s="27"/>
      <c r="F559" s="27"/>
      <c r="G559" s="27"/>
      <c r="H559" s="27"/>
      <c r="I559" s="27"/>
      <c r="M559" s="27"/>
    </row>
    <row r="560">
      <c r="E560" s="27"/>
      <c r="F560" s="27"/>
      <c r="G560" s="27"/>
      <c r="H560" s="27"/>
      <c r="I560" s="27"/>
      <c r="M560" s="27"/>
    </row>
    <row r="561">
      <c r="E561" s="27"/>
      <c r="F561" s="27"/>
      <c r="G561" s="27"/>
      <c r="H561" s="27"/>
      <c r="I561" s="27"/>
      <c r="M561" s="27"/>
    </row>
    <row r="562">
      <c r="E562" s="27"/>
      <c r="F562" s="27"/>
      <c r="G562" s="27"/>
      <c r="H562" s="27"/>
      <c r="I562" s="27"/>
      <c r="M562" s="27"/>
    </row>
    <row r="563">
      <c r="E563" s="27"/>
      <c r="F563" s="27"/>
      <c r="G563" s="27"/>
      <c r="H563" s="27"/>
      <c r="I563" s="27"/>
      <c r="M563" s="27"/>
    </row>
    <row r="564">
      <c r="E564" s="27"/>
      <c r="F564" s="27"/>
      <c r="G564" s="27"/>
      <c r="H564" s="27"/>
      <c r="I564" s="27"/>
      <c r="M564" s="27"/>
    </row>
    <row r="565">
      <c r="E565" s="27"/>
      <c r="F565" s="27"/>
      <c r="G565" s="27"/>
      <c r="H565" s="27"/>
      <c r="I565" s="27"/>
      <c r="M565" s="27"/>
    </row>
    <row r="566">
      <c r="E566" s="27"/>
      <c r="F566" s="27"/>
      <c r="G566" s="27"/>
      <c r="H566" s="27"/>
      <c r="I566" s="27"/>
      <c r="M566" s="27"/>
    </row>
    <row r="567">
      <c r="E567" s="27"/>
      <c r="F567" s="27"/>
      <c r="G567" s="27"/>
      <c r="H567" s="27"/>
      <c r="I567" s="27"/>
      <c r="M567" s="27"/>
    </row>
    <row r="568">
      <c r="E568" s="27"/>
      <c r="F568" s="27"/>
      <c r="G568" s="27"/>
      <c r="H568" s="27"/>
      <c r="I568" s="27"/>
      <c r="M568" s="27"/>
    </row>
    <row r="569">
      <c r="E569" s="27"/>
      <c r="F569" s="27"/>
      <c r="G569" s="27"/>
      <c r="H569" s="27"/>
      <c r="I569" s="27"/>
      <c r="M569" s="27"/>
    </row>
    <row r="570">
      <c r="E570" s="27"/>
      <c r="F570" s="27"/>
      <c r="G570" s="27"/>
      <c r="H570" s="27"/>
      <c r="I570" s="27"/>
      <c r="M570" s="27"/>
    </row>
    <row r="571">
      <c r="E571" s="27"/>
      <c r="F571" s="27"/>
      <c r="G571" s="27"/>
      <c r="H571" s="27"/>
      <c r="I571" s="27"/>
      <c r="M571" s="27"/>
    </row>
    <row r="572">
      <c r="E572" s="27"/>
      <c r="F572" s="27"/>
      <c r="G572" s="27"/>
      <c r="H572" s="27"/>
      <c r="I572" s="27"/>
      <c r="M572" s="27"/>
    </row>
    <row r="573">
      <c r="E573" s="27"/>
      <c r="F573" s="27"/>
      <c r="G573" s="27"/>
      <c r="H573" s="27"/>
      <c r="I573" s="27"/>
      <c r="M573" s="27"/>
    </row>
    <row r="574">
      <c r="E574" s="27"/>
      <c r="F574" s="27"/>
      <c r="G574" s="27"/>
      <c r="H574" s="27"/>
      <c r="I574" s="27"/>
      <c r="M574" s="27"/>
    </row>
    <row r="575">
      <c r="E575" s="27"/>
      <c r="F575" s="27"/>
      <c r="G575" s="27"/>
      <c r="H575" s="27"/>
      <c r="I575" s="27"/>
      <c r="M575" s="27"/>
    </row>
    <row r="576">
      <c r="E576" s="27"/>
      <c r="F576" s="27"/>
      <c r="G576" s="27"/>
      <c r="H576" s="27"/>
      <c r="I576" s="27"/>
      <c r="M576" s="27"/>
    </row>
    <row r="577">
      <c r="E577" s="27"/>
      <c r="F577" s="27"/>
      <c r="G577" s="27"/>
      <c r="H577" s="27"/>
      <c r="I577" s="27"/>
      <c r="M577" s="27"/>
    </row>
    <row r="578">
      <c r="E578" s="27"/>
      <c r="F578" s="27"/>
      <c r="G578" s="27"/>
      <c r="H578" s="27"/>
      <c r="I578" s="27"/>
      <c r="M578" s="27"/>
    </row>
    <row r="579">
      <c r="E579" s="27"/>
      <c r="F579" s="27"/>
      <c r="G579" s="27"/>
      <c r="H579" s="27"/>
      <c r="I579" s="27"/>
      <c r="M579" s="27"/>
    </row>
    <row r="580">
      <c r="E580" s="27"/>
      <c r="F580" s="27"/>
      <c r="G580" s="27"/>
      <c r="H580" s="27"/>
      <c r="I580" s="27"/>
      <c r="M580" s="27"/>
    </row>
    <row r="581">
      <c r="E581" s="27"/>
      <c r="F581" s="27"/>
      <c r="G581" s="27"/>
      <c r="H581" s="27"/>
      <c r="I581" s="27"/>
      <c r="M581" s="27"/>
    </row>
    <row r="582">
      <c r="E582" s="27"/>
      <c r="F582" s="27"/>
      <c r="G582" s="27"/>
      <c r="H582" s="27"/>
      <c r="I582" s="27"/>
      <c r="M582" s="27"/>
    </row>
    <row r="583">
      <c r="E583" s="27"/>
      <c r="F583" s="27"/>
      <c r="G583" s="27"/>
      <c r="H583" s="27"/>
      <c r="I583" s="27"/>
      <c r="M583" s="27"/>
    </row>
    <row r="584">
      <c r="E584" s="27"/>
      <c r="F584" s="27"/>
      <c r="G584" s="27"/>
      <c r="H584" s="27"/>
      <c r="I584" s="27"/>
      <c r="M584" s="27"/>
    </row>
    <row r="585">
      <c r="E585" s="27"/>
      <c r="F585" s="27"/>
      <c r="G585" s="27"/>
      <c r="H585" s="27"/>
      <c r="I585" s="27"/>
      <c r="M585" s="27"/>
    </row>
    <row r="586">
      <c r="E586" s="27"/>
      <c r="F586" s="27"/>
      <c r="G586" s="27"/>
      <c r="H586" s="27"/>
      <c r="I586" s="27"/>
      <c r="M586" s="27"/>
    </row>
    <row r="587">
      <c r="E587" s="27"/>
      <c r="F587" s="27"/>
      <c r="G587" s="27"/>
      <c r="H587" s="27"/>
      <c r="I587" s="27"/>
      <c r="M587" s="27"/>
    </row>
    <row r="588">
      <c r="E588" s="27"/>
      <c r="F588" s="27"/>
      <c r="G588" s="27"/>
      <c r="H588" s="27"/>
      <c r="I588" s="27"/>
      <c r="M588" s="27"/>
    </row>
    <row r="589">
      <c r="E589" s="27"/>
      <c r="F589" s="27"/>
      <c r="G589" s="27"/>
      <c r="H589" s="27"/>
      <c r="I589" s="27"/>
      <c r="M589" s="27"/>
    </row>
    <row r="590">
      <c r="E590" s="27"/>
      <c r="F590" s="27"/>
      <c r="G590" s="27"/>
      <c r="H590" s="27"/>
      <c r="I590" s="27"/>
      <c r="M590" s="27"/>
    </row>
    <row r="591">
      <c r="E591" s="27"/>
      <c r="F591" s="27"/>
      <c r="G591" s="27"/>
      <c r="H591" s="27"/>
      <c r="I591" s="27"/>
      <c r="M591" s="27"/>
    </row>
    <row r="592">
      <c r="E592" s="27"/>
      <c r="F592" s="27"/>
      <c r="G592" s="27"/>
      <c r="H592" s="27"/>
      <c r="I592" s="27"/>
      <c r="M592" s="27"/>
    </row>
    <row r="593">
      <c r="E593" s="27"/>
      <c r="F593" s="27"/>
      <c r="G593" s="27"/>
      <c r="H593" s="27"/>
      <c r="I593" s="27"/>
      <c r="M593" s="27"/>
    </row>
    <row r="594">
      <c r="E594" s="27"/>
      <c r="F594" s="27"/>
      <c r="G594" s="27"/>
      <c r="H594" s="27"/>
      <c r="I594" s="27"/>
      <c r="M594" s="27"/>
    </row>
    <row r="595">
      <c r="E595" s="27"/>
      <c r="F595" s="27"/>
      <c r="G595" s="27"/>
      <c r="H595" s="27"/>
      <c r="I595" s="27"/>
      <c r="M595" s="27"/>
    </row>
    <row r="596">
      <c r="E596" s="27"/>
      <c r="F596" s="27"/>
      <c r="G596" s="27"/>
      <c r="H596" s="27"/>
      <c r="I596" s="27"/>
      <c r="M596" s="27"/>
    </row>
    <row r="597">
      <c r="E597" s="27"/>
      <c r="F597" s="27"/>
      <c r="G597" s="27"/>
      <c r="H597" s="27"/>
      <c r="I597" s="27"/>
      <c r="M597" s="27"/>
    </row>
    <row r="598">
      <c r="E598" s="27"/>
      <c r="F598" s="27"/>
      <c r="G598" s="27"/>
      <c r="H598" s="27"/>
      <c r="I598" s="27"/>
      <c r="M598" s="27"/>
    </row>
    <row r="599">
      <c r="E599" s="27"/>
      <c r="F599" s="27"/>
      <c r="G599" s="27"/>
      <c r="H599" s="27"/>
      <c r="I599" s="27"/>
      <c r="M599" s="27"/>
    </row>
    <row r="600">
      <c r="E600" s="27"/>
      <c r="F600" s="27"/>
      <c r="G600" s="27"/>
      <c r="H600" s="27"/>
      <c r="I600" s="27"/>
      <c r="M600" s="27"/>
    </row>
    <row r="601">
      <c r="E601" s="27"/>
      <c r="F601" s="27"/>
      <c r="G601" s="27"/>
      <c r="H601" s="27"/>
      <c r="I601" s="27"/>
      <c r="M601" s="27"/>
    </row>
    <row r="602">
      <c r="E602" s="27"/>
      <c r="F602" s="27"/>
      <c r="G602" s="27"/>
      <c r="H602" s="27"/>
      <c r="I602" s="27"/>
      <c r="M602" s="27"/>
    </row>
    <row r="603">
      <c r="E603" s="27"/>
      <c r="F603" s="27"/>
      <c r="G603" s="27"/>
      <c r="H603" s="27"/>
      <c r="I603" s="27"/>
      <c r="M603" s="27"/>
    </row>
    <row r="604">
      <c r="E604" s="27"/>
      <c r="F604" s="27"/>
      <c r="G604" s="27"/>
      <c r="H604" s="27"/>
      <c r="I604" s="27"/>
      <c r="M604" s="27"/>
    </row>
    <row r="605">
      <c r="E605" s="27"/>
      <c r="F605" s="27"/>
      <c r="G605" s="27"/>
      <c r="H605" s="27"/>
      <c r="I605" s="27"/>
      <c r="M605" s="27"/>
    </row>
    <row r="606">
      <c r="E606" s="27"/>
      <c r="F606" s="27"/>
      <c r="G606" s="27"/>
      <c r="H606" s="27"/>
      <c r="I606" s="27"/>
      <c r="M606" s="27"/>
    </row>
    <row r="607">
      <c r="E607" s="27"/>
      <c r="F607" s="27"/>
      <c r="G607" s="27"/>
      <c r="H607" s="27"/>
      <c r="I607" s="27"/>
      <c r="M607" s="27"/>
    </row>
    <row r="608">
      <c r="E608" s="27"/>
      <c r="F608" s="27"/>
      <c r="G608" s="27"/>
      <c r="H608" s="27"/>
      <c r="I608" s="27"/>
      <c r="M608" s="27"/>
    </row>
    <row r="609">
      <c r="E609" s="27"/>
      <c r="F609" s="27"/>
      <c r="G609" s="27"/>
      <c r="H609" s="27"/>
      <c r="I609" s="27"/>
      <c r="M609" s="27"/>
    </row>
    <row r="610">
      <c r="E610" s="27"/>
      <c r="F610" s="27"/>
      <c r="G610" s="27"/>
      <c r="H610" s="27"/>
      <c r="I610" s="27"/>
      <c r="M610" s="27"/>
    </row>
    <row r="611">
      <c r="E611" s="27"/>
      <c r="F611" s="27"/>
      <c r="G611" s="27"/>
      <c r="H611" s="27"/>
      <c r="I611" s="27"/>
      <c r="M611" s="27"/>
    </row>
    <row r="612">
      <c r="E612" s="27"/>
      <c r="F612" s="27"/>
      <c r="G612" s="27"/>
      <c r="H612" s="27"/>
      <c r="I612" s="27"/>
      <c r="M612" s="27"/>
    </row>
    <row r="613">
      <c r="E613" s="27"/>
      <c r="F613" s="27"/>
      <c r="G613" s="27"/>
      <c r="H613" s="27"/>
      <c r="I613" s="27"/>
      <c r="M613" s="27"/>
    </row>
    <row r="614">
      <c r="E614" s="27"/>
      <c r="F614" s="27"/>
      <c r="G614" s="27"/>
      <c r="H614" s="27"/>
      <c r="I614" s="27"/>
      <c r="M614" s="27"/>
    </row>
    <row r="615">
      <c r="E615" s="27"/>
      <c r="F615" s="27"/>
      <c r="G615" s="27"/>
      <c r="H615" s="27"/>
      <c r="I615" s="27"/>
      <c r="M615" s="27"/>
    </row>
    <row r="616">
      <c r="E616" s="27"/>
      <c r="F616" s="27"/>
      <c r="G616" s="27"/>
      <c r="H616" s="27"/>
      <c r="I616" s="27"/>
      <c r="M616" s="27"/>
    </row>
    <row r="617">
      <c r="E617" s="27"/>
      <c r="F617" s="27"/>
      <c r="G617" s="27"/>
      <c r="H617" s="27"/>
      <c r="I617" s="27"/>
      <c r="M617" s="27"/>
    </row>
    <row r="618">
      <c r="E618" s="27"/>
      <c r="F618" s="27"/>
      <c r="G618" s="27"/>
      <c r="H618" s="27"/>
      <c r="I618" s="27"/>
      <c r="M618" s="27"/>
    </row>
    <row r="619">
      <c r="E619" s="27"/>
      <c r="F619" s="27"/>
      <c r="G619" s="27"/>
      <c r="H619" s="27"/>
      <c r="I619" s="27"/>
      <c r="M619" s="27"/>
    </row>
    <row r="620">
      <c r="E620" s="27"/>
      <c r="F620" s="27"/>
      <c r="G620" s="27"/>
      <c r="H620" s="27"/>
      <c r="I620" s="27"/>
      <c r="M620" s="27"/>
    </row>
    <row r="621">
      <c r="E621" s="27"/>
      <c r="F621" s="27"/>
      <c r="G621" s="27"/>
      <c r="H621" s="27"/>
      <c r="I621" s="27"/>
      <c r="M621" s="27"/>
    </row>
    <row r="622">
      <c r="E622" s="27"/>
      <c r="F622" s="27"/>
      <c r="G622" s="27"/>
      <c r="H622" s="27"/>
      <c r="I622" s="27"/>
      <c r="M622" s="27"/>
    </row>
    <row r="623">
      <c r="E623" s="27"/>
      <c r="F623" s="27"/>
      <c r="G623" s="27"/>
      <c r="H623" s="27"/>
      <c r="I623" s="27"/>
      <c r="M623" s="27"/>
    </row>
    <row r="624">
      <c r="E624" s="27"/>
      <c r="F624" s="27"/>
      <c r="G624" s="27"/>
      <c r="H624" s="27"/>
      <c r="I624" s="27"/>
      <c r="M624" s="27"/>
    </row>
    <row r="625">
      <c r="E625" s="27"/>
      <c r="F625" s="27"/>
      <c r="G625" s="27"/>
      <c r="H625" s="27"/>
      <c r="I625" s="27"/>
      <c r="M625" s="27"/>
    </row>
    <row r="626">
      <c r="E626" s="27"/>
      <c r="F626" s="27"/>
      <c r="G626" s="27"/>
      <c r="H626" s="27"/>
      <c r="I626" s="27"/>
      <c r="M626" s="27"/>
    </row>
    <row r="627">
      <c r="E627" s="27"/>
      <c r="F627" s="27"/>
      <c r="G627" s="27"/>
      <c r="H627" s="27"/>
      <c r="I627" s="27"/>
      <c r="M627" s="27"/>
    </row>
    <row r="628">
      <c r="E628" s="27"/>
      <c r="F628" s="27"/>
      <c r="G628" s="27"/>
      <c r="H628" s="27"/>
      <c r="I628" s="27"/>
      <c r="M628" s="27"/>
    </row>
    <row r="629">
      <c r="E629" s="27"/>
      <c r="F629" s="27"/>
      <c r="G629" s="27"/>
      <c r="H629" s="27"/>
      <c r="I629" s="27"/>
      <c r="M629" s="27"/>
    </row>
    <row r="630">
      <c r="E630" s="27"/>
      <c r="F630" s="27"/>
      <c r="G630" s="27"/>
      <c r="H630" s="27"/>
      <c r="I630" s="27"/>
      <c r="M630" s="27"/>
    </row>
    <row r="631">
      <c r="E631" s="27"/>
      <c r="F631" s="27"/>
      <c r="G631" s="27"/>
      <c r="H631" s="27"/>
      <c r="I631" s="27"/>
      <c r="M631" s="27"/>
    </row>
    <row r="632">
      <c r="E632" s="27"/>
      <c r="F632" s="27"/>
      <c r="G632" s="27"/>
      <c r="H632" s="27"/>
      <c r="I632" s="27"/>
      <c r="M632" s="27"/>
    </row>
    <row r="633">
      <c r="E633" s="27"/>
      <c r="F633" s="27"/>
      <c r="G633" s="27"/>
      <c r="H633" s="27"/>
      <c r="I633" s="27"/>
      <c r="M633" s="27"/>
    </row>
    <row r="634">
      <c r="E634" s="27"/>
      <c r="F634" s="27"/>
      <c r="G634" s="27"/>
      <c r="H634" s="27"/>
      <c r="I634" s="27"/>
      <c r="M634" s="27"/>
    </row>
    <row r="635">
      <c r="E635" s="27"/>
      <c r="F635" s="27"/>
      <c r="G635" s="27"/>
      <c r="H635" s="27"/>
      <c r="I635" s="27"/>
      <c r="M635" s="27"/>
    </row>
    <row r="636">
      <c r="E636" s="27"/>
      <c r="F636" s="27"/>
      <c r="G636" s="27"/>
      <c r="H636" s="27"/>
      <c r="I636" s="27"/>
      <c r="M636" s="27"/>
    </row>
    <row r="637">
      <c r="E637" s="27"/>
      <c r="F637" s="27"/>
      <c r="G637" s="27"/>
      <c r="H637" s="27"/>
      <c r="I637" s="27"/>
      <c r="M637" s="27"/>
    </row>
    <row r="638">
      <c r="E638" s="27"/>
      <c r="F638" s="27"/>
      <c r="G638" s="27"/>
      <c r="H638" s="27"/>
      <c r="I638" s="27"/>
      <c r="M638" s="27"/>
    </row>
    <row r="639">
      <c r="E639" s="27"/>
      <c r="F639" s="27"/>
      <c r="G639" s="27"/>
      <c r="H639" s="27"/>
      <c r="I639" s="27"/>
      <c r="M639" s="27"/>
    </row>
    <row r="640">
      <c r="E640" s="27"/>
      <c r="F640" s="27"/>
      <c r="G640" s="27"/>
      <c r="H640" s="27"/>
      <c r="I640" s="27"/>
      <c r="M640" s="27"/>
    </row>
    <row r="641">
      <c r="E641" s="27"/>
      <c r="F641" s="27"/>
      <c r="G641" s="27"/>
      <c r="H641" s="27"/>
      <c r="I641" s="27"/>
      <c r="M641" s="27"/>
    </row>
    <row r="642">
      <c r="E642" s="27"/>
      <c r="F642" s="27"/>
      <c r="G642" s="27"/>
      <c r="H642" s="27"/>
      <c r="I642" s="27"/>
      <c r="M642" s="27"/>
    </row>
    <row r="643">
      <c r="E643" s="27"/>
      <c r="F643" s="27"/>
      <c r="G643" s="27"/>
      <c r="H643" s="27"/>
      <c r="I643" s="27"/>
      <c r="M643" s="27"/>
    </row>
    <row r="644">
      <c r="E644" s="27"/>
      <c r="F644" s="27"/>
      <c r="G644" s="27"/>
      <c r="H644" s="27"/>
      <c r="I644" s="27"/>
      <c r="M644" s="27"/>
    </row>
    <row r="645">
      <c r="E645" s="27"/>
      <c r="F645" s="27"/>
      <c r="G645" s="27"/>
      <c r="H645" s="27"/>
      <c r="I645" s="27"/>
      <c r="M645" s="27"/>
    </row>
    <row r="646">
      <c r="E646" s="27"/>
      <c r="F646" s="27"/>
      <c r="G646" s="27"/>
      <c r="H646" s="27"/>
      <c r="I646" s="27"/>
      <c r="M646" s="27"/>
    </row>
    <row r="647">
      <c r="E647" s="27"/>
      <c r="F647" s="27"/>
      <c r="G647" s="27"/>
      <c r="H647" s="27"/>
      <c r="I647" s="27"/>
      <c r="M647" s="27"/>
    </row>
    <row r="648">
      <c r="E648" s="27"/>
      <c r="F648" s="27"/>
      <c r="G648" s="27"/>
      <c r="H648" s="27"/>
      <c r="I648" s="27"/>
      <c r="M648" s="27"/>
    </row>
    <row r="649">
      <c r="E649" s="27"/>
      <c r="F649" s="27"/>
      <c r="G649" s="27"/>
      <c r="H649" s="27"/>
      <c r="I649" s="27"/>
      <c r="M649" s="27"/>
    </row>
    <row r="650">
      <c r="E650" s="27"/>
      <c r="F650" s="27"/>
      <c r="G650" s="27"/>
      <c r="H650" s="27"/>
      <c r="I650" s="27"/>
      <c r="M650" s="27"/>
    </row>
    <row r="651">
      <c r="E651" s="27"/>
      <c r="F651" s="27"/>
      <c r="G651" s="27"/>
      <c r="H651" s="27"/>
      <c r="I651" s="27"/>
      <c r="M651" s="27"/>
    </row>
    <row r="652">
      <c r="E652" s="27"/>
      <c r="F652" s="27"/>
      <c r="G652" s="27"/>
      <c r="H652" s="27"/>
      <c r="I652" s="27"/>
      <c r="M652" s="27"/>
    </row>
    <row r="653">
      <c r="E653" s="27"/>
      <c r="F653" s="27"/>
      <c r="G653" s="27"/>
      <c r="H653" s="27"/>
      <c r="I653" s="27"/>
      <c r="M653" s="27"/>
    </row>
    <row r="654">
      <c r="E654" s="27"/>
      <c r="F654" s="27"/>
      <c r="G654" s="27"/>
      <c r="H654" s="27"/>
      <c r="I654" s="27"/>
      <c r="M654" s="27"/>
    </row>
    <row r="655">
      <c r="E655" s="27"/>
      <c r="F655" s="27"/>
      <c r="G655" s="27"/>
      <c r="H655" s="27"/>
      <c r="I655" s="27"/>
      <c r="M655" s="27"/>
    </row>
    <row r="656">
      <c r="E656" s="27"/>
      <c r="F656" s="27"/>
      <c r="G656" s="27"/>
      <c r="H656" s="27"/>
      <c r="I656" s="27"/>
      <c r="M656" s="27"/>
    </row>
    <row r="657">
      <c r="E657" s="27"/>
      <c r="F657" s="27"/>
      <c r="G657" s="27"/>
      <c r="H657" s="27"/>
      <c r="I657" s="27"/>
      <c r="M657" s="27"/>
    </row>
    <row r="658">
      <c r="E658" s="27"/>
      <c r="F658" s="27"/>
      <c r="G658" s="27"/>
      <c r="H658" s="27"/>
      <c r="I658" s="27"/>
      <c r="M658" s="27"/>
    </row>
    <row r="659">
      <c r="E659" s="27"/>
      <c r="F659" s="27"/>
      <c r="G659" s="27"/>
      <c r="H659" s="27"/>
      <c r="I659" s="27"/>
      <c r="M659" s="27"/>
    </row>
    <row r="660">
      <c r="E660" s="27"/>
      <c r="F660" s="27"/>
      <c r="G660" s="27"/>
      <c r="H660" s="27"/>
      <c r="I660" s="27"/>
      <c r="M660" s="27"/>
    </row>
    <row r="661">
      <c r="E661" s="27"/>
      <c r="F661" s="27"/>
      <c r="G661" s="27"/>
      <c r="H661" s="27"/>
      <c r="I661" s="27"/>
      <c r="M661" s="27"/>
    </row>
    <row r="662">
      <c r="E662" s="27"/>
      <c r="F662" s="27"/>
      <c r="G662" s="27"/>
      <c r="H662" s="27"/>
      <c r="I662" s="27"/>
      <c r="M662" s="27"/>
    </row>
    <row r="663">
      <c r="E663" s="27"/>
      <c r="F663" s="27"/>
      <c r="G663" s="27"/>
      <c r="H663" s="27"/>
      <c r="I663" s="27"/>
      <c r="M663" s="27"/>
    </row>
    <row r="664">
      <c r="E664" s="27"/>
      <c r="F664" s="27"/>
      <c r="G664" s="27"/>
      <c r="H664" s="27"/>
      <c r="I664" s="27"/>
      <c r="M664" s="27"/>
    </row>
    <row r="665">
      <c r="E665" s="27"/>
      <c r="F665" s="27"/>
      <c r="G665" s="27"/>
      <c r="H665" s="27"/>
      <c r="I665" s="27"/>
      <c r="M665" s="27"/>
    </row>
    <row r="666">
      <c r="E666" s="27"/>
      <c r="F666" s="27"/>
      <c r="G666" s="27"/>
      <c r="H666" s="27"/>
      <c r="I666" s="27"/>
      <c r="M666" s="27"/>
    </row>
    <row r="667">
      <c r="E667" s="27"/>
      <c r="F667" s="27"/>
      <c r="G667" s="27"/>
      <c r="H667" s="27"/>
      <c r="I667" s="27"/>
      <c r="M667" s="27"/>
    </row>
    <row r="668">
      <c r="E668" s="27"/>
      <c r="F668" s="27"/>
      <c r="G668" s="27"/>
      <c r="H668" s="27"/>
      <c r="I668" s="27"/>
      <c r="M668" s="27"/>
    </row>
    <row r="669">
      <c r="E669" s="27"/>
      <c r="F669" s="27"/>
      <c r="G669" s="27"/>
      <c r="H669" s="27"/>
      <c r="I669" s="27"/>
      <c r="M669" s="27"/>
    </row>
    <row r="670">
      <c r="E670" s="27"/>
      <c r="F670" s="27"/>
      <c r="G670" s="27"/>
      <c r="H670" s="27"/>
      <c r="I670" s="27"/>
      <c r="M670" s="27"/>
    </row>
    <row r="671">
      <c r="E671" s="27"/>
      <c r="F671" s="27"/>
      <c r="G671" s="27"/>
      <c r="H671" s="27"/>
      <c r="I671" s="27"/>
      <c r="M671" s="27"/>
    </row>
    <row r="672">
      <c r="E672" s="27"/>
      <c r="F672" s="27"/>
      <c r="G672" s="27"/>
      <c r="H672" s="27"/>
      <c r="I672" s="27"/>
      <c r="M672" s="27"/>
    </row>
    <row r="673">
      <c r="E673" s="27"/>
      <c r="F673" s="27"/>
      <c r="G673" s="27"/>
      <c r="H673" s="27"/>
      <c r="I673" s="27"/>
      <c r="M673" s="27"/>
    </row>
    <row r="674">
      <c r="E674" s="27"/>
      <c r="F674" s="27"/>
      <c r="G674" s="27"/>
      <c r="H674" s="27"/>
      <c r="I674" s="27"/>
      <c r="M674" s="27"/>
    </row>
    <row r="675">
      <c r="E675" s="27"/>
      <c r="F675" s="27"/>
      <c r="G675" s="27"/>
      <c r="H675" s="27"/>
      <c r="I675" s="27"/>
      <c r="M675" s="27"/>
    </row>
    <row r="676">
      <c r="E676" s="27"/>
      <c r="F676" s="27"/>
      <c r="G676" s="27"/>
      <c r="H676" s="27"/>
      <c r="I676" s="27"/>
      <c r="M676" s="27"/>
    </row>
    <row r="677">
      <c r="E677" s="27"/>
      <c r="F677" s="27"/>
      <c r="G677" s="27"/>
      <c r="H677" s="27"/>
      <c r="I677" s="27"/>
      <c r="M677" s="27"/>
    </row>
    <row r="678">
      <c r="E678" s="27"/>
      <c r="F678" s="27"/>
      <c r="G678" s="27"/>
      <c r="H678" s="27"/>
      <c r="I678" s="27"/>
      <c r="M678" s="27"/>
    </row>
    <row r="679">
      <c r="E679" s="27"/>
      <c r="F679" s="27"/>
      <c r="G679" s="27"/>
      <c r="H679" s="27"/>
      <c r="I679" s="27"/>
      <c r="M679" s="27"/>
    </row>
    <row r="680">
      <c r="E680" s="27"/>
      <c r="F680" s="27"/>
      <c r="G680" s="27"/>
      <c r="H680" s="27"/>
      <c r="I680" s="27"/>
      <c r="M680" s="27"/>
    </row>
    <row r="681">
      <c r="E681" s="27"/>
      <c r="F681" s="27"/>
      <c r="G681" s="27"/>
      <c r="H681" s="27"/>
      <c r="I681" s="27"/>
      <c r="M681" s="27"/>
    </row>
    <row r="682">
      <c r="E682" s="27"/>
      <c r="F682" s="27"/>
      <c r="G682" s="27"/>
      <c r="H682" s="27"/>
      <c r="I682" s="27"/>
      <c r="M682" s="27"/>
    </row>
    <row r="683">
      <c r="E683" s="27"/>
      <c r="F683" s="27"/>
      <c r="G683" s="27"/>
      <c r="H683" s="27"/>
      <c r="I683" s="27"/>
      <c r="M683" s="27"/>
    </row>
    <row r="684">
      <c r="E684" s="27"/>
      <c r="F684" s="27"/>
      <c r="G684" s="27"/>
      <c r="H684" s="27"/>
      <c r="I684" s="27"/>
      <c r="M684" s="27"/>
    </row>
    <row r="685">
      <c r="E685" s="27"/>
      <c r="F685" s="27"/>
      <c r="G685" s="27"/>
      <c r="H685" s="27"/>
      <c r="I685" s="27"/>
      <c r="M685" s="27"/>
    </row>
    <row r="686">
      <c r="E686" s="27"/>
      <c r="F686" s="27"/>
      <c r="G686" s="27"/>
      <c r="H686" s="27"/>
      <c r="I686" s="27"/>
      <c r="M686" s="27"/>
    </row>
    <row r="687">
      <c r="E687" s="27"/>
      <c r="F687" s="27"/>
      <c r="G687" s="27"/>
      <c r="H687" s="27"/>
      <c r="I687" s="27"/>
      <c r="M687" s="27"/>
    </row>
    <row r="688">
      <c r="E688" s="27"/>
      <c r="F688" s="27"/>
      <c r="G688" s="27"/>
      <c r="H688" s="27"/>
      <c r="I688" s="27"/>
      <c r="M688" s="27"/>
    </row>
    <row r="689">
      <c r="E689" s="27"/>
      <c r="F689" s="27"/>
      <c r="G689" s="27"/>
      <c r="H689" s="27"/>
      <c r="I689" s="27"/>
      <c r="M689" s="27"/>
    </row>
    <row r="690">
      <c r="E690" s="27"/>
      <c r="F690" s="27"/>
      <c r="G690" s="27"/>
      <c r="H690" s="27"/>
      <c r="I690" s="27"/>
      <c r="M690" s="27"/>
    </row>
    <row r="691">
      <c r="E691" s="27"/>
      <c r="F691" s="27"/>
      <c r="G691" s="27"/>
      <c r="H691" s="27"/>
      <c r="I691" s="27"/>
      <c r="M691" s="27"/>
    </row>
    <row r="692">
      <c r="E692" s="27"/>
      <c r="F692" s="27"/>
      <c r="G692" s="27"/>
      <c r="H692" s="27"/>
      <c r="I692" s="27"/>
      <c r="M692" s="27"/>
    </row>
    <row r="693">
      <c r="E693" s="27"/>
      <c r="F693" s="27"/>
      <c r="G693" s="27"/>
      <c r="H693" s="27"/>
      <c r="I693" s="27"/>
      <c r="M693" s="27"/>
    </row>
    <row r="694">
      <c r="E694" s="27"/>
      <c r="F694" s="27"/>
      <c r="G694" s="27"/>
      <c r="H694" s="27"/>
      <c r="I694" s="27"/>
      <c r="M694" s="27"/>
    </row>
    <row r="695">
      <c r="E695" s="27"/>
      <c r="F695" s="27"/>
      <c r="G695" s="27"/>
      <c r="H695" s="27"/>
      <c r="I695" s="27"/>
      <c r="M695" s="27"/>
    </row>
    <row r="696">
      <c r="E696" s="27"/>
      <c r="F696" s="27"/>
      <c r="G696" s="27"/>
      <c r="H696" s="27"/>
      <c r="I696" s="27"/>
      <c r="M696" s="27"/>
    </row>
    <row r="697">
      <c r="E697" s="27"/>
      <c r="F697" s="27"/>
      <c r="G697" s="27"/>
      <c r="H697" s="27"/>
      <c r="I697" s="27"/>
      <c r="M697" s="27"/>
    </row>
    <row r="698">
      <c r="E698" s="27"/>
      <c r="F698" s="27"/>
      <c r="G698" s="27"/>
      <c r="H698" s="27"/>
      <c r="I698" s="27"/>
      <c r="M698" s="27"/>
    </row>
    <row r="699">
      <c r="E699" s="27"/>
      <c r="F699" s="27"/>
      <c r="G699" s="27"/>
      <c r="H699" s="27"/>
      <c r="I699" s="27"/>
      <c r="M699" s="27"/>
    </row>
    <row r="700">
      <c r="E700" s="27"/>
      <c r="F700" s="27"/>
      <c r="G700" s="27"/>
      <c r="H700" s="27"/>
      <c r="I700" s="27"/>
      <c r="M700" s="27"/>
    </row>
    <row r="701">
      <c r="E701" s="27"/>
      <c r="F701" s="27"/>
      <c r="G701" s="27"/>
      <c r="H701" s="27"/>
      <c r="I701" s="27"/>
      <c r="M701" s="27"/>
    </row>
    <row r="702">
      <c r="E702" s="27"/>
      <c r="F702" s="27"/>
      <c r="G702" s="27"/>
      <c r="H702" s="27"/>
      <c r="I702" s="27"/>
      <c r="M702" s="27"/>
    </row>
    <row r="703">
      <c r="E703" s="27"/>
      <c r="F703" s="27"/>
      <c r="G703" s="27"/>
      <c r="H703" s="27"/>
      <c r="I703" s="27"/>
      <c r="M703" s="27"/>
    </row>
    <row r="704">
      <c r="E704" s="27"/>
      <c r="F704" s="27"/>
      <c r="G704" s="27"/>
      <c r="H704" s="27"/>
      <c r="I704" s="27"/>
      <c r="M704" s="27"/>
    </row>
    <row r="705">
      <c r="E705" s="27"/>
      <c r="F705" s="27"/>
      <c r="G705" s="27"/>
      <c r="H705" s="27"/>
      <c r="I705" s="27"/>
      <c r="M705" s="27"/>
    </row>
    <row r="706">
      <c r="E706" s="27"/>
      <c r="F706" s="27"/>
      <c r="G706" s="27"/>
      <c r="H706" s="27"/>
      <c r="I706" s="27"/>
      <c r="M706" s="27"/>
    </row>
    <row r="707">
      <c r="E707" s="27"/>
      <c r="F707" s="27"/>
      <c r="G707" s="27"/>
      <c r="H707" s="27"/>
      <c r="I707" s="27"/>
      <c r="M707" s="27"/>
    </row>
    <row r="708">
      <c r="E708" s="27"/>
      <c r="F708" s="27"/>
      <c r="G708" s="27"/>
      <c r="H708" s="27"/>
      <c r="I708" s="27"/>
      <c r="M708" s="27"/>
    </row>
    <row r="709">
      <c r="E709" s="27"/>
      <c r="F709" s="27"/>
      <c r="G709" s="27"/>
      <c r="H709" s="27"/>
      <c r="I709" s="27"/>
      <c r="M709" s="27"/>
    </row>
    <row r="710">
      <c r="E710" s="27"/>
      <c r="F710" s="27"/>
      <c r="G710" s="27"/>
      <c r="H710" s="27"/>
      <c r="I710" s="27"/>
      <c r="M710" s="27"/>
    </row>
    <row r="711">
      <c r="E711" s="27"/>
      <c r="F711" s="27"/>
      <c r="G711" s="27"/>
      <c r="H711" s="27"/>
      <c r="I711" s="27"/>
      <c r="M711" s="27"/>
    </row>
    <row r="712">
      <c r="E712" s="27"/>
      <c r="F712" s="27"/>
      <c r="G712" s="27"/>
      <c r="H712" s="27"/>
      <c r="I712" s="27"/>
      <c r="M712" s="27"/>
    </row>
    <row r="713">
      <c r="E713" s="27"/>
      <c r="F713" s="27"/>
      <c r="G713" s="27"/>
      <c r="H713" s="27"/>
      <c r="I713" s="27"/>
      <c r="M713" s="27"/>
    </row>
    <row r="714">
      <c r="E714" s="27"/>
      <c r="F714" s="27"/>
      <c r="G714" s="27"/>
      <c r="H714" s="27"/>
      <c r="I714" s="27"/>
      <c r="M714" s="27"/>
    </row>
    <row r="715">
      <c r="E715" s="27"/>
      <c r="F715" s="27"/>
      <c r="G715" s="27"/>
      <c r="H715" s="27"/>
      <c r="I715" s="27"/>
      <c r="M715" s="27"/>
    </row>
    <row r="716">
      <c r="E716" s="27"/>
      <c r="F716" s="27"/>
      <c r="G716" s="27"/>
      <c r="H716" s="27"/>
      <c r="I716" s="27"/>
      <c r="M716" s="27"/>
    </row>
    <row r="717">
      <c r="E717" s="27"/>
      <c r="F717" s="27"/>
      <c r="G717" s="27"/>
      <c r="H717" s="27"/>
      <c r="I717" s="27"/>
      <c r="M717" s="27"/>
    </row>
    <row r="718">
      <c r="E718" s="27"/>
      <c r="F718" s="27"/>
      <c r="G718" s="27"/>
      <c r="H718" s="27"/>
      <c r="I718" s="27"/>
      <c r="M718" s="27"/>
    </row>
    <row r="719">
      <c r="E719" s="27"/>
      <c r="F719" s="27"/>
      <c r="G719" s="27"/>
      <c r="H719" s="27"/>
      <c r="I719" s="27"/>
      <c r="M719" s="27"/>
    </row>
    <row r="720">
      <c r="E720" s="27"/>
      <c r="F720" s="27"/>
      <c r="G720" s="27"/>
      <c r="H720" s="27"/>
      <c r="I720" s="27"/>
      <c r="M720" s="27"/>
    </row>
    <row r="721">
      <c r="E721" s="27"/>
      <c r="F721" s="27"/>
      <c r="G721" s="27"/>
      <c r="H721" s="27"/>
      <c r="I721" s="27"/>
      <c r="M721" s="27"/>
    </row>
    <row r="722">
      <c r="E722" s="27"/>
      <c r="F722" s="27"/>
      <c r="G722" s="27"/>
      <c r="H722" s="27"/>
      <c r="I722" s="27"/>
      <c r="M722" s="27"/>
    </row>
    <row r="723">
      <c r="E723" s="27"/>
      <c r="F723" s="27"/>
      <c r="G723" s="27"/>
      <c r="H723" s="27"/>
      <c r="I723" s="27"/>
      <c r="M723" s="27"/>
    </row>
    <row r="724">
      <c r="E724" s="27"/>
      <c r="F724" s="27"/>
      <c r="G724" s="27"/>
      <c r="H724" s="27"/>
      <c r="I724" s="27"/>
      <c r="M724" s="27"/>
    </row>
    <row r="725">
      <c r="E725" s="27"/>
      <c r="F725" s="27"/>
      <c r="G725" s="27"/>
      <c r="H725" s="27"/>
      <c r="I725" s="27"/>
      <c r="M725" s="27"/>
    </row>
    <row r="726">
      <c r="E726" s="27"/>
      <c r="F726" s="27"/>
      <c r="G726" s="27"/>
      <c r="H726" s="27"/>
      <c r="I726" s="27"/>
      <c r="M726" s="27"/>
    </row>
    <row r="727">
      <c r="E727" s="27"/>
      <c r="F727" s="27"/>
      <c r="G727" s="27"/>
      <c r="H727" s="27"/>
      <c r="I727" s="27"/>
      <c r="M727" s="27"/>
    </row>
    <row r="728">
      <c r="E728" s="27"/>
      <c r="F728" s="27"/>
      <c r="G728" s="27"/>
      <c r="H728" s="27"/>
      <c r="I728" s="27"/>
      <c r="M728" s="27"/>
    </row>
    <row r="729">
      <c r="E729" s="27"/>
      <c r="F729" s="27"/>
      <c r="G729" s="27"/>
      <c r="H729" s="27"/>
      <c r="I729" s="27"/>
      <c r="M729" s="27"/>
    </row>
    <row r="730">
      <c r="E730" s="27"/>
      <c r="F730" s="27"/>
      <c r="G730" s="27"/>
      <c r="H730" s="27"/>
      <c r="I730" s="27"/>
      <c r="M730" s="27"/>
    </row>
    <row r="731">
      <c r="E731" s="27"/>
      <c r="F731" s="27"/>
      <c r="G731" s="27"/>
      <c r="H731" s="27"/>
      <c r="I731" s="27"/>
      <c r="M731" s="27"/>
    </row>
    <row r="732">
      <c r="E732" s="27"/>
      <c r="F732" s="27"/>
      <c r="G732" s="27"/>
      <c r="H732" s="27"/>
      <c r="I732" s="27"/>
      <c r="M732" s="27"/>
    </row>
    <row r="733">
      <c r="E733" s="27"/>
      <c r="F733" s="27"/>
      <c r="G733" s="27"/>
      <c r="H733" s="27"/>
      <c r="I733" s="27"/>
      <c r="M733" s="27"/>
    </row>
    <row r="734">
      <c r="E734" s="27"/>
      <c r="F734" s="27"/>
      <c r="G734" s="27"/>
      <c r="H734" s="27"/>
      <c r="I734" s="27"/>
      <c r="M734" s="27"/>
    </row>
    <row r="735">
      <c r="E735" s="27"/>
      <c r="F735" s="27"/>
      <c r="G735" s="27"/>
      <c r="H735" s="27"/>
      <c r="I735" s="27"/>
      <c r="M735" s="27"/>
    </row>
    <row r="736">
      <c r="E736" s="27"/>
      <c r="F736" s="27"/>
      <c r="G736" s="27"/>
      <c r="H736" s="27"/>
      <c r="I736" s="27"/>
      <c r="M736" s="27"/>
    </row>
    <row r="737">
      <c r="E737" s="27"/>
      <c r="F737" s="27"/>
      <c r="G737" s="27"/>
      <c r="H737" s="27"/>
      <c r="I737" s="27"/>
      <c r="M737" s="27"/>
    </row>
    <row r="738">
      <c r="E738" s="27"/>
      <c r="F738" s="27"/>
      <c r="G738" s="27"/>
      <c r="H738" s="27"/>
      <c r="I738" s="27"/>
      <c r="M738" s="27"/>
    </row>
    <row r="739">
      <c r="E739" s="27"/>
      <c r="F739" s="27"/>
      <c r="G739" s="27"/>
      <c r="H739" s="27"/>
      <c r="I739" s="27"/>
      <c r="M739" s="27"/>
    </row>
    <row r="740">
      <c r="E740" s="27"/>
      <c r="F740" s="27"/>
      <c r="G740" s="27"/>
      <c r="H740" s="27"/>
      <c r="I740" s="27"/>
      <c r="M740" s="27"/>
    </row>
    <row r="741">
      <c r="E741" s="27"/>
      <c r="F741" s="27"/>
      <c r="G741" s="27"/>
      <c r="H741" s="27"/>
      <c r="I741" s="27"/>
      <c r="M741" s="27"/>
    </row>
    <row r="742">
      <c r="E742" s="27"/>
      <c r="F742" s="27"/>
      <c r="G742" s="27"/>
      <c r="H742" s="27"/>
      <c r="I742" s="27"/>
      <c r="M742" s="27"/>
    </row>
    <row r="743">
      <c r="E743" s="27"/>
      <c r="F743" s="27"/>
      <c r="G743" s="27"/>
      <c r="H743" s="27"/>
      <c r="I743" s="27"/>
      <c r="M743" s="27"/>
    </row>
    <row r="744">
      <c r="E744" s="27"/>
      <c r="F744" s="27"/>
      <c r="G744" s="27"/>
      <c r="H744" s="27"/>
      <c r="I744" s="27"/>
      <c r="M744" s="27"/>
    </row>
    <row r="745">
      <c r="E745" s="27"/>
      <c r="F745" s="27"/>
      <c r="G745" s="27"/>
      <c r="H745" s="27"/>
      <c r="I745" s="27"/>
      <c r="M745" s="27"/>
    </row>
    <row r="746">
      <c r="E746" s="27"/>
      <c r="F746" s="27"/>
      <c r="G746" s="27"/>
      <c r="H746" s="27"/>
      <c r="I746" s="27"/>
      <c r="M746" s="27"/>
    </row>
    <row r="747">
      <c r="E747" s="27"/>
      <c r="F747" s="27"/>
      <c r="G747" s="27"/>
      <c r="H747" s="27"/>
      <c r="I747" s="27"/>
      <c r="M747" s="27"/>
    </row>
    <row r="748">
      <c r="E748" s="27"/>
      <c r="F748" s="27"/>
      <c r="G748" s="27"/>
      <c r="H748" s="27"/>
      <c r="I748" s="27"/>
      <c r="M748" s="27"/>
    </row>
    <row r="749">
      <c r="E749" s="27"/>
      <c r="F749" s="27"/>
      <c r="G749" s="27"/>
      <c r="H749" s="27"/>
      <c r="I749" s="27"/>
      <c r="M749" s="27"/>
    </row>
    <row r="750">
      <c r="E750" s="27"/>
      <c r="F750" s="27"/>
      <c r="G750" s="27"/>
      <c r="H750" s="27"/>
      <c r="I750" s="27"/>
      <c r="M750" s="27"/>
    </row>
    <row r="751">
      <c r="E751" s="27"/>
      <c r="F751" s="27"/>
      <c r="G751" s="27"/>
      <c r="H751" s="27"/>
      <c r="I751" s="27"/>
      <c r="M751" s="27"/>
    </row>
    <row r="752">
      <c r="E752" s="27"/>
      <c r="F752" s="27"/>
      <c r="G752" s="27"/>
      <c r="H752" s="27"/>
      <c r="I752" s="27"/>
      <c r="M752" s="27"/>
    </row>
    <row r="753">
      <c r="E753" s="27"/>
      <c r="F753" s="27"/>
      <c r="G753" s="27"/>
      <c r="H753" s="27"/>
      <c r="I753" s="27"/>
      <c r="M753" s="27"/>
    </row>
    <row r="754">
      <c r="E754" s="27"/>
      <c r="F754" s="27"/>
      <c r="G754" s="27"/>
      <c r="H754" s="27"/>
      <c r="I754" s="27"/>
      <c r="M754" s="27"/>
    </row>
    <row r="755">
      <c r="E755" s="27"/>
      <c r="F755" s="27"/>
      <c r="G755" s="27"/>
      <c r="H755" s="27"/>
      <c r="I755" s="27"/>
      <c r="M755" s="27"/>
    </row>
    <row r="756">
      <c r="E756" s="27"/>
      <c r="F756" s="27"/>
      <c r="G756" s="27"/>
      <c r="H756" s="27"/>
      <c r="I756" s="27"/>
      <c r="M756" s="27"/>
    </row>
    <row r="757">
      <c r="E757" s="27"/>
      <c r="F757" s="27"/>
      <c r="G757" s="27"/>
      <c r="H757" s="27"/>
      <c r="I757" s="27"/>
      <c r="M757" s="27"/>
    </row>
    <row r="758">
      <c r="E758" s="27"/>
      <c r="F758" s="27"/>
      <c r="G758" s="27"/>
      <c r="H758" s="27"/>
      <c r="I758" s="27"/>
      <c r="M758" s="27"/>
    </row>
    <row r="759">
      <c r="E759" s="27"/>
      <c r="F759" s="27"/>
      <c r="G759" s="27"/>
      <c r="H759" s="27"/>
      <c r="I759" s="27"/>
      <c r="M759" s="27"/>
    </row>
    <row r="760">
      <c r="E760" s="27"/>
      <c r="F760" s="27"/>
      <c r="G760" s="27"/>
      <c r="H760" s="27"/>
      <c r="I760" s="27"/>
      <c r="M760" s="27"/>
    </row>
    <row r="761">
      <c r="E761" s="27"/>
      <c r="F761" s="27"/>
      <c r="G761" s="27"/>
      <c r="H761" s="27"/>
      <c r="I761" s="27"/>
      <c r="M761" s="27"/>
    </row>
    <row r="762">
      <c r="E762" s="27"/>
      <c r="F762" s="27"/>
      <c r="G762" s="27"/>
      <c r="H762" s="27"/>
      <c r="I762" s="27"/>
      <c r="M762" s="27"/>
    </row>
    <row r="763">
      <c r="E763" s="27"/>
      <c r="F763" s="27"/>
      <c r="G763" s="27"/>
      <c r="H763" s="27"/>
      <c r="I763" s="27"/>
      <c r="M763" s="27"/>
    </row>
    <row r="764">
      <c r="E764" s="27"/>
      <c r="F764" s="27"/>
      <c r="G764" s="27"/>
      <c r="H764" s="27"/>
      <c r="I764" s="27"/>
      <c r="M764" s="27"/>
    </row>
    <row r="765">
      <c r="E765" s="27"/>
      <c r="F765" s="27"/>
      <c r="G765" s="27"/>
      <c r="H765" s="27"/>
      <c r="I765" s="27"/>
      <c r="M765" s="27"/>
    </row>
    <row r="766">
      <c r="E766" s="27"/>
      <c r="F766" s="27"/>
      <c r="G766" s="27"/>
      <c r="H766" s="27"/>
      <c r="I766" s="27"/>
      <c r="M766" s="27"/>
    </row>
    <row r="767">
      <c r="E767" s="27"/>
      <c r="F767" s="27"/>
      <c r="G767" s="27"/>
      <c r="H767" s="27"/>
      <c r="I767" s="27"/>
      <c r="M767" s="27"/>
    </row>
    <row r="768">
      <c r="E768" s="27"/>
      <c r="F768" s="27"/>
      <c r="G768" s="27"/>
      <c r="H768" s="27"/>
      <c r="I768" s="27"/>
      <c r="M768" s="27"/>
    </row>
    <row r="769">
      <c r="E769" s="27"/>
      <c r="F769" s="27"/>
      <c r="G769" s="27"/>
      <c r="H769" s="27"/>
      <c r="I769" s="27"/>
      <c r="M769" s="27"/>
    </row>
    <row r="770">
      <c r="E770" s="27"/>
      <c r="F770" s="27"/>
      <c r="G770" s="27"/>
      <c r="H770" s="27"/>
      <c r="I770" s="27"/>
      <c r="M770" s="27"/>
    </row>
    <row r="771">
      <c r="E771" s="27"/>
      <c r="F771" s="27"/>
      <c r="G771" s="27"/>
      <c r="H771" s="27"/>
      <c r="I771" s="27"/>
      <c r="M771" s="27"/>
    </row>
    <row r="772">
      <c r="E772" s="27"/>
      <c r="F772" s="27"/>
      <c r="G772" s="27"/>
      <c r="H772" s="27"/>
      <c r="I772" s="27"/>
      <c r="M772" s="27"/>
    </row>
    <row r="773">
      <c r="E773" s="27"/>
      <c r="F773" s="27"/>
      <c r="G773" s="27"/>
      <c r="H773" s="27"/>
      <c r="I773" s="27"/>
      <c r="M773" s="27"/>
    </row>
    <row r="774">
      <c r="E774" s="27"/>
      <c r="F774" s="27"/>
      <c r="G774" s="27"/>
      <c r="H774" s="27"/>
      <c r="I774" s="27"/>
      <c r="M774" s="27"/>
    </row>
    <row r="775">
      <c r="E775" s="27"/>
      <c r="F775" s="27"/>
      <c r="G775" s="27"/>
      <c r="H775" s="27"/>
      <c r="I775" s="27"/>
      <c r="M775" s="27"/>
    </row>
    <row r="776">
      <c r="E776" s="27"/>
      <c r="F776" s="27"/>
      <c r="G776" s="27"/>
      <c r="H776" s="27"/>
      <c r="I776" s="27"/>
      <c r="M776" s="27"/>
    </row>
    <row r="777">
      <c r="E777" s="27"/>
      <c r="F777" s="27"/>
      <c r="G777" s="27"/>
      <c r="H777" s="27"/>
      <c r="I777" s="27"/>
      <c r="M777" s="27"/>
    </row>
    <row r="778">
      <c r="E778" s="27"/>
      <c r="F778" s="27"/>
      <c r="G778" s="27"/>
      <c r="H778" s="27"/>
      <c r="I778" s="27"/>
      <c r="M778" s="27"/>
    </row>
    <row r="779">
      <c r="E779" s="27"/>
      <c r="F779" s="27"/>
      <c r="G779" s="27"/>
      <c r="H779" s="27"/>
      <c r="I779" s="27"/>
      <c r="M779" s="27"/>
    </row>
    <row r="780">
      <c r="E780" s="27"/>
      <c r="F780" s="27"/>
      <c r="G780" s="27"/>
      <c r="H780" s="27"/>
      <c r="I780" s="27"/>
      <c r="M780" s="27"/>
    </row>
    <row r="781">
      <c r="E781" s="27"/>
      <c r="F781" s="27"/>
      <c r="G781" s="27"/>
      <c r="H781" s="27"/>
      <c r="I781" s="27"/>
      <c r="M781" s="27"/>
    </row>
    <row r="782">
      <c r="E782" s="27"/>
      <c r="F782" s="27"/>
      <c r="G782" s="27"/>
      <c r="H782" s="27"/>
      <c r="I782" s="27"/>
      <c r="M782" s="27"/>
    </row>
    <row r="783">
      <c r="E783" s="27"/>
      <c r="F783" s="27"/>
      <c r="G783" s="27"/>
      <c r="H783" s="27"/>
      <c r="I783" s="27"/>
      <c r="M783" s="27"/>
    </row>
    <row r="784">
      <c r="E784" s="27"/>
      <c r="F784" s="27"/>
      <c r="G784" s="27"/>
      <c r="H784" s="27"/>
      <c r="I784" s="27"/>
      <c r="M784" s="27"/>
    </row>
    <row r="785">
      <c r="E785" s="27"/>
      <c r="F785" s="27"/>
      <c r="G785" s="27"/>
      <c r="H785" s="27"/>
      <c r="I785" s="27"/>
      <c r="M785" s="27"/>
    </row>
    <row r="786">
      <c r="E786" s="27"/>
      <c r="F786" s="27"/>
      <c r="G786" s="27"/>
      <c r="H786" s="27"/>
      <c r="I786" s="27"/>
      <c r="M786" s="27"/>
    </row>
    <row r="787">
      <c r="E787" s="27"/>
      <c r="F787" s="27"/>
      <c r="G787" s="27"/>
      <c r="H787" s="27"/>
      <c r="I787" s="27"/>
      <c r="M787" s="27"/>
    </row>
    <row r="788">
      <c r="E788" s="27"/>
      <c r="F788" s="27"/>
      <c r="G788" s="27"/>
      <c r="H788" s="27"/>
      <c r="I788" s="27"/>
      <c r="M788" s="27"/>
    </row>
    <row r="789">
      <c r="E789" s="27"/>
      <c r="F789" s="27"/>
      <c r="G789" s="27"/>
      <c r="H789" s="27"/>
      <c r="I789" s="27"/>
      <c r="M789" s="27"/>
    </row>
    <row r="790">
      <c r="E790" s="27"/>
      <c r="F790" s="27"/>
      <c r="G790" s="27"/>
      <c r="H790" s="27"/>
      <c r="I790" s="27"/>
      <c r="M790" s="27"/>
    </row>
    <row r="791">
      <c r="E791" s="27"/>
      <c r="F791" s="27"/>
      <c r="G791" s="27"/>
      <c r="H791" s="27"/>
      <c r="I791" s="27"/>
      <c r="M791" s="27"/>
    </row>
    <row r="792">
      <c r="E792" s="27"/>
      <c r="F792" s="27"/>
      <c r="G792" s="27"/>
      <c r="H792" s="27"/>
      <c r="I792" s="27"/>
      <c r="M792" s="27"/>
    </row>
    <row r="793">
      <c r="E793" s="27"/>
      <c r="F793" s="27"/>
      <c r="G793" s="27"/>
      <c r="H793" s="27"/>
      <c r="I793" s="27"/>
      <c r="M793" s="27"/>
    </row>
    <row r="794">
      <c r="E794" s="27"/>
      <c r="F794" s="27"/>
      <c r="G794" s="27"/>
      <c r="H794" s="27"/>
      <c r="I794" s="27"/>
      <c r="M794" s="27"/>
    </row>
    <row r="795">
      <c r="E795" s="27"/>
      <c r="F795" s="27"/>
      <c r="G795" s="27"/>
      <c r="H795" s="27"/>
      <c r="I795" s="27"/>
      <c r="M795" s="27"/>
    </row>
    <row r="796">
      <c r="E796" s="27"/>
      <c r="F796" s="27"/>
      <c r="G796" s="27"/>
      <c r="H796" s="27"/>
      <c r="I796" s="27"/>
      <c r="M796" s="27"/>
    </row>
    <row r="797">
      <c r="E797" s="27"/>
      <c r="F797" s="27"/>
      <c r="G797" s="27"/>
      <c r="H797" s="27"/>
      <c r="I797" s="27"/>
      <c r="M797" s="27"/>
    </row>
    <row r="798">
      <c r="E798" s="27"/>
      <c r="F798" s="27"/>
      <c r="G798" s="27"/>
      <c r="H798" s="27"/>
      <c r="I798" s="27"/>
      <c r="M798" s="27"/>
    </row>
    <row r="799">
      <c r="E799" s="27"/>
      <c r="F799" s="27"/>
      <c r="G799" s="27"/>
      <c r="H799" s="27"/>
      <c r="I799" s="27"/>
      <c r="M799" s="27"/>
    </row>
    <row r="800">
      <c r="E800" s="27"/>
      <c r="F800" s="27"/>
      <c r="G800" s="27"/>
      <c r="H800" s="27"/>
      <c r="I800" s="27"/>
      <c r="M800" s="27"/>
    </row>
    <row r="801">
      <c r="E801" s="27"/>
      <c r="F801" s="27"/>
      <c r="G801" s="27"/>
      <c r="H801" s="27"/>
      <c r="I801" s="27"/>
      <c r="M801" s="27"/>
    </row>
    <row r="802">
      <c r="E802" s="27"/>
      <c r="F802" s="27"/>
      <c r="G802" s="27"/>
      <c r="H802" s="27"/>
      <c r="I802" s="27"/>
      <c r="M802" s="27"/>
    </row>
    <row r="803">
      <c r="E803" s="27"/>
      <c r="F803" s="27"/>
      <c r="G803" s="27"/>
      <c r="H803" s="27"/>
      <c r="I803" s="27"/>
      <c r="M803" s="27"/>
    </row>
    <row r="804">
      <c r="E804" s="27"/>
      <c r="F804" s="27"/>
      <c r="G804" s="27"/>
      <c r="H804" s="27"/>
      <c r="I804" s="27"/>
      <c r="M804" s="27"/>
    </row>
    <row r="805">
      <c r="E805" s="27"/>
      <c r="F805" s="27"/>
      <c r="G805" s="27"/>
      <c r="H805" s="27"/>
      <c r="I805" s="27"/>
      <c r="M805" s="27"/>
    </row>
    <row r="806">
      <c r="E806" s="27"/>
      <c r="F806" s="27"/>
      <c r="G806" s="27"/>
      <c r="H806" s="27"/>
      <c r="I806" s="27"/>
      <c r="M806" s="27"/>
    </row>
    <row r="807">
      <c r="E807" s="27"/>
      <c r="F807" s="27"/>
      <c r="G807" s="27"/>
      <c r="H807" s="27"/>
      <c r="I807" s="27"/>
      <c r="M807" s="27"/>
    </row>
    <row r="808">
      <c r="E808" s="27"/>
      <c r="F808" s="27"/>
      <c r="G808" s="27"/>
      <c r="H808" s="27"/>
      <c r="I808" s="27"/>
      <c r="M808" s="27"/>
    </row>
    <row r="809">
      <c r="E809" s="27"/>
      <c r="F809" s="27"/>
      <c r="G809" s="27"/>
      <c r="H809" s="27"/>
      <c r="I809" s="27"/>
      <c r="M809" s="27"/>
    </row>
    <row r="810">
      <c r="E810" s="27"/>
      <c r="F810" s="27"/>
      <c r="G810" s="27"/>
      <c r="H810" s="27"/>
      <c r="I810" s="27"/>
      <c r="M810" s="27"/>
    </row>
    <row r="811">
      <c r="E811" s="27"/>
      <c r="F811" s="27"/>
      <c r="G811" s="27"/>
      <c r="H811" s="27"/>
      <c r="I811" s="27"/>
      <c r="M811" s="27"/>
    </row>
    <row r="812">
      <c r="E812" s="27"/>
      <c r="F812" s="27"/>
      <c r="G812" s="27"/>
      <c r="H812" s="27"/>
      <c r="I812" s="27"/>
      <c r="M812" s="27"/>
    </row>
    <row r="813">
      <c r="E813" s="27"/>
      <c r="F813" s="27"/>
      <c r="G813" s="27"/>
      <c r="H813" s="27"/>
      <c r="I813" s="27"/>
      <c r="M813" s="27"/>
    </row>
    <row r="814">
      <c r="E814" s="27"/>
      <c r="F814" s="27"/>
      <c r="G814" s="27"/>
      <c r="H814" s="27"/>
      <c r="I814" s="27"/>
      <c r="M814" s="27"/>
    </row>
    <row r="815">
      <c r="E815" s="27"/>
      <c r="F815" s="27"/>
      <c r="G815" s="27"/>
      <c r="H815" s="27"/>
      <c r="I815" s="27"/>
      <c r="M815" s="27"/>
    </row>
    <row r="816">
      <c r="E816" s="27"/>
      <c r="F816" s="27"/>
      <c r="G816" s="27"/>
      <c r="H816" s="27"/>
      <c r="I816" s="27"/>
      <c r="M816" s="27"/>
    </row>
    <row r="817">
      <c r="E817" s="27"/>
      <c r="F817" s="27"/>
      <c r="G817" s="27"/>
      <c r="H817" s="27"/>
      <c r="I817" s="27"/>
      <c r="M817" s="27"/>
    </row>
    <row r="818">
      <c r="E818" s="27"/>
      <c r="F818" s="27"/>
      <c r="G818" s="27"/>
      <c r="H818" s="27"/>
      <c r="I818" s="27"/>
      <c r="M818" s="27"/>
    </row>
    <row r="819">
      <c r="E819" s="27"/>
      <c r="F819" s="27"/>
      <c r="G819" s="27"/>
      <c r="H819" s="27"/>
      <c r="I819" s="27"/>
      <c r="M819" s="27"/>
    </row>
    <row r="820">
      <c r="E820" s="27"/>
      <c r="F820" s="27"/>
      <c r="G820" s="27"/>
      <c r="H820" s="27"/>
      <c r="I820" s="27"/>
      <c r="M820" s="27"/>
    </row>
    <row r="821">
      <c r="E821" s="27"/>
      <c r="F821" s="27"/>
      <c r="G821" s="27"/>
      <c r="H821" s="27"/>
      <c r="I821" s="27"/>
      <c r="M821" s="27"/>
    </row>
    <row r="822">
      <c r="E822" s="27"/>
      <c r="F822" s="27"/>
      <c r="G822" s="27"/>
      <c r="H822" s="27"/>
      <c r="I822" s="27"/>
      <c r="M822" s="27"/>
    </row>
    <row r="823">
      <c r="E823" s="27"/>
      <c r="F823" s="27"/>
      <c r="G823" s="27"/>
      <c r="H823" s="27"/>
      <c r="I823" s="27"/>
      <c r="M823" s="27"/>
    </row>
    <row r="824">
      <c r="E824" s="27"/>
      <c r="F824" s="27"/>
      <c r="G824" s="27"/>
      <c r="H824" s="27"/>
      <c r="I824" s="27"/>
      <c r="M824" s="27"/>
    </row>
    <row r="825">
      <c r="E825" s="27"/>
      <c r="F825" s="27"/>
      <c r="G825" s="27"/>
      <c r="H825" s="27"/>
      <c r="I825" s="27"/>
      <c r="M825" s="27"/>
    </row>
    <row r="826">
      <c r="E826" s="27"/>
      <c r="F826" s="27"/>
      <c r="G826" s="27"/>
      <c r="H826" s="27"/>
      <c r="I826" s="27"/>
      <c r="M826" s="27"/>
    </row>
    <row r="827">
      <c r="E827" s="27"/>
      <c r="F827" s="27"/>
      <c r="G827" s="27"/>
      <c r="H827" s="27"/>
      <c r="I827" s="27"/>
      <c r="M827" s="27"/>
    </row>
    <row r="828">
      <c r="E828" s="27"/>
      <c r="F828" s="27"/>
      <c r="G828" s="27"/>
      <c r="H828" s="27"/>
      <c r="I828" s="27"/>
      <c r="M828" s="27"/>
    </row>
    <row r="829">
      <c r="E829" s="27"/>
      <c r="F829" s="27"/>
      <c r="G829" s="27"/>
      <c r="H829" s="27"/>
      <c r="I829" s="27"/>
      <c r="M829" s="27"/>
    </row>
    <row r="830">
      <c r="E830" s="27"/>
      <c r="F830" s="27"/>
      <c r="G830" s="27"/>
      <c r="H830" s="27"/>
      <c r="I830" s="27"/>
      <c r="M830" s="27"/>
    </row>
    <row r="831">
      <c r="E831" s="27"/>
      <c r="F831" s="27"/>
      <c r="G831" s="27"/>
      <c r="H831" s="27"/>
      <c r="I831" s="27"/>
      <c r="M831" s="27"/>
    </row>
    <row r="832">
      <c r="E832" s="27"/>
      <c r="F832" s="27"/>
      <c r="G832" s="27"/>
      <c r="H832" s="27"/>
      <c r="I832" s="27"/>
      <c r="M832" s="27"/>
    </row>
    <row r="833">
      <c r="E833" s="27"/>
      <c r="F833" s="27"/>
      <c r="G833" s="27"/>
      <c r="H833" s="27"/>
      <c r="I833" s="27"/>
      <c r="M833" s="27"/>
    </row>
    <row r="834">
      <c r="E834" s="27"/>
      <c r="F834" s="27"/>
      <c r="G834" s="27"/>
      <c r="H834" s="27"/>
      <c r="I834" s="27"/>
      <c r="M834" s="27"/>
    </row>
    <row r="835">
      <c r="E835" s="27"/>
      <c r="F835" s="27"/>
      <c r="G835" s="27"/>
      <c r="H835" s="27"/>
      <c r="I835" s="27"/>
      <c r="M835" s="27"/>
    </row>
    <row r="836">
      <c r="E836" s="27"/>
      <c r="F836" s="27"/>
      <c r="G836" s="27"/>
      <c r="H836" s="27"/>
      <c r="I836" s="27"/>
      <c r="M836" s="27"/>
    </row>
    <row r="837">
      <c r="E837" s="27"/>
      <c r="F837" s="27"/>
      <c r="G837" s="27"/>
      <c r="H837" s="27"/>
      <c r="I837" s="27"/>
      <c r="M837" s="27"/>
    </row>
    <row r="838">
      <c r="E838" s="27"/>
      <c r="F838" s="27"/>
      <c r="G838" s="27"/>
      <c r="H838" s="27"/>
      <c r="I838" s="27"/>
      <c r="M838" s="27"/>
    </row>
    <row r="839">
      <c r="E839" s="27"/>
      <c r="F839" s="27"/>
      <c r="G839" s="27"/>
      <c r="H839" s="27"/>
      <c r="I839" s="27"/>
      <c r="M839" s="27"/>
    </row>
    <row r="840">
      <c r="E840" s="27"/>
      <c r="F840" s="27"/>
      <c r="G840" s="27"/>
      <c r="H840" s="27"/>
      <c r="I840" s="27"/>
      <c r="M840" s="27"/>
    </row>
    <row r="841">
      <c r="E841" s="27"/>
      <c r="F841" s="27"/>
      <c r="G841" s="27"/>
      <c r="H841" s="27"/>
      <c r="I841" s="27"/>
      <c r="M841" s="27"/>
    </row>
    <row r="842">
      <c r="E842" s="27"/>
      <c r="F842" s="27"/>
      <c r="G842" s="27"/>
      <c r="H842" s="27"/>
      <c r="I842" s="27"/>
      <c r="M842" s="27"/>
    </row>
    <row r="843">
      <c r="E843" s="27"/>
      <c r="F843" s="27"/>
      <c r="G843" s="27"/>
      <c r="H843" s="27"/>
      <c r="I843" s="27"/>
      <c r="M843" s="27"/>
    </row>
    <row r="844">
      <c r="E844" s="27"/>
      <c r="F844" s="27"/>
      <c r="G844" s="27"/>
      <c r="H844" s="27"/>
      <c r="I844" s="27"/>
      <c r="M844" s="27"/>
    </row>
    <row r="845">
      <c r="E845" s="27"/>
      <c r="F845" s="27"/>
      <c r="G845" s="27"/>
      <c r="H845" s="27"/>
      <c r="I845" s="27"/>
      <c r="M845" s="27"/>
    </row>
    <row r="846">
      <c r="E846" s="27"/>
      <c r="F846" s="27"/>
      <c r="G846" s="27"/>
      <c r="H846" s="27"/>
      <c r="I846" s="27"/>
      <c r="M846" s="27"/>
    </row>
    <row r="847">
      <c r="E847" s="27"/>
      <c r="F847" s="27"/>
      <c r="G847" s="27"/>
      <c r="H847" s="27"/>
      <c r="I847" s="27"/>
      <c r="M847" s="27"/>
    </row>
    <row r="848">
      <c r="E848" s="27"/>
      <c r="F848" s="27"/>
      <c r="G848" s="27"/>
      <c r="H848" s="27"/>
      <c r="I848" s="27"/>
      <c r="M848" s="27"/>
    </row>
    <row r="849">
      <c r="E849" s="27"/>
      <c r="F849" s="27"/>
      <c r="G849" s="27"/>
      <c r="H849" s="27"/>
      <c r="I849" s="27"/>
      <c r="M849" s="27"/>
    </row>
    <row r="850">
      <c r="E850" s="27"/>
      <c r="F850" s="27"/>
      <c r="G850" s="27"/>
      <c r="H850" s="27"/>
      <c r="I850" s="27"/>
      <c r="M850" s="27"/>
    </row>
    <row r="851">
      <c r="E851" s="27"/>
      <c r="F851" s="27"/>
      <c r="G851" s="27"/>
      <c r="H851" s="27"/>
      <c r="I851" s="27"/>
      <c r="M851" s="27"/>
    </row>
    <row r="852">
      <c r="E852" s="27"/>
      <c r="F852" s="27"/>
      <c r="G852" s="27"/>
      <c r="H852" s="27"/>
      <c r="I852" s="27"/>
      <c r="M852" s="27"/>
    </row>
    <row r="853">
      <c r="E853" s="27"/>
      <c r="F853" s="27"/>
      <c r="G853" s="27"/>
      <c r="H853" s="27"/>
      <c r="I853" s="27"/>
      <c r="M853" s="27"/>
    </row>
    <row r="854">
      <c r="E854" s="27"/>
      <c r="F854" s="27"/>
      <c r="G854" s="27"/>
      <c r="H854" s="27"/>
      <c r="I854" s="27"/>
      <c r="M854" s="27"/>
    </row>
    <row r="855">
      <c r="E855" s="27"/>
      <c r="F855" s="27"/>
      <c r="G855" s="27"/>
      <c r="H855" s="27"/>
      <c r="I855" s="27"/>
      <c r="M855" s="27"/>
    </row>
    <row r="856">
      <c r="E856" s="27"/>
      <c r="F856" s="27"/>
      <c r="G856" s="27"/>
      <c r="H856" s="27"/>
      <c r="I856" s="27"/>
      <c r="M856" s="27"/>
    </row>
    <row r="857">
      <c r="E857" s="27"/>
      <c r="F857" s="27"/>
      <c r="G857" s="27"/>
      <c r="H857" s="27"/>
      <c r="I857" s="27"/>
      <c r="M857" s="27"/>
    </row>
    <row r="858">
      <c r="E858" s="27"/>
      <c r="F858" s="27"/>
      <c r="G858" s="27"/>
      <c r="H858" s="27"/>
      <c r="I858" s="27"/>
      <c r="M858" s="27"/>
    </row>
    <row r="859">
      <c r="E859" s="27"/>
      <c r="F859" s="27"/>
      <c r="G859" s="27"/>
      <c r="H859" s="27"/>
      <c r="I859" s="27"/>
      <c r="M859" s="27"/>
    </row>
    <row r="860">
      <c r="E860" s="27"/>
      <c r="F860" s="27"/>
      <c r="G860" s="27"/>
      <c r="H860" s="27"/>
      <c r="I860" s="27"/>
      <c r="M860" s="27"/>
    </row>
    <row r="861">
      <c r="E861" s="27"/>
      <c r="F861" s="27"/>
      <c r="G861" s="27"/>
      <c r="H861" s="27"/>
      <c r="I861" s="27"/>
      <c r="M861" s="27"/>
    </row>
    <row r="862">
      <c r="E862" s="27"/>
      <c r="F862" s="27"/>
      <c r="G862" s="27"/>
      <c r="H862" s="27"/>
      <c r="I862" s="27"/>
      <c r="M862" s="27"/>
    </row>
    <row r="863">
      <c r="E863" s="27"/>
      <c r="F863" s="27"/>
      <c r="G863" s="27"/>
      <c r="H863" s="27"/>
      <c r="I863" s="27"/>
      <c r="M863" s="27"/>
    </row>
    <row r="864">
      <c r="E864" s="27"/>
      <c r="F864" s="27"/>
      <c r="G864" s="27"/>
      <c r="H864" s="27"/>
      <c r="I864" s="27"/>
      <c r="M864" s="27"/>
    </row>
    <row r="865">
      <c r="E865" s="27"/>
      <c r="F865" s="27"/>
      <c r="G865" s="27"/>
      <c r="H865" s="27"/>
      <c r="I865" s="27"/>
      <c r="M865" s="27"/>
    </row>
    <row r="866">
      <c r="E866" s="27"/>
      <c r="F866" s="27"/>
      <c r="G866" s="27"/>
      <c r="H866" s="27"/>
      <c r="I866" s="27"/>
      <c r="M866" s="27"/>
    </row>
    <row r="867">
      <c r="E867" s="27"/>
      <c r="F867" s="27"/>
      <c r="G867" s="27"/>
      <c r="H867" s="27"/>
      <c r="I867" s="27"/>
      <c r="M867" s="27"/>
    </row>
    <row r="868">
      <c r="E868" s="27"/>
      <c r="F868" s="27"/>
      <c r="G868" s="27"/>
      <c r="H868" s="27"/>
      <c r="I868" s="27"/>
      <c r="M868" s="27"/>
    </row>
    <row r="869">
      <c r="E869" s="27"/>
      <c r="F869" s="27"/>
      <c r="G869" s="27"/>
      <c r="H869" s="27"/>
      <c r="I869" s="27"/>
      <c r="M869" s="27"/>
    </row>
    <row r="870">
      <c r="E870" s="27"/>
      <c r="F870" s="27"/>
      <c r="G870" s="27"/>
      <c r="H870" s="27"/>
      <c r="I870" s="27"/>
      <c r="M870" s="27"/>
    </row>
    <row r="871">
      <c r="E871" s="27"/>
      <c r="F871" s="27"/>
      <c r="G871" s="27"/>
      <c r="H871" s="27"/>
      <c r="I871" s="27"/>
      <c r="M871" s="27"/>
    </row>
    <row r="872">
      <c r="E872" s="27"/>
      <c r="F872" s="27"/>
      <c r="G872" s="27"/>
      <c r="H872" s="27"/>
      <c r="I872" s="27"/>
      <c r="M872" s="27"/>
    </row>
    <row r="873">
      <c r="E873" s="27"/>
      <c r="F873" s="27"/>
      <c r="G873" s="27"/>
      <c r="H873" s="27"/>
      <c r="I873" s="27"/>
      <c r="M873" s="27"/>
    </row>
    <row r="874">
      <c r="E874" s="27"/>
      <c r="F874" s="27"/>
      <c r="G874" s="27"/>
      <c r="H874" s="27"/>
      <c r="I874" s="27"/>
      <c r="M874" s="27"/>
    </row>
    <row r="875">
      <c r="E875" s="27"/>
      <c r="F875" s="27"/>
      <c r="G875" s="27"/>
      <c r="H875" s="27"/>
      <c r="I875" s="27"/>
      <c r="M875" s="27"/>
    </row>
    <row r="876">
      <c r="E876" s="27"/>
      <c r="F876" s="27"/>
      <c r="G876" s="27"/>
      <c r="H876" s="27"/>
      <c r="I876" s="27"/>
      <c r="M876" s="27"/>
    </row>
    <row r="877">
      <c r="E877" s="27"/>
      <c r="F877" s="27"/>
      <c r="G877" s="27"/>
      <c r="H877" s="27"/>
      <c r="I877" s="27"/>
      <c r="M877" s="27"/>
    </row>
    <row r="878">
      <c r="E878" s="27"/>
      <c r="F878" s="27"/>
      <c r="G878" s="27"/>
      <c r="H878" s="27"/>
      <c r="I878" s="27"/>
      <c r="M878" s="27"/>
    </row>
    <row r="879">
      <c r="E879" s="27"/>
      <c r="F879" s="27"/>
      <c r="G879" s="27"/>
      <c r="H879" s="27"/>
      <c r="I879" s="27"/>
      <c r="M879" s="27"/>
    </row>
    <row r="880">
      <c r="E880" s="27"/>
      <c r="F880" s="27"/>
      <c r="G880" s="27"/>
      <c r="H880" s="27"/>
      <c r="I880" s="27"/>
      <c r="M880" s="27"/>
    </row>
    <row r="881">
      <c r="E881" s="27"/>
      <c r="F881" s="27"/>
      <c r="G881" s="27"/>
      <c r="H881" s="27"/>
      <c r="I881" s="27"/>
      <c r="M881" s="27"/>
    </row>
    <row r="882">
      <c r="E882" s="27"/>
      <c r="F882" s="27"/>
      <c r="G882" s="27"/>
      <c r="H882" s="27"/>
      <c r="I882" s="27"/>
      <c r="M882" s="27"/>
    </row>
    <row r="883">
      <c r="E883" s="27"/>
      <c r="F883" s="27"/>
      <c r="G883" s="27"/>
      <c r="H883" s="27"/>
      <c r="I883" s="27"/>
      <c r="M883" s="27"/>
    </row>
    <row r="884">
      <c r="E884" s="27"/>
      <c r="F884" s="27"/>
      <c r="G884" s="27"/>
      <c r="H884" s="27"/>
      <c r="I884" s="27"/>
      <c r="M884" s="27"/>
    </row>
    <row r="885">
      <c r="E885" s="27"/>
      <c r="F885" s="27"/>
      <c r="G885" s="27"/>
      <c r="H885" s="27"/>
      <c r="I885" s="27"/>
      <c r="M885" s="27"/>
    </row>
    <row r="886">
      <c r="E886" s="27"/>
      <c r="F886" s="27"/>
      <c r="G886" s="27"/>
      <c r="H886" s="27"/>
      <c r="I886" s="27"/>
      <c r="M886" s="27"/>
    </row>
    <row r="887">
      <c r="E887" s="27"/>
      <c r="F887" s="27"/>
      <c r="G887" s="27"/>
      <c r="H887" s="27"/>
      <c r="I887" s="27"/>
      <c r="M887" s="27"/>
    </row>
    <row r="888">
      <c r="E888" s="27"/>
      <c r="F888" s="27"/>
      <c r="G888" s="27"/>
      <c r="H888" s="27"/>
      <c r="I888" s="27"/>
      <c r="M888" s="27"/>
    </row>
    <row r="889">
      <c r="E889" s="27"/>
      <c r="F889" s="27"/>
      <c r="G889" s="27"/>
      <c r="H889" s="27"/>
      <c r="I889" s="27"/>
      <c r="M889" s="27"/>
    </row>
    <row r="890">
      <c r="E890" s="27"/>
      <c r="F890" s="27"/>
      <c r="G890" s="27"/>
      <c r="H890" s="27"/>
      <c r="I890" s="27"/>
      <c r="M890" s="27"/>
    </row>
    <row r="891">
      <c r="E891" s="27"/>
      <c r="F891" s="27"/>
      <c r="G891" s="27"/>
      <c r="H891" s="27"/>
      <c r="I891" s="27"/>
      <c r="M891" s="27"/>
    </row>
    <row r="892">
      <c r="E892" s="27"/>
      <c r="F892" s="27"/>
      <c r="G892" s="27"/>
      <c r="H892" s="27"/>
      <c r="I892" s="27"/>
      <c r="M892" s="27"/>
    </row>
    <row r="893">
      <c r="E893" s="27"/>
      <c r="F893" s="27"/>
      <c r="G893" s="27"/>
      <c r="H893" s="27"/>
      <c r="I893" s="27"/>
      <c r="M893" s="27"/>
    </row>
    <row r="894">
      <c r="E894" s="27"/>
      <c r="F894" s="27"/>
      <c r="G894" s="27"/>
      <c r="H894" s="27"/>
      <c r="I894" s="27"/>
      <c r="M894" s="27"/>
    </row>
    <row r="895">
      <c r="E895" s="27"/>
      <c r="F895" s="27"/>
      <c r="G895" s="27"/>
      <c r="H895" s="27"/>
      <c r="I895" s="27"/>
      <c r="M895" s="27"/>
    </row>
    <row r="896">
      <c r="E896" s="27"/>
      <c r="F896" s="27"/>
      <c r="G896" s="27"/>
      <c r="H896" s="27"/>
      <c r="I896" s="27"/>
      <c r="M896" s="27"/>
    </row>
    <row r="897">
      <c r="E897" s="27"/>
      <c r="F897" s="27"/>
      <c r="G897" s="27"/>
      <c r="H897" s="27"/>
      <c r="I897" s="27"/>
      <c r="M897" s="27"/>
    </row>
    <row r="898">
      <c r="E898" s="27"/>
      <c r="F898" s="27"/>
      <c r="G898" s="27"/>
      <c r="H898" s="27"/>
      <c r="I898" s="27"/>
      <c r="M898" s="27"/>
    </row>
    <row r="899">
      <c r="E899" s="27"/>
      <c r="F899" s="27"/>
      <c r="G899" s="27"/>
      <c r="H899" s="27"/>
      <c r="I899" s="27"/>
      <c r="M899" s="27"/>
    </row>
    <row r="900">
      <c r="E900" s="27"/>
      <c r="F900" s="27"/>
      <c r="G900" s="27"/>
      <c r="H900" s="27"/>
      <c r="I900" s="27"/>
      <c r="M900" s="27"/>
    </row>
    <row r="901">
      <c r="E901" s="27"/>
      <c r="F901" s="27"/>
      <c r="G901" s="27"/>
      <c r="H901" s="27"/>
      <c r="I901" s="27"/>
      <c r="M901" s="27"/>
    </row>
    <row r="902">
      <c r="E902" s="27"/>
      <c r="F902" s="27"/>
      <c r="G902" s="27"/>
      <c r="H902" s="27"/>
      <c r="I902" s="27"/>
      <c r="M902" s="27"/>
    </row>
    <row r="903">
      <c r="E903" s="27"/>
      <c r="F903" s="27"/>
      <c r="G903" s="27"/>
      <c r="H903" s="27"/>
      <c r="I903" s="27"/>
      <c r="M903" s="27"/>
    </row>
    <row r="904">
      <c r="E904" s="27"/>
      <c r="F904" s="27"/>
      <c r="G904" s="27"/>
      <c r="H904" s="27"/>
      <c r="I904" s="27"/>
      <c r="M904" s="27"/>
    </row>
    <row r="905">
      <c r="E905" s="27"/>
      <c r="F905" s="27"/>
      <c r="G905" s="27"/>
      <c r="H905" s="27"/>
      <c r="I905" s="27"/>
      <c r="M905" s="27"/>
    </row>
    <row r="906">
      <c r="E906" s="27"/>
      <c r="F906" s="27"/>
      <c r="G906" s="27"/>
      <c r="H906" s="27"/>
      <c r="I906" s="27"/>
      <c r="M906" s="27"/>
    </row>
    <row r="907">
      <c r="E907" s="27"/>
      <c r="F907" s="27"/>
      <c r="G907" s="27"/>
      <c r="H907" s="27"/>
      <c r="I907" s="27"/>
      <c r="M907" s="27"/>
    </row>
    <row r="908">
      <c r="E908" s="27"/>
      <c r="F908" s="27"/>
      <c r="G908" s="27"/>
      <c r="H908" s="27"/>
      <c r="I908" s="27"/>
      <c r="M908" s="27"/>
    </row>
    <row r="909">
      <c r="E909" s="27"/>
      <c r="F909" s="27"/>
      <c r="G909" s="27"/>
      <c r="H909" s="27"/>
      <c r="I909" s="27"/>
      <c r="M909" s="27"/>
    </row>
    <row r="910">
      <c r="E910" s="27"/>
      <c r="F910" s="27"/>
      <c r="G910" s="27"/>
      <c r="H910" s="27"/>
      <c r="I910" s="27"/>
      <c r="M910" s="27"/>
    </row>
    <row r="911">
      <c r="E911" s="27"/>
      <c r="F911" s="27"/>
      <c r="G911" s="27"/>
      <c r="H911" s="27"/>
      <c r="I911" s="27"/>
      <c r="M911" s="27"/>
    </row>
    <row r="912">
      <c r="E912" s="27"/>
      <c r="F912" s="27"/>
      <c r="G912" s="27"/>
      <c r="H912" s="27"/>
      <c r="I912" s="27"/>
      <c r="M912" s="27"/>
    </row>
    <row r="913">
      <c r="E913" s="27"/>
      <c r="F913" s="27"/>
      <c r="G913" s="27"/>
      <c r="H913" s="27"/>
      <c r="I913" s="27"/>
      <c r="M913" s="27"/>
    </row>
    <row r="914">
      <c r="E914" s="27"/>
      <c r="F914" s="27"/>
      <c r="G914" s="27"/>
      <c r="H914" s="27"/>
      <c r="I914" s="27"/>
      <c r="M914" s="27"/>
    </row>
    <row r="915">
      <c r="E915" s="27"/>
      <c r="F915" s="27"/>
      <c r="G915" s="27"/>
      <c r="H915" s="27"/>
      <c r="I915" s="27"/>
      <c r="M915" s="27"/>
    </row>
    <row r="916">
      <c r="E916" s="27"/>
      <c r="F916" s="27"/>
      <c r="G916" s="27"/>
      <c r="H916" s="27"/>
      <c r="I916" s="27"/>
      <c r="M916" s="27"/>
    </row>
    <row r="917">
      <c r="E917" s="27"/>
      <c r="F917" s="27"/>
      <c r="G917" s="27"/>
      <c r="H917" s="27"/>
      <c r="I917" s="27"/>
      <c r="M917" s="27"/>
    </row>
    <row r="918">
      <c r="E918" s="27"/>
      <c r="F918" s="27"/>
      <c r="G918" s="27"/>
      <c r="H918" s="27"/>
      <c r="I918" s="27"/>
      <c r="M918" s="27"/>
    </row>
    <row r="919">
      <c r="E919" s="27"/>
      <c r="F919" s="27"/>
      <c r="G919" s="27"/>
      <c r="H919" s="27"/>
      <c r="I919" s="27"/>
      <c r="M919" s="27"/>
    </row>
    <row r="920">
      <c r="E920" s="27"/>
      <c r="F920" s="27"/>
      <c r="G920" s="27"/>
      <c r="H920" s="27"/>
      <c r="I920" s="27"/>
      <c r="M920" s="27"/>
    </row>
    <row r="921">
      <c r="E921" s="27"/>
      <c r="F921" s="27"/>
      <c r="G921" s="27"/>
      <c r="H921" s="27"/>
      <c r="I921" s="27"/>
      <c r="M921" s="27"/>
    </row>
    <row r="922">
      <c r="E922" s="27"/>
      <c r="F922" s="27"/>
      <c r="G922" s="27"/>
      <c r="H922" s="27"/>
      <c r="I922" s="27"/>
      <c r="M922" s="27"/>
    </row>
    <row r="923">
      <c r="E923" s="27"/>
      <c r="F923" s="27"/>
      <c r="G923" s="27"/>
      <c r="H923" s="27"/>
      <c r="I923" s="27"/>
      <c r="M923" s="27"/>
    </row>
    <row r="924">
      <c r="E924" s="27"/>
      <c r="F924" s="27"/>
      <c r="G924" s="27"/>
      <c r="H924" s="27"/>
      <c r="I924" s="27"/>
      <c r="M924" s="27"/>
    </row>
    <row r="925">
      <c r="E925" s="27"/>
      <c r="F925" s="27"/>
      <c r="G925" s="27"/>
      <c r="H925" s="27"/>
      <c r="I925" s="27"/>
      <c r="M925" s="27"/>
    </row>
    <row r="926">
      <c r="E926" s="27"/>
      <c r="F926" s="27"/>
      <c r="G926" s="27"/>
      <c r="H926" s="27"/>
      <c r="I926" s="27"/>
      <c r="M926" s="27"/>
    </row>
    <row r="927">
      <c r="E927" s="27"/>
      <c r="F927" s="27"/>
      <c r="G927" s="27"/>
      <c r="H927" s="27"/>
      <c r="I927" s="27"/>
      <c r="M927" s="27"/>
    </row>
    <row r="928">
      <c r="E928" s="27"/>
      <c r="F928" s="27"/>
      <c r="G928" s="27"/>
      <c r="H928" s="27"/>
      <c r="I928" s="27"/>
      <c r="M928" s="27"/>
    </row>
    <row r="929">
      <c r="E929" s="27"/>
      <c r="F929" s="27"/>
      <c r="G929" s="27"/>
      <c r="H929" s="27"/>
      <c r="I929" s="27"/>
      <c r="M929" s="27"/>
    </row>
    <row r="930">
      <c r="E930" s="27"/>
      <c r="F930" s="27"/>
      <c r="G930" s="27"/>
      <c r="H930" s="27"/>
      <c r="I930" s="27"/>
      <c r="M930" s="27"/>
    </row>
    <row r="931">
      <c r="E931" s="27"/>
      <c r="F931" s="27"/>
      <c r="G931" s="27"/>
      <c r="H931" s="27"/>
      <c r="I931" s="27"/>
      <c r="M931" s="27"/>
    </row>
    <row r="932">
      <c r="E932" s="27"/>
      <c r="F932" s="27"/>
      <c r="G932" s="27"/>
      <c r="H932" s="27"/>
      <c r="I932" s="27"/>
      <c r="M932" s="27"/>
    </row>
    <row r="933">
      <c r="E933" s="27"/>
      <c r="F933" s="27"/>
      <c r="G933" s="27"/>
      <c r="H933" s="27"/>
      <c r="I933" s="27"/>
      <c r="M933" s="27"/>
    </row>
    <row r="934">
      <c r="E934" s="27"/>
      <c r="F934" s="27"/>
      <c r="G934" s="27"/>
      <c r="H934" s="27"/>
      <c r="I934" s="27"/>
      <c r="M934" s="27"/>
    </row>
    <row r="935">
      <c r="E935" s="27"/>
      <c r="F935" s="27"/>
      <c r="G935" s="27"/>
      <c r="H935" s="27"/>
      <c r="I935" s="27"/>
      <c r="M935" s="27"/>
    </row>
    <row r="936">
      <c r="E936" s="27"/>
      <c r="F936" s="27"/>
      <c r="G936" s="27"/>
      <c r="H936" s="27"/>
      <c r="I936" s="27"/>
      <c r="M936" s="27"/>
    </row>
    <row r="937">
      <c r="E937" s="27"/>
      <c r="F937" s="27"/>
      <c r="G937" s="27"/>
      <c r="H937" s="27"/>
      <c r="I937" s="27"/>
      <c r="M937" s="27"/>
    </row>
    <row r="938">
      <c r="E938" s="27"/>
      <c r="F938" s="27"/>
      <c r="G938" s="27"/>
      <c r="H938" s="27"/>
      <c r="I938" s="27"/>
      <c r="M938" s="27"/>
    </row>
    <row r="939">
      <c r="E939" s="27"/>
      <c r="F939" s="27"/>
      <c r="G939" s="27"/>
      <c r="H939" s="27"/>
      <c r="I939" s="27"/>
      <c r="M939" s="27"/>
    </row>
    <row r="940">
      <c r="E940" s="27"/>
      <c r="F940" s="27"/>
      <c r="G940" s="27"/>
      <c r="H940" s="27"/>
      <c r="I940" s="27"/>
      <c r="M940" s="27"/>
    </row>
    <row r="941">
      <c r="E941" s="27"/>
      <c r="F941" s="27"/>
      <c r="G941" s="27"/>
      <c r="H941" s="27"/>
      <c r="I941" s="27"/>
      <c r="M941" s="27"/>
    </row>
    <row r="942">
      <c r="E942" s="27"/>
      <c r="F942" s="27"/>
      <c r="G942" s="27"/>
      <c r="H942" s="27"/>
      <c r="I942" s="27"/>
      <c r="M942" s="27"/>
    </row>
    <row r="943">
      <c r="E943" s="27"/>
      <c r="F943" s="27"/>
      <c r="G943" s="27"/>
      <c r="H943" s="27"/>
      <c r="I943" s="27"/>
      <c r="M943" s="27"/>
    </row>
    <row r="944">
      <c r="E944" s="27"/>
      <c r="F944" s="27"/>
      <c r="G944" s="27"/>
      <c r="H944" s="27"/>
      <c r="I944" s="27"/>
      <c r="M944" s="27"/>
    </row>
    <row r="945">
      <c r="E945" s="27"/>
      <c r="F945" s="27"/>
      <c r="G945" s="27"/>
      <c r="H945" s="27"/>
      <c r="I945" s="27"/>
      <c r="M945" s="27"/>
    </row>
    <row r="946">
      <c r="E946" s="27"/>
      <c r="F946" s="27"/>
      <c r="G946" s="27"/>
      <c r="H946" s="27"/>
      <c r="I946" s="27"/>
      <c r="M946" s="27"/>
    </row>
    <row r="947">
      <c r="E947" s="27"/>
      <c r="F947" s="27"/>
      <c r="G947" s="27"/>
      <c r="H947" s="27"/>
      <c r="I947" s="27"/>
      <c r="M947" s="27"/>
    </row>
    <row r="948">
      <c r="E948" s="27"/>
      <c r="F948" s="27"/>
      <c r="G948" s="27"/>
      <c r="H948" s="27"/>
      <c r="I948" s="27"/>
      <c r="M948" s="27"/>
    </row>
    <row r="949">
      <c r="E949" s="27"/>
      <c r="F949" s="27"/>
      <c r="G949" s="27"/>
      <c r="H949" s="27"/>
      <c r="I949" s="27"/>
      <c r="M949" s="27"/>
    </row>
    <row r="950">
      <c r="E950" s="27"/>
      <c r="F950" s="27"/>
      <c r="G950" s="27"/>
      <c r="H950" s="27"/>
      <c r="I950" s="27"/>
      <c r="M950" s="27"/>
    </row>
    <row r="951">
      <c r="E951" s="27"/>
      <c r="F951" s="27"/>
      <c r="G951" s="27"/>
      <c r="H951" s="27"/>
      <c r="I951" s="27"/>
      <c r="M951" s="27"/>
    </row>
    <row r="952">
      <c r="E952" s="27"/>
      <c r="F952" s="27"/>
      <c r="G952" s="27"/>
      <c r="H952" s="27"/>
      <c r="I952" s="27"/>
      <c r="M952" s="27"/>
    </row>
    <row r="953">
      <c r="E953" s="27"/>
      <c r="F953" s="27"/>
      <c r="G953" s="27"/>
      <c r="H953" s="27"/>
      <c r="I953" s="27"/>
      <c r="M953" s="27"/>
    </row>
    <row r="954">
      <c r="E954" s="27"/>
      <c r="F954" s="27"/>
      <c r="G954" s="27"/>
      <c r="H954" s="27"/>
      <c r="I954" s="27"/>
      <c r="M954" s="27"/>
    </row>
    <row r="955">
      <c r="E955" s="27"/>
      <c r="F955" s="27"/>
      <c r="G955" s="27"/>
      <c r="H955" s="27"/>
      <c r="I955" s="27"/>
      <c r="M955" s="27"/>
    </row>
    <row r="956">
      <c r="E956" s="27"/>
      <c r="F956" s="27"/>
      <c r="G956" s="27"/>
      <c r="H956" s="27"/>
      <c r="I956" s="27"/>
      <c r="M956" s="27"/>
    </row>
    <row r="957">
      <c r="E957" s="27"/>
      <c r="F957" s="27"/>
      <c r="G957" s="27"/>
      <c r="H957" s="27"/>
      <c r="I957" s="27"/>
      <c r="M957" s="27"/>
    </row>
    <row r="958">
      <c r="E958" s="27"/>
      <c r="F958" s="27"/>
      <c r="G958" s="27"/>
      <c r="H958" s="27"/>
      <c r="I958" s="27"/>
      <c r="M958" s="27"/>
    </row>
    <row r="959">
      <c r="E959" s="27"/>
      <c r="F959" s="27"/>
      <c r="G959" s="27"/>
      <c r="H959" s="27"/>
      <c r="I959" s="27"/>
      <c r="M959" s="27"/>
    </row>
    <row r="960">
      <c r="E960" s="27"/>
      <c r="F960" s="27"/>
      <c r="G960" s="27"/>
      <c r="H960" s="27"/>
      <c r="I960" s="27"/>
      <c r="M960" s="27"/>
    </row>
    <row r="961">
      <c r="E961" s="27"/>
      <c r="F961" s="27"/>
      <c r="G961" s="27"/>
      <c r="H961" s="27"/>
      <c r="I961" s="27"/>
      <c r="M961" s="27"/>
    </row>
    <row r="962">
      <c r="E962" s="27"/>
      <c r="F962" s="27"/>
      <c r="G962" s="27"/>
      <c r="H962" s="27"/>
      <c r="I962" s="27"/>
      <c r="M962" s="27"/>
    </row>
    <row r="963">
      <c r="E963" s="27"/>
      <c r="F963" s="27"/>
      <c r="G963" s="27"/>
      <c r="H963" s="27"/>
      <c r="I963" s="27"/>
      <c r="M963" s="27"/>
    </row>
    <row r="964">
      <c r="E964" s="27"/>
      <c r="F964" s="27"/>
      <c r="G964" s="27"/>
      <c r="H964" s="27"/>
      <c r="I964" s="27"/>
      <c r="M964" s="27"/>
    </row>
    <row r="965">
      <c r="E965" s="27"/>
      <c r="F965" s="27"/>
      <c r="G965" s="27"/>
      <c r="H965" s="27"/>
      <c r="I965" s="27"/>
      <c r="M965" s="27"/>
    </row>
    <row r="966">
      <c r="E966" s="27"/>
      <c r="F966" s="27"/>
      <c r="G966" s="27"/>
      <c r="H966" s="27"/>
      <c r="I966" s="27"/>
      <c r="M966" s="27"/>
    </row>
    <row r="967">
      <c r="E967" s="27"/>
      <c r="F967" s="27"/>
      <c r="G967" s="27"/>
      <c r="H967" s="27"/>
      <c r="I967" s="27"/>
      <c r="M967" s="27"/>
    </row>
    <row r="968">
      <c r="E968" s="27"/>
      <c r="F968" s="27"/>
      <c r="G968" s="27"/>
      <c r="H968" s="27"/>
      <c r="I968" s="27"/>
      <c r="M968" s="27"/>
    </row>
    <row r="969">
      <c r="E969" s="27"/>
      <c r="F969" s="27"/>
      <c r="G969" s="27"/>
      <c r="H969" s="27"/>
      <c r="I969" s="27"/>
      <c r="M969" s="27"/>
    </row>
    <row r="970">
      <c r="E970" s="27"/>
      <c r="F970" s="27"/>
      <c r="G970" s="27"/>
      <c r="H970" s="27"/>
      <c r="I970" s="27"/>
      <c r="M970" s="27"/>
    </row>
    <row r="971">
      <c r="E971" s="27"/>
      <c r="F971" s="27"/>
      <c r="G971" s="27"/>
      <c r="H971" s="27"/>
      <c r="I971" s="27"/>
      <c r="M971" s="27"/>
    </row>
    <row r="972">
      <c r="E972" s="27"/>
      <c r="F972" s="27"/>
      <c r="G972" s="27"/>
      <c r="H972" s="27"/>
      <c r="I972" s="27"/>
      <c r="M972" s="27"/>
    </row>
    <row r="973">
      <c r="E973" s="27"/>
      <c r="F973" s="27"/>
      <c r="G973" s="27"/>
      <c r="H973" s="27"/>
      <c r="I973" s="27"/>
      <c r="M973" s="27"/>
    </row>
    <row r="974">
      <c r="E974" s="27"/>
      <c r="F974" s="27"/>
      <c r="G974" s="27"/>
      <c r="H974" s="27"/>
      <c r="I974" s="27"/>
      <c r="M974" s="27"/>
    </row>
    <row r="975">
      <c r="E975" s="27"/>
      <c r="F975" s="27"/>
      <c r="G975" s="27"/>
      <c r="H975" s="27"/>
      <c r="I975" s="27"/>
      <c r="M975" s="27"/>
    </row>
    <row r="976">
      <c r="E976" s="27"/>
      <c r="F976" s="27"/>
      <c r="G976" s="27"/>
      <c r="H976" s="27"/>
      <c r="I976" s="27"/>
      <c r="M976" s="27"/>
    </row>
    <row r="977">
      <c r="E977" s="27"/>
      <c r="F977" s="27"/>
      <c r="G977" s="27"/>
      <c r="H977" s="27"/>
      <c r="I977" s="27"/>
      <c r="M977" s="27"/>
    </row>
    <row r="978">
      <c r="E978" s="27"/>
      <c r="F978" s="27"/>
      <c r="G978" s="27"/>
      <c r="H978" s="27"/>
      <c r="I978" s="27"/>
      <c r="M978" s="27"/>
    </row>
    <row r="979">
      <c r="E979" s="27"/>
      <c r="F979" s="27"/>
      <c r="G979" s="27"/>
      <c r="H979" s="27"/>
      <c r="I979" s="27"/>
      <c r="M979" s="27"/>
    </row>
    <row r="980">
      <c r="E980" s="27"/>
      <c r="F980" s="27"/>
      <c r="G980" s="27"/>
      <c r="H980" s="27"/>
      <c r="I980" s="27"/>
      <c r="M980" s="27"/>
    </row>
    <row r="981">
      <c r="E981" s="27"/>
      <c r="F981" s="27"/>
      <c r="G981" s="27"/>
      <c r="H981" s="27"/>
      <c r="I981" s="27"/>
      <c r="M981" s="27"/>
    </row>
    <row r="982">
      <c r="E982" s="27"/>
      <c r="F982" s="27"/>
      <c r="G982" s="27"/>
      <c r="H982" s="27"/>
      <c r="I982" s="27"/>
      <c r="M982" s="27"/>
    </row>
    <row r="983">
      <c r="E983" s="27"/>
      <c r="F983" s="27"/>
      <c r="G983" s="27"/>
      <c r="H983" s="27"/>
      <c r="I983" s="27"/>
      <c r="M983" s="27"/>
    </row>
    <row r="984">
      <c r="E984" s="27"/>
      <c r="F984" s="27"/>
      <c r="G984" s="27"/>
      <c r="H984" s="27"/>
      <c r="I984" s="27"/>
      <c r="M984" s="27"/>
    </row>
    <row r="985">
      <c r="E985" s="27"/>
      <c r="F985" s="27"/>
      <c r="G985" s="27"/>
      <c r="H985" s="27"/>
      <c r="I985" s="27"/>
      <c r="M985" s="27"/>
    </row>
    <row r="986">
      <c r="E986" s="27"/>
      <c r="F986" s="27"/>
      <c r="G986" s="27"/>
      <c r="H986" s="27"/>
      <c r="I986" s="27"/>
      <c r="M986" s="27"/>
    </row>
    <row r="987">
      <c r="E987" s="27"/>
      <c r="F987" s="27"/>
      <c r="G987" s="27"/>
      <c r="H987" s="27"/>
      <c r="I987" s="27"/>
      <c r="M987" s="27"/>
    </row>
    <row r="988">
      <c r="E988" s="27"/>
      <c r="F988" s="27"/>
      <c r="G988" s="27"/>
      <c r="H988" s="27"/>
      <c r="I988" s="27"/>
      <c r="M988" s="27"/>
    </row>
    <row r="989">
      <c r="E989" s="27"/>
      <c r="F989" s="27"/>
      <c r="G989" s="27"/>
      <c r="H989" s="27"/>
      <c r="I989" s="27"/>
      <c r="M989" s="27"/>
    </row>
    <row r="990">
      <c r="E990" s="27"/>
      <c r="F990" s="27"/>
      <c r="G990" s="27"/>
      <c r="H990" s="27"/>
      <c r="I990" s="27"/>
      <c r="M990" s="27"/>
    </row>
    <row r="991">
      <c r="E991" s="27"/>
      <c r="F991" s="27"/>
      <c r="G991" s="27"/>
      <c r="H991" s="27"/>
      <c r="I991" s="27"/>
      <c r="M991" s="27"/>
    </row>
    <row r="992">
      <c r="E992" s="27"/>
      <c r="F992" s="27"/>
      <c r="G992" s="27"/>
      <c r="H992" s="27"/>
      <c r="I992" s="27"/>
      <c r="M992" s="27"/>
    </row>
    <row r="993">
      <c r="E993" s="27"/>
      <c r="F993" s="27"/>
      <c r="G993" s="27"/>
      <c r="H993" s="27"/>
      <c r="I993" s="27"/>
      <c r="M993" s="27"/>
    </row>
    <row r="994">
      <c r="E994" s="27"/>
      <c r="F994" s="27"/>
      <c r="G994" s="27"/>
      <c r="H994" s="27"/>
      <c r="I994" s="27"/>
      <c r="M994" s="27"/>
    </row>
    <row r="995">
      <c r="E995" s="27"/>
      <c r="F995" s="27"/>
      <c r="G995" s="27"/>
      <c r="H995" s="27"/>
      <c r="I995" s="27"/>
      <c r="M995" s="27"/>
    </row>
    <row r="996">
      <c r="E996" s="27"/>
      <c r="F996" s="27"/>
      <c r="G996" s="27"/>
      <c r="H996" s="27"/>
      <c r="I996" s="27"/>
      <c r="M996" s="27"/>
    </row>
    <row r="997">
      <c r="E997" s="27"/>
      <c r="F997" s="27"/>
      <c r="G997" s="27"/>
      <c r="H997" s="27"/>
      <c r="I997" s="27"/>
      <c r="M997" s="27"/>
    </row>
    <row r="998">
      <c r="E998" s="27"/>
      <c r="F998" s="27"/>
      <c r="G998" s="27"/>
      <c r="H998" s="27"/>
      <c r="I998" s="27"/>
      <c r="M998" s="27"/>
    </row>
    <row r="999">
      <c r="E999" s="27"/>
      <c r="F999" s="27"/>
      <c r="G999" s="27"/>
      <c r="H999" s="27"/>
      <c r="I999" s="27"/>
      <c r="M999" s="27"/>
    </row>
    <row r="1000">
      <c r="E1000" s="27"/>
      <c r="F1000" s="27"/>
      <c r="G1000" s="27"/>
      <c r="H1000" s="27"/>
      <c r="I1000" s="27"/>
      <c r="M1000" s="27"/>
    </row>
    <row r="1001">
      <c r="E1001" s="27"/>
      <c r="F1001" s="27"/>
      <c r="G1001" s="27"/>
      <c r="H1001" s="27"/>
      <c r="I1001" s="27"/>
      <c r="M1001" s="27"/>
    </row>
    <row r="1002">
      <c r="E1002" s="27"/>
      <c r="F1002" s="27"/>
      <c r="G1002" s="27"/>
      <c r="H1002" s="27"/>
      <c r="I1002" s="27"/>
      <c r="M1002" s="27"/>
    </row>
    <row r="1003">
      <c r="E1003" s="27"/>
      <c r="F1003" s="27"/>
      <c r="G1003" s="27"/>
      <c r="H1003" s="27"/>
      <c r="I1003" s="27"/>
      <c r="M1003" s="27"/>
    </row>
  </sheetData>
  <conditionalFormatting sqref="D48:F48">
    <cfRule type="cellIs" dxfId="0" priority="1" operator="lessThan">
      <formula>0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9.38"/>
    <col customWidth="1" min="9" max="9" width="20.63"/>
    <col customWidth="1" min="10" max="10" width="9.13"/>
    <col customWidth="1" min="11" max="11" width="9.25"/>
    <col customWidth="1" min="13" max="13" width="20.25"/>
  </cols>
  <sheetData>
    <row r="1">
      <c r="B1" s="199" t="s">
        <v>296</v>
      </c>
      <c r="E1" s="27"/>
      <c r="F1" s="280" t="s">
        <v>297</v>
      </c>
      <c r="I1" s="107" t="s">
        <v>298</v>
      </c>
      <c r="J1" s="18" t="s">
        <v>299</v>
      </c>
    </row>
    <row r="2">
      <c r="B2" s="18" t="s">
        <v>240</v>
      </c>
      <c r="C2" s="249">
        <v>11.0</v>
      </c>
      <c r="E2" s="32" t="s">
        <v>300</v>
      </c>
      <c r="F2" s="107">
        <v>331.34</v>
      </c>
      <c r="I2" s="27"/>
    </row>
    <row r="3">
      <c r="B3" s="18" t="s">
        <v>241</v>
      </c>
      <c r="C3" s="249">
        <v>48.0</v>
      </c>
      <c r="E3" s="32" t="s">
        <v>301</v>
      </c>
      <c r="F3" s="27">
        <f>10210.09-F2</f>
        <v>9878.75</v>
      </c>
      <c r="I3" s="27"/>
    </row>
    <row r="4">
      <c r="B4" s="18" t="s">
        <v>242</v>
      </c>
      <c r="C4" s="249">
        <v>11.0</v>
      </c>
      <c r="E4" s="265" t="s">
        <v>26</v>
      </c>
      <c r="F4" s="248"/>
      <c r="I4" s="27"/>
      <c r="J4" s="107"/>
      <c r="K4" s="107"/>
      <c r="N4" s="17"/>
    </row>
    <row r="5">
      <c r="B5" s="18" t="s">
        <v>285</v>
      </c>
      <c r="C5" s="249">
        <v>42.0</v>
      </c>
      <c r="E5" s="249"/>
      <c r="F5" s="249"/>
      <c r="I5" s="27"/>
      <c r="J5" s="107"/>
      <c r="K5" s="107"/>
      <c r="N5" s="32"/>
    </row>
    <row r="6">
      <c r="C6" s="276">
        <f>SUM(C2:C5)</f>
        <v>112</v>
      </c>
      <c r="E6" s="249"/>
      <c r="F6" s="249"/>
      <c r="I6" s="107"/>
      <c r="J6" s="107"/>
      <c r="K6" s="107"/>
      <c r="N6" s="30"/>
    </row>
    <row r="7">
      <c r="E7" s="27"/>
      <c r="F7" s="27"/>
      <c r="I7" s="107"/>
      <c r="J7" s="107"/>
      <c r="K7" s="27"/>
    </row>
    <row r="8">
      <c r="E8" s="107"/>
      <c r="F8" s="107"/>
      <c r="I8" s="107"/>
      <c r="J8" s="107"/>
      <c r="K8" s="107"/>
    </row>
    <row r="9">
      <c r="B9" s="55" t="s">
        <v>122</v>
      </c>
      <c r="C9" s="56"/>
      <c r="D9" s="254" t="s">
        <v>125</v>
      </c>
      <c r="E9" s="253" t="s">
        <v>126</v>
      </c>
      <c r="F9" s="254" t="s">
        <v>127</v>
      </c>
      <c r="G9" s="254" t="s">
        <v>128</v>
      </c>
      <c r="I9" s="107"/>
      <c r="J9" s="27"/>
      <c r="K9" s="107"/>
      <c r="M9" s="219" t="s">
        <v>26</v>
      </c>
      <c r="N9" s="281">
        <v>810.87</v>
      </c>
      <c r="O9" s="49"/>
      <c r="P9" s="234"/>
    </row>
    <row r="10">
      <c r="B10" s="59" t="s">
        <v>129</v>
      </c>
      <c r="C10" s="60"/>
      <c r="D10" s="61">
        <v>6625.0</v>
      </c>
      <c r="E10" s="61">
        <v>6675.0</v>
      </c>
      <c r="F10" s="61">
        <v>6625.0</v>
      </c>
      <c r="G10" s="61">
        <v>6625.0</v>
      </c>
      <c r="I10" s="107"/>
      <c r="J10" s="27"/>
      <c r="K10" s="107"/>
      <c r="M10" s="224" t="s">
        <v>302</v>
      </c>
      <c r="N10" s="18">
        <v>129.0</v>
      </c>
      <c r="P10" s="223"/>
    </row>
    <row r="11">
      <c r="B11" s="59" t="s">
        <v>136</v>
      </c>
      <c r="C11" s="60"/>
      <c r="D11" s="62">
        <f>3191.15+385.96</f>
        <v>3577.11</v>
      </c>
      <c r="E11" s="62">
        <f>1290+98+1831.15+385.96</f>
        <v>3605.11</v>
      </c>
      <c r="F11" s="62">
        <f>3191.15+385.96</f>
        <v>3577.11</v>
      </c>
      <c r="G11" s="62">
        <v>3781.96</v>
      </c>
      <c r="I11" s="107"/>
      <c r="J11" s="107"/>
      <c r="K11" s="27"/>
      <c r="M11" s="224" t="s">
        <v>291</v>
      </c>
      <c r="N11" s="18">
        <v>13.22</v>
      </c>
      <c r="P11" s="223"/>
    </row>
    <row r="12">
      <c r="B12" s="59" t="s">
        <v>137</v>
      </c>
      <c r="C12" s="60"/>
      <c r="D12" s="62">
        <v>3100.0</v>
      </c>
      <c r="E12" s="62"/>
      <c r="F12" s="62"/>
      <c r="G12" s="62">
        <v>500.0</v>
      </c>
      <c r="I12" s="107"/>
      <c r="J12" s="107"/>
      <c r="K12" s="107"/>
      <c r="M12" s="224" t="s">
        <v>303</v>
      </c>
      <c r="N12" s="18">
        <v>99.5</v>
      </c>
      <c r="P12" s="223"/>
    </row>
    <row r="13">
      <c r="B13" s="59" t="s">
        <v>138</v>
      </c>
      <c r="C13" s="60"/>
      <c r="D13" s="62">
        <v>6215.07</v>
      </c>
      <c r="E13" s="258"/>
      <c r="F13" s="258"/>
      <c r="G13" s="66"/>
      <c r="I13" s="32" t="s">
        <v>238</v>
      </c>
      <c r="J13" s="107">
        <v>558.34</v>
      </c>
      <c r="K13" s="107"/>
      <c r="M13" s="224" t="s">
        <v>304</v>
      </c>
      <c r="N13" s="18">
        <v>25.0</v>
      </c>
      <c r="P13" s="223"/>
    </row>
    <row r="14">
      <c r="B14" s="67" t="s">
        <v>139</v>
      </c>
      <c r="C14" s="68"/>
      <c r="D14" s="69">
        <f t="shared" ref="D14:G14" si="1">SUM(D10:D13)</f>
        <v>19517.18</v>
      </c>
      <c r="E14" s="69">
        <f t="shared" si="1"/>
        <v>10280.11</v>
      </c>
      <c r="F14" s="69">
        <f t="shared" si="1"/>
        <v>10202.11</v>
      </c>
      <c r="G14" s="69">
        <f t="shared" si="1"/>
        <v>10906.96</v>
      </c>
      <c r="I14" s="32" t="s">
        <v>305</v>
      </c>
      <c r="J14" s="107">
        <v>200.0</v>
      </c>
      <c r="K14" s="107"/>
      <c r="M14" s="224" t="s">
        <v>306</v>
      </c>
      <c r="N14" s="18">
        <v>12.2</v>
      </c>
      <c r="P14" s="205" t="s">
        <v>307</v>
      </c>
    </row>
    <row r="15">
      <c r="I15" s="32" t="s">
        <v>190</v>
      </c>
      <c r="J15" s="107">
        <v>100.0</v>
      </c>
      <c r="L15" s="12">
        <f>50+J17+J18</f>
        <v>155.96</v>
      </c>
      <c r="M15" s="224" t="s">
        <v>308</v>
      </c>
      <c r="N15" s="18">
        <v>12.0</v>
      </c>
      <c r="P15" s="207">
        <f>N9-N27</f>
        <v>-136.72</v>
      </c>
    </row>
    <row r="16">
      <c r="B16" s="70" t="s">
        <v>140</v>
      </c>
      <c r="C16" s="71"/>
      <c r="D16" s="58" t="s">
        <v>126</v>
      </c>
      <c r="E16" s="58" t="s">
        <v>127</v>
      </c>
      <c r="F16" s="58" t="s">
        <v>128</v>
      </c>
      <c r="G16" s="58" t="s">
        <v>129</v>
      </c>
      <c r="I16" s="107"/>
      <c r="J16" s="282">
        <f>J13-J14-J15</f>
        <v>258.34</v>
      </c>
      <c r="K16" s="107"/>
      <c r="M16" s="224" t="s">
        <v>309</v>
      </c>
      <c r="N16" s="18">
        <v>2.0</v>
      </c>
      <c r="P16" s="223"/>
    </row>
    <row r="17">
      <c r="B17" s="72" t="s">
        <v>141</v>
      </c>
      <c r="C17" s="73"/>
      <c r="D17" s="75">
        <v>325.7</v>
      </c>
      <c r="E17" s="75">
        <v>330.0</v>
      </c>
      <c r="F17" s="75">
        <v>300.0</v>
      </c>
      <c r="G17" s="75">
        <f t="shared" ref="G17:G20" si="2">F17</f>
        <v>300</v>
      </c>
      <c r="I17" s="192" t="s">
        <v>310</v>
      </c>
      <c r="J17" s="192">
        <f>13.96+11.14+7.9+14.36</f>
        <v>47.36</v>
      </c>
      <c r="M17" s="224" t="s">
        <v>311</v>
      </c>
      <c r="N17" s="18">
        <v>300.0</v>
      </c>
      <c r="O17" s="18">
        <v>154.3</v>
      </c>
      <c r="P17" s="223"/>
    </row>
    <row r="18">
      <c r="B18" s="72" t="s">
        <v>142</v>
      </c>
      <c r="C18" s="73"/>
      <c r="D18" s="75">
        <v>185.9</v>
      </c>
      <c r="E18" s="75">
        <v>170.1</v>
      </c>
      <c r="F18" s="75">
        <v>200.0</v>
      </c>
      <c r="G18" s="75">
        <f t="shared" si="2"/>
        <v>200</v>
      </c>
      <c r="I18" s="192" t="s">
        <v>312</v>
      </c>
      <c r="J18" s="192">
        <v>58.6</v>
      </c>
      <c r="K18" s="107"/>
      <c r="M18" s="204" t="s">
        <v>313</v>
      </c>
      <c r="N18" s="18">
        <v>14.78</v>
      </c>
      <c r="P18" s="223"/>
    </row>
    <row r="19">
      <c r="B19" s="72" t="s">
        <v>143</v>
      </c>
      <c r="C19" s="73"/>
      <c r="D19" s="75">
        <v>165.0</v>
      </c>
      <c r="E19" s="75">
        <v>164.9</v>
      </c>
      <c r="F19" s="75">
        <v>157.0</v>
      </c>
      <c r="G19" s="75">
        <f t="shared" si="2"/>
        <v>157</v>
      </c>
      <c r="I19" s="192" t="s">
        <v>314</v>
      </c>
      <c r="J19" s="283">
        <f>N11+N15</f>
        <v>25.22</v>
      </c>
      <c r="M19" s="224" t="s">
        <v>315</v>
      </c>
      <c r="N19" s="18">
        <v>31.29</v>
      </c>
      <c r="P19" s="223"/>
    </row>
    <row r="20">
      <c r="B20" s="72" t="s">
        <v>144</v>
      </c>
      <c r="C20" s="73"/>
      <c r="D20" s="75">
        <v>106.0</v>
      </c>
      <c r="E20" s="179">
        <v>100.0</v>
      </c>
      <c r="F20" s="75">
        <v>100.0</v>
      </c>
      <c r="G20" s="75">
        <f t="shared" si="2"/>
        <v>100</v>
      </c>
      <c r="I20" s="27"/>
      <c r="J20" s="284">
        <f>J16-J17-J18-J19</f>
        <v>127.16</v>
      </c>
      <c r="M20" s="285" t="s">
        <v>316</v>
      </c>
      <c r="N20" s="286">
        <v>16.99</v>
      </c>
      <c r="P20" s="223"/>
    </row>
    <row r="21">
      <c r="B21" s="72" t="s">
        <v>145</v>
      </c>
      <c r="C21" s="73"/>
      <c r="D21" s="75">
        <v>2500.0</v>
      </c>
      <c r="E21" s="75">
        <v>2500.0</v>
      </c>
      <c r="F21" s="75">
        <v>2500.0</v>
      </c>
      <c r="G21" s="75">
        <v>2500.0</v>
      </c>
      <c r="I21" s="107"/>
      <c r="M21" s="222"/>
      <c r="N21" s="287">
        <f>SUM(N10:N20)</f>
        <v>655.98</v>
      </c>
      <c r="P21" s="223"/>
    </row>
    <row r="22">
      <c r="B22" s="72" t="s">
        <v>146</v>
      </c>
      <c r="C22" s="77" t="s">
        <v>147</v>
      </c>
      <c r="D22" s="75">
        <v>400.0</v>
      </c>
      <c r="E22" s="75">
        <v>400.0</v>
      </c>
      <c r="F22" s="75">
        <v>400.0</v>
      </c>
      <c r="G22" s="75">
        <f>F22</f>
        <v>400</v>
      </c>
      <c r="I22" s="107"/>
      <c r="J22" s="30"/>
      <c r="M22" s="222"/>
      <c r="P22" s="223"/>
    </row>
    <row r="23">
      <c r="B23" s="72" t="s">
        <v>148</v>
      </c>
      <c r="C23" s="73"/>
      <c r="D23" s="75">
        <v>600.0</v>
      </c>
      <c r="E23" s="179">
        <v>650.0</v>
      </c>
      <c r="F23" s="75">
        <v>650.0</v>
      </c>
      <c r="G23" s="75">
        <v>500.0</v>
      </c>
      <c r="I23" s="27"/>
      <c r="J23" s="30"/>
      <c r="M23" s="288" t="s">
        <v>317</v>
      </c>
      <c r="N23" s="289">
        <f>N17</f>
        <v>300</v>
      </c>
      <c r="P23" s="223"/>
    </row>
    <row r="24">
      <c r="B24" s="72" t="s">
        <v>149</v>
      </c>
      <c r="C24" s="73"/>
      <c r="D24" s="75">
        <v>500.0</v>
      </c>
      <c r="E24" s="179">
        <v>500.0</v>
      </c>
      <c r="F24" s="75">
        <v>500.0</v>
      </c>
      <c r="G24" s="75">
        <f t="shared" ref="G24:G25" si="3">F24</f>
        <v>500</v>
      </c>
      <c r="I24" s="27"/>
      <c r="J24" s="30"/>
      <c r="M24" s="224" t="s">
        <v>120</v>
      </c>
      <c r="N24" s="12">
        <f>N19+N18+N16+N14+N13+N10+N12+O17</f>
        <v>468.07</v>
      </c>
      <c r="P24" s="223"/>
    </row>
    <row r="25">
      <c r="B25" s="72" t="s">
        <v>150</v>
      </c>
      <c r="C25" s="73"/>
      <c r="D25" s="75">
        <v>300.0</v>
      </c>
      <c r="E25" s="75">
        <v>300.0</v>
      </c>
      <c r="F25" s="75">
        <v>300.0</v>
      </c>
      <c r="G25" s="75">
        <f t="shared" si="3"/>
        <v>300</v>
      </c>
      <c r="I25" s="290" t="s">
        <v>318</v>
      </c>
      <c r="J25" s="291">
        <f>48.66+45.05+6</f>
        <v>99.71</v>
      </c>
      <c r="M25" s="288" t="s">
        <v>319</v>
      </c>
      <c r="N25" s="289">
        <f>N11+N15</f>
        <v>25.22</v>
      </c>
      <c r="P25" s="223"/>
    </row>
    <row r="26">
      <c r="B26" s="72" t="s">
        <v>151</v>
      </c>
      <c r="C26" s="73"/>
      <c r="D26" s="75"/>
      <c r="E26" s="75"/>
      <c r="F26" s="75"/>
      <c r="G26" s="75"/>
      <c r="I26" s="27"/>
      <c r="M26" s="224"/>
      <c r="N26" s="12">
        <f>SUM(N23:N25)</f>
        <v>793.29</v>
      </c>
      <c r="P26" s="223"/>
    </row>
    <row r="27">
      <c r="B27" s="72" t="s">
        <v>152</v>
      </c>
      <c r="C27" s="73"/>
      <c r="D27" s="75">
        <v>200.0</v>
      </c>
      <c r="E27" s="75"/>
      <c r="F27" s="75"/>
      <c r="G27" s="74"/>
      <c r="I27" s="27"/>
      <c r="M27" s="292"/>
      <c r="N27" s="231">
        <f>N26+O17</f>
        <v>947.59</v>
      </c>
      <c r="O27" s="231"/>
      <c r="P27" s="232"/>
    </row>
    <row r="28">
      <c r="B28" s="72" t="s">
        <v>181</v>
      </c>
      <c r="C28" s="73"/>
      <c r="D28" s="75">
        <v>100.0</v>
      </c>
      <c r="E28" s="179">
        <v>150.0</v>
      </c>
      <c r="F28" s="75">
        <v>150.0</v>
      </c>
      <c r="G28" s="75">
        <f t="shared" ref="G28:G30" si="4">F28</f>
        <v>150</v>
      </c>
      <c r="I28" s="27"/>
    </row>
    <row r="29">
      <c r="B29" s="72" t="s">
        <v>296</v>
      </c>
      <c r="C29" s="73"/>
      <c r="D29" s="75">
        <v>116.0</v>
      </c>
      <c r="E29" s="75">
        <v>112.0</v>
      </c>
      <c r="F29" s="75">
        <v>112.0</v>
      </c>
      <c r="G29" s="75">
        <f t="shared" si="4"/>
        <v>112</v>
      </c>
      <c r="I29" s="27"/>
    </row>
    <row r="30">
      <c r="B30" s="72" t="s">
        <v>155</v>
      </c>
      <c r="C30" s="73"/>
      <c r="D30" s="75"/>
      <c r="E30" s="74"/>
      <c r="F30" s="74"/>
      <c r="G30" s="75" t="str">
        <f t="shared" si="4"/>
        <v/>
      </c>
      <c r="I30" s="27"/>
      <c r="N30" s="12">
        <f>N23+N24</f>
        <v>768.07</v>
      </c>
    </row>
    <row r="31">
      <c r="B31" s="72" t="s">
        <v>156</v>
      </c>
      <c r="C31" s="73"/>
      <c r="D31" s="75">
        <v>200.0</v>
      </c>
      <c r="E31" s="293">
        <v>1200.0</v>
      </c>
      <c r="F31" s="75">
        <v>1000.0</v>
      </c>
      <c r="G31" s="75">
        <v>1000.0</v>
      </c>
      <c r="I31" s="27"/>
    </row>
    <row r="32">
      <c r="B32" s="72" t="s">
        <v>272</v>
      </c>
      <c r="C32" s="73"/>
      <c r="D32" s="74"/>
      <c r="E32" s="74"/>
      <c r="F32" s="74"/>
      <c r="G32" s="75" t="str">
        <f t="shared" ref="G32:G35" si="5">F32</f>
        <v/>
      </c>
      <c r="I32" s="27"/>
      <c r="N32" s="18">
        <v>514.86</v>
      </c>
      <c r="O32" s="12">
        <f>N30-N32</f>
        <v>253.21</v>
      </c>
    </row>
    <row r="33">
      <c r="B33" s="272" t="s">
        <v>295</v>
      </c>
      <c r="C33" s="273"/>
      <c r="D33" s="274">
        <v>1500.0</v>
      </c>
      <c r="E33" s="274">
        <v>1500.0</v>
      </c>
      <c r="F33" s="274">
        <v>1500.0</v>
      </c>
      <c r="G33" s="75">
        <f t="shared" si="5"/>
        <v>1500</v>
      </c>
      <c r="I33" s="27"/>
    </row>
    <row r="34">
      <c r="B34" s="72" t="s">
        <v>159</v>
      </c>
      <c r="C34" s="73"/>
      <c r="D34" s="75">
        <v>800.0</v>
      </c>
      <c r="E34" s="75">
        <v>800.0</v>
      </c>
      <c r="F34" s="75">
        <v>800.0</v>
      </c>
      <c r="G34" s="75">
        <f t="shared" si="5"/>
        <v>800</v>
      </c>
      <c r="I34" s="27"/>
    </row>
    <row r="35">
      <c r="B35" s="72" t="s">
        <v>160</v>
      </c>
      <c r="C35" s="73"/>
      <c r="D35" s="75">
        <v>1800.0</v>
      </c>
      <c r="E35" s="75">
        <v>1800.0</v>
      </c>
      <c r="F35" s="75">
        <v>1800.0</v>
      </c>
      <c r="G35" s="75">
        <f t="shared" si="5"/>
        <v>1800</v>
      </c>
      <c r="I35" s="107" t="s">
        <v>320</v>
      </c>
      <c r="J35" s="18" t="s">
        <v>321</v>
      </c>
    </row>
    <row r="36">
      <c r="B36" s="67" t="s">
        <v>161</v>
      </c>
      <c r="C36" s="68"/>
      <c r="D36" s="78">
        <f t="shared" ref="D36:G36" si="6">SUM(D17:D35)*-1</f>
        <v>-9798.6</v>
      </c>
      <c r="E36" s="78">
        <f t="shared" si="6"/>
        <v>-10677</v>
      </c>
      <c r="F36" s="78">
        <f t="shared" si="6"/>
        <v>-10469</v>
      </c>
      <c r="G36" s="78">
        <f t="shared" si="6"/>
        <v>-10319</v>
      </c>
      <c r="I36" s="107">
        <v>7300.0</v>
      </c>
      <c r="J36" s="12">
        <f>(8585+6800)*1.0675</f>
        <v>16423.4875</v>
      </c>
    </row>
    <row r="37">
      <c r="I37" s="107"/>
    </row>
    <row r="38">
      <c r="B38" s="80" t="s">
        <v>162</v>
      </c>
      <c r="C38" s="81"/>
      <c r="D38" s="82">
        <f t="shared" ref="D38:G38" si="7">D14+D36</f>
        <v>9718.58</v>
      </c>
      <c r="E38" s="82">
        <f t="shared" si="7"/>
        <v>-396.89</v>
      </c>
      <c r="F38" s="82">
        <f t="shared" si="7"/>
        <v>-266.89</v>
      </c>
      <c r="G38" s="82">
        <f t="shared" si="7"/>
        <v>587.96</v>
      </c>
      <c r="I38" s="107">
        <f>6440.26-730.49*2</f>
        <v>4979.28</v>
      </c>
    </row>
    <row r="39">
      <c r="B39" s="83"/>
      <c r="C39" s="83"/>
      <c r="D39" s="84"/>
      <c r="E39" s="84"/>
      <c r="F39" s="84"/>
      <c r="G39" s="84"/>
      <c r="I39" s="27">
        <f>SUM(I36:I38)</f>
        <v>12279.28</v>
      </c>
    </row>
    <row r="40">
      <c r="B40" s="85" t="s">
        <v>163</v>
      </c>
      <c r="C40" s="86"/>
      <c r="D40" s="57" t="s">
        <v>125</v>
      </c>
      <c r="E40" s="57" t="s">
        <v>126</v>
      </c>
      <c r="F40" s="57" t="s">
        <v>127</v>
      </c>
      <c r="G40" s="294" t="s">
        <v>128</v>
      </c>
      <c r="I40" s="27"/>
    </row>
    <row r="41">
      <c r="B41" s="87" t="s">
        <v>164</v>
      </c>
      <c r="C41" s="88">
        <v>2347.0</v>
      </c>
      <c r="D41" s="134">
        <v>498.84</v>
      </c>
      <c r="E41" s="135">
        <v>498.84</v>
      </c>
      <c r="F41" s="134">
        <v>498.84</v>
      </c>
      <c r="G41" s="295">
        <v>498.84</v>
      </c>
      <c r="I41" s="107" t="s">
        <v>322</v>
      </c>
      <c r="J41" s="12">
        <f>J36-I39</f>
        <v>4144.2075</v>
      </c>
    </row>
    <row r="42">
      <c r="B42" s="87" t="s">
        <v>165</v>
      </c>
      <c r="C42" s="88">
        <v>7750.82</v>
      </c>
      <c r="D42" s="135">
        <v>385.96</v>
      </c>
      <c r="E42" s="135">
        <v>385.96</v>
      </c>
      <c r="F42" s="135">
        <v>385.96</v>
      </c>
      <c r="G42" s="296">
        <v>385.96</v>
      </c>
      <c r="I42" s="107"/>
    </row>
    <row r="43">
      <c r="B43" s="87" t="s">
        <v>166</v>
      </c>
      <c r="C43" s="88">
        <v>7724.29</v>
      </c>
      <c r="D43" s="135">
        <v>520.0</v>
      </c>
      <c r="E43" s="135">
        <v>518.81</v>
      </c>
      <c r="F43" s="135">
        <v>520.0</v>
      </c>
      <c r="G43" s="296">
        <v>512.0</v>
      </c>
      <c r="I43" s="107"/>
    </row>
    <row r="44">
      <c r="B44" s="87" t="s">
        <v>280</v>
      </c>
      <c r="C44" s="88">
        <v>6440.26</v>
      </c>
      <c r="D44" s="135">
        <v>730.49</v>
      </c>
      <c r="E44" s="135">
        <v>730.49</v>
      </c>
      <c r="F44" s="135">
        <v>730.49</v>
      </c>
      <c r="G44" s="297"/>
      <c r="I44" s="107"/>
    </row>
    <row r="45">
      <c r="A45" s="298">
        <v>45019.0</v>
      </c>
      <c r="B45" s="87" t="s">
        <v>203</v>
      </c>
      <c r="C45" s="88">
        <v>440.0</v>
      </c>
      <c r="D45" s="135">
        <v>440.0</v>
      </c>
      <c r="E45" s="135">
        <v>440.0</v>
      </c>
      <c r="F45" s="135">
        <v>440.0</v>
      </c>
      <c r="G45" s="299">
        <f>SUM(G41:G44)*-1</f>
        <v>-1396.8</v>
      </c>
      <c r="I45" s="107"/>
      <c r="J45" s="107"/>
    </row>
    <row r="46">
      <c r="B46" s="67" t="s">
        <v>167</v>
      </c>
      <c r="C46" s="95">
        <f>SUM(C41:C45)</f>
        <v>24702.37</v>
      </c>
      <c r="D46" s="78">
        <f t="shared" ref="D46:F46" si="8">SUM(D41:D45)*-1</f>
        <v>-2575.29</v>
      </c>
      <c r="E46" s="78">
        <f t="shared" si="8"/>
        <v>-2574.1</v>
      </c>
      <c r="F46" s="78">
        <f t="shared" si="8"/>
        <v>-2575.29</v>
      </c>
      <c r="G46" s="96"/>
      <c r="I46" s="27"/>
    </row>
    <row r="47">
      <c r="B47" s="83"/>
      <c r="C47" s="83"/>
      <c r="D47" s="96"/>
      <c r="E47" s="96"/>
      <c r="F47" s="96"/>
      <c r="G47" s="300">
        <f>G38+G45</f>
        <v>-808.84</v>
      </c>
      <c r="I47" s="27"/>
    </row>
    <row r="48">
      <c r="B48" s="97" t="s">
        <v>168</v>
      </c>
      <c r="C48" s="98"/>
      <c r="D48" s="99">
        <f t="shared" ref="D48:F48" si="9">D38+D46</f>
        <v>7143.29</v>
      </c>
      <c r="E48" s="99">
        <f t="shared" si="9"/>
        <v>-2970.99</v>
      </c>
      <c r="F48" s="99">
        <f t="shared" si="9"/>
        <v>-2842.18</v>
      </c>
      <c r="G48" s="96"/>
      <c r="I48" s="27"/>
    </row>
    <row r="49">
      <c r="B49" s="83"/>
      <c r="C49" s="83"/>
      <c r="D49" s="96"/>
      <c r="E49" s="96"/>
      <c r="F49" s="96"/>
      <c r="G49" s="57" t="s">
        <v>128</v>
      </c>
      <c r="I49" s="27"/>
    </row>
    <row r="50">
      <c r="B50" s="100" t="s">
        <v>169</v>
      </c>
      <c r="C50" s="101"/>
      <c r="D50" s="57" t="s">
        <v>125</v>
      </c>
      <c r="E50" s="57" t="s">
        <v>126</v>
      </c>
      <c r="F50" s="57" t="s">
        <v>127</v>
      </c>
      <c r="G50" s="105" t="str">
        <f>F52</f>
        <v/>
      </c>
      <c r="I50" s="27"/>
    </row>
    <row r="51">
      <c r="B51" s="102" t="s">
        <v>170</v>
      </c>
      <c r="C51" s="103"/>
      <c r="D51" s="278">
        <v>2101.91</v>
      </c>
      <c r="E51" s="278">
        <v>331.34</v>
      </c>
      <c r="F51" s="278"/>
      <c r="G51" s="106">
        <f>+G47</f>
        <v>-808.84</v>
      </c>
      <c r="I51" s="27"/>
    </row>
    <row r="52">
      <c r="B52" s="102" t="s">
        <v>171</v>
      </c>
      <c r="C52" s="103"/>
      <c r="D52" s="279">
        <f>D48</f>
        <v>7143.29</v>
      </c>
      <c r="E52" s="279"/>
      <c r="F52" s="279"/>
      <c r="G52" s="95">
        <f>SUM(G50:G51)</f>
        <v>-808.84</v>
      </c>
      <c r="I52" s="27"/>
    </row>
    <row r="53">
      <c r="B53" s="67"/>
      <c r="C53" s="68"/>
      <c r="D53" s="95"/>
      <c r="E53" s="95"/>
      <c r="F53" s="95"/>
      <c r="I53" s="27"/>
    </row>
    <row r="54">
      <c r="B54" s="67"/>
      <c r="C54" s="68"/>
      <c r="D54" s="95"/>
      <c r="E54" s="95"/>
      <c r="F54" s="95"/>
      <c r="I54" s="27"/>
    </row>
    <row r="55">
      <c r="B55" s="67" t="s">
        <v>173</v>
      </c>
      <c r="C55" s="68"/>
      <c r="D55" s="95">
        <f t="shared" ref="D55:F55" si="10">SUM(D51:D52)</f>
        <v>9245.2</v>
      </c>
      <c r="E55" s="95">
        <f t="shared" si="10"/>
        <v>331.34</v>
      </c>
      <c r="F55" s="95">
        <f t="shared" si="10"/>
        <v>0</v>
      </c>
      <c r="I55" s="27"/>
    </row>
    <row r="56">
      <c r="I56" s="27"/>
    </row>
    <row r="57">
      <c r="I57" s="27"/>
    </row>
    <row r="58">
      <c r="I58" s="27"/>
    </row>
    <row r="59">
      <c r="I59" s="27"/>
    </row>
    <row r="60">
      <c r="I60" s="27"/>
    </row>
    <row r="61">
      <c r="I61" s="27"/>
    </row>
    <row r="62">
      <c r="I62" s="27"/>
    </row>
    <row r="63">
      <c r="I63" s="27"/>
    </row>
    <row r="64">
      <c r="I64" s="27"/>
    </row>
    <row r="65">
      <c r="I65" s="27"/>
    </row>
    <row r="66">
      <c r="I66" s="27"/>
    </row>
    <row r="67">
      <c r="I67" s="27"/>
    </row>
    <row r="68">
      <c r="I68" s="27"/>
    </row>
    <row r="69">
      <c r="I69" s="27"/>
    </row>
    <row r="70">
      <c r="I70" s="27"/>
    </row>
    <row r="71">
      <c r="I71" s="27"/>
    </row>
    <row r="72">
      <c r="I72" s="27"/>
    </row>
    <row r="73">
      <c r="I73" s="27"/>
    </row>
    <row r="74">
      <c r="I74" s="27"/>
    </row>
    <row r="75">
      <c r="I75" s="27"/>
    </row>
    <row r="76">
      <c r="I76" s="27"/>
    </row>
    <row r="77">
      <c r="I77" s="27"/>
    </row>
    <row r="78">
      <c r="I78" s="27"/>
    </row>
    <row r="79">
      <c r="I79" s="27"/>
    </row>
    <row r="80">
      <c r="I80" s="27"/>
    </row>
    <row r="81">
      <c r="I81" s="27"/>
    </row>
    <row r="82">
      <c r="I82" s="27"/>
    </row>
    <row r="83">
      <c r="I83" s="27"/>
    </row>
    <row r="84">
      <c r="I84" s="27"/>
    </row>
    <row r="85">
      <c r="I85" s="27"/>
    </row>
    <row r="86">
      <c r="I86" s="27"/>
    </row>
    <row r="87">
      <c r="I87" s="27"/>
    </row>
    <row r="88">
      <c r="I88" s="27"/>
    </row>
    <row r="89">
      <c r="I89" s="27"/>
    </row>
    <row r="90">
      <c r="I90" s="27"/>
    </row>
    <row r="91">
      <c r="I91" s="27"/>
    </row>
    <row r="92">
      <c r="I92" s="27"/>
    </row>
    <row r="93">
      <c r="I93" s="27"/>
    </row>
    <row r="94">
      <c r="I94" s="27"/>
    </row>
    <row r="95">
      <c r="I95" s="27"/>
    </row>
    <row r="96">
      <c r="I96" s="27"/>
    </row>
    <row r="97">
      <c r="I97" s="27"/>
    </row>
    <row r="98">
      <c r="I98" s="27"/>
    </row>
    <row r="99">
      <c r="I99" s="27"/>
    </row>
    <row r="100">
      <c r="I100" s="27"/>
    </row>
    <row r="101">
      <c r="I101" s="27"/>
    </row>
    <row r="102">
      <c r="I102" s="27"/>
    </row>
    <row r="103">
      <c r="I103" s="27"/>
    </row>
    <row r="104">
      <c r="I104" s="27"/>
    </row>
    <row r="105">
      <c r="I105" s="27"/>
    </row>
    <row r="106">
      <c r="I106" s="27"/>
    </row>
    <row r="107">
      <c r="I107" s="27"/>
    </row>
    <row r="108">
      <c r="I108" s="27"/>
    </row>
    <row r="109">
      <c r="I109" s="27"/>
    </row>
    <row r="110">
      <c r="I110" s="27"/>
    </row>
    <row r="111">
      <c r="I111" s="27"/>
    </row>
    <row r="112">
      <c r="I112" s="27"/>
    </row>
    <row r="113">
      <c r="I113" s="27"/>
    </row>
    <row r="114">
      <c r="I114" s="27"/>
    </row>
    <row r="115">
      <c r="I115" s="27"/>
    </row>
    <row r="116">
      <c r="I116" s="27"/>
    </row>
    <row r="117">
      <c r="I117" s="27"/>
    </row>
    <row r="118">
      <c r="I118" s="27"/>
    </row>
    <row r="119">
      <c r="I119" s="27"/>
    </row>
    <row r="120">
      <c r="I120" s="27"/>
    </row>
    <row r="121">
      <c r="I121" s="27"/>
    </row>
    <row r="122">
      <c r="I122" s="27"/>
    </row>
    <row r="123">
      <c r="I123" s="27"/>
    </row>
    <row r="124">
      <c r="I124" s="27"/>
    </row>
    <row r="125">
      <c r="I125" s="27"/>
    </row>
    <row r="126">
      <c r="I126" s="27"/>
    </row>
    <row r="127">
      <c r="I127" s="27"/>
    </row>
    <row r="128">
      <c r="I128" s="27"/>
    </row>
    <row r="129">
      <c r="I129" s="27"/>
    </row>
    <row r="130">
      <c r="I130" s="27"/>
    </row>
    <row r="131">
      <c r="I131" s="27"/>
    </row>
    <row r="132">
      <c r="I132" s="27"/>
    </row>
    <row r="133">
      <c r="I133" s="27"/>
    </row>
    <row r="134">
      <c r="I134" s="27"/>
    </row>
    <row r="135">
      <c r="I135" s="27"/>
    </row>
    <row r="136">
      <c r="I136" s="27"/>
    </row>
    <row r="137">
      <c r="I137" s="27"/>
    </row>
    <row r="138">
      <c r="I138" s="27"/>
    </row>
    <row r="139">
      <c r="I139" s="27"/>
    </row>
    <row r="140">
      <c r="I140" s="27"/>
    </row>
    <row r="141">
      <c r="I141" s="27"/>
    </row>
    <row r="142">
      <c r="I142" s="27"/>
    </row>
    <row r="143">
      <c r="I143" s="27"/>
    </row>
    <row r="144">
      <c r="I144" s="27"/>
    </row>
    <row r="145">
      <c r="I145" s="27"/>
    </row>
    <row r="146">
      <c r="I146" s="27"/>
    </row>
    <row r="147">
      <c r="I147" s="27"/>
    </row>
    <row r="148">
      <c r="I148" s="27"/>
    </row>
    <row r="149">
      <c r="I149" s="27"/>
    </row>
    <row r="150">
      <c r="I150" s="27"/>
    </row>
    <row r="151">
      <c r="I151" s="27"/>
    </row>
    <row r="152">
      <c r="I152" s="27"/>
    </row>
    <row r="153">
      <c r="I153" s="27"/>
    </row>
    <row r="154">
      <c r="I154" s="27"/>
    </row>
    <row r="155">
      <c r="I155" s="27"/>
    </row>
    <row r="156">
      <c r="I156" s="27"/>
    </row>
    <row r="157">
      <c r="I157" s="27"/>
    </row>
    <row r="158">
      <c r="I158" s="27"/>
    </row>
    <row r="159">
      <c r="I159" s="27"/>
    </row>
    <row r="160">
      <c r="I160" s="27"/>
    </row>
    <row r="161">
      <c r="I161" s="27"/>
    </row>
    <row r="162">
      <c r="I162" s="27"/>
    </row>
    <row r="163">
      <c r="I163" s="27"/>
    </row>
    <row r="164">
      <c r="I164" s="27"/>
    </row>
    <row r="165">
      <c r="I165" s="27"/>
    </row>
    <row r="166">
      <c r="I166" s="27"/>
    </row>
    <row r="167">
      <c r="I167" s="27"/>
    </row>
    <row r="168">
      <c r="I168" s="27"/>
    </row>
    <row r="169">
      <c r="I169" s="27"/>
    </row>
    <row r="170">
      <c r="I170" s="27"/>
    </row>
    <row r="171">
      <c r="I171" s="27"/>
    </row>
    <row r="172">
      <c r="I172" s="27"/>
    </row>
    <row r="173">
      <c r="I173" s="27"/>
    </row>
    <row r="174">
      <c r="I174" s="27"/>
    </row>
    <row r="175">
      <c r="I175" s="27"/>
    </row>
    <row r="176">
      <c r="I176" s="27"/>
    </row>
    <row r="177">
      <c r="I177" s="27"/>
    </row>
    <row r="178">
      <c r="I178" s="27"/>
    </row>
    <row r="179">
      <c r="I179" s="27"/>
    </row>
    <row r="180">
      <c r="I180" s="27"/>
    </row>
    <row r="181">
      <c r="I181" s="27"/>
    </row>
    <row r="182">
      <c r="I182" s="27"/>
    </row>
    <row r="183">
      <c r="I183" s="27"/>
    </row>
    <row r="184">
      <c r="I184" s="27"/>
    </row>
    <row r="185">
      <c r="I185" s="27"/>
    </row>
    <row r="186">
      <c r="I186" s="27"/>
    </row>
    <row r="187">
      <c r="I187" s="27"/>
    </row>
    <row r="188">
      <c r="I188" s="27"/>
    </row>
    <row r="189">
      <c r="I189" s="27"/>
    </row>
    <row r="190">
      <c r="I190" s="27"/>
    </row>
    <row r="191">
      <c r="I191" s="27"/>
    </row>
    <row r="192">
      <c r="I192" s="27"/>
    </row>
    <row r="193">
      <c r="I193" s="27"/>
    </row>
    <row r="194">
      <c r="I194" s="27"/>
    </row>
    <row r="195">
      <c r="I195" s="27"/>
    </row>
    <row r="196">
      <c r="I196" s="27"/>
    </row>
    <row r="197">
      <c r="I197" s="27"/>
    </row>
    <row r="198">
      <c r="I198" s="27"/>
    </row>
    <row r="199">
      <c r="I199" s="27"/>
    </row>
    <row r="200">
      <c r="I200" s="27"/>
    </row>
    <row r="201">
      <c r="I201" s="27"/>
    </row>
    <row r="202">
      <c r="I202" s="27"/>
    </row>
    <row r="203">
      <c r="I203" s="27"/>
    </row>
    <row r="204">
      <c r="I204" s="27"/>
    </row>
    <row r="205">
      <c r="I205" s="27"/>
    </row>
    <row r="206">
      <c r="I206" s="27"/>
    </row>
    <row r="207">
      <c r="I207" s="27"/>
    </row>
    <row r="208">
      <c r="I208" s="27"/>
    </row>
    <row r="209">
      <c r="I209" s="27"/>
    </row>
    <row r="210">
      <c r="I210" s="27"/>
    </row>
    <row r="211">
      <c r="I211" s="27"/>
    </row>
    <row r="212">
      <c r="I212" s="27"/>
    </row>
    <row r="213">
      <c r="I213" s="27"/>
    </row>
    <row r="214">
      <c r="I214" s="27"/>
    </row>
    <row r="215">
      <c r="I215" s="27"/>
    </row>
    <row r="216">
      <c r="I216" s="27"/>
    </row>
    <row r="217">
      <c r="I217" s="27"/>
    </row>
    <row r="218">
      <c r="I218" s="27"/>
    </row>
    <row r="219">
      <c r="I219" s="27"/>
    </row>
    <row r="220">
      <c r="I220" s="27"/>
    </row>
    <row r="221">
      <c r="I221" s="27"/>
    </row>
    <row r="222">
      <c r="I222" s="27"/>
    </row>
    <row r="223">
      <c r="I223" s="27"/>
    </row>
    <row r="224">
      <c r="I224" s="27"/>
    </row>
    <row r="225">
      <c r="I225" s="27"/>
    </row>
    <row r="226">
      <c r="I226" s="27"/>
    </row>
    <row r="227">
      <c r="I227" s="27"/>
    </row>
    <row r="228">
      <c r="I228" s="27"/>
    </row>
    <row r="229">
      <c r="I229" s="27"/>
    </row>
    <row r="230">
      <c r="I230" s="27"/>
    </row>
    <row r="231">
      <c r="I231" s="27"/>
    </row>
    <row r="232">
      <c r="I232" s="27"/>
    </row>
    <row r="233">
      <c r="I233" s="27"/>
    </row>
    <row r="234">
      <c r="I234" s="27"/>
    </row>
    <row r="235">
      <c r="I235" s="27"/>
    </row>
    <row r="236">
      <c r="I236" s="27"/>
    </row>
    <row r="237">
      <c r="I237" s="27"/>
    </row>
    <row r="238">
      <c r="I238" s="27"/>
    </row>
    <row r="239">
      <c r="I239" s="27"/>
    </row>
    <row r="240">
      <c r="I240" s="27"/>
    </row>
    <row r="241">
      <c r="I241" s="27"/>
    </row>
    <row r="242">
      <c r="I242" s="27"/>
    </row>
    <row r="243">
      <c r="I243" s="27"/>
    </row>
    <row r="244">
      <c r="I244" s="27"/>
    </row>
    <row r="245">
      <c r="I245" s="27"/>
    </row>
    <row r="246">
      <c r="I246" s="27"/>
    </row>
    <row r="247">
      <c r="I247" s="27"/>
    </row>
    <row r="248">
      <c r="I248" s="27"/>
    </row>
    <row r="249">
      <c r="I249" s="27"/>
    </row>
    <row r="250">
      <c r="I250" s="27"/>
    </row>
    <row r="251">
      <c r="I251" s="27"/>
    </row>
    <row r="252">
      <c r="I252" s="27"/>
    </row>
    <row r="253">
      <c r="I253" s="27"/>
    </row>
    <row r="254">
      <c r="I254" s="27"/>
    </row>
    <row r="255">
      <c r="I255" s="27"/>
    </row>
    <row r="256">
      <c r="I256" s="27"/>
    </row>
    <row r="257">
      <c r="I257" s="27"/>
    </row>
    <row r="258">
      <c r="I258" s="27"/>
    </row>
    <row r="259">
      <c r="I259" s="27"/>
    </row>
    <row r="260">
      <c r="I260" s="27"/>
    </row>
    <row r="261">
      <c r="I261" s="27"/>
    </row>
    <row r="262">
      <c r="I262" s="27"/>
    </row>
    <row r="263">
      <c r="I263" s="27"/>
    </row>
    <row r="264">
      <c r="I264" s="27"/>
    </row>
    <row r="265">
      <c r="I265" s="27"/>
    </row>
    <row r="266">
      <c r="I266" s="27"/>
    </row>
    <row r="267">
      <c r="I267" s="27"/>
    </row>
    <row r="268">
      <c r="I268" s="27"/>
    </row>
    <row r="269">
      <c r="I269" s="27"/>
    </row>
    <row r="270">
      <c r="I270" s="27"/>
    </row>
    <row r="271">
      <c r="I271" s="27"/>
    </row>
    <row r="272">
      <c r="I272" s="27"/>
    </row>
    <row r="273">
      <c r="I273" s="27"/>
    </row>
    <row r="274">
      <c r="I274" s="27"/>
    </row>
    <row r="275">
      <c r="I275" s="27"/>
    </row>
    <row r="276">
      <c r="I276" s="27"/>
    </row>
    <row r="277">
      <c r="I277" s="27"/>
    </row>
    <row r="278">
      <c r="I278" s="27"/>
    </row>
    <row r="279">
      <c r="I279" s="27"/>
    </row>
    <row r="280">
      <c r="I280" s="27"/>
    </row>
    <row r="281">
      <c r="I281" s="27"/>
    </row>
    <row r="282">
      <c r="I282" s="27"/>
    </row>
    <row r="283">
      <c r="I283" s="27"/>
    </row>
    <row r="284">
      <c r="I284" s="27"/>
    </row>
    <row r="285">
      <c r="I285" s="27"/>
    </row>
    <row r="286">
      <c r="I286" s="27"/>
    </row>
    <row r="287">
      <c r="I287" s="27"/>
    </row>
    <row r="288">
      <c r="I288" s="27"/>
    </row>
    <row r="289">
      <c r="I289" s="27"/>
    </row>
    <row r="290">
      <c r="I290" s="27"/>
    </row>
    <row r="291">
      <c r="I291" s="27"/>
    </row>
    <row r="292">
      <c r="I292" s="27"/>
    </row>
    <row r="293">
      <c r="I293" s="27"/>
    </row>
    <row r="294">
      <c r="I294" s="27"/>
    </row>
    <row r="295">
      <c r="I295" s="27"/>
    </row>
    <row r="296">
      <c r="I296" s="27"/>
    </row>
    <row r="297">
      <c r="I297" s="27"/>
    </row>
    <row r="298">
      <c r="I298" s="27"/>
    </row>
    <row r="299">
      <c r="I299" s="27"/>
    </row>
    <row r="300">
      <c r="I300" s="27"/>
    </row>
    <row r="301">
      <c r="I301" s="27"/>
    </row>
    <row r="302">
      <c r="I302" s="27"/>
    </row>
    <row r="303">
      <c r="I303" s="27"/>
    </row>
    <row r="304">
      <c r="I304" s="27"/>
    </row>
    <row r="305">
      <c r="I305" s="27"/>
    </row>
    <row r="306">
      <c r="I306" s="27"/>
    </row>
    <row r="307">
      <c r="I307" s="27"/>
    </row>
    <row r="308">
      <c r="I308" s="27"/>
    </row>
    <row r="309">
      <c r="I309" s="27"/>
    </row>
    <row r="310">
      <c r="I310" s="27"/>
    </row>
    <row r="311">
      <c r="I311" s="27"/>
    </row>
    <row r="312">
      <c r="I312" s="27"/>
    </row>
    <row r="313">
      <c r="I313" s="27"/>
    </row>
    <row r="314">
      <c r="I314" s="27"/>
    </row>
    <row r="315">
      <c r="I315" s="27"/>
    </row>
    <row r="316">
      <c r="I316" s="27"/>
    </row>
    <row r="317">
      <c r="I317" s="27"/>
    </row>
    <row r="318">
      <c r="I318" s="27"/>
    </row>
    <row r="319">
      <c r="I319" s="27"/>
    </row>
    <row r="320">
      <c r="I320" s="27"/>
    </row>
    <row r="321">
      <c r="I321" s="27"/>
    </row>
    <row r="322">
      <c r="I322" s="27"/>
    </row>
    <row r="323">
      <c r="I323" s="27"/>
    </row>
    <row r="324">
      <c r="I324" s="27"/>
    </row>
    <row r="325">
      <c r="I325" s="27"/>
    </row>
    <row r="326">
      <c r="I326" s="27"/>
    </row>
    <row r="327">
      <c r="I327" s="27"/>
    </row>
    <row r="328">
      <c r="I328" s="27"/>
    </row>
    <row r="329">
      <c r="I329" s="27"/>
    </row>
    <row r="330">
      <c r="I330" s="27"/>
    </row>
    <row r="331">
      <c r="I331" s="27"/>
    </row>
    <row r="332">
      <c r="I332" s="27"/>
    </row>
    <row r="333">
      <c r="I333" s="27"/>
    </row>
    <row r="334">
      <c r="I334" s="27"/>
    </row>
    <row r="335">
      <c r="I335" s="27"/>
    </row>
    <row r="336">
      <c r="I336" s="27"/>
    </row>
    <row r="337">
      <c r="I337" s="27"/>
    </row>
    <row r="338">
      <c r="I338" s="27"/>
    </row>
    <row r="339">
      <c r="I339" s="27"/>
    </row>
    <row r="340">
      <c r="I340" s="27"/>
    </row>
    <row r="341">
      <c r="I341" s="27"/>
    </row>
    <row r="342">
      <c r="I342" s="27"/>
    </row>
    <row r="343">
      <c r="I343" s="27"/>
    </row>
    <row r="344">
      <c r="I344" s="27"/>
    </row>
    <row r="345">
      <c r="I345" s="27"/>
    </row>
    <row r="346">
      <c r="I346" s="27"/>
    </row>
    <row r="347">
      <c r="I347" s="27"/>
    </row>
    <row r="348">
      <c r="I348" s="27"/>
    </row>
    <row r="349">
      <c r="I349" s="27"/>
    </row>
    <row r="350">
      <c r="I350" s="27"/>
    </row>
    <row r="351">
      <c r="I351" s="27"/>
    </row>
    <row r="352">
      <c r="I352" s="27"/>
    </row>
    <row r="353">
      <c r="I353" s="27"/>
    </row>
    <row r="354">
      <c r="I354" s="27"/>
    </row>
    <row r="355">
      <c r="I355" s="27"/>
    </row>
    <row r="356">
      <c r="I356" s="27"/>
    </row>
    <row r="357">
      <c r="I357" s="27"/>
    </row>
    <row r="358">
      <c r="I358" s="27"/>
    </row>
    <row r="359">
      <c r="I359" s="27"/>
    </row>
    <row r="360">
      <c r="I360" s="27"/>
    </row>
    <row r="361">
      <c r="I361" s="27"/>
    </row>
    <row r="362">
      <c r="I362" s="27"/>
    </row>
    <row r="363">
      <c r="I363" s="27"/>
    </row>
    <row r="364">
      <c r="I364" s="27"/>
    </row>
    <row r="365">
      <c r="I365" s="27"/>
    </row>
    <row r="366">
      <c r="I366" s="27"/>
    </row>
    <row r="367">
      <c r="I367" s="27"/>
    </row>
    <row r="368">
      <c r="I368" s="27"/>
    </row>
    <row r="369">
      <c r="I369" s="27"/>
    </row>
    <row r="370">
      <c r="I370" s="27"/>
    </row>
    <row r="371">
      <c r="I371" s="27"/>
    </row>
    <row r="372">
      <c r="I372" s="27"/>
    </row>
    <row r="373">
      <c r="I373" s="27"/>
    </row>
    <row r="374">
      <c r="I374" s="27"/>
    </row>
    <row r="375">
      <c r="I375" s="27"/>
    </row>
    <row r="376">
      <c r="I376" s="27"/>
    </row>
    <row r="377">
      <c r="I377" s="27"/>
    </row>
    <row r="378">
      <c r="I378" s="27"/>
    </row>
    <row r="379">
      <c r="I379" s="27"/>
    </row>
    <row r="380">
      <c r="I380" s="27"/>
    </row>
    <row r="381">
      <c r="I381" s="27"/>
    </row>
    <row r="382">
      <c r="I382" s="27"/>
    </row>
    <row r="383">
      <c r="I383" s="27"/>
    </row>
    <row r="384">
      <c r="I384" s="27"/>
    </row>
    <row r="385">
      <c r="I385" s="27"/>
    </row>
    <row r="386">
      <c r="I386" s="27"/>
    </row>
    <row r="387">
      <c r="I387" s="27"/>
    </row>
    <row r="388">
      <c r="I388" s="27"/>
    </row>
    <row r="389">
      <c r="I389" s="27"/>
    </row>
    <row r="390">
      <c r="I390" s="27"/>
    </row>
    <row r="391">
      <c r="I391" s="27"/>
    </row>
    <row r="392">
      <c r="I392" s="27"/>
    </row>
    <row r="393">
      <c r="I393" s="27"/>
    </row>
    <row r="394">
      <c r="I394" s="27"/>
    </row>
    <row r="395">
      <c r="I395" s="27"/>
    </row>
    <row r="396">
      <c r="I396" s="27"/>
    </row>
    <row r="397">
      <c r="I397" s="27"/>
    </row>
    <row r="398">
      <c r="I398" s="27"/>
    </row>
    <row r="399">
      <c r="I399" s="27"/>
    </row>
    <row r="400">
      <c r="I400" s="27"/>
    </row>
    <row r="401">
      <c r="I401" s="27"/>
    </row>
    <row r="402">
      <c r="I402" s="27"/>
    </row>
    <row r="403">
      <c r="I403" s="27"/>
    </row>
    <row r="404">
      <c r="I404" s="27"/>
    </row>
    <row r="405">
      <c r="I405" s="27"/>
    </row>
    <row r="406">
      <c r="I406" s="27"/>
    </row>
    <row r="407">
      <c r="I407" s="27"/>
    </row>
    <row r="408">
      <c r="I408" s="27"/>
    </row>
    <row r="409">
      <c r="I409" s="27"/>
    </row>
    <row r="410">
      <c r="I410" s="27"/>
    </row>
    <row r="411">
      <c r="I411" s="27"/>
    </row>
    <row r="412">
      <c r="I412" s="27"/>
    </row>
    <row r="413">
      <c r="I413" s="27"/>
    </row>
    <row r="414">
      <c r="I414" s="27"/>
    </row>
    <row r="415">
      <c r="I415" s="27"/>
    </row>
    <row r="416">
      <c r="I416" s="27"/>
    </row>
    <row r="417">
      <c r="I417" s="27"/>
    </row>
    <row r="418">
      <c r="I418" s="27"/>
    </row>
    <row r="419">
      <c r="I419" s="27"/>
    </row>
    <row r="420">
      <c r="I420" s="27"/>
    </row>
    <row r="421">
      <c r="I421" s="27"/>
    </row>
    <row r="422">
      <c r="I422" s="27"/>
    </row>
    <row r="423">
      <c r="I423" s="27"/>
    </row>
    <row r="424">
      <c r="I424" s="27"/>
    </row>
    <row r="425">
      <c r="I425" s="27"/>
    </row>
    <row r="426">
      <c r="I426" s="27"/>
    </row>
    <row r="427">
      <c r="I427" s="27"/>
    </row>
    <row r="428">
      <c r="I428" s="27"/>
    </row>
    <row r="429">
      <c r="I429" s="27"/>
    </row>
    <row r="430">
      <c r="I430" s="27"/>
    </row>
    <row r="431">
      <c r="I431" s="27"/>
    </row>
    <row r="432">
      <c r="I432" s="27"/>
    </row>
    <row r="433">
      <c r="I433" s="27"/>
    </row>
    <row r="434">
      <c r="I434" s="27"/>
    </row>
    <row r="435">
      <c r="I435" s="27"/>
    </row>
    <row r="436">
      <c r="I436" s="27"/>
    </row>
    <row r="437">
      <c r="I437" s="27"/>
    </row>
    <row r="438">
      <c r="I438" s="27"/>
    </row>
    <row r="439">
      <c r="I439" s="27"/>
    </row>
    <row r="440">
      <c r="I440" s="27"/>
    </row>
    <row r="441">
      <c r="I441" s="27"/>
    </row>
    <row r="442">
      <c r="I442" s="27"/>
    </row>
    <row r="443">
      <c r="I443" s="27"/>
    </row>
    <row r="444">
      <c r="I444" s="27"/>
    </row>
    <row r="445">
      <c r="I445" s="27"/>
    </row>
    <row r="446">
      <c r="I446" s="27"/>
    </row>
    <row r="447">
      <c r="I447" s="27"/>
    </row>
    <row r="448">
      <c r="I448" s="27"/>
    </row>
    <row r="449">
      <c r="I449" s="27"/>
    </row>
    <row r="450">
      <c r="I450" s="27"/>
    </row>
    <row r="451">
      <c r="I451" s="27"/>
    </row>
    <row r="452">
      <c r="I452" s="27"/>
    </row>
    <row r="453">
      <c r="I453" s="27"/>
    </row>
    <row r="454">
      <c r="I454" s="27"/>
    </row>
    <row r="455">
      <c r="I455" s="27"/>
    </row>
    <row r="456">
      <c r="I456" s="27"/>
    </row>
    <row r="457">
      <c r="I457" s="27"/>
    </row>
    <row r="458">
      <c r="I458" s="27"/>
    </row>
    <row r="459">
      <c r="I459" s="27"/>
    </row>
    <row r="460">
      <c r="I460" s="27"/>
    </row>
    <row r="461">
      <c r="I461" s="27"/>
    </row>
    <row r="462">
      <c r="I462" s="27"/>
    </row>
    <row r="463">
      <c r="I463" s="27"/>
    </row>
    <row r="464">
      <c r="I464" s="27"/>
    </row>
    <row r="465">
      <c r="I465" s="27"/>
    </row>
    <row r="466">
      <c r="I466" s="27"/>
    </row>
    <row r="467">
      <c r="I467" s="27"/>
    </row>
    <row r="468">
      <c r="I468" s="27"/>
    </row>
    <row r="469">
      <c r="I469" s="27"/>
    </row>
    <row r="470">
      <c r="I470" s="27"/>
    </row>
    <row r="471">
      <c r="I471" s="27"/>
    </row>
    <row r="472">
      <c r="I472" s="27"/>
    </row>
    <row r="473">
      <c r="I473" s="27"/>
    </row>
    <row r="474">
      <c r="I474" s="27"/>
    </row>
    <row r="475">
      <c r="I475" s="27"/>
    </row>
    <row r="476">
      <c r="I476" s="27"/>
    </row>
    <row r="477">
      <c r="I477" s="27"/>
    </row>
    <row r="478">
      <c r="I478" s="27"/>
    </row>
    <row r="479">
      <c r="I479" s="27"/>
    </row>
    <row r="480">
      <c r="I480" s="27"/>
    </row>
    <row r="481">
      <c r="I481" s="27"/>
    </row>
    <row r="482">
      <c r="I482" s="27"/>
    </row>
    <row r="483">
      <c r="I483" s="27"/>
    </row>
    <row r="484">
      <c r="I484" s="27"/>
    </row>
    <row r="485">
      <c r="I485" s="27"/>
    </row>
    <row r="486">
      <c r="I486" s="27"/>
    </row>
    <row r="487">
      <c r="I487" s="27"/>
    </row>
    <row r="488">
      <c r="I488" s="27"/>
    </row>
    <row r="489">
      <c r="I489" s="27"/>
    </row>
    <row r="490">
      <c r="I490" s="27"/>
    </row>
    <row r="491">
      <c r="I491" s="27"/>
    </row>
    <row r="492">
      <c r="I492" s="27"/>
    </row>
    <row r="493">
      <c r="I493" s="27"/>
    </row>
    <row r="494">
      <c r="I494" s="27"/>
    </row>
    <row r="495">
      <c r="I495" s="27"/>
    </row>
    <row r="496">
      <c r="I496" s="27"/>
    </row>
    <row r="497">
      <c r="I497" s="27"/>
    </row>
    <row r="498">
      <c r="I498" s="27"/>
    </row>
    <row r="499">
      <c r="I499" s="27"/>
    </row>
    <row r="500">
      <c r="I500" s="27"/>
    </row>
    <row r="501">
      <c r="I501" s="27"/>
    </row>
    <row r="502">
      <c r="I502" s="27"/>
    </row>
    <row r="503">
      <c r="I503" s="27"/>
    </row>
    <row r="504">
      <c r="I504" s="27"/>
    </row>
    <row r="505">
      <c r="I505" s="27"/>
    </row>
    <row r="506">
      <c r="I506" s="27"/>
    </row>
    <row r="507">
      <c r="I507" s="27"/>
    </row>
    <row r="508">
      <c r="I508" s="27"/>
    </row>
    <row r="509">
      <c r="I509" s="27"/>
    </row>
    <row r="510">
      <c r="I510" s="27"/>
    </row>
    <row r="511">
      <c r="I511" s="27"/>
    </row>
    <row r="512">
      <c r="I512" s="27"/>
    </row>
    <row r="513">
      <c r="I513" s="27"/>
    </row>
    <row r="514">
      <c r="I514" s="27"/>
    </row>
    <row r="515">
      <c r="I515" s="27"/>
    </row>
    <row r="516">
      <c r="I516" s="27"/>
    </row>
    <row r="517">
      <c r="I517" s="27"/>
    </row>
    <row r="518">
      <c r="I518" s="27"/>
    </row>
    <row r="519">
      <c r="I519" s="27"/>
    </row>
    <row r="520">
      <c r="I520" s="27"/>
    </row>
    <row r="521">
      <c r="I521" s="27"/>
    </row>
    <row r="522">
      <c r="I522" s="27"/>
    </row>
    <row r="523">
      <c r="I523" s="27"/>
    </row>
    <row r="524">
      <c r="I524" s="27"/>
    </row>
    <row r="525">
      <c r="I525" s="27"/>
    </row>
    <row r="526">
      <c r="I526" s="27"/>
    </row>
    <row r="527">
      <c r="I527" s="27"/>
    </row>
    <row r="528">
      <c r="I528" s="27"/>
    </row>
    <row r="529">
      <c r="I529" s="27"/>
    </row>
    <row r="530">
      <c r="I530" s="27"/>
    </row>
    <row r="531">
      <c r="I531" s="27"/>
    </row>
    <row r="532">
      <c r="I532" s="27"/>
    </row>
    <row r="533">
      <c r="I533" s="27"/>
    </row>
    <row r="534">
      <c r="I534" s="27"/>
    </row>
    <row r="535">
      <c r="I535" s="27"/>
    </row>
    <row r="536">
      <c r="I536" s="27"/>
    </row>
    <row r="537">
      <c r="I537" s="27"/>
    </row>
    <row r="538">
      <c r="I538" s="27"/>
    </row>
    <row r="539">
      <c r="I539" s="27"/>
    </row>
    <row r="540">
      <c r="I540" s="27"/>
    </row>
    <row r="541">
      <c r="I541" s="27"/>
    </row>
    <row r="542">
      <c r="I542" s="27"/>
    </row>
    <row r="543">
      <c r="I543" s="27"/>
    </row>
    <row r="544">
      <c r="I544" s="27"/>
    </row>
    <row r="545">
      <c r="I545" s="27"/>
    </row>
    <row r="546">
      <c r="I546" s="27"/>
    </row>
    <row r="547">
      <c r="I547" s="27"/>
    </row>
    <row r="548">
      <c r="I548" s="27"/>
    </row>
    <row r="549">
      <c r="I549" s="27"/>
    </row>
    <row r="550">
      <c r="I550" s="27"/>
    </row>
    <row r="551">
      <c r="I551" s="27"/>
    </row>
    <row r="552">
      <c r="I552" s="27"/>
    </row>
    <row r="553">
      <c r="I553" s="27"/>
    </row>
    <row r="554">
      <c r="I554" s="27"/>
    </row>
    <row r="555">
      <c r="I555" s="27"/>
    </row>
    <row r="556">
      <c r="I556" s="27"/>
    </row>
    <row r="557">
      <c r="I557" s="27"/>
    </row>
    <row r="558">
      <c r="I558" s="27"/>
    </row>
    <row r="559">
      <c r="I559" s="27"/>
    </row>
    <row r="560">
      <c r="I560" s="27"/>
    </row>
    <row r="561">
      <c r="I561" s="27"/>
    </row>
    <row r="562">
      <c r="I562" s="27"/>
    </row>
    <row r="563">
      <c r="I563" s="27"/>
    </row>
    <row r="564">
      <c r="I564" s="27"/>
    </row>
    <row r="565">
      <c r="I565" s="27"/>
    </row>
    <row r="566">
      <c r="I566" s="27"/>
    </row>
    <row r="567">
      <c r="I567" s="27"/>
    </row>
    <row r="568">
      <c r="I568" s="27"/>
    </row>
    <row r="569">
      <c r="I569" s="27"/>
    </row>
    <row r="570">
      <c r="I570" s="27"/>
    </row>
    <row r="571">
      <c r="I571" s="27"/>
    </row>
    <row r="572">
      <c r="I572" s="27"/>
    </row>
    <row r="573">
      <c r="I573" s="27"/>
    </row>
    <row r="574">
      <c r="I574" s="27"/>
    </row>
    <row r="575">
      <c r="I575" s="27"/>
    </row>
    <row r="576">
      <c r="I576" s="27"/>
    </row>
    <row r="577">
      <c r="I577" s="27"/>
    </row>
    <row r="578">
      <c r="I578" s="27"/>
    </row>
    <row r="579">
      <c r="I579" s="27"/>
    </row>
    <row r="580">
      <c r="I580" s="27"/>
    </row>
    <row r="581">
      <c r="I581" s="27"/>
    </row>
    <row r="582">
      <c r="I582" s="27"/>
    </row>
    <row r="583">
      <c r="I583" s="27"/>
    </row>
    <row r="584">
      <c r="I584" s="27"/>
    </row>
    <row r="585">
      <c r="I585" s="27"/>
    </row>
    <row r="586">
      <c r="I586" s="27"/>
    </row>
    <row r="587">
      <c r="I587" s="27"/>
    </row>
    <row r="588">
      <c r="I588" s="27"/>
    </row>
    <row r="589">
      <c r="I589" s="27"/>
    </row>
    <row r="590">
      <c r="I590" s="27"/>
    </row>
    <row r="591">
      <c r="I591" s="27"/>
    </row>
    <row r="592">
      <c r="I592" s="27"/>
    </row>
    <row r="593">
      <c r="I593" s="27"/>
    </row>
    <row r="594">
      <c r="I594" s="27"/>
    </row>
    <row r="595">
      <c r="I595" s="27"/>
    </row>
    <row r="596">
      <c r="I596" s="27"/>
    </row>
    <row r="597">
      <c r="I597" s="27"/>
    </row>
    <row r="598">
      <c r="I598" s="27"/>
    </row>
    <row r="599">
      <c r="I599" s="27"/>
    </row>
    <row r="600">
      <c r="I600" s="27"/>
    </row>
    <row r="601">
      <c r="I601" s="27"/>
    </row>
    <row r="602">
      <c r="I602" s="27"/>
    </row>
    <row r="603">
      <c r="I603" s="27"/>
    </row>
    <row r="604">
      <c r="I604" s="27"/>
    </row>
    <row r="605">
      <c r="I605" s="27"/>
    </row>
    <row r="606">
      <c r="I606" s="27"/>
    </row>
    <row r="607">
      <c r="I607" s="27"/>
    </row>
    <row r="608">
      <c r="I608" s="27"/>
    </row>
    <row r="609">
      <c r="I609" s="27"/>
    </row>
    <row r="610">
      <c r="I610" s="27"/>
    </row>
    <row r="611">
      <c r="I611" s="27"/>
    </row>
    <row r="612">
      <c r="I612" s="27"/>
    </row>
    <row r="613">
      <c r="I613" s="27"/>
    </row>
    <row r="614">
      <c r="I614" s="27"/>
    </row>
    <row r="615">
      <c r="I615" s="27"/>
    </row>
    <row r="616">
      <c r="I616" s="27"/>
    </row>
    <row r="617">
      <c r="I617" s="27"/>
    </row>
    <row r="618">
      <c r="I618" s="27"/>
    </row>
    <row r="619">
      <c r="I619" s="27"/>
    </row>
    <row r="620">
      <c r="I620" s="27"/>
    </row>
    <row r="621">
      <c r="I621" s="27"/>
    </row>
    <row r="622">
      <c r="I622" s="27"/>
    </row>
    <row r="623">
      <c r="I623" s="27"/>
    </row>
    <row r="624">
      <c r="I624" s="27"/>
    </row>
    <row r="625">
      <c r="I625" s="27"/>
    </row>
    <row r="626">
      <c r="I626" s="27"/>
    </row>
    <row r="627">
      <c r="I627" s="27"/>
    </row>
    <row r="628">
      <c r="I628" s="27"/>
    </row>
    <row r="629">
      <c r="I629" s="27"/>
    </row>
    <row r="630">
      <c r="I630" s="27"/>
    </row>
    <row r="631">
      <c r="I631" s="27"/>
    </row>
    <row r="632">
      <c r="I632" s="27"/>
    </row>
    <row r="633">
      <c r="I633" s="27"/>
    </row>
    <row r="634">
      <c r="I634" s="27"/>
    </row>
    <row r="635">
      <c r="I635" s="27"/>
    </row>
    <row r="636">
      <c r="I636" s="27"/>
    </row>
    <row r="637">
      <c r="I637" s="27"/>
    </row>
    <row r="638">
      <c r="I638" s="27"/>
    </row>
    <row r="639">
      <c r="I639" s="27"/>
    </row>
    <row r="640">
      <c r="I640" s="27"/>
    </row>
    <row r="641">
      <c r="I641" s="27"/>
    </row>
    <row r="642">
      <c r="I642" s="27"/>
    </row>
    <row r="643">
      <c r="I643" s="27"/>
    </row>
    <row r="644">
      <c r="I644" s="27"/>
    </row>
    <row r="645">
      <c r="I645" s="27"/>
    </row>
    <row r="646">
      <c r="I646" s="27"/>
    </row>
    <row r="647">
      <c r="I647" s="27"/>
    </row>
    <row r="648">
      <c r="I648" s="27"/>
    </row>
    <row r="649">
      <c r="I649" s="27"/>
    </row>
    <row r="650">
      <c r="I650" s="27"/>
    </row>
    <row r="651">
      <c r="I651" s="27"/>
    </row>
    <row r="652">
      <c r="I652" s="27"/>
    </row>
    <row r="653">
      <c r="I653" s="27"/>
    </row>
    <row r="654">
      <c r="I654" s="27"/>
    </row>
    <row r="655">
      <c r="I655" s="27"/>
    </row>
    <row r="656">
      <c r="I656" s="27"/>
    </row>
    <row r="657">
      <c r="I657" s="27"/>
    </row>
    <row r="658">
      <c r="I658" s="27"/>
    </row>
    <row r="659">
      <c r="I659" s="27"/>
    </row>
    <row r="660">
      <c r="I660" s="27"/>
    </row>
    <row r="661">
      <c r="I661" s="27"/>
    </row>
    <row r="662">
      <c r="I662" s="27"/>
    </row>
    <row r="663">
      <c r="I663" s="27"/>
    </row>
    <row r="664">
      <c r="I664" s="27"/>
    </row>
    <row r="665">
      <c r="I665" s="27"/>
    </row>
    <row r="666">
      <c r="I666" s="27"/>
    </row>
    <row r="667">
      <c r="I667" s="27"/>
    </row>
    <row r="668">
      <c r="I668" s="27"/>
    </row>
    <row r="669">
      <c r="I669" s="27"/>
    </row>
    <row r="670">
      <c r="I670" s="27"/>
    </row>
    <row r="671">
      <c r="I671" s="27"/>
    </row>
    <row r="672">
      <c r="I672" s="27"/>
    </row>
    <row r="673">
      <c r="I673" s="27"/>
    </row>
    <row r="674">
      <c r="I674" s="27"/>
    </row>
    <row r="675">
      <c r="I675" s="27"/>
    </row>
    <row r="676">
      <c r="I676" s="27"/>
    </row>
    <row r="677">
      <c r="I677" s="27"/>
    </row>
    <row r="678">
      <c r="I678" s="27"/>
    </row>
    <row r="679">
      <c r="I679" s="27"/>
    </row>
    <row r="680">
      <c r="I680" s="27"/>
    </row>
    <row r="681">
      <c r="I681" s="27"/>
    </row>
    <row r="682">
      <c r="I682" s="27"/>
    </row>
    <row r="683">
      <c r="I683" s="27"/>
    </row>
    <row r="684">
      <c r="I684" s="27"/>
    </row>
    <row r="685">
      <c r="I685" s="27"/>
    </row>
    <row r="686">
      <c r="I686" s="27"/>
    </row>
    <row r="687">
      <c r="I687" s="27"/>
    </row>
    <row r="688">
      <c r="I688" s="27"/>
    </row>
    <row r="689">
      <c r="I689" s="27"/>
    </row>
    <row r="690">
      <c r="I690" s="27"/>
    </row>
    <row r="691">
      <c r="I691" s="27"/>
    </row>
    <row r="692">
      <c r="I692" s="27"/>
    </row>
    <row r="693">
      <c r="I693" s="27"/>
    </row>
    <row r="694">
      <c r="I694" s="27"/>
    </row>
    <row r="695">
      <c r="I695" s="27"/>
    </row>
    <row r="696">
      <c r="I696" s="27"/>
    </row>
    <row r="697">
      <c r="I697" s="27"/>
    </row>
    <row r="698">
      <c r="I698" s="27"/>
    </row>
    <row r="699">
      <c r="I699" s="27"/>
    </row>
    <row r="700">
      <c r="I700" s="27"/>
    </row>
    <row r="701">
      <c r="I701" s="27"/>
    </row>
    <row r="702">
      <c r="I702" s="27"/>
    </row>
    <row r="703">
      <c r="I703" s="27"/>
    </row>
    <row r="704">
      <c r="I704" s="27"/>
    </row>
    <row r="705">
      <c r="I705" s="27"/>
    </row>
    <row r="706">
      <c r="I706" s="27"/>
    </row>
    <row r="707">
      <c r="I707" s="27"/>
    </row>
    <row r="708">
      <c r="I708" s="27"/>
    </row>
    <row r="709">
      <c r="I709" s="27"/>
    </row>
    <row r="710">
      <c r="I710" s="27"/>
    </row>
    <row r="711">
      <c r="I711" s="27"/>
    </row>
    <row r="712">
      <c r="I712" s="27"/>
    </row>
    <row r="713">
      <c r="I713" s="27"/>
    </row>
    <row r="714">
      <c r="I714" s="27"/>
    </row>
    <row r="715">
      <c r="I715" s="27"/>
    </row>
    <row r="716">
      <c r="I716" s="27"/>
    </row>
    <row r="717">
      <c r="I717" s="27"/>
    </row>
    <row r="718">
      <c r="I718" s="27"/>
    </row>
    <row r="719">
      <c r="I719" s="27"/>
    </row>
    <row r="720">
      <c r="I720" s="27"/>
    </row>
    <row r="721">
      <c r="I721" s="27"/>
    </row>
    <row r="722">
      <c r="I722" s="27"/>
    </row>
    <row r="723">
      <c r="I723" s="27"/>
    </row>
    <row r="724">
      <c r="I724" s="27"/>
    </row>
    <row r="725">
      <c r="I725" s="27"/>
    </row>
    <row r="726">
      <c r="I726" s="27"/>
    </row>
    <row r="727">
      <c r="I727" s="27"/>
    </row>
    <row r="728">
      <c r="I728" s="27"/>
    </row>
    <row r="729">
      <c r="I729" s="27"/>
    </row>
    <row r="730">
      <c r="I730" s="27"/>
    </row>
    <row r="731">
      <c r="I731" s="27"/>
    </row>
    <row r="732">
      <c r="I732" s="27"/>
    </row>
    <row r="733">
      <c r="I733" s="27"/>
    </row>
    <row r="734">
      <c r="I734" s="27"/>
    </row>
    <row r="735">
      <c r="I735" s="27"/>
    </row>
    <row r="736">
      <c r="I736" s="27"/>
    </row>
    <row r="737">
      <c r="I737" s="27"/>
    </row>
    <row r="738">
      <c r="I738" s="27"/>
    </row>
    <row r="739">
      <c r="I739" s="27"/>
    </row>
    <row r="740">
      <c r="I740" s="27"/>
    </row>
    <row r="741">
      <c r="I741" s="27"/>
    </row>
    <row r="742">
      <c r="I742" s="27"/>
    </row>
    <row r="743">
      <c r="I743" s="27"/>
    </row>
    <row r="744">
      <c r="I744" s="27"/>
    </row>
    <row r="745">
      <c r="I745" s="27"/>
    </row>
    <row r="746">
      <c r="I746" s="27"/>
    </row>
    <row r="747">
      <c r="I747" s="27"/>
    </row>
    <row r="748">
      <c r="I748" s="27"/>
    </row>
    <row r="749">
      <c r="I749" s="27"/>
    </row>
    <row r="750">
      <c r="I750" s="27"/>
    </row>
    <row r="751">
      <c r="I751" s="27"/>
    </row>
    <row r="752">
      <c r="I752" s="27"/>
    </row>
    <row r="753">
      <c r="I753" s="27"/>
    </row>
    <row r="754">
      <c r="I754" s="27"/>
    </row>
    <row r="755">
      <c r="I755" s="27"/>
    </row>
    <row r="756">
      <c r="I756" s="27"/>
    </row>
    <row r="757">
      <c r="I757" s="27"/>
    </row>
    <row r="758">
      <c r="I758" s="27"/>
    </row>
    <row r="759">
      <c r="I759" s="27"/>
    </row>
    <row r="760">
      <c r="I760" s="27"/>
    </row>
    <row r="761">
      <c r="I761" s="27"/>
    </row>
    <row r="762">
      <c r="I762" s="27"/>
    </row>
    <row r="763">
      <c r="I763" s="27"/>
    </row>
    <row r="764">
      <c r="I764" s="27"/>
    </row>
    <row r="765">
      <c r="I765" s="27"/>
    </row>
    <row r="766">
      <c r="I766" s="27"/>
    </row>
    <row r="767">
      <c r="I767" s="27"/>
    </row>
    <row r="768">
      <c r="I768" s="27"/>
    </row>
    <row r="769">
      <c r="I769" s="27"/>
    </row>
    <row r="770">
      <c r="I770" s="27"/>
    </row>
    <row r="771">
      <c r="I771" s="27"/>
    </row>
    <row r="772">
      <c r="I772" s="27"/>
    </row>
    <row r="773">
      <c r="I773" s="27"/>
    </row>
    <row r="774">
      <c r="I774" s="27"/>
    </row>
    <row r="775">
      <c r="I775" s="27"/>
    </row>
    <row r="776">
      <c r="I776" s="27"/>
    </row>
    <row r="777">
      <c r="I777" s="27"/>
    </row>
    <row r="778">
      <c r="I778" s="27"/>
    </row>
    <row r="779">
      <c r="I779" s="27"/>
    </row>
    <row r="780">
      <c r="I780" s="27"/>
    </row>
    <row r="781">
      <c r="I781" s="27"/>
    </row>
    <row r="782">
      <c r="I782" s="27"/>
    </row>
    <row r="783">
      <c r="I783" s="27"/>
    </row>
    <row r="784">
      <c r="I784" s="27"/>
    </row>
    <row r="785">
      <c r="I785" s="27"/>
    </row>
    <row r="786">
      <c r="I786" s="27"/>
    </row>
    <row r="787">
      <c r="I787" s="27"/>
    </row>
    <row r="788">
      <c r="I788" s="27"/>
    </row>
    <row r="789">
      <c r="I789" s="27"/>
    </row>
    <row r="790">
      <c r="I790" s="27"/>
    </row>
    <row r="791">
      <c r="I791" s="27"/>
    </row>
    <row r="792">
      <c r="I792" s="27"/>
    </row>
    <row r="793">
      <c r="I793" s="27"/>
    </row>
    <row r="794">
      <c r="I794" s="27"/>
    </row>
    <row r="795">
      <c r="I795" s="27"/>
    </row>
    <row r="796">
      <c r="I796" s="27"/>
    </row>
    <row r="797">
      <c r="I797" s="27"/>
    </row>
    <row r="798">
      <c r="I798" s="27"/>
    </row>
    <row r="799">
      <c r="I799" s="27"/>
    </row>
    <row r="800">
      <c r="I800" s="27"/>
    </row>
    <row r="801">
      <c r="I801" s="27"/>
    </row>
    <row r="802">
      <c r="I802" s="27"/>
    </row>
    <row r="803">
      <c r="I803" s="27"/>
    </row>
    <row r="804">
      <c r="I804" s="27"/>
    </row>
    <row r="805">
      <c r="I805" s="27"/>
    </row>
    <row r="806">
      <c r="I806" s="27"/>
    </row>
    <row r="807">
      <c r="I807" s="27"/>
    </row>
    <row r="808">
      <c r="I808" s="27"/>
    </row>
    <row r="809">
      <c r="I809" s="27"/>
    </row>
    <row r="810">
      <c r="I810" s="27"/>
    </row>
    <row r="811">
      <c r="I811" s="27"/>
    </row>
    <row r="812">
      <c r="I812" s="27"/>
    </row>
    <row r="813">
      <c r="I813" s="27"/>
    </row>
    <row r="814">
      <c r="I814" s="27"/>
    </row>
    <row r="815">
      <c r="I815" s="27"/>
    </row>
    <row r="816">
      <c r="I816" s="27"/>
    </row>
    <row r="817">
      <c r="I817" s="27"/>
    </row>
    <row r="818">
      <c r="I818" s="27"/>
    </row>
    <row r="819">
      <c r="I819" s="27"/>
    </row>
    <row r="820">
      <c r="I820" s="27"/>
    </row>
    <row r="821">
      <c r="I821" s="27"/>
    </row>
    <row r="822">
      <c r="I822" s="27"/>
    </row>
    <row r="823">
      <c r="I823" s="27"/>
    </row>
    <row r="824">
      <c r="I824" s="27"/>
    </row>
    <row r="825">
      <c r="I825" s="27"/>
    </row>
    <row r="826">
      <c r="I826" s="27"/>
    </row>
    <row r="827">
      <c r="I827" s="27"/>
    </row>
    <row r="828">
      <c r="I828" s="27"/>
    </row>
    <row r="829">
      <c r="I829" s="27"/>
    </row>
    <row r="830">
      <c r="I830" s="27"/>
    </row>
    <row r="831">
      <c r="I831" s="27"/>
    </row>
    <row r="832">
      <c r="I832" s="27"/>
    </row>
    <row r="833">
      <c r="I833" s="27"/>
    </row>
    <row r="834">
      <c r="I834" s="27"/>
    </row>
    <row r="835">
      <c r="I835" s="27"/>
    </row>
    <row r="836">
      <c r="I836" s="27"/>
    </row>
    <row r="837">
      <c r="I837" s="27"/>
    </row>
    <row r="838">
      <c r="I838" s="27"/>
    </row>
    <row r="839">
      <c r="I839" s="27"/>
    </row>
    <row r="840">
      <c r="I840" s="27"/>
    </row>
    <row r="841">
      <c r="I841" s="27"/>
    </row>
    <row r="842">
      <c r="I842" s="27"/>
    </row>
    <row r="843">
      <c r="I843" s="27"/>
    </row>
    <row r="844">
      <c r="I844" s="27"/>
    </row>
    <row r="845">
      <c r="I845" s="27"/>
    </row>
    <row r="846">
      <c r="I846" s="27"/>
    </row>
    <row r="847">
      <c r="I847" s="27"/>
    </row>
    <row r="848">
      <c r="I848" s="27"/>
    </row>
    <row r="849">
      <c r="I849" s="27"/>
    </row>
    <row r="850">
      <c r="I850" s="27"/>
    </row>
    <row r="851">
      <c r="I851" s="27"/>
    </row>
    <row r="852">
      <c r="I852" s="27"/>
    </row>
    <row r="853">
      <c r="I853" s="27"/>
    </row>
    <row r="854">
      <c r="I854" s="27"/>
    </row>
    <row r="855">
      <c r="I855" s="27"/>
    </row>
    <row r="856">
      <c r="I856" s="27"/>
    </row>
    <row r="857">
      <c r="I857" s="27"/>
    </row>
    <row r="858">
      <c r="I858" s="27"/>
    </row>
    <row r="859">
      <c r="I859" s="27"/>
    </row>
    <row r="860">
      <c r="I860" s="27"/>
    </row>
    <row r="861">
      <c r="I861" s="27"/>
    </row>
    <row r="862">
      <c r="I862" s="27"/>
    </row>
    <row r="863">
      <c r="I863" s="27"/>
    </row>
    <row r="864">
      <c r="I864" s="27"/>
    </row>
    <row r="865">
      <c r="I865" s="27"/>
    </row>
    <row r="866">
      <c r="I866" s="27"/>
    </row>
    <row r="867">
      <c r="I867" s="27"/>
    </row>
    <row r="868">
      <c r="I868" s="27"/>
    </row>
    <row r="869">
      <c r="I869" s="27"/>
    </row>
    <row r="870">
      <c r="I870" s="27"/>
    </row>
    <row r="871">
      <c r="I871" s="27"/>
    </row>
    <row r="872">
      <c r="I872" s="27"/>
    </row>
    <row r="873">
      <c r="I873" s="27"/>
    </row>
    <row r="874">
      <c r="I874" s="27"/>
    </row>
    <row r="875">
      <c r="I875" s="27"/>
    </row>
    <row r="876">
      <c r="I876" s="27"/>
    </row>
    <row r="877">
      <c r="I877" s="27"/>
    </row>
    <row r="878">
      <c r="I878" s="27"/>
    </row>
    <row r="879">
      <c r="I879" s="27"/>
    </row>
    <row r="880">
      <c r="I880" s="27"/>
    </row>
    <row r="881">
      <c r="I881" s="27"/>
    </row>
    <row r="882">
      <c r="I882" s="27"/>
    </row>
    <row r="883">
      <c r="I883" s="27"/>
    </row>
    <row r="884">
      <c r="I884" s="27"/>
    </row>
    <row r="885">
      <c r="I885" s="27"/>
    </row>
    <row r="886">
      <c r="I886" s="27"/>
    </row>
    <row r="887">
      <c r="I887" s="27"/>
    </row>
    <row r="888">
      <c r="I888" s="27"/>
    </row>
    <row r="889">
      <c r="I889" s="27"/>
    </row>
    <row r="890">
      <c r="I890" s="27"/>
    </row>
    <row r="891">
      <c r="I891" s="27"/>
    </row>
    <row r="892">
      <c r="I892" s="27"/>
    </row>
    <row r="893">
      <c r="I893" s="27"/>
    </row>
    <row r="894">
      <c r="I894" s="27"/>
    </row>
    <row r="895">
      <c r="I895" s="27"/>
    </row>
    <row r="896">
      <c r="I896" s="27"/>
    </row>
    <row r="897">
      <c r="I897" s="27"/>
    </row>
    <row r="898">
      <c r="I898" s="27"/>
    </row>
    <row r="899">
      <c r="I899" s="27"/>
    </row>
    <row r="900">
      <c r="I900" s="27"/>
    </row>
    <row r="901">
      <c r="I901" s="27"/>
    </row>
    <row r="902">
      <c r="I902" s="27"/>
    </row>
    <row r="903">
      <c r="I903" s="27"/>
    </row>
    <row r="904">
      <c r="I904" s="27"/>
    </row>
    <row r="905">
      <c r="I905" s="27"/>
    </row>
    <row r="906">
      <c r="I906" s="27"/>
    </row>
    <row r="907">
      <c r="I907" s="27"/>
    </row>
    <row r="908">
      <c r="I908" s="27"/>
    </row>
    <row r="909">
      <c r="I909" s="27"/>
    </row>
    <row r="910">
      <c r="I910" s="27"/>
    </row>
    <row r="911">
      <c r="I911" s="27"/>
    </row>
    <row r="912">
      <c r="I912" s="27"/>
    </row>
    <row r="913">
      <c r="I913" s="27"/>
    </row>
    <row r="914">
      <c r="I914" s="27"/>
    </row>
    <row r="915">
      <c r="I915" s="27"/>
    </row>
    <row r="916">
      <c r="I916" s="27"/>
    </row>
    <row r="917">
      <c r="I917" s="27"/>
    </row>
    <row r="918">
      <c r="I918" s="27"/>
    </row>
    <row r="919">
      <c r="I919" s="27"/>
    </row>
    <row r="920">
      <c r="I920" s="27"/>
    </row>
    <row r="921">
      <c r="I921" s="27"/>
    </row>
    <row r="922">
      <c r="I922" s="27"/>
    </row>
    <row r="923">
      <c r="I923" s="27"/>
    </row>
    <row r="924">
      <c r="I924" s="27"/>
    </row>
    <row r="925">
      <c r="I925" s="27"/>
    </row>
    <row r="926">
      <c r="I926" s="27"/>
    </row>
    <row r="927">
      <c r="I927" s="27"/>
    </row>
    <row r="928">
      <c r="I928" s="27"/>
    </row>
    <row r="929">
      <c r="I929" s="27"/>
    </row>
    <row r="930">
      <c r="I930" s="27"/>
    </row>
    <row r="931">
      <c r="I931" s="27"/>
    </row>
    <row r="932">
      <c r="I932" s="27"/>
    </row>
    <row r="933">
      <c r="I933" s="27"/>
    </row>
    <row r="934">
      <c r="I934" s="27"/>
    </row>
    <row r="935">
      <c r="I935" s="27"/>
    </row>
    <row r="936">
      <c r="I936" s="27"/>
    </row>
    <row r="937">
      <c r="I937" s="27"/>
    </row>
    <row r="938">
      <c r="I938" s="27"/>
    </row>
    <row r="939">
      <c r="I939" s="27"/>
    </row>
    <row r="940">
      <c r="I940" s="27"/>
    </row>
    <row r="941">
      <c r="I941" s="27"/>
    </row>
    <row r="942">
      <c r="I942" s="27"/>
    </row>
    <row r="943">
      <c r="I943" s="27"/>
    </row>
    <row r="944">
      <c r="I944" s="27"/>
    </row>
    <row r="945">
      <c r="I945" s="27"/>
    </row>
    <row r="946">
      <c r="I946" s="27"/>
    </row>
    <row r="947">
      <c r="I947" s="27"/>
    </row>
    <row r="948">
      <c r="I948" s="27"/>
    </row>
    <row r="949">
      <c r="I949" s="27"/>
    </row>
    <row r="950">
      <c r="I950" s="27"/>
    </row>
    <row r="951">
      <c r="I951" s="27"/>
    </row>
    <row r="952">
      <c r="I952" s="27"/>
    </row>
    <row r="953">
      <c r="I953" s="27"/>
    </row>
    <row r="954">
      <c r="I954" s="27"/>
    </row>
    <row r="955">
      <c r="I955" s="27"/>
    </row>
    <row r="956">
      <c r="I956" s="27"/>
    </row>
    <row r="957">
      <c r="I957" s="27"/>
    </row>
    <row r="958">
      <c r="I958" s="27"/>
    </row>
    <row r="959">
      <c r="I959" s="27"/>
    </row>
    <row r="960">
      <c r="I960" s="27"/>
    </row>
    <row r="961">
      <c r="I961" s="27"/>
    </row>
    <row r="962">
      <c r="I962" s="27"/>
    </row>
    <row r="963">
      <c r="I963" s="27"/>
    </row>
    <row r="964">
      <c r="I964" s="27"/>
    </row>
    <row r="965">
      <c r="I965" s="27"/>
    </row>
    <row r="966">
      <c r="I966" s="27"/>
    </row>
    <row r="967">
      <c r="I967" s="27"/>
    </row>
    <row r="968">
      <c r="I968" s="27"/>
    </row>
    <row r="969">
      <c r="I969" s="27"/>
    </row>
    <row r="970">
      <c r="I970" s="27"/>
    </row>
    <row r="971">
      <c r="I971" s="27"/>
    </row>
    <row r="972">
      <c r="I972" s="27"/>
    </row>
    <row r="973">
      <c r="I973" s="27"/>
    </row>
    <row r="974">
      <c r="I974" s="27"/>
    </row>
    <row r="975">
      <c r="I975" s="27"/>
    </row>
    <row r="976">
      <c r="I976" s="27"/>
    </row>
    <row r="977">
      <c r="I977" s="27"/>
    </row>
    <row r="978">
      <c r="I978" s="27"/>
    </row>
    <row r="979">
      <c r="I979" s="27"/>
    </row>
    <row r="980">
      <c r="I980" s="27"/>
    </row>
    <row r="981">
      <c r="I981" s="27"/>
    </row>
    <row r="982">
      <c r="I982" s="27"/>
    </row>
    <row r="983">
      <c r="I983" s="27"/>
    </row>
    <row r="984">
      <c r="I984" s="27"/>
    </row>
    <row r="985">
      <c r="I985" s="27"/>
    </row>
    <row r="986">
      <c r="I986" s="27"/>
    </row>
    <row r="987">
      <c r="I987" s="27"/>
    </row>
    <row r="988">
      <c r="I988" s="27"/>
    </row>
    <row r="989">
      <c r="I989" s="27"/>
    </row>
    <row r="990">
      <c r="I990" s="27"/>
    </row>
    <row r="991">
      <c r="I991" s="27"/>
    </row>
    <row r="992">
      <c r="I992" s="27"/>
    </row>
    <row r="993">
      <c r="I993" s="27"/>
    </row>
    <row r="994">
      <c r="I994" s="27"/>
    </row>
    <row r="995">
      <c r="I995" s="27"/>
    </row>
    <row r="996">
      <c r="I996" s="27"/>
    </row>
    <row r="997">
      <c r="I997" s="27"/>
    </row>
    <row r="998">
      <c r="I998" s="27"/>
    </row>
    <row r="999">
      <c r="I999" s="27"/>
    </row>
    <row r="1000">
      <c r="I1000" s="27"/>
    </row>
  </sheetData>
  <conditionalFormatting sqref="G47 D48:F48">
    <cfRule type="cellIs" dxfId="0" priority="1" operator="lessThan">
      <formula>0</formula>
    </cfRule>
  </conditionalFormatting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9.38"/>
    <col customWidth="1" min="6" max="6" width="14.63"/>
    <col customWidth="1" min="7" max="7" width="13.63"/>
    <col customWidth="1" min="9" max="9" width="20.63"/>
    <col customWidth="1" min="10" max="11" width="7.0"/>
    <col customWidth="1" min="12" max="13" width="9.5"/>
  </cols>
  <sheetData>
    <row r="1">
      <c r="B1" s="199" t="s">
        <v>296</v>
      </c>
      <c r="E1" s="27"/>
      <c r="F1" s="280" t="s">
        <v>297</v>
      </c>
      <c r="I1" s="107"/>
    </row>
    <row r="2">
      <c r="B2" s="18" t="s">
        <v>240</v>
      </c>
      <c r="C2" s="249">
        <v>13.0</v>
      </c>
      <c r="E2" s="32" t="s">
        <v>301</v>
      </c>
      <c r="F2" s="27">
        <v>245.75</v>
      </c>
      <c r="G2" s="18" t="s">
        <v>323</v>
      </c>
      <c r="I2" s="27"/>
    </row>
    <row r="3">
      <c r="B3" s="18" t="s">
        <v>241</v>
      </c>
      <c r="C3" s="249">
        <v>48.0</v>
      </c>
      <c r="E3" s="32"/>
      <c r="F3" s="27"/>
      <c r="I3" s="27"/>
    </row>
    <row r="4">
      <c r="B4" s="18" t="s">
        <v>242</v>
      </c>
      <c r="C4" s="249">
        <v>13.0</v>
      </c>
      <c r="I4" s="27"/>
      <c r="J4" s="107"/>
      <c r="K4" s="107"/>
      <c r="N4" s="17"/>
    </row>
    <row r="5">
      <c r="B5" s="18" t="s">
        <v>285</v>
      </c>
      <c r="C5" s="249">
        <v>42.0</v>
      </c>
      <c r="E5" s="249"/>
      <c r="F5" s="249"/>
      <c r="I5" s="27"/>
      <c r="J5" s="107"/>
      <c r="K5" s="107"/>
      <c r="N5" s="32"/>
    </row>
    <row r="6">
      <c r="B6" s="18" t="s">
        <v>324</v>
      </c>
      <c r="C6" s="249">
        <v>6.0</v>
      </c>
      <c r="E6" s="249"/>
      <c r="F6" s="249"/>
      <c r="I6" s="301" t="s">
        <v>325</v>
      </c>
      <c r="J6" s="107"/>
      <c r="K6" s="107"/>
      <c r="N6" s="30"/>
    </row>
    <row r="7">
      <c r="C7" s="276">
        <f>SUM(C2:C6)</f>
        <v>122</v>
      </c>
      <c r="E7" s="27"/>
      <c r="F7" s="27"/>
      <c r="I7" s="302" t="s">
        <v>119</v>
      </c>
      <c r="J7" s="302" t="s">
        <v>120</v>
      </c>
      <c r="K7" s="27"/>
    </row>
    <row r="8">
      <c r="E8" s="107"/>
      <c r="F8" s="107"/>
      <c r="I8" s="7" t="s">
        <v>326</v>
      </c>
      <c r="J8" s="7" t="s">
        <v>327</v>
      </c>
      <c r="K8" s="107"/>
    </row>
    <row r="9">
      <c r="B9" s="55" t="s">
        <v>122</v>
      </c>
      <c r="C9" s="56"/>
      <c r="D9" s="254" t="s">
        <v>125</v>
      </c>
      <c r="E9" s="254" t="s">
        <v>126</v>
      </c>
      <c r="F9" s="253" t="s">
        <v>127</v>
      </c>
      <c r="G9" s="254" t="s">
        <v>128</v>
      </c>
      <c r="I9" s="7" t="s">
        <v>328</v>
      </c>
      <c r="J9" s="7" t="s">
        <v>329</v>
      </c>
      <c r="K9" s="107"/>
      <c r="M9" s="18"/>
      <c r="N9" s="18"/>
    </row>
    <row r="10">
      <c r="B10" s="59" t="s">
        <v>129</v>
      </c>
      <c r="C10" s="60"/>
      <c r="D10" s="61">
        <v>6625.0</v>
      </c>
      <c r="E10" s="61">
        <v>6675.0</v>
      </c>
      <c r="F10" s="113">
        <v>6675.0</v>
      </c>
      <c r="G10" s="113">
        <v>6675.0</v>
      </c>
      <c r="I10" s="7"/>
      <c r="J10" s="7" t="s">
        <v>192</v>
      </c>
      <c r="K10" s="107"/>
      <c r="M10" s="18"/>
    </row>
    <row r="11">
      <c r="B11" s="59" t="s">
        <v>136</v>
      </c>
      <c r="C11" s="60"/>
      <c r="D11" s="62">
        <f>3191.15+385.96</f>
        <v>3577.11</v>
      </c>
      <c r="E11" s="62">
        <f>1290+98+1831.15+385.96</f>
        <v>3605.11</v>
      </c>
      <c r="F11" s="114">
        <f t="shared" ref="F11:G11" si="1">1290+3711.15+385.96</f>
        <v>5387.11</v>
      </c>
      <c r="G11" s="114">
        <f t="shared" si="1"/>
        <v>5387.11</v>
      </c>
      <c r="I11" s="303"/>
      <c r="J11" s="107"/>
      <c r="K11" s="27"/>
      <c r="M11" s="18"/>
    </row>
    <row r="12">
      <c r="B12" s="59" t="s">
        <v>137</v>
      </c>
      <c r="C12" s="60"/>
      <c r="D12" s="62">
        <v>3100.0</v>
      </c>
      <c r="E12" s="62"/>
      <c r="F12" s="114" t="s">
        <v>330</v>
      </c>
      <c r="G12" s="114"/>
      <c r="I12" s="107"/>
      <c r="J12" s="107"/>
      <c r="K12" s="107"/>
      <c r="M12" s="18"/>
    </row>
    <row r="13">
      <c r="B13" s="59" t="s">
        <v>138</v>
      </c>
      <c r="C13" s="60"/>
      <c r="D13" s="62">
        <v>6215.07</v>
      </c>
      <c r="E13" s="258"/>
      <c r="F13" s="258"/>
      <c r="G13" s="66"/>
      <c r="I13" s="32"/>
      <c r="J13" s="107"/>
      <c r="K13" s="107"/>
      <c r="M13" s="18"/>
    </row>
    <row r="14">
      <c r="B14" s="67" t="s">
        <v>139</v>
      </c>
      <c r="C14" s="68"/>
      <c r="D14" s="69">
        <f t="shared" ref="D14:G14" si="2">SUM(D10:D13)</f>
        <v>19517.18</v>
      </c>
      <c r="E14" s="69">
        <f t="shared" si="2"/>
        <v>10280.11</v>
      </c>
      <c r="F14" s="69">
        <f t="shared" si="2"/>
        <v>12062.11</v>
      </c>
      <c r="G14" s="69">
        <f t="shared" si="2"/>
        <v>12062.11</v>
      </c>
      <c r="I14" s="248"/>
      <c r="J14" s="304"/>
      <c r="K14" s="107"/>
      <c r="M14" s="18"/>
      <c r="P14" s="107"/>
    </row>
    <row r="15">
      <c r="I15" s="32"/>
      <c r="J15" s="107"/>
      <c r="M15" s="18"/>
      <c r="P15" s="27"/>
    </row>
    <row r="16">
      <c r="B16" s="70" t="s">
        <v>140</v>
      </c>
      <c r="C16" s="71"/>
      <c r="D16" s="58" t="s">
        <v>126</v>
      </c>
      <c r="E16" s="58" t="s">
        <v>127</v>
      </c>
      <c r="F16" s="58" t="s">
        <v>128</v>
      </c>
      <c r="G16" s="58" t="s">
        <v>129</v>
      </c>
      <c r="I16" s="107"/>
      <c r="J16" s="26"/>
      <c r="K16" s="107"/>
      <c r="M16" s="18"/>
    </row>
    <row r="17">
      <c r="B17" s="72" t="s">
        <v>141</v>
      </c>
      <c r="C17" s="73"/>
      <c r="D17" s="75">
        <v>325.7</v>
      </c>
      <c r="E17" s="75">
        <v>330.0</v>
      </c>
      <c r="F17" s="75">
        <v>355.4</v>
      </c>
      <c r="G17" s="75">
        <v>323.0</v>
      </c>
      <c r="I17" s="107" t="s">
        <v>331</v>
      </c>
      <c r="J17" s="192"/>
      <c r="M17" s="18"/>
    </row>
    <row r="18">
      <c r="B18" s="72" t="s">
        <v>142</v>
      </c>
      <c r="C18" s="73"/>
      <c r="D18" s="75">
        <v>185.9</v>
      </c>
      <c r="E18" s="75">
        <v>170.1</v>
      </c>
      <c r="F18" s="75">
        <v>171.7</v>
      </c>
      <c r="G18" s="75">
        <f t="shared" ref="G18:G20" si="3">F18</f>
        <v>171.7</v>
      </c>
      <c r="I18" s="192"/>
      <c r="J18" s="107" t="s">
        <v>27</v>
      </c>
      <c r="K18" s="107" t="s">
        <v>274</v>
      </c>
      <c r="L18" s="107" t="s">
        <v>332</v>
      </c>
      <c r="M18" s="107" t="s">
        <v>333</v>
      </c>
    </row>
    <row r="19">
      <c r="B19" s="72" t="s">
        <v>143</v>
      </c>
      <c r="C19" s="73"/>
      <c r="D19" s="75">
        <v>165.0</v>
      </c>
      <c r="E19" s="75">
        <v>164.9</v>
      </c>
      <c r="F19" s="75">
        <v>164.9</v>
      </c>
      <c r="G19" s="75">
        <f t="shared" si="3"/>
        <v>164.9</v>
      </c>
      <c r="I19" s="72" t="s">
        <v>141</v>
      </c>
      <c r="J19" s="283"/>
      <c r="L19" s="179">
        <v>300.0</v>
      </c>
      <c r="M19" s="18"/>
    </row>
    <row r="20">
      <c r="B20" s="72" t="s">
        <v>144</v>
      </c>
      <c r="C20" s="73"/>
      <c r="D20" s="75">
        <v>106.0</v>
      </c>
      <c r="E20" s="75">
        <v>100.0</v>
      </c>
      <c r="F20" s="179">
        <v>100.0</v>
      </c>
      <c r="G20" s="75">
        <f t="shared" si="3"/>
        <v>100</v>
      </c>
      <c r="I20" s="72" t="s">
        <v>142</v>
      </c>
      <c r="J20" s="305"/>
      <c r="L20" s="179">
        <v>200.0</v>
      </c>
      <c r="M20" s="18"/>
      <c r="N20" s="18"/>
    </row>
    <row r="21">
      <c r="B21" s="72" t="s">
        <v>145</v>
      </c>
      <c r="C21" s="73"/>
      <c r="D21" s="75">
        <v>2500.0</v>
      </c>
      <c r="E21" s="75">
        <v>2500.0</v>
      </c>
      <c r="F21" s="75">
        <v>2500.0</v>
      </c>
      <c r="G21" s="75">
        <v>2500.0</v>
      </c>
      <c r="I21" s="72" t="s">
        <v>143</v>
      </c>
      <c r="L21" s="179">
        <v>164.9</v>
      </c>
      <c r="N21" s="287"/>
    </row>
    <row r="22">
      <c r="B22" s="72" t="s">
        <v>146</v>
      </c>
      <c r="C22" s="77" t="s">
        <v>147</v>
      </c>
      <c r="D22" s="75">
        <v>400.0</v>
      </c>
      <c r="E22" s="75">
        <v>400.0</v>
      </c>
      <c r="F22" s="75">
        <v>400.0</v>
      </c>
      <c r="G22" s="75">
        <f>F22</f>
        <v>400</v>
      </c>
      <c r="I22" s="72" t="s">
        <v>144</v>
      </c>
      <c r="J22" s="30"/>
      <c r="L22" s="179">
        <v>100.0</v>
      </c>
    </row>
    <row r="23">
      <c r="B23" s="72" t="s">
        <v>148</v>
      </c>
      <c r="C23" s="73"/>
      <c r="D23" s="75">
        <v>600.0</v>
      </c>
      <c r="E23" s="75">
        <v>650.0</v>
      </c>
      <c r="F23" s="179">
        <v>650.0</v>
      </c>
      <c r="G23" s="75">
        <v>500.0</v>
      </c>
      <c r="I23" s="72" t="s">
        <v>146</v>
      </c>
      <c r="J23" s="32">
        <v>200.0</v>
      </c>
      <c r="K23" s="18">
        <v>200.0</v>
      </c>
      <c r="M23" s="18"/>
    </row>
    <row r="24">
      <c r="B24" s="72" t="s">
        <v>149</v>
      </c>
      <c r="C24" s="73"/>
      <c r="D24" s="75">
        <v>500.0</v>
      </c>
      <c r="E24" s="75">
        <v>500.0</v>
      </c>
      <c r="F24" s="179">
        <v>500.0</v>
      </c>
      <c r="G24" s="75">
        <f t="shared" ref="G24:G25" si="4">F24</f>
        <v>500</v>
      </c>
      <c r="I24" s="72" t="s">
        <v>148</v>
      </c>
      <c r="J24" s="30"/>
      <c r="L24" s="179">
        <v>650.0</v>
      </c>
      <c r="M24" s="18"/>
    </row>
    <row r="25">
      <c r="B25" s="72" t="s">
        <v>150</v>
      </c>
      <c r="C25" s="73"/>
      <c r="D25" s="75">
        <v>300.0</v>
      </c>
      <c r="E25" s="75">
        <v>300.0</v>
      </c>
      <c r="F25" s="75">
        <v>300.0</v>
      </c>
      <c r="G25" s="75">
        <f t="shared" si="4"/>
        <v>300</v>
      </c>
      <c r="I25" s="72" t="s">
        <v>149</v>
      </c>
      <c r="L25" s="179">
        <v>500.0</v>
      </c>
      <c r="M25" s="18"/>
    </row>
    <row r="26">
      <c r="B26" s="72" t="s">
        <v>151</v>
      </c>
      <c r="C26" s="73"/>
      <c r="D26" s="75"/>
      <c r="E26" s="75"/>
      <c r="F26" s="75"/>
      <c r="G26" s="75"/>
      <c r="I26" s="72" t="s">
        <v>150</v>
      </c>
      <c r="K26" s="18">
        <v>300.0</v>
      </c>
      <c r="M26" s="18"/>
    </row>
    <row r="27">
      <c r="B27" s="72" t="s">
        <v>152</v>
      </c>
      <c r="C27" s="73"/>
      <c r="D27" s="75">
        <v>200.0</v>
      </c>
      <c r="E27" s="75"/>
      <c r="F27" s="75"/>
      <c r="G27" s="74"/>
      <c r="I27" s="72" t="s">
        <v>181</v>
      </c>
      <c r="L27" s="179">
        <v>150.0</v>
      </c>
    </row>
    <row r="28">
      <c r="B28" s="72" t="s">
        <v>181</v>
      </c>
      <c r="C28" s="73"/>
      <c r="D28" s="75">
        <v>100.0</v>
      </c>
      <c r="E28" s="75">
        <v>150.0</v>
      </c>
      <c r="F28" s="179">
        <v>150.0</v>
      </c>
      <c r="G28" s="75">
        <f t="shared" ref="G28:G30" si="5">F28</f>
        <v>150</v>
      </c>
      <c r="I28" s="72" t="s">
        <v>296</v>
      </c>
      <c r="J28" s="18">
        <v>109.0</v>
      </c>
      <c r="K28" s="18">
        <v>13.0</v>
      </c>
      <c r="L28" s="179"/>
    </row>
    <row r="29">
      <c r="B29" s="72" t="s">
        <v>296</v>
      </c>
      <c r="C29" s="73"/>
      <c r="D29" s="75">
        <v>116.0</v>
      </c>
      <c r="E29" s="75">
        <v>112.0</v>
      </c>
      <c r="F29" s="75">
        <v>122.0</v>
      </c>
      <c r="G29" s="75">
        <f t="shared" si="5"/>
        <v>122</v>
      </c>
      <c r="I29" s="72" t="s">
        <v>156</v>
      </c>
      <c r="J29" s="18">
        <v>1000.0</v>
      </c>
    </row>
    <row r="30">
      <c r="B30" s="72" t="s">
        <v>155</v>
      </c>
      <c r="C30" s="73"/>
      <c r="D30" s="75"/>
      <c r="E30" s="75"/>
      <c r="F30" s="74"/>
      <c r="G30" s="75" t="str">
        <f t="shared" si="5"/>
        <v/>
      </c>
      <c r="I30" s="272" t="s">
        <v>295</v>
      </c>
      <c r="M30" s="18">
        <v>1500.0</v>
      </c>
    </row>
    <row r="31">
      <c r="B31" s="72" t="s">
        <v>156</v>
      </c>
      <c r="C31" s="73"/>
      <c r="D31" s="75">
        <v>200.0</v>
      </c>
      <c r="E31" s="75">
        <v>1200.0</v>
      </c>
      <c r="F31" s="75">
        <v>1000.0</v>
      </c>
      <c r="G31" s="75">
        <v>200.0</v>
      </c>
      <c r="I31" s="72" t="s">
        <v>159</v>
      </c>
      <c r="J31" s="18">
        <v>400.0</v>
      </c>
    </row>
    <row r="32">
      <c r="B32" s="72" t="s">
        <v>272</v>
      </c>
      <c r="C32" s="73"/>
      <c r="D32" s="74"/>
      <c r="E32" s="74"/>
      <c r="F32" s="74"/>
      <c r="G32" s="75" t="str">
        <f t="shared" ref="G32:G35" si="6">F32</f>
        <v/>
      </c>
      <c r="I32" s="107" t="s">
        <v>334</v>
      </c>
      <c r="J32" s="18">
        <v>900.0</v>
      </c>
      <c r="K32" s="18">
        <v>900.0</v>
      </c>
    </row>
    <row r="33">
      <c r="B33" s="272" t="s">
        <v>295</v>
      </c>
      <c r="C33" s="273"/>
      <c r="D33" s="274">
        <v>1500.0</v>
      </c>
      <c r="E33" s="274">
        <v>1500.0</v>
      </c>
      <c r="F33" s="274">
        <v>1500.0</v>
      </c>
      <c r="G33" s="75">
        <f t="shared" si="6"/>
        <v>1500</v>
      </c>
      <c r="I33" s="107" t="s">
        <v>335</v>
      </c>
      <c r="K33" s="18">
        <v>520.0</v>
      </c>
    </row>
    <row r="34">
      <c r="B34" s="72" t="s">
        <v>159</v>
      </c>
      <c r="C34" s="73"/>
      <c r="D34" s="75">
        <v>800.0</v>
      </c>
      <c r="E34" s="75">
        <v>800.0</v>
      </c>
      <c r="F34" s="75">
        <v>800.0</v>
      </c>
      <c r="G34" s="75">
        <f t="shared" si="6"/>
        <v>800</v>
      </c>
      <c r="I34" s="107" t="s">
        <v>336</v>
      </c>
      <c r="J34" s="18">
        <v>730.49</v>
      </c>
    </row>
    <row r="35">
      <c r="B35" s="72" t="s">
        <v>160</v>
      </c>
      <c r="C35" s="73"/>
      <c r="D35" s="75">
        <v>1800.0</v>
      </c>
      <c r="E35" s="75">
        <v>1800.0</v>
      </c>
      <c r="F35" s="75">
        <v>1800.0</v>
      </c>
      <c r="G35" s="75">
        <f t="shared" si="6"/>
        <v>1800</v>
      </c>
      <c r="I35" s="107" t="s">
        <v>337</v>
      </c>
      <c r="J35" s="18">
        <v>119.43</v>
      </c>
      <c r="K35" s="18">
        <v>620.72</v>
      </c>
    </row>
    <row r="36">
      <c r="B36" s="67" t="s">
        <v>161</v>
      </c>
      <c r="C36" s="68"/>
      <c r="D36" s="78">
        <f t="shared" ref="D36:G36" si="7">SUM(D17:D35)*-1</f>
        <v>-9798.6</v>
      </c>
      <c r="E36" s="78">
        <f t="shared" si="7"/>
        <v>-10677</v>
      </c>
      <c r="F36" s="78">
        <f t="shared" si="7"/>
        <v>-10514</v>
      </c>
      <c r="G36" s="78">
        <f t="shared" si="7"/>
        <v>-9531.6</v>
      </c>
      <c r="I36" s="107" t="s">
        <v>338</v>
      </c>
      <c r="J36" s="18">
        <v>440.0</v>
      </c>
      <c r="K36" s="18">
        <v>440.0</v>
      </c>
    </row>
    <row r="37">
      <c r="I37" s="107"/>
      <c r="J37" s="287">
        <f t="shared" ref="J37:K37" si="8">SUM(J19:J36)</f>
        <v>3898.92</v>
      </c>
      <c r="K37" s="306">
        <f t="shared" si="8"/>
        <v>2993.72</v>
      </c>
      <c r="L37" s="306">
        <f t="shared" ref="L37:M37" si="9">SUM(L19:L34)</f>
        <v>2064.9</v>
      </c>
      <c r="M37" s="306">
        <f t="shared" si="9"/>
        <v>1500</v>
      </c>
    </row>
    <row r="38">
      <c r="B38" s="80" t="s">
        <v>162</v>
      </c>
      <c r="C38" s="81"/>
      <c r="D38" s="82">
        <f t="shared" ref="D38:G38" si="10">D14+D36</f>
        <v>9718.58</v>
      </c>
      <c r="E38" s="82">
        <f t="shared" si="10"/>
        <v>-396.89</v>
      </c>
      <c r="F38" s="82">
        <f t="shared" si="10"/>
        <v>1548.11</v>
      </c>
      <c r="G38" s="82">
        <f t="shared" si="10"/>
        <v>2530.51</v>
      </c>
      <c r="I38" s="107"/>
    </row>
    <row r="39">
      <c r="B39" s="83"/>
      <c r="C39" s="83"/>
      <c r="D39" s="84"/>
      <c r="E39" s="84"/>
      <c r="F39" s="84"/>
      <c r="G39" s="84"/>
      <c r="I39" s="27"/>
    </row>
    <row r="40">
      <c r="B40" s="85" t="s">
        <v>163</v>
      </c>
      <c r="C40" s="86"/>
      <c r="D40" s="57" t="s">
        <v>125</v>
      </c>
      <c r="E40" s="57" t="s">
        <v>126</v>
      </c>
      <c r="F40" s="57" t="s">
        <v>127</v>
      </c>
      <c r="G40" s="294" t="s">
        <v>128</v>
      </c>
      <c r="I40" s="27"/>
    </row>
    <row r="41">
      <c r="B41" s="87" t="s">
        <v>164</v>
      </c>
      <c r="C41" s="88">
        <v>2347.0</v>
      </c>
      <c r="D41" s="134">
        <v>498.84</v>
      </c>
      <c r="E41" s="135">
        <v>498.84</v>
      </c>
      <c r="F41" s="134"/>
      <c r="G41" s="295"/>
      <c r="I41" s="107"/>
    </row>
    <row r="42">
      <c r="B42" s="87" t="s">
        <v>165</v>
      </c>
      <c r="C42" s="88">
        <v>7750.82</v>
      </c>
      <c r="D42" s="135">
        <v>385.96</v>
      </c>
      <c r="E42" s="135">
        <v>385.96</v>
      </c>
      <c r="F42" s="135">
        <v>385.96</v>
      </c>
      <c r="G42" s="307"/>
      <c r="I42" s="107"/>
    </row>
    <row r="43">
      <c r="B43" s="87" t="s">
        <v>166</v>
      </c>
      <c r="C43" s="88">
        <v>7724.29</v>
      </c>
      <c r="D43" s="135">
        <v>520.0</v>
      </c>
      <c r="E43" s="135">
        <v>518.81</v>
      </c>
      <c r="F43" s="135">
        <v>520.0</v>
      </c>
      <c r="G43" s="307">
        <v>512.0</v>
      </c>
      <c r="I43" s="107" t="s">
        <v>274</v>
      </c>
    </row>
    <row r="44">
      <c r="B44" s="87" t="s">
        <v>280</v>
      </c>
      <c r="C44" s="88">
        <v>6440.26</v>
      </c>
      <c r="D44" s="135">
        <v>730.49</v>
      </c>
      <c r="E44" s="135">
        <v>730.49</v>
      </c>
      <c r="F44" s="135">
        <v>730.49</v>
      </c>
      <c r="G44" s="135"/>
      <c r="I44" s="107" t="s">
        <v>339</v>
      </c>
      <c r="J44" s="107">
        <v>340.0</v>
      </c>
    </row>
    <row r="45">
      <c r="A45" s="298">
        <v>45020.0</v>
      </c>
      <c r="B45" s="87" t="s">
        <v>203</v>
      </c>
      <c r="C45" s="88">
        <v>440.0</v>
      </c>
      <c r="D45" s="135">
        <v>440.0</v>
      </c>
      <c r="E45" s="135">
        <v>440.0</v>
      </c>
      <c r="F45" s="135"/>
      <c r="G45" s="297"/>
      <c r="I45" s="107" t="s">
        <v>340</v>
      </c>
      <c r="J45" s="107">
        <v>520.0</v>
      </c>
    </row>
    <row r="46">
      <c r="B46" s="67" t="s">
        <v>167</v>
      </c>
      <c r="C46" s="95">
        <f>SUM(C41:C45)</f>
        <v>24702.37</v>
      </c>
      <c r="D46" s="78">
        <f t="shared" ref="D46:F46" si="11">SUM(D41:D45)*-1</f>
        <v>-2575.29</v>
      </c>
      <c r="E46" s="78">
        <f t="shared" si="11"/>
        <v>-2574.1</v>
      </c>
      <c r="F46" s="78">
        <f t="shared" si="11"/>
        <v>-1636.45</v>
      </c>
      <c r="G46" s="299">
        <f>SUM(G41:G44)*-1</f>
        <v>-512</v>
      </c>
      <c r="I46" s="107" t="s">
        <v>341</v>
      </c>
      <c r="J46" s="187">
        <v>324.0</v>
      </c>
    </row>
    <row r="47">
      <c r="B47" s="83"/>
      <c r="C47" s="83"/>
      <c r="D47" s="96"/>
      <c r="E47" s="96"/>
      <c r="F47" s="96"/>
      <c r="G47" s="96"/>
      <c r="I47" s="107" t="s">
        <v>342</v>
      </c>
      <c r="J47" s="187">
        <v>165.2</v>
      </c>
      <c r="L47" s="12">
        <f>J46+J47+J48</f>
        <v>598.1</v>
      </c>
    </row>
    <row r="48">
      <c r="B48" s="97" t="s">
        <v>168</v>
      </c>
      <c r="C48" s="98"/>
      <c r="D48" s="99">
        <f t="shared" ref="D48:G48" si="12">D38+D46</f>
        <v>7143.29</v>
      </c>
      <c r="E48" s="99">
        <f t="shared" si="12"/>
        <v>-2970.99</v>
      </c>
      <c r="F48" s="119">
        <f t="shared" si="12"/>
        <v>-88.34</v>
      </c>
      <c r="G48" s="308">
        <f t="shared" si="12"/>
        <v>2018.51</v>
      </c>
      <c r="I48" s="107" t="s">
        <v>343</v>
      </c>
      <c r="J48" s="187">
        <v>108.9</v>
      </c>
    </row>
    <row r="49">
      <c r="B49" s="83"/>
      <c r="C49" s="83"/>
      <c r="D49" s="96"/>
      <c r="E49" s="96"/>
      <c r="F49" s="96"/>
      <c r="G49" s="96"/>
      <c r="I49" s="107" t="s">
        <v>344</v>
      </c>
      <c r="J49" s="18">
        <v>608.08</v>
      </c>
    </row>
    <row r="50">
      <c r="B50" s="100" t="s">
        <v>169</v>
      </c>
      <c r="C50" s="101"/>
      <c r="D50" s="57" t="s">
        <v>125</v>
      </c>
      <c r="E50" s="57" t="s">
        <v>126</v>
      </c>
      <c r="F50" s="57" t="s">
        <v>127</v>
      </c>
      <c r="G50" s="57" t="s">
        <v>128</v>
      </c>
      <c r="I50" s="107" t="s">
        <v>192</v>
      </c>
      <c r="J50" s="187">
        <v>300.0</v>
      </c>
    </row>
    <row r="51">
      <c r="B51" s="102" t="s">
        <v>170</v>
      </c>
      <c r="C51" s="103"/>
      <c r="D51" s="278">
        <v>2101.91</v>
      </c>
      <c r="E51" s="278">
        <v>331.34</v>
      </c>
      <c r="F51" s="278">
        <v>45.75</v>
      </c>
      <c r="G51" s="105" t="str">
        <f>F52</f>
        <v/>
      </c>
      <c r="I51" s="107" t="s">
        <v>345</v>
      </c>
      <c r="J51" s="18">
        <v>50.0</v>
      </c>
    </row>
    <row r="52">
      <c r="B52" s="102" t="s">
        <v>171</v>
      </c>
      <c r="C52" s="103"/>
      <c r="D52" s="279">
        <f>D48</f>
        <v>7143.29</v>
      </c>
      <c r="E52" s="279"/>
      <c r="F52" s="279"/>
      <c r="G52" s="279">
        <f>+G48</f>
        <v>2018.51</v>
      </c>
      <c r="I52" s="27"/>
    </row>
    <row r="53">
      <c r="B53" s="67"/>
      <c r="C53" s="68"/>
      <c r="D53" s="95"/>
      <c r="E53" s="95"/>
      <c r="F53" s="95"/>
      <c r="G53" s="95"/>
      <c r="I53" s="27"/>
    </row>
    <row r="54">
      <c r="B54" s="67"/>
      <c r="C54" s="68"/>
      <c r="D54" s="95"/>
      <c r="E54" s="95"/>
      <c r="F54" s="95"/>
      <c r="G54" s="95"/>
      <c r="I54" s="27"/>
    </row>
    <row r="55">
      <c r="B55" s="67" t="s">
        <v>173</v>
      </c>
      <c r="C55" s="68"/>
      <c r="D55" s="95">
        <f t="shared" ref="D55:G55" si="13">SUM(D51:D52)</f>
        <v>9245.2</v>
      </c>
      <c r="E55" s="95">
        <f t="shared" si="13"/>
        <v>331.34</v>
      </c>
      <c r="F55" s="309">
        <f t="shared" si="13"/>
        <v>45.75</v>
      </c>
      <c r="G55" s="309">
        <f t="shared" si="13"/>
        <v>2018.51</v>
      </c>
      <c r="I55" s="27"/>
    </row>
    <row r="56">
      <c r="I56" s="27"/>
    </row>
    <row r="57">
      <c r="I57" s="27"/>
    </row>
    <row r="58">
      <c r="I58" s="27"/>
    </row>
    <row r="59">
      <c r="I59" s="27"/>
    </row>
    <row r="60">
      <c r="I60" s="27"/>
    </row>
    <row r="61">
      <c r="I61" s="27"/>
    </row>
    <row r="62">
      <c r="I62" s="27"/>
    </row>
    <row r="63">
      <c r="I63" s="27"/>
    </row>
    <row r="64">
      <c r="I64" s="27"/>
    </row>
    <row r="65">
      <c r="I65" s="27"/>
    </row>
    <row r="66">
      <c r="I66" s="27"/>
    </row>
    <row r="67">
      <c r="I67" s="27"/>
    </row>
    <row r="68">
      <c r="I68" s="27"/>
    </row>
    <row r="69">
      <c r="I69" s="27"/>
    </row>
    <row r="70">
      <c r="I70" s="27"/>
    </row>
    <row r="71">
      <c r="I71" s="27"/>
    </row>
    <row r="72">
      <c r="I72" s="27"/>
    </row>
    <row r="73">
      <c r="I73" s="27"/>
    </row>
    <row r="74">
      <c r="I74" s="27"/>
    </row>
    <row r="75">
      <c r="I75" s="27"/>
    </row>
    <row r="76">
      <c r="I76" s="27"/>
    </row>
    <row r="77">
      <c r="I77" s="27"/>
    </row>
    <row r="78">
      <c r="I78" s="27"/>
    </row>
    <row r="79">
      <c r="I79" s="27"/>
    </row>
    <row r="80">
      <c r="I80" s="27"/>
    </row>
    <row r="81">
      <c r="I81" s="27"/>
    </row>
    <row r="82">
      <c r="I82" s="27"/>
    </row>
    <row r="83">
      <c r="I83" s="27"/>
    </row>
    <row r="84">
      <c r="I84" s="27"/>
    </row>
    <row r="85">
      <c r="I85" s="27"/>
    </row>
    <row r="86">
      <c r="I86" s="27"/>
    </row>
    <row r="87">
      <c r="I87" s="27"/>
    </row>
    <row r="88">
      <c r="I88" s="27"/>
    </row>
    <row r="89">
      <c r="I89" s="27"/>
    </row>
    <row r="90">
      <c r="I90" s="27"/>
    </row>
    <row r="91">
      <c r="I91" s="27"/>
    </row>
    <row r="92">
      <c r="I92" s="27"/>
    </row>
    <row r="93">
      <c r="I93" s="27"/>
    </row>
    <row r="94">
      <c r="I94" s="27"/>
    </row>
    <row r="95">
      <c r="I95" s="27"/>
    </row>
    <row r="96">
      <c r="I96" s="27"/>
    </row>
    <row r="97">
      <c r="I97" s="27"/>
    </row>
    <row r="98">
      <c r="I98" s="27"/>
    </row>
    <row r="99">
      <c r="I99" s="27"/>
    </row>
    <row r="100">
      <c r="I100" s="27"/>
    </row>
    <row r="101">
      <c r="I101" s="27"/>
    </row>
    <row r="102">
      <c r="I102" s="27"/>
    </row>
    <row r="103">
      <c r="I103" s="27"/>
    </row>
    <row r="104">
      <c r="I104" s="27"/>
    </row>
    <row r="105">
      <c r="I105" s="27"/>
    </row>
    <row r="106">
      <c r="I106" s="27"/>
    </row>
    <row r="107">
      <c r="I107" s="27"/>
    </row>
    <row r="108">
      <c r="I108" s="27"/>
    </row>
    <row r="109">
      <c r="I109" s="27"/>
    </row>
    <row r="110">
      <c r="I110" s="27"/>
    </row>
    <row r="111">
      <c r="I111" s="27"/>
    </row>
    <row r="112">
      <c r="I112" s="27"/>
    </row>
    <row r="113">
      <c r="I113" s="27"/>
    </row>
    <row r="114">
      <c r="I114" s="27"/>
    </row>
    <row r="115">
      <c r="I115" s="27"/>
    </row>
    <row r="116">
      <c r="I116" s="27"/>
    </row>
    <row r="117">
      <c r="I117" s="27"/>
    </row>
    <row r="118">
      <c r="I118" s="27"/>
    </row>
    <row r="119">
      <c r="I119" s="27"/>
    </row>
    <row r="120">
      <c r="I120" s="27"/>
    </row>
    <row r="121">
      <c r="I121" s="27"/>
    </row>
    <row r="122">
      <c r="I122" s="27"/>
    </row>
    <row r="123">
      <c r="I123" s="27"/>
    </row>
    <row r="124">
      <c r="I124" s="27"/>
    </row>
    <row r="125">
      <c r="I125" s="27"/>
    </row>
    <row r="126">
      <c r="I126" s="27"/>
    </row>
    <row r="127">
      <c r="I127" s="27"/>
    </row>
    <row r="128">
      <c r="I128" s="27"/>
    </row>
    <row r="129">
      <c r="I129" s="27"/>
    </row>
    <row r="130">
      <c r="I130" s="27"/>
    </row>
    <row r="131">
      <c r="I131" s="27"/>
    </row>
    <row r="132">
      <c r="I132" s="27"/>
    </row>
    <row r="133">
      <c r="I133" s="27"/>
    </row>
    <row r="134">
      <c r="I134" s="27"/>
    </row>
    <row r="135">
      <c r="I135" s="27"/>
    </row>
    <row r="136">
      <c r="I136" s="27"/>
    </row>
    <row r="137">
      <c r="I137" s="27"/>
    </row>
    <row r="138">
      <c r="I138" s="27"/>
    </row>
    <row r="139">
      <c r="I139" s="27"/>
    </row>
    <row r="140">
      <c r="I140" s="27"/>
    </row>
    <row r="141">
      <c r="I141" s="27"/>
    </row>
    <row r="142">
      <c r="I142" s="27"/>
    </row>
    <row r="143">
      <c r="I143" s="27"/>
    </row>
    <row r="144">
      <c r="I144" s="27"/>
    </row>
    <row r="145">
      <c r="I145" s="27"/>
    </row>
    <row r="146">
      <c r="I146" s="27"/>
    </row>
    <row r="147">
      <c r="I147" s="27"/>
    </row>
    <row r="148">
      <c r="I148" s="27"/>
    </row>
    <row r="149">
      <c r="I149" s="27"/>
    </row>
    <row r="150">
      <c r="I150" s="27"/>
    </row>
    <row r="151">
      <c r="I151" s="27"/>
    </row>
    <row r="152">
      <c r="I152" s="27"/>
    </row>
    <row r="153">
      <c r="I153" s="27"/>
    </row>
    <row r="154">
      <c r="I154" s="27"/>
    </row>
    <row r="155">
      <c r="I155" s="27"/>
    </row>
    <row r="156">
      <c r="I156" s="27"/>
    </row>
    <row r="157">
      <c r="I157" s="27"/>
    </row>
    <row r="158">
      <c r="I158" s="27"/>
    </row>
    <row r="159">
      <c r="I159" s="27"/>
    </row>
    <row r="160">
      <c r="I160" s="27"/>
    </row>
    <row r="161">
      <c r="I161" s="27"/>
    </row>
    <row r="162">
      <c r="I162" s="27"/>
    </row>
    <row r="163">
      <c r="I163" s="27"/>
    </row>
    <row r="164">
      <c r="I164" s="27"/>
    </row>
    <row r="165">
      <c r="I165" s="27"/>
    </row>
    <row r="166">
      <c r="I166" s="27"/>
    </row>
    <row r="167">
      <c r="I167" s="27"/>
    </row>
    <row r="168">
      <c r="I168" s="27"/>
    </row>
    <row r="169">
      <c r="I169" s="27"/>
    </row>
    <row r="170">
      <c r="I170" s="27"/>
    </row>
    <row r="171">
      <c r="I171" s="27"/>
    </row>
    <row r="172">
      <c r="I172" s="27"/>
    </row>
    <row r="173">
      <c r="I173" s="27"/>
    </row>
    <row r="174">
      <c r="I174" s="27"/>
    </row>
    <row r="175">
      <c r="I175" s="27"/>
    </row>
    <row r="176">
      <c r="I176" s="27"/>
    </row>
    <row r="177">
      <c r="I177" s="27"/>
    </row>
    <row r="178">
      <c r="I178" s="27"/>
    </row>
    <row r="179">
      <c r="I179" s="27"/>
    </row>
    <row r="180">
      <c r="I180" s="27"/>
    </row>
    <row r="181">
      <c r="I181" s="27"/>
    </row>
    <row r="182">
      <c r="I182" s="27"/>
    </row>
    <row r="183">
      <c r="I183" s="27"/>
    </row>
    <row r="184">
      <c r="I184" s="27"/>
    </row>
    <row r="185">
      <c r="I185" s="27"/>
    </row>
    <row r="186">
      <c r="I186" s="27"/>
    </row>
    <row r="187">
      <c r="I187" s="27"/>
    </row>
    <row r="188">
      <c r="I188" s="27"/>
    </row>
    <row r="189">
      <c r="I189" s="27"/>
    </row>
    <row r="190">
      <c r="I190" s="27"/>
    </row>
    <row r="191">
      <c r="I191" s="27"/>
    </row>
    <row r="192">
      <c r="I192" s="27"/>
    </row>
    <row r="193">
      <c r="I193" s="27"/>
    </row>
    <row r="194">
      <c r="I194" s="27"/>
    </row>
    <row r="195">
      <c r="I195" s="27"/>
    </row>
    <row r="196">
      <c r="I196" s="27"/>
    </row>
    <row r="197">
      <c r="I197" s="27"/>
    </row>
    <row r="198">
      <c r="I198" s="27"/>
    </row>
    <row r="199">
      <c r="I199" s="27"/>
    </row>
    <row r="200">
      <c r="I200" s="27"/>
    </row>
    <row r="201">
      <c r="I201" s="27"/>
    </row>
    <row r="202">
      <c r="I202" s="27"/>
    </row>
    <row r="203">
      <c r="I203" s="27"/>
    </row>
    <row r="204">
      <c r="I204" s="27"/>
    </row>
    <row r="205">
      <c r="I205" s="27"/>
    </row>
    <row r="206">
      <c r="I206" s="27"/>
    </row>
    <row r="207">
      <c r="I207" s="27"/>
    </row>
    <row r="208">
      <c r="I208" s="27"/>
    </row>
    <row r="209">
      <c r="I209" s="27"/>
    </row>
    <row r="210">
      <c r="I210" s="27"/>
    </row>
    <row r="211">
      <c r="I211" s="27"/>
    </row>
    <row r="212">
      <c r="I212" s="27"/>
    </row>
    <row r="213">
      <c r="I213" s="27"/>
    </row>
    <row r="214">
      <c r="I214" s="27"/>
    </row>
    <row r="215">
      <c r="I215" s="27"/>
    </row>
    <row r="216">
      <c r="I216" s="27"/>
    </row>
    <row r="217">
      <c r="I217" s="27"/>
    </row>
    <row r="218">
      <c r="I218" s="27"/>
    </row>
    <row r="219">
      <c r="I219" s="27"/>
    </row>
    <row r="220">
      <c r="I220" s="27"/>
    </row>
    <row r="221">
      <c r="I221" s="27"/>
    </row>
    <row r="222">
      <c r="I222" s="27"/>
    </row>
    <row r="223">
      <c r="I223" s="27"/>
    </row>
    <row r="224">
      <c r="I224" s="27"/>
    </row>
    <row r="225">
      <c r="I225" s="27"/>
    </row>
    <row r="226">
      <c r="I226" s="27"/>
    </row>
    <row r="227">
      <c r="I227" s="27"/>
    </row>
    <row r="228">
      <c r="I228" s="27"/>
    </row>
    <row r="229">
      <c r="I229" s="27"/>
    </row>
    <row r="230">
      <c r="I230" s="27"/>
    </row>
    <row r="231">
      <c r="I231" s="27"/>
    </row>
    <row r="232">
      <c r="I232" s="27"/>
    </row>
    <row r="233">
      <c r="I233" s="27"/>
    </row>
    <row r="234">
      <c r="I234" s="27"/>
    </row>
    <row r="235">
      <c r="I235" s="27"/>
    </row>
    <row r="236">
      <c r="I236" s="27"/>
    </row>
    <row r="237">
      <c r="I237" s="27"/>
    </row>
    <row r="238">
      <c r="I238" s="27"/>
    </row>
    <row r="239">
      <c r="I239" s="27"/>
    </row>
    <row r="240">
      <c r="I240" s="27"/>
    </row>
    <row r="241">
      <c r="I241" s="27"/>
    </row>
    <row r="242">
      <c r="I242" s="27"/>
    </row>
    <row r="243">
      <c r="I243" s="27"/>
    </row>
    <row r="244">
      <c r="I244" s="27"/>
    </row>
    <row r="245">
      <c r="I245" s="27"/>
    </row>
    <row r="246">
      <c r="I246" s="27"/>
    </row>
    <row r="247">
      <c r="I247" s="27"/>
    </row>
    <row r="248">
      <c r="I248" s="27"/>
    </row>
    <row r="249">
      <c r="I249" s="27"/>
    </row>
    <row r="250">
      <c r="I250" s="27"/>
    </row>
    <row r="251">
      <c r="I251" s="27"/>
    </row>
    <row r="252">
      <c r="I252" s="27"/>
    </row>
    <row r="253">
      <c r="I253" s="27"/>
    </row>
    <row r="254">
      <c r="I254" s="27"/>
    </row>
    <row r="255">
      <c r="I255" s="27"/>
    </row>
    <row r="256">
      <c r="I256" s="27"/>
    </row>
    <row r="257">
      <c r="I257" s="27"/>
    </row>
    <row r="258">
      <c r="I258" s="27"/>
    </row>
    <row r="259">
      <c r="I259" s="27"/>
    </row>
    <row r="260">
      <c r="I260" s="27"/>
    </row>
    <row r="261">
      <c r="I261" s="27"/>
    </row>
    <row r="262">
      <c r="I262" s="27"/>
    </row>
    <row r="263">
      <c r="I263" s="27"/>
    </row>
    <row r="264">
      <c r="I264" s="27"/>
    </row>
    <row r="265">
      <c r="I265" s="27"/>
    </row>
    <row r="266">
      <c r="I266" s="27"/>
    </row>
    <row r="267">
      <c r="I267" s="27"/>
    </row>
    <row r="268">
      <c r="I268" s="27"/>
    </row>
    <row r="269">
      <c r="I269" s="27"/>
    </row>
    <row r="270">
      <c r="I270" s="27"/>
    </row>
    <row r="271">
      <c r="I271" s="27"/>
    </row>
    <row r="272">
      <c r="I272" s="27"/>
    </row>
    <row r="273">
      <c r="I273" s="27"/>
    </row>
    <row r="274">
      <c r="I274" s="27"/>
    </row>
    <row r="275">
      <c r="I275" s="27"/>
    </row>
    <row r="276">
      <c r="I276" s="27"/>
    </row>
    <row r="277">
      <c r="I277" s="27"/>
    </row>
    <row r="278">
      <c r="I278" s="27"/>
    </row>
    <row r="279">
      <c r="I279" s="27"/>
    </row>
    <row r="280">
      <c r="I280" s="27"/>
    </row>
    <row r="281">
      <c r="I281" s="27"/>
    </row>
    <row r="282">
      <c r="I282" s="27"/>
    </row>
    <row r="283">
      <c r="I283" s="27"/>
    </row>
    <row r="284">
      <c r="I284" s="27"/>
    </row>
    <row r="285">
      <c r="I285" s="27"/>
    </row>
    <row r="286">
      <c r="I286" s="27"/>
    </row>
    <row r="287">
      <c r="I287" s="27"/>
    </row>
    <row r="288">
      <c r="I288" s="27"/>
    </row>
    <row r="289">
      <c r="I289" s="27"/>
    </row>
    <row r="290">
      <c r="I290" s="27"/>
    </row>
    <row r="291">
      <c r="I291" s="27"/>
    </row>
    <row r="292">
      <c r="I292" s="27"/>
    </row>
    <row r="293">
      <c r="I293" s="27"/>
    </row>
    <row r="294">
      <c r="I294" s="27"/>
    </row>
    <row r="295">
      <c r="I295" s="27"/>
    </row>
    <row r="296">
      <c r="I296" s="27"/>
    </row>
    <row r="297">
      <c r="I297" s="27"/>
    </row>
    <row r="298">
      <c r="I298" s="27"/>
    </row>
    <row r="299">
      <c r="I299" s="27"/>
    </row>
    <row r="300">
      <c r="I300" s="27"/>
    </row>
    <row r="301">
      <c r="I301" s="27"/>
    </row>
    <row r="302">
      <c r="I302" s="27"/>
    </row>
    <row r="303">
      <c r="I303" s="27"/>
    </row>
    <row r="304">
      <c r="I304" s="27"/>
    </row>
    <row r="305">
      <c r="I305" s="27"/>
    </row>
    <row r="306">
      <c r="I306" s="27"/>
    </row>
    <row r="307">
      <c r="I307" s="27"/>
    </row>
    <row r="308">
      <c r="I308" s="27"/>
    </row>
    <row r="309">
      <c r="I309" s="27"/>
    </row>
    <row r="310">
      <c r="I310" s="27"/>
    </row>
    <row r="311">
      <c r="I311" s="27"/>
    </row>
    <row r="312">
      <c r="I312" s="27"/>
    </row>
    <row r="313">
      <c r="I313" s="27"/>
    </row>
    <row r="314">
      <c r="I314" s="27"/>
    </row>
    <row r="315">
      <c r="I315" s="27"/>
    </row>
    <row r="316">
      <c r="I316" s="27"/>
    </row>
    <row r="317">
      <c r="I317" s="27"/>
    </row>
    <row r="318">
      <c r="I318" s="27"/>
    </row>
    <row r="319">
      <c r="I319" s="27"/>
    </row>
    <row r="320">
      <c r="I320" s="27"/>
    </row>
    <row r="321">
      <c r="I321" s="27"/>
    </row>
    <row r="322">
      <c r="I322" s="27"/>
    </row>
    <row r="323">
      <c r="I323" s="27"/>
    </row>
    <row r="324">
      <c r="I324" s="27"/>
    </row>
    <row r="325">
      <c r="I325" s="27"/>
    </row>
    <row r="326">
      <c r="I326" s="27"/>
    </row>
    <row r="327">
      <c r="I327" s="27"/>
    </row>
    <row r="328">
      <c r="I328" s="27"/>
    </row>
    <row r="329">
      <c r="I329" s="27"/>
    </row>
    <row r="330">
      <c r="I330" s="27"/>
    </row>
    <row r="331">
      <c r="I331" s="27"/>
    </row>
    <row r="332">
      <c r="I332" s="27"/>
    </row>
    <row r="333">
      <c r="I333" s="27"/>
    </row>
    <row r="334">
      <c r="I334" s="27"/>
    </row>
    <row r="335">
      <c r="I335" s="27"/>
    </row>
    <row r="336">
      <c r="I336" s="27"/>
    </row>
    <row r="337">
      <c r="I337" s="27"/>
    </row>
    <row r="338">
      <c r="I338" s="27"/>
    </row>
    <row r="339">
      <c r="I339" s="27"/>
    </row>
    <row r="340">
      <c r="I340" s="27"/>
    </row>
    <row r="341">
      <c r="I341" s="27"/>
    </row>
    <row r="342">
      <c r="I342" s="27"/>
    </row>
    <row r="343">
      <c r="I343" s="27"/>
    </row>
    <row r="344">
      <c r="I344" s="27"/>
    </row>
    <row r="345">
      <c r="I345" s="27"/>
    </row>
    <row r="346">
      <c r="I346" s="27"/>
    </row>
    <row r="347">
      <c r="I347" s="27"/>
    </row>
    <row r="348">
      <c r="I348" s="27"/>
    </row>
    <row r="349">
      <c r="I349" s="27"/>
    </row>
    <row r="350">
      <c r="I350" s="27"/>
    </row>
    <row r="351">
      <c r="I351" s="27"/>
    </row>
    <row r="352">
      <c r="I352" s="27"/>
    </row>
    <row r="353">
      <c r="I353" s="27"/>
    </row>
    <row r="354">
      <c r="I354" s="27"/>
    </row>
    <row r="355">
      <c r="I355" s="27"/>
    </row>
    <row r="356">
      <c r="I356" s="27"/>
    </row>
    <row r="357">
      <c r="I357" s="27"/>
    </row>
    <row r="358">
      <c r="I358" s="27"/>
    </row>
    <row r="359">
      <c r="I359" s="27"/>
    </row>
    <row r="360">
      <c r="I360" s="27"/>
    </row>
    <row r="361">
      <c r="I361" s="27"/>
    </row>
    <row r="362">
      <c r="I362" s="27"/>
    </row>
    <row r="363">
      <c r="I363" s="27"/>
    </row>
    <row r="364">
      <c r="I364" s="27"/>
    </row>
    <row r="365">
      <c r="I365" s="27"/>
    </row>
    <row r="366">
      <c r="I366" s="27"/>
    </row>
    <row r="367">
      <c r="I367" s="27"/>
    </row>
    <row r="368">
      <c r="I368" s="27"/>
    </row>
    <row r="369">
      <c r="I369" s="27"/>
    </row>
    <row r="370">
      <c r="I370" s="27"/>
    </row>
    <row r="371">
      <c r="I371" s="27"/>
    </row>
    <row r="372">
      <c r="I372" s="27"/>
    </row>
    <row r="373">
      <c r="I373" s="27"/>
    </row>
    <row r="374">
      <c r="I374" s="27"/>
    </row>
    <row r="375">
      <c r="I375" s="27"/>
    </row>
    <row r="376">
      <c r="I376" s="27"/>
    </row>
    <row r="377">
      <c r="I377" s="27"/>
    </row>
    <row r="378">
      <c r="I378" s="27"/>
    </row>
    <row r="379">
      <c r="I379" s="27"/>
    </row>
    <row r="380">
      <c r="I380" s="27"/>
    </row>
    <row r="381">
      <c r="I381" s="27"/>
    </row>
    <row r="382">
      <c r="I382" s="27"/>
    </row>
    <row r="383">
      <c r="I383" s="27"/>
    </row>
    <row r="384">
      <c r="I384" s="27"/>
    </row>
    <row r="385">
      <c r="I385" s="27"/>
    </row>
    <row r="386">
      <c r="I386" s="27"/>
    </row>
    <row r="387">
      <c r="I387" s="27"/>
    </row>
    <row r="388">
      <c r="I388" s="27"/>
    </row>
    <row r="389">
      <c r="I389" s="27"/>
    </row>
    <row r="390">
      <c r="I390" s="27"/>
    </row>
    <row r="391">
      <c r="I391" s="27"/>
    </row>
    <row r="392">
      <c r="I392" s="27"/>
    </row>
    <row r="393">
      <c r="I393" s="27"/>
    </row>
    <row r="394">
      <c r="I394" s="27"/>
    </row>
    <row r="395">
      <c r="I395" s="27"/>
    </row>
    <row r="396">
      <c r="I396" s="27"/>
    </row>
    <row r="397">
      <c r="I397" s="27"/>
    </row>
    <row r="398">
      <c r="I398" s="27"/>
    </row>
    <row r="399">
      <c r="I399" s="27"/>
    </row>
    <row r="400">
      <c r="I400" s="27"/>
    </row>
    <row r="401">
      <c r="I401" s="27"/>
    </row>
    <row r="402">
      <c r="I402" s="27"/>
    </row>
    <row r="403">
      <c r="I403" s="27"/>
    </row>
    <row r="404">
      <c r="I404" s="27"/>
    </row>
    <row r="405">
      <c r="I405" s="27"/>
    </row>
    <row r="406">
      <c r="I406" s="27"/>
    </row>
    <row r="407">
      <c r="I407" s="27"/>
    </row>
    <row r="408">
      <c r="I408" s="27"/>
    </row>
    <row r="409">
      <c r="I409" s="27"/>
    </row>
    <row r="410">
      <c r="I410" s="27"/>
    </row>
    <row r="411">
      <c r="I411" s="27"/>
    </row>
    <row r="412">
      <c r="I412" s="27"/>
    </row>
    <row r="413">
      <c r="I413" s="27"/>
    </row>
    <row r="414">
      <c r="I414" s="27"/>
    </row>
    <row r="415">
      <c r="I415" s="27"/>
    </row>
    <row r="416">
      <c r="I416" s="27"/>
    </row>
    <row r="417">
      <c r="I417" s="27"/>
    </row>
    <row r="418">
      <c r="I418" s="27"/>
    </row>
    <row r="419">
      <c r="I419" s="27"/>
    </row>
    <row r="420">
      <c r="I420" s="27"/>
    </row>
    <row r="421">
      <c r="I421" s="27"/>
    </row>
    <row r="422">
      <c r="I422" s="27"/>
    </row>
    <row r="423">
      <c r="I423" s="27"/>
    </row>
    <row r="424">
      <c r="I424" s="27"/>
    </row>
    <row r="425">
      <c r="I425" s="27"/>
    </row>
    <row r="426">
      <c r="I426" s="27"/>
    </row>
    <row r="427">
      <c r="I427" s="27"/>
    </row>
    <row r="428">
      <c r="I428" s="27"/>
    </row>
    <row r="429">
      <c r="I429" s="27"/>
    </row>
    <row r="430">
      <c r="I430" s="27"/>
    </row>
    <row r="431">
      <c r="I431" s="27"/>
    </row>
    <row r="432">
      <c r="I432" s="27"/>
    </row>
    <row r="433">
      <c r="I433" s="27"/>
    </row>
    <row r="434">
      <c r="I434" s="27"/>
    </row>
    <row r="435">
      <c r="I435" s="27"/>
    </row>
    <row r="436">
      <c r="I436" s="27"/>
    </row>
    <row r="437">
      <c r="I437" s="27"/>
    </row>
    <row r="438">
      <c r="I438" s="27"/>
    </row>
    <row r="439">
      <c r="I439" s="27"/>
    </row>
    <row r="440">
      <c r="I440" s="27"/>
    </row>
    <row r="441">
      <c r="I441" s="27"/>
    </row>
    <row r="442">
      <c r="I442" s="27"/>
    </row>
    <row r="443">
      <c r="I443" s="27"/>
    </row>
    <row r="444">
      <c r="I444" s="27"/>
    </row>
    <row r="445">
      <c r="I445" s="27"/>
    </row>
    <row r="446">
      <c r="I446" s="27"/>
    </row>
    <row r="447">
      <c r="I447" s="27"/>
    </row>
    <row r="448">
      <c r="I448" s="27"/>
    </row>
    <row r="449">
      <c r="I449" s="27"/>
    </row>
    <row r="450">
      <c r="I450" s="27"/>
    </row>
    <row r="451">
      <c r="I451" s="27"/>
    </row>
    <row r="452">
      <c r="I452" s="27"/>
    </row>
    <row r="453">
      <c r="I453" s="27"/>
    </row>
    <row r="454">
      <c r="I454" s="27"/>
    </row>
    <row r="455">
      <c r="I455" s="27"/>
    </row>
    <row r="456">
      <c r="I456" s="27"/>
    </row>
    <row r="457">
      <c r="I457" s="27"/>
    </row>
    <row r="458">
      <c r="I458" s="27"/>
    </row>
    <row r="459">
      <c r="I459" s="27"/>
    </row>
    <row r="460">
      <c r="I460" s="27"/>
    </row>
    <row r="461">
      <c r="I461" s="27"/>
    </row>
    <row r="462">
      <c r="I462" s="27"/>
    </row>
    <row r="463">
      <c r="I463" s="27"/>
    </row>
    <row r="464">
      <c r="I464" s="27"/>
    </row>
    <row r="465">
      <c r="I465" s="27"/>
    </row>
    <row r="466">
      <c r="I466" s="27"/>
    </row>
    <row r="467">
      <c r="I467" s="27"/>
    </row>
    <row r="468">
      <c r="I468" s="27"/>
    </row>
    <row r="469">
      <c r="I469" s="27"/>
    </row>
    <row r="470">
      <c r="I470" s="27"/>
    </row>
    <row r="471">
      <c r="I471" s="27"/>
    </row>
    <row r="472">
      <c r="I472" s="27"/>
    </row>
    <row r="473">
      <c r="I473" s="27"/>
    </row>
    <row r="474">
      <c r="I474" s="27"/>
    </row>
    <row r="475">
      <c r="I475" s="27"/>
    </row>
    <row r="476">
      <c r="I476" s="27"/>
    </row>
    <row r="477">
      <c r="I477" s="27"/>
    </row>
    <row r="478">
      <c r="I478" s="27"/>
    </row>
    <row r="479">
      <c r="I479" s="27"/>
    </row>
    <row r="480">
      <c r="I480" s="27"/>
    </row>
    <row r="481">
      <c r="I481" s="27"/>
    </row>
    <row r="482">
      <c r="I482" s="27"/>
    </row>
    <row r="483">
      <c r="I483" s="27"/>
    </row>
    <row r="484">
      <c r="I484" s="27"/>
    </row>
    <row r="485">
      <c r="I485" s="27"/>
    </row>
    <row r="486">
      <c r="I486" s="27"/>
    </row>
    <row r="487">
      <c r="I487" s="27"/>
    </row>
    <row r="488">
      <c r="I488" s="27"/>
    </row>
    <row r="489">
      <c r="I489" s="27"/>
    </row>
    <row r="490">
      <c r="I490" s="27"/>
    </row>
    <row r="491">
      <c r="I491" s="27"/>
    </row>
    <row r="492">
      <c r="I492" s="27"/>
    </row>
    <row r="493">
      <c r="I493" s="27"/>
    </row>
    <row r="494">
      <c r="I494" s="27"/>
    </row>
    <row r="495">
      <c r="I495" s="27"/>
    </row>
    <row r="496">
      <c r="I496" s="27"/>
    </row>
    <row r="497">
      <c r="I497" s="27"/>
    </row>
    <row r="498">
      <c r="I498" s="27"/>
    </row>
    <row r="499">
      <c r="I499" s="27"/>
    </row>
    <row r="500">
      <c r="I500" s="27"/>
    </row>
    <row r="501">
      <c r="I501" s="27"/>
    </row>
    <row r="502">
      <c r="I502" s="27"/>
    </row>
    <row r="503">
      <c r="I503" s="27"/>
    </row>
    <row r="504">
      <c r="I504" s="27"/>
    </row>
    <row r="505">
      <c r="I505" s="27"/>
    </row>
    <row r="506">
      <c r="I506" s="27"/>
    </row>
    <row r="507">
      <c r="I507" s="27"/>
    </row>
    <row r="508">
      <c r="I508" s="27"/>
    </row>
    <row r="509">
      <c r="I509" s="27"/>
    </row>
    <row r="510">
      <c r="I510" s="27"/>
    </row>
    <row r="511">
      <c r="I511" s="27"/>
    </row>
    <row r="512">
      <c r="I512" s="27"/>
    </row>
    <row r="513">
      <c r="I513" s="27"/>
    </row>
    <row r="514">
      <c r="I514" s="27"/>
    </row>
    <row r="515">
      <c r="I515" s="27"/>
    </row>
    <row r="516">
      <c r="I516" s="27"/>
    </row>
    <row r="517">
      <c r="I517" s="27"/>
    </row>
    <row r="518">
      <c r="I518" s="27"/>
    </row>
    <row r="519">
      <c r="I519" s="27"/>
    </row>
    <row r="520">
      <c r="I520" s="27"/>
    </row>
    <row r="521">
      <c r="I521" s="27"/>
    </row>
    <row r="522">
      <c r="I522" s="27"/>
    </row>
    <row r="523">
      <c r="I523" s="27"/>
    </row>
    <row r="524">
      <c r="I524" s="27"/>
    </row>
    <row r="525">
      <c r="I525" s="27"/>
    </row>
    <row r="526">
      <c r="I526" s="27"/>
    </row>
    <row r="527">
      <c r="I527" s="27"/>
    </row>
    <row r="528">
      <c r="I528" s="27"/>
    </row>
    <row r="529">
      <c r="I529" s="27"/>
    </row>
    <row r="530">
      <c r="I530" s="27"/>
    </row>
    <row r="531">
      <c r="I531" s="27"/>
    </row>
    <row r="532">
      <c r="I532" s="27"/>
    </row>
    <row r="533">
      <c r="I533" s="27"/>
    </row>
    <row r="534">
      <c r="I534" s="27"/>
    </row>
    <row r="535">
      <c r="I535" s="27"/>
    </row>
    <row r="536">
      <c r="I536" s="27"/>
    </row>
    <row r="537">
      <c r="I537" s="27"/>
    </row>
    <row r="538">
      <c r="I538" s="27"/>
    </row>
    <row r="539">
      <c r="I539" s="27"/>
    </row>
    <row r="540">
      <c r="I540" s="27"/>
    </row>
    <row r="541">
      <c r="I541" s="27"/>
    </row>
    <row r="542">
      <c r="I542" s="27"/>
    </row>
    <row r="543">
      <c r="I543" s="27"/>
    </row>
    <row r="544">
      <c r="I544" s="27"/>
    </row>
    <row r="545">
      <c r="I545" s="27"/>
    </row>
    <row r="546">
      <c r="I546" s="27"/>
    </row>
    <row r="547">
      <c r="I547" s="27"/>
    </row>
    <row r="548">
      <c r="I548" s="27"/>
    </row>
    <row r="549">
      <c r="I549" s="27"/>
    </row>
    <row r="550">
      <c r="I550" s="27"/>
    </row>
    <row r="551">
      <c r="I551" s="27"/>
    </row>
    <row r="552">
      <c r="I552" s="27"/>
    </row>
    <row r="553">
      <c r="I553" s="27"/>
    </row>
    <row r="554">
      <c r="I554" s="27"/>
    </row>
    <row r="555">
      <c r="I555" s="27"/>
    </row>
    <row r="556">
      <c r="I556" s="27"/>
    </row>
    <row r="557">
      <c r="I557" s="27"/>
    </row>
    <row r="558">
      <c r="I558" s="27"/>
    </row>
    <row r="559">
      <c r="I559" s="27"/>
    </row>
    <row r="560">
      <c r="I560" s="27"/>
    </row>
    <row r="561">
      <c r="I561" s="27"/>
    </row>
    <row r="562">
      <c r="I562" s="27"/>
    </row>
    <row r="563">
      <c r="I563" s="27"/>
    </row>
    <row r="564">
      <c r="I564" s="27"/>
    </row>
    <row r="565">
      <c r="I565" s="27"/>
    </row>
    <row r="566">
      <c r="I566" s="27"/>
    </row>
    <row r="567">
      <c r="I567" s="27"/>
    </row>
    <row r="568">
      <c r="I568" s="27"/>
    </row>
    <row r="569">
      <c r="I569" s="27"/>
    </row>
    <row r="570">
      <c r="I570" s="27"/>
    </row>
    <row r="571">
      <c r="I571" s="27"/>
    </row>
    <row r="572">
      <c r="I572" s="27"/>
    </row>
    <row r="573">
      <c r="I573" s="27"/>
    </row>
    <row r="574">
      <c r="I574" s="27"/>
    </row>
    <row r="575">
      <c r="I575" s="27"/>
    </row>
    <row r="576">
      <c r="I576" s="27"/>
    </row>
    <row r="577">
      <c r="I577" s="27"/>
    </row>
    <row r="578">
      <c r="I578" s="27"/>
    </row>
    <row r="579">
      <c r="I579" s="27"/>
    </row>
    <row r="580">
      <c r="I580" s="27"/>
    </row>
    <row r="581">
      <c r="I581" s="27"/>
    </row>
    <row r="582">
      <c r="I582" s="27"/>
    </row>
    <row r="583">
      <c r="I583" s="27"/>
    </row>
    <row r="584">
      <c r="I584" s="27"/>
    </row>
    <row r="585">
      <c r="I585" s="27"/>
    </row>
    <row r="586">
      <c r="I586" s="27"/>
    </row>
    <row r="587">
      <c r="I587" s="27"/>
    </row>
    <row r="588">
      <c r="I588" s="27"/>
    </row>
    <row r="589">
      <c r="I589" s="27"/>
    </row>
    <row r="590">
      <c r="I590" s="27"/>
    </row>
    <row r="591">
      <c r="I591" s="27"/>
    </row>
    <row r="592">
      <c r="I592" s="27"/>
    </row>
    <row r="593">
      <c r="I593" s="27"/>
    </row>
    <row r="594">
      <c r="I594" s="27"/>
    </row>
    <row r="595">
      <c r="I595" s="27"/>
    </row>
    <row r="596">
      <c r="I596" s="27"/>
    </row>
    <row r="597">
      <c r="I597" s="27"/>
    </row>
    <row r="598">
      <c r="I598" s="27"/>
    </row>
    <row r="599">
      <c r="I599" s="27"/>
    </row>
    <row r="600">
      <c r="I600" s="27"/>
    </row>
    <row r="601">
      <c r="I601" s="27"/>
    </row>
    <row r="602">
      <c r="I602" s="27"/>
    </row>
    <row r="603">
      <c r="I603" s="27"/>
    </row>
    <row r="604">
      <c r="I604" s="27"/>
    </row>
    <row r="605">
      <c r="I605" s="27"/>
    </row>
    <row r="606">
      <c r="I606" s="27"/>
    </row>
    <row r="607">
      <c r="I607" s="27"/>
    </row>
    <row r="608">
      <c r="I608" s="27"/>
    </row>
    <row r="609">
      <c r="I609" s="27"/>
    </row>
    <row r="610">
      <c r="I610" s="27"/>
    </row>
    <row r="611">
      <c r="I611" s="27"/>
    </row>
    <row r="612">
      <c r="I612" s="27"/>
    </row>
    <row r="613">
      <c r="I613" s="27"/>
    </row>
    <row r="614">
      <c r="I614" s="27"/>
    </row>
    <row r="615">
      <c r="I615" s="27"/>
    </row>
    <row r="616">
      <c r="I616" s="27"/>
    </row>
    <row r="617">
      <c r="I617" s="27"/>
    </row>
    <row r="618">
      <c r="I618" s="27"/>
    </row>
    <row r="619">
      <c r="I619" s="27"/>
    </row>
    <row r="620">
      <c r="I620" s="27"/>
    </row>
    <row r="621">
      <c r="I621" s="27"/>
    </row>
    <row r="622">
      <c r="I622" s="27"/>
    </row>
    <row r="623">
      <c r="I623" s="27"/>
    </row>
    <row r="624">
      <c r="I624" s="27"/>
    </row>
    <row r="625">
      <c r="I625" s="27"/>
    </row>
    <row r="626">
      <c r="I626" s="27"/>
    </row>
    <row r="627">
      <c r="I627" s="27"/>
    </row>
    <row r="628">
      <c r="I628" s="27"/>
    </row>
    <row r="629">
      <c r="I629" s="27"/>
    </row>
    <row r="630">
      <c r="I630" s="27"/>
    </row>
    <row r="631">
      <c r="I631" s="27"/>
    </row>
    <row r="632">
      <c r="I632" s="27"/>
    </row>
    <row r="633">
      <c r="I633" s="27"/>
    </row>
    <row r="634">
      <c r="I634" s="27"/>
    </row>
    <row r="635">
      <c r="I635" s="27"/>
    </row>
    <row r="636">
      <c r="I636" s="27"/>
    </row>
    <row r="637">
      <c r="I637" s="27"/>
    </row>
    <row r="638">
      <c r="I638" s="27"/>
    </row>
    <row r="639">
      <c r="I639" s="27"/>
    </row>
    <row r="640">
      <c r="I640" s="27"/>
    </row>
    <row r="641">
      <c r="I641" s="27"/>
    </row>
    <row r="642">
      <c r="I642" s="27"/>
    </row>
    <row r="643">
      <c r="I643" s="27"/>
    </row>
    <row r="644">
      <c r="I644" s="27"/>
    </row>
    <row r="645">
      <c r="I645" s="27"/>
    </row>
    <row r="646">
      <c r="I646" s="27"/>
    </row>
    <row r="647">
      <c r="I647" s="27"/>
    </row>
    <row r="648">
      <c r="I648" s="27"/>
    </row>
    <row r="649">
      <c r="I649" s="27"/>
    </row>
    <row r="650">
      <c r="I650" s="27"/>
    </row>
    <row r="651">
      <c r="I651" s="27"/>
    </row>
    <row r="652">
      <c r="I652" s="27"/>
    </row>
    <row r="653">
      <c r="I653" s="27"/>
    </row>
    <row r="654">
      <c r="I654" s="27"/>
    </row>
    <row r="655">
      <c r="I655" s="27"/>
    </row>
    <row r="656">
      <c r="I656" s="27"/>
    </row>
    <row r="657">
      <c r="I657" s="27"/>
    </row>
    <row r="658">
      <c r="I658" s="27"/>
    </row>
    <row r="659">
      <c r="I659" s="27"/>
    </row>
    <row r="660">
      <c r="I660" s="27"/>
    </row>
    <row r="661">
      <c r="I661" s="27"/>
    </row>
    <row r="662">
      <c r="I662" s="27"/>
    </row>
    <row r="663">
      <c r="I663" s="27"/>
    </row>
    <row r="664">
      <c r="I664" s="27"/>
    </row>
    <row r="665">
      <c r="I665" s="27"/>
    </row>
    <row r="666">
      <c r="I666" s="27"/>
    </row>
    <row r="667">
      <c r="I667" s="27"/>
    </row>
    <row r="668">
      <c r="I668" s="27"/>
    </row>
    <row r="669">
      <c r="I669" s="27"/>
    </row>
    <row r="670">
      <c r="I670" s="27"/>
    </row>
    <row r="671">
      <c r="I671" s="27"/>
    </row>
    <row r="672">
      <c r="I672" s="27"/>
    </row>
    <row r="673">
      <c r="I673" s="27"/>
    </row>
    <row r="674">
      <c r="I674" s="27"/>
    </row>
    <row r="675">
      <c r="I675" s="27"/>
    </row>
    <row r="676">
      <c r="I676" s="27"/>
    </row>
    <row r="677">
      <c r="I677" s="27"/>
    </row>
    <row r="678">
      <c r="I678" s="27"/>
    </row>
    <row r="679">
      <c r="I679" s="27"/>
    </row>
    <row r="680">
      <c r="I680" s="27"/>
    </row>
    <row r="681">
      <c r="I681" s="27"/>
    </row>
    <row r="682">
      <c r="I682" s="27"/>
    </row>
    <row r="683">
      <c r="I683" s="27"/>
    </row>
    <row r="684">
      <c r="I684" s="27"/>
    </row>
    <row r="685">
      <c r="I685" s="27"/>
    </row>
    <row r="686">
      <c r="I686" s="27"/>
    </row>
    <row r="687">
      <c r="I687" s="27"/>
    </row>
    <row r="688">
      <c r="I688" s="27"/>
    </row>
    <row r="689">
      <c r="I689" s="27"/>
    </row>
    <row r="690">
      <c r="I690" s="27"/>
    </row>
    <row r="691">
      <c r="I691" s="27"/>
    </row>
    <row r="692">
      <c r="I692" s="27"/>
    </row>
    <row r="693">
      <c r="I693" s="27"/>
    </row>
    <row r="694">
      <c r="I694" s="27"/>
    </row>
    <row r="695">
      <c r="I695" s="27"/>
    </row>
    <row r="696">
      <c r="I696" s="27"/>
    </row>
    <row r="697">
      <c r="I697" s="27"/>
    </row>
    <row r="698">
      <c r="I698" s="27"/>
    </row>
    <row r="699">
      <c r="I699" s="27"/>
    </row>
    <row r="700">
      <c r="I700" s="27"/>
    </row>
    <row r="701">
      <c r="I701" s="27"/>
    </row>
    <row r="702">
      <c r="I702" s="27"/>
    </row>
    <row r="703">
      <c r="I703" s="27"/>
    </row>
    <row r="704">
      <c r="I704" s="27"/>
    </row>
    <row r="705">
      <c r="I705" s="27"/>
    </row>
    <row r="706">
      <c r="I706" s="27"/>
    </row>
    <row r="707">
      <c r="I707" s="27"/>
    </row>
    <row r="708">
      <c r="I708" s="27"/>
    </row>
    <row r="709">
      <c r="I709" s="27"/>
    </row>
    <row r="710">
      <c r="I710" s="27"/>
    </row>
    <row r="711">
      <c r="I711" s="27"/>
    </row>
    <row r="712">
      <c r="I712" s="27"/>
    </row>
    <row r="713">
      <c r="I713" s="27"/>
    </row>
    <row r="714">
      <c r="I714" s="27"/>
    </row>
    <row r="715">
      <c r="I715" s="27"/>
    </row>
    <row r="716">
      <c r="I716" s="27"/>
    </row>
    <row r="717">
      <c r="I717" s="27"/>
    </row>
    <row r="718">
      <c r="I718" s="27"/>
    </row>
    <row r="719">
      <c r="I719" s="27"/>
    </row>
    <row r="720">
      <c r="I720" s="27"/>
    </row>
    <row r="721">
      <c r="I721" s="27"/>
    </row>
    <row r="722">
      <c r="I722" s="27"/>
    </row>
    <row r="723">
      <c r="I723" s="27"/>
    </row>
    <row r="724">
      <c r="I724" s="27"/>
    </row>
    <row r="725">
      <c r="I725" s="27"/>
    </row>
    <row r="726">
      <c r="I726" s="27"/>
    </row>
    <row r="727">
      <c r="I727" s="27"/>
    </row>
    <row r="728">
      <c r="I728" s="27"/>
    </row>
    <row r="729">
      <c r="I729" s="27"/>
    </row>
    <row r="730">
      <c r="I730" s="27"/>
    </row>
    <row r="731">
      <c r="I731" s="27"/>
    </row>
    <row r="732">
      <c r="I732" s="27"/>
    </row>
    <row r="733">
      <c r="I733" s="27"/>
    </row>
    <row r="734">
      <c r="I734" s="27"/>
    </row>
    <row r="735">
      <c r="I735" s="27"/>
    </row>
    <row r="736">
      <c r="I736" s="27"/>
    </row>
    <row r="737">
      <c r="I737" s="27"/>
    </row>
    <row r="738">
      <c r="I738" s="27"/>
    </row>
    <row r="739">
      <c r="I739" s="27"/>
    </row>
    <row r="740">
      <c r="I740" s="27"/>
    </row>
    <row r="741">
      <c r="I741" s="27"/>
    </row>
    <row r="742">
      <c r="I742" s="27"/>
    </row>
    <row r="743">
      <c r="I743" s="27"/>
    </row>
    <row r="744">
      <c r="I744" s="27"/>
    </row>
    <row r="745">
      <c r="I745" s="27"/>
    </row>
    <row r="746">
      <c r="I746" s="27"/>
    </row>
    <row r="747">
      <c r="I747" s="27"/>
    </row>
    <row r="748">
      <c r="I748" s="27"/>
    </row>
    <row r="749">
      <c r="I749" s="27"/>
    </row>
    <row r="750">
      <c r="I750" s="27"/>
    </row>
    <row r="751">
      <c r="I751" s="27"/>
    </row>
    <row r="752">
      <c r="I752" s="27"/>
    </row>
    <row r="753">
      <c r="I753" s="27"/>
    </row>
    <row r="754">
      <c r="I754" s="27"/>
    </row>
    <row r="755">
      <c r="I755" s="27"/>
    </row>
    <row r="756">
      <c r="I756" s="27"/>
    </row>
    <row r="757">
      <c r="I757" s="27"/>
    </row>
    <row r="758">
      <c r="I758" s="27"/>
    </row>
    <row r="759">
      <c r="I759" s="27"/>
    </row>
    <row r="760">
      <c r="I760" s="27"/>
    </row>
    <row r="761">
      <c r="I761" s="27"/>
    </row>
    <row r="762">
      <c r="I762" s="27"/>
    </row>
    <row r="763">
      <c r="I763" s="27"/>
    </row>
    <row r="764">
      <c r="I764" s="27"/>
    </row>
    <row r="765">
      <c r="I765" s="27"/>
    </row>
    <row r="766">
      <c r="I766" s="27"/>
    </row>
    <row r="767">
      <c r="I767" s="27"/>
    </row>
    <row r="768">
      <c r="I768" s="27"/>
    </row>
    <row r="769">
      <c r="I769" s="27"/>
    </row>
    <row r="770">
      <c r="I770" s="27"/>
    </row>
    <row r="771">
      <c r="I771" s="27"/>
    </row>
    <row r="772">
      <c r="I772" s="27"/>
    </row>
    <row r="773">
      <c r="I773" s="27"/>
    </row>
    <row r="774">
      <c r="I774" s="27"/>
    </row>
    <row r="775">
      <c r="I775" s="27"/>
    </row>
    <row r="776">
      <c r="I776" s="27"/>
    </row>
    <row r="777">
      <c r="I777" s="27"/>
    </row>
    <row r="778">
      <c r="I778" s="27"/>
    </row>
    <row r="779">
      <c r="I779" s="27"/>
    </row>
    <row r="780">
      <c r="I780" s="27"/>
    </row>
    <row r="781">
      <c r="I781" s="27"/>
    </row>
    <row r="782">
      <c r="I782" s="27"/>
    </row>
    <row r="783">
      <c r="I783" s="27"/>
    </row>
    <row r="784">
      <c r="I784" s="27"/>
    </row>
    <row r="785">
      <c r="I785" s="27"/>
    </row>
    <row r="786">
      <c r="I786" s="27"/>
    </row>
    <row r="787">
      <c r="I787" s="27"/>
    </row>
    <row r="788">
      <c r="I788" s="27"/>
    </row>
    <row r="789">
      <c r="I789" s="27"/>
    </row>
    <row r="790">
      <c r="I790" s="27"/>
    </row>
    <row r="791">
      <c r="I791" s="27"/>
    </row>
    <row r="792">
      <c r="I792" s="27"/>
    </row>
    <row r="793">
      <c r="I793" s="27"/>
    </row>
    <row r="794">
      <c r="I794" s="27"/>
    </row>
    <row r="795">
      <c r="I795" s="27"/>
    </row>
    <row r="796">
      <c r="I796" s="27"/>
    </row>
    <row r="797">
      <c r="I797" s="27"/>
    </row>
    <row r="798">
      <c r="I798" s="27"/>
    </row>
    <row r="799">
      <c r="I799" s="27"/>
    </row>
    <row r="800">
      <c r="I800" s="27"/>
    </row>
    <row r="801">
      <c r="I801" s="27"/>
    </row>
    <row r="802">
      <c r="I802" s="27"/>
    </row>
    <row r="803">
      <c r="I803" s="27"/>
    </row>
    <row r="804">
      <c r="I804" s="27"/>
    </row>
    <row r="805">
      <c r="I805" s="27"/>
    </row>
    <row r="806">
      <c r="I806" s="27"/>
    </row>
    <row r="807">
      <c r="I807" s="27"/>
    </row>
    <row r="808">
      <c r="I808" s="27"/>
    </row>
    <row r="809">
      <c r="I809" s="27"/>
    </row>
    <row r="810">
      <c r="I810" s="27"/>
    </row>
    <row r="811">
      <c r="I811" s="27"/>
    </row>
    <row r="812">
      <c r="I812" s="27"/>
    </row>
    <row r="813">
      <c r="I813" s="27"/>
    </row>
    <row r="814">
      <c r="I814" s="27"/>
    </row>
    <row r="815">
      <c r="I815" s="27"/>
    </row>
    <row r="816">
      <c r="I816" s="27"/>
    </row>
    <row r="817">
      <c r="I817" s="27"/>
    </row>
    <row r="818">
      <c r="I818" s="27"/>
    </row>
    <row r="819">
      <c r="I819" s="27"/>
    </row>
    <row r="820">
      <c r="I820" s="27"/>
    </row>
    <row r="821">
      <c r="I821" s="27"/>
    </row>
    <row r="822">
      <c r="I822" s="27"/>
    </row>
    <row r="823">
      <c r="I823" s="27"/>
    </row>
    <row r="824">
      <c r="I824" s="27"/>
    </row>
    <row r="825">
      <c r="I825" s="27"/>
    </row>
    <row r="826">
      <c r="I826" s="27"/>
    </row>
    <row r="827">
      <c r="I827" s="27"/>
    </row>
    <row r="828">
      <c r="I828" s="27"/>
    </row>
    <row r="829">
      <c r="I829" s="27"/>
    </row>
    <row r="830">
      <c r="I830" s="27"/>
    </row>
    <row r="831">
      <c r="I831" s="27"/>
    </row>
    <row r="832">
      <c r="I832" s="27"/>
    </row>
    <row r="833">
      <c r="I833" s="27"/>
    </row>
    <row r="834">
      <c r="I834" s="27"/>
    </row>
    <row r="835">
      <c r="I835" s="27"/>
    </row>
    <row r="836">
      <c r="I836" s="27"/>
    </row>
    <row r="837">
      <c r="I837" s="27"/>
    </row>
    <row r="838">
      <c r="I838" s="27"/>
    </row>
    <row r="839">
      <c r="I839" s="27"/>
    </row>
    <row r="840">
      <c r="I840" s="27"/>
    </row>
    <row r="841">
      <c r="I841" s="27"/>
    </row>
    <row r="842">
      <c r="I842" s="27"/>
    </row>
    <row r="843">
      <c r="I843" s="27"/>
    </row>
    <row r="844">
      <c r="I844" s="27"/>
    </row>
    <row r="845">
      <c r="I845" s="27"/>
    </row>
    <row r="846">
      <c r="I846" s="27"/>
    </row>
    <row r="847">
      <c r="I847" s="27"/>
    </row>
    <row r="848">
      <c r="I848" s="27"/>
    </row>
    <row r="849">
      <c r="I849" s="27"/>
    </row>
    <row r="850">
      <c r="I850" s="27"/>
    </row>
    <row r="851">
      <c r="I851" s="27"/>
    </row>
    <row r="852">
      <c r="I852" s="27"/>
    </row>
    <row r="853">
      <c r="I853" s="27"/>
    </row>
    <row r="854">
      <c r="I854" s="27"/>
    </row>
    <row r="855">
      <c r="I855" s="27"/>
    </row>
    <row r="856">
      <c r="I856" s="27"/>
    </row>
    <row r="857">
      <c r="I857" s="27"/>
    </row>
    <row r="858">
      <c r="I858" s="27"/>
    </row>
    <row r="859">
      <c r="I859" s="27"/>
    </row>
    <row r="860">
      <c r="I860" s="27"/>
    </row>
    <row r="861">
      <c r="I861" s="27"/>
    </row>
    <row r="862">
      <c r="I862" s="27"/>
    </row>
    <row r="863">
      <c r="I863" s="27"/>
    </row>
    <row r="864">
      <c r="I864" s="27"/>
    </row>
    <row r="865">
      <c r="I865" s="27"/>
    </row>
    <row r="866">
      <c r="I866" s="27"/>
    </row>
    <row r="867">
      <c r="I867" s="27"/>
    </row>
    <row r="868">
      <c r="I868" s="27"/>
    </row>
    <row r="869">
      <c r="I869" s="27"/>
    </row>
    <row r="870">
      <c r="I870" s="27"/>
    </row>
    <row r="871">
      <c r="I871" s="27"/>
    </row>
    <row r="872">
      <c r="I872" s="27"/>
    </row>
    <row r="873">
      <c r="I873" s="27"/>
    </row>
    <row r="874">
      <c r="I874" s="27"/>
    </row>
    <row r="875">
      <c r="I875" s="27"/>
    </row>
    <row r="876">
      <c r="I876" s="27"/>
    </row>
    <row r="877">
      <c r="I877" s="27"/>
    </row>
    <row r="878">
      <c r="I878" s="27"/>
    </row>
    <row r="879">
      <c r="I879" s="27"/>
    </row>
    <row r="880">
      <c r="I880" s="27"/>
    </row>
    <row r="881">
      <c r="I881" s="27"/>
    </row>
    <row r="882">
      <c r="I882" s="27"/>
    </row>
    <row r="883">
      <c r="I883" s="27"/>
    </row>
    <row r="884">
      <c r="I884" s="27"/>
    </row>
    <row r="885">
      <c r="I885" s="27"/>
    </row>
    <row r="886">
      <c r="I886" s="27"/>
    </row>
    <row r="887">
      <c r="I887" s="27"/>
    </row>
    <row r="888">
      <c r="I888" s="27"/>
    </row>
    <row r="889">
      <c r="I889" s="27"/>
    </row>
    <row r="890">
      <c r="I890" s="27"/>
    </row>
    <row r="891">
      <c r="I891" s="27"/>
    </row>
    <row r="892">
      <c r="I892" s="27"/>
    </row>
    <row r="893">
      <c r="I893" s="27"/>
    </row>
    <row r="894">
      <c r="I894" s="27"/>
    </row>
    <row r="895">
      <c r="I895" s="27"/>
    </row>
    <row r="896">
      <c r="I896" s="27"/>
    </row>
    <row r="897">
      <c r="I897" s="27"/>
    </row>
    <row r="898">
      <c r="I898" s="27"/>
    </row>
    <row r="899">
      <c r="I899" s="27"/>
    </row>
    <row r="900">
      <c r="I900" s="27"/>
    </row>
    <row r="901">
      <c r="I901" s="27"/>
    </row>
    <row r="902">
      <c r="I902" s="27"/>
    </row>
    <row r="903">
      <c r="I903" s="27"/>
    </row>
    <row r="904">
      <c r="I904" s="27"/>
    </row>
    <row r="905">
      <c r="I905" s="27"/>
    </row>
    <row r="906">
      <c r="I906" s="27"/>
    </row>
    <row r="907">
      <c r="I907" s="27"/>
    </row>
    <row r="908">
      <c r="I908" s="27"/>
    </row>
    <row r="909">
      <c r="I909" s="27"/>
    </row>
    <row r="910">
      <c r="I910" s="27"/>
    </row>
    <row r="911">
      <c r="I911" s="27"/>
    </row>
    <row r="912">
      <c r="I912" s="27"/>
    </row>
    <row r="913">
      <c r="I913" s="27"/>
    </row>
    <row r="914">
      <c r="I914" s="27"/>
    </row>
    <row r="915">
      <c r="I915" s="27"/>
    </row>
    <row r="916">
      <c r="I916" s="27"/>
    </row>
    <row r="917">
      <c r="I917" s="27"/>
    </row>
    <row r="918">
      <c r="I918" s="27"/>
    </row>
    <row r="919">
      <c r="I919" s="27"/>
    </row>
    <row r="920">
      <c r="I920" s="27"/>
    </row>
    <row r="921">
      <c r="I921" s="27"/>
    </row>
    <row r="922">
      <c r="I922" s="27"/>
    </row>
    <row r="923">
      <c r="I923" s="27"/>
    </row>
    <row r="924">
      <c r="I924" s="27"/>
    </row>
    <row r="925">
      <c r="I925" s="27"/>
    </row>
    <row r="926">
      <c r="I926" s="27"/>
    </row>
    <row r="927">
      <c r="I927" s="27"/>
    </row>
    <row r="928">
      <c r="I928" s="27"/>
    </row>
    <row r="929">
      <c r="I929" s="27"/>
    </row>
    <row r="930">
      <c r="I930" s="27"/>
    </row>
    <row r="931">
      <c r="I931" s="27"/>
    </row>
    <row r="932">
      <c r="I932" s="27"/>
    </row>
    <row r="933">
      <c r="I933" s="27"/>
    </row>
    <row r="934">
      <c r="I934" s="27"/>
    </row>
    <row r="935">
      <c r="I935" s="27"/>
    </row>
    <row r="936">
      <c r="I936" s="27"/>
    </row>
    <row r="937">
      <c r="I937" s="27"/>
    </row>
    <row r="938">
      <c r="I938" s="27"/>
    </row>
    <row r="939">
      <c r="I939" s="27"/>
    </row>
    <row r="940">
      <c r="I940" s="27"/>
    </row>
    <row r="941">
      <c r="I941" s="27"/>
    </row>
    <row r="942">
      <c r="I942" s="27"/>
    </row>
    <row r="943">
      <c r="I943" s="27"/>
    </row>
    <row r="944">
      <c r="I944" s="27"/>
    </row>
    <row r="945">
      <c r="I945" s="27"/>
    </row>
    <row r="946">
      <c r="I946" s="27"/>
    </row>
    <row r="947">
      <c r="I947" s="27"/>
    </row>
    <row r="948">
      <c r="I948" s="27"/>
    </row>
    <row r="949">
      <c r="I949" s="27"/>
    </row>
    <row r="950">
      <c r="I950" s="27"/>
    </row>
    <row r="951">
      <c r="I951" s="27"/>
    </row>
    <row r="952">
      <c r="I952" s="27"/>
    </row>
    <row r="953">
      <c r="I953" s="27"/>
    </row>
    <row r="954">
      <c r="I954" s="27"/>
    </row>
    <row r="955">
      <c r="I955" s="27"/>
    </row>
    <row r="956">
      <c r="I956" s="27"/>
    </row>
    <row r="957">
      <c r="I957" s="27"/>
    </row>
    <row r="958">
      <c r="I958" s="27"/>
    </row>
    <row r="959">
      <c r="I959" s="27"/>
    </row>
    <row r="960">
      <c r="I960" s="27"/>
    </row>
    <row r="961">
      <c r="I961" s="27"/>
    </row>
    <row r="962">
      <c r="I962" s="27"/>
    </row>
    <row r="963">
      <c r="I963" s="27"/>
    </row>
    <row r="964">
      <c r="I964" s="27"/>
    </row>
    <row r="965">
      <c r="I965" s="27"/>
    </row>
    <row r="966">
      <c r="I966" s="27"/>
    </row>
    <row r="967">
      <c r="I967" s="27"/>
    </row>
    <row r="968">
      <c r="I968" s="27"/>
    </row>
    <row r="969">
      <c r="I969" s="27"/>
    </row>
    <row r="970">
      <c r="I970" s="27"/>
    </row>
    <row r="971">
      <c r="I971" s="27"/>
    </row>
    <row r="972">
      <c r="I972" s="27"/>
    </row>
    <row r="973">
      <c r="I973" s="27"/>
    </row>
    <row r="974">
      <c r="I974" s="27"/>
    </row>
    <row r="975">
      <c r="I975" s="27"/>
    </row>
    <row r="976">
      <c r="I976" s="27"/>
    </row>
    <row r="977">
      <c r="I977" s="27"/>
    </row>
    <row r="978">
      <c r="I978" s="27"/>
    </row>
    <row r="979">
      <c r="I979" s="27"/>
    </row>
    <row r="980">
      <c r="I980" s="27"/>
    </row>
    <row r="981">
      <c r="I981" s="27"/>
    </row>
    <row r="982">
      <c r="I982" s="27"/>
    </row>
    <row r="983">
      <c r="I983" s="27"/>
    </row>
    <row r="984">
      <c r="I984" s="27"/>
    </row>
    <row r="985">
      <c r="I985" s="27"/>
    </row>
    <row r="986">
      <c r="I986" s="27"/>
    </row>
    <row r="987">
      <c r="I987" s="27"/>
    </row>
    <row r="988">
      <c r="I988" s="27"/>
    </row>
    <row r="989">
      <c r="I989" s="27"/>
    </row>
    <row r="990">
      <c r="I990" s="27"/>
    </row>
    <row r="991">
      <c r="I991" s="27"/>
    </row>
    <row r="992">
      <c r="I992" s="27"/>
    </row>
    <row r="993">
      <c r="I993" s="27"/>
    </row>
    <row r="994">
      <c r="I994" s="27"/>
    </row>
    <row r="995">
      <c r="I995" s="27"/>
    </row>
    <row r="996">
      <c r="I996" s="27"/>
    </row>
    <row r="997">
      <c r="I997" s="27"/>
    </row>
    <row r="998">
      <c r="I998" s="27"/>
    </row>
    <row r="999">
      <c r="I999" s="27"/>
    </row>
    <row r="1000">
      <c r="I1000" s="27"/>
    </row>
  </sheetData>
  <conditionalFormatting sqref="D48:G48">
    <cfRule type="cellIs" dxfId="0" priority="1" operator="lessThan">
      <formula>0</formula>
    </cfRule>
  </conditionalFormatting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9.38"/>
    <col customWidth="1" min="6" max="6" width="14.63"/>
    <col customWidth="1" min="7" max="7" width="13.63"/>
    <col customWidth="1" min="10" max="10" width="20.63"/>
    <col customWidth="1" min="11" max="11" width="11.25"/>
    <col customWidth="1" min="12" max="12" width="7.0"/>
    <col customWidth="1" min="13" max="14" width="9.5"/>
  </cols>
  <sheetData>
    <row r="1">
      <c r="A1" s="18" t="s">
        <v>346</v>
      </c>
      <c r="B1" s="199" t="s">
        <v>296</v>
      </c>
      <c r="E1" s="27"/>
      <c r="F1" s="27"/>
      <c r="H1" s="310"/>
      <c r="J1" s="107"/>
    </row>
    <row r="2">
      <c r="B2" s="18" t="s">
        <v>240</v>
      </c>
      <c r="C2" s="249">
        <v>13.0</v>
      </c>
      <c r="E2" s="32"/>
      <c r="F2" s="27"/>
      <c r="H2" s="310"/>
      <c r="J2" s="27"/>
    </row>
    <row r="3">
      <c r="B3" s="18" t="s">
        <v>241</v>
      </c>
      <c r="C3" s="249">
        <v>48.0</v>
      </c>
      <c r="E3" s="32"/>
      <c r="F3" s="27"/>
      <c r="H3" s="310"/>
      <c r="J3" s="27"/>
    </row>
    <row r="4">
      <c r="B4" s="18" t="s">
        <v>242</v>
      </c>
      <c r="C4" s="249">
        <v>13.0</v>
      </c>
      <c r="H4" s="310"/>
      <c r="J4" s="27"/>
      <c r="K4" s="107"/>
      <c r="L4" s="107"/>
      <c r="O4" s="17"/>
    </row>
    <row r="5">
      <c r="B5" s="18" t="s">
        <v>285</v>
      </c>
      <c r="C5" s="249">
        <v>42.0</v>
      </c>
      <c r="E5" s="249"/>
      <c r="F5" s="249"/>
      <c r="H5" s="310"/>
      <c r="J5" s="27"/>
      <c r="K5" s="107"/>
      <c r="L5" s="107"/>
      <c r="O5" s="32"/>
    </row>
    <row r="6">
      <c r="B6" s="18" t="s">
        <v>324</v>
      </c>
      <c r="C6" s="249">
        <v>6.0</v>
      </c>
      <c r="E6" s="249"/>
      <c r="F6" s="249"/>
      <c r="H6" s="310"/>
      <c r="J6" s="301" t="s">
        <v>325</v>
      </c>
      <c r="K6" s="107"/>
      <c r="L6" s="107"/>
      <c r="O6" s="30"/>
    </row>
    <row r="7">
      <c r="C7" s="276">
        <f>SUM(C2:C6)</f>
        <v>122</v>
      </c>
      <c r="E7" s="27"/>
      <c r="F7" s="27"/>
      <c r="H7" s="310"/>
      <c r="J7" s="302" t="s">
        <v>119</v>
      </c>
      <c r="K7" s="302" t="s">
        <v>120</v>
      </c>
      <c r="L7" s="27"/>
    </row>
    <row r="8">
      <c r="E8" s="107"/>
      <c r="F8" s="107"/>
      <c r="H8" s="311"/>
      <c r="J8" s="7" t="s">
        <v>347</v>
      </c>
      <c r="K8" s="7" t="s">
        <v>348</v>
      </c>
      <c r="L8" s="107"/>
    </row>
    <row r="9">
      <c r="B9" s="55" t="s">
        <v>122</v>
      </c>
      <c r="C9" s="56"/>
      <c r="D9" s="254" t="s">
        <v>125</v>
      </c>
      <c r="E9" s="254" t="s">
        <v>126</v>
      </c>
      <c r="F9" s="254" t="s">
        <v>127</v>
      </c>
      <c r="G9" s="253" t="s">
        <v>128</v>
      </c>
      <c r="H9" s="312" t="s">
        <v>129</v>
      </c>
      <c r="J9" s="7" t="s">
        <v>328</v>
      </c>
      <c r="K9" s="7" t="s">
        <v>349</v>
      </c>
      <c r="L9" s="107"/>
      <c r="N9" s="18"/>
      <c r="O9" s="18"/>
    </row>
    <row r="10">
      <c r="B10" s="59" t="s">
        <v>129</v>
      </c>
      <c r="C10" s="60"/>
      <c r="D10" s="61">
        <v>6625.0</v>
      </c>
      <c r="E10" s="61">
        <v>6675.0</v>
      </c>
      <c r="F10" s="113">
        <v>6675.0</v>
      </c>
      <c r="G10" s="113">
        <v>6675.0</v>
      </c>
      <c r="H10" s="313">
        <v>6675.0</v>
      </c>
      <c r="J10" s="7"/>
      <c r="K10" s="7" t="s">
        <v>192</v>
      </c>
      <c r="L10" s="107"/>
      <c r="N10" s="18"/>
    </row>
    <row r="11">
      <c r="B11" s="59" t="s">
        <v>136</v>
      </c>
      <c r="C11" s="60"/>
      <c r="D11" s="62">
        <f>3191.15+385.96</f>
        <v>3577.11</v>
      </c>
      <c r="E11" s="62">
        <f>1290+98+1831.15+385.96</f>
        <v>3605.11</v>
      </c>
      <c r="F11" s="114">
        <f t="shared" ref="F11:H11" si="1">1290+3711.15+385.96</f>
        <v>5387.11</v>
      </c>
      <c r="G11" s="114">
        <f t="shared" si="1"/>
        <v>5387.11</v>
      </c>
      <c r="H11" s="313">
        <f t="shared" si="1"/>
        <v>5387.11</v>
      </c>
      <c r="J11" s="303"/>
      <c r="K11" s="107"/>
      <c r="L11" s="27"/>
      <c r="N11" s="18"/>
    </row>
    <row r="12">
      <c r="B12" s="59" t="s">
        <v>137</v>
      </c>
      <c r="C12" s="60"/>
      <c r="D12" s="62">
        <v>3100.0</v>
      </c>
      <c r="E12" s="62"/>
      <c r="F12" s="114" t="s">
        <v>330</v>
      </c>
      <c r="G12" s="114"/>
      <c r="H12" s="313"/>
      <c r="J12" s="107"/>
      <c r="K12" s="107"/>
      <c r="L12" s="107"/>
      <c r="N12" s="18"/>
    </row>
    <row r="13">
      <c r="B13" s="59" t="s">
        <v>138</v>
      </c>
      <c r="C13" s="60"/>
      <c r="D13" s="62">
        <v>6215.07</v>
      </c>
      <c r="E13" s="258"/>
      <c r="F13" s="258"/>
      <c r="G13" s="66"/>
      <c r="H13" s="314"/>
      <c r="J13" s="32"/>
      <c r="K13" s="107"/>
      <c r="L13" s="107"/>
      <c r="N13" s="18"/>
    </row>
    <row r="14">
      <c r="B14" s="67" t="s">
        <v>139</v>
      </c>
      <c r="C14" s="68"/>
      <c r="D14" s="69">
        <f t="shared" ref="D14:H14" si="2">SUM(D10:D13)</f>
        <v>19517.18</v>
      </c>
      <c r="E14" s="69">
        <f t="shared" si="2"/>
        <v>10280.11</v>
      </c>
      <c r="F14" s="69">
        <f t="shared" si="2"/>
        <v>12062.11</v>
      </c>
      <c r="G14" s="69">
        <f t="shared" si="2"/>
        <v>12062.11</v>
      </c>
      <c r="H14" s="315">
        <f t="shared" si="2"/>
        <v>12062.11</v>
      </c>
      <c r="J14" s="248"/>
      <c r="K14" s="304"/>
      <c r="L14" s="107"/>
      <c r="N14" s="18"/>
      <c r="Q14" s="107"/>
    </row>
    <row r="15">
      <c r="H15" s="311"/>
      <c r="J15" s="32"/>
      <c r="K15" s="107"/>
      <c r="N15" s="18"/>
      <c r="Q15" s="27"/>
    </row>
    <row r="16">
      <c r="B16" s="70" t="s">
        <v>140</v>
      </c>
      <c r="C16" s="71"/>
      <c r="D16" s="58" t="s">
        <v>126</v>
      </c>
      <c r="E16" s="58" t="s">
        <v>127</v>
      </c>
      <c r="F16" s="58" t="s">
        <v>128</v>
      </c>
      <c r="G16" s="58" t="s">
        <v>129</v>
      </c>
      <c r="H16" s="316" t="s">
        <v>130</v>
      </c>
      <c r="J16" s="107"/>
      <c r="K16" s="26"/>
      <c r="L16" s="107"/>
      <c r="N16" s="18"/>
    </row>
    <row r="17">
      <c r="B17" s="72" t="s">
        <v>141</v>
      </c>
      <c r="C17" s="73"/>
      <c r="D17" s="75">
        <v>325.7</v>
      </c>
      <c r="E17" s="75">
        <v>330.0</v>
      </c>
      <c r="F17" s="75">
        <v>355.4</v>
      </c>
      <c r="G17" s="317">
        <f t="shared" ref="G17:H17" si="3">F17</f>
        <v>355.4</v>
      </c>
      <c r="H17" s="317">
        <f t="shared" si="3"/>
        <v>355.4</v>
      </c>
      <c r="J17" s="107" t="s">
        <v>331</v>
      </c>
      <c r="K17" s="192"/>
      <c r="N17" s="18"/>
    </row>
    <row r="18">
      <c r="B18" s="72" t="s">
        <v>142</v>
      </c>
      <c r="C18" s="73"/>
      <c r="D18" s="75">
        <v>185.9</v>
      </c>
      <c r="E18" s="75">
        <v>170.1</v>
      </c>
      <c r="F18" s="75">
        <v>171.7</v>
      </c>
      <c r="G18" s="75" t="s">
        <v>350</v>
      </c>
      <c r="H18" s="317" t="str">
        <f>G18</f>
        <v>192.20</v>
      </c>
      <c r="J18" s="192"/>
      <c r="K18" s="107" t="s">
        <v>27</v>
      </c>
      <c r="L18" s="107" t="s">
        <v>274</v>
      </c>
      <c r="M18" s="107" t="s">
        <v>351</v>
      </c>
      <c r="N18" s="107" t="s">
        <v>333</v>
      </c>
    </row>
    <row r="19">
      <c r="B19" s="72" t="s">
        <v>143</v>
      </c>
      <c r="C19" s="73"/>
      <c r="D19" s="75">
        <v>165.0</v>
      </c>
      <c r="E19" s="75">
        <v>164.9</v>
      </c>
      <c r="F19" s="75">
        <v>164.9</v>
      </c>
      <c r="G19" s="75">
        <f t="shared" ref="G19:H19" si="4">F19</f>
        <v>164.9</v>
      </c>
      <c r="H19" s="317">
        <f t="shared" si="4"/>
        <v>164.9</v>
      </c>
      <c r="J19" s="72" t="s">
        <v>141</v>
      </c>
      <c r="K19" s="283"/>
      <c r="M19" s="179">
        <v>355.4</v>
      </c>
      <c r="N19" s="18"/>
    </row>
    <row r="20">
      <c r="B20" s="72" t="s">
        <v>144</v>
      </c>
      <c r="C20" s="73"/>
      <c r="D20" s="75">
        <v>106.0</v>
      </c>
      <c r="E20" s="75">
        <v>100.0</v>
      </c>
      <c r="F20" s="75">
        <v>100.0</v>
      </c>
      <c r="G20" s="75">
        <v>100.0</v>
      </c>
      <c r="H20" s="317">
        <f>G20</f>
        <v>100</v>
      </c>
      <c r="J20" s="72" t="s">
        <v>142</v>
      </c>
      <c r="K20" s="305"/>
      <c r="M20" s="179">
        <v>200.0</v>
      </c>
      <c r="N20" s="18"/>
      <c r="O20" s="18"/>
    </row>
    <row r="21">
      <c r="B21" s="72" t="s">
        <v>145</v>
      </c>
      <c r="C21" s="73"/>
      <c r="D21" s="75">
        <v>2500.0</v>
      </c>
      <c r="E21" s="75">
        <v>2500.0</v>
      </c>
      <c r="F21" s="75">
        <v>2500.0</v>
      </c>
      <c r="G21" s="75">
        <v>2500.0</v>
      </c>
      <c r="H21" s="317">
        <v>2500.0</v>
      </c>
      <c r="J21" s="72" t="s">
        <v>143</v>
      </c>
      <c r="M21" s="179">
        <v>164.9</v>
      </c>
      <c r="O21" s="287"/>
    </row>
    <row r="22">
      <c r="B22" s="72" t="s">
        <v>146</v>
      </c>
      <c r="C22" s="77" t="s">
        <v>147</v>
      </c>
      <c r="D22" s="75">
        <v>400.0</v>
      </c>
      <c r="E22" s="75">
        <v>400.0</v>
      </c>
      <c r="F22" s="75">
        <v>400.0</v>
      </c>
      <c r="G22" s="75">
        <f t="shared" ref="G22:H22" si="5">F22</f>
        <v>400</v>
      </c>
      <c r="H22" s="317">
        <f t="shared" si="5"/>
        <v>400</v>
      </c>
      <c r="J22" s="72" t="s">
        <v>144</v>
      </c>
      <c r="K22" s="30"/>
      <c r="M22" s="179">
        <v>100.0</v>
      </c>
    </row>
    <row r="23">
      <c r="B23" s="72" t="s">
        <v>148</v>
      </c>
      <c r="C23" s="73"/>
      <c r="D23" s="75">
        <v>600.0</v>
      </c>
      <c r="E23" s="75">
        <v>650.0</v>
      </c>
      <c r="F23" s="75">
        <v>650.0</v>
      </c>
      <c r="G23" s="75">
        <v>500.0</v>
      </c>
      <c r="H23" s="317">
        <v>500.0</v>
      </c>
      <c r="J23" s="72" t="s">
        <v>146</v>
      </c>
      <c r="K23" s="32">
        <v>200.0</v>
      </c>
      <c r="L23" s="18">
        <v>200.0</v>
      </c>
      <c r="N23" s="18"/>
    </row>
    <row r="24">
      <c r="B24" s="72" t="s">
        <v>149</v>
      </c>
      <c r="C24" s="73"/>
      <c r="D24" s="75">
        <v>500.0</v>
      </c>
      <c r="E24" s="75">
        <v>500.0</v>
      </c>
      <c r="F24" s="75">
        <v>500.0</v>
      </c>
      <c r="G24" s="75">
        <f t="shared" ref="G24:H24" si="6">F24</f>
        <v>500</v>
      </c>
      <c r="H24" s="317">
        <f t="shared" si="6"/>
        <v>500</v>
      </c>
      <c r="J24" s="72" t="s">
        <v>148</v>
      </c>
      <c r="K24" s="30"/>
      <c r="M24" s="179">
        <v>430.42</v>
      </c>
      <c r="N24" s="18"/>
    </row>
    <row r="25">
      <c r="B25" s="72" t="s">
        <v>150</v>
      </c>
      <c r="C25" s="73"/>
      <c r="D25" s="75">
        <v>300.0</v>
      </c>
      <c r="E25" s="75">
        <v>300.0</v>
      </c>
      <c r="F25" s="75">
        <v>300.0</v>
      </c>
      <c r="G25" s="75">
        <f t="shared" ref="G25:H25" si="7">F25</f>
        <v>300</v>
      </c>
      <c r="H25" s="317">
        <f t="shared" si="7"/>
        <v>300</v>
      </c>
      <c r="J25" s="72" t="s">
        <v>149</v>
      </c>
      <c r="M25" s="318">
        <v>0.0</v>
      </c>
      <c r="N25" s="18"/>
    </row>
    <row r="26">
      <c r="B26" s="72" t="s">
        <v>151</v>
      </c>
      <c r="C26" s="73"/>
      <c r="D26" s="75"/>
      <c r="E26" s="75"/>
      <c r="F26" s="75"/>
      <c r="G26" s="75"/>
      <c r="H26" s="317"/>
      <c r="J26" s="72" t="s">
        <v>150</v>
      </c>
      <c r="L26" s="18">
        <v>300.0</v>
      </c>
      <c r="N26" s="18"/>
    </row>
    <row r="27">
      <c r="B27" s="72" t="s">
        <v>152</v>
      </c>
      <c r="C27" s="73"/>
      <c r="D27" s="75">
        <v>200.0</v>
      </c>
      <c r="E27" s="75"/>
      <c r="F27" s="75"/>
      <c r="G27" s="74"/>
      <c r="H27" s="319"/>
      <c r="J27" s="72" t="s">
        <v>181</v>
      </c>
      <c r="M27" s="179">
        <v>150.0</v>
      </c>
    </row>
    <row r="28">
      <c r="B28" s="72" t="s">
        <v>181</v>
      </c>
      <c r="C28" s="73"/>
      <c r="D28" s="75">
        <v>100.0</v>
      </c>
      <c r="E28" s="75">
        <v>150.0</v>
      </c>
      <c r="F28" s="75">
        <v>150.0</v>
      </c>
      <c r="G28" s="317">
        <f t="shared" ref="G28:H28" si="8">F28</f>
        <v>150</v>
      </c>
      <c r="H28" s="317">
        <f t="shared" si="8"/>
        <v>150</v>
      </c>
      <c r="J28" s="72" t="s">
        <v>296</v>
      </c>
      <c r="K28" s="18">
        <v>109.0</v>
      </c>
      <c r="L28" s="18">
        <v>13.0</v>
      </c>
    </row>
    <row r="29">
      <c r="B29" s="72" t="s">
        <v>296</v>
      </c>
      <c r="C29" s="73"/>
      <c r="D29" s="75">
        <v>116.0</v>
      </c>
      <c r="E29" s="75">
        <v>112.0</v>
      </c>
      <c r="F29" s="75">
        <v>122.0</v>
      </c>
      <c r="G29" s="75">
        <f t="shared" ref="G29:H29" si="9">F29</f>
        <v>122</v>
      </c>
      <c r="H29" s="317">
        <f t="shared" si="9"/>
        <v>122</v>
      </c>
      <c r="J29" s="72" t="s">
        <v>156</v>
      </c>
      <c r="M29" s="179">
        <v>400.0</v>
      </c>
    </row>
    <row r="30">
      <c r="B30" s="72" t="s">
        <v>155</v>
      </c>
      <c r="C30" s="73"/>
      <c r="D30" s="75"/>
      <c r="E30" s="75"/>
      <c r="F30" s="74"/>
      <c r="G30" s="75" t="str">
        <f t="shared" ref="G30:H30" si="10">F30</f>
        <v/>
      </c>
      <c r="H30" s="317" t="str">
        <f t="shared" si="10"/>
        <v/>
      </c>
      <c r="J30" s="272" t="s">
        <v>295</v>
      </c>
      <c r="N30" s="18">
        <v>1500.0</v>
      </c>
    </row>
    <row r="31">
      <c r="B31" s="72" t="s">
        <v>156</v>
      </c>
      <c r="C31" s="73"/>
      <c r="D31" s="75">
        <v>200.0</v>
      </c>
      <c r="E31" s="75">
        <v>1200.0</v>
      </c>
      <c r="F31" s="75">
        <v>1000.0</v>
      </c>
      <c r="G31" s="317">
        <v>400.0</v>
      </c>
      <c r="H31" s="317">
        <v>200.0</v>
      </c>
      <c r="J31" s="72" t="s">
        <v>159</v>
      </c>
    </row>
    <row r="32">
      <c r="B32" s="72" t="s">
        <v>272</v>
      </c>
      <c r="C32" s="73"/>
      <c r="D32" s="74"/>
      <c r="E32" s="74"/>
      <c r="F32" s="74"/>
      <c r="G32" s="75" t="str">
        <f t="shared" ref="G32:H32" si="11">F32</f>
        <v/>
      </c>
      <c r="H32" s="317" t="str">
        <f t="shared" si="11"/>
        <v/>
      </c>
      <c r="J32" s="107" t="s">
        <v>334</v>
      </c>
      <c r="K32" s="18">
        <v>900.0</v>
      </c>
      <c r="L32" s="18">
        <v>900.0</v>
      </c>
    </row>
    <row r="33">
      <c r="B33" s="272" t="s">
        <v>295</v>
      </c>
      <c r="C33" s="273"/>
      <c r="D33" s="274">
        <v>1500.0</v>
      </c>
      <c r="E33" s="274">
        <v>1500.0</v>
      </c>
      <c r="F33" s="274">
        <v>1500.0</v>
      </c>
      <c r="G33" s="274">
        <f t="shared" ref="G33:H33" si="12">F33</f>
        <v>1500</v>
      </c>
      <c r="H33" s="317">
        <f t="shared" si="12"/>
        <v>1500</v>
      </c>
      <c r="J33" s="107" t="s">
        <v>335</v>
      </c>
      <c r="L33" s="17">
        <v>520.0</v>
      </c>
    </row>
    <row r="34">
      <c r="B34" s="72" t="s">
        <v>159</v>
      </c>
      <c r="C34" s="73"/>
      <c r="D34" s="75">
        <v>800.0</v>
      </c>
      <c r="E34" s="75">
        <v>800.0</v>
      </c>
      <c r="F34" s="75">
        <v>800.0</v>
      </c>
      <c r="G34" s="75">
        <f t="shared" ref="G34:H34" si="13">F34</f>
        <v>800</v>
      </c>
      <c r="H34" s="317">
        <f t="shared" si="13"/>
        <v>800</v>
      </c>
      <c r="J34" s="107" t="s">
        <v>336</v>
      </c>
      <c r="K34" s="18">
        <v>730.49</v>
      </c>
    </row>
    <row r="35">
      <c r="B35" s="72" t="s">
        <v>160</v>
      </c>
      <c r="C35" s="73"/>
      <c r="D35" s="75">
        <v>1800.0</v>
      </c>
      <c r="E35" s="75">
        <v>1800.0</v>
      </c>
      <c r="F35" s="75">
        <v>1800.0</v>
      </c>
      <c r="G35" s="75">
        <f t="shared" ref="G35:H35" si="14">F35</f>
        <v>1800</v>
      </c>
      <c r="H35" s="317">
        <f t="shared" si="14"/>
        <v>1800</v>
      </c>
      <c r="J35" s="107" t="s">
        <v>352</v>
      </c>
      <c r="K35" s="18">
        <v>700.27</v>
      </c>
      <c r="L35" s="18">
        <v>8.14</v>
      </c>
    </row>
    <row r="36">
      <c r="B36" s="67" t="s">
        <v>161</v>
      </c>
      <c r="C36" s="68"/>
      <c r="D36" s="78">
        <f t="shared" ref="D36:H36" si="15">SUM(D17:D35)*-1</f>
        <v>-9798.6</v>
      </c>
      <c r="E36" s="78">
        <f t="shared" si="15"/>
        <v>-10677</v>
      </c>
      <c r="F36" s="78">
        <f t="shared" si="15"/>
        <v>-10514</v>
      </c>
      <c r="G36" s="78">
        <f t="shared" si="15"/>
        <v>-9592.3</v>
      </c>
      <c r="H36" s="320">
        <f t="shared" si="15"/>
        <v>-9392.3</v>
      </c>
      <c r="J36" s="7" t="s">
        <v>26</v>
      </c>
      <c r="K36" s="321">
        <f t="shared" ref="K36:N36" si="16">SUM(K19:K35)</f>
        <v>2639.76</v>
      </c>
      <c r="L36" s="321">
        <f t="shared" si="16"/>
        <v>1941.14</v>
      </c>
      <c r="M36" s="322">
        <f t="shared" si="16"/>
        <v>1800.72</v>
      </c>
      <c r="N36" s="323">
        <f t="shared" si="16"/>
        <v>1500</v>
      </c>
    </row>
    <row r="37">
      <c r="H37" s="311"/>
      <c r="J37" s="107"/>
      <c r="K37" s="287"/>
      <c r="L37" s="324"/>
      <c r="M37" s="287"/>
      <c r="N37" s="324"/>
    </row>
    <row r="38">
      <c r="B38" s="80" t="s">
        <v>162</v>
      </c>
      <c r="C38" s="81"/>
      <c r="D38" s="82">
        <f t="shared" ref="D38:H38" si="17">D14+D36</f>
        <v>9718.58</v>
      </c>
      <c r="E38" s="82">
        <f t="shared" si="17"/>
        <v>-396.89</v>
      </c>
      <c r="F38" s="82">
        <f t="shared" si="17"/>
        <v>1548.11</v>
      </c>
      <c r="G38" s="82">
        <f t="shared" si="17"/>
        <v>2469.81</v>
      </c>
      <c r="H38" s="315">
        <f t="shared" si="17"/>
        <v>2669.81</v>
      </c>
      <c r="J38" s="325" t="s">
        <v>353</v>
      </c>
    </row>
    <row r="39">
      <c r="B39" s="83"/>
      <c r="C39" s="83"/>
      <c r="D39" s="84"/>
      <c r="E39" s="84"/>
      <c r="F39" s="84"/>
      <c r="G39" s="84"/>
      <c r="H39" s="311"/>
      <c r="J39" s="27"/>
    </row>
    <row r="40">
      <c r="B40" s="85" t="s">
        <v>163</v>
      </c>
      <c r="C40" s="86"/>
      <c r="D40" s="57" t="s">
        <v>125</v>
      </c>
      <c r="E40" s="57" t="s">
        <v>126</v>
      </c>
      <c r="F40" s="57" t="s">
        <v>127</v>
      </c>
      <c r="G40" s="294" t="s">
        <v>128</v>
      </c>
      <c r="H40" s="326" t="s">
        <v>128</v>
      </c>
      <c r="J40" s="27"/>
    </row>
    <row r="41">
      <c r="B41" s="87" t="s">
        <v>164</v>
      </c>
      <c r="C41" s="88">
        <v>2347.0</v>
      </c>
      <c r="D41" s="134">
        <v>498.84</v>
      </c>
      <c r="E41" s="135">
        <v>498.84</v>
      </c>
      <c r="F41" s="134"/>
      <c r="G41" s="295"/>
      <c r="H41" s="327"/>
      <c r="J41" s="107"/>
    </row>
    <row r="42">
      <c r="B42" s="87" t="s">
        <v>165</v>
      </c>
      <c r="C42" s="88">
        <v>7750.82</v>
      </c>
      <c r="D42" s="135">
        <v>385.96</v>
      </c>
      <c r="E42" s="135">
        <v>385.96</v>
      </c>
      <c r="F42" s="135">
        <v>385.96</v>
      </c>
      <c r="G42" s="307">
        <v>385.96</v>
      </c>
      <c r="H42" s="328">
        <v>385.96</v>
      </c>
      <c r="J42" s="107"/>
    </row>
    <row r="43">
      <c r="B43" s="87" t="s">
        <v>166</v>
      </c>
      <c r="C43" s="88">
        <v>7724.29</v>
      </c>
      <c r="D43" s="135">
        <v>520.0</v>
      </c>
      <c r="E43" s="135">
        <v>518.81</v>
      </c>
      <c r="F43" s="135">
        <v>520.0</v>
      </c>
      <c r="G43" s="307">
        <v>512.0</v>
      </c>
      <c r="H43" s="328">
        <v>512.0</v>
      </c>
      <c r="J43" s="107"/>
    </row>
    <row r="44">
      <c r="B44" s="87" t="s">
        <v>280</v>
      </c>
      <c r="C44" s="88">
        <v>6440.26</v>
      </c>
      <c r="D44" s="135">
        <v>730.49</v>
      </c>
      <c r="E44" s="135">
        <v>730.49</v>
      </c>
      <c r="F44" s="135">
        <v>730.49</v>
      </c>
      <c r="G44" s="135">
        <v>730.49</v>
      </c>
      <c r="H44" s="329">
        <v>730.49</v>
      </c>
      <c r="J44" s="107"/>
      <c r="K44" s="107"/>
    </row>
    <row r="45">
      <c r="A45" s="298">
        <v>45020.0</v>
      </c>
      <c r="B45" s="87" t="s">
        <v>203</v>
      </c>
      <c r="C45" s="88">
        <v>440.0</v>
      </c>
      <c r="D45" s="135">
        <v>440.0</v>
      </c>
      <c r="E45" s="135">
        <v>440.0</v>
      </c>
      <c r="F45" s="135"/>
      <c r="G45" s="297"/>
      <c r="H45" s="327"/>
      <c r="J45" s="107"/>
      <c r="K45" s="107"/>
    </row>
    <row r="46">
      <c r="B46" s="67" t="s">
        <v>167</v>
      </c>
      <c r="C46" s="95">
        <f>SUM(C41:C45)</f>
        <v>24702.37</v>
      </c>
      <c r="D46" s="78">
        <f t="shared" ref="D46:F46" si="18">SUM(D41:D45)*-1</f>
        <v>-2575.29</v>
      </c>
      <c r="E46" s="78">
        <f t="shared" si="18"/>
        <v>-2574.1</v>
      </c>
      <c r="F46" s="78">
        <f t="shared" si="18"/>
        <v>-1636.45</v>
      </c>
      <c r="G46" s="299">
        <f t="shared" ref="G46:H46" si="19">SUM(G41:G44)*-1</f>
        <v>-1628.45</v>
      </c>
      <c r="H46" s="330">
        <f t="shared" si="19"/>
        <v>-1628.45</v>
      </c>
      <c r="J46" s="107"/>
      <c r="K46" s="18"/>
    </row>
    <row r="47">
      <c r="B47" s="83"/>
      <c r="C47" s="83"/>
      <c r="D47" s="96"/>
      <c r="E47" s="96"/>
      <c r="F47" s="96"/>
      <c r="G47" s="96"/>
      <c r="H47" s="311"/>
      <c r="J47" s="107"/>
      <c r="K47" s="18"/>
    </row>
    <row r="48">
      <c r="B48" s="97" t="s">
        <v>168</v>
      </c>
      <c r="C48" s="98"/>
      <c r="D48" s="99">
        <f t="shared" ref="D48:H48" si="20">D38+D46</f>
        <v>7143.29</v>
      </c>
      <c r="E48" s="99">
        <f t="shared" si="20"/>
        <v>-2970.99</v>
      </c>
      <c r="F48" s="119">
        <f t="shared" si="20"/>
        <v>-88.34</v>
      </c>
      <c r="G48" s="308">
        <f t="shared" si="20"/>
        <v>841.36</v>
      </c>
      <c r="H48" s="331">
        <f t="shared" si="20"/>
        <v>1041.36</v>
      </c>
      <c r="J48" s="107"/>
      <c r="K48" s="18"/>
    </row>
    <row r="49">
      <c r="B49" s="83"/>
      <c r="C49" s="83"/>
      <c r="D49" s="96"/>
      <c r="E49" s="96"/>
      <c r="F49" s="96"/>
      <c r="G49" s="96"/>
      <c r="H49" s="311"/>
      <c r="J49" s="107"/>
    </row>
    <row r="50">
      <c r="B50" s="100" t="s">
        <v>169</v>
      </c>
      <c r="C50" s="101"/>
      <c r="D50" s="57" t="s">
        <v>125</v>
      </c>
      <c r="E50" s="57" t="s">
        <v>126</v>
      </c>
      <c r="F50" s="57" t="s">
        <v>127</v>
      </c>
      <c r="G50" s="57" t="s">
        <v>128</v>
      </c>
      <c r="H50" s="332" t="s">
        <v>128</v>
      </c>
      <c r="J50" s="107"/>
      <c r="K50" s="18"/>
    </row>
    <row r="51">
      <c r="B51" s="102" t="s">
        <v>170</v>
      </c>
      <c r="C51" s="103"/>
      <c r="D51" s="278">
        <v>2101.91</v>
      </c>
      <c r="E51" s="278">
        <v>331.34</v>
      </c>
      <c r="F51" s="278">
        <v>45.75</v>
      </c>
      <c r="G51" s="105" t="str">
        <f t="shared" ref="G51:H51" si="21">F52</f>
        <v/>
      </c>
      <c r="H51" s="333">
        <f t="shared" si="21"/>
        <v>841.36</v>
      </c>
      <c r="J51" s="107"/>
    </row>
    <row r="52">
      <c r="B52" s="102" t="s">
        <v>171</v>
      </c>
      <c r="C52" s="103"/>
      <c r="D52" s="279">
        <f>D48</f>
        <v>7143.29</v>
      </c>
      <c r="E52" s="279"/>
      <c r="F52" s="279"/>
      <c r="G52" s="279">
        <f t="shared" ref="G52:H52" si="22">+G48</f>
        <v>841.36</v>
      </c>
      <c r="H52" s="334">
        <f t="shared" si="22"/>
        <v>1041.36</v>
      </c>
      <c r="J52" s="27"/>
    </row>
    <row r="53">
      <c r="B53" s="67"/>
      <c r="C53" s="68"/>
      <c r="D53" s="95"/>
      <c r="E53" s="95"/>
      <c r="F53" s="95"/>
      <c r="G53" s="95"/>
      <c r="H53" s="335"/>
      <c r="J53" s="27"/>
    </row>
    <row r="54">
      <c r="B54" s="67"/>
      <c r="C54" s="68"/>
      <c r="D54" s="95"/>
      <c r="E54" s="95"/>
      <c r="F54" s="95"/>
      <c r="G54" s="95"/>
      <c r="H54" s="335"/>
      <c r="J54" s="27"/>
    </row>
    <row r="55">
      <c r="B55" s="67" t="s">
        <v>173</v>
      </c>
      <c r="C55" s="68"/>
      <c r="D55" s="95">
        <f t="shared" ref="D55:H55" si="23">SUM(D51:D52)</f>
        <v>9245.2</v>
      </c>
      <c r="E55" s="95">
        <f t="shared" si="23"/>
        <v>331.34</v>
      </c>
      <c r="F55" s="309">
        <f t="shared" si="23"/>
        <v>45.75</v>
      </c>
      <c r="G55" s="309">
        <f t="shared" si="23"/>
        <v>841.36</v>
      </c>
      <c r="H55" s="336">
        <f t="shared" si="23"/>
        <v>1882.72</v>
      </c>
      <c r="J55" s="27"/>
    </row>
    <row r="56">
      <c r="H56" s="310"/>
      <c r="J56" s="27"/>
    </row>
    <row r="57">
      <c r="H57" s="310"/>
      <c r="J57" s="27"/>
    </row>
    <row r="58">
      <c r="H58" s="310"/>
      <c r="J58" s="27"/>
    </row>
    <row r="59">
      <c r="H59" s="310"/>
      <c r="J59" s="27"/>
    </row>
    <row r="60">
      <c r="H60" s="310"/>
      <c r="J60" s="27"/>
    </row>
    <row r="61">
      <c r="H61" s="310"/>
      <c r="J61" s="27"/>
    </row>
    <row r="62">
      <c r="H62" s="310"/>
      <c r="J62" s="27"/>
    </row>
    <row r="63">
      <c r="H63" s="310"/>
      <c r="J63" s="27"/>
    </row>
    <row r="64">
      <c r="H64" s="310"/>
      <c r="J64" s="27"/>
    </row>
    <row r="65">
      <c r="H65" s="310"/>
      <c r="J65" s="27"/>
    </row>
    <row r="66">
      <c r="H66" s="310"/>
      <c r="J66" s="27"/>
    </row>
    <row r="67">
      <c r="H67" s="310"/>
      <c r="J67" s="27"/>
    </row>
    <row r="68">
      <c r="H68" s="310"/>
      <c r="J68" s="27"/>
    </row>
    <row r="69">
      <c r="H69" s="310"/>
      <c r="J69" s="27"/>
    </row>
    <row r="70">
      <c r="H70" s="310"/>
      <c r="J70" s="27"/>
    </row>
    <row r="71">
      <c r="H71" s="310"/>
      <c r="J71" s="27"/>
    </row>
    <row r="72">
      <c r="H72" s="310"/>
      <c r="J72" s="27"/>
    </row>
    <row r="73">
      <c r="H73" s="310"/>
      <c r="J73" s="27"/>
    </row>
    <row r="74">
      <c r="H74" s="310"/>
      <c r="J74" s="27"/>
    </row>
    <row r="75">
      <c r="H75" s="310"/>
      <c r="J75" s="27"/>
    </row>
    <row r="76">
      <c r="H76" s="310"/>
      <c r="J76" s="27"/>
    </row>
    <row r="77">
      <c r="H77" s="310"/>
      <c r="J77" s="27"/>
    </row>
    <row r="78">
      <c r="H78" s="310"/>
      <c r="J78" s="27"/>
    </row>
    <row r="79">
      <c r="H79" s="310"/>
      <c r="J79" s="27"/>
    </row>
    <row r="80">
      <c r="H80" s="310"/>
      <c r="J80" s="27"/>
    </row>
    <row r="81">
      <c r="H81" s="310"/>
      <c r="J81" s="27"/>
    </row>
    <row r="82">
      <c r="H82" s="310"/>
      <c r="J82" s="27"/>
    </row>
    <row r="83">
      <c r="H83" s="310"/>
      <c r="J83" s="27"/>
    </row>
    <row r="84">
      <c r="H84" s="310"/>
      <c r="J84" s="27"/>
    </row>
    <row r="85">
      <c r="H85" s="310"/>
      <c r="J85" s="27"/>
    </row>
    <row r="86">
      <c r="H86" s="310"/>
      <c r="J86" s="27"/>
    </row>
    <row r="87">
      <c r="H87" s="310"/>
      <c r="J87" s="27"/>
    </row>
    <row r="88">
      <c r="H88" s="310"/>
      <c r="J88" s="27"/>
    </row>
    <row r="89">
      <c r="H89" s="310"/>
      <c r="J89" s="27"/>
    </row>
    <row r="90">
      <c r="H90" s="310"/>
      <c r="J90" s="27"/>
    </row>
    <row r="91">
      <c r="H91" s="310"/>
      <c r="J91" s="27"/>
    </row>
    <row r="92">
      <c r="H92" s="310"/>
      <c r="J92" s="27"/>
    </row>
    <row r="93">
      <c r="H93" s="310"/>
      <c r="J93" s="27"/>
    </row>
    <row r="94">
      <c r="H94" s="310"/>
      <c r="J94" s="27"/>
    </row>
    <row r="95">
      <c r="H95" s="310"/>
      <c r="J95" s="27"/>
    </row>
    <row r="96">
      <c r="H96" s="310"/>
      <c r="J96" s="27"/>
    </row>
    <row r="97">
      <c r="H97" s="310"/>
      <c r="J97" s="27"/>
    </row>
    <row r="98">
      <c r="H98" s="310"/>
      <c r="J98" s="27"/>
    </row>
    <row r="99">
      <c r="H99" s="310"/>
      <c r="J99" s="27"/>
    </row>
    <row r="100">
      <c r="H100" s="310"/>
      <c r="J100" s="27"/>
    </row>
    <row r="101">
      <c r="H101" s="310"/>
      <c r="J101" s="27"/>
    </row>
    <row r="102">
      <c r="H102" s="310"/>
      <c r="J102" s="27"/>
    </row>
    <row r="103">
      <c r="H103" s="310"/>
      <c r="J103" s="27"/>
    </row>
    <row r="104">
      <c r="H104" s="310"/>
      <c r="J104" s="27"/>
    </row>
    <row r="105">
      <c r="H105" s="310"/>
      <c r="J105" s="27"/>
    </row>
    <row r="106">
      <c r="H106" s="310"/>
      <c r="J106" s="27"/>
    </row>
    <row r="107">
      <c r="H107" s="310"/>
      <c r="J107" s="27"/>
    </row>
    <row r="108">
      <c r="H108" s="310"/>
      <c r="J108" s="27"/>
    </row>
    <row r="109">
      <c r="H109" s="310"/>
      <c r="J109" s="27"/>
    </row>
    <row r="110">
      <c r="H110" s="310"/>
      <c r="J110" s="27"/>
    </row>
    <row r="111">
      <c r="H111" s="310"/>
      <c r="J111" s="27"/>
    </row>
    <row r="112">
      <c r="H112" s="310"/>
      <c r="J112" s="27"/>
    </row>
    <row r="113">
      <c r="H113" s="310"/>
      <c r="J113" s="27"/>
    </row>
    <row r="114">
      <c r="H114" s="310"/>
      <c r="J114" s="27"/>
    </row>
    <row r="115">
      <c r="H115" s="310"/>
      <c r="J115" s="27"/>
    </row>
    <row r="116">
      <c r="H116" s="310"/>
      <c r="J116" s="27"/>
    </row>
    <row r="117">
      <c r="H117" s="310"/>
      <c r="J117" s="27"/>
    </row>
    <row r="118">
      <c r="H118" s="310"/>
      <c r="J118" s="27"/>
    </row>
    <row r="119">
      <c r="H119" s="310"/>
      <c r="J119" s="27"/>
    </row>
    <row r="120">
      <c r="H120" s="310"/>
      <c r="J120" s="27"/>
    </row>
    <row r="121">
      <c r="H121" s="310"/>
      <c r="J121" s="27"/>
    </row>
    <row r="122">
      <c r="H122" s="310"/>
      <c r="J122" s="27"/>
    </row>
    <row r="123">
      <c r="H123" s="310"/>
      <c r="J123" s="27"/>
    </row>
    <row r="124">
      <c r="H124" s="310"/>
      <c r="J124" s="27"/>
    </row>
    <row r="125">
      <c r="H125" s="310"/>
      <c r="J125" s="27"/>
    </row>
    <row r="126">
      <c r="H126" s="310"/>
      <c r="J126" s="27"/>
    </row>
    <row r="127">
      <c r="H127" s="310"/>
      <c r="J127" s="27"/>
    </row>
    <row r="128">
      <c r="H128" s="310"/>
      <c r="J128" s="27"/>
    </row>
    <row r="129">
      <c r="H129" s="310"/>
      <c r="J129" s="27"/>
    </row>
    <row r="130">
      <c r="H130" s="310"/>
      <c r="J130" s="27"/>
    </row>
    <row r="131">
      <c r="H131" s="310"/>
      <c r="J131" s="27"/>
    </row>
    <row r="132">
      <c r="H132" s="310"/>
      <c r="J132" s="27"/>
    </row>
    <row r="133">
      <c r="H133" s="310"/>
      <c r="J133" s="27"/>
    </row>
    <row r="134">
      <c r="H134" s="310"/>
      <c r="J134" s="27"/>
    </row>
    <row r="135">
      <c r="H135" s="310"/>
      <c r="J135" s="27"/>
    </row>
    <row r="136">
      <c r="H136" s="310"/>
      <c r="J136" s="27"/>
    </row>
    <row r="137">
      <c r="H137" s="310"/>
      <c r="J137" s="27"/>
    </row>
    <row r="138">
      <c r="H138" s="310"/>
      <c r="J138" s="27"/>
    </row>
    <row r="139">
      <c r="H139" s="310"/>
      <c r="J139" s="27"/>
    </row>
    <row r="140">
      <c r="H140" s="310"/>
      <c r="J140" s="27"/>
    </row>
    <row r="141">
      <c r="H141" s="310"/>
      <c r="J141" s="27"/>
    </row>
    <row r="142">
      <c r="H142" s="310"/>
      <c r="J142" s="27"/>
    </row>
    <row r="143">
      <c r="H143" s="310"/>
      <c r="J143" s="27"/>
    </row>
    <row r="144">
      <c r="H144" s="310"/>
      <c r="J144" s="27"/>
    </row>
    <row r="145">
      <c r="H145" s="310"/>
      <c r="J145" s="27"/>
    </row>
    <row r="146">
      <c r="H146" s="310"/>
      <c r="J146" s="27"/>
    </row>
    <row r="147">
      <c r="H147" s="310"/>
      <c r="J147" s="27"/>
    </row>
    <row r="148">
      <c r="H148" s="310"/>
      <c r="J148" s="27"/>
    </row>
    <row r="149">
      <c r="H149" s="310"/>
      <c r="J149" s="27"/>
    </row>
    <row r="150">
      <c r="H150" s="310"/>
      <c r="J150" s="27"/>
    </row>
    <row r="151">
      <c r="H151" s="310"/>
      <c r="J151" s="27"/>
    </row>
    <row r="152">
      <c r="H152" s="310"/>
      <c r="J152" s="27"/>
    </row>
    <row r="153">
      <c r="H153" s="310"/>
      <c r="J153" s="27"/>
    </row>
    <row r="154">
      <c r="H154" s="310"/>
      <c r="J154" s="27"/>
    </row>
    <row r="155">
      <c r="H155" s="310"/>
      <c r="J155" s="27"/>
    </row>
    <row r="156">
      <c r="H156" s="310"/>
      <c r="J156" s="27"/>
    </row>
    <row r="157">
      <c r="H157" s="310"/>
      <c r="J157" s="27"/>
    </row>
    <row r="158">
      <c r="H158" s="310"/>
      <c r="J158" s="27"/>
    </row>
    <row r="159">
      <c r="H159" s="310"/>
      <c r="J159" s="27"/>
    </row>
    <row r="160">
      <c r="H160" s="310"/>
      <c r="J160" s="27"/>
    </row>
    <row r="161">
      <c r="H161" s="310"/>
      <c r="J161" s="27"/>
    </row>
    <row r="162">
      <c r="H162" s="310"/>
      <c r="J162" s="27"/>
    </row>
    <row r="163">
      <c r="H163" s="310"/>
      <c r="J163" s="27"/>
    </row>
    <row r="164">
      <c r="H164" s="310"/>
      <c r="J164" s="27"/>
    </row>
    <row r="165">
      <c r="H165" s="310"/>
      <c r="J165" s="27"/>
    </row>
    <row r="166">
      <c r="H166" s="310"/>
      <c r="J166" s="27"/>
    </row>
    <row r="167">
      <c r="H167" s="310"/>
      <c r="J167" s="27"/>
    </row>
    <row r="168">
      <c r="H168" s="310"/>
      <c r="J168" s="27"/>
    </row>
    <row r="169">
      <c r="H169" s="310"/>
      <c r="J169" s="27"/>
    </row>
    <row r="170">
      <c r="H170" s="310"/>
      <c r="J170" s="27"/>
    </row>
    <row r="171">
      <c r="H171" s="310"/>
      <c r="J171" s="27"/>
    </row>
    <row r="172">
      <c r="H172" s="310"/>
      <c r="J172" s="27"/>
    </row>
    <row r="173">
      <c r="H173" s="310"/>
      <c r="J173" s="27"/>
    </row>
    <row r="174">
      <c r="H174" s="310"/>
      <c r="J174" s="27"/>
    </row>
    <row r="175">
      <c r="H175" s="310"/>
      <c r="J175" s="27"/>
    </row>
    <row r="176">
      <c r="H176" s="310"/>
      <c r="J176" s="27"/>
    </row>
    <row r="177">
      <c r="H177" s="310"/>
      <c r="J177" s="27"/>
    </row>
    <row r="178">
      <c r="H178" s="310"/>
      <c r="J178" s="27"/>
    </row>
    <row r="179">
      <c r="H179" s="310"/>
      <c r="J179" s="27"/>
    </row>
    <row r="180">
      <c r="H180" s="310"/>
      <c r="J180" s="27"/>
    </row>
    <row r="181">
      <c r="H181" s="310"/>
      <c r="J181" s="27"/>
    </row>
    <row r="182">
      <c r="H182" s="310"/>
      <c r="J182" s="27"/>
    </row>
    <row r="183">
      <c r="H183" s="310"/>
      <c r="J183" s="27"/>
    </row>
    <row r="184">
      <c r="H184" s="310"/>
      <c r="J184" s="27"/>
    </row>
    <row r="185">
      <c r="H185" s="310"/>
      <c r="J185" s="27"/>
    </row>
    <row r="186">
      <c r="H186" s="310"/>
      <c r="J186" s="27"/>
    </row>
    <row r="187">
      <c r="H187" s="310"/>
      <c r="J187" s="27"/>
    </row>
    <row r="188">
      <c r="H188" s="310"/>
      <c r="J188" s="27"/>
    </row>
    <row r="189">
      <c r="H189" s="310"/>
      <c r="J189" s="27"/>
    </row>
    <row r="190">
      <c r="H190" s="310"/>
      <c r="J190" s="27"/>
    </row>
    <row r="191">
      <c r="H191" s="310"/>
      <c r="J191" s="27"/>
    </row>
    <row r="192">
      <c r="H192" s="310"/>
      <c r="J192" s="27"/>
    </row>
    <row r="193">
      <c r="H193" s="310"/>
      <c r="J193" s="27"/>
    </row>
    <row r="194">
      <c r="H194" s="310"/>
      <c r="J194" s="27"/>
    </row>
    <row r="195">
      <c r="H195" s="310"/>
      <c r="J195" s="27"/>
    </row>
    <row r="196">
      <c r="H196" s="310"/>
      <c r="J196" s="27"/>
    </row>
    <row r="197">
      <c r="H197" s="310"/>
      <c r="J197" s="27"/>
    </row>
    <row r="198">
      <c r="H198" s="310"/>
      <c r="J198" s="27"/>
    </row>
    <row r="199">
      <c r="H199" s="310"/>
      <c r="J199" s="27"/>
    </row>
    <row r="200">
      <c r="H200" s="310"/>
      <c r="J200" s="27"/>
    </row>
    <row r="201">
      <c r="H201" s="310"/>
      <c r="J201" s="27"/>
    </row>
    <row r="202">
      <c r="H202" s="310"/>
      <c r="J202" s="27"/>
    </row>
    <row r="203">
      <c r="H203" s="310"/>
      <c r="J203" s="27"/>
    </row>
    <row r="204">
      <c r="H204" s="310"/>
      <c r="J204" s="27"/>
    </row>
    <row r="205">
      <c r="H205" s="310"/>
      <c r="J205" s="27"/>
    </row>
    <row r="206">
      <c r="H206" s="310"/>
      <c r="J206" s="27"/>
    </row>
    <row r="207">
      <c r="H207" s="310"/>
      <c r="J207" s="27"/>
    </row>
    <row r="208">
      <c r="H208" s="310"/>
      <c r="J208" s="27"/>
    </row>
    <row r="209">
      <c r="H209" s="310"/>
      <c r="J209" s="27"/>
    </row>
    <row r="210">
      <c r="H210" s="310"/>
      <c r="J210" s="27"/>
    </row>
    <row r="211">
      <c r="H211" s="310"/>
      <c r="J211" s="27"/>
    </row>
    <row r="212">
      <c r="H212" s="310"/>
      <c r="J212" s="27"/>
    </row>
    <row r="213">
      <c r="H213" s="310"/>
      <c r="J213" s="27"/>
    </row>
    <row r="214">
      <c r="H214" s="310"/>
      <c r="J214" s="27"/>
    </row>
    <row r="215">
      <c r="H215" s="310"/>
      <c r="J215" s="27"/>
    </row>
    <row r="216">
      <c r="H216" s="310"/>
      <c r="J216" s="27"/>
    </row>
    <row r="217">
      <c r="H217" s="310"/>
      <c r="J217" s="27"/>
    </row>
    <row r="218">
      <c r="H218" s="310"/>
      <c r="J218" s="27"/>
    </row>
    <row r="219">
      <c r="H219" s="310"/>
      <c r="J219" s="27"/>
    </row>
    <row r="220">
      <c r="H220" s="310"/>
      <c r="J220" s="27"/>
    </row>
    <row r="221">
      <c r="H221" s="310"/>
      <c r="J221" s="27"/>
    </row>
    <row r="222">
      <c r="H222" s="310"/>
      <c r="J222" s="27"/>
    </row>
    <row r="223">
      <c r="H223" s="310"/>
      <c r="J223" s="27"/>
    </row>
    <row r="224">
      <c r="H224" s="310"/>
      <c r="J224" s="27"/>
    </row>
    <row r="225">
      <c r="H225" s="310"/>
      <c r="J225" s="27"/>
    </row>
    <row r="226">
      <c r="H226" s="310"/>
      <c r="J226" s="27"/>
    </row>
    <row r="227">
      <c r="H227" s="310"/>
      <c r="J227" s="27"/>
    </row>
    <row r="228">
      <c r="H228" s="310"/>
      <c r="J228" s="27"/>
    </row>
    <row r="229">
      <c r="H229" s="310"/>
      <c r="J229" s="27"/>
    </row>
    <row r="230">
      <c r="H230" s="310"/>
      <c r="J230" s="27"/>
    </row>
    <row r="231">
      <c r="H231" s="310"/>
      <c r="J231" s="27"/>
    </row>
    <row r="232">
      <c r="H232" s="310"/>
      <c r="J232" s="27"/>
    </row>
    <row r="233">
      <c r="H233" s="310"/>
      <c r="J233" s="27"/>
    </row>
    <row r="234">
      <c r="H234" s="310"/>
      <c r="J234" s="27"/>
    </row>
    <row r="235">
      <c r="H235" s="310"/>
      <c r="J235" s="27"/>
    </row>
    <row r="236">
      <c r="H236" s="310"/>
      <c r="J236" s="27"/>
    </row>
    <row r="237">
      <c r="H237" s="310"/>
      <c r="J237" s="27"/>
    </row>
    <row r="238">
      <c r="H238" s="310"/>
      <c r="J238" s="27"/>
    </row>
    <row r="239">
      <c r="H239" s="310"/>
      <c r="J239" s="27"/>
    </row>
    <row r="240">
      <c r="H240" s="310"/>
      <c r="J240" s="27"/>
    </row>
    <row r="241">
      <c r="H241" s="310"/>
      <c r="J241" s="27"/>
    </row>
    <row r="242">
      <c r="H242" s="310"/>
      <c r="J242" s="27"/>
    </row>
    <row r="243">
      <c r="H243" s="310"/>
      <c r="J243" s="27"/>
    </row>
    <row r="244">
      <c r="H244" s="310"/>
      <c r="J244" s="27"/>
    </row>
    <row r="245">
      <c r="H245" s="310"/>
      <c r="J245" s="27"/>
    </row>
    <row r="246">
      <c r="H246" s="310"/>
      <c r="J246" s="27"/>
    </row>
    <row r="247">
      <c r="H247" s="310"/>
      <c r="J247" s="27"/>
    </row>
    <row r="248">
      <c r="H248" s="310"/>
      <c r="J248" s="27"/>
    </row>
    <row r="249">
      <c r="H249" s="310"/>
      <c r="J249" s="27"/>
    </row>
    <row r="250">
      <c r="H250" s="310"/>
      <c r="J250" s="27"/>
    </row>
    <row r="251">
      <c r="H251" s="310"/>
      <c r="J251" s="27"/>
    </row>
    <row r="252">
      <c r="H252" s="310"/>
      <c r="J252" s="27"/>
    </row>
    <row r="253">
      <c r="H253" s="310"/>
      <c r="J253" s="27"/>
    </row>
    <row r="254">
      <c r="H254" s="310"/>
      <c r="J254" s="27"/>
    </row>
    <row r="255">
      <c r="H255" s="310"/>
      <c r="J255" s="27"/>
    </row>
    <row r="256">
      <c r="H256" s="310"/>
      <c r="J256" s="27"/>
    </row>
    <row r="257">
      <c r="H257" s="310"/>
      <c r="J257" s="27"/>
    </row>
    <row r="258">
      <c r="H258" s="310"/>
      <c r="J258" s="27"/>
    </row>
    <row r="259">
      <c r="H259" s="310"/>
      <c r="J259" s="27"/>
    </row>
    <row r="260">
      <c r="H260" s="310"/>
      <c r="J260" s="27"/>
    </row>
    <row r="261">
      <c r="H261" s="310"/>
      <c r="J261" s="27"/>
    </row>
    <row r="262">
      <c r="H262" s="310"/>
      <c r="J262" s="27"/>
    </row>
    <row r="263">
      <c r="H263" s="310"/>
      <c r="J263" s="27"/>
    </row>
    <row r="264">
      <c r="H264" s="310"/>
      <c r="J264" s="27"/>
    </row>
    <row r="265">
      <c r="H265" s="310"/>
      <c r="J265" s="27"/>
    </row>
    <row r="266">
      <c r="H266" s="310"/>
      <c r="J266" s="27"/>
    </row>
    <row r="267">
      <c r="H267" s="310"/>
      <c r="J267" s="27"/>
    </row>
    <row r="268">
      <c r="H268" s="310"/>
      <c r="J268" s="27"/>
    </row>
    <row r="269">
      <c r="H269" s="310"/>
      <c r="J269" s="27"/>
    </row>
    <row r="270">
      <c r="H270" s="310"/>
      <c r="J270" s="27"/>
    </row>
    <row r="271">
      <c r="H271" s="310"/>
      <c r="J271" s="27"/>
    </row>
    <row r="272">
      <c r="H272" s="310"/>
      <c r="J272" s="27"/>
    </row>
    <row r="273">
      <c r="H273" s="310"/>
      <c r="J273" s="27"/>
    </row>
    <row r="274">
      <c r="H274" s="310"/>
      <c r="J274" s="27"/>
    </row>
    <row r="275">
      <c r="H275" s="310"/>
      <c r="J275" s="27"/>
    </row>
    <row r="276">
      <c r="H276" s="310"/>
      <c r="J276" s="27"/>
    </row>
    <row r="277">
      <c r="H277" s="310"/>
      <c r="J277" s="27"/>
    </row>
    <row r="278">
      <c r="H278" s="310"/>
      <c r="J278" s="27"/>
    </row>
    <row r="279">
      <c r="H279" s="310"/>
      <c r="J279" s="27"/>
    </row>
    <row r="280">
      <c r="H280" s="310"/>
      <c r="J280" s="27"/>
    </row>
    <row r="281">
      <c r="H281" s="310"/>
      <c r="J281" s="27"/>
    </row>
    <row r="282">
      <c r="H282" s="310"/>
      <c r="J282" s="27"/>
    </row>
    <row r="283">
      <c r="H283" s="310"/>
      <c r="J283" s="27"/>
    </row>
    <row r="284">
      <c r="H284" s="310"/>
      <c r="J284" s="27"/>
    </row>
    <row r="285">
      <c r="H285" s="310"/>
      <c r="J285" s="27"/>
    </row>
    <row r="286">
      <c r="H286" s="310"/>
      <c r="J286" s="27"/>
    </row>
    <row r="287">
      <c r="H287" s="310"/>
      <c r="J287" s="27"/>
    </row>
    <row r="288">
      <c r="H288" s="310"/>
      <c r="J288" s="27"/>
    </row>
    <row r="289">
      <c r="H289" s="310"/>
      <c r="J289" s="27"/>
    </row>
    <row r="290">
      <c r="H290" s="310"/>
      <c r="J290" s="27"/>
    </row>
    <row r="291">
      <c r="H291" s="310"/>
      <c r="J291" s="27"/>
    </row>
    <row r="292">
      <c r="H292" s="310"/>
      <c r="J292" s="27"/>
    </row>
    <row r="293">
      <c r="H293" s="310"/>
      <c r="J293" s="27"/>
    </row>
    <row r="294">
      <c r="H294" s="310"/>
      <c r="J294" s="27"/>
    </row>
    <row r="295">
      <c r="H295" s="310"/>
      <c r="J295" s="27"/>
    </row>
    <row r="296">
      <c r="H296" s="310"/>
      <c r="J296" s="27"/>
    </row>
    <row r="297">
      <c r="H297" s="310"/>
      <c r="J297" s="27"/>
    </row>
    <row r="298">
      <c r="H298" s="310"/>
      <c r="J298" s="27"/>
    </row>
    <row r="299">
      <c r="H299" s="310"/>
      <c r="J299" s="27"/>
    </row>
    <row r="300">
      <c r="H300" s="310"/>
      <c r="J300" s="27"/>
    </row>
    <row r="301">
      <c r="H301" s="310"/>
      <c r="J301" s="27"/>
    </row>
    <row r="302">
      <c r="H302" s="310"/>
      <c r="J302" s="27"/>
    </row>
    <row r="303">
      <c r="H303" s="310"/>
      <c r="J303" s="27"/>
    </row>
    <row r="304">
      <c r="H304" s="310"/>
      <c r="J304" s="27"/>
    </row>
    <row r="305">
      <c r="H305" s="310"/>
      <c r="J305" s="27"/>
    </row>
    <row r="306">
      <c r="H306" s="310"/>
      <c r="J306" s="27"/>
    </row>
    <row r="307">
      <c r="H307" s="310"/>
      <c r="J307" s="27"/>
    </row>
    <row r="308">
      <c r="H308" s="310"/>
      <c r="J308" s="27"/>
    </row>
    <row r="309">
      <c r="H309" s="310"/>
      <c r="J309" s="27"/>
    </row>
    <row r="310">
      <c r="H310" s="310"/>
      <c r="J310" s="27"/>
    </row>
    <row r="311">
      <c r="H311" s="310"/>
      <c r="J311" s="27"/>
    </row>
    <row r="312">
      <c r="H312" s="310"/>
      <c r="J312" s="27"/>
    </row>
    <row r="313">
      <c r="H313" s="310"/>
      <c r="J313" s="27"/>
    </row>
    <row r="314">
      <c r="H314" s="310"/>
      <c r="J314" s="27"/>
    </row>
    <row r="315">
      <c r="H315" s="310"/>
      <c r="J315" s="27"/>
    </row>
    <row r="316">
      <c r="H316" s="310"/>
      <c r="J316" s="27"/>
    </row>
    <row r="317">
      <c r="H317" s="310"/>
      <c r="J317" s="27"/>
    </row>
    <row r="318">
      <c r="H318" s="310"/>
      <c r="J318" s="27"/>
    </row>
    <row r="319">
      <c r="H319" s="310"/>
      <c r="J319" s="27"/>
    </row>
    <row r="320">
      <c r="H320" s="310"/>
      <c r="J320" s="27"/>
    </row>
    <row r="321">
      <c r="H321" s="310"/>
      <c r="J321" s="27"/>
    </row>
    <row r="322">
      <c r="H322" s="310"/>
      <c r="J322" s="27"/>
    </row>
    <row r="323">
      <c r="H323" s="310"/>
      <c r="J323" s="27"/>
    </row>
    <row r="324">
      <c r="H324" s="310"/>
      <c r="J324" s="27"/>
    </row>
    <row r="325">
      <c r="H325" s="310"/>
      <c r="J325" s="27"/>
    </row>
    <row r="326">
      <c r="H326" s="310"/>
      <c r="J326" s="27"/>
    </row>
    <row r="327">
      <c r="H327" s="310"/>
      <c r="J327" s="27"/>
    </row>
    <row r="328">
      <c r="H328" s="310"/>
      <c r="J328" s="27"/>
    </row>
    <row r="329">
      <c r="H329" s="310"/>
      <c r="J329" s="27"/>
    </row>
    <row r="330">
      <c r="H330" s="310"/>
      <c r="J330" s="27"/>
    </row>
    <row r="331">
      <c r="H331" s="310"/>
      <c r="J331" s="27"/>
    </row>
    <row r="332">
      <c r="H332" s="310"/>
      <c r="J332" s="27"/>
    </row>
    <row r="333">
      <c r="H333" s="310"/>
      <c r="J333" s="27"/>
    </row>
    <row r="334">
      <c r="H334" s="310"/>
      <c r="J334" s="27"/>
    </row>
    <row r="335">
      <c r="H335" s="310"/>
      <c r="J335" s="27"/>
    </row>
    <row r="336">
      <c r="H336" s="310"/>
      <c r="J336" s="27"/>
    </row>
    <row r="337">
      <c r="H337" s="310"/>
      <c r="J337" s="27"/>
    </row>
    <row r="338">
      <c r="H338" s="310"/>
      <c r="J338" s="27"/>
    </row>
    <row r="339">
      <c r="H339" s="310"/>
      <c r="J339" s="27"/>
    </row>
    <row r="340">
      <c r="H340" s="310"/>
      <c r="J340" s="27"/>
    </row>
    <row r="341">
      <c r="H341" s="310"/>
      <c r="J341" s="27"/>
    </row>
    <row r="342">
      <c r="H342" s="310"/>
      <c r="J342" s="27"/>
    </row>
    <row r="343">
      <c r="H343" s="310"/>
      <c r="J343" s="27"/>
    </row>
    <row r="344">
      <c r="H344" s="310"/>
      <c r="J344" s="27"/>
    </row>
    <row r="345">
      <c r="H345" s="310"/>
      <c r="J345" s="27"/>
    </row>
    <row r="346">
      <c r="H346" s="310"/>
      <c r="J346" s="27"/>
    </row>
    <row r="347">
      <c r="H347" s="310"/>
      <c r="J347" s="27"/>
    </row>
    <row r="348">
      <c r="H348" s="310"/>
      <c r="J348" s="27"/>
    </row>
    <row r="349">
      <c r="H349" s="310"/>
      <c r="J349" s="27"/>
    </row>
    <row r="350">
      <c r="H350" s="310"/>
      <c r="J350" s="27"/>
    </row>
    <row r="351">
      <c r="H351" s="310"/>
      <c r="J351" s="27"/>
    </row>
    <row r="352">
      <c r="H352" s="310"/>
      <c r="J352" s="27"/>
    </row>
    <row r="353">
      <c r="H353" s="310"/>
      <c r="J353" s="27"/>
    </row>
    <row r="354">
      <c r="H354" s="310"/>
      <c r="J354" s="27"/>
    </row>
    <row r="355">
      <c r="H355" s="310"/>
      <c r="J355" s="27"/>
    </row>
    <row r="356">
      <c r="H356" s="310"/>
      <c r="J356" s="27"/>
    </row>
    <row r="357">
      <c r="H357" s="310"/>
      <c r="J357" s="27"/>
    </row>
    <row r="358">
      <c r="H358" s="310"/>
      <c r="J358" s="27"/>
    </row>
    <row r="359">
      <c r="H359" s="310"/>
      <c r="J359" s="27"/>
    </row>
    <row r="360">
      <c r="H360" s="310"/>
      <c r="J360" s="27"/>
    </row>
    <row r="361">
      <c r="H361" s="310"/>
      <c r="J361" s="27"/>
    </row>
    <row r="362">
      <c r="H362" s="310"/>
      <c r="J362" s="27"/>
    </row>
    <row r="363">
      <c r="H363" s="310"/>
      <c r="J363" s="27"/>
    </row>
    <row r="364">
      <c r="H364" s="310"/>
      <c r="J364" s="27"/>
    </row>
    <row r="365">
      <c r="H365" s="310"/>
      <c r="J365" s="27"/>
    </row>
    <row r="366">
      <c r="H366" s="310"/>
      <c r="J366" s="27"/>
    </row>
    <row r="367">
      <c r="H367" s="310"/>
      <c r="J367" s="27"/>
    </row>
    <row r="368">
      <c r="H368" s="310"/>
      <c r="J368" s="27"/>
    </row>
    <row r="369">
      <c r="H369" s="310"/>
      <c r="J369" s="27"/>
    </row>
    <row r="370">
      <c r="H370" s="310"/>
      <c r="J370" s="27"/>
    </row>
    <row r="371">
      <c r="H371" s="310"/>
      <c r="J371" s="27"/>
    </row>
    <row r="372">
      <c r="H372" s="310"/>
      <c r="J372" s="27"/>
    </row>
    <row r="373">
      <c r="H373" s="310"/>
      <c r="J373" s="27"/>
    </row>
    <row r="374">
      <c r="H374" s="310"/>
      <c r="J374" s="27"/>
    </row>
    <row r="375">
      <c r="H375" s="310"/>
      <c r="J375" s="27"/>
    </row>
    <row r="376">
      <c r="H376" s="310"/>
      <c r="J376" s="27"/>
    </row>
    <row r="377">
      <c r="H377" s="310"/>
      <c r="J377" s="27"/>
    </row>
    <row r="378">
      <c r="H378" s="310"/>
      <c r="J378" s="27"/>
    </row>
    <row r="379">
      <c r="H379" s="310"/>
      <c r="J379" s="27"/>
    </row>
    <row r="380">
      <c r="H380" s="310"/>
      <c r="J380" s="27"/>
    </row>
    <row r="381">
      <c r="H381" s="310"/>
      <c r="J381" s="27"/>
    </row>
    <row r="382">
      <c r="H382" s="310"/>
      <c r="J382" s="27"/>
    </row>
    <row r="383">
      <c r="H383" s="310"/>
      <c r="J383" s="27"/>
    </row>
    <row r="384">
      <c r="H384" s="310"/>
      <c r="J384" s="27"/>
    </row>
    <row r="385">
      <c r="H385" s="310"/>
      <c r="J385" s="27"/>
    </row>
    <row r="386">
      <c r="H386" s="310"/>
      <c r="J386" s="27"/>
    </row>
    <row r="387">
      <c r="H387" s="310"/>
      <c r="J387" s="27"/>
    </row>
    <row r="388">
      <c r="H388" s="310"/>
      <c r="J388" s="27"/>
    </row>
    <row r="389">
      <c r="H389" s="310"/>
      <c r="J389" s="27"/>
    </row>
    <row r="390">
      <c r="H390" s="310"/>
      <c r="J390" s="27"/>
    </row>
    <row r="391">
      <c r="H391" s="310"/>
      <c r="J391" s="27"/>
    </row>
    <row r="392">
      <c r="H392" s="310"/>
      <c r="J392" s="27"/>
    </row>
    <row r="393">
      <c r="H393" s="310"/>
      <c r="J393" s="27"/>
    </row>
    <row r="394">
      <c r="H394" s="310"/>
      <c r="J394" s="27"/>
    </row>
    <row r="395">
      <c r="H395" s="310"/>
      <c r="J395" s="27"/>
    </row>
    <row r="396">
      <c r="H396" s="310"/>
      <c r="J396" s="27"/>
    </row>
    <row r="397">
      <c r="H397" s="310"/>
      <c r="J397" s="27"/>
    </row>
    <row r="398">
      <c r="H398" s="310"/>
      <c r="J398" s="27"/>
    </row>
    <row r="399">
      <c r="H399" s="310"/>
      <c r="J399" s="27"/>
    </row>
    <row r="400">
      <c r="H400" s="310"/>
      <c r="J400" s="27"/>
    </row>
    <row r="401">
      <c r="H401" s="310"/>
      <c r="J401" s="27"/>
    </row>
    <row r="402">
      <c r="H402" s="310"/>
      <c r="J402" s="27"/>
    </row>
    <row r="403">
      <c r="H403" s="310"/>
      <c r="J403" s="27"/>
    </row>
    <row r="404">
      <c r="H404" s="310"/>
      <c r="J404" s="27"/>
    </row>
    <row r="405">
      <c r="H405" s="310"/>
      <c r="J405" s="27"/>
    </row>
    <row r="406">
      <c r="H406" s="310"/>
      <c r="J406" s="27"/>
    </row>
    <row r="407">
      <c r="H407" s="310"/>
      <c r="J407" s="27"/>
    </row>
    <row r="408">
      <c r="H408" s="310"/>
      <c r="J408" s="27"/>
    </row>
    <row r="409">
      <c r="H409" s="310"/>
      <c r="J409" s="27"/>
    </row>
    <row r="410">
      <c r="H410" s="310"/>
      <c r="J410" s="27"/>
    </row>
    <row r="411">
      <c r="H411" s="310"/>
      <c r="J411" s="27"/>
    </row>
    <row r="412">
      <c r="H412" s="310"/>
      <c r="J412" s="27"/>
    </row>
    <row r="413">
      <c r="H413" s="310"/>
      <c r="J413" s="27"/>
    </row>
    <row r="414">
      <c r="H414" s="310"/>
      <c r="J414" s="27"/>
    </row>
    <row r="415">
      <c r="H415" s="310"/>
      <c r="J415" s="27"/>
    </row>
    <row r="416">
      <c r="H416" s="310"/>
      <c r="J416" s="27"/>
    </row>
    <row r="417">
      <c r="H417" s="310"/>
      <c r="J417" s="27"/>
    </row>
    <row r="418">
      <c r="H418" s="310"/>
      <c r="J418" s="27"/>
    </row>
    <row r="419">
      <c r="H419" s="310"/>
      <c r="J419" s="27"/>
    </row>
    <row r="420">
      <c r="H420" s="310"/>
      <c r="J420" s="27"/>
    </row>
    <row r="421">
      <c r="H421" s="310"/>
      <c r="J421" s="27"/>
    </row>
    <row r="422">
      <c r="H422" s="310"/>
      <c r="J422" s="27"/>
    </row>
    <row r="423">
      <c r="H423" s="310"/>
      <c r="J423" s="27"/>
    </row>
    <row r="424">
      <c r="H424" s="310"/>
      <c r="J424" s="27"/>
    </row>
    <row r="425">
      <c r="H425" s="310"/>
      <c r="J425" s="27"/>
    </row>
    <row r="426">
      <c r="H426" s="310"/>
      <c r="J426" s="27"/>
    </row>
    <row r="427">
      <c r="H427" s="310"/>
      <c r="J427" s="27"/>
    </row>
    <row r="428">
      <c r="H428" s="310"/>
      <c r="J428" s="27"/>
    </row>
    <row r="429">
      <c r="H429" s="310"/>
      <c r="J429" s="27"/>
    </row>
    <row r="430">
      <c r="H430" s="310"/>
      <c r="J430" s="27"/>
    </row>
    <row r="431">
      <c r="H431" s="310"/>
      <c r="J431" s="27"/>
    </row>
    <row r="432">
      <c r="H432" s="310"/>
      <c r="J432" s="27"/>
    </row>
    <row r="433">
      <c r="H433" s="310"/>
      <c r="J433" s="27"/>
    </row>
    <row r="434">
      <c r="H434" s="310"/>
      <c r="J434" s="27"/>
    </row>
    <row r="435">
      <c r="H435" s="310"/>
      <c r="J435" s="27"/>
    </row>
    <row r="436">
      <c r="H436" s="310"/>
      <c r="J436" s="27"/>
    </row>
    <row r="437">
      <c r="H437" s="310"/>
      <c r="J437" s="27"/>
    </row>
    <row r="438">
      <c r="H438" s="310"/>
      <c r="J438" s="27"/>
    </row>
    <row r="439">
      <c r="H439" s="310"/>
      <c r="J439" s="27"/>
    </row>
    <row r="440">
      <c r="H440" s="310"/>
      <c r="J440" s="27"/>
    </row>
    <row r="441">
      <c r="H441" s="310"/>
      <c r="J441" s="27"/>
    </row>
    <row r="442">
      <c r="H442" s="310"/>
      <c r="J442" s="27"/>
    </row>
    <row r="443">
      <c r="H443" s="310"/>
      <c r="J443" s="27"/>
    </row>
    <row r="444">
      <c r="H444" s="310"/>
      <c r="J444" s="27"/>
    </row>
    <row r="445">
      <c r="H445" s="310"/>
      <c r="J445" s="27"/>
    </row>
    <row r="446">
      <c r="H446" s="310"/>
      <c r="J446" s="27"/>
    </row>
    <row r="447">
      <c r="H447" s="310"/>
      <c r="J447" s="27"/>
    </row>
    <row r="448">
      <c r="H448" s="310"/>
      <c r="J448" s="27"/>
    </row>
    <row r="449">
      <c r="H449" s="310"/>
      <c r="J449" s="27"/>
    </row>
    <row r="450">
      <c r="H450" s="310"/>
      <c r="J450" s="27"/>
    </row>
    <row r="451">
      <c r="H451" s="310"/>
      <c r="J451" s="27"/>
    </row>
    <row r="452">
      <c r="H452" s="310"/>
      <c r="J452" s="27"/>
    </row>
    <row r="453">
      <c r="H453" s="310"/>
      <c r="J453" s="27"/>
    </row>
    <row r="454">
      <c r="H454" s="310"/>
      <c r="J454" s="27"/>
    </row>
    <row r="455">
      <c r="H455" s="310"/>
      <c r="J455" s="27"/>
    </row>
    <row r="456">
      <c r="H456" s="310"/>
      <c r="J456" s="27"/>
    </row>
    <row r="457">
      <c r="H457" s="310"/>
      <c r="J457" s="27"/>
    </row>
    <row r="458">
      <c r="H458" s="310"/>
      <c r="J458" s="27"/>
    </row>
    <row r="459">
      <c r="H459" s="310"/>
      <c r="J459" s="27"/>
    </row>
    <row r="460">
      <c r="H460" s="310"/>
      <c r="J460" s="27"/>
    </row>
    <row r="461">
      <c r="H461" s="310"/>
      <c r="J461" s="27"/>
    </row>
    <row r="462">
      <c r="H462" s="310"/>
      <c r="J462" s="27"/>
    </row>
    <row r="463">
      <c r="H463" s="310"/>
      <c r="J463" s="27"/>
    </row>
    <row r="464">
      <c r="H464" s="310"/>
      <c r="J464" s="27"/>
    </row>
    <row r="465">
      <c r="H465" s="310"/>
      <c r="J465" s="27"/>
    </row>
    <row r="466">
      <c r="H466" s="310"/>
      <c r="J466" s="27"/>
    </row>
    <row r="467">
      <c r="H467" s="310"/>
      <c r="J467" s="27"/>
    </row>
    <row r="468">
      <c r="H468" s="310"/>
      <c r="J468" s="27"/>
    </row>
    <row r="469">
      <c r="H469" s="310"/>
      <c r="J469" s="27"/>
    </row>
    <row r="470">
      <c r="H470" s="310"/>
      <c r="J470" s="27"/>
    </row>
    <row r="471">
      <c r="H471" s="310"/>
      <c r="J471" s="27"/>
    </row>
    <row r="472">
      <c r="H472" s="310"/>
      <c r="J472" s="27"/>
    </row>
    <row r="473">
      <c r="H473" s="310"/>
      <c r="J473" s="27"/>
    </row>
    <row r="474">
      <c r="H474" s="310"/>
      <c r="J474" s="27"/>
    </row>
    <row r="475">
      <c r="H475" s="310"/>
      <c r="J475" s="27"/>
    </row>
    <row r="476">
      <c r="H476" s="310"/>
      <c r="J476" s="27"/>
    </row>
    <row r="477">
      <c r="H477" s="310"/>
      <c r="J477" s="27"/>
    </row>
    <row r="478">
      <c r="H478" s="310"/>
      <c r="J478" s="27"/>
    </row>
    <row r="479">
      <c r="H479" s="310"/>
      <c r="J479" s="27"/>
    </row>
    <row r="480">
      <c r="H480" s="310"/>
      <c r="J480" s="27"/>
    </row>
    <row r="481">
      <c r="H481" s="310"/>
      <c r="J481" s="27"/>
    </row>
    <row r="482">
      <c r="H482" s="310"/>
      <c r="J482" s="27"/>
    </row>
    <row r="483">
      <c r="H483" s="310"/>
      <c r="J483" s="27"/>
    </row>
    <row r="484">
      <c r="H484" s="310"/>
      <c r="J484" s="27"/>
    </row>
    <row r="485">
      <c r="H485" s="310"/>
      <c r="J485" s="27"/>
    </row>
    <row r="486">
      <c r="H486" s="310"/>
      <c r="J486" s="27"/>
    </row>
    <row r="487">
      <c r="H487" s="310"/>
      <c r="J487" s="27"/>
    </row>
    <row r="488">
      <c r="H488" s="310"/>
      <c r="J488" s="27"/>
    </row>
    <row r="489">
      <c r="H489" s="310"/>
      <c r="J489" s="27"/>
    </row>
    <row r="490">
      <c r="H490" s="310"/>
      <c r="J490" s="27"/>
    </row>
    <row r="491">
      <c r="H491" s="310"/>
      <c r="J491" s="27"/>
    </row>
    <row r="492">
      <c r="H492" s="310"/>
      <c r="J492" s="27"/>
    </row>
    <row r="493">
      <c r="H493" s="310"/>
      <c r="J493" s="27"/>
    </row>
    <row r="494">
      <c r="H494" s="310"/>
      <c r="J494" s="27"/>
    </row>
    <row r="495">
      <c r="H495" s="310"/>
      <c r="J495" s="27"/>
    </row>
    <row r="496">
      <c r="H496" s="310"/>
      <c r="J496" s="27"/>
    </row>
    <row r="497">
      <c r="H497" s="310"/>
      <c r="J497" s="27"/>
    </row>
    <row r="498">
      <c r="H498" s="310"/>
      <c r="J498" s="27"/>
    </row>
    <row r="499">
      <c r="H499" s="310"/>
      <c r="J499" s="27"/>
    </row>
    <row r="500">
      <c r="H500" s="310"/>
      <c r="J500" s="27"/>
    </row>
    <row r="501">
      <c r="H501" s="310"/>
      <c r="J501" s="27"/>
    </row>
    <row r="502">
      <c r="H502" s="310"/>
      <c r="J502" s="27"/>
    </row>
    <row r="503">
      <c r="H503" s="310"/>
      <c r="J503" s="27"/>
    </row>
    <row r="504">
      <c r="H504" s="310"/>
      <c r="J504" s="27"/>
    </row>
    <row r="505">
      <c r="H505" s="310"/>
      <c r="J505" s="27"/>
    </row>
    <row r="506">
      <c r="H506" s="310"/>
      <c r="J506" s="27"/>
    </row>
    <row r="507">
      <c r="H507" s="310"/>
      <c r="J507" s="27"/>
    </row>
    <row r="508">
      <c r="H508" s="310"/>
      <c r="J508" s="27"/>
    </row>
    <row r="509">
      <c r="H509" s="310"/>
      <c r="J509" s="27"/>
    </row>
    <row r="510">
      <c r="H510" s="310"/>
      <c r="J510" s="27"/>
    </row>
    <row r="511">
      <c r="H511" s="310"/>
      <c r="J511" s="27"/>
    </row>
    <row r="512">
      <c r="H512" s="310"/>
      <c r="J512" s="27"/>
    </row>
    <row r="513">
      <c r="H513" s="310"/>
      <c r="J513" s="27"/>
    </row>
    <row r="514">
      <c r="H514" s="310"/>
      <c r="J514" s="27"/>
    </row>
    <row r="515">
      <c r="H515" s="310"/>
      <c r="J515" s="27"/>
    </row>
    <row r="516">
      <c r="H516" s="310"/>
      <c r="J516" s="27"/>
    </row>
    <row r="517">
      <c r="H517" s="310"/>
      <c r="J517" s="27"/>
    </row>
    <row r="518">
      <c r="H518" s="310"/>
      <c r="J518" s="27"/>
    </row>
    <row r="519">
      <c r="H519" s="310"/>
      <c r="J519" s="27"/>
    </row>
    <row r="520">
      <c r="H520" s="310"/>
      <c r="J520" s="27"/>
    </row>
    <row r="521">
      <c r="H521" s="310"/>
      <c r="J521" s="27"/>
    </row>
    <row r="522">
      <c r="H522" s="310"/>
      <c r="J522" s="27"/>
    </row>
    <row r="523">
      <c r="H523" s="310"/>
      <c r="J523" s="27"/>
    </row>
    <row r="524">
      <c r="H524" s="310"/>
      <c r="J524" s="27"/>
    </row>
    <row r="525">
      <c r="H525" s="310"/>
      <c r="J525" s="27"/>
    </row>
    <row r="526">
      <c r="H526" s="310"/>
      <c r="J526" s="27"/>
    </row>
    <row r="527">
      <c r="H527" s="310"/>
      <c r="J527" s="27"/>
    </row>
    <row r="528">
      <c r="H528" s="310"/>
      <c r="J528" s="27"/>
    </row>
    <row r="529">
      <c r="H529" s="310"/>
      <c r="J529" s="27"/>
    </row>
    <row r="530">
      <c r="H530" s="310"/>
      <c r="J530" s="27"/>
    </row>
    <row r="531">
      <c r="H531" s="310"/>
      <c r="J531" s="27"/>
    </row>
    <row r="532">
      <c r="H532" s="310"/>
      <c r="J532" s="27"/>
    </row>
    <row r="533">
      <c r="H533" s="310"/>
      <c r="J533" s="27"/>
    </row>
    <row r="534">
      <c r="H534" s="310"/>
      <c r="J534" s="27"/>
    </row>
    <row r="535">
      <c r="H535" s="310"/>
      <c r="J535" s="27"/>
    </row>
    <row r="536">
      <c r="H536" s="310"/>
      <c r="J536" s="27"/>
    </row>
    <row r="537">
      <c r="H537" s="310"/>
      <c r="J537" s="27"/>
    </row>
    <row r="538">
      <c r="H538" s="310"/>
      <c r="J538" s="27"/>
    </row>
    <row r="539">
      <c r="H539" s="310"/>
      <c r="J539" s="27"/>
    </row>
    <row r="540">
      <c r="H540" s="310"/>
      <c r="J540" s="27"/>
    </row>
    <row r="541">
      <c r="H541" s="310"/>
      <c r="J541" s="27"/>
    </row>
    <row r="542">
      <c r="H542" s="310"/>
      <c r="J542" s="27"/>
    </row>
    <row r="543">
      <c r="H543" s="310"/>
      <c r="J543" s="27"/>
    </row>
    <row r="544">
      <c r="H544" s="310"/>
      <c r="J544" s="27"/>
    </row>
    <row r="545">
      <c r="H545" s="310"/>
      <c r="J545" s="27"/>
    </row>
    <row r="546">
      <c r="H546" s="310"/>
      <c r="J546" s="27"/>
    </row>
    <row r="547">
      <c r="H547" s="310"/>
      <c r="J547" s="27"/>
    </row>
    <row r="548">
      <c r="H548" s="310"/>
      <c r="J548" s="27"/>
    </row>
    <row r="549">
      <c r="H549" s="310"/>
      <c r="J549" s="27"/>
    </row>
    <row r="550">
      <c r="H550" s="310"/>
      <c r="J550" s="27"/>
    </row>
    <row r="551">
      <c r="H551" s="310"/>
      <c r="J551" s="27"/>
    </row>
    <row r="552">
      <c r="H552" s="310"/>
      <c r="J552" s="27"/>
    </row>
    <row r="553">
      <c r="H553" s="310"/>
      <c r="J553" s="27"/>
    </row>
    <row r="554">
      <c r="H554" s="310"/>
      <c r="J554" s="27"/>
    </row>
    <row r="555">
      <c r="H555" s="310"/>
      <c r="J555" s="27"/>
    </row>
    <row r="556">
      <c r="H556" s="310"/>
      <c r="J556" s="27"/>
    </row>
    <row r="557">
      <c r="H557" s="310"/>
      <c r="J557" s="27"/>
    </row>
    <row r="558">
      <c r="H558" s="310"/>
      <c r="J558" s="27"/>
    </row>
    <row r="559">
      <c r="H559" s="310"/>
      <c r="J559" s="27"/>
    </row>
    <row r="560">
      <c r="H560" s="310"/>
      <c r="J560" s="27"/>
    </row>
    <row r="561">
      <c r="H561" s="310"/>
      <c r="J561" s="27"/>
    </row>
    <row r="562">
      <c r="H562" s="310"/>
      <c r="J562" s="27"/>
    </row>
    <row r="563">
      <c r="H563" s="310"/>
      <c r="J563" s="27"/>
    </row>
    <row r="564">
      <c r="H564" s="310"/>
      <c r="J564" s="27"/>
    </row>
    <row r="565">
      <c r="H565" s="310"/>
      <c r="J565" s="27"/>
    </row>
    <row r="566">
      <c r="H566" s="310"/>
      <c r="J566" s="27"/>
    </row>
    <row r="567">
      <c r="H567" s="310"/>
      <c r="J567" s="27"/>
    </row>
    <row r="568">
      <c r="H568" s="310"/>
      <c r="J568" s="27"/>
    </row>
    <row r="569">
      <c r="H569" s="310"/>
      <c r="J569" s="27"/>
    </row>
    <row r="570">
      <c r="H570" s="310"/>
      <c r="J570" s="27"/>
    </row>
    <row r="571">
      <c r="H571" s="310"/>
      <c r="J571" s="27"/>
    </row>
    <row r="572">
      <c r="H572" s="310"/>
      <c r="J572" s="27"/>
    </row>
    <row r="573">
      <c r="H573" s="310"/>
      <c r="J573" s="27"/>
    </row>
    <row r="574">
      <c r="H574" s="310"/>
      <c r="J574" s="27"/>
    </row>
    <row r="575">
      <c r="H575" s="310"/>
      <c r="J575" s="27"/>
    </row>
    <row r="576">
      <c r="H576" s="310"/>
      <c r="J576" s="27"/>
    </row>
    <row r="577">
      <c r="H577" s="310"/>
      <c r="J577" s="27"/>
    </row>
    <row r="578">
      <c r="H578" s="310"/>
      <c r="J578" s="27"/>
    </row>
    <row r="579">
      <c r="H579" s="310"/>
      <c r="J579" s="27"/>
    </row>
    <row r="580">
      <c r="H580" s="310"/>
      <c r="J580" s="27"/>
    </row>
    <row r="581">
      <c r="H581" s="310"/>
      <c r="J581" s="27"/>
    </row>
    <row r="582">
      <c r="H582" s="310"/>
      <c r="J582" s="27"/>
    </row>
    <row r="583">
      <c r="H583" s="310"/>
      <c r="J583" s="27"/>
    </row>
    <row r="584">
      <c r="H584" s="310"/>
      <c r="J584" s="27"/>
    </row>
    <row r="585">
      <c r="H585" s="310"/>
      <c r="J585" s="27"/>
    </row>
    <row r="586">
      <c r="H586" s="310"/>
      <c r="J586" s="27"/>
    </row>
    <row r="587">
      <c r="H587" s="310"/>
      <c r="J587" s="27"/>
    </row>
    <row r="588">
      <c r="H588" s="310"/>
      <c r="J588" s="27"/>
    </row>
    <row r="589">
      <c r="H589" s="310"/>
      <c r="J589" s="27"/>
    </row>
    <row r="590">
      <c r="H590" s="310"/>
      <c r="J590" s="27"/>
    </row>
    <row r="591">
      <c r="H591" s="310"/>
      <c r="J591" s="27"/>
    </row>
    <row r="592">
      <c r="H592" s="310"/>
      <c r="J592" s="27"/>
    </row>
    <row r="593">
      <c r="H593" s="310"/>
      <c r="J593" s="27"/>
    </row>
    <row r="594">
      <c r="H594" s="310"/>
      <c r="J594" s="27"/>
    </row>
    <row r="595">
      <c r="H595" s="310"/>
      <c r="J595" s="27"/>
    </row>
    <row r="596">
      <c r="H596" s="310"/>
      <c r="J596" s="27"/>
    </row>
    <row r="597">
      <c r="H597" s="310"/>
      <c r="J597" s="27"/>
    </row>
    <row r="598">
      <c r="H598" s="310"/>
      <c r="J598" s="27"/>
    </row>
    <row r="599">
      <c r="H599" s="310"/>
      <c r="J599" s="27"/>
    </row>
    <row r="600">
      <c r="H600" s="310"/>
      <c r="J600" s="27"/>
    </row>
    <row r="601">
      <c r="H601" s="310"/>
      <c r="J601" s="27"/>
    </row>
    <row r="602">
      <c r="H602" s="310"/>
      <c r="J602" s="27"/>
    </row>
    <row r="603">
      <c r="H603" s="310"/>
      <c r="J603" s="27"/>
    </row>
    <row r="604">
      <c r="H604" s="310"/>
      <c r="J604" s="27"/>
    </row>
    <row r="605">
      <c r="H605" s="310"/>
      <c r="J605" s="27"/>
    </row>
    <row r="606">
      <c r="H606" s="310"/>
      <c r="J606" s="27"/>
    </row>
    <row r="607">
      <c r="H607" s="310"/>
      <c r="J607" s="27"/>
    </row>
    <row r="608">
      <c r="H608" s="310"/>
      <c r="J608" s="27"/>
    </row>
    <row r="609">
      <c r="H609" s="310"/>
      <c r="J609" s="27"/>
    </row>
    <row r="610">
      <c r="H610" s="310"/>
      <c r="J610" s="27"/>
    </row>
    <row r="611">
      <c r="H611" s="310"/>
      <c r="J611" s="27"/>
    </row>
    <row r="612">
      <c r="H612" s="310"/>
      <c r="J612" s="27"/>
    </row>
    <row r="613">
      <c r="H613" s="310"/>
      <c r="J613" s="27"/>
    </row>
    <row r="614">
      <c r="H614" s="310"/>
      <c r="J614" s="27"/>
    </row>
    <row r="615">
      <c r="H615" s="310"/>
      <c r="J615" s="27"/>
    </row>
    <row r="616">
      <c r="H616" s="310"/>
      <c r="J616" s="27"/>
    </row>
    <row r="617">
      <c r="H617" s="310"/>
      <c r="J617" s="27"/>
    </row>
    <row r="618">
      <c r="H618" s="310"/>
      <c r="J618" s="27"/>
    </row>
    <row r="619">
      <c r="H619" s="310"/>
      <c r="J619" s="27"/>
    </row>
    <row r="620">
      <c r="H620" s="310"/>
      <c r="J620" s="27"/>
    </row>
    <row r="621">
      <c r="H621" s="310"/>
      <c r="J621" s="27"/>
    </row>
    <row r="622">
      <c r="H622" s="310"/>
      <c r="J622" s="27"/>
    </row>
    <row r="623">
      <c r="H623" s="310"/>
      <c r="J623" s="27"/>
    </row>
    <row r="624">
      <c r="H624" s="310"/>
      <c r="J624" s="27"/>
    </row>
    <row r="625">
      <c r="H625" s="310"/>
      <c r="J625" s="27"/>
    </row>
    <row r="626">
      <c r="H626" s="310"/>
      <c r="J626" s="27"/>
    </row>
    <row r="627">
      <c r="H627" s="310"/>
      <c r="J627" s="27"/>
    </row>
    <row r="628">
      <c r="H628" s="310"/>
      <c r="J628" s="27"/>
    </row>
    <row r="629">
      <c r="H629" s="310"/>
      <c r="J629" s="27"/>
    </row>
    <row r="630">
      <c r="H630" s="310"/>
      <c r="J630" s="27"/>
    </row>
    <row r="631">
      <c r="H631" s="310"/>
      <c r="J631" s="27"/>
    </row>
    <row r="632">
      <c r="H632" s="310"/>
      <c r="J632" s="27"/>
    </row>
    <row r="633">
      <c r="H633" s="310"/>
      <c r="J633" s="27"/>
    </row>
    <row r="634">
      <c r="H634" s="310"/>
      <c r="J634" s="27"/>
    </row>
    <row r="635">
      <c r="H635" s="310"/>
      <c r="J635" s="27"/>
    </row>
    <row r="636">
      <c r="H636" s="310"/>
      <c r="J636" s="27"/>
    </row>
    <row r="637">
      <c r="H637" s="310"/>
      <c r="J637" s="27"/>
    </row>
    <row r="638">
      <c r="H638" s="310"/>
      <c r="J638" s="27"/>
    </row>
    <row r="639">
      <c r="H639" s="310"/>
      <c r="J639" s="27"/>
    </row>
    <row r="640">
      <c r="H640" s="310"/>
      <c r="J640" s="27"/>
    </row>
    <row r="641">
      <c r="H641" s="310"/>
      <c r="J641" s="27"/>
    </row>
    <row r="642">
      <c r="H642" s="310"/>
      <c r="J642" s="27"/>
    </row>
    <row r="643">
      <c r="H643" s="310"/>
      <c r="J643" s="27"/>
    </row>
    <row r="644">
      <c r="H644" s="310"/>
      <c r="J644" s="27"/>
    </row>
    <row r="645">
      <c r="H645" s="310"/>
      <c r="J645" s="27"/>
    </row>
    <row r="646">
      <c r="H646" s="310"/>
      <c r="J646" s="27"/>
    </row>
    <row r="647">
      <c r="H647" s="310"/>
      <c r="J647" s="27"/>
    </row>
    <row r="648">
      <c r="H648" s="310"/>
      <c r="J648" s="27"/>
    </row>
    <row r="649">
      <c r="H649" s="310"/>
      <c r="J649" s="27"/>
    </row>
    <row r="650">
      <c r="H650" s="310"/>
      <c r="J650" s="27"/>
    </row>
    <row r="651">
      <c r="H651" s="310"/>
      <c r="J651" s="27"/>
    </row>
    <row r="652">
      <c r="H652" s="310"/>
      <c r="J652" s="27"/>
    </row>
    <row r="653">
      <c r="H653" s="310"/>
      <c r="J653" s="27"/>
    </row>
    <row r="654">
      <c r="H654" s="310"/>
      <c r="J654" s="27"/>
    </row>
    <row r="655">
      <c r="H655" s="310"/>
      <c r="J655" s="27"/>
    </row>
    <row r="656">
      <c r="H656" s="310"/>
      <c r="J656" s="27"/>
    </row>
    <row r="657">
      <c r="H657" s="310"/>
      <c r="J657" s="27"/>
    </row>
    <row r="658">
      <c r="H658" s="310"/>
      <c r="J658" s="27"/>
    </row>
    <row r="659">
      <c r="H659" s="310"/>
      <c r="J659" s="27"/>
    </row>
    <row r="660">
      <c r="H660" s="310"/>
      <c r="J660" s="27"/>
    </row>
    <row r="661">
      <c r="H661" s="310"/>
      <c r="J661" s="27"/>
    </row>
    <row r="662">
      <c r="H662" s="310"/>
      <c r="J662" s="27"/>
    </row>
    <row r="663">
      <c r="H663" s="310"/>
      <c r="J663" s="27"/>
    </row>
    <row r="664">
      <c r="H664" s="310"/>
      <c r="J664" s="27"/>
    </row>
    <row r="665">
      <c r="H665" s="310"/>
      <c r="J665" s="27"/>
    </row>
    <row r="666">
      <c r="H666" s="310"/>
      <c r="J666" s="27"/>
    </row>
    <row r="667">
      <c r="H667" s="310"/>
      <c r="J667" s="27"/>
    </row>
    <row r="668">
      <c r="H668" s="310"/>
      <c r="J668" s="27"/>
    </row>
    <row r="669">
      <c r="H669" s="310"/>
      <c r="J669" s="27"/>
    </row>
    <row r="670">
      <c r="H670" s="310"/>
      <c r="J670" s="27"/>
    </row>
    <row r="671">
      <c r="H671" s="310"/>
      <c r="J671" s="27"/>
    </row>
    <row r="672">
      <c r="H672" s="310"/>
      <c r="J672" s="27"/>
    </row>
    <row r="673">
      <c r="H673" s="310"/>
      <c r="J673" s="27"/>
    </row>
    <row r="674">
      <c r="H674" s="310"/>
      <c r="J674" s="27"/>
    </row>
    <row r="675">
      <c r="H675" s="310"/>
      <c r="J675" s="27"/>
    </row>
    <row r="676">
      <c r="H676" s="310"/>
      <c r="J676" s="27"/>
    </row>
    <row r="677">
      <c r="H677" s="310"/>
      <c r="J677" s="27"/>
    </row>
    <row r="678">
      <c r="H678" s="310"/>
      <c r="J678" s="27"/>
    </row>
    <row r="679">
      <c r="H679" s="310"/>
      <c r="J679" s="27"/>
    </row>
    <row r="680">
      <c r="H680" s="310"/>
      <c r="J680" s="27"/>
    </row>
    <row r="681">
      <c r="H681" s="310"/>
      <c r="J681" s="27"/>
    </row>
    <row r="682">
      <c r="H682" s="310"/>
      <c r="J682" s="27"/>
    </row>
    <row r="683">
      <c r="H683" s="310"/>
      <c r="J683" s="27"/>
    </row>
    <row r="684">
      <c r="H684" s="310"/>
      <c r="J684" s="27"/>
    </row>
    <row r="685">
      <c r="H685" s="310"/>
      <c r="J685" s="27"/>
    </row>
    <row r="686">
      <c r="H686" s="310"/>
      <c r="J686" s="27"/>
    </row>
    <row r="687">
      <c r="H687" s="310"/>
      <c r="J687" s="27"/>
    </row>
    <row r="688">
      <c r="H688" s="310"/>
      <c r="J688" s="27"/>
    </row>
    <row r="689">
      <c r="H689" s="310"/>
      <c r="J689" s="27"/>
    </row>
    <row r="690">
      <c r="H690" s="310"/>
      <c r="J690" s="27"/>
    </row>
    <row r="691">
      <c r="H691" s="310"/>
      <c r="J691" s="27"/>
    </row>
    <row r="692">
      <c r="H692" s="310"/>
      <c r="J692" s="27"/>
    </row>
    <row r="693">
      <c r="H693" s="310"/>
      <c r="J693" s="27"/>
    </row>
    <row r="694">
      <c r="H694" s="310"/>
      <c r="J694" s="27"/>
    </row>
    <row r="695">
      <c r="H695" s="310"/>
      <c r="J695" s="27"/>
    </row>
    <row r="696">
      <c r="H696" s="310"/>
      <c r="J696" s="27"/>
    </row>
    <row r="697">
      <c r="H697" s="310"/>
      <c r="J697" s="27"/>
    </row>
    <row r="698">
      <c r="H698" s="310"/>
      <c r="J698" s="27"/>
    </row>
    <row r="699">
      <c r="H699" s="310"/>
      <c r="J699" s="27"/>
    </row>
    <row r="700">
      <c r="H700" s="310"/>
      <c r="J700" s="27"/>
    </row>
    <row r="701">
      <c r="H701" s="310"/>
      <c r="J701" s="27"/>
    </row>
    <row r="702">
      <c r="H702" s="310"/>
      <c r="J702" s="27"/>
    </row>
    <row r="703">
      <c r="H703" s="310"/>
      <c r="J703" s="27"/>
    </row>
    <row r="704">
      <c r="H704" s="310"/>
      <c r="J704" s="27"/>
    </row>
    <row r="705">
      <c r="H705" s="310"/>
      <c r="J705" s="27"/>
    </row>
    <row r="706">
      <c r="H706" s="310"/>
      <c r="J706" s="27"/>
    </row>
    <row r="707">
      <c r="H707" s="310"/>
      <c r="J707" s="27"/>
    </row>
    <row r="708">
      <c r="H708" s="310"/>
      <c r="J708" s="27"/>
    </row>
    <row r="709">
      <c r="H709" s="310"/>
      <c r="J709" s="27"/>
    </row>
    <row r="710">
      <c r="H710" s="310"/>
      <c r="J710" s="27"/>
    </row>
    <row r="711">
      <c r="H711" s="310"/>
      <c r="J711" s="27"/>
    </row>
    <row r="712">
      <c r="H712" s="310"/>
      <c r="J712" s="27"/>
    </row>
    <row r="713">
      <c r="H713" s="310"/>
      <c r="J713" s="27"/>
    </row>
    <row r="714">
      <c r="H714" s="310"/>
      <c r="J714" s="27"/>
    </row>
    <row r="715">
      <c r="H715" s="310"/>
      <c r="J715" s="27"/>
    </row>
    <row r="716">
      <c r="H716" s="310"/>
      <c r="J716" s="27"/>
    </row>
    <row r="717">
      <c r="H717" s="310"/>
      <c r="J717" s="27"/>
    </row>
    <row r="718">
      <c r="H718" s="310"/>
      <c r="J718" s="27"/>
    </row>
    <row r="719">
      <c r="H719" s="310"/>
      <c r="J719" s="27"/>
    </row>
    <row r="720">
      <c r="H720" s="310"/>
      <c r="J720" s="27"/>
    </row>
    <row r="721">
      <c r="H721" s="310"/>
      <c r="J721" s="27"/>
    </row>
    <row r="722">
      <c r="H722" s="310"/>
      <c r="J722" s="27"/>
    </row>
    <row r="723">
      <c r="H723" s="310"/>
      <c r="J723" s="27"/>
    </row>
    <row r="724">
      <c r="H724" s="310"/>
      <c r="J724" s="27"/>
    </row>
    <row r="725">
      <c r="H725" s="310"/>
      <c r="J725" s="27"/>
    </row>
    <row r="726">
      <c r="H726" s="310"/>
      <c r="J726" s="27"/>
    </row>
    <row r="727">
      <c r="H727" s="310"/>
      <c r="J727" s="27"/>
    </row>
    <row r="728">
      <c r="H728" s="310"/>
      <c r="J728" s="27"/>
    </row>
    <row r="729">
      <c r="H729" s="310"/>
      <c r="J729" s="27"/>
    </row>
    <row r="730">
      <c r="H730" s="310"/>
      <c r="J730" s="27"/>
    </row>
    <row r="731">
      <c r="H731" s="310"/>
      <c r="J731" s="27"/>
    </row>
    <row r="732">
      <c r="H732" s="310"/>
      <c r="J732" s="27"/>
    </row>
    <row r="733">
      <c r="H733" s="310"/>
      <c r="J733" s="27"/>
    </row>
    <row r="734">
      <c r="H734" s="310"/>
      <c r="J734" s="27"/>
    </row>
    <row r="735">
      <c r="H735" s="310"/>
      <c r="J735" s="27"/>
    </row>
    <row r="736">
      <c r="H736" s="310"/>
      <c r="J736" s="27"/>
    </row>
    <row r="737">
      <c r="H737" s="310"/>
      <c r="J737" s="27"/>
    </row>
    <row r="738">
      <c r="H738" s="310"/>
      <c r="J738" s="27"/>
    </row>
    <row r="739">
      <c r="H739" s="310"/>
      <c r="J739" s="27"/>
    </row>
    <row r="740">
      <c r="H740" s="310"/>
      <c r="J740" s="27"/>
    </row>
    <row r="741">
      <c r="H741" s="310"/>
      <c r="J741" s="27"/>
    </row>
    <row r="742">
      <c r="H742" s="310"/>
      <c r="J742" s="27"/>
    </row>
    <row r="743">
      <c r="H743" s="310"/>
      <c r="J743" s="27"/>
    </row>
    <row r="744">
      <c r="H744" s="310"/>
      <c r="J744" s="27"/>
    </row>
    <row r="745">
      <c r="H745" s="310"/>
      <c r="J745" s="27"/>
    </row>
    <row r="746">
      <c r="H746" s="310"/>
      <c r="J746" s="27"/>
    </row>
    <row r="747">
      <c r="H747" s="310"/>
      <c r="J747" s="27"/>
    </row>
    <row r="748">
      <c r="H748" s="310"/>
      <c r="J748" s="27"/>
    </row>
    <row r="749">
      <c r="H749" s="310"/>
      <c r="J749" s="27"/>
    </row>
    <row r="750">
      <c r="H750" s="310"/>
      <c r="J750" s="27"/>
    </row>
    <row r="751">
      <c r="H751" s="310"/>
      <c r="J751" s="27"/>
    </row>
    <row r="752">
      <c r="H752" s="310"/>
      <c r="J752" s="27"/>
    </row>
    <row r="753">
      <c r="H753" s="310"/>
      <c r="J753" s="27"/>
    </row>
    <row r="754">
      <c r="H754" s="310"/>
      <c r="J754" s="27"/>
    </row>
    <row r="755">
      <c r="H755" s="310"/>
      <c r="J755" s="27"/>
    </row>
    <row r="756">
      <c r="H756" s="310"/>
      <c r="J756" s="27"/>
    </row>
    <row r="757">
      <c r="H757" s="310"/>
      <c r="J757" s="27"/>
    </row>
    <row r="758">
      <c r="H758" s="310"/>
      <c r="J758" s="27"/>
    </row>
    <row r="759">
      <c r="H759" s="310"/>
      <c r="J759" s="27"/>
    </row>
    <row r="760">
      <c r="H760" s="310"/>
      <c r="J760" s="27"/>
    </row>
    <row r="761">
      <c r="H761" s="310"/>
      <c r="J761" s="27"/>
    </row>
    <row r="762">
      <c r="H762" s="310"/>
      <c r="J762" s="27"/>
    </row>
    <row r="763">
      <c r="H763" s="310"/>
      <c r="J763" s="27"/>
    </row>
    <row r="764">
      <c r="H764" s="310"/>
      <c r="J764" s="27"/>
    </row>
    <row r="765">
      <c r="H765" s="310"/>
      <c r="J765" s="27"/>
    </row>
    <row r="766">
      <c r="H766" s="310"/>
      <c r="J766" s="27"/>
    </row>
    <row r="767">
      <c r="H767" s="310"/>
      <c r="J767" s="27"/>
    </row>
    <row r="768">
      <c r="H768" s="310"/>
      <c r="J768" s="27"/>
    </row>
    <row r="769">
      <c r="H769" s="310"/>
      <c r="J769" s="27"/>
    </row>
    <row r="770">
      <c r="H770" s="310"/>
      <c r="J770" s="27"/>
    </row>
    <row r="771">
      <c r="H771" s="310"/>
      <c r="J771" s="27"/>
    </row>
    <row r="772">
      <c r="H772" s="310"/>
      <c r="J772" s="27"/>
    </row>
    <row r="773">
      <c r="H773" s="310"/>
      <c r="J773" s="27"/>
    </row>
    <row r="774">
      <c r="H774" s="310"/>
      <c r="J774" s="27"/>
    </row>
    <row r="775">
      <c r="H775" s="310"/>
      <c r="J775" s="27"/>
    </row>
    <row r="776">
      <c r="H776" s="310"/>
      <c r="J776" s="27"/>
    </row>
    <row r="777">
      <c r="H777" s="310"/>
      <c r="J777" s="27"/>
    </row>
    <row r="778">
      <c r="H778" s="310"/>
      <c r="J778" s="27"/>
    </row>
    <row r="779">
      <c r="H779" s="310"/>
      <c r="J779" s="27"/>
    </row>
    <row r="780">
      <c r="H780" s="310"/>
      <c r="J780" s="27"/>
    </row>
    <row r="781">
      <c r="H781" s="310"/>
      <c r="J781" s="27"/>
    </row>
    <row r="782">
      <c r="H782" s="310"/>
      <c r="J782" s="27"/>
    </row>
    <row r="783">
      <c r="H783" s="310"/>
      <c r="J783" s="27"/>
    </row>
    <row r="784">
      <c r="H784" s="310"/>
      <c r="J784" s="27"/>
    </row>
    <row r="785">
      <c r="H785" s="310"/>
      <c r="J785" s="27"/>
    </row>
    <row r="786">
      <c r="H786" s="310"/>
      <c r="J786" s="27"/>
    </row>
    <row r="787">
      <c r="H787" s="310"/>
      <c r="J787" s="27"/>
    </row>
    <row r="788">
      <c r="H788" s="310"/>
      <c r="J788" s="27"/>
    </row>
    <row r="789">
      <c r="H789" s="310"/>
      <c r="J789" s="27"/>
    </row>
    <row r="790">
      <c r="H790" s="310"/>
      <c r="J790" s="27"/>
    </row>
    <row r="791">
      <c r="H791" s="310"/>
      <c r="J791" s="27"/>
    </row>
    <row r="792">
      <c r="H792" s="310"/>
      <c r="J792" s="27"/>
    </row>
    <row r="793">
      <c r="H793" s="310"/>
      <c r="J793" s="27"/>
    </row>
    <row r="794">
      <c r="H794" s="310"/>
      <c r="J794" s="27"/>
    </row>
    <row r="795">
      <c r="H795" s="310"/>
      <c r="J795" s="27"/>
    </row>
    <row r="796">
      <c r="H796" s="310"/>
      <c r="J796" s="27"/>
    </row>
    <row r="797">
      <c r="H797" s="310"/>
      <c r="J797" s="27"/>
    </row>
    <row r="798">
      <c r="H798" s="310"/>
      <c r="J798" s="27"/>
    </row>
    <row r="799">
      <c r="H799" s="310"/>
      <c r="J799" s="27"/>
    </row>
    <row r="800">
      <c r="H800" s="310"/>
      <c r="J800" s="27"/>
    </row>
    <row r="801">
      <c r="H801" s="310"/>
      <c r="J801" s="27"/>
    </row>
    <row r="802">
      <c r="H802" s="310"/>
      <c r="J802" s="27"/>
    </row>
    <row r="803">
      <c r="H803" s="310"/>
      <c r="J803" s="27"/>
    </row>
    <row r="804">
      <c r="H804" s="310"/>
      <c r="J804" s="27"/>
    </row>
    <row r="805">
      <c r="H805" s="310"/>
      <c r="J805" s="27"/>
    </row>
    <row r="806">
      <c r="H806" s="310"/>
      <c r="J806" s="27"/>
    </row>
    <row r="807">
      <c r="H807" s="310"/>
      <c r="J807" s="27"/>
    </row>
    <row r="808">
      <c r="H808" s="310"/>
      <c r="J808" s="27"/>
    </row>
    <row r="809">
      <c r="H809" s="310"/>
      <c r="J809" s="27"/>
    </row>
    <row r="810">
      <c r="H810" s="310"/>
      <c r="J810" s="27"/>
    </row>
    <row r="811">
      <c r="H811" s="310"/>
      <c r="J811" s="27"/>
    </row>
    <row r="812">
      <c r="H812" s="310"/>
      <c r="J812" s="27"/>
    </row>
    <row r="813">
      <c r="H813" s="310"/>
      <c r="J813" s="27"/>
    </row>
    <row r="814">
      <c r="H814" s="310"/>
      <c r="J814" s="27"/>
    </row>
    <row r="815">
      <c r="H815" s="310"/>
      <c r="J815" s="27"/>
    </row>
    <row r="816">
      <c r="H816" s="310"/>
      <c r="J816" s="27"/>
    </row>
    <row r="817">
      <c r="H817" s="310"/>
      <c r="J817" s="27"/>
    </row>
    <row r="818">
      <c r="H818" s="310"/>
      <c r="J818" s="27"/>
    </row>
    <row r="819">
      <c r="H819" s="310"/>
      <c r="J819" s="27"/>
    </row>
    <row r="820">
      <c r="H820" s="310"/>
      <c r="J820" s="27"/>
    </row>
    <row r="821">
      <c r="H821" s="310"/>
      <c r="J821" s="27"/>
    </row>
    <row r="822">
      <c r="H822" s="310"/>
      <c r="J822" s="27"/>
    </row>
    <row r="823">
      <c r="H823" s="310"/>
      <c r="J823" s="27"/>
    </row>
    <row r="824">
      <c r="H824" s="310"/>
      <c r="J824" s="27"/>
    </row>
    <row r="825">
      <c r="H825" s="310"/>
      <c r="J825" s="27"/>
    </row>
    <row r="826">
      <c r="H826" s="310"/>
      <c r="J826" s="27"/>
    </row>
    <row r="827">
      <c r="H827" s="310"/>
      <c r="J827" s="27"/>
    </row>
    <row r="828">
      <c r="H828" s="310"/>
      <c r="J828" s="27"/>
    </row>
    <row r="829">
      <c r="H829" s="310"/>
      <c r="J829" s="27"/>
    </row>
    <row r="830">
      <c r="H830" s="310"/>
      <c r="J830" s="27"/>
    </row>
    <row r="831">
      <c r="H831" s="310"/>
      <c r="J831" s="27"/>
    </row>
    <row r="832">
      <c r="H832" s="310"/>
      <c r="J832" s="27"/>
    </row>
    <row r="833">
      <c r="H833" s="310"/>
      <c r="J833" s="27"/>
    </row>
    <row r="834">
      <c r="H834" s="310"/>
      <c r="J834" s="27"/>
    </row>
    <row r="835">
      <c r="H835" s="310"/>
      <c r="J835" s="27"/>
    </row>
    <row r="836">
      <c r="H836" s="310"/>
      <c r="J836" s="27"/>
    </row>
    <row r="837">
      <c r="H837" s="310"/>
      <c r="J837" s="27"/>
    </row>
    <row r="838">
      <c r="H838" s="310"/>
      <c r="J838" s="27"/>
    </row>
    <row r="839">
      <c r="H839" s="310"/>
      <c r="J839" s="27"/>
    </row>
    <row r="840">
      <c r="H840" s="310"/>
      <c r="J840" s="27"/>
    </row>
    <row r="841">
      <c r="H841" s="310"/>
      <c r="J841" s="27"/>
    </row>
    <row r="842">
      <c r="H842" s="310"/>
      <c r="J842" s="27"/>
    </row>
    <row r="843">
      <c r="H843" s="310"/>
      <c r="J843" s="27"/>
    </row>
    <row r="844">
      <c r="H844" s="310"/>
      <c r="J844" s="27"/>
    </row>
    <row r="845">
      <c r="H845" s="310"/>
      <c r="J845" s="27"/>
    </row>
    <row r="846">
      <c r="H846" s="310"/>
      <c r="J846" s="27"/>
    </row>
    <row r="847">
      <c r="H847" s="310"/>
      <c r="J847" s="27"/>
    </row>
    <row r="848">
      <c r="H848" s="310"/>
      <c r="J848" s="27"/>
    </row>
    <row r="849">
      <c r="H849" s="310"/>
      <c r="J849" s="27"/>
    </row>
    <row r="850">
      <c r="H850" s="310"/>
      <c r="J850" s="27"/>
    </row>
    <row r="851">
      <c r="H851" s="310"/>
      <c r="J851" s="27"/>
    </row>
    <row r="852">
      <c r="H852" s="310"/>
      <c r="J852" s="27"/>
    </row>
    <row r="853">
      <c r="H853" s="310"/>
      <c r="J853" s="27"/>
    </row>
    <row r="854">
      <c r="H854" s="310"/>
      <c r="J854" s="27"/>
    </row>
    <row r="855">
      <c r="H855" s="310"/>
      <c r="J855" s="27"/>
    </row>
    <row r="856">
      <c r="H856" s="310"/>
      <c r="J856" s="27"/>
    </row>
    <row r="857">
      <c r="H857" s="310"/>
      <c r="J857" s="27"/>
    </row>
    <row r="858">
      <c r="H858" s="310"/>
      <c r="J858" s="27"/>
    </row>
    <row r="859">
      <c r="H859" s="310"/>
      <c r="J859" s="27"/>
    </row>
    <row r="860">
      <c r="H860" s="310"/>
      <c r="J860" s="27"/>
    </row>
    <row r="861">
      <c r="H861" s="310"/>
      <c r="J861" s="27"/>
    </row>
    <row r="862">
      <c r="H862" s="310"/>
      <c r="J862" s="27"/>
    </row>
    <row r="863">
      <c r="H863" s="310"/>
      <c r="J863" s="27"/>
    </row>
    <row r="864">
      <c r="H864" s="310"/>
      <c r="J864" s="27"/>
    </row>
    <row r="865">
      <c r="H865" s="310"/>
      <c r="J865" s="27"/>
    </row>
    <row r="866">
      <c r="H866" s="310"/>
      <c r="J866" s="27"/>
    </row>
    <row r="867">
      <c r="H867" s="310"/>
      <c r="J867" s="27"/>
    </row>
    <row r="868">
      <c r="H868" s="310"/>
      <c r="J868" s="27"/>
    </row>
    <row r="869">
      <c r="H869" s="310"/>
      <c r="J869" s="27"/>
    </row>
    <row r="870">
      <c r="H870" s="310"/>
      <c r="J870" s="27"/>
    </row>
    <row r="871">
      <c r="H871" s="310"/>
      <c r="J871" s="27"/>
    </row>
    <row r="872">
      <c r="H872" s="310"/>
      <c r="J872" s="27"/>
    </row>
    <row r="873">
      <c r="H873" s="310"/>
      <c r="J873" s="27"/>
    </row>
    <row r="874">
      <c r="H874" s="310"/>
      <c r="J874" s="27"/>
    </row>
    <row r="875">
      <c r="H875" s="310"/>
      <c r="J875" s="27"/>
    </row>
    <row r="876">
      <c r="H876" s="310"/>
      <c r="J876" s="27"/>
    </row>
    <row r="877">
      <c r="H877" s="310"/>
      <c r="J877" s="27"/>
    </row>
    <row r="878">
      <c r="H878" s="310"/>
      <c r="J878" s="27"/>
    </row>
    <row r="879">
      <c r="H879" s="310"/>
      <c r="J879" s="27"/>
    </row>
    <row r="880">
      <c r="H880" s="310"/>
      <c r="J880" s="27"/>
    </row>
    <row r="881">
      <c r="H881" s="310"/>
      <c r="J881" s="27"/>
    </row>
    <row r="882">
      <c r="H882" s="310"/>
      <c r="J882" s="27"/>
    </row>
    <row r="883">
      <c r="H883" s="310"/>
      <c r="J883" s="27"/>
    </row>
    <row r="884">
      <c r="H884" s="310"/>
      <c r="J884" s="27"/>
    </row>
    <row r="885">
      <c r="H885" s="310"/>
      <c r="J885" s="27"/>
    </row>
    <row r="886">
      <c r="H886" s="310"/>
      <c r="J886" s="27"/>
    </row>
    <row r="887">
      <c r="H887" s="310"/>
      <c r="J887" s="27"/>
    </row>
    <row r="888">
      <c r="H888" s="310"/>
      <c r="J888" s="27"/>
    </row>
    <row r="889">
      <c r="H889" s="310"/>
      <c r="J889" s="27"/>
    </row>
    <row r="890">
      <c r="H890" s="310"/>
      <c r="J890" s="27"/>
    </row>
    <row r="891">
      <c r="H891" s="310"/>
      <c r="J891" s="27"/>
    </row>
    <row r="892">
      <c r="H892" s="310"/>
      <c r="J892" s="27"/>
    </row>
    <row r="893">
      <c r="H893" s="310"/>
      <c r="J893" s="27"/>
    </row>
    <row r="894">
      <c r="H894" s="310"/>
      <c r="J894" s="27"/>
    </row>
    <row r="895">
      <c r="H895" s="310"/>
      <c r="J895" s="27"/>
    </row>
    <row r="896">
      <c r="H896" s="310"/>
      <c r="J896" s="27"/>
    </row>
    <row r="897">
      <c r="H897" s="310"/>
      <c r="J897" s="27"/>
    </row>
    <row r="898">
      <c r="H898" s="310"/>
      <c r="J898" s="27"/>
    </row>
    <row r="899">
      <c r="H899" s="310"/>
      <c r="J899" s="27"/>
    </row>
    <row r="900">
      <c r="H900" s="310"/>
      <c r="J900" s="27"/>
    </row>
    <row r="901">
      <c r="H901" s="310"/>
      <c r="J901" s="27"/>
    </row>
    <row r="902">
      <c r="H902" s="310"/>
      <c r="J902" s="27"/>
    </row>
    <row r="903">
      <c r="H903" s="310"/>
      <c r="J903" s="27"/>
    </row>
    <row r="904">
      <c r="H904" s="310"/>
      <c r="J904" s="27"/>
    </row>
    <row r="905">
      <c r="H905" s="310"/>
      <c r="J905" s="27"/>
    </row>
    <row r="906">
      <c r="H906" s="310"/>
      <c r="J906" s="27"/>
    </row>
    <row r="907">
      <c r="H907" s="310"/>
      <c r="J907" s="27"/>
    </row>
    <row r="908">
      <c r="H908" s="310"/>
      <c r="J908" s="27"/>
    </row>
    <row r="909">
      <c r="H909" s="310"/>
      <c r="J909" s="27"/>
    </row>
    <row r="910">
      <c r="H910" s="310"/>
      <c r="J910" s="27"/>
    </row>
    <row r="911">
      <c r="H911" s="310"/>
      <c r="J911" s="27"/>
    </row>
    <row r="912">
      <c r="H912" s="310"/>
      <c r="J912" s="27"/>
    </row>
    <row r="913">
      <c r="H913" s="310"/>
      <c r="J913" s="27"/>
    </row>
    <row r="914">
      <c r="H914" s="310"/>
      <c r="J914" s="27"/>
    </row>
    <row r="915">
      <c r="H915" s="310"/>
      <c r="J915" s="27"/>
    </row>
    <row r="916">
      <c r="H916" s="310"/>
      <c r="J916" s="27"/>
    </row>
    <row r="917">
      <c r="H917" s="310"/>
      <c r="J917" s="27"/>
    </row>
    <row r="918">
      <c r="H918" s="310"/>
      <c r="J918" s="27"/>
    </row>
    <row r="919">
      <c r="H919" s="310"/>
      <c r="J919" s="27"/>
    </row>
    <row r="920">
      <c r="H920" s="310"/>
      <c r="J920" s="27"/>
    </row>
    <row r="921">
      <c r="H921" s="310"/>
      <c r="J921" s="27"/>
    </row>
    <row r="922">
      <c r="H922" s="310"/>
      <c r="J922" s="27"/>
    </row>
    <row r="923">
      <c r="H923" s="310"/>
      <c r="J923" s="27"/>
    </row>
    <row r="924">
      <c r="H924" s="310"/>
      <c r="J924" s="27"/>
    </row>
    <row r="925">
      <c r="H925" s="310"/>
      <c r="J925" s="27"/>
    </row>
    <row r="926">
      <c r="H926" s="310"/>
      <c r="J926" s="27"/>
    </row>
    <row r="927">
      <c r="H927" s="310"/>
      <c r="J927" s="27"/>
    </row>
    <row r="928">
      <c r="H928" s="310"/>
      <c r="J928" s="27"/>
    </row>
    <row r="929">
      <c r="H929" s="310"/>
      <c r="J929" s="27"/>
    </row>
    <row r="930">
      <c r="H930" s="310"/>
      <c r="J930" s="27"/>
    </row>
    <row r="931">
      <c r="H931" s="310"/>
      <c r="J931" s="27"/>
    </row>
    <row r="932">
      <c r="H932" s="310"/>
      <c r="J932" s="27"/>
    </row>
    <row r="933">
      <c r="H933" s="310"/>
      <c r="J933" s="27"/>
    </row>
    <row r="934">
      <c r="H934" s="310"/>
      <c r="J934" s="27"/>
    </row>
    <row r="935">
      <c r="H935" s="310"/>
      <c r="J935" s="27"/>
    </row>
    <row r="936">
      <c r="H936" s="310"/>
      <c r="J936" s="27"/>
    </row>
    <row r="937">
      <c r="H937" s="310"/>
      <c r="J937" s="27"/>
    </row>
    <row r="938">
      <c r="H938" s="310"/>
      <c r="J938" s="27"/>
    </row>
    <row r="939">
      <c r="H939" s="310"/>
      <c r="J939" s="27"/>
    </row>
    <row r="940">
      <c r="H940" s="310"/>
      <c r="J940" s="27"/>
    </row>
    <row r="941">
      <c r="H941" s="310"/>
      <c r="J941" s="27"/>
    </row>
    <row r="942">
      <c r="H942" s="310"/>
      <c r="J942" s="27"/>
    </row>
    <row r="943">
      <c r="H943" s="310"/>
      <c r="J943" s="27"/>
    </row>
    <row r="944">
      <c r="H944" s="310"/>
      <c r="J944" s="27"/>
    </row>
    <row r="945">
      <c r="H945" s="310"/>
      <c r="J945" s="27"/>
    </row>
    <row r="946">
      <c r="H946" s="310"/>
      <c r="J946" s="27"/>
    </row>
    <row r="947">
      <c r="H947" s="310"/>
      <c r="J947" s="27"/>
    </row>
    <row r="948">
      <c r="H948" s="310"/>
      <c r="J948" s="27"/>
    </row>
    <row r="949">
      <c r="H949" s="310"/>
      <c r="J949" s="27"/>
    </row>
    <row r="950">
      <c r="H950" s="310"/>
      <c r="J950" s="27"/>
    </row>
    <row r="951">
      <c r="H951" s="310"/>
      <c r="J951" s="27"/>
    </row>
    <row r="952">
      <c r="H952" s="310"/>
      <c r="J952" s="27"/>
    </row>
    <row r="953">
      <c r="H953" s="310"/>
      <c r="J953" s="27"/>
    </row>
    <row r="954">
      <c r="H954" s="310"/>
      <c r="J954" s="27"/>
    </row>
    <row r="955">
      <c r="H955" s="310"/>
      <c r="J955" s="27"/>
    </row>
    <row r="956">
      <c r="H956" s="310"/>
      <c r="J956" s="27"/>
    </row>
    <row r="957">
      <c r="H957" s="310"/>
      <c r="J957" s="27"/>
    </row>
    <row r="958">
      <c r="H958" s="310"/>
      <c r="J958" s="27"/>
    </row>
    <row r="959">
      <c r="H959" s="310"/>
      <c r="J959" s="27"/>
    </row>
    <row r="960">
      <c r="H960" s="310"/>
      <c r="J960" s="27"/>
    </row>
    <row r="961">
      <c r="H961" s="310"/>
      <c r="J961" s="27"/>
    </row>
    <row r="962">
      <c r="H962" s="310"/>
      <c r="J962" s="27"/>
    </row>
    <row r="963">
      <c r="H963" s="310"/>
      <c r="J963" s="27"/>
    </row>
    <row r="964">
      <c r="H964" s="310"/>
      <c r="J964" s="27"/>
    </row>
    <row r="965">
      <c r="H965" s="310"/>
      <c r="J965" s="27"/>
    </row>
    <row r="966">
      <c r="H966" s="310"/>
      <c r="J966" s="27"/>
    </row>
    <row r="967">
      <c r="H967" s="310"/>
      <c r="J967" s="27"/>
    </row>
    <row r="968">
      <c r="H968" s="310"/>
      <c r="J968" s="27"/>
    </row>
    <row r="969">
      <c r="H969" s="310"/>
      <c r="J969" s="27"/>
    </row>
    <row r="970">
      <c r="H970" s="310"/>
      <c r="J970" s="27"/>
    </row>
    <row r="971">
      <c r="H971" s="310"/>
      <c r="J971" s="27"/>
    </row>
    <row r="972">
      <c r="H972" s="310"/>
      <c r="J972" s="27"/>
    </row>
    <row r="973">
      <c r="H973" s="310"/>
      <c r="J973" s="27"/>
    </row>
    <row r="974">
      <c r="H974" s="310"/>
      <c r="J974" s="27"/>
    </row>
    <row r="975">
      <c r="H975" s="310"/>
      <c r="J975" s="27"/>
    </row>
    <row r="976">
      <c r="H976" s="310"/>
      <c r="J976" s="27"/>
    </row>
    <row r="977">
      <c r="H977" s="310"/>
      <c r="J977" s="27"/>
    </row>
    <row r="978">
      <c r="H978" s="310"/>
      <c r="J978" s="27"/>
    </row>
    <row r="979">
      <c r="H979" s="310"/>
      <c r="J979" s="27"/>
    </row>
    <row r="980">
      <c r="H980" s="310"/>
      <c r="J980" s="27"/>
    </row>
    <row r="981">
      <c r="H981" s="310"/>
      <c r="J981" s="27"/>
    </row>
    <row r="982">
      <c r="H982" s="310"/>
      <c r="J982" s="27"/>
    </row>
    <row r="983">
      <c r="H983" s="310"/>
      <c r="J983" s="27"/>
    </row>
    <row r="984">
      <c r="H984" s="310"/>
      <c r="J984" s="27"/>
    </row>
    <row r="985">
      <c r="H985" s="310"/>
      <c r="J985" s="27"/>
    </row>
    <row r="986">
      <c r="H986" s="310"/>
      <c r="J986" s="27"/>
    </row>
    <row r="987">
      <c r="H987" s="310"/>
      <c r="J987" s="27"/>
    </row>
    <row r="988">
      <c r="H988" s="310"/>
      <c r="J988" s="27"/>
    </row>
    <row r="989">
      <c r="H989" s="310"/>
      <c r="J989" s="27"/>
    </row>
    <row r="990">
      <c r="H990" s="310"/>
      <c r="J990" s="27"/>
    </row>
    <row r="991">
      <c r="H991" s="310"/>
      <c r="J991" s="27"/>
    </row>
    <row r="992">
      <c r="H992" s="310"/>
      <c r="J992" s="27"/>
    </row>
    <row r="993">
      <c r="H993" s="310"/>
      <c r="J993" s="27"/>
    </row>
    <row r="994">
      <c r="H994" s="310"/>
      <c r="J994" s="27"/>
    </row>
    <row r="995">
      <c r="H995" s="310"/>
      <c r="J995" s="27"/>
    </row>
    <row r="996">
      <c r="H996" s="310"/>
      <c r="J996" s="27"/>
    </row>
    <row r="997">
      <c r="H997" s="310"/>
      <c r="J997" s="27"/>
    </row>
    <row r="998">
      <c r="H998" s="310"/>
      <c r="J998" s="27"/>
    </row>
    <row r="999">
      <c r="H999" s="310"/>
      <c r="J999" s="27"/>
    </row>
    <row r="1000">
      <c r="H1000" s="310"/>
      <c r="J1000" s="27"/>
    </row>
  </sheetData>
  <conditionalFormatting sqref="D48:G48">
    <cfRule type="cellIs" dxfId="0" priority="1" operator="lessThan">
      <formula>0</formula>
    </cfRule>
  </conditionalFormatting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9.38"/>
    <col hidden="1" min="4" max="5" width="12.63"/>
    <col customWidth="1" hidden="1" min="6" max="6" width="14.63"/>
    <col customWidth="1" min="7" max="7" width="13.63"/>
    <col customWidth="1" min="11" max="11" width="20.63"/>
    <col customWidth="1" min="12" max="12" width="11.25"/>
    <col customWidth="1" min="13" max="13" width="7.0"/>
    <col customWidth="1" min="14" max="15" width="9.5"/>
  </cols>
  <sheetData>
    <row r="1">
      <c r="A1" s="18" t="s">
        <v>346</v>
      </c>
      <c r="B1" s="199" t="s">
        <v>296</v>
      </c>
      <c r="E1" s="27"/>
      <c r="F1" s="27"/>
      <c r="H1" s="310"/>
      <c r="K1" s="107"/>
    </row>
    <row r="2">
      <c r="B2" s="18" t="s">
        <v>240</v>
      </c>
      <c r="C2" s="249">
        <v>13.0</v>
      </c>
      <c r="E2" s="32"/>
      <c r="F2" s="27"/>
      <c r="H2" s="310"/>
      <c r="K2" s="27"/>
    </row>
    <row r="3">
      <c r="B3" s="18" t="s">
        <v>241</v>
      </c>
      <c r="C3" s="249">
        <v>48.0</v>
      </c>
      <c r="E3" s="32"/>
      <c r="F3" s="27"/>
      <c r="H3" s="310"/>
      <c r="K3" s="27"/>
    </row>
    <row r="4">
      <c r="B4" s="18" t="s">
        <v>242</v>
      </c>
      <c r="C4" s="249">
        <v>13.0</v>
      </c>
      <c r="H4" s="310"/>
      <c r="K4" s="27"/>
      <c r="L4" s="107"/>
      <c r="M4" s="107"/>
      <c r="P4" s="17"/>
    </row>
    <row r="5">
      <c r="B5" s="18" t="s">
        <v>285</v>
      </c>
      <c r="C5" s="249">
        <v>42.0</v>
      </c>
      <c r="E5" s="249"/>
      <c r="F5" s="249"/>
      <c r="H5" s="310"/>
      <c r="K5" s="27"/>
      <c r="L5" s="107"/>
      <c r="M5" s="107"/>
      <c r="P5" s="32"/>
    </row>
    <row r="6">
      <c r="B6" s="18" t="s">
        <v>324</v>
      </c>
      <c r="C6" s="249">
        <v>6.0</v>
      </c>
      <c r="E6" s="249"/>
      <c r="F6" s="249"/>
      <c r="H6" s="310"/>
      <c r="K6" s="301" t="s">
        <v>325</v>
      </c>
      <c r="L6" s="107"/>
      <c r="M6" s="107"/>
      <c r="P6" s="30"/>
    </row>
    <row r="7">
      <c r="C7" s="276">
        <f>SUM(C2:C6)</f>
        <v>122</v>
      </c>
      <c r="E7" s="27"/>
      <c r="F7" s="27"/>
      <c r="H7" s="310"/>
      <c r="K7" s="302" t="s">
        <v>119</v>
      </c>
      <c r="L7" s="302" t="s">
        <v>120</v>
      </c>
      <c r="M7" s="27"/>
    </row>
    <row r="8">
      <c r="E8" s="107"/>
      <c r="F8" s="107"/>
      <c r="H8" s="311"/>
      <c r="K8" s="7" t="s">
        <v>347</v>
      </c>
      <c r="L8" s="7" t="s">
        <v>348</v>
      </c>
      <c r="M8" s="107"/>
    </row>
    <row r="9">
      <c r="B9" s="55" t="s">
        <v>122</v>
      </c>
      <c r="C9" s="56"/>
      <c r="D9" s="254" t="s">
        <v>125</v>
      </c>
      <c r="E9" s="254" t="s">
        <v>126</v>
      </c>
      <c r="F9" s="254" t="s">
        <v>127</v>
      </c>
      <c r="G9" s="254" t="s">
        <v>128</v>
      </c>
      <c r="H9" s="253" t="s">
        <v>129</v>
      </c>
      <c r="I9" s="312" t="s">
        <v>130</v>
      </c>
      <c r="K9" s="7" t="s">
        <v>328</v>
      </c>
      <c r="L9" s="7" t="s">
        <v>349</v>
      </c>
      <c r="M9" s="107"/>
      <c r="O9" s="18"/>
      <c r="P9" s="18"/>
    </row>
    <row r="10">
      <c r="B10" s="59" t="s">
        <v>129</v>
      </c>
      <c r="C10" s="60"/>
      <c r="D10" s="61">
        <v>6625.0</v>
      </c>
      <c r="E10" s="61">
        <v>6675.0</v>
      </c>
      <c r="F10" s="113">
        <v>6675.0</v>
      </c>
      <c r="G10" s="113">
        <v>6675.0</v>
      </c>
      <c r="H10" s="313">
        <v>6675.0</v>
      </c>
      <c r="I10" s="313">
        <v>6675.0</v>
      </c>
      <c r="K10" s="7"/>
      <c r="L10" s="7" t="s">
        <v>192</v>
      </c>
      <c r="M10" s="107"/>
      <c r="O10" s="18"/>
    </row>
    <row r="11">
      <c r="B11" s="59" t="s">
        <v>136</v>
      </c>
      <c r="C11" s="60"/>
      <c r="D11" s="62">
        <f>3191.15+385.96</f>
        <v>3577.11</v>
      </c>
      <c r="E11" s="62">
        <f>1290+98+1831.15+385.96</f>
        <v>3605.11</v>
      </c>
      <c r="F11" s="114">
        <f t="shared" ref="F11:G11" si="1">1290+3711.15+385.96</f>
        <v>5387.11</v>
      </c>
      <c r="G11" s="114">
        <f t="shared" si="1"/>
        <v>5387.11</v>
      </c>
      <c r="H11" s="313">
        <f t="shared" ref="H11:I11" si="2">2040+3303.11-0.3</f>
        <v>5342.81</v>
      </c>
      <c r="I11" s="313">
        <f t="shared" si="2"/>
        <v>5342.81</v>
      </c>
      <c r="K11" s="303"/>
      <c r="L11" s="107"/>
      <c r="M11" s="27"/>
      <c r="O11" s="18"/>
    </row>
    <row r="12">
      <c r="B12" s="59" t="s">
        <v>137</v>
      </c>
      <c r="C12" s="60"/>
      <c r="D12" s="62">
        <v>3100.0</v>
      </c>
      <c r="E12" s="62"/>
      <c r="F12" s="114" t="s">
        <v>330</v>
      </c>
      <c r="G12" s="114"/>
      <c r="H12" s="313"/>
      <c r="I12" s="313"/>
      <c r="K12" s="107"/>
      <c r="L12" s="107"/>
      <c r="M12" s="107"/>
      <c r="O12" s="18"/>
    </row>
    <row r="13">
      <c r="B13" s="59" t="s">
        <v>138</v>
      </c>
      <c r="C13" s="60"/>
      <c r="D13" s="62">
        <v>6215.07</v>
      </c>
      <c r="E13" s="258"/>
      <c r="F13" s="258"/>
      <c r="G13" s="66"/>
      <c r="H13" s="314"/>
      <c r="I13" s="314"/>
      <c r="K13" s="32"/>
      <c r="L13" s="107"/>
      <c r="M13" s="107"/>
      <c r="O13" s="18"/>
    </row>
    <row r="14">
      <c r="B14" s="67" t="s">
        <v>139</v>
      </c>
      <c r="C14" s="68"/>
      <c r="D14" s="69">
        <f t="shared" ref="D14:I14" si="3">SUM(D10:D13)</f>
        <v>19517.18</v>
      </c>
      <c r="E14" s="69">
        <f t="shared" si="3"/>
        <v>10280.11</v>
      </c>
      <c r="F14" s="69">
        <f t="shared" si="3"/>
        <v>12062.11</v>
      </c>
      <c r="G14" s="69">
        <f t="shared" si="3"/>
        <v>12062.11</v>
      </c>
      <c r="H14" s="315">
        <f t="shared" si="3"/>
        <v>12017.81</v>
      </c>
      <c r="I14" s="315">
        <f t="shared" si="3"/>
        <v>12017.81</v>
      </c>
      <c r="K14" s="248"/>
      <c r="L14" s="107"/>
      <c r="M14" s="107"/>
      <c r="O14" s="18"/>
      <c r="R14" s="107"/>
    </row>
    <row r="15">
      <c r="H15" s="311"/>
      <c r="I15" s="311"/>
      <c r="K15" s="32"/>
      <c r="L15" s="107"/>
      <c r="O15" s="18"/>
      <c r="R15" s="27"/>
    </row>
    <row r="16">
      <c r="B16" s="70" t="s">
        <v>140</v>
      </c>
      <c r="C16" s="71"/>
      <c r="D16" s="58" t="s">
        <v>126</v>
      </c>
      <c r="E16" s="58" t="s">
        <v>127</v>
      </c>
      <c r="F16" s="58" t="s">
        <v>128</v>
      </c>
      <c r="G16" s="58" t="s">
        <v>129</v>
      </c>
      <c r="H16" s="316" t="s">
        <v>130</v>
      </c>
      <c r="I16" s="316" t="s">
        <v>131</v>
      </c>
      <c r="K16" s="107"/>
      <c r="L16" s="26"/>
      <c r="M16" s="107"/>
      <c r="O16" s="18"/>
    </row>
    <row r="17">
      <c r="B17" s="72" t="s">
        <v>141</v>
      </c>
      <c r="C17" s="73"/>
      <c r="D17" s="75">
        <v>325.7</v>
      </c>
      <c r="E17" s="75">
        <v>330.0</v>
      </c>
      <c r="F17" s="75">
        <v>355.4</v>
      </c>
      <c r="G17" s="317">
        <f>F17</f>
        <v>355.4</v>
      </c>
      <c r="H17" s="337">
        <v>350.0</v>
      </c>
      <c r="I17" s="317">
        <f t="shared" ref="I17:I19" si="4">H17</f>
        <v>350</v>
      </c>
      <c r="K17" s="107" t="s">
        <v>331</v>
      </c>
      <c r="L17" s="192"/>
      <c r="O17" s="18"/>
    </row>
    <row r="18">
      <c r="B18" s="72" t="s">
        <v>142</v>
      </c>
      <c r="C18" s="73"/>
      <c r="D18" s="75">
        <v>185.9</v>
      </c>
      <c r="E18" s="75">
        <v>170.1</v>
      </c>
      <c r="F18" s="75">
        <v>171.7</v>
      </c>
      <c r="G18" s="75" t="s">
        <v>350</v>
      </c>
      <c r="H18" s="337">
        <v>200.0</v>
      </c>
      <c r="I18" s="317">
        <f t="shared" si="4"/>
        <v>200</v>
      </c>
      <c r="K18" s="192"/>
      <c r="L18" s="26" t="s">
        <v>27</v>
      </c>
      <c r="M18" s="26" t="s">
        <v>274</v>
      </c>
      <c r="N18" s="26" t="s">
        <v>351</v>
      </c>
      <c r="O18" s="26" t="s">
        <v>333</v>
      </c>
    </row>
    <row r="19">
      <c r="B19" s="72" t="s">
        <v>143</v>
      </c>
      <c r="C19" s="73"/>
      <c r="D19" s="75">
        <v>165.0</v>
      </c>
      <c r="E19" s="75">
        <v>164.9</v>
      </c>
      <c r="F19" s="75">
        <v>164.9</v>
      </c>
      <c r="G19" s="75">
        <f>F19</f>
        <v>164.9</v>
      </c>
      <c r="H19" s="337">
        <v>174.88</v>
      </c>
      <c r="I19" s="317">
        <f t="shared" si="4"/>
        <v>174.88</v>
      </c>
      <c r="K19" s="72" t="s">
        <v>141</v>
      </c>
      <c r="L19" s="283"/>
      <c r="N19" s="338"/>
      <c r="O19" s="18"/>
    </row>
    <row r="20">
      <c r="B20" s="72" t="s">
        <v>144</v>
      </c>
      <c r="C20" s="73"/>
      <c r="D20" s="75">
        <v>106.0</v>
      </c>
      <c r="E20" s="75">
        <v>100.0</v>
      </c>
      <c r="F20" s="75">
        <v>100.0</v>
      </c>
      <c r="G20" s="75">
        <v>100.0</v>
      </c>
      <c r="H20" s="337">
        <f t="shared" ref="H20:I20" si="5">G20</f>
        <v>100</v>
      </c>
      <c r="I20" s="317">
        <f t="shared" si="5"/>
        <v>100</v>
      </c>
      <c r="K20" s="72" t="s">
        <v>142</v>
      </c>
      <c r="L20" s="305"/>
      <c r="N20" s="18"/>
      <c r="O20" s="18"/>
      <c r="P20" s="18"/>
    </row>
    <row r="21">
      <c r="B21" s="72" t="s">
        <v>145</v>
      </c>
      <c r="C21" s="73"/>
      <c r="D21" s="75">
        <v>2500.0</v>
      </c>
      <c r="E21" s="75">
        <v>2500.0</v>
      </c>
      <c r="F21" s="75">
        <v>2500.0</v>
      </c>
      <c r="G21" s="75">
        <v>2500.0</v>
      </c>
      <c r="H21" s="317">
        <v>2500.0</v>
      </c>
      <c r="I21" s="317">
        <v>2500.0</v>
      </c>
      <c r="K21" s="72" t="s">
        <v>143</v>
      </c>
      <c r="N21" s="18"/>
      <c r="P21" s="287"/>
    </row>
    <row r="22">
      <c r="B22" s="72" t="s">
        <v>146</v>
      </c>
      <c r="C22" s="77" t="s">
        <v>147</v>
      </c>
      <c r="D22" s="75">
        <v>400.0</v>
      </c>
      <c r="E22" s="75">
        <v>400.0</v>
      </c>
      <c r="F22" s="75">
        <v>400.0</v>
      </c>
      <c r="G22" s="75">
        <f t="shared" ref="G22:I22" si="6">F22</f>
        <v>400</v>
      </c>
      <c r="H22" s="317">
        <f t="shared" si="6"/>
        <v>400</v>
      </c>
      <c r="I22" s="317">
        <f t="shared" si="6"/>
        <v>400</v>
      </c>
      <c r="K22" s="72" t="s">
        <v>144</v>
      </c>
      <c r="L22" s="30"/>
      <c r="N22" s="179">
        <v>100.0</v>
      </c>
    </row>
    <row r="23">
      <c r="B23" s="72" t="s">
        <v>148</v>
      </c>
      <c r="C23" s="73"/>
      <c r="D23" s="75">
        <v>600.0</v>
      </c>
      <c r="E23" s="75">
        <v>650.0</v>
      </c>
      <c r="F23" s="75">
        <v>650.0</v>
      </c>
      <c r="G23" s="75">
        <v>500.0</v>
      </c>
      <c r="H23" s="339">
        <v>500.0</v>
      </c>
      <c r="I23" s="317">
        <v>500.0</v>
      </c>
      <c r="K23" s="72" t="s">
        <v>145</v>
      </c>
      <c r="L23" s="32"/>
      <c r="N23" s="340"/>
      <c r="O23" s="18"/>
    </row>
    <row r="24">
      <c r="B24" s="72" t="s">
        <v>149</v>
      </c>
      <c r="C24" s="73"/>
      <c r="D24" s="75">
        <v>500.0</v>
      </c>
      <c r="E24" s="75">
        <v>500.0</v>
      </c>
      <c r="F24" s="75">
        <v>500.0</v>
      </c>
      <c r="G24" s="75">
        <f t="shared" ref="G24:I24" si="7">F24</f>
        <v>500</v>
      </c>
      <c r="H24" s="339">
        <f t="shared" si="7"/>
        <v>500</v>
      </c>
      <c r="I24" s="317">
        <f t="shared" si="7"/>
        <v>500</v>
      </c>
      <c r="K24" s="72" t="s">
        <v>146</v>
      </c>
      <c r="L24" s="340">
        <v>200.0</v>
      </c>
      <c r="M24" s="325">
        <v>200.0</v>
      </c>
      <c r="N24" s="318"/>
      <c r="O24" s="18"/>
    </row>
    <row r="25">
      <c r="B25" s="72" t="s">
        <v>150</v>
      </c>
      <c r="C25" s="73"/>
      <c r="D25" s="75">
        <v>300.0</v>
      </c>
      <c r="E25" s="75">
        <v>300.0</v>
      </c>
      <c r="F25" s="75">
        <v>300.0</v>
      </c>
      <c r="G25" s="75">
        <f t="shared" ref="G25:I25" si="8">F25</f>
        <v>300</v>
      </c>
      <c r="H25" s="317">
        <f t="shared" si="8"/>
        <v>300</v>
      </c>
      <c r="I25" s="317">
        <f t="shared" si="8"/>
        <v>300</v>
      </c>
      <c r="K25" s="72" t="s">
        <v>148</v>
      </c>
      <c r="L25" s="27"/>
      <c r="M25" s="27"/>
      <c r="N25" s="179">
        <v>500.0</v>
      </c>
      <c r="O25" s="18"/>
    </row>
    <row r="26">
      <c r="B26" s="72" t="s">
        <v>151</v>
      </c>
      <c r="C26" s="73"/>
      <c r="D26" s="75"/>
      <c r="E26" s="75"/>
      <c r="F26" s="75"/>
      <c r="G26" s="75"/>
      <c r="H26" s="317"/>
      <c r="I26" s="317"/>
      <c r="K26" s="72" t="s">
        <v>149</v>
      </c>
      <c r="L26" s="27"/>
      <c r="M26" s="27"/>
      <c r="N26" s="179">
        <v>500.0</v>
      </c>
      <c r="O26" s="18"/>
    </row>
    <row r="27">
      <c r="B27" s="72" t="s">
        <v>152</v>
      </c>
      <c r="C27" s="73"/>
      <c r="D27" s="75">
        <v>200.0</v>
      </c>
      <c r="E27" s="75"/>
      <c r="F27" s="75"/>
      <c r="G27" s="75"/>
      <c r="H27" s="319"/>
      <c r="I27" s="319"/>
      <c r="K27" s="72" t="s">
        <v>150</v>
      </c>
      <c r="L27" s="27"/>
      <c r="M27" s="341">
        <v>300.0</v>
      </c>
    </row>
    <row r="28">
      <c r="B28" s="72" t="s">
        <v>181</v>
      </c>
      <c r="C28" s="73"/>
      <c r="D28" s="75">
        <v>100.0</v>
      </c>
      <c r="E28" s="75">
        <v>150.0</v>
      </c>
      <c r="F28" s="75">
        <v>150.0</v>
      </c>
      <c r="G28" s="75">
        <f t="shared" ref="G28:I28" si="9">F28</f>
        <v>150</v>
      </c>
      <c r="H28" s="339">
        <f t="shared" si="9"/>
        <v>150</v>
      </c>
      <c r="I28" s="317">
        <f t="shared" si="9"/>
        <v>150</v>
      </c>
      <c r="K28" s="72" t="s">
        <v>181</v>
      </c>
      <c r="L28" s="27"/>
      <c r="M28" s="27"/>
      <c r="N28" s="179">
        <v>150.0</v>
      </c>
    </row>
    <row r="29">
      <c r="B29" s="72" t="s">
        <v>296</v>
      </c>
      <c r="C29" s="73"/>
      <c r="D29" s="75">
        <v>116.0</v>
      </c>
      <c r="E29" s="75">
        <v>112.0</v>
      </c>
      <c r="F29" s="75">
        <v>122.0</v>
      </c>
      <c r="G29" s="75">
        <f t="shared" ref="G29:I29" si="10">F29</f>
        <v>122</v>
      </c>
      <c r="H29" s="317">
        <f t="shared" si="10"/>
        <v>122</v>
      </c>
      <c r="I29" s="317">
        <f t="shared" si="10"/>
        <v>122</v>
      </c>
      <c r="K29" s="72" t="s">
        <v>296</v>
      </c>
      <c r="L29" s="340">
        <f>48+13+42+6</f>
        <v>109</v>
      </c>
      <c r="M29" s="107">
        <v>13.0</v>
      </c>
    </row>
    <row r="30">
      <c r="B30" s="72" t="s">
        <v>155</v>
      </c>
      <c r="C30" s="73"/>
      <c r="D30" s="75"/>
      <c r="E30" s="75"/>
      <c r="F30" s="74"/>
      <c r="G30" s="75" t="str">
        <f t="shared" ref="G30:I30" si="11">F30</f>
        <v/>
      </c>
      <c r="H30" s="317" t="str">
        <f t="shared" si="11"/>
        <v/>
      </c>
      <c r="I30" s="317" t="str">
        <f t="shared" si="11"/>
        <v/>
      </c>
      <c r="K30" s="72" t="s">
        <v>156</v>
      </c>
      <c r="L30" s="27"/>
      <c r="M30" s="27"/>
      <c r="N30" s="179"/>
    </row>
    <row r="31">
      <c r="B31" s="72" t="s">
        <v>156</v>
      </c>
      <c r="C31" s="73"/>
      <c r="D31" s="75">
        <v>200.0</v>
      </c>
      <c r="E31" s="75">
        <v>1200.0</v>
      </c>
      <c r="F31" s="75">
        <v>1000.0</v>
      </c>
      <c r="G31" s="317">
        <v>400.0</v>
      </c>
      <c r="H31" s="339">
        <v>200.0</v>
      </c>
      <c r="I31" s="317">
        <v>200.0</v>
      </c>
      <c r="K31" s="272" t="s">
        <v>295</v>
      </c>
      <c r="L31" s="27"/>
      <c r="M31" s="27"/>
      <c r="O31" s="340">
        <v>1800.0</v>
      </c>
    </row>
    <row r="32">
      <c r="B32" s="72" t="s">
        <v>272</v>
      </c>
      <c r="C32" s="73"/>
      <c r="D32" s="74"/>
      <c r="E32" s="74"/>
      <c r="F32" s="74"/>
      <c r="G32" s="75" t="str">
        <f t="shared" ref="G32:I32" si="12">F32</f>
        <v/>
      </c>
      <c r="H32" s="317" t="str">
        <f t="shared" si="12"/>
        <v/>
      </c>
      <c r="I32" s="317" t="str">
        <f t="shared" si="12"/>
        <v/>
      </c>
      <c r="K32" s="72" t="s">
        <v>159</v>
      </c>
      <c r="L32" s="340">
        <v>400.0</v>
      </c>
      <c r="M32" s="325">
        <v>400.0</v>
      </c>
    </row>
    <row r="33">
      <c r="B33" s="272" t="s">
        <v>295</v>
      </c>
      <c r="C33" s="273"/>
      <c r="D33" s="274">
        <v>1500.0</v>
      </c>
      <c r="E33" s="274">
        <v>1500.0</v>
      </c>
      <c r="F33" s="274">
        <v>1500.0</v>
      </c>
      <c r="G33" s="274">
        <f t="shared" ref="G33:G35" si="13">F33</f>
        <v>1500</v>
      </c>
      <c r="H33" s="274">
        <v>1800.0</v>
      </c>
      <c r="I33" s="317">
        <f>H33</f>
        <v>1800</v>
      </c>
      <c r="K33" s="107" t="s">
        <v>334</v>
      </c>
      <c r="L33" s="340">
        <v>1150.0</v>
      </c>
      <c r="M33" s="342">
        <v>1150.0</v>
      </c>
    </row>
    <row r="34">
      <c r="B34" s="72" t="s">
        <v>159</v>
      </c>
      <c r="C34" s="73"/>
      <c r="D34" s="75">
        <v>800.0</v>
      </c>
      <c r="E34" s="75">
        <v>800.0</v>
      </c>
      <c r="F34" s="75">
        <v>800.0</v>
      </c>
      <c r="G34" s="75">
        <f t="shared" si="13"/>
        <v>800</v>
      </c>
      <c r="H34" s="317">
        <f t="shared" ref="H34:I34" si="14">G34</f>
        <v>800</v>
      </c>
      <c r="I34" s="317">
        <f t="shared" si="14"/>
        <v>800</v>
      </c>
      <c r="K34" s="107" t="s">
        <v>335</v>
      </c>
      <c r="M34" s="342">
        <v>520.0</v>
      </c>
    </row>
    <row r="35">
      <c r="B35" s="72" t="s">
        <v>160</v>
      </c>
      <c r="C35" s="73"/>
      <c r="D35" s="75">
        <v>1800.0</v>
      </c>
      <c r="E35" s="75">
        <v>1800.0</v>
      </c>
      <c r="F35" s="75">
        <v>1800.0</v>
      </c>
      <c r="G35" s="75">
        <f t="shared" si="13"/>
        <v>1800</v>
      </c>
      <c r="H35" s="317">
        <f>G35+500</f>
        <v>2300</v>
      </c>
      <c r="I35" s="317">
        <f>H35</f>
        <v>2300</v>
      </c>
      <c r="K35" s="107"/>
    </row>
    <row r="36">
      <c r="B36" s="67" t="s">
        <v>161</v>
      </c>
      <c r="C36" s="68"/>
      <c r="D36" s="78">
        <f t="shared" ref="D36:I36" si="15">SUM(D17:D35)*-1</f>
        <v>-9798.6</v>
      </c>
      <c r="E36" s="78">
        <f t="shared" si="15"/>
        <v>-10677</v>
      </c>
      <c r="F36" s="78">
        <f t="shared" si="15"/>
        <v>-10514</v>
      </c>
      <c r="G36" s="78">
        <f t="shared" si="15"/>
        <v>-9592.3</v>
      </c>
      <c r="H36" s="320">
        <f t="shared" si="15"/>
        <v>-10396.88</v>
      </c>
      <c r="I36" s="320">
        <f t="shared" si="15"/>
        <v>-10396.88</v>
      </c>
      <c r="K36" s="107"/>
      <c r="O36" s="1">
        <f>SUM(O19:O35)</f>
        <v>1800</v>
      </c>
    </row>
    <row r="37">
      <c r="H37" s="311"/>
      <c r="I37" s="311"/>
      <c r="K37" s="7" t="s">
        <v>26</v>
      </c>
      <c r="L37" s="340">
        <f t="shared" ref="L37:N37" si="16">SUM(L19:L36)</f>
        <v>1859</v>
      </c>
      <c r="M37" s="343">
        <f t="shared" si="16"/>
        <v>2583</v>
      </c>
      <c r="N37" s="322">
        <f t="shared" si="16"/>
        <v>1250</v>
      </c>
      <c r="O37" s="324"/>
    </row>
    <row r="38">
      <c r="B38" s="80" t="s">
        <v>162</v>
      </c>
      <c r="C38" s="81"/>
      <c r="D38" s="82">
        <f t="shared" ref="D38:I38" si="17">D14+D36</f>
        <v>9718.58</v>
      </c>
      <c r="E38" s="82">
        <f t="shared" si="17"/>
        <v>-396.89</v>
      </c>
      <c r="F38" s="82">
        <f t="shared" si="17"/>
        <v>1548.11</v>
      </c>
      <c r="G38" s="82">
        <f t="shared" si="17"/>
        <v>2469.81</v>
      </c>
      <c r="H38" s="315">
        <f t="shared" si="17"/>
        <v>1620.93</v>
      </c>
      <c r="I38" s="315">
        <f t="shared" si="17"/>
        <v>1620.93</v>
      </c>
      <c r="K38" s="107"/>
      <c r="L38" s="287"/>
      <c r="M38" s="324"/>
      <c r="N38" s="287"/>
    </row>
    <row r="39">
      <c r="B39" s="83"/>
      <c r="C39" s="83"/>
      <c r="D39" s="84"/>
      <c r="E39" s="84"/>
      <c r="F39" s="84"/>
      <c r="G39" s="84"/>
      <c r="H39" s="311"/>
      <c r="I39" s="311"/>
      <c r="K39" s="325" t="s">
        <v>353</v>
      </c>
    </row>
    <row r="40">
      <c r="B40" s="85" t="s">
        <v>163</v>
      </c>
      <c r="C40" s="86"/>
      <c r="D40" s="57" t="s">
        <v>125</v>
      </c>
      <c r="E40" s="57" t="s">
        <v>126</v>
      </c>
      <c r="F40" s="57" t="s">
        <v>127</v>
      </c>
      <c r="G40" s="294" t="s">
        <v>129</v>
      </c>
      <c r="H40" s="344" t="s">
        <v>130</v>
      </c>
      <c r="I40" s="344" t="s">
        <v>354</v>
      </c>
      <c r="K40" s="27"/>
    </row>
    <row r="41">
      <c r="B41" s="87" t="s">
        <v>164</v>
      </c>
      <c r="C41" s="88">
        <v>2347.0</v>
      </c>
      <c r="D41" s="134">
        <v>498.84</v>
      </c>
      <c r="E41" s="135">
        <v>498.84</v>
      </c>
      <c r="F41" s="134"/>
      <c r="G41" s="295"/>
      <c r="H41" s="327"/>
      <c r="I41" s="327"/>
      <c r="K41" s="27"/>
    </row>
    <row r="42">
      <c r="B42" s="87" t="s">
        <v>165</v>
      </c>
      <c r="C42" s="88">
        <v>7750.82</v>
      </c>
      <c r="D42" s="135">
        <v>385.96</v>
      </c>
      <c r="E42" s="135">
        <v>385.96</v>
      </c>
      <c r="F42" s="135">
        <v>385.96</v>
      </c>
      <c r="G42" s="307">
        <v>385.96</v>
      </c>
      <c r="H42" s="345"/>
      <c r="I42" s="328"/>
      <c r="K42" s="107"/>
    </row>
    <row r="43">
      <c r="B43" s="87" t="s">
        <v>166</v>
      </c>
      <c r="C43" s="88">
        <v>7724.29</v>
      </c>
      <c r="D43" s="135">
        <v>520.0</v>
      </c>
      <c r="E43" s="135">
        <v>518.81</v>
      </c>
      <c r="F43" s="135">
        <v>520.0</v>
      </c>
      <c r="G43" s="135">
        <v>520.0</v>
      </c>
      <c r="H43" s="135">
        <v>520.0</v>
      </c>
      <c r="I43" s="135">
        <v>520.0</v>
      </c>
      <c r="K43" s="107"/>
    </row>
    <row r="44">
      <c r="B44" s="87" t="s">
        <v>280</v>
      </c>
      <c r="C44" s="88">
        <v>6440.26</v>
      </c>
      <c r="D44" s="135">
        <v>730.49</v>
      </c>
      <c r="E44" s="135">
        <v>730.49</v>
      </c>
      <c r="F44" s="135">
        <v>730.49</v>
      </c>
      <c r="G44" s="135">
        <v>730.49</v>
      </c>
      <c r="H44" s="346"/>
      <c r="I44" s="329"/>
      <c r="K44" s="107"/>
    </row>
    <row r="45">
      <c r="A45" s="298">
        <v>45020.0</v>
      </c>
      <c r="B45" s="87" t="s">
        <v>203</v>
      </c>
      <c r="C45" s="88">
        <v>440.0</v>
      </c>
      <c r="D45" s="135">
        <v>440.0</v>
      </c>
      <c r="E45" s="135">
        <v>440.0</v>
      </c>
      <c r="F45" s="135"/>
      <c r="G45" s="297"/>
      <c r="H45" s="327"/>
      <c r="I45" s="327"/>
      <c r="K45" s="107"/>
      <c r="L45" s="107"/>
    </row>
    <row r="46">
      <c r="B46" s="67" t="s">
        <v>167</v>
      </c>
      <c r="C46" s="95">
        <f>SUM(C41:C45)</f>
        <v>24702.37</v>
      </c>
      <c r="D46" s="78">
        <f t="shared" ref="D46:F46" si="18">SUM(D41:D45)*-1</f>
        <v>-2575.29</v>
      </c>
      <c r="E46" s="78">
        <f t="shared" si="18"/>
        <v>-2574.1</v>
      </c>
      <c r="F46" s="78">
        <f t="shared" si="18"/>
        <v>-1636.45</v>
      </c>
      <c r="G46" s="299">
        <f t="shared" ref="G46:I46" si="19">SUM(G41:G44)*-1</f>
        <v>-1636.45</v>
      </c>
      <c r="H46" s="330">
        <f t="shared" si="19"/>
        <v>-520</v>
      </c>
      <c r="I46" s="330">
        <f t="shared" si="19"/>
        <v>-520</v>
      </c>
      <c r="K46" s="107"/>
      <c r="L46" s="107"/>
    </row>
    <row r="47">
      <c r="B47" s="83"/>
      <c r="C47" s="83"/>
      <c r="D47" s="96"/>
      <c r="E47" s="96"/>
      <c r="F47" s="96"/>
      <c r="G47" s="96"/>
      <c r="H47" s="311"/>
      <c r="I47" s="311"/>
      <c r="K47" s="107"/>
      <c r="L47" s="18"/>
    </row>
    <row r="48">
      <c r="B48" s="97" t="s">
        <v>168</v>
      </c>
      <c r="C48" s="98"/>
      <c r="D48" s="99">
        <f t="shared" ref="D48:I48" si="20">D38+D46</f>
        <v>7143.29</v>
      </c>
      <c r="E48" s="99">
        <f t="shared" si="20"/>
        <v>-2970.99</v>
      </c>
      <c r="F48" s="119">
        <f t="shared" si="20"/>
        <v>-88.34</v>
      </c>
      <c r="G48" s="308">
        <f t="shared" si="20"/>
        <v>833.36</v>
      </c>
      <c r="H48" s="331">
        <f t="shared" si="20"/>
        <v>1100.93</v>
      </c>
      <c r="I48" s="331">
        <f t="shared" si="20"/>
        <v>1100.93</v>
      </c>
      <c r="K48" s="107"/>
      <c r="L48" s="18"/>
    </row>
    <row r="49">
      <c r="B49" s="83"/>
      <c r="C49" s="83"/>
      <c r="D49" s="96"/>
      <c r="E49" s="96"/>
      <c r="F49" s="96"/>
      <c r="G49" s="96"/>
      <c r="H49" s="311"/>
      <c r="I49" s="311"/>
      <c r="K49" s="107"/>
      <c r="L49" s="18"/>
    </row>
    <row r="50">
      <c r="B50" s="100" t="s">
        <v>169</v>
      </c>
      <c r="C50" s="101"/>
      <c r="D50" s="57" t="s">
        <v>125</v>
      </c>
      <c r="E50" s="57" t="s">
        <v>126</v>
      </c>
      <c r="F50" s="57" t="s">
        <v>127</v>
      </c>
      <c r="G50" s="57" t="s">
        <v>129</v>
      </c>
      <c r="H50" s="344" t="s">
        <v>130</v>
      </c>
      <c r="I50" s="344" t="s">
        <v>354</v>
      </c>
      <c r="K50" s="107"/>
    </row>
    <row r="51">
      <c r="B51" s="102" t="s">
        <v>170</v>
      </c>
      <c r="C51" s="103"/>
      <c r="D51" s="278">
        <v>2101.91</v>
      </c>
      <c r="E51" s="278">
        <v>331.34</v>
      </c>
      <c r="F51" s="278">
        <v>45.75</v>
      </c>
      <c r="G51" s="105" t="str">
        <f>F52</f>
        <v/>
      </c>
      <c r="H51" s="333"/>
      <c r="I51" s="333">
        <f>H52</f>
        <v>1100.93</v>
      </c>
      <c r="K51" s="107"/>
      <c r="L51" s="18"/>
    </row>
    <row r="52">
      <c r="B52" s="102" t="s">
        <v>171</v>
      </c>
      <c r="C52" s="103"/>
      <c r="D52" s="279">
        <f>D48</f>
        <v>7143.29</v>
      </c>
      <c r="E52" s="279"/>
      <c r="F52" s="279"/>
      <c r="G52" s="279">
        <f t="shared" ref="G52:I52" si="21">+G48</f>
        <v>833.36</v>
      </c>
      <c r="H52" s="334">
        <f t="shared" si="21"/>
        <v>1100.93</v>
      </c>
      <c r="I52" s="334">
        <f t="shared" si="21"/>
        <v>1100.93</v>
      </c>
      <c r="K52" s="107"/>
    </row>
    <row r="53">
      <c r="B53" s="67"/>
      <c r="C53" s="68"/>
      <c r="D53" s="95"/>
      <c r="E53" s="95"/>
      <c r="F53" s="95"/>
      <c r="G53" s="95"/>
      <c r="H53" s="335"/>
      <c r="I53" s="335"/>
      <c r="K53" s="27"/>
    </row>
    <row r="54">
      <c r="B54" s="67"/>
      <c r="C54" s="68"/>
      <c r="D54" s="95"/>
      <c r="E54" s="95"/>
      <c r="F54" s="95"/>
      <c r="G54" s="95"/>
      <c r="H54" s="335"/>
      <c r="I54" s="335"/>
      <c r="K54" s="27"/>
    </row>
    <row r="55">
      <c r="B55" s="67" t="s">
        <v>173</v>
      </c>
      <c r="C55" s="68"/>
      <c r="D55" s="95">
        <f t="shared" ref="D55:I55" si="22">SUM(D51:D52)</f>
        <v>9245.2</v>
      </c>
      <c r="E55" s="95">
        <f t="shared" si="22"/>
        <v>331.34</v>
      </c>
      <c r="F55" s="309">
        <f t="shared" si="22"/>
        <v>45.75</v>
      </c>
      <c r="G55" s="309">
        <f t="shared" si="22"/>
        <v>833.36</v>
      </c>
      <c r="H55" s="336">
        <f t="shared" si="22"/>
        <v>1100.93</v>
      </c>
      <c r="I55" s="336">
        <f t="shared" si="22"/>
        <v>2201.86</v>
      </c>
      <c r="K55" s="27"/>
    </row>
    <row r="56">
      <c r="H56" s="310"/>
      <c r="K56" s="27"/>
    </row>
    <row r="57">
      <c r="H57" s="310"/>
      <c r="K57" s="27"/>
    </row>
    <row r="58">
      <c r="H58" s="310"/>
      <c r="K58" s="27"/>
    </row>
    <row r="59">
      <c r="H59" s="310"/>
      <c r="K59" s="27"/>
    </row>
    <row r="60">
      <c r="H60" s="310"/>
      <c r="K60" s="27"/>
    </row>
    <row r="61">
      <c r="H61" s="310"/>
      <c r="K61" s="27"/>
    </row>
    <row r="62">
      <c r="H62" s="310"/>
      <c r="K62" s="27"/>
    </row>
    <row r="63">
      <c r="H63" s="310"/>
      <c r="K63" s="27"/>
    </row>
    <row r="64">
      <c r="H64" s="310"/>
      <c r="K64" s="27"/>
    </row>
    <row r="65">
      <c r="H65" s="310"/>
      <c r="K65" s="27"/>
    </row>
    <row r="66">
      <c r="H66" s="310"/>
      <c r="K66" s="27"/>
    </row>
    <row r="67">
      <c r="H67" s="310"/>
      <c r="K67" s="27"/>
    </row>
    <row r="68">
      <c r="H68" s="310"/>
      <c r="K68" s="27"/>
    </row>
    <row r="69">
      <c r="H69" s="310"/>
      <c r="K69" s="27"/>
    </row>
    <row r="70">
      <c r="H70" s="310"/>
      <c r="K70" s="27"/>
    </row>
    <row r="71">
      <c r="H71" s="310"/>
      <c r="K71" s="27"/>
    </row>
    <row r="72">
      <c r="H72" s="310"/>
      <c r="K72" s="27"/>
    </row>
    <row r="73">
      <c r="H73" s="310"/>
      <c r="K73" s="27"/>
    </row>
    <row r="74">
      <c r="H74" s="310"/>
      <c r="K74" s="27"/>
    </row>
    <row r="75">
      <c r="H75" s="310"/>
      <c r="K75" s="27"/>
    </row>
    <row r="76">
      <c r="H76" s="310"/>
      <c r="K76" s="27"/>
    </row>
    <row r="77">
      <c r="H77" s="310"/>
      <c r="K77" s="27"/>
    </row>
    <row r="78">
      <c r="H78" s="310"/>
      <c r="K78" s="27"/>
    </row>
    <row r="79">
      <c r="H79" s="310"/>
      <c r="K79" s="27"/>
    </row>
    <row r="80">
      <c r="H80" s="310"/>
      <c r="K80" s="27"/>
    </row>
    <row r="81">
      <c r="H81" s="310"/>
      <c r="K81" s="27"/>
    </row>
    <row r="82">
      <c r="H82" s="310"/>
      <c r="K82" s="27"/>
    </row>
    <row r="83">
      <c r="H83" s="310"/>
      <c r="K83" s="27"/>
    </row>
    <row r="84">
      <c r="H84" s="310"/>
      <c r="K84" s="27"/>
    </row>
    <row r="85">
      <c r="H85" s="310"/>
      <c r="K85" s="27"/>
    </row>
    <row r="86">
      <c r="H86" s="310"/>
      <c r="K86" s="27"/>
    </row>
    <row r="87">
      <c r="H87" s="310"/>
      <c r="K87" s="27"/>
    </row>
    <row r="88">
      <c r="H88" s="310"/>
      <c r="K88" s="27"/>
    </row>
    <row r="89">
      <c r="H89" s="310"/>
      <c r="K89" s="27"/>
    </row>
    <row r="90">
      <c r="H90" s="310"/>
      <c r="K90" s="27"/>
    </row>
    <row r="91">
      <c r="H91" s="310"/>
      <c r="K91" s="27"/>
    </row>
    <row r="92">
      <c r="H92" s="310"/>
      <c r="K92" s="27"/>
    </row>
    <row r="93">
      <c r="H93" s="310"/>
      <c r="K93" s="27"/>
    </row>
    <row r="94">
      <c r="H94" s="310"/>
      <c r="K94" s="27"/>
    </row>
    <row r="95">
      <c r="H95" s="310"/>
      <c r="K95" s="27"/>
    </row>
    <row r="96">
      <c r="H96" s="310"/>
      <c r="K96" s="27"/>
    </row>
    <row r="97">
      <c r="H97" s="310"/>
      <c r="K97" s="27"/>
    </row>
    <row r="98">
      <c r="H98" s="310"/>
      <c r="K98" s="27"/>
    </row>
    <row r="99">
      <c r="H99" s="310"/>
      <c r="K99" s="27"/>
    </row>
    <row r="100">
      <c r="H100" s="310"/>
      <c r="K100" s="27"/>
    </row>
    <row r="101">
      <c r="H101" s="310"/>
      <c r="K101" s="27"/>
    </row>
    <row r="102">
      <c r="H102" s="310"/>
      <c r="K102" s="27"/>
    </row>
    <row r="103">
      <c r="H103" s="310"/>
      <c r="K103" s="27"/>
    </row>
    <row r="104">
      <c r="H104" s="310"/>
      <c r="K104" s="27"/>
    </row>
    <row r="105">
      <c r="H105" s="310"/>
      <c r="K105" s="27"/>
    </row>
    <row r="106">
      <c r="H106" s="310"/>
      <c r="K106" s="27"/>
    </row>
    <row r="107">
      <c r="H107" s="310"/>
      <c r="K107" s="27"/>
    </row>
    <row r="108">
      <c r="H108" s="310"/>
      <c r="K108" s="27"/>
    </row>
    <row r="109">
      <c r="H109" s="310"/>
      <c r="K109" s="27"/>
    </row>
    <row r="110">
      <c r="H110" s="310"/>
      <c r="K110" s="27"/>
    </row>
    <row r="111">
      <c r="H111" s="310"/>
      <c r="K111" s="27"/>
    </row>
    <row r="112">
      <c r="H112" s="310"/>
      <c r="K112" s="27"/>
    </row>
    <row r="113">
      <c r="H113" s="310"/>
      <c r="K113" s="27"/>
    </row>
    <row r="114">
      <c r="H114" s="310"/>
      <c r="K114" s="27"/>
    </row>
    <row r="115">
      <c r="H115" s="310"/>
      <c r="K115" s="27"/>
    </row>
    <row r="116">
      <c r="H116" s="310"/>
      <c r="K116" s="27"/>
    </row>
    <row r="117">
      <c r="H117" s="310"/>
      <c r="K117" s="27"/>
    </row>
    <row r="118">
      <c r="H118" s="310"/>
      <c r="K118" s="27"/>
    </row>
    <row r="119">
      <c r="H119" s="310"/>
      <c r="K119" s="27"/>
    </row>
    <row r="120">
      <c r="H120" s="310"/>
      <c r="K120" s="27"/>
    </row>
    <row r="121">
      <c r="H121" s="310"/>
      <c r="K121" s="27"/>
    </row>
    <row r="122">
      <c r="H122" s="310"/>
      <c r="K122" s="27"/>
    </row>
    <row r="123">
      <c r="H123" s="310"/>
      <c r="K123" s="27"/>
    </row>
    <row r="124">
      <c r="H124" s="310"/>
      <c r="K124" s="27"/>
    </row>
    <row r="125">
      <c r="H125" s="310"/>
      <c r="K125" s="27"/>
    </row>
    <row r="126">
      <c r="H126" s="310"/>
      <c r="K126" s="27"/>
    </row>
    <row r="127">
      <c r="H127" s="310"/>
      <c r="K127" s="27"/>
    </row>
    <row r="128">
      <c r="H128" s="310"/>
      <c r="K128" s="27"/>
    </row>
    <row r="129">
      <c r="H129" s="310"/>
      <c r="K129" s="27"/>
    </row>
    <row r="130">
      <c r="H130" s="310"/>
      <c r="K130" s="27"/>
    </row>
    <row r="131">
      <c r="H131" s="310"/>
      <c r="K131" s="27"/>
    </row>
    <row r="132">
      <c r="H132" s="310"/>
      <c r="K132" s="27"/>
    </row>
    <row r="133">
      <c r="H133" s="310"/>
      <c r="K133" s="27"/>
    </row>
    <row r="134">
      <c r="H134" s="310"/>
      <c r="K134" s="27"/>
    </row>
    <row r="135">
      <c r="H135" s="310"/>
      <c r="K135" s="27"/>
    </row>
    <row r="136">
      <c r="H136" s="310"/>
      <c r="K136" s="27"/>
    </row>
    <row r="137">
      <c r="H137" s="310"/>
      <c r="K137" s="27"/>
    </row>
    <row r="138">
      <c r="H138" s="310"/>
      <c r="K138" s="27"/>
    </row>
    <row r="139">
      <c r="H139" s="310"/>
      <c r="K139" s="27"/>
    </row>
    <row r="140">
      <c r="H140" s="310"/>
      <c r="K140" s="27"/>
    </row>
    <row r="141">
      <c r="H141" s="310"/>
      <c r="K141" s="27"/>
    </row>
    <row r="142">
      <c r="H142" s="310"/>
      <c r="K142" s="27"/>
    </row>
    <row r="143">
      <c r="H143" s="310"/>
      <c r="K143" s="27"/>
    </row>
    <row r="144">
      <c r="H144" s="310"/>
      <c r="K144" s="27"/>
    </row>
    <row r="145">
      <c r="H145" s="310"/>
      <c r="K145" s="27"/>
    </row>
    <row r="146">
      <c r="H146" s="310"/>
      <c r="K146" s="27"/>
    </row>
    <row r="147">
      <c r="H147" s="310"/>
      <c r="K147" s="27"/>
    </row>
    <row r="148">
      <c r="H148" s="310"/>
      <c r="K148" s="27"/>
    </row>
    <row r="149">
      <c r="H149" s="310"/>
      <c r="K149" s="27"/>
    </row>
    <row r="150">
      <c r="H150" s="310"/>
      <c r="K150" s="27"/>
    </row>
    <row r="151">
      <c r="H151" s="310"/>
      <c r="K151" s="27"/>
    </row>
    <row r="152">
      <c r="H152" s="310"/>
      <c r="K152" s="27"/>
    </row>
    <row r="153">
      <c r="H153" s="310"/>
      <c r="K153" s="27"/>
    </row>
    <row r="154">
      <c r="H154" s="310"/>
      <c r="K154" s="27"/>
    </row>
    <row r="155">
      <c r="H155" s="310"/>
      <c r="K155" s="27"/>
    </row>
    <row r="156">
      <c r="H156" s="310"/>
      <c r="K156" s="27"/>
    </row>
    <row r="157">
      <c r="H157" s="310"/>
      <c r="K157" s="27"/>
    </row>
    <row r="158">
      <c r="H158" s="310"/>
      <c r="K158" s="27"/>
    </row>
    <row r="159">
      <c r="H159" s="310"/>
      <c r="K159" s="27"/>
    </row>
    <row r="160">
      <c r="H160" s="310"/>
      <c r="K160" s="27"/>
    </row>
    <row r="161">
      <c r="H161" s="310"/>
      <c r="K161" s="27"/>
    </row>
    <row r="162">
      <c r="H162" s="310"/>
      <c r="K162" s="27"/>
    </row>
    <row r="163">
      <c r="H163" s="310"/>
      <c r="K163" s="27"/>
    </row>
    <row r="164">
      <c r="H164" s="310"/>
      <c r="K164" s="27"/>
    </row>
    <row r="165">
      <c r="H165" s="310"/>
      <c r="K165" s="27"/>
    </row>
    <row r="166">
      <c r="H166" s="310"/>
      <c r="K166" s="27"/>
    </row>
    <row r="167">
      <c r="H167" s="310"/>
      <c r="K167" s="27"/>
    </row>
    <row r="168">
      <c r="H168" s="310"/>
      <c r="K168" s="27"/>
    </row>
    <row r="169">
      <c r="H169" s="310"/>
      <c r="K169" s="27"/>
    </row>
    <row r="170">
      <c r="H170" s="310"/>
      <c r="K170" s="27"/>
    </row>
    <row r="171">
      <c r="H171" s="310"/>
      <c r="K171" s="27"/>
    </row>
    <row r="172">
      <c r="H172" s="310"/>
      <c r="K172" s="27"/>
    </row>
    <row r="173">
      <c r="H173" s="310"/>
      <c r="K173" s="27"/>
    </row>
    <row r="174">
      <c r="H174" s="310"/>
      <c r="K174" s="27"/>
    </row>
    <row r="175">
      <c r="H175" s="310"/>
      <c r="K175" s="27"/>
    </row>
    <row r="176">
      <c r="H176" s="310"/>
      <c r="K176" s="27"/>
    </row>
    <row r="177">
      <c r="H177" s="310"/>
      <c r="K177" s="27"/>
    </row>
    <row r="178">
      <c r="H178" s="310"/>
      <c r="K178" s="27"/>
    </row>
    <row r="179">
      <c r="H179" s="310"/>
      <c r="K179" s="27"/>
    </row>
    <row r="180">
      <c r="H180" s="310"/>
      <c r="K180" s="27"/>
    </row>
    <row r="181">
      <c r="H181" s="310"/>
      <c r="K181" s="27"/>
    </row>
    <row r="182">
      <c r="H182" s="310"/>
      <c r="K182" s="27"/>
    </row>
    <row r="183">
      <c r="H183" s="310"/>
      <c r="K183" s="27"/>
    </row>
    <row r="184">
      <c r="H184" s="310"/>
      <c r="K184" s="27"/>
    </row>
    <row r="185">
      <c r="H185" s="310"/>
      <c r="K185" s="27"/>
    </row>
    <row r="186">
      <c r="H186" s="310"/>
      <c r="K186" s="27"/>
    </row>
    <row r="187">
      <c r="H187" s="310"/>
      <c r="K187" s="27"/>
    </row>
    <row r="188">
      <c r="H188" s="310"/>
      <c r="K188" s="27"/>
    </row>
    <row r="189">
      <c r="H189" s="310"/>
      <c r="K189" s="27"/>
    </row>
    <row r="190">
      <c r="H190" s="310"/>
      <c r="K190" s="27"/>
    </row>
    <row r="191">
      <c r="H191" s="310"/>
      <c r="K191" s="27"/>
    </row>
    <row r="192">
      <c r="H192" s="310"/>
      <c r="K192" s="27"/>
    </row>
    <row r="193">
      <c r="H193" s="310"/>
      <c r="K193" s="27"/>
    </row>
    <row r="194">
      <c r="H194" s="310"/>
      <c r="K194" s="27"/>
    </row>
    <row r="195">
      <c r="H195" s="310"/>
      <c r="K195" s="27"/>
    </row>
    <row r="196">
      <c r="H196" s="310"/>
      <c r="K196" s="27"/>
    </row>
    <row r="197">
      <c r="H197" s="310"/>
      <c r="K197" s="27"/>
    </row>
    <row r="198">
      <c r="H198" s="310"/>
      <c r="K198" s="27"/>
    </row>
    <row r="199">
      <c r="H199" s="310"/>
      <c r="K199" s="27"/>
    </row>
    <row r="200">
      <c r="H200" s="310"/>
      <c r="K200" s="27"/>
    </row>
    <row r="201">
      <c r="H201" s="310"/>
      <c r="K201" s="27"/>
    </row>
    <row r="202">
      <c r="H202" s="310"/>
      <c r="K202" s="27"/>
    </row>
    <row r="203">
      <c r="H203" s="310"/>
      <c r="K203" s="27"/>
    </row>
    <row r="204">
      <c r="H204" s="310"/>
      <c r="K204" s="27"/>
    </row>
    <row r="205">
      <c r="H205" s="310"/>
      <c r="K205" s="27"/>
    </row>
    <row r="206">
      <c r="H206" s="310"/>
      <c r="K206" s="27"/>
    </row>
    <row r="207">
      <c r="H207" s="310"/>
      <c r="K207" s="27"/>
    </row>
    <row r="208">
      <c r="H208" s="310"/>
      <c r="K208" s="27"/>
    </row>
    <row r="209">
      <c r="H209" s="310"/>
      <c r="K209" s="27"/>
    </row>
    <row r="210">
      <c r="H210" s="310"/>
      <c r="K210" s="27"/>
    </row>
    <row r="211">
      <c r="H211" s="310"/>
      <c r="K211" s="27"/>
    </row>
    <row r="212">
      <c r="H212" s="310"/>
      <c r="K212" s="27"/>
    </row>
    <row r="213">
      <c r="H213" s="310"/>
      <c r="K213" s="27"/>
    </row>
    <row r="214">
      <c r="H214" s="310"/>
      <c r="K214" s="27"/>
    </row>
    <row r="215">
      <c r="H215" s="310"/>
      <c r="K215" s="27"/>
    </row>
    <row r="216">
      <c r="H216" s="310"/>
      <c r="K216" s="27"/>
    </row>
    <row r="217">
      <c r="H217" s="310"/>
      <c r="K217" s="27"/>
    </row>
    <row r="218">
      <c r="H218" s="310"/>
      <c r="K218" s="27"/>
    </row>
    <row r="219">
      <c r="H219" s="310"/>
      <c r="K219" s="27"/>
    </row>
    <row r="220">
      <c r="H220" s="310"/>
      <c r="K220" s="27"/>
    </row>
    <row r="221">
      <c r="H221" s="310"/>
      <c r="K221" s="27"/>
    </row>
    <row r="222">
      <c r="H222" s="310"/>
      <c r="K222" s="27"/>
    </row>
    <row r="223">
      <c r="H223" s="310"/>
      <c r="K223" s="27"/>
    </row>
    <row r="224">
      <c r="H224" s="310"/>
      <c r="K224" s="27"/>
    </row>
    <row r="225">
      <c r="H225" s="310"/>
      <c r="K225" s="27"/>
    </row>
    <row r="226">
      <c r="H226" s="310"/>
      <c r="K226" s="27"/>
    </row>
    <row r="227">
      <c r="H227" s="310"/>
      <c r="K227" s="27"/>
    </row>
    <row r="228">
      <c r="H228" s="310"/>
      <c r="K228" s="27"/>
    </row>
    <row r="229">
      <c r="H229" s="310"/>
      <c r="K229" s="27"/>
    </row>
    <row r="230">
      <c r="H230" s="310"/>
      <c r="K230" s="27"/>
    </row>
    <row r="231">
      <c r="H231" s="310"/>
      <c r="K231" s="27"/>
    </row>
    <row r="232">
      <c r="H232" s="310"/>
      <c r="K232" s="27"/>
    </row>
    <row r="233">
      <c r="H233" s="310"/>
      <c r="K233" s="27"/>
    </row>
    <row r="234">
      <c r="H234" s="310"/>
      <c r="K234" s="27"/>
    </row>
    <row r="235">
      <c r="H235" s="310"/>
      <c r="K235" s="27"/>
    </row>
    <row r="236">
      <c r="H236" s="310"/>
      <c r="K236" s="27"/>
    </row>
    <row r="237">
      <c r="H237" s="310"/>
      <c r="K237" s="27"/>
    </row>
    <row r="238">
      <c r="H238" s="310"/>
      <c r="K238" s="27"/>
    </row>
    <row r="239">
      <c r="H239" s="310"/>
      <c r="K239" s="27"/>
    </row>
    <row r="240">
      <c r="H240" s="310"/>
      <c r="K240" s="27"/>
    </row>
    <row r="241">
      <c r="H241" s="310"/>
      <c r="K241" s="27"/>
    </row>
    <row r="242">
      <c r="H242" s="310"/>
      <c r="K242" s="27"/>
    </row>
    <row r="243">
      <c r="H243" s="310"/>
      <c r="K243" s="27"/>
    </row>
    <row r="244">
      <c r="H244" s="310"/>
      <c r="K244" s="27"/>
    </row>
    <row r="245">
      <c r="H245" s="310"/>
      <c r="K245" s="27"/>
    </row>
    <row r="246">
      <c r="H246" s="310"/>
      <c r="K246" s="27"/>
    </row>
    <row r="247">
      <c r="H247" s="310"/>
      <c r="K247" s="27"/>
    </row>
    <row r="248">
      <c r="H248" s="310"/>
      <c r="K248" s="27"/>
    </row>
    <row r="249">
      <c r="H249" s="310"/>
      <c r="K249" s="27"/>
    </row>
    <row r="250">
      <c r="H250" s="310"/>
      <c r="K250" s="27"/>
    </row>
    <row r="251">
      <c r="H251" s="310"/>
      <c r="K251" s="27"/>
    </row>
    <row r="252">
      <c r="H252" s="310"/>
      <c r="K252" s="27"/>
    </row>
    <row r="253">
      <c r="H253" s="310"/>
      <c r="K253" s="27"/>
    </row>
    <row r="254">
      <c r="H254" s="310"/>
      <c r="K254" s="27"/>
    </row>
    <row r="255">
      <c r="H255" s="310"/>
      <c r="K255" s="27"/>
    </row>
    <row r="256">
      <c r="H256" s="310"/>
      <c r="K256" s="27"/>
    </row>
    <row r="257">
      <c r="H257" s="310"/>
      <c r="K257" s="27"/>
    </row>
    <row r="258">
      <c r="H258" s="310"/>
      <c r="K258" s="27"/>
    </row>
    <row r="259">
      <c r="H259" s="310"/>
      <c r="K259" s="27"/>
    </row>
    <row r="260">
      <c r="H260" s="310"/>
      <c r="K260" s="27"/>
    </row>
    <row r="261">
      <c r="H261" s="310"/>
      <c r="K261" s="27"/>
    </row>
    <row r="262">
      <c r="H262" s="310"/>
      <c r="K262" s="27"/>
    </row>
    <row r="263">
      <c r="H263" s="310"/>
      <c r="K263" s="27"/>
    </row>
    <row r="264">
      <c r="H264" s="310"/>
      <c r="K264" s="27"/>
    </row>
    <row r="265">
      <c r="H265" s="310"/>
      <c r="K265" s="27"/>
    </row>
    <row r="266">
      <c r="H266" s="310"/>
      <c r="K266" s="27"/>
    </row>
    <row r="267">
      <c r="H267" s="310"/>
      <c r="K267" s="27"/>
    </row>
    <row r="268">
      <c r="H268" s="310"/>
      <c r="K268" s="27"/>
    </row>
    <row r="269">
      <c r="H269" s="310"/>
      <c r="K269" s="27"/>
    </row>
    <row r="270">
      <c r="H270" s="310"/>
      <c r="K270" s="27"/>
    </row>
    <row r="271">
      <c r="H271" s="310"/>
      <c r="K271" s="27"/>
    </row>
    <row r="272">
      <c r="H272" s="310"/>
      <c r="K272" s="27"/>
    </row>
    <row r="273">
      <c r="H273" s="310"/>
      <c r="K273" s="27"/>
    </row>
    <row r="274">
      <c r="H274" s="310"/>
      <c r="K274" s="27"/>
    </row>
    <row r="275">
      <c r="H275" s="310"/>
      <c r="K275" s="27"/>
    </row>
    <row r="276">
      <c r="H276" s="310"/>
      <c r="K276" s="27"/>
    </row>
    <row r="277">
      <c r="H277" s="310"/>
      <c r="K277" s="27"/>
    </row>
    <row r="278">
      <c r="H278" s="310"/>
      <c r="K278" s="27"/>
    </row>
    <row r="279">
      <c r="H279" s="310"/>
      <c r="K279" s="27"/>
    </row>
    <row r="280">
      <c r="H280" s="310"/>
      <c r="K280" s="27"/>
    </row>
    <row r="281">
      <c r="H281" s="310"/>
      <c r="K281" s="27"/>
    </row>
    <row r="282">
      <c r="H282" s="310"/>
      <c r="K282" s="27"/>
    </row>
    <row r="283">
      <c r="H283" s="310"/>
      <c r="K283" s="27"/>
    </row>
    <row r="284">
      <c r="H284" s="310"/>
      <c r="K284" s="27"/>
    </row>
    <row r="285">
      <c r="H285" s="310"/>
      <c r="K285" s="27"/>
    </row>
    <row r="286">
      <c r="H286" s="310"/>
      <c r="K286" s="27"/>
    </row>
    <row r="287">
      <c r="H287" s="310"/>
      <c r="K287" s="27"/>
    </row>
    <row r="288">
      <c r="H288" s="310"/>
      <c r="K288" s="27"/>
    </row>
    <row r="289">
      <c r="H289" s="310"/>
      <c r="K289" s="27"/>
    </row>
    <row r="290">
      <c r="H290" s="310"/>
      <c r="K290" s="27"/>
    </row>
    <row r="291">
      <c r="H291" s="310"/>
      <c r="K291" s="27"/>
    </row>
    <row r="292">
      <c r="H292" s="310"/>
      <c r="K292" s="27"/>
    </row>
    <row r="293">
      <c r="H293" s="310"/>
      <c r="K293" s="27"/>
    </row>
    <row r="294">
      <c r="H294" s="310"/>
      <c r="K294" s="27"/>
    </row>
    <row r="295">
      <c r="H295" s="310"/>
      <c r="K295" s="27"/>
    </row>
    <row r="296">
      <c r="H296" s="310"/>
      <c r="K296" s="27"/>
    </row>
    <row r="297">
      <c r="H297" s="310"/>
      <c r="K297" s="27"/>
    </row>
    <row r="298">
      <c r="H298" s="310"/>
      <c r="K298" s="27"/>
    </row>
    <row r="299">
      <c r="H299" s="310"/>
      <c r="K299" s="27"/>
    </row>
    <row r="300">
      <c r="H300" s="310"/>
      <c r="K300" s="27"/>
    </row>
    <row r="301">
      <c r="H301" s="310"/>
      <c r="K301" s="27"/>
    </row>
    <row r="302">
      <c r="H302" s="310"/>
      <c r="K302" s="27"/>
    </row>
    <row r="303">
      <c r="H303" s="310"/>
      <c r="K303" s="27"/>
    </row>
    <row r="304">
      <c r="H304" s="310"/>
      <c r="K304" s="27"/>
    </row>
    <row r="305">
      <c r="H305" s="310"/>
      <c r="K305" s="27"/>
    </row>
    <row r="306">
      <c r="H306" s="310"/>
      <c r="K306" s="27"/>
    </row>
    <row r="307">
      <c r="H307" s="310"/>
      <c r="K307" s="27"/>
    </row>
    <row r="308">
      <c r="H308" s="310"/>
      <c r="K308" s="27"/>
    </row>
    <row r="309">
      <c r="H309" s="310"/>
      <c r="K309" s="27"/>
    </row>
    <row r="310">
      <c r="H310" s="310"/>
      <c r="K310" s="27"/>
    </row>
    <row r="311">
      <c r="H311" s="310"/>
      <c r="K311" s="27"/>
    </row>
    <row r="312">
      <c r="H312" s="310"/>
      <c r="K312" s="27"/>
    </row>
    <row r="313">
      <c r="H313" s="310"/>
      <c r="K313" s="27"/>
    </row>
    <row r="314">
      <c r="H314" s="310"/>
      <c r="K314" s="27"/>
    </row>
    <row r="315">
      <c r="H315" s="310"/>
      <c r="K315" s="27"/>
    </row>
    <row r="316">
      <c r="H316" s="310"/>
      <c r="K316" s="27"/>
    </row>
    <row r="317">
      <c r="H317" s="310"/>
      <c r="K317" s="27"/>
    </row>
    <row r="318">
      <c r="H318" s="310"/>
      <c r="K318" s="27"/>
    </row>
    <row r="319">
      <c r="H319" s="310"/>
      <c r="K319" s="27"/>
    </row>
    <row r="320">
      <c r="H320" s="310"/>
      <c r="K320" s="27"/>
    </row>
    <row r="321">
      <c r="H321" s="310"/>
      <c r="K321" s="27"/>
    </row>
    <row r="322">
      <c r="H322" s="310"/>
      <c r="K322" s="27"/>
    </row>
    <row r="323">
      <c r="H323" s="310"/>
      <c r="K323" s="27"/>
    </row>
    <row r="324">
      <c r="H324" s="310"/>
      <c r="K324" s="27"/>
    </row>
    <row r="325">
      <c r="H325" s="310"/>
      <c r="K325" s="27"/>
    </row>
    <row r="326">
      <c r="H326" s="310"/>
      <c r="K326" s="27"/>
    </row>
    <row r="327">
      <c r="H327" s="310"/>
      <c r="K327" s="27"/>
    </row>
    <row r="328">
      <c r="H328" s="310"/>
      <c r="K328" s="27"/>
    </row>
    <row r="329">
      <c r="H329" s="310"/>
      <c r="K329" s="27"/>
    </row>
    <row r="330">
      <c r="H330" s="310"/>
      <c r="K330" s="27"/>
    </row>
    <row r="331">
      <c r="H331" s="310"/>
      <c r="K331" s="27"/>
    </row>
    <row r="332">
      <c r="H332" s="310"/>
      <c r="K332" s="27"/>
    </row>
    <row r="333">
      <c r="H333" s="310"/>
      <c r="K333" s="27"/>
    </row>
    <row r="334">
      <c r="H334" s="310"/>
      <c r="K334" s="27"/>
    </row>
    <row r="335">
      <c r="H335" s="310"/>
      <c r="K335" s="27"/>
    </row>
    <row r="336">
      <c r="H336" s="310"/>
      <c r="K336" s="27"/>
    </row>
    <row r="337">
      <c r="H337" s="310"/>
      <c r="K337" s="27"/>
    </row>
    <row r="338">
      <c r="H338" s="310"/>
      <c r="K338" s="27"/>
    </row>
    <row r="339">
      <c r="H339" s="310"/>
      <c r="K339" s="27"/>
    </row>
    <row r="340">
      <c r="H340" s="310"/>
      <c r="K340" s="27"/>
    </row>
    <row r="341">
      <c r="H341" s="310"/>
      <c r="K341" s="27"/>
    </row>
    <row r="342">
      <c r="H342" s="310"/>
      <c r="K342" s="27"/>
    </row>
    <row r="343">
      <c r="H343" s="310"/>
      <c r="K343" s="27"/>
    </row>
    <row r="344">
      <c r="H344" s="310"/>
      <c r="K344" s="27"/>
    </row>
    <row r="345">
      <c r="H345" s="310"/>
      <c r="K345" s="27"/>
    </row>
    <row r="346">
      <c r="H346" s="310"/>
      <c r="K346" s="27"/>
    </row>
    <row r="347">
      <c r="H347" s="310"/>
      <c r="K347" s="27"/>
    </row>
    <row r="348">
      <c r="H348" s="310"/>
      <c r="K348" s="27"/>
    </row>
    <row r="349">
      <c r="H349" s="310"/>
      <c r="K349" s="27"/>
    </row>
    <row r="350">
      <c r="H350" s="310"/>
      <c r="K350" s="27"/>
    </row>
    <row r="351">
      <c r="H351" s="310"/>
      <c r="K351" s="27"/>
    </row>
    <row r="352">
      <c r="H352" s="310"/>
      <c r="K352" s="27"/>
    </row>
    <row r="353">
      <c r="H353" s="310"/>
      <c r="K353" s="27"/>
    </row>
    <row r="354">
      <c r="H354" s="310"/>
      <c r="K354" s="27"/>
    </row>
    <row r="355">
      <c r="H355" s="310"/>
      <c r="K355" s="27"/>
    </row>
    <row r="356">
      <c r="H356" s="310"/>
      <c r="K356" s="27"/>
    </row>
    <row r="357">
      <c r="H357" s="310"/>
      <c r="K357" s="27"/>
    </row>
    <row r="358">
      <c r="H358" s="310"/>
      <c r="K358" s="27"/>
    </row>
    <row r="359">
      <c r="H359" s="310"/>
      <c r="K359" s="27"/>
    </row>
    <row r="360">
      <c r="H360" s="310"/>
      <c r="K360" s="27"/>
    </row>
    <row r="361">
      <c r="H361" s="310"/>
      <c r="K361" s="27"/>
    </row>
    <row r="362">
      <c r="H362" s="310"/>
      <c r="K362" s="27"/>
    </row>
    <row r="363">
      <c r="H363" s="310"/>
      <c r="K363" s="27"/>
    </row>
    <row r="364">
      <c r="H364" s="310"/>
      <c r="K364" s="27"/>
    </row>
    <row r="365">
      <c r="H365" s="310"/>
      <c r="K365" s="27"/>
    </row>
    <row r="366">
      <c r="H366" s="310"/>
      <c r="K366" s="27"/>
    </row>
    <row r="367">
      <c r="H367" s="310"/>
      <c r="K367" s="27"/>
    </row>
    <row r="368">
      <c r="H368" s="310"/>
      <c r="K368" s="27"/>
    </row>
    <row r="369">
      <c r="H369" s="310"/>
      <c r="K369" s="27"/>
    </row>
    <row r="370">
      <c r="H370" s="310"/>
      <c r="K370" s="27"/>
    </row>
    <row r="371">
      <c r="H371" s="310"/>
      <c r="K371" s="27"/>
    </row>
    <row r="372">
      <c r="H372" s="310"/>
      <c r="K372" s="27"/>
    </row>
    <row r="373">
      <c r="H373" s="310"/>
      <c r="K373" s="27"/>
    </row>
    <row r="374">
      <c r="H374" s="310"/>
      <c r="K374" s="27"/>
    </row>
    <row r="375">
      <c r="H375" s="310"/>
      <c r="K375" s="27"/>
    </row>
    <row r="376">
      <c r="H376" s="310"/>
      <c r="K376" s="27"/>
    </row>
    <row r="377">
      <c r="H377" s="310"/>
      <c r="K377" s="27"/>
    </row>
    <row r="378">
      <c r="H378" s="310"/>
      <c r="K378" s="27"/>
    </row>
    <row r="379">
      <c r="H379" s="310"/>
      <c r="K379" s="27"/>
    </row>
    <row r="380">
      <c r="H380" s="310"/>
      <c r="K380" s="27"/>
    </row>
    <row r="381">
      <c r="H381" s="310"/>
      <c r="K381" s="27"/>
    </row>
    <row r="382">
      <c r="H382" s="310"/>
      <c r="K382" s="27"/>
    </row>
    <row r="383">
      <c r="H383" s="310"/>
      <c r="K383" s="27"/>
    </row>
    <row r="384">
      <c r="H384" s="310"/>
      <c r="K384" s="27"/>
    </row>
    <row r="385">
      <c r="H385" s="310"/>
      <c r="K385" s="27"/>
    </row>
    <row r="386">
      <c r="H386" s="310"/>
      <c r="K386" s="27"/>
    </row>
    <row r="387">
      <c r="H387" s="310"/>
      <c r="K387" s="27"/>
    </row>
    <row r="388">
      <c r="H388" s="310"/>
      <c r="K388" s="27"/>
    </row>
    <row r="389">
      <c r="H389" s="310"/>
      <c r="K389" s="27"/>
    </row>
    <row r="390">
      <c r="H390" s="310"/>
      <c r="K390" s="27"/>
    </row>
    <row r="391">
      <c r="H391" s="310"/>
      <c r="K391" s="27"/>
    </row>
    <row r="392">
      <c r="H392" s="310"/>
      <c r="K392" s="27"/>
    </row>
    <row r="393">
      <c r="H393" s="310"/>
      <c r="K393" s="27"/>
    </row>
    <row r="394">
      <c r="H394" s="310"/>
      <c r="K394" s="27"/>
    </row>
    <row r="395">
      <c r="H395" s="310"/>
      <c r="K395" s="27"/>
    </row>
    <row r="396">
      <c r="H396" s="310"/>
      <c r="K396" s="27"/>
    </row>
    <row r="397">
      <c r="H397" s="310"/>
      <c r="K397" s="27"/>
    </row>
    <row r="398">
      <c r="H398" s="310"/>
      <c r="K398" s="27"/>
    </row>
    <row r="399">
      <c r="H399" s="310"/>
      <c r="K399" s="27"/>
    </row>
    <row r="400">
      <c r="H400" s="310"/>
      <c r="K400" s="27"/>
    </row>
    <row r="401">
      <c r="H401" s="310"/>
      <c r="K401" s="27"/>
    </row>
    <row r="402">
      <c r="H402" s="310"/>
      <c r="K402" s="27"/>
    </row>
    <row r="403">
      <c r="H403" s="310"/>
      <c r="K403" s="27"/>
    </row>
    <row r="404">
      <c r="H404" s="310"/>
      <c r="K404" s="27"/>
    </row>
    <row r="405">
      <c r="H405" s="310"/>
      <c r="K405" s="27"/>
    </row>
    <row r="406">
      <c r="H406" s="310"/>
      <c r="K406" s="27"/>
    </row>
    <row r="407">
      <c r="H407" s="310"/>
      <c r="K407" s="27"/>
    </row>
    <row r="408">
      <c r="H408" s="310"/>
      <c r="K408" s="27"/>
    </row>
    <row r="409">
      <c r="H409" s="310"/>
      <c r="K409" s="27"/>
    </row>
    <row r="410">
      <c r="H410" s="310"/>
      <c r="K410" s="27"/>
    </row>
    <row r="411">
      <c r="H411" s="310"/>
      <c r="K411" s="27"/>
    </row>
    <row r="412">
      <c r="H412" s="310"/>
      <c r="K412" s="27"/>
    </row>
    <row r="413">
      <c r="H413" s="310"/>
      <c r="K413" s="27"/>
    </row>
    <row r="414">
      <c r="H414" s="310"/>
      <c r="K414" s="27"/>
    </row>
    <row r="415">
      <c r="H415" s="310"/>
      <c r="K415" s="27"/>
    </row>
    <row r="416">
      <c r="H416" s="310"/>
      <c r="K416" s="27"/>
    </row>
    <row r="417">
      <c r="H417" s="310"/>
      <c r="K417" s="27"/>
    </row>
    <row r="418">
      <c r="H418" s="310"/>
      <c r="K418" s="27"/>
    </row>
    <row r="419">
      <c r="H419" s="310"/>
      <c r="K419" s="27"/>
    </row>
    <row r="420">
      <c r="H420" s="310"/>
      <c r="K420" s="27"/>
    </row>
    <row r="421">
      <c r="H421" s="310"/>
      <c r="K421" s="27"/>
    </row>
    <row r="422">
      <c r="H422" s="310"/>
      <c r="K422" s="27"/>
    </row>
    <row r="423">
      <c r="H423" s="310"/>
      <c r="K423" s="27"/>
    </row>
    <row r="424">
      <c r="H424" s="310"/>
      <c r="K424" s="27"/>
    </row>
    <row r="425">
      <c r="H425" s="310"/>
      <c r="K425" s="27"/>
    </row>
    <row r="426">
      <c r="H426" s="310"/>
      <c r="K426" s="27"/>
    </row>
    <row r="427">
      <c r="H427" s="310"/>
      <c r="K427" s="27"/>
    </row>
    <row r="428">
      <c r="H428" s="310"/>
      <c r="K428" s="27"/>
    </row>
    <row r="429">
      <c r="H429" s="310"/>
      <c r="K429" s="27"/>
    </row>
    <row r="430">
      <c r="H430" s="310"/>
      <c r="K430" s="27"/>
    </row>
    <row r="431">
      <c r="H431" s="310"/>
      <c r="K431" s="27"/>
    </row>
    <row r="432">
      <c r="H432" s="310"/>
      <c r="K432" s="27"/>
    </row>
    <row r="433">
      <c r="H433" s="310"/>
      <c r="K433" s="27"/>
    </row>
    <row r="434">
      <c r="H434" s="310"/>
      <c r="K434" s="27"/>
    </row>
    <row r="435">
      <c r="H435" s="310"/>
      <c r="K435" s="27"/>
    </row>
    <row r="436">
      <c r="H436" s="310"/>
      <c r="K436" s="27"/>
    </row>
    <row r="437">
      <c r="H437" s="310"/>
      <c r="K437" s="27"/>
    </row>
    <row r="438">
      <c r="H438" s="310"/>
      <c r="K438" s="27"/>
    </row>
    <row r="439">
      <c r="H439" s="310"/>
      <c r="K439" s="27"/>
    </row>
    <row r="440">
      <c r="H440" s="310"/>
      <c r="K440" s="27"/>
    </row>
    <row r="441">
      <c r="H441" s="310"/>
      <c r="K441" s="27"/>
    </row>
    <row r="442">
      <c r="H442" s="310"/>
      <c r="K442" s="27"/>
    </row>
    <row r="443">
      <c r="H443" s="310"/>
      <c r="K443" s="27"/>
    </row>
    <row r="444">
      <c r="H444" s="310"/>
      <c r="K444" s="27"/>
    </row>
    <row r="445">
      <c r="H445" s="310"/>
      <c r="K445" s="27"/>
    </row>
    <row r="446">
      <c r="H446" s="310"/>
      <c r="K446" s="27"/>
    </row>
    <row r="447">
      <c r="H447" s="310"/>
      <c r="K447" s="27"/>
    </row>
    <row r="448">
      <c r="H448" s="310"/>
      <c r="K448" s="27"/>
    </row>
    <row r="449">
      <c r="H449" s="310"/>
      <c r="K449" s="27"/>
    </row>
    <row r="450">
      <c r="H450" s="310"/>
      <c r="K450" s="27"/>
    </row>
    <row r="451">
      <c r="H451" s="310"/>
      <c r="K451" s="27"/>
    </row>
    <row r="452">
      <c r="H452" s="310"/>
      <c r="K452" s="27"/>
    </row>
    <row r="453">
      <c r="H453" s="310"/>
      <c r="K453" s="27"/>
    </row>
    <row r="454">
      <c r="H454" s="310"/>
      <c r="K454" s="27"/>
    </row>
    <row r="455">
      <c r="H455" s="310"/>
      <c r="K455" s="27"/>
    </row>
    <row r="456">
      <c r="H456" s="310"/>
      <c r="K456" s="27"/>
    </row>
    <row r="457">
      <c r="H457" s="310"/>
      <c r="K457" s="27"/>
    </row>
    <row r="458">
      <c r="H458" s="310"/>
      <c r="K458" s="27"/>
    </row>
    <row r="459">
      <c r="H459" s="310"/>
      <c r="K459" s="27"/>
    </row>
    <row r="460">
      <c r="H460" s="310"/>
      <c r="K460" s="27"/>
    </row>
    <row r="461">
      <c r="H461" s="310"/>
      <c r="K461" s="27"/>
    </row>
    <row r="462">
      <c r="H462" s="310"/>
      <c r="K462" s="27"/>
    </row>
    <row r="463">
      <c r="H463" s="310"/>
      <c r="K463" s="27"/>
    </row>
    <row r="464">
      <c r="H464" s="310"/>
      <c r="K464" s="27"/>
    </row>
    <row r="465">
      <c r="H465" s="310"/>
      <c r="K465" s="27"/>
    </row>
    <row r="466">
      <c r="H466" s="310"/>
      <c r="K466" s="27"/>
    </row>
    <row r="467">
      <c r="H467" s="310"/>
      <c r="K467" s="27"/>
    </row>
    <row r="468">
      <c r="H468" s="310"/>
      <c r="K468" s="27"/>
    </row>
    <row r="469">
      <c r="H469" s="310"/>
      <c r="K469" s="27"/>
    </row>
    <row r="470">
      <c r="H470" s="310"/>
      <c r="K470" s="27"/>
    </row>
    <row r="471">
      <c r="H471" s="310"/>
      <c r="K471" s="27"/>
    </row>
    <row r="472">
      <c r="H472" s="310"/>
      <c r="K472" s="27"/>
    </row>
    <row r="473">
      <c r="H473" s="310"/>
      <c r="K473" s="27"/>
    </row>
    <row r="474">
      <c r="H474" s="310"/>
      <c r="K474" s="27"/>
    </row>
    <row r="475">
      <c r="H475" s="310"/>
      <c r="K475" s="27"/>
    </row>
    <row r="476">
      <c r="H476" s="310"/>
      <c r="K476" s="27"/>
    </row>
    <row r="477">
      <c r="H477" s="310"/>
      <c r="K477" s="27"/>
    </row>
    <row r="478">
      <c r="H478" s="310"/>
      <c r="K478" s="27"/>
    </row>
    <row r="479">
      <c r="H479" s="310"/>
      <c r="K479" s="27"/>
    </row>
    <row r="480">
      <c r="H480" s="310"/>
      <c r="K480" s="27"/>
    </row>
    <row r="481">
      <c r="H481" s="310"/>
      <c r="K481" s="27"/>
    </row>
    <row r="482">
      <c r="H482" s="310"/>
      <c r="K482" s="27"/>
    </row>
    <row r="483">
      <c r="H483" s="310"/>
      <c r="K483" s="27"/>
    </row>
    <row r="484">
      <c r="H484" s="310"/>
      <c r="K484" s="27"/>
    </row>
    <row r="485">
      <c r="H485" s="310"/>
      <c r="K485" s="27"/>
    </row>
    <row r="486">
      <c r="H486" s="310"/>
      <c r="K486" s="27"/>
    </row>
    <row r="487">
      <c r="H487" s="310"/>
      <c r="K487" s="27"/>
    </row>
    <row r="488">
      <c r="H488" s="310"/>
      <c r="K488" s="27"/>
    </row>
    <row r="489">
      <c r="H489" s="310"/>
      <c r="K489" s="27"/>
    </row>
    <row r="490">
      <c r="H490" s="310"/>
      <c r="K490" s="27"/>
    </row>
    <row r="491">
      <c r="H491" s="310"/>
      <c r="K491" s="27"/>
    </row>
    <row r="492">
      <c r="H492" s="310"/>
      <c r="K492" s="27"/>
    </row>
    <row r="493">
      <c r="H493" s="310"/>
      <c r="K493" s="27"/>
    </row>
    <row r="494">
      <c r="H494" s="310"/>
      <c r="K494" s="27"/>
    </row>
    <row r="495">
      <c r="H495" s="310"/>
      <c r="K495" s="27"/>
    </row>
    <row r="496">
      <c r="H496" s="310"/>
      <c r="K496" s="27"/>
    </row>
    <row r="497">
      <c r="H497" s="310"/>
      <c r="K497" s="27"/>
    </row>
    <row r="498">
      <c r="H498" s="310"/>
      <c r="K498" s="27"/>
    </row>
    <row r="499">
      <c r="H499" s="310"/>
      <c r="K499" s="27"/>
    </row>
    <row r="500">
      <c r="H500" s="310"/>
      <c r="K500" s="27"/>
    </row>
    <row r="501">
      <c r="H501" s="310"/>
      <c r="K501" s="27"/>
    </row>
    <row r="502">
      <c r="H502" s="310"/>
      <c r="K502" s="27"/>
    </row>
    <row r="503">
      <c r="H503" s="310"/>
      <c r="K503" s="27"/>
    </row>
    <row r="504">
      <c r="H504" s="310"/>
      <c r="K504" s="27"/>
    </row>
    <row r="505">
      <c r="H505" s="310"/>
      <c r="K505" s="27"/>
    </row>
    <row r="506">
      <c r="H506" s="310"/>
      <c r="K506" s="27"/>
    </row>
    <row r="507">
      <c r="H507" s="310"/>
      <c r="K507" s="27"/>
    </row>
    <row r="508">
      <c r="H508" s="310"/>
      <c r="K508" s="27"/>
    </row>
    <row r="509">
      <c r="H509" s="310"/>
      <c r="K509" s="27"/>
    </row>
    <row r="510">
      <c r="H510" s="310"/>
      <c r="K510" s="27"/>
    </row>
    <row r="511">
      <c r="H511" s="310"/>
      <c r="K511" s="27"/>
    </row>
    <row r="512">
      <c r="H512" s="310"/>
      <c r="K512" s="27"/>
    </row>
    <row r="513">
      <c r="H513" s="310"/>
      <c r="K513" s="27"/>
    </row>
    <row r="514">
      <c r="H514" s="310"/>
      <c r="K514" s="27"/>
    </row>
    <row r="515">
      <c r="H515" s="310"/>
      <c r="K515" s="27"/>
    </row>
    <row r="516">
      <c r="H516" s="310"/>
      <c r="K516" s="27"/>
    </row>
    <row r="517">
      <c r="H517" s="310"/>
      <c r="K517" s="27"/>
    </row>
    <row r="518">
      <c r="H518" s="310"/>
      <c r="K518" s="27"/>
    </row>
    <row r="519">
      <c r="H519" s="310"/>
      <c r="K519" s="27"/>
    </row>
    <row r="520">
      <c r="H520" s="310"/>
      <c r="K520" s="27"/>
    </row>
    <row r="521">
      <c r="H521" s="310"/>
      <c r="K521" s="27"/>
    </row>
    <row r="522">
      <c r="H522" s="310"/>
      <c r="K522" s="27"/>
    </row>
    <row r="523">
      <c r="H523" s="310"/>
      <c r="K523" s="27"/>
    </row>
    <row r="524">
      <c r="H524" s="310"/>
      <c r="K524" s="27"/>
    </row>
    <row r="525">
      <c r="H525" s="310"/>
      <c r="K525" s="27"/>
    </row>
    <row r="526">
      <c r="H526" s="310"/>
      <c r="K526" s="27"/>
    </row>
    <row r="527">
      <c r="H527" s="310"/>
      <c r="K527" s="27"/>
    </row>
    <row r="528">
      <c r="H528" s="310"/>
      <c r="K528" s="27"/>
    </row>
    <row r="529">
      <c r="H529" s="310"/>
      <c r="K529" s="27"/>
    </row>
    <row r="530">
      <c r="H530" s="310"/>
      <c r="K530" s="27"/>
    </row>
    <row r="531">
      <c r="H531" s="310"/>
      <c r="K531" s="27"/>
    </row>
    <row r="532">
      <c r="H532" s="310"/>
      <c r="K532" s="27"/>
    </row>
    <row r="533">
      <c r="H533" s="310"/>
      <c r="K533" s="27"/>
    </row>
    <row r="534">
      <c r="H534" s="310"/>
      <c r="K534" s="27"/>
    </row>
    <row r="535">
      <c r="H535" s="310"/>
      <c r="K535" s="27"/>
    </row>
    <row r="536">
      <c r="H536" s="310"/>
      <c r="K536" s="27"/>
    </row>
    <row r="537">
      <c r="H537" s="310"/>
      <c r="K537" s="27"/>
    </row>
    <row r="538">
      <c r="H538" s="310"/>
      <c r="K538" s="27"/>
    </row>
    <row r="539">
      <c r="H539" s="310"/>
      <c r="K539" s="27"/>
    </row>
    <row r="540">
      <c r="H540" s="310"/>
      <c r="K540" s="27"/>
    </row>
    <row r="541">
      <c r="H541" s="310"/>
      <c r="K541" s="27"/>
    </row>
    <row r="542">
      <c r="H542" s="310"/>
      <c r="K542" s="27"/>
    </row>
    <row r="543">
      <c r="H543" s="310"/>
      <c r="K543" s="27"/>
    </row>
    <row r="544">
      <c r="H544" s="310"/>
      <c r="K544" s="27"/>
    </row>
    <row r="545">
      <c r="H545" s="310"/>
      <c r="K545" s="27"/>
    </row>
    <row r="546">
      <c r="H546" s="310"/>
      <c r="K546" s="27"/>
    </row>
    <row r="547">
      <c r="H547" s="310"/>
      <c r="K547" s="27"/>
    </row>
    <row r="548">
      <c r="H548" s="310"/>
      <c r="K548" s="27"/>
    </row>
    <row r="549">
      <c r="H549" s="310"/>
      <c r="K549" s="27"/>
    </row>
    <row r="550">
      <c r="H550" s="310"/>
      <c r="K550" s="27"/>
    </row>
    <row r="551">
      <c r="H551" s="310"/>
      <c r="K551" s="27"/>
    </row>
    <row r="552">
      <c r="H552" s="310"/>
      <c r="K552" s="27"/>
    </row>
    <row r="553">
      <c r="H553" s="310"/>
      <c r="K553" s="27"/>
    </row>
    <row r="554">
      <c r="H554" s="310"/>
      <c r="K554" s="27"/>
    </row>
    <row r="555">
      <c r="H555" s="310"/>
      <c r="K555" s="27"/>
    </row>
    <row r="556">
      <c r="H556" s="310"/>
      <c r="K556" s="27"/>
    </row>
    <row r="557">
      <c r="H557" s="310"/>
      <c r="K557" s="27"/>
    </row>
    <row r="558">
      <c r="H558" s="310"/>
      <c r="K558" s="27"/>
    </row>
    <row r="559">
      <c r="H559" s="310"/>
      <c r="K559" s="27"/>
    </row>
    <row r="560">
      <c r="H560" s="310"/>
      <c r="K560" s="27"/>
    </row>
    <row r="561">
      <c r="H561" s="310"/>
      <c r="K561" s="27"/>
    </row>
    <row r="562">
      <c r="H562" s="310"/>
      <c r="K562" s="27"/>
    </row>
    <row r="563">
      <c r="H563" s="310"/>
      <c r="K563" s="27"/>
    </row>
    <row r="564">
      <c r="H564" s="310"/>
      <c r="K564" s="27"/>
    </row>
    <row r="565">
      <c r="H565" s="310"/>
      <c r="K565" s="27"/>
    </row>
    <row r="566">
      <c r="H566" s="310"/>
      <c r="K566" s="27"/>
    </row>
    <row r="567">
      <c r="H567" s="310"/>
      <c r="K567" s="27"/>
    </row>
    <row r="568">
      <c r="H568" s="310"/>
      <c r="K568" s="27"/>
    </row>
    <row r="569">
      <c r="H569" s="310"/>
      <c r="K569" s="27"/>
    </row>
    <row r="570">
      <c r="H570" s="310"/>
      <c r="K570" s="27"/>
    </row>
    <row r="571">
      <c r="H571" s="310"/>
      <c r="K571" s="27"/>
    </row>
    <row r="572">
      <c r="H572" s="310"/>
      <c r="K572" s="27"/>
    </row>
    <row r="573">
      <c r="H573" s="310"/>
      <c r="K573" s="27"/>
    </row>
    <row r="574">
      <c r="H574" s="310"/>
      <c r="K574" s="27"/>
    </row>
    <row r="575">
      <c r="H575" s="310"/>
      <c r="K575" s="27"/>
    </row>
    <row r="576">
      <c r="H576" s="310"/>
      <c r="K576" s="27"/>
    </row>
    <row r="577">
      <c r="H577" s="310"/>
      <c r="K577" s="27"/>
    </row>
    <row r="578">
      <c r="H578" s="310"/>
      <c r="K578" s="27"/>
    </row>
    <row r="579">
      <c r="H579" s="310"/>
      <c r="K579" s="27"/>
    </row>
    <row r="580">
      <c r="H580" s="310"/>
      <c r="K580" s="27"/>
    </row>
    <row r="581">
      <c r="H581" s="310"/>
      <c r="K581" s="27"/>
    </row>
    <row r="582">
      <c r="H582" s="310"/>
      <c r="K582" s="27"/>
    </row>
    <row r="583">
      <c r="H583" s="310"/>
      <c r="K583" s="27"/>
    </row>
    <row r="584">
      <c r="H584" s="310"/>
      <c r="K584" s="27"/>
    </row>
    <row r="585">
      <c r="H585" s="310"/>
      <c r="K585" s="27"/>
    </row>
    <row r="586">
      <c r="H586" s="310"/>
      <c r="K586" s="27"/>
    </row>
    <row r="587">
      <c r="H587" s="310"/>
      <c r="K587" s="27"/>
    </row>
    <row r="588">
      <c r="H588" s="310"/>
      <c r="K588" s="27"/>
    </row>
    <row r="589">
      <c r="H589" s="310"/>
      <c r="K589" s="27"/>
    </row>
    <row r="590">
      <c r="H590" s="310"/>
      <c r="K590" s="27"/>
    </row>
    <row r="591">
      <c r="H591" s="310"/>
      <c r="K591" s="27"/>
    </row>
    <row r="592">
      <c r="H592" s="310"/>
      <c r="K592" s="27"/>
    </row>
    <row r="593">
      <c r="H593" s="310"/>
      <c r="K593" s="27"/>
    </row>
    <row r="594">
      <c r="H594" s="310"/>
      <c r="K594" s="27"/>
    </row>
    <row r="595">
      <c r="H595" s="310"/>
      <c r="K595" s="27"/>
    </row>
    <row r="596">
      <c r="H596" s="310"/>
      <c r="K596" s="27"/>
    </row>
    <row r="597">
      <c r="H597" s="310"/>
      <c r="K597" s="27"/>
    </row>
    <row r="598">
      <c r="H598" s="310"/>
      <c r="K598" s="27"/>
    </row>
    <row r="599">
      <c r="H599" s="310"/>
      <c r="K599" s="27"/>
    </row>
    <row r="600">
      <c r="H600" s="310"/>
      <c r="K600" s="27"/>
    </row>
    <row r="601">
      <c r="H601" s="310"/>
      <c r="K601" s="27"/>
    </row>
    <row r="602">
      <c r="H602" s="310"/>
      <c r="K602" s="27"/>
    </row>
    <row r="603">
      <c r="H603" s="310"/>
      <c r="K603" s="27"/>
    </row>
    <row r="604">
      <c r="H604" s="310"/>
      <c r="K604" s="27"/>
    </row>
    <row r="605">
      <c r="H605" s="310"/>
      <c r="K605" s="27"/>
    </row>
    <row r="606">
      <c r="H606" s="310"/>
      <c r="K606" s="27"/>
    </row>
    <row r="607">
      <c r="H607" s="310"/>
      <c r="K607" s="27"/>
    </row>
    <row r="608">
      <c r="H608" s="310"/>
      <c r="K608" s="27"/>
    </row>
    <row r="609">
      <c r="H609" s="310"/>
      <c r="K609" s="27"/>
    </row>
    <row r="610">
      <c r="H610" s="310"/>
      <c r="K610" s="27"/>
    </row>
    <row r="611">
      <c r="H611" s="310"/>
      <c r="K611" s="27"/>
    </row>
    <row r="612">
      <c r="H612" s="310"/>
      <c r="K612" s="27"/>
    </row>
    <row r="613">
      <c r="H613" s="310"/>
      <c r="K613" s="27"/>
    </row>
    <row r="614">
      <c r="H614" s="310"/>
      <c r="K614" s="27"/>
    </row>
    <row r="615">
      <c r="H615" s="310"/>
      <c r="K615" s="27"/>
    </row>
    <row r="616">
      <c r="H616" s="310"/>
      <c r="K616" s="27"/>
    </row>
    <row r="617">
      <c r="H617" s="310"/>
      <c r="K617" s="27"/>
    </row>
    <row r="618">
      <c r="H618" s="310"/>
      <c r="K618" s="27"/>
    </row>
    <row r="619">
      <c r="H619" s="310"/>
      <c r="K619" s="27"/>
    </row>
    <row r="620">
      <c r="H620" s="310"/>
      <c r="K620" s="27"/>
    </row>
    <row r="621">
      <c r="H621" s="310"/>
      <c r="K621" s="27"/>
    </row>
    <row r="622">
      <c r="H622" s="310"/>
      <c r="K622" s="27"/>
    </row>
    <row r="623">
      <c r="H623" s="310"/>
      <c r="K623" s="27"/>
    </row>
    <row r="624">
      <c r="H624" s="310"/>
      <c r="K624" s="27"/>
    </row>
    <row r="625">
      <c r="H625" s="310"/>
      <c r="K625" s="27"/>
    </row>
    <row r="626">
      <c r="H626" s="310"/>
      <c r="K626" s="27"/>
    </row>
    <row r="627">
      <c r="H627" s="310"/>
      <c r="K627" s="27"/>
    </row>
    <row r="628">
      <c r="H628" s="310"/>
      <c r="K628" s="27"/>
    </row>
    <row r="629">
      <c r="H629" s="310"/>
      <c r="K629" s="27"/>
    </row>
    <row r="630">
      <c r="H630" s="310"/>
      <c r="K630" s="27"/>
    </row>
    <row r="631">
      <c r="H631" s="310"/>
      <c r="K631" s="27"/>
    </row>
    <row r="632">
      <c r="H632" s="310"/>
      <c r="K632" s="27"/>
    </row>
    <row r="633">
      <c r="H633" s="310"/>
      <c r="K633" s="27"/>
    </row>
    <row r="634">
      <c r="H634" s="310"/>
      <c r="K634" s="27"/>
    </row>
    <row r="635">
      <c r="H635" s="310"/>
      <c r="K635" s="27"/>
    </row>
    <row r="636">
      <c r="H636" s="310"/>
      <c r="K636" s="27"/>
    </row>
    <row r="637">
      <c r="H637" s="310"/>
      <c r="K637" s="27"/>
    </row>
    <row r="638">
      <c r="H638" s="310"/>
      <c r="K638" s="27"/>
    </row>
    <row r="639">
      <c r="H639" s="310"/>
      <c r="K639" s="27"/>
    </row>
    <row r="640">
      <c r="H640" s="310"/>
      <c r="K640" s="27"/>
    </row>
    <row r="641">
      <c r="H641" s="310"/>
      <c r="K641" s="27"/>
    </row>
    <row r="642">
      <c r="H642" s="310"/>
      <c r="K642" s="27"/>
    </row>
    <row r="643">
      <c r="H643" s="310"/>
      <c r="K643" s="27"/>
    </row>
    <row r="644">
      <c r="H644" s="310"/>
      <c r="K644" s="27"/>
    </row>
    <row r="645">
      <c r="H645" s="310"/>
      <c r="K645" s="27"/>
    </row>
    <row r="646">
      <c r="H646" s="310"/>
      <c r="K646" s="27"/>
    </row>
    <row r="647">
      <c r="H647" s="310"/>
      <c r="K647" s="27"/>
    </row>
    <row r="648">
      <c r="H648" s="310"/>
      <c r="K648" s="27"/>
    </row>
    <row r="649">
      <c r="H649" s="310"/>
      <c r="K649" s="27"/>
    </row>
    <row r="650">
      <c r="H650" s="310"/>
      <c r="K650" s="27"/>
    </row>
    <row r="651">
      <c r="H651" s="310"/>
      <c r="K651" s="27"/>
    </row>
    <row r="652">
      <c r="H652" s="310"/>
      <c r="K652" s="27"/>
    </row>
    <row r="653">
      <c r="H653" s="310"/>
      <c r="K653" s="27"/>
    </row>
    <row r="654">
      <c r="H654" s="310"/>
      <c r="K654" s="27"/>
    </row>
    <row r="655">
      <c r="H655" s="310"/>
      <c r="K655" s="27"/>
    </row>
    <row r="656">
      <c r="H656" s="310"/>
      <c r="K656" s="27"/>
    </row>
    <row r="657">
      <c r="H657" s="310"/>
      <c r="K657" s="27"/>
    </row>
    <row r="658">
      <c r="H658" s="310"/>
      <c r="K658" s="27"/>
    </row>
    <row r="659">
      <c r="H659" s="310"/>
      <c r="K659" s="27"/>
    </row>
    <row r="660">
      <c r="H660" s="310"/>
      <c r="K660" s="27"/>
    </row>
    <row r="661">
      <c r="H661" s="310"/>
      <c r="K661" s="27"/>
    </row>
    <row r="662">
      <c r="H662" s="310"/>
      <c r="K662" s="27"/>
    </row>
    <row r="663">
      <c r="H663" s="310"/>
      <c r="K663" s="27"/>
    </row>
    <row r="664">
      <c r="H664" s="310"/>
      <c r="K664" s="27"/>
    </row>
    <row r="665">
      <c r="H665" s="310"/>
      <c r="K665" s="27"/>
    </row>
    <row r="666">
      <c r="H666" s="310"/>
      <c r="K666" s="27"/>
    </row>
    <row r="667">
      <c r="H667" s="310"/>
      <c r="K667" s="27"/>
    </row>
    <row r="668">
      <c r="H668" s="310"/>
      <c r="K668" s="27"/>
    </row>
    <row r="669">
      <c r="H669" s="310"/>
      <c r="K669" s="27"/>
    </row>
    <row r="670">
      <c r="H670" s="310"/>
      <c r="K670" s="27"/>
    </row>
    <row r="671">
      <c r="H671" s="310"/>
      <c r="K671" s="27"/>
    </row>
    <row r="672">
      <c r="H672" s="310"/>
      <c r="K672" s="27"/>
    </row>
    <row r="673">
      <c r="H673" s="310"/>
      <c r="K673" s="27"/>
    </row>
    <row r="674">
      <c r="H674" s="310"/>
      <c r="K674" s="27"/>
    </row>
    <row r="675">
      <c r="H675" s="310"/>
      <c r="K675" s="27"/>
    </row>
    <row r="676">
      <c r="H676" s="310"/>
      <c r="K676" s="27"/>
    </row>
    <row r="677">
      <c r="H677" s="310"/>
      <c r="K677" s="27"/>
    </row>
    <row r="678">
      <c r="H678" s="310"/>
      <c r="K678" s="27"/>
    </row>
    <row r="679">
      <c r="H679" s="310"/>
      <c r="K679" s="27"/>
    </row>
    <row r="680">
      <c r="H680" s="310"/>
      <c r="K680" s="27"/>
    </row>
    <row r="681">
      <c r="H681" s="310"/>
      <c r="K681" s="27"/>
    </row>
    <row r="682">
      <c r="H682" s="310"/>
      <c r="K682" s="27"/>
    </row>
    <row r="683">
      <c r="H683" s="310"/>
      <c r="K683" s="27"/>
    </row>
    <row r="684">
      <c r="H684" s="310"/>
      <c r="K684" s="27"/>
    </row>
    <row r="685">
      <c r="H685" s="310"/>
      <c r="K685" s="27"/>
    </row>
    <row r="686">
      <c r="H686" s="310"/>
      <c r="K686" s="27"/>
    </row>
    <row r="687">
      <c r="H687" s="310"/>
      <c r="K687" s="27"/>
    </row>
    <row r="688">
      <c r="H688" s="310"/>
      <c r="K688" s="27"/>
    </row>
    <row r="689">
      <c r="H689" s="310"/>
      <c r="K689" s="27"/>
    </row>
    <row r="690">
      <c r="H690" s="310"/>
      <c r="K690" s="27"/>
    </row>
    <row r="691">
      <c r="H691" s="310"/>
      <c r="K691" s="27"/>
    </row>
    <row r="692">
      <c r="H692" s="310"/>
      <c r="K692" s="27"/>
    </row>
    <row r="693">
      <c r="H693" s="310"/>
      <c r="K693" s="27"/>
    </row>
    <row r="694">
      <c r="H694" s="310"/>
      <c r="K694" s="27"/>
    </row>
    <row r="695">
      <c r="H695" s="310"/>
      <c r="K695" s="27"/>
    </row>
    <row r="696">
      <c r="H696" s="310"/>
      <c r="K696" s="27"/>
    </row>
    <row r="697">
      <c r="H697" s="310"/>
      <c r="K697" s="27"/>
    </row>
    <row r="698">
      <c r="H698" s="310"/>
      <c r="K698" s="27"/>
    </row>
    <row r="699">
      <c r="H699" s="310"/>
      <c r="K699" s="27"/>
    </row>
    <row r="700">
      <c r="H700" s="310"/>
      <c r="K700" s="27"/>
    </row>
    <row r="701">
      <c r="H701" s="310"/>
      <c r="K701" s="27"/>
    </row>
    <row r="702">
      <c r="H702" s="310"/>
      <c r="K702" s="27"/>
    </row>
    <row r="703">
      <c r="H703" s="310"/>
      <c r="K703" s="27"/>
    </row>
    <row r="704">
      <c r="H704" s="310"/>
      <c r="K704" s="27"/>
    </row>
    <row r="705">
      <c r="H705" s="310"/>
      <c r="K705" s="27"/>
    </row>
    <row r="706">
      <c r="H706" s="310"/>
      <c r="K706" s="27"/>
    </row>
    <row r="707">
      <c r="H707" s="310"/>
      <c r="K707" s="27"/>
    </row>
    <row r="708">
      <c r="H708" s="310"/>
      <c r="K708" s="27"/>
    </row>
    <row r="709">
      <c r="H709" s="310"/>
      <c r="K709" s="27"/>
    </row>
    <row r="710">
      <c r="H710" s="310"/>
      <c r="K710" s="27"/>
    </row>
    <row r="711">
      <c r="H711" s="310"/>
      <c r="K711" s="27"/>
    </row>
    <row r="712">
      <c r="H712" s="310"/>
      <c r="K712" s="27"/>
    </row>
    <row r="713">
      <c r="H713" s="310"/>
      <c r="K713" s="27"/>
    </row>
    <row r="714">
      <c r="H714" s="310"/>
      <c r="K714" s="27"/>
    </row>
    <row r="715">
      <c r="H715" s="310"/>
      <c r="K715" s="27"/>
    </row>
    <row r="716">
      <c r="H716" s="310"/>
      <c r="K716" s="27"/>
    </row>
    <row r="717">
      <c r="H717" s="310"/>
      <c r="K717" s="27"/>
    </row>
    <row r="718">
      <c r="H718" s="310"/>
      <c r="K718" s="27"/>
    </row>
    <row r="719">
      <c r="H719" s="310"/>
      <c r="K719" s="27"/>
    </row>
    <row r="720">
      <c r="H720" s="310"/>
      <c r="K720" s="27"/>
    </row>
    <row r="721">
      <c r="H721" s="310"/>
      <c r="K721" s="27"/>
    </row>
    <row r="722">
      <c r="H722" s="310"/>
      <c r="K722" s="27"/>
    </row>
    <row r="723">
      <c r="H723" s="310"/>
      <c r="K723" s="27"/>
    </row>
    <row r="724">
      <c r="H724" s="310"/>
      <c r="K724" s="27"/>
    </row>
    <row r="725">
      <c r="H725" s="310"/>
      <c r="K725" s="27"/>
    </row>
    <row r="726">
      <c r="H726" s="310"/>
      <c r="K726" s="27"/>
    </row>
    <row r="727">
      <c r="H727" s="310"/>
      <c r="K727" s="27"/>
    </row>
    <row r="728">
      <c r="H728" s="310"/>
      <c r="K728" s="27"/>
    </row>
    <row r="729">
      <c r="H729" s="310"/>
      <c r="K729" s="27"/>
    </row>
    <row r="730">
      <c r="H730" s="310"/>
      <c r="K730" s="27"/>
    </row>
    <row r="731">
      <c r="H731" s="310"/>
      <c r="K731" s="27"/>
    </row>
    <row r="732">
      <c r="H732" s="310"/>
      <c r="K732" s="27"/>
    </row>
    <row r="733">
      <c r="H733" s="310"/>
      <c r="K733" s="27"/>
    </row>
    <row r="734">
      <c r="H734" s="310"/>
      <c r="K734" s="27"/>
    </row>
    <row r="735">
      <c r="H735" s="310"/>
      <c r="K735" s="27"/>
    </row>
    <row r="736">
      <c r="H736" s="310"/>
      <c r="K736" s="27"/>
    </row>
    <row r="737">
      <c r="H737" s="310"/>
      <c r="K737" s="27"/>
    </row>
    <row r="738">
      <c r="H738" s="310"/>
      <c r="K738" s="27"/>
    </row>
    <row r="739">
      <c r="H739" s="310"/>
      <c r="K739" s="27"/>
    </row>
    <row r="740">
      <c r="H740" s="310"/>
      <c r="K740" s="27"/>
    </row>
    <row r="741">
      <c r="H741" s="310"/>
      <c r="K741" s="27"/>
    </row>
    <row r="742">
      <c r="H742" s="310"/>
      <c r="K742" s="27"/>
    </row>
    <row r="743">
      <c r="H743" s="310"/>
      <c r="K743" s="27"/>
    </row>
    <row r="744">
      <c r="H744" s="310"/>
      <c r="K744" s="27"/>
    </row>
    <row r="745">
      <c r="H745" s="310"/>
      <c r="K745" s="27"/>
    </row>
    <row r="746">
      <c r="H746" s="310"/>
      <c r="K746" s="27"/>
    </row>
    <row r="747">
      <c r="H747" s="310"/>
      <c r="K747" s="27"/>
    </row>
    <row r="748">
      <c r="H748" s="310"/>
      <c r="K748" s="27"/>
    </row>
    <row r="749">
      <c r="H749" s="310"/>
      <c r="K749" s="27"/>
    </row>
    <row r="750">
      <c r="H750" s="310"/>
      <c r="K750" s="27"/>
    </row>
    <row r="751">
      <c r="H751" s="310"/>
      <c r="K751" s="27"/>
    </row>
    <row r="752">
      <c r="H752" s="310"/>
      <c r="K752" s="27"/>
    </row>
    <row r="753">
      <c r="H753" s="310"/>
      <c r="K753" s="27"/>
    </row>
    <row r="754">
      <c r="H754" s="310"/>
      <c r="K754" s="27"/>
    </row>
    <row r="755">
      <c r="H755" s="310"/>
      <c r="K755" s="27"/>
    </row>
    <row r="756">
      <c r="H756" s="310"/>
      <c r="K756" s="27"/>
    </row>
    <row r="757">
      <c r="H757" s="310"/>
      <c r="K757" s="27"/>
    </row>
    <row r="758">
      <c r="H758" s="310"/>
      <c r="K758" s="27"/>
    </row>
    <row r="759">
      <c r="H759" s="310"/>
      <c r="K759" s="27"/>
    </row>
    <row r="760">
      <c r="H760" s="310"/>
      <c r="K760" s="27"/>
    </row>
    <row r="761">
      <c r="H761" s="310"/>
      <c r="K761" s="27"/>
    </row>
    <row r="762">
      <c r="H762" s="310"/>
      <c r="K762" s="27"/>
    </row>
    <row r="763">
      <c r="H763" s="310"/>
      <c r="K763" s="27"/>
    </row>
    <row r="764">
      <c r="H764" s="310"/>
      <c r="K764" s="27"/>
    </row>
    <row r="765">
      <c r="H765" s="310"/>
      <c r="K765" s="27"/>
    </row>
    <row r="766">
      <c r="H766" s="310"/>
      <c r="K766" s="27"/>
    </row>
    <row r="767">
      <c r="H767" s="310"/>
      <c r="K767" s="27"/>
    </row>
    <row r="768">
      <c r="H768" s="310"/>
      <c r="K768" s="27"/>
    </row>
    <row r="769">
      <c r="H769" s="310"/>
      <c r="K769" s="27"/>
    </row>
    <row r="770">
      <c r="H770" s="310"/>
      <c r="K770" s="27"/>
    </row>
    <row r="771">
      <c r="H771" s="310"/>
      <c r="K771" s="27"/>
    </row>
    <row r="772">
      <c r="H772" s="310"/>
      <c r="K772" s="27"/>
    </row>
    <row r="773">
      <c r="H773" s="310"/>
      <c r="K773" s="27"/>
    </row>
    <row r="774">
      <c r="H774" s="310"/>
      <c r="K774" s="27"/>
    </row>
    <row r="775">
      <c r="H775" s="310"/>
      <c r="K775" s="27"/>
    </row>
    <row r="776">
      <c r="H776" s="310"/>
      <c r="K776" s="27"/>
    </row>
    <row r="777">
      <c r="H777" s="310"/>
      <c r="K777" s="27"/>
    </row>
    <row r="778">
      <c r="H778" s="310"/>
      <c r="K778" s="27"/>
    </row>
    <row r="779">
      <c r="H779" s="310"/>
      <c r="K779" s="27"/>
    </row>
    <row r="780">
      <c r="H780" s="310"/>
      <c r="K780" s="27"/>
    </row>
    <row r="781">
      <c r="H781" s="310"/>
      <c r="K781" s="27"/>
    </row>
    <row r="782">
      <c r="H782" s="310"/>
      <c r="K782" s="27"/>
    </row>
    <row r="783">
      <c r="H783" s="310"/>
      <c r="K783" s="27"/>
    </row>
    <row r="784">
      <c r="H784" s="310"/>
      <c r="K784" s="27"/>
    </row>
    <row r="785">
      <c r="H785" s="310"/>
      <c r="K785" s="27"/>
    </row>
    <row r="786">
      <c r="H786" s="310"/>
      <c r="K786" s="27"/>
    </row>
    <row r="787">
      <c r="H787" s="310"/>
      <c r="K787" s="27"/>
    </row>
    <row r="788">
      <c r="H788" s="310"/>
      <c r="K788" s="27"/>
    </row>
    <row r="789">
      <c r="H789" s="310"/>
      <c r="K789" s="27"/>
    </row>
    <row r="790">
      <c r="H790" s="310"/>
      <c r="K790" s="27"/>
    </row>
    <row r="791">
      <c r="H791" s="310"/>
      <c r="K791" s="27"/>
    </row>
    <row r="792">
      <c r="H792" s="310"/>
      <c r="K792" s="27"/>
    </row>
    <row r="793">
      <c r="H793" s="310"/>
      <c r="K793" s="27"/>
    </row>
    <row r="794">
      <c r="H794" s="310"/>
      <c r="K794" s="27"/>
    </row>
    <row r="795">
      <c r="H795" s="310"/>
      <c r="K795" s="27"/>
    </row>
    <row r="796">
      <c r="H796" s="310"/>
      <c r="K796" s="27"/>
    </row>
    <row r="797">
      <c r="H797" s="310"/>
      <c r="K797" s="27"/>
    </row>
    <row r="798">
      <c r="H798" s="310"/>
      <c r="K798" s="27"/>
    </row>
    <row r="799">
      <c r="H799" s="310"/>
      <c r="K799" s="27"/>
    </row>
    <row r="800">
      <c r="H800" s="310"/>
      <c r="K800" s="27"/>
    </row>
    <row r="801">
      <c r="H801" s="310"/>
      <c r="K801" s="27"/>
    </row>
    <row r="802">
      <c r="H802" s="310"/>
      <c r="K802" s="27"/>
    </row>
    <row r="803">
      <c r="H803" s="310"/>
      <c r="K803" s="27"/>
    </row>
    <row r="804">
      <c r="H804" s="310"/>
      <c r="K804" s="27"/>
    </row>
    <row r="805">
      <c r="H805" s="310"/>
      <c r="K805" s="27"/>
    </row>
    <row r="806">
      <c r="H806" s="310"/>
      <c r="K806" s="27"/>
    </row>
    <row r="807">
      <c r="H807" s="310"/>
      <c r="K807" s="27"/>
    </row>
    <row r="808">
      <c r="H808" s="310"/>
      <c r="K808" s="27"/>
    </row>
    <row r="809">
      <c r="H809" s="310"/>
      <c r="K809" s="27"/>
    </row>
    <row r="810">
      <c r="H810" s="310"/>
      <c r="K810" s="27"/>
    </row>
    <row r="811">
      <c r="H811" s="310"/>
      <c r="K811" s="27"/>
    </row>
    <row r="812">
      <c r="H812" s="310"/>
      <c r="K812" s="27"/>
    </row>
    <row r="813">
      <c r="H813" s="310"/>
      <c r="K813" s="27"/>
    </row>
    <row r="814">
      <c r="H814" s="310"/>
      <c r="K814" s="27"/>
    </row>
    <row r="815">
      <c r="H815" s="310"/>
      <c r="K815" s="27"/>
    </row>
    <row r="816">
      <c r="H816" s="310"/>
      <c r="K816" s="27"/>
    </row>
    <row r="817">
      <c r="H817" s="310"/>
      <c r="K817" s="27"/>
    </row>
    <row r="818">
      <c r="H818" s="310"/>
      <c r="K818" s="27"/>
    </row>
    <row r="819">
      <c r="H819" s="310"/>
      <c r="K819" s="27"/>
    </row>
    <row r="820">
      <c r="H820" s="310"/>
      <c r="K820" s="27"/>
    </row>
    <row r="821">
      <c r="H821" s="310"/>
      <c r="K821" s="27"/>
    </row>
    <row r="822">
      <c r="H822" s="310"/>
      <c r="K822" s="27"/>
    </row>
    <row r="823">
      <c r="H823" s="310"/>
      <c r="K823" s="27"/>
    </row>
    <row r="824">
      <c r="H824" s="310"/>
      <c r="K824" s="27"/>
    </row>
    <row r="825">
      <c r="H825" s="310"/>
      <c r="K825" s="27"/>
    </row>
    <row r="826">
      <c r="H826" s="310"/>
      <c r="K826" s="27"/>
    </row>
    <row r="827">
      <c r="H827" s="310"/>
      <c r="K827" s="27"/>
    </row>
    <row r="828">
      <c r="H828" s="310"/>
      <c r="K828" s="27"/>
    </row>
    <row r="829">
      <c r="H829" s="310"/>
      <c r="K829" s="27"/>
    </row>
    <row r="830">
      <c r="H830" s="310"/>
      <c r="K830" s="27"/>
    </row>
    <row r="831">
      <c r="H831" s="310"/>
      <c r="K831" s="27"/>
    </row>
    <row r="832">
      <c r="H832" s="310"/>
      <c r="K832" s="27"/>
    </row>
    <row r="833">
      <c r="H833" s="310"/>
      <c r="K833" s="27"/>
    </row>
    <row r="834">
      <c r="H834" s="310"/>
      <c r="K834" s="27"/>
    </row>
    <row r="835">
      <c r="H835" s="310"/>
      <c r="K835" s="27"/>
    </row>
    <row r="836">
      <c r="H836" s="310"/>
      <c r="K836" s="27"/>
    </row>
    <row r="837">
      <c r="H837" s="310"/>
      <c r="K837" s="27"/>
    </row>
    <row r="838">
      <c r="H838" s="310"/>
      <c r="K838" s="27"/>
    </row>
    <row r="839">
      <c r="H839" s="310"/>
      <c r="K839" s="27"/>
    </row>
    <row r="840">
      <c r="H840" s="310"/>
      <c r="K840" s="27"/>
    </row>
    <row r="841">
      <c r="H841" s="310"/>
      <c r="K841" s="27"/>
    </row>
    <row r="842">
      <c r="H842" s="310"/>
      <c r="K842" s="27"/>
    </row>
    <row r="843">
      <c r="H843" s="310"/>
      <c r="K843" s="27"/>
    </row>
    <row r="844">
      <c r="H844" s="310"/>
      <c r="K844" s="27"/>
    </row>
    <row r="845">
      <c r="H845" s="310"/>
      <c r="K845" s="27"/>
    </row>
    <row r="846">
      <c r="H846" s="310"/>
      <c r="K846" s="27"/>
    </row>
    <row r="847">
      <c r="H847" s="310"/>
      <c r="K847" s="27"/>
    </row>
    <row r="848">
      <c r="H848" s="310"/>
      <c r="K848" s="27"/>
    </row>
    <row r="849">
      <c r="H849" s="310"/>
      <c r="K849" s="27"/>
    </row>
    <row r="850">
      <c r="H850" s="310"/>
      <c r="K850" s="27"/>
    </row>
    <row r="851">
      <c r="H851" s="310"/>
      <c r="K851" s="27"/>
    </row>
    <row r="852">
      <c r="H852" s="310"/>
      <c r="K852" s="27"/>
    </row>
    <row r="853">
      <c r="H853" s="310"/>
      <c r="K853" s="27"/>
    </row>
    <row r="854">
      <c r="H854" s="310"/>
      <c r="K854" s="27"/>
    </row>
    <row r="855">
      <c r="H855" s="310"/>
      <c r="K855" s="27"/>
    </row>
    <row r="856">
      <c r="H856" s="310"/>
      <c r="K856" s="27"/>
    </row>
    <row r="857">
      <c r="H857" s="310"/>
      <c r="K857" s="27"/>
    </row>
    <row r="858">
      <c r="H858" s="310"/>
      <c r="K858" s="27"/>
    </row>
    <row r="859">
      <c r="H859" s="310"/>
      <c r="K859" s="27"/>
    </row>
    <row r="860">
      <c r="H860" s="310"/>
      <c r="K860" s="27"/>
    </row>
    <row r="861">
      <c r="H861" s="310"/>
      <c r="K861" s="27"/>
    </row>
    <row r="862">
      <c r="H862" s="310"/>
      <c r="K862" s="27"/>
    </row>
    <row r="863">
      <c r="H863" s="310"/>
      <c r="K863" s="27"/>
    </row>
    <row r="864">
      <c r="H864" s="310"/>
      <c r="K864" s="27"/>
    </row>
    <row r="865">
      <c r="H865" s="310"/>
      <c r="K865" s="27"/>
    </row>
    <row r="866">
      <c r="H866" s="310"/>
      <c r="K866" s="27"/>
    </row>
    <row r="867">
      <c r="H867" s="310"/>
      <c r="K867" s="27"/>
    </row>
    <row r="868">
      <c r="H868" s="310"/>
      <c r="K868" s="27"/>
    </row>
    <row r="869">
      <c r="H869" s="310"/>
      <c r="K869" s="27"/>
    </row>
    <row r="870">
      <c r="H870" s="310"/>
      <c r="K870" s="27"/>
    </row>
    <row r="871">
      <c r="H871" s="310"/>
      <c r="K871" s="27"/>
    </row>
    <row r="872">
      <c r="H872" s="310"/>
      <c r="K872" s="27"/>
    </row>
    <row r="873">
      <c r="H873" s="310"/>
      <c r="K873" s="27"/>
    </row>
    <row r="874">
      <c r="H874" s="310"/>
      <c r="K874" s="27"/>
    </row>
    <row r="875">
      <c r="H875" s="310"/>
      <c r="K875" s="27"/>
    </row>
    <row r="876">
      <c r="H876" s="310"/>
      <c r="K876" s="27"/>
    </row>
    <row r="877">
      <c r="H877" s="310"/>
      <c r="K877" s="27"/>
    </row>
    <row r="878">
      <c r="H878" s="310"/>
      <c r="K878" s="27"/>
    </row>
    <row r="879">
      <c r="H879" s="310"/>
      <c r="K879" s="27"/>
    </row>
    <row r="880">
      <c r="H880" s="310"/>
      <c r="K880" s="27"/>
    </row>
    <row r="881">
      <c r="H881" s="310"/>
      <c r="K881" s="27"/>
    </row>
    <row r="882">
      <c r="H882" s="310"/>
      <c r="K882" s="27"/>
    </row>
    <row r="883">
      <c r="H883" s="310"/>
      <c r="K883" s="27"/>
    </row>
    <row r="884">
      <c r="H884" s="310"/>
      <c r="K884" s="27"/>
    </row>
    <row r="885">
      <c r="H885" s="310"/>
      <c r="K885" s="27"/>
    </row>
    <row r="886">
      <c r="H886" s="310"/>
      <c r="K886" s="27"/>
    </row>
    <row r="887">
      <c r="H887" s="310"/>
      <c r="K887" s="27"/>
    </row>
    <row r="888">
      <c r="H888" s="310"/>
      <c r="K888" s="27"/>
    </row>
    <row r="889">
      <c r="H889" s="310"/>
      <c r="K889" s="27"/>
    </row>
    <row r="890">
      <c r="H890" s="310"/>
      <c r="K890" s="27"/>
    </row>
    <row r="891">
      <c r="H891" s="310"/>
      <c r="K891" s="27"/>
    </row>
    <row r="892">
      <c r="H892" s="310"/>
      <c r="K892" s="27"/>
    </row>
    <row r="893">
      <c r="H893" s="310"/>
      <c r="K893" s="27"/>
    </row>
    <row r="894">
      <c r="H894" s="310"/>
      <c r="K894" s="27"/>
    </row>
    <row r="895">
      <c r="H895" s="310"/>
      <c r="K895" s="27"/>
    </row>
    <row r="896">
      <c r="H896" s="310"/>
      <c r="K896" s="27"/>
    </row>
    <row r="897">
      <c r="H897" s="310"/>
      <c r="K897" s="27"/>
    </row>
    <row r="898">
      <c r="H898" s="310"/>
      <c r="K898" s="27"/>
    </row>
    <row r="899">
      <c r="H899" s="310"/>
      <c r="K899" s="27"/>
    </row>
    <row r="900">
      <c r="H900" s="310"/>
      <c r="K900" s="27"/>
    </row>
    <row r="901">
      <c r="H901" s="310"/>
      <c r="K901" s="27"/>
    </row>
    <row r="902">
      <c r="H902" s="310"/>
      <c r="K902" s="27"/>
    </row>
    <row r="903">
      <c r="H903" s="310"/>
      <c r="K903" s="27"/>
    </row>
    <row r="904">
      <c r="H904" s="310"/>
      <c r="K904" s="27"/>
    </row>
    <row r="905">
      <c r="H905" s="310"/>
      <c r="K905" s="27"/>
    </row>
    <row r="906">
      <c r="H906" s="310"/>
      <c r="K906" s="27"/>
    </row>
    <row r="907">
      <c r="H907" s="310"/>
      <c r="K907" s="27"/>
    </row>
    <row r="908">
      <c r="H908" s="310"/>
      <c r="K908" s="27"/>
    </row>
    <row r="909">
      <c r="H909" s="310"/>
      <c r="K909" s="27"/>
    </row>
    <row r="910">
      <c r="H910" s="310"/>
      <c r="K910" s="27"/>
    </row>
    <row r="911">
      <c r="H911" s="310"/>
      <c r="K911" s="27"/>
    </row>
    <row r="912">
      <c r="H912" s="310"/>
      <c r="K912" s="27"/>
    </row>
    <row r="913">
      <c r="H913" s="310"/>
      <c r="K913" s="27"/>
    </row>
    <row r="914">
      <c r="H914" s="310"/>
      <c r="K914" s="27"/>
    </row>
    <row r="915">
      <c r="H915" s="310"/>
      <c r="K915" s="27"/>
    </row>
    <row r="916">
      <c r="H916" s="310"/>
      <c r="K916" s="27"/>
    </row>
    <row r="917">
      <c r="H917" s="310"/>
      <c r="K917" s="27"/>
    </row>
    <row r="918">
      <c r="H918" s="310"/>
      <c r="K918" s="27"/>
    </row>
    <row r="919">
      <c r="H919" s="310"/>
      <c r="K919" s="27"/>
    </row>
    <row r="920">
      <c r="H920" s="310"/>
      <c r="K920" s="27"/>
    </row>
    <row r="921">
      <c r="H921" s="310"/>
      <c r="K921" s="27"/>
    </row>
    <row r="922">
      <c r="H922" s="310"/>
      <c r="K922" s="27"/>
    </row>
    <row r="923">
      <c r="H923" s="310"/>
      <c r="K923" s="27"/>
    </row>
    <row r="924">
      <c r="H924" s="310"/>
      <c r="K924" s="27"/>
    </row>
    <row r="925">
      <c r="H925" s="310"/>
      <c r="K925" s="27"/>
    </row>
    <row r="926">
      <c r="H926" s="310"/>
      <c r="K926" s="27"/>
    </row>
    <row r="927">
      <c r="H927" s="310"/>
      <c r="K927" s="27"/>
    </row>
    <row r="928">
      <c r="H928" s="310"/>
      <c r="K928" s="27"/>
    </row>
    <row r="929">
      <c r="H929" s="310"/>
      <c r="K929" s="27"/>
    </row>
    <row r="930">
      <c r="H930" s="310"/>
      <c r="K930" s="27"/>
    </row>
    <row r="931">
      <c r="H931" s="310"/>
      <c r="K931" s="27"/>
    </row>
    <row r="932">
      <c r="H932" s="310"/>
      <c r="K932" s="27"/>
    </row>
    <row r="933">
      <c r="H933" s="310"/>
      <c r="K933" s="27"/>
    </row>
    <row r="934">
      <c r="H934" s="310"/>
      <c r="K934" s="27"/>
    </row>
    <row r="935">
      <c r="H935" s="310"/>
      <c r="K935" s="27"/>
    </row>
    <row r="936">
      <c r="H936" s="310"/>
      <c r="K936" s="27"/>
    </row>
    <row r="937">
      <c r="H937" s="310"/>
      <c r="K937" s="27"/>
    </row>
    <row r="938">
      <c r="H938" s="310"/>
      <c r="K938" s="27"/>
    </row>
    <row r="939">
      <c r="H939" s="310"/>
      <c r="K939" s="27"/>
    </row>
    <row r="940">
      <c r="H940" s="310"/>
      <c r="K940" s="27"/>
    </row>
    <row r="941">
      <c r="H941" s="310"/>
      <c r="K941" s="27"/>
    </row>
    <row r="942">
      <c r="H942" s="310"/>
      <c r="K942" s="27"/>
    </row>
    <row r="943">
      <c r="H943" s="310"/>
      <c r="K943" s="27"/>
    </row>
    <row r="944">
      <c r="H944" s="310"/>
      <c r="K944" s="27"/>
    </row>
    <row r="945">
      <c r="H945" s="310"/>
      <c r="K945" s="27"/>
    </row>
    <row r="946">
      <c r="H946" s="310"/>
      <c r="K946" s="27"/>
    </row>
    <row r="947">
      <c r="H947" s="310"/>
      <c r="K947" s="27"/>
    </row>
    <row r="948">
      <c r="H948" s="310"/>
      <c r="K948" s="27"/>
    </row>
    <row r="949">
      <c r="H949" s="310"/>
      <c r="K949" s="27"/>
    </row>
    <row r="950">
      <c r="H950" s="310"/>
      <c r="K950" s="27"/>
    </row>
    <row r="951">
      <c r="H951" s="310"/>
      <c r="K951" s="27"/>
    </row>
    <row r="952">
      <c r="H952" s="310"/>
      <c r="K952" s="27"/>
    </row>
    <row r="953">
      <c r="H953" s="310"/>
      <c r="K953" s="27"/>
    </row>
    <row r="954">
      <c r="H954" s="310"/>
      <c r="K954" s="27"/>
    </row>
    <row r="955">
      <c r="H955" s="310"/>
      <c r="K955" s="27"/>
    </row>
    <row r="956">
      <c r="H956" s="310"/>
      <c r="K956" s="27"/>
    </row>
    <row r="957">
      <c r="H957" s="310"/>
      <c r="K957" s="27"/>
    </row>
    <row r="958">
      <c r="H958" s="310"/>
      <c r="K958" s="27"/>
    </row>
    <row r="959">
      <c r="H959" s="310"/>
      <c r="K959" s="27"/>
    </row>
    <row r="960">
      <c r="H960" s="310"/>
      <c r="K960" s="27"/>
    </row>
    <row r="961">
      <c r="H961" s="310"/>
      <c r="K961" s="27"/>
    </row>
    <row r="962">
      <c r="H962" s="310"/>
      <c r="K962" s="27"/>
    </row>
    <row r="963">
      <c r="H963" s="310"/>
      <c r="K963" s="27"/>
    </row>
    <row r="964">
      <c r="H964" s="310"/>
      <c r="K964" s="27"/>
    </row>
    <row r="965">
      <c r="H965" s="310"/>
      <c r="K965" s="27"/>
    </row>
    <row r="966">
      <c r="H966" s="310"/>
      <c r="K966" s="27"/>
    </row>
    <row r="967">
      <c r="H967" s="310"/>
      <c r="K967" s="27"/>
    </row>
    <row r="968">
      <c r="H968" s="310"/>
      <c r="K968" s="27"/>
    </row>
    <row r="969">
      <c r="H969" s="310"/>
      <c r="K969" s="27"/>
    </row>
    <row r="970">
      <c r="H970" s="310"/>
      <c r="K970" s="27"/>
    </row>
    <row r="971">
      <c r="H971" s="310"/>
      <c r="K971" s="27"/>
    </row>
    <row r="972">
      <c r="H972" s="310"/>
      <c r="K972" s="27"/>
    </row>
    <row r="973">
      <c r="H973" s="310"/>
      <c r="K973" s="27"/>
    </row>
    <row r="974">
      <c r="H974" s="310"/>
      <c r="K974" s="27"/>
    </row>
    <row r="975">
      <c r="H975" s="310"/>
      <c r="K975" s="27"/>
    </row>
    <row r="976">
      <c r="H976" s="310"/>
      <c r="K976" s="27"/>
    </row>
    <row r="977">
      <c r="H977" s="310"/>
      <c r="K977" s="27"/>
    </row>
    <row r="978">
      <c r="H978" s="310"/>
      <c r="K978" s="27"/>
    </row>
    <row r="979">
      <c r="H979" s="310"/>
      <c r="K979" s="27"/>
    </row>
    <row r="980">
      <c r="H980" s="310"/>
      <c r="K980" s="27"/>
    </row>
    <row r="981">
      <c r="H981" s="310"/>
      <c r="K981" s="27"/>
    </row>
    <row r="982">
      <c r="H982" s="310"/>
      <c r="K982" s="27"/>
    </row>
    <row r="983">
      <c r="H983" s="310"/>
      <c r="K983" s="27"/>
    </row>
    <row r="984">
      <c r="H984" s="310"/>
      <c r="K984" s="27"/>
    </row>
    <row r="985">
      <c r="H985" s="310"/>
      <c r="K985" s="27"/>
    </row>
    <row r="986">
      <c r="H986" s="310"/>
      <c r="K986" s="27"/>
    </row>
    <row r="987">
      <c r="H987" s="310"/>
      <c r="K987" s="27"/>
    </row>
    <row r="988">
      <c r="H988" s="310"/>
      <c r="K988" s="27"/>
    </row>
    <row r="989">
      <c r="H989" s="310"/>
      <c r="K989" s="27"/>
    </row>
    <row r="990">
      <c r="H990" s="310"/>
      <c r="K990" s="27"/>
    </row>
    <row r="991">
      <c r="H991" s="310"/>
      <c r="K991" s="27"/>
    </row>
    <row r="992">
      <c r="H992" s="310"/>
      <c r="K992" s="27"/>
    </row>
    <row r="993">
      <c r="H993" s="310"/>
      <c r="K993" s="27"/>
    </row>
    <row r="994">
      <c r="H994" s="310"/>
      <c r="K994" s="27"/>
    </row>
    <row r="995">
      <c r="H995" s="310"/>
      <c r="K995" s="27"/>
    </row>
    <row r="996">
      <c r="H996" s="310"/>
      <c r="K996" s="27"/>
    </row>
    <row r="997">
      <c r="H997" s="310"/>
      <c r="K997" s="27"/>
    </row>
    <row r="998">
      <c r="H998" s="310"/>
      <c r="K998" s="27"/>
    </row>
    <row r="999">
      <c r="H999" s="310"/>
      <c r="K999" s="27"/>
    </row>
    <row r="1000">
      <c r="H1000" s="310"/>
      <c r="K1000" s="27"/>
    </row>
    <row r="1001">
      <c r="H1001" s="310"/>
      <c r="K1001" s="27"/>
    </row>
  </sheetData>
  <conditionalFormatting sqref="D48:G48">
    <cfRule type="cellIs" dxfId="0" priority="1" operator="lessThan">
      <formula>0</formula>
    </cfRule>
  </conditionalFormatting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9.38"/>
    <col hidden="1" min="4" max="5" width="12.63"/>
    <col customWidth="1" hidden="1" min="6" max="6" width="14.63"/>
    <col customWidth="1" min="7" max="7" width="13.63"/>
    <col customWidth="1" min="12" max="12" width="20.63"/>
    <col customWidth="1" min="13" max="13" width="11.25"/>
    <col customWidth="1" min="14" max="14" width="7.0"/>
    <col customWidth="1" min="15" max="16" width="9.5"/>
  </cols>
  <sheetData>
    <row r="1">
      <c r="A1" s="18" t="s">
        <v>346</v>
      </c>
      <c r="B1" s="199" t="s">
        <v>296</v>
      </c>
      <c r="E1" s="27"/>
      <c r="F1" s="27"/>
      <c r="H1" s="310"/>
      <c r="L1" s="107"/>
    </row>
    <row r="2">
      <c r="B2" s="18" t="s">
        <v>240</v>
      </c>
      <c r="C2" s="249">
        <v>13.0</v>
      </c>
      <c r="E2" s="32"/>
      <c r="F2" s="27"/>
      <c r="H2" s="310"/>
      <c r="L2" s="27"/>
    </row>
    <row r="3">
      <c r="B3" s="18" t="s">
        <v>241</v>
      </c>
      <c r="C3" s="249">
        <v>48.0</v>
      </c>
      <c r="E3" s="32"/>
      <c r="F3" s="27"/>
      <c r="H3" s="310"/>
      <c r="L3" s="27"/>
    </row>
    <row r="4">
      <c r="B4" s="18" t="s">
        <v>242</v>
      </c>
      <c r="C4" s="249">
        <v>13.0</v>
      </c>
      <c r="H4" s="310"/>
      <c r="L4" s="27"/>
      <c r="M4" s="107"/>
      <c r="N4" s="107"/>
      <c r="Q4" s="17"/>
    </row>
    <row r="5">
      <c r="B5" s="18" t="s">
        <v>285</v>
      </c>
      <c r="C5" s="249">
        <v>42.0</v>
      </c>
      <c r="E5" s="249"/>
      <c r="F5" s="249"/>
      <c r="H5" s="310"/>
      <c r="L5" s="27"/>
      <c r="M5" s="107"/>
      <c r="N5" s="107"/>
      <c r="Q5" s="32"/>
    </row>
    <row r="6">
      <c r="B6" s="18" t="s">
        <v>324</v>
      </c>
      <c r="C6" s="249">
        <v>6.0</v>
      </c>
      <c r="E6" s="249"/>
      <c r="F6" s="249"/>
      <c r="H6" s="310"/>
      <c r="L6" s="301" t="s">
        <v>325</v>
      </c>
      <c r="M6" s="107"/>
      <c r="N6" s="107"/>
      <c r="Q6" s="30"/>
    </row>
    <row r="7">
      <c r="C7" s="276">
        <f>SUM(C2:C6)</f>
        <v>122</v>
      </c>
      <c r="E7" s="27"/>
      <c r="F7" s="27"/>
      <c r="H7" s="310"/>
      <c r="L7" s="302" t="s">
        <v>119</v>
      </c>
      <c r="M7" s="302" t="s">
        <v>120</v>
      </c>
      <c r="N7" s="27"/>
    </row>
    <row r="8">
      <c r="E8" s="107"/>
      <c r="F8" s="107"/>
      <c r="H8" s="311"/>
      <c r="L8" s="7" t="s">
        <v>347</v>
      </c>
      <c r="M8" s="7" t="s">
        <v>348</v>
      </c>
      <c r="N8" s="107"/>
    </row>
    <row r="9">
      <c r="B9" s="55" t="s">
        <v>122</v>
      </c>
      <c r="C9" s="56"/>
      <c r="D9" s="254" t="s">
        <v>125</v>
      </c>
      <c r="E9" s="254" t="s">
        <v>126</v>
      </c>
      <c r="F9" s="254" t="s">
        <v>127</v>
      </c>
      <c r="G9" s="254" t="s">
        <v>128</v>
      </c>
      <c r="H9" s="254" t="s">
        <v>129</v>
      </c>
      <c r="I9" s="253" t="s">
        <v>130</v>
      </c>
      <c r="J9" s="312" t="s">
        <v>131</v>
      </c>
      <c r="L9" s="7" t="s">
        <v>328</v>
      </c>
      <c r="M9" s="7" t="s">
        <v>349</v>
      </c>
      <c r="N9" s="107"/>
      <c r="P9" s="18"/>
      <c r="Q9" s="18"/>
    </row>
    <row r="10">
      <c r="B10" s="59" t="s">
        <v>129</v>
      </c>
      <c r="C10" s="60"/>
      <c r="D10" s="61">
        <v>6625.0</v>
      </c>
      <c r="E10" s="61">
        <v>6675.0</v>
      </c>
      <c r="F10" s="113">
        <v>6675.0</v>
      </c>
      <c r="G10" s="113">
        <v>6675.0</v>
      </c>
      <c r="H10" s="313">
        <v>6675.0</v>
      </c>
      <c r="I10" s="347">
        <v>8324.69</v>
      </c>
      <c r="J10" s="347">
        <v>8324.69</v>
      </c>
      <c r="L10" s="7"/>
      <c r="M10" s="7" t="s">
        <v>192</v>
      </c>
      <c r="N10" s="107"/>
      <c r="P10" s="18"/>
    </row>
    <row r="11">
      <c r="B11" s="59" t="s">
        <v>136</v>
      </c>
      <c r="C11" s="60"/>
      <c r="D11" s="62">
        <f>3191.15+385.96</f>
        <v>3577.11</v>
      </c>
      <c r="E11" s="62">
        <f>1290+98+1831.15+385.96</f>
        <v>3605.11</v>
      </c>
      <c r="F11" s="114">
        <f t="shared" ref="F11:G11" si="1">1290+3711.15+385.96</f>
        <v>5387.11</v>
      </c>
      <c r="G11" s="114">
        <f t="shared" si="1"/>
        <v>5387.11</v>
      </c>
      <c r="H11" s="313">
        <f>2040+3303.11-0.3</f>
        <v>5342.81</v>
      </c>
      <c r="I11" s="313">
        <f>2040+3367.11</f>
        <v>5407.11</v>
      </c>
      <c r="J11" s="313">
        <f>2040+3303.11-0.3</f>
        <v>5342.81</v>
      </c>
      <c r="L11" s="303"/>
      <c r="M11" s="107"/>
      <c r="N11" s="27"/>
      <c r="P11" s="18"/>
    </row>
    <row r="12">
      <c r="B12" s="59" t="s">
        <v>137</v>
      </c>
      <c r="C12" s="60"/>
      <c r="D12" s="62">
        <v>3100.0</v>
      </c>
      <c r="E12" s="62"/>
      <c r="F12" s="114" t="s">
        <v>330</v>
      </c>
      <c r="G12" s="114"/>
      <c r="H12" s="313"/>
      <c r="I12" s="313"/>
      <c r="J12" s="313"/>
      <c r="L12" s="107"/>
      <c r="M12" s="107"/>
      <c r="N12" s="107"/>
      <c r="P12" s="18"/>
    </row>
    <row r="13">
      <c r="B13" s="59" t="s">
        <v>138</v>
      </c>
      <c r="C13" s="60"/>
      <c r="D13" s="62">
        <v>6215.07</v>
      </c>
      <c r="E13" s="258"/>
      <c r="F13" s="258"/>
      <c r="G13" s="66"/>
      <c r="H13" s="314"/>
      <c r="I13" s="314"/>
      <c r="J13" s="348"/>
      <c r="L13" s="32"/>
      <c r="M13" s="107"/>
      <c r="N13" s="107"/>
      <c r="P13" s="18"/>
    </row>
    <row r="14">
      <c r="B14" s="67" t="s">
        <v>139</v>
      </c>
      <c r="C14" s="68"/>
      <c r="D14" s="69">
        <f t="shared" ref="D14:J14" si="2">SUM(D10:D13)</f>
        <v>19517.18</v>
      </c>
      <c r="E14" s="69">
        <f t="shared" si="2"/>
        <v>10280.11</v>
      </c>
      <c r="F14" s="69">
        <f t="shared" si="2"/>
        <v>12062.11</v>
      </c>
      <c r="G14" s="69">
        <f t="shared" si="2"/>
        <v>12062.11</v>
      </c>
      <c r="H14" s="315">
        <f t="shared" si="2"/>
        <v>12017.81</v>
      </c>
      <c r="I14" s="315">
        <f t="shared" si="2"/>
        <v>13731.8</v>
      </c>
      <c r="J14" s="315">
        <f t="shared" si="2"/>
        <v>13667.5</v>
      </c>
      <c r="L14" s="248"/>
      <c r="M14" s="107"/>
      <c r="N14" s="107"/>
      <c r="P14" s="18"/>
      <c r="S14" s="107"/>
    </row>
    <row r="15">
      <c r="H15" s="311"/>
      <c r="I15" s="311"/>
      <c r="J15" s="311"/>
      <c r="L15" s="32"/>
      <c r="M15" s="107"/>
      <c r="P15" s="18"/>
      <c r="S15" s="27"/>
    </row>
    <row r="16">
      <c r="B16" s="70" t="s">
        <v>140</v>
      </c>
      <c r="C16" s="71"/>
      <c r="D16" s="58" t="s">
        <v>126</v>
      </c>
      <c r="E16" s="58" t="s">
        <v>127</v>
      </c>
      <c r="F16" s="58" t="s">
        <v>128</v>
      </c>
      <c r="G16" s="58" t="s">
        <v>129</v>
      </c>
      <c r="H16" s="316" t="s">
        <v>130</v>
      </c>
      <c r="I16" s="316" t="s">
        <v>131</v>
      </c>
      <c r="J16" s="316" t="s">
        <v>132</v>
      </c>
      <c r="L16" s="107"/>
      <c r="M16" s="26"/>
      <c r="N16" s="107"/>
      <c r="P16" s="18"/>
    </row>
    <row r="17">
      <c r="B17" s="72" t="s">
        <v>141</v>
      </c>
      <c r="C17" s="73"/>
      <c r="D17" s="75">
        <v>325.7</v>
      </c>
      <c r="E17" s="75">
        <v>330.0</v>
      </c>
      <c r="F17" s="75">
        <v>355.4</v>
      </c>
      <c r="G17" s="317">
        <f>F17</f>
        <v>355.4</v>
      </c>
      <c r="H17" s="317">
        <v>350.0</v>
      </c>
      <c r="I17" s="349">
        <v>326.7</v>
      </c>
      <c r="J17" s="349">
        <v>350.0</v>
      </c>
      <c r="L17" s="107" t="s">
        <v>331</v>
      </c>
      <c r="M17" s="192"/>
      <c r="P17" s="18"/>
    </row>
    <row r="18">
      <c r="B18" s="72" t="s">
        <v>142</v>
      </c>
      <c r="C18" s="73"/>
      <c r="D18" s="75">
        <v>185.9</v>
      </c>
      <c r="E18" s="75">
        <v>170.1</v>
      </c>
      <c r="F18" s="75">
        <v>171.7</v>
      </c>
      <c r="G18" s="75" t="s">
        <v>350</v>
      </c>
      <c r="H18" s="317">
        <v>200.0</v>
      </c>
      <c r="I18" s="349">
        <v>153.8</v>
      </c>
      <c r="J18" s="349">
        <v>200.0</v>
      </c>
      <c r="L18" s="192"/>
      <c r="M18" s="26" t="s">
        <v>27</v>
      </c>
      <c r="N18" s="26" t="s">
        <v>274</v>
      </c>
      <c r="O18" s="26" t="s">
        <v>351</v>
      </c>
      <c r="P18" s="26" t="s">
        <v>333</v>
      </c>
    </row>
    <row r="19">
      <c r="B19" s="72" t="s">
        <v>143</v>
      </c>
      <c r="C19" s="73"/>
      <c r="D19" s="75">
        <v>165.0</v>
      </c>
      <c r="E19" s="75">
        <v>164.9</v>
      </c>
      <c r="F19" s="75">
        <v>164.9</v>
      </c>
      <c r="G19" s="75">
        <f>F19</f>
        <v>164.9</v>
      </c>
      <c r="H19" s="317">
        <v>174.88</v>
      </c>
      <c r="I19" s="349">
        <f t="shared" ref="I19:J19" si="3">H19</f>
        <v>174.88</v>
      </c>
      <c r="J19" s="317">
        <f t="shared" si="3"/>
        <v>174.88</v>
      </c>
      <c r="L19" s="72" t="s">
        <v>141</v>
      </c>
      <c r="M19" s="350"/>
      <c r="N19" s="246"/>
      <c r="O19" s="351">
        <v>350.0</v>
      </c>
      <c r="P19" s="246"/>
    </row>
    <row r="20">
      <c r="B20" s="72" t="s">
        <v>144</v>
      </c>
      <c r="C20" s="73"/>
      <c r="D20" s="75">
        <v>106.0</v>
      </c>
      <c r="E20" s="75">
        <v>100.0</v>
      </c>
      <c r="F20" s="75">
        <v>100.0</v>
      </c>
      <c r="G20" s="75">
        <v>100.0</v>
      </c>
      <c r="H20" s="317">
        <f t="shared" ref="H20:J20" si="4">G20</f>
        <v>100</v>
      </c>
      <c r="I20" s="339">
        <f t="shared" si="4"/>
        <v>100</v>
      </c>
      <c r="J20" s="317">
        <f t="shared" si="4"/>
        <v>100</v>
      </c>
      <c r="L20" s="72" t="s">
        <v>142</v>
      </c>
      <c r="M20" s="352"/>
      <c r="N20" s="246"/>
      <c r="O20" s="271">
        <v>200.0</v>
      </c>
      <c r="P20" s="246"/>
      <c r="Q20" s="18"/>
    </row>
    <row r="21">
      <c r="B21" s="72" t="s">
        <v>145</v>
      </c>
      <c r="C21" s="73"/>
      <c r="D21" s="75">
        <v>2500.0</v>
      </c>
      <c r="E21" s="75">
        <v>2500.0</v>
      </c>
      <c r="F21" s="75">
        <v>2500.0</v>
      </c>
      <c r="G21" s="75">
        <v>2500.0</v>
      </c>
      <c r="H21" s="317">
        <v>2500.0</v>
      </c>
      <c r="I21" s="349">
        <v>2500.0</v>
      </c>
      <c r="J21" s="317">
        <v>2500.0</v>
      </c>
      <c r="L21" s="72" t="s">
        <v>143</v>
      </c>
      <c r="M21" s="246"/>
      <c r="N21" s="246"/>
      <c r="O21" s="275">
        <v>174.88</v>
      </c>
      <c r="P21" s="246"/>
      <c r="Q21" s="287"/>
    </row>
    <row r="22">
      <c r="B22" s="72" t="s">
        <v>146</v>
      </c>
      <c r="C22" s="77" t="s">
        <v>147</v>
      </c>
      <c r="D22" s="75">
        <v>400.0</v>
      </c>
      <c r="E22" s="75">
        <v>400.0</v>
      </c>
      <c r="F22" s="75">
        <v>400.0</v>
      </c>
      <c r="G22" s="75">
        <f t="shared" ref="G22:J22" si="5">F22</f>
        <v>400</v>
      </c>
      <c r="H22" s="317">
        <f t="shared" si="5"/>
        <v>400</v>
      </c>
      <c r="I22" s="349">
        <f t="shared" si="5"/>
        <v>400</v>
      </c>
      <c r="J22" s="317">
        <f t="shared" si="5"/>
        <v>400</v>
      </c>
      <c r="L22" s="72" t="s">
        <v>144</v>
      </c>
      <c r="M22" s="269"/>
      <c r="N22" s="246"/>
      <c r="O22" s="351">
        <v>100.0</v>
      </c>
      <c r="P22" s="246"/>
    </row>
    <row r="23">
      <c r="B23" s="72" t="s">
        <v>148</v>
      </c>
      <c r="C23" s="73"/>
      <c r="D23" s="75">
        <v>600.0</v>
      </c>
      <c r="E23" s="75">
        <v>650.0</v>
      </c>
      <c r="F23" s="75">
        <v>650.0</v>
      </c>
      <c r="G23" s="75">
        <v>500.0</v>
      </c>
      <c r="H23" s="317">
        <v>500.0</v>
      </c>
      <c r="I23" s="339">
        <v>500.0</v>
      </c>
      <c r="J23" s="317">
        <v>500.0</v>
      </c>
      <c r="L23" s="72" t="s">
        <v>145</v>
      </c>
      <c r="M23" s="265"/>
      <c r="N23" s="246"/>
      <c r="O23" s="351"/>
      <c r="P23" s="246"/>
    </row>
    <row r="24">
      <c r="B24" s="72" t="s">
        <v>149</v>
      </c>
      <c r="C24" s="73"/>
      <c r="D24" s="75">
        <v>500.0</v>
      </c>
      <c r="E24" s="75">
        <v>500.0</v>
      </c>
      <c r="F24" s="75">
        <v>500.0</v>
      </c>
      <c r="G24" s="75">
        <f t="shared" ref="G24:J24" si="6">F24</f>
        <v>500</v>
      </c>
      <c r="H24" s="317">
        <f t="shared" si="6"/>
        <v>500</v>
      </c>
      <c r="I24" s="339">
        <f t="shared" si="6"/>
        <v>500</v>
      </c>
      <c r="J24" s="317">
        <f t="shared" si="6"/>
        <v>500</v>
      </c>
      <c r="L24" s="72" t="s">
        <v>146</v>
      </c>
      <c r="M24" s="353">
        <v>200.0</v>
      </c>
      <c r="N24" s="257">
        <v>200.0</v>
      </c>
      <c r="O24" s="354"/>
      <c r="P24" s="246"/>
    </row>
    <row r="25">
      <c r="B25" s="72" t="s">
        <v>150</v>
      </c>
      <c r="C25" s="73"/>
      <c r="D25" s="75">
        <v>300.0</v>
      </c>
      <c r="E25" s="75">
        <v>300.0</v>
      </c>
      <c r="F25" s="75">
        <v>300.0</v>
      </c>
      <c r="G25" s="75">
        <f t="shared" ref="G25:H25" si="7">F25</f>
        <v>300</v>
      </c>
      <c r="H25" s="317">
        <f t="shared" si="7"/>
        <v>300</v>
      </c>
      <c r="I25" s="349">
        <v>400.0</v>
      </c>
      <c r="J25" s="317">
        <f>I25</f>
        <v>400</v>
      </c>
      <c r="L25" s="72" t="s">
        <v>148</v>
      </c>
      <c r="M25" s="247"/>
      <c r="N25" s="247"/>
      <c r="O25" s="355">
        <v>500.0</v>
      </c>
      <c r="P25" s="246"/>
    </row>
    <row r="26">
      <c r="B26" s="72" t="s">
        <v>151</v>
      </c>
      <c r="C26" s="73"/>
      <c r="D26" s="75"/>
      <c r="E26" s="75"/>
      <c r="F26" s="75"/>
      <c r="G26" s="75"/>
      <c r="H26" s="317"/>
      <c r="I26" s="317"/>
      <c r="J26" s="317"/>
      <c r="L26" s="72" t="s">
        <v>149</v>
      </c>
      <c r="M26" s="247"/>
      <c r="N26" s="247"/>
      <c r="O26" s="351">
        <v>500.0</v>
      </c>
      <c r="P26" s="246"/>
    </row>
    <row r="27">
      <c r="B27" s="72" t="s">
        <v>152</v>
      </c>
      <c r="C27" s="73"/>
      <c r="D27" s="75">
        <v>200.0</v>
      </c>
      <c r="E27" s="75"/>
      <c r="F27" s="75"/>
      <c r="G27" s="75"/>
      <c r="H27" s="317"/>
      <c r="I27" s="319"/>
      <c r="J27" s="319"/>
      <c r="L27" s="72" t="s">
        <v>150</v>
      </c>
      <c r="M27" s="247"/>
      <c r="N27" s="356">
        <v>400.0</v>
      </c>
      <c r="O27" s="357"/>
      <c r="P27" s="246"/>
    </row>
    <row r="28">
      <c r="B28" s="72" t="s">
        <v>181</v>
      </c>
      <c r="C28" s="73"/>
      <c r="D28" s="75">
        <v>100.0</v>
      </c>
      <c r="E28" s="75">
        <v>150.0</v>
      </c>
      <c r="F28" s="75">
        <v>150.0</v>
      </c>
      <c r="G28" s="75">
        <f t="shared" ref="G28:J28" si="8">F28</f>
        <v>150</v>
      </c>
      <c r="H28" s="317">
        <f t="shared" si="8"/>
        <v>150</v>
      </c>
      <c r="I28" s="339">
        <f t="shared" si="8"/>
        <v>150</v>
      </c>
      <c r="J28" s="317">
        <f t="shared" si="8"/>
        <v>150</v>
      </c>
      <c r="L28" s="72" t="s">
        <v>181</v>
      </c>
      <c r="M28" s="247"/>
      <c r="N28" s="247"/>
      <c r="O28" s="358">
        <v>150.0</v>
      </c>
      <c r="P28" s="246"/>
    </row>
    <row r="29">
      <c r="B29" s="72" t="s">
        <v>296</v>
      </c>
      <c r="C29" s="73"/>
      <c r="D29" s="75">
        <v>116.0</v>
      </c>
      <c r="E29" s="75">
        <v>112.0</v>
      </c>
      <c r="F29" s="75">
        <v>122.0</v>
      </c>
      <c r="G29" s="75">
        <f t="shared" ref="G29:J29" si="9">F29</f>
        <v>122</v>
      </c>
      <c r="H29" s="317">
        <f t="shared" si="9"/>
        <v>122</v>
      </c>
      <c r="I29" s="319">
        <f t="shared" si="9"/>
        <v>122</v>
      </c>
      <c r="J29" s="317">
        <f t="shared" si="9"/>
        <v>122</v>
      </c>
      <c r="L29" s="72" t="s">
        <v>296</v>
      </c>
      <c r="M29" s="353">
        <v>109.0</v>
      </c>
      <c r="N29" s="257">
        <v>13.0</v>
      </c>
      <c r="O29" s="359"/>
      <c r="P29" s="246"/>
    </row>
    <row r="30">
      <c r="B30" s="72" t="s">
        <v>155</v>
      </c>
      <c r="C30" s="73"/>
      <c r="D30" s="75"/>
      <c r="E30" s="75"/>
      <c r="F30" s="74"/>
      <c r="G30" s="75" t="str">
        <f t="shared" ref="G30:J30" si="10">F30</f>
        <v/>
      </c>
      <c r="H30" s="317" t="str">
        <f t="shared" si="10"/>
        <v/>
      </c>
      <c r="I30" s="317" t="str">
        <f t="shared" si="10"/>
        <v/>
      </c>
      <c r="J30" s="317" t="str">
        <f t="shared" si="10"/>
        <v/>
      </c>
      <c r="L30" s="72" t="s">
        <v>156</v>
      </c>
      <c r="M30" s="247"/>
      <c r="N30" s="247"/>
      <c r="O30" s="353"/>
      <c r="P30" s="246"/>
    </row>
    <row r="31">
      <c r="B31" s="72" t="s">
        <v>156</v>
      </c>
      <c r="C31" s="73"/>
      <c r="D31" s="75">
        <v>200.0</v>
      </c>
      <c r="E31" s="75">
        <v>1200.0</v>
      </c>
      <c r="F31" s="75">
        <v>1000.0</v>
      </c>
      <c r="G31" s="317">
        <v>400.0</v>
      </c>
      <c r="H31" s="317">
        <v>200.0</v>
      </c>
      <c r="I31" s="317"/>
      <c r="J31" s="317">
        <v>200.0</v>
      </c>
      <c r="L31" s="272" t="s">
        <v>295</v>
      </c>
      <c r="M31" s="247"/>
      <c r="N31" s="247"/>
      <c r="O31" s="348"/>
      <c r="P31" s="353"/>
    </row>
    <row r="32">
      <c r="B32" s="72" t="s">
        <v>272</v>
      </c>
      <c r="C32" s="73"/>
      <c r="D32" s="74"/>
      <c r="E32" s="74"/>
      <c r="F32" s="74"/>
      <c r="G32" s="75" t="str">
        <f t="shared" ref="G32:J32" si="11">F32</f>
        <v/>
      </c>
      <c r="H32" s="317" t="str">
        <f t="shared" si="11"/>
        <v/>
      </c>
      <c r="I32" s="317" t="str">
        <f t="shared" si="11"/>
        <v/>
      </c>
      <c r="J32" s="317" t="str">
        <f t="shared" si="11"/>
        <v/>
      </c>
      <c r="L32" s="72" t="s">
        <v>159</v>
      </c>
      <c r="M32" s="353">
        <v>400.0</v>
      </c>
      <c r="N32" s="257">
        <v>400.0</v>
      </c>
      <c r="O32" s="348"/>
      <c r="P32" s="246"/>
    </row>
    <row r="33">
      <c r="B33" s="272" t="s">
        <v>295</v>
      </c>
      <c r="C33" s="273"/>
      <c r="D33" s="274">
        <v>1500.0</v>
      </c>
      <c r="E33" s="274">
        <v>1500.0</v>
      </c>
      <c r="F33" s="274">
        <v>1500.0</v>
      </c>
      <c r="G33" s="274">
        <f t="shared" ref="G33:G35" si="12">F33</f>
        <v>1500</v>
      </c>
      <c r="H33" s="274">
        <v>1800.0</v>
      </c>
      <c r="I33" s="274">
        <v>2000.0</v>
      </c>
      <c r="J33" s="317">
        <f>I33</f>
        <v>2000</v>
      </c>
      <c r="L33" s="107" t="s">
        <v>334</v>
      </c>
      <c r="M33" s="353">
        <v>1500.0</v>
      </c>
      <c r="N33" s="251">
        <v>1500.0</v>
      </c>
      <c r="O33" s="348"/>
      <c r="P33" s="246"/>
    </row>
    <row r="34">
      <c r="B34" s="72" t="s">
        <v>159</v>
      </c>
      <c r="C34" s="73"/>
      <c r="D34" s="75">
        <v>800.0</v>
      </c>
      <c r="E34" s="75">
        <v>800.0</v>
      </c>
      <c r="F34" s="75">
        <v>800.0</v>
      </c>
      <c r="G34" s="75">
        <f t="shared" si="12"/>
        <v>800</v>
      </c>
      <c r="H34" s="317">
        <f t="shared" ref="H34:J34" si="13">G34</f>
        <v>800</v>
      </c>
      <c r="I34" s="319">
        <f t="shared" si="13"/>
        <v>800</v>
      </c>
      <c r="J34" s="317">
        <f t="shared" si="13"/>
        <v>800</v>
      </c>
      <c r="L34" s="107" t="s">
        <v>335</v>
      </c>
      <c r="M34" s="246"/>
      <c r="N34" s="251">
        <v>520.0</v>
      </c>
      <c r="O34" s="246"/>
      <c r="P34" s="246"/>
    </row>
    <row r="35">
      <c r="B35" s="72" t="s">
        <v>160</v>
      </c>
      <c r="C35" s="73"/>
      <c r="D35" s="75">
        <v>1800.0</v>
      </c>
      <c r="E35" s="75">
        <v>1800.0</v>
      </c>
      <c r="F35" s="75">
        <v>1800.0</v>
      </c>
      <c r="G35" s="75">
        <f t="shared" si="12"/>
        <v>1800</v>
      </c>
      <c r="H35" s="317">
        <f>G35+500</f>
        <v>2300</v>
      </c>
      <c r="I35" s="319">
        <v>3000.0</v>
      </c>
      <c r="J35" s="317">
        <f>I35</f>
        <v>3000</v>
      </c>
      <c r="L35" s="107" t="s">
        <v>355</v>
      </c>
      <c r="M35" s="251">
        <v>381.8</v>
      </c>
      <c r="N35" s="246"/>
      <c r="O35" s="246"/>
      <c r="P35" s="246"/>
    </row>
    <row r="36">
      <c r="B36" s="67" t="s">
        <v>161</v>
      </c>
      <c r="C36" s="68"/>
      <c r="D36" s="78">
        <f t="shared" ref="D36:J36" si="14">SUM(D17:D35)*-1</f>
        <v>-9798.6</v>
      </c>
      <c r="E36" s="78">
        <f t="shared" si="14"/>
        <v>-10677</v>
      </c>
      <c r="F36" s="78">
        <f t="shared" si="14"/>
        <v>-10514</v>
      </c>
      <c r="G36" s="78">
        <f t="shared" si="14"/>
        <v>-9592.3</v>
      </c>
      <c r="H36" s="320">
        <f t="shared" si="14"/>
        <v>-10396.88</v>
      </c>
      <c r="I36" s="320">
        <f t="shared" si="14"/>
        <v>-11127.38</v>
      </c>
      <c r="J36" s="320">
        <f t="shared" si="14"/>
        <v>-11396.88</v>
      </c>
      <c r="L36" s="107"/>
      <c r="P36" s="1"/>
    </row>
    <row r="37">
      <c r="H37" s="311"/>
      <c r="I37" s="311"/>
      <c r="J37" s="311"/>
      <c r="L37" s="7" t="s">
        <v>26</v>
      </c>
      <c r="M37" s="340">
        <f t="shared" ref="M37:O37" si="15">SUM(M19:M36)</f>
        <v>2590.8</v>
      </c>
      <c r="N37" s="343">
        <f t="shared" si="15"/>
        <v>3033</v>
      </c>
      <c r="O37" s="322">
        <f t="shared" si="15"/>
        <v>1974.88</v>
      </c>
      <c r="P37" s="324"/>
    </row>
    <row r="38">
      <c r="B38" s="80" t="s">
        <v>162</v>
      </c>
      <c r="C38" s="81"/>
      <c r="D38" s="82">
        <f t="shared" ref="D38:J38" si="16">D14+D36</f>
        <v>9718.58</v>
      </c>
      <c r="E38" s="82">
        <f t="shared" si="16"/>
        <v>-396.89</v>
      </c>
      <c r="F38" s="82">
        <f t="shared" si="16"/>
        <v>1548.11</v>
      </c>
      <c r="G38" s="82">
        <f t="shared" si="16"/>
        <v>2469.81</v>
      </c>
      <c r="H38" s="315">
        <f t="shared" si="16"/>
        <v>1620.93</v>
      </c>
      <c r="I38" s="315">
        <f t="shared" si="16"/>
        <v>2604.42</v>
      </c>
      <c r="J38" s="315">
        <f t="shared" si="16"/>
        <v>2270.62</v>
      </c>
      <c r="L38" s="107"/>
      <c r="M38" s="287"/>
      <c r="N38" s="324"/>
      <c r="O38" s="287"/>
    </row>
    <row r="39">
      <c r="B39" s="83"/>
      <c r="C39" s="83"/>
      <c r="D39" s="84"/>
      <c r="E39" s="84"/>
      <c r="F39" s="84"/>
      <c r="G39" s="84"/>
      <c r="H39" s="311"/>
      <c r="I39" s="311"/>
      <c r="J39" s="311"/>
      <c r="L39" s="325" t="s">
        <v>353</v>
      </c>
    </row>
    <row r="40">
      <c r="B40" s="85" t="s">
        <v>163</v>
      </c>
      <c r="C40" s="86"/>
      <c r="D40" s="57" t="s">
        <v>125</v>
      </c>
      <c r="E40" s="57" t="s">
        <v>126</v>
      </c>
      <c r="F40" s="57" t="s">
        <v>127</v>
      </c>
      <c r="G40" s="294" t="s">
        <v>129</v>
      </c>
      <c r="H40" s="344" t="s">
        <v>130</v>
      </c>
      <c r="I40" s="344" t="s">
        <v>354</v>
      </c>
      <c r="J40" s="344" t="s">
        <v>132</v>
      </c>
      <c r="L40" s="27"/>
    </row>
    <row r="41">
      <c r="B41" s="87" t="s">
        <v>164</v>
      </c>
      <c r="C41" s="88">
        <v>2347.0</v>
      </c>
      <c r="D41" s="134">
        <v>498.84</v>
      </c>
      <c r="E41" s="135">
        <v>498.84</v>
      </c>
      <c r="F41" s="134"/>
      <c r="G41" s="295"/>
      <c r="H41" s="327"/>
      <c r="I41" s="327"/>
      <c r="J41" s="327"/>
      <c r="L41" s="27"/>
    </row>
    <row r="42">
      <c r="B42" s="87" t="s">
        <v>165</v>
      </c>
      <c r="C42" s="88">
        <v>7750.82</v>
      </c>
      <c r="D42" s="135">
        <v>385.96</v>
      </c>
      <c r="E42" s="135">
        <v>385.96</v>
      </c>
      <c r="F42" s="135">
        <v>385.96</v>
      </c>
      <c r="G42" s="307">
        <v>385.96</v>
      </c>
      <c r="H42" s="345"/>
      <c r="I42" s="328"/>
      <c r="J42" s="327"/>
      <c r="L42" s="107"/>
    </row>
    <row r="43">
      <c r="B43" s="87" t="s">
        <v>166</v>
      </c>
      <c r="C43" s="88">
        <v>7724.29</v>
      </c>
      <c r="D43" s="135">
        <v>520.0</v>
      </c>
      <c r="E43" s="135">
        <v>518.81</v>
      </c>
      <c r="F43" s="135">
        <v>520.0</v>
      </c>
      <c r="G43" s="135">
        <v>520.0</v>
      </c>
      <c r="H43" s="135">
        <v>520.0</v>
      </c>
      <c r="I43" s="135">
        <v>520.0</v>
      </c>
      <c r="J43" s="329">
        <v>520.0</v>
      </c>
      <c r="L43" s="107"/>
    </row>
    <row r="44">
      <c r="B44" s="87" t="s">
        <v>280</v>
      </c>
      <c r="C44" s="88">
        <v>6440.26</v>
      </c>
      <c r="D44" s="135">
        <v>730.49</v>
      </c>
      <c r="E44" s="135">
        <v>730.49</v>
      </c>
      <c r="F44" s="135">
        <v>730.49</v>
      </c>
      <c r="G44" s="135">
        <v>730.49</v>
      </c>
      <c r="H44" s="346"/>
      <c r="I44" s="329"/>
      <c r="J44" s="360"/>
      <c r="L44" s="107"/>
    </row>
    <row r="45">
      <c r="A45" s="298">
        <v>45020.0</v>
      </c>
      <c r="B45" s="87" t="s">
        <v>203</v>
      </c>
      <c r="C45" s="88">
        <v>440.0</v>
      </c>
      <c r="D45" s="135">
        <v>440.0</v>
      </c>
      <c r="E45" s="135">
        <v>440.0</v>
      </c>
      <c r="F45" s="135"/>
      <c r="G45" s="297"/>
      <c r="H45" s="327"/>
      <c r="I45" s="327"/>
      <c r="J45" s="327"/>
      <c r="L45" s="107"/>
      <c r="M45" s="107"/>
    </row>
    <row r="46">
      <c r="B46" s="67" t="s">
        <v>167</v>
      </c>
      <c r="C46" s="95">
        <f>SUM(C41:C45)</f>
        <v>24702.37</v>
      </c>
      <c r="D46" s="78">
        <f t="shared" ref="D46:F46" si="17">SUM(D41:D45)*-1</f>
        <v>-2575.29</v>
      </c>
      <c r="E46" s="78">
        <f t="shared" si="17"/>
        <v>-2574.1</v>
      </c>
      <c r="F46" s="78">
        <f t="shared" si="17"/>
        <v>-1636.45</v>
      </c>
      <c r="G46" s="299">
        <f t="shared" ref="G46:J46" si="18">SUM(G41:G44)*-1</f>
        <v>-1636.45</v>
      </c>
      <c r="H46" s="330">
        <f t="shared" si="18"/>
        <v>-520</v>
      </c>
      <c r="I46" s="330">
        <f t="shared" si="18"/>
        <v>-520</v>
      </c>
      <c r="J46" s="330">
        <f t="shared" si="18"/>
        <v>-520</v>
      </c>
      <c r="L46" s="107"/>
      <c r="M46" s="107"/>
    </row>
    <row r="47">
      <c r="B47" s="83"/>
      <c r="C47" s="83"/>
      <c r="D47" s="96"/>
      <c r="E47" s="96"/>
      <c r="F47" s="96"/>
      <c r="G47" s="96"/>
      <c r="H47" s="311"/>
      <c r="I47" s="311"/>
      <c r="J47" s="311"/>
      <c r="L47" s="107"/>
      <c r="M47" s="18"/>
    </row>
    <row r="48">
      <c r="B48" s="97" t="s">
        <v>168</v>
      </c>
      <c r="C48" s="98"/>
      <c r="D48" s="99">
        <f t="shared" ref="D48:J48" si="19">D38+D46</f>
        <v>7143.29</v>
      </c>
      <c r="E48" s="99">
        <f t="shared" si="19"/>
        <v>-2970.99</v>
      </c>
      <c r="F48" s="119">
        <f t="shared" si="19"/>
        <v>-88.34</v>
      </c>
      <c r="G48" s="308">
        <f t="shared" si="19"/>
        <v>833.36</v>
      </c>
      <c r="H48" s="331">
        <f t="shared" si="19"/>
        <v>1100.93</v>
      </c>
      <c r="I48" s="331">
        <f t="shared" si="19"/>
        <v>2084.42</v>
      </c>
      <c r="J48" s="331">
        <f t="shared" si="19"/>
        <v>1750.62</v>
      </c>
      <c r="L48" s="107"/>
      <c r="M48" s="18"/>
    </row>
    <row r="49">
      <c r="B49" s="83"/>
      <c r="C49" s="83"/>
      <c r="D49" s="96"/>
      <c r="E49" s="96"/>
      <c r="F49" s="96"/>
      <c r="G49" s="96"/>
      <c r="H49" s="311"/>
      <c r="I49" s="311"/>
      <c r="J49" s="311"/>
      <c r="L49" s="107"/>
      <c r="M49" s="18"/>
    </row>
    <row r="50">
      <c r="B50" s="100" t="s">
        <v>169</v>
      </c>
      <c r="C50" s="101"/>
      <c r="D50" s="57" t="s">
        <v>125</v>
      </c>
      <c r="E50" s="57" t="s">
        <v>126</v>
      </c>
      <c r="F50" s="57" t="s">
        <v>127</v>
      </c>
      <c r="G50" s="57" t="s">
        <v>129</v>
      </c>
      <c r="H50" s="344" t="s">
        <v>130</v>
      </c>
      <c r="I50" s="344" t="s">
        <v>354</v>
      </c>
      <c r="J50" s="326" t="s">
        <v>354</v>
      </c>
      <c r="L50" s="107"/>
    </row>
    <row r="51">
      <c r="B51" s="102" t="s">
        <v>170</v>
      </c>
      <c r="C51" s="103"/>
      <c r="D51" s="278">
        <v>2101.91</v>
      </c>
      <c r="E51" s="278">
        <v>331.34</v>
      </c>
      <c r="F51" s="278">
        <v>45.75</v>
      </c>
      <c r="G51" s="105" t="str">
        <f>F52</f>
        <v/>
      </c>
      <c r="H51" s="333"/>
      <c r="I51" s="361">
        <v>0.0</v>
      </c>
      <c r="J51" s="361">
        <v>0.0</v>
      </c>
      <c r="L51" s="107"/>
      <c r="M51" s="18"/>
    </row>
    <row r="52">
      <c r="B52" s="102" t="s">
        <v>171</v>
      </c>
      <c r="C52" s="103"/>
      <c r="D52" s="279">
        <f>D48</f>
        <v>7143.29</v>
      </c>
      <c r="E52" s="279"/>
      <c r="F52" s="279"/>
      <c r="G52" s="279">
        <f t="shared" ref="G52:J52" si="20">+G48</f>
        <v>833.36</v>
      </c>
      <c r="H52" s="334">
        <f t="shared" si="20"/>
        <v>1100.93</v>
      </c>
      <c r="I52" s="334">
        <f t="shared" si="20"/>
        <v>2084.42</v>
      </c>
      <c r="J52" s="334">
        <f t="shared" si="20"/>
        <v>1750.62</v>
      </c>
      <c r="L52" s="107"/>
    </row>
    <row r="53">
      <c r="B53" s="67"/>
      <c r="C53" s="68"/>
      <c r="D53" s="95"/>
      <c r="E53" s="95"/>
      <c r="F53" s="95"/>
      <c r="G53" s="95"/>
      <c r="H53" s="335"/>
      <c r="I53" s="335"/>
      <c r="J53" s="335"/>
      <c r="L53" s="27"/>
    </row>
    <row r="54">
      <c r="B54" s="67"/>
      <c r="C54" s="68"/>
      <c r="D54" s="95"/>
      <c r="E54" s="95"/>
      <c r="F54" s="95"/>
      <c r="G54" s="95"/>
      <c r="H54" s="335"/>
      <c r="I54" s="335"/>
      <c r="J54" s="335"/>
      <c r="L54" s="27"/>
    </row>
    <row r="55">
      <c r="B55" s="67" t="s">
        <v>173</v>
      </c>
      <c r="C55" s="68"/>
      <c r="D55" s="95">
        <f t="shared" ref="D55:J55" si="21">SUM(D51:D52)</f>
        <v>9245.2</v>
      </c>
      <c r="E55" s="95">
        <f t="shared" si="21"/>
        <v>331.34</v>
      </c>
      <c r="F55" s="309">
        <f t="shared" si="21"/>
        <v>45.75</v>
      </c>
      <c r="G55" s="309">
        <f t="shared" si="21"/>
        <v>833.36</v>
      </c>
      <c r="H55" s="336">
        <f t="shared" si="21"/>
        <v>1100.93</v>
      </c>
      <c r="I55" s="336">
        <f t="shared" si="21"/>
        <v>2084.42</v>
      </c>
      <c r="J55" s="336">
        <f t="shared" si="21"/>
        <v>1750.62</v>
      </c>
      <c r="L55" s="27"/>
    </row>
    <row r="56">
      <c r="H56" s="310"/>
      <c r="J56" s="362"/>
      <c r="L56" s="27"/>
    </row>
    <row r="57">
      <c r="H57" s="310"/>
      <c r="L57" s="27"/>
    </row>
    <row r="58">
      <c r="H58" s="310"/>
      <c r="L58" s="27"/>
    </row>
    <row r="59">
      <c r="H59" s="310"/>
      <c r="L59" s="27"/>
    </row>
    <row r="60">
      <c r="H60" s="310"/>
      <c r="L60" s="27"/>
    </row>
    <row r="61">
      <c r="H61" s="310"/>
      <c r="L61" s="27"/>
    </row>
    <row r="62">
      <c r="H62" s="310"/>
      <c r="L62" s="27"/>
    </row>
    <row r="63">
      <c r="H63" s="310"/>
      <c r="L63" s="27"/>
    </row>
    <row r="64">
      <c r="H64" s="310"/>
      <c r="L64" s="27"/>
    </row>
    <row r="65">
      <c r="H65" s="310"/>
      <c r="L65" s="27"/>
    </row>
    <row r="66">
      <c r="H66" s="310"/>
      <c r="L66" s="27"/>
    </row>
    <row r="67">
      <c r="H67" s="310"/>
      <c r="L67" s="27"/>
    </row>
    <row r="68">
      <c r="H68" s="310"/>
      <c r="L68" s="27"/>
    </row>
    <row r="69">
      <c r="H69" s="310"/>
      <c r="L69" s="27"/>
    </row>
    <row r="70">
      <c r="H70" s="310"/>
      <c r="L70" s="27"/>
    </row>
    <row r="71">
      <c r="H71" s="310"/>
      <c r="L71" s="27"/>
    </row>
    <row r="72">
      <c r="H72" s="310"/>
      <c r="L72" s="27"/>
    </row>
    <row r="73">
      <c r="H73" s="310"/>
      <c r="L73" s="27"/>
    </row>
    <row r="74">
      <c r="H74" s="310"/>
      <c r="L74" s="27"/>
    </row>
    <row r="75">
      <c r="H75" s="310"/>
      <c r="L75" s="27"/>
    </row>
    <row r="76">
      <c r="H76" s="310"/>
      <c r="L76" s="27"/>
    </row>
    <row r="77">
      <c r="H77" s="310"/>
      <c r="L77" s="27"/>
    </row>
    <row r="78">
      <c r="H78" s="310"/>
      <c r="L78" s="27"/>
    </row>
    <row r="79">
      <c r="H79" s="310"/>
      <c r="L79" s="27"/>
    </row>
    <row r="80">
      <c r="H80" s="310"/>
      <c r="L80" s="27"/>
    </row>
    <row r="81">
      <c r="H81" s="310"/>
      <c r="L81" s="27"/>
    </row>
    <row r="82">
      <c r="H82" s="310"/>
      <c r="L82" s="27"/>
    </row>
    <row r="83">
      <c r="H83" s="310"/>
      <c r="L83" s="27"/>
    </row>
    <row r="84">
      <c r="H84" s="310"/>
      <c r="L84" s="27"/>
    </row>
    <row r="85">
      <c r="H85" s="310"/>
      <c r="L85" s="27"/>
    </row>
    <row r="86">
      <c r="H86" s="310"/>
      <c r="L86" s="27"/>
    </row>
    <row r="87">
      <c r="H87" s="310"/>
      <c r="L87" s="27"/>
    </row>
    <row r="88">
      <c r="H88" s="310"/>
      <c r="L88" s="27"/>
    </row>
    <row r="89">
      <c r="H89" s="310"/>
      <c r="L89" s="27"/>
    </row>
    <row r="90">
      <c r="H90" s="310"/>
      <c r="L90" s="27"/>
    </row>
    <row r="91">
      <c r="H91" s="310"/>
      <c r="L91" s="27"/>
    </row>
    <row r="92">
      <c r="H92" s="310"/>
      <c r="L92" s="27"/>
    </row>
    <row r="93">
      <c r="H93" s="310"/>
      <c r="L93" s="27"/>
    </row>
    <row r="94">
      <c r="H94" s="310"/>
      <c r="L94" s="27"/>
    </row>
    <row r="95">
      <c r="H95" s="310"/>
      <c r="L95" s="27"/>
    </row>
    <row r="96">
      <c r="H96" s="310"/>
      <c r="L96" s="27"/>
    </row>
    <row r="97">
      <c r="H97" s="310"/>
      <c r="L97" s="27"/>
    </row>
    <row r="98">
      <c r="H98" s="310"/>
      <c r="L98" s="27"/>
    </row>
    <row r="99">
      <c r="H99" s="310"/>
      <c r="L99" s="27"/>
    </row>
    <row r="100">
      <c r="H100" s="310"/>
      <c r="L100" s="27"/>
    </row>
    <row r="101">
      <c r="H101" s="310"/>
      <c r="L101" s="27"/>
    </row>
    <row r="102">
      <c r="H102" s="310"/>
      <c r="L102" s="27"/>
    </row>
    <row r="103">
      <c r="H103" s="310"/>
      <c r="L103" s="27"/>
    </row>
    <row r="104">
      <c r="H104" s="310"/>
      <c r="L104" s="27"/>
    </row>
    <row r="105">
      <c r="H105" s="310"/>
      <c r="L105" s="27"/>
    </row>
    <row r="106">
      <c r="H106" s="310"/>
      <c r="L106" s="27"/>
    </row>
    <row r="107">
      <c r="H107" s="310"/>
      <c r="L107" s="27"/>
    </row>
    <row r="108">
      <c r="H108" s="310"/>
      <c r="L108" s="27"/>
    </row>
    <row r="109">
      <c r="H109" s="310"/>
      <c r="L109" s="27"/>
    </row>
    <row r="110">
      <c r="H110" s="310"/>
      <c r="L110" s="27"/>
    </row>
    <row r="111">
      <c r="H111" s="310"/>
      <c r="L111" s="27"/>
    </row>
    <row r="112">
      <c r="H112" s="310"/>
      <c r="L112" s="27"/>
    </row>
    <row r="113">
      <c r="H113" s="310"/>
      <c r="L113" s="27"/>
    </row>
    <row r="114">
      <c r="H114" s="310"/>
      <c r="L114" s="27"/>
    </row>
    <row r="115">
      <c r="H115" s="310"/>
      <c r="L115" s="27"/>
    </row>
    <row r="116">
      <c r="H116" s="310"/>
      <c r="L116" s="27"/>
    </row>
    <row r="117">
      <c r="H117" s="310"/>
      <c r="L117" s="27"/>
    </row>
    <row r="118">
      <c r="H118" s="310"/>
      <c r="L118" s="27"/>
    </row>
    <row r="119">
      <c r="H119" s="310"/>
      <c r="L119" s="27"/>
    </row>
    <row r="120">
      <c r="H120" s="310"/>
      <c r="L120" s="27"/>
    </row>
    <row r="121">
      <c r="H121" s="310"/>
      <c r="L121" s="27"/>
    </row>
    <row r="122">
      <c r="H122" s="310"/>
      <c r="L122" s="27"/>
    </row>
    <row r="123">
      <c r="H123" s="310"/>
      <c r="L123" s="27"/>
    </row>
    <row r="124">
      <c r="H124" s="310"/>
      <c r="L124" s="27"/>
    </row>
    <row r="125">
      <c r="H125" s="310"/>
      <c r="L125" s="27"/>
    </row>
    <row r="126">
      <c r="H126" s="310"/>
      <c r="L126" s="27"/>
    </row>
    <row r="127">
      <c r="H127" s="310"/>
      <c r="L127" s="27"/>
    </row>
    <row r="128">
      <c r="H128" s="310"/>
      <c r="L128" s="27"/>
    </row>
    <row r="129">
      <c r="H129" s="310"/>
      <c r="L129" s="27"/>
    </row>
    <row r="130">
      <c r="H130" s="310"/>
      <c r="L130" s="27"/>
    </row>
    <row r="131">
      <c r="H131" s="310"/>
      <c r="L131" s="27"/>
    </row>
    <row r="132">
      <c r="H132" s="310"/>
      <c r="L132" s="27"/>
    </row>
    <row r="133">
      <c r="H133" s="310"/>
      <c r="L133" s="27"/>
    </row>
    <row r="134">
      <c r="H134" s="310"/>
      <c r="L134" s="27"/>
    </row>
    <row r="135">
      <c r="H135" s="310"/>
      <c r="L135" s="27"/>
    </row>
    <row r="136">
      <c r="H136" s="310"/>
      <c r="L136" s="27"/>
    </row>
    <row r="137">
      <c r="H137" s="310"/>
      <c r="L137" s="27"/>
    </row>
    <row r="138">
      <c r="H138" s="310"/>
      <c r="L138" s="27"/>
    </row>
    <row r="139">
      <c r="H139" s="310"/>
      <c r="L139" s="27"/>
    </row>
    <row r="140">
      <c r="H140" s="310"/>
      <c r="L140" s="27"/>
    </row>
    <row r="141">
      <c r="H141" s="310"/>
      <c r="L141" s="27"/>
    </row>
    <row r="142">
      <c r="H142" s="310"/>
      <c r="L142" s="27"/>
    </row>
    <row r="143">
      <c r="H143" s="310"/>
      <c r="L143" s="27"/>
    </row>
    <row r="144">
      <c r="H144" s="310"/>
      <c r="L144" s="27"/>
    </row>
    <row r="145">
      <c r="H145" s="310"/>
      <c r="L145" s="27"/>
    </row>
    <row r="146">
      <c r="H146" s="310"/>
      <c r="L146" s="27"/>
    </row>
    <row r="147">
      <c r="H147" s="310"/>
      <c r="L147" s="27"/>
    </row>
    <row r="148">
      <c r="H148" s="310"/>
      <c r="L148" s="27"/>
    </row>
    <row r="149">
      <c r="H149" s="310"/>
      <c r="L149" s="27"/>
    </row>
    <row r="150">
      <c r="H150" s="310"/>
      <c r="L150" s="27"/>
    </row>
    <row r="151">
      <c r="H151" s="310"/>
      <c r="L151" s="27"/>
    </row>
    <row r="152">
      <c r="H152" s="310"/>
      <c r="L152" s="27"/>
    </row>
    <row r="153">
      <c r="H153" s="310"/>
      <c r="L153" s="27"/>
    </row>
    <row r="154">
      <c r="H154" s="310"/>
      <c r="L154" s="27"/>
    </row>
    <row r="155">
      <c r="H155" s="310"/>
      <c r="L155" s="27"/>
    </row>
    <row r="156">
      <c r="H156" s="310"/>
      <c r="L156" s="27"/>
    </row>
    <row r="157">
      <c r="H157" s="310"/>
      <c r="L157" s="27"/>
    </row>
    <row r="158">
      <c r="H158" s="310"/>
      <c r="L158" s="27"/>
    </row>
    <row r="159">
      <c r="H159" s="310"/>
      <c r="L159" s="27"/>
    </row>
    <row r="160">
      <c r="H160" s="310"/>
      <c r="L160" s="27"/>
    </row>
    <row r="161">
      <c r="H161" s="310"/>
      <c r="L161" s="27"/>
    </row>
    <row r="162">
      <c r="H162" s="310"/>
      <c r="L162" s="27"/>
    </row>
    <row r="163">
      <c r="H163" s="310"/>
      <c r="L163" s="27"/>
    </row>
    <row r="164">
      <c r="H164" s="310"/>
      <c r="L164" s="27"/>
    </row>
    <row r="165">
      <c r="H165" s="310"/>
      <c r="L165" s="27"/>
    </row>
    <row r="166">
      <c r="H166" s="310"/>
      <c r="L166" s="27"/>
    </row>
    <row r="167">
      <c r="H167" s="310"/>
      <c r="L167" s="27"/>
    </row>
    <row r="168">
      <c r="H168" s="310"/>
      <c r="L168" s="27"/>
    </row>
    <row r="169">
      <c r="H169" s="310"/>
      <c r="L169" s="27"/>
    </row>
    <row r="170">
      <c r="H170" s="310"/>
      <c r="L170" s="27"/>
    </row>
    <row r="171">
      <c r="H171" s="310"/>
      <c r="L171" s="27"/>
    </row>
    <row r="172">
      <c r="H172" s="310"/>
      <c r="L172" s="27"/>
    </row>
    <row r="173">
      <c r="H173" s="310"/>
      <c r="L173" s="27"/>
    </row>
    <row r="174">
      <c r="H174" s="310"/>
      <c r="L174" s="27"/>
    </row>
    <row r="175">
      <c r="H175" s="310"/>
      <c r="L175" s="27"/>
    </row>
    <row r="176">
      <c r="H176" s="310"/>
      <c r="L176" s="27"/>
    </row>
    <row r="177">
      <c r="H177" s="310"/>
      <c r="L177" s="27"/>
    </row>
    <row r="178">
      <c r="H178" s="310"/>
      <c r="L178" s="27"/>
    </row>
    <row r="179">
      <c r="H179" s="310"/>
      <c r="L179" s="27"/>
    </row>
    <row r="180">
      <c r="H180" s="310"/>
      <c r="L180" s="27"/>
    </row>
    <row r="181">
      <c r="H181" s="310"/>
      <c r="L181" s="27"/>
    </row>
    <row r="182">
      <c r="H182" s="310"/>
      <c r="L182" s="27"/>
    </row>
    <row r="183">
      <c r="H183" s="310"/>
      <c r="L183" s="27"/>
    </row>
    <row r="184">
      <c r="H184" s="310"/>
      <c r="L184" s="27"/>
    </row>
    <row r="185">
      <c r="H185" s="310"/>
      <c r="L185" s="27"/>
    </row>
    <row r="186">
      <c r="H186" s="310"/>
      <c r="L186" s="27"/>
    </row>
    <row r="187">
      <c r="H187" s="310"/>
      <c r="L187" s="27"/>
    </row>
    <row r="188">
      <c r="H188" s="310"/>
      <c r="L188" s="27"/>
    </row>
    <row r="189">
      <c r="H189" s="310"/>
      <c r="L189" s="27"/>
    </row>
    <row r="190">
      <c r="H190" s="310"/>
      <c r="L190" s="27"/>
    </row>
    <row r="191">
      <c r="H191" s="310"/>
      <c r="L191" s="27"/>
    </row>
    <row r="192">
      <c r="H192" s="310"/>
      <c r="L192" s="27"/>
    </row>
    <row r="193">
      <c r="H193" s="310"/>
      <c r="L193" s="27"/>
    </row>
    <row r="194">
      <c r="H194" s="310"/>
      <c r="L194" s="27"/>
    </row>
    <row r="195">
      <c r="H195" s="310"/>
      <c r="L195" s="27"/>
    </row>
    <row r="196">
      <c r="H196" s="310"/>
      <c r="L196" s="27"/>
    </row>
    <row r="197">
      <c r="H197" s="310"/>
      <c r="L197" s="27"/>
    </row>
    <row r="198">
      <c r="H198" s="310"/>
      <c r="L198" s="27"/>
    </row>
    <row r="199">
      <c r="H199" s="310"/>
      <c r="L199" s="27"/>
    </row>
    <row r="200">
      <c r="H200" s="310"/>
      <c r="L200" s="27"/>
    </row>
    <row r="201">
      <c r="H201" s="310"/>
      <c r="L201" s="27"/>
    </row>
    <row r="202">
      <c r="H202" s="310"/>
      <c r="L202" s="27"/>
    </row>
    <row r="203">
      <c r="H203" s="310"/>
      <c r="L203" s="27"/>
    </row>
    <row r="204">
      <c r="H204" s="310"/>
      <c r="L204" s="27"/>
    </row>
    <row r="205">
      <c r="H205" s="310"/>
      <c r="L205" s="27"/>
    </row>
    <row r="206">
      <c r="H206" s="310"/>
      <c r="L206" s="27"/>
    </row>
    <row r="207">
      <c r="H207" s="310"/>
      <c r="L207" s="27"/>
    </row>
    <row r="208">
      <c r="H208" s="310"/>
      <c r="L208" s="27"/>
    </row>
    <row r="209">
      <c r="H209" s="310"/>
      <c r="L209" s="27"/>
    </row>
    <row r="210">
      <c r="H210" s="310"/>
      <c r="L210" s="27"/>
    </row>
    <row r="211">
      <c r="H211" s="310"/>
      <c r="L211" s="27"/>
    </row>
    <row r="212">
      <c r="H212" s="310"/>
      <c r="L212" s="27"/>
    </row>
    <row r="213">
      <c r="H213" s="310"/>
      <c r="L213" s="27"/>
    </row>
    <row r="214">
      <c r="H214" s="310"/>
      <c r="L214" s="27"/>
    </row>
    <row r="215">
      <c r="H215" s="310"/>
      <c r="L215" s="27"/>
    </row>
    <row r="216">
      <c r="H216" s="310"/>
      <c r="L216" s="27"/>
    </row>
    <row r="217">
      <c r="H217" s="310"/>
      <c r="L217" s="27"/>
    </row>
    <row r="218">
      <c r="H218" s="310"/>
      <c r="L218" s="27"/>
    </row>
    <row r="219">
      <c r="H219" s="310"/>
      <c r="L219" s="27"/>
    </row>
    <row r="220">
      <c r="H220" s="310"/>
      <c r="L220" s="27"/>
    </row>
    <row r="221">
      <c r="H221" s="310"/>
      <c r="L221" s="27"/>
    </row>
    <row r="222">
      <c r="H222" s="310"/>
      <c r="L222" s="27"/>
    </row>
    <row r="223">
      <c r="H223" s="310"/>
      <c r="L223" s="27"/>
    </row>
    <row r="224">
      <c r="H224" s="310"/>
      <c r="L224" s="27"/>
    </row>
    <row r="225">
      <c r="H225" s="310"/>
      <c r="L225" s="27"/>
    </row>
    <row r="226">
      <c r="H226" s="310"/>
      <c r="L226" s="27"/>
    </row>
    <row r="227">
      <c r="H227" s="310"/>
      <c r="L227" s="27"/>
    </row>
    <row r="228">
      <c r="H228" s="310"/>
      <c r="L228" s="27"/>
    </row>
    <row r="229">
      <c r="H229" s="310"/>
      <c r="L229" s="27"/>
    </row>
    <row r="230">
      <c r="H230" s="310"/>
      <c r="L230" s="27"/>
    </row>
    <row r="231">
      <c r="H231" s="310"/>
      <c r="L231" s="27"/>
    </row>
    <row r="232">
      <c r="H232" s="310"/>
      <c r="L232" s="27"/>
    </row>
    <row r="233">
      <c r="H233" s="310"/>
      <c r="L233" s="27"/>
    </row>
    <row r="234">
      <c r="H234" s="310"/>
      <c r="L234" s="27"/>
    </row>
    <row r="235">
      <c r="H235" s="310"/>
      <c r="L235" s="27"/>
    </row>
    <row r="236">
      <c r="H236" s="310"/>
      <c r="L236" s="27"/>
    </row>
    <row r="237">
      <c r="H237" s="310"/>
      <c r="L237" s="27"/>
    </row>
    <row r="238">
      <c r="H238" s="310"/>
      <c r="L238" s="27"/>
    </row>
    <row r="239">
      <c r="H239" s="310"/>
      <c r="L239" s="27"/>
    </row>
    <row r="240">
      <c r="H240" s="310"/>
      <c r="L240" s="27"/>
    </row>
    <row r="241">
      <c r="H241" s="310"/>
      <c r="L241" s="27"/>
    </row>
    <row r="242">
      <c r="H242" s="310"/>
      <c r="L242" s="27"/>
    </row>
    <row r="243">
      <c r="H243" s="310"/>
      <c r="L243" s="27"/>
    </row>
    <row r="244">
      <c r="H244" s="310"/>
      <c r="L244" s="27"/>
    </row>
    <row r="245">
      <c r="H245" s="310"/>
      <c r="L245" s="27"/>
    </row>
    <row r="246">
      <c r="H246" s="310"/>
      <c r="L246" s="27"/>
    </row>
    <row r="247">
      <c r="H247" s="310"/>
      <c r="L247" s="27"/>
    </row>
    <row r="248">
      <c r="H248" s="310"/>
      <c r="L248" s="27"/>
    </row>
    <row r="249">
      <c r="H249" s="310"/>
      <c r="L249" s="27"/>
    </row>
    <row r="250">
      <c r="H250" s="310"/>
      <c r="L250" s="27"/>
    </row>
    <row r="251">
      <c r="H251" s="310"/>
      <c r="L251" s="27"/>
    </row>
    <row r="252">
      <c r="H252" s="310"/>
      <c r="L252" s="27"/>
    </row>
    <row r="253">
      <c r="H253" s="310"/>
      <c r="L253" s="27"/>
    </row>
    <row r="254">
      <c r="H254" s="310"/>
      <c r="L254" s="27"/>
    </row>
    <row r="255">
      <c r="H255" s="310"/>
      <c r="L255" s="27"/>
    </row>
    <row r="256">
      <c r="H256" s="310"/>
      <c r="L256" s="27"/>
    </row>
    <row r="257">
      <c r="H257" s="310"/>
      <c r="L257" s="27"/>
    </row>
    <row r="258">
      <c r="H258" s="310"/>
      <c r="L258" s="27"/>
    </row>
    <row r="259">
      <c r="H259" s="310"/>
      <c r="L259" s="27"/>
    </row>
    <row r="260">
      <c r="H260" s="310"/>
      <c r="L260" s="27"/>
    </row>
    <row r="261">
      <c r="H261" s="310"/>
      <c r="L261" s="27"/>
    </row>
    <row r="262">
      <c r="H262" s="310"/>
      <c r="L262" s="27"/>
    </row>
    <row r="263">
      <c r="H263" s="310"/>
      <c r="L263" s="27"/>
    </row>
    <row r="264">
      <c r="H264" s="310"/>
      <c r="L264" s="27"/>
    </row>
    <row r="265">
      <c r="H265" s="310"/>
      <c r="L265" s="27"/>
    </row>
    <row r="266">
      <c r="H266" s="310"/>
      <c r="L266" s="27"/>
    </row>
    <row r="267">
      <c r="H267" s="310"/>
      <c r="L267" s="27"/>
    </row>
    <row r="268">
      <c r="H268" s="310"/>
      <c r="L268" s="27"/>
    </row>
    <row r="269">
      <c r="H269" s="310"/>
      <c r="L269" s="27"/>
    </row>
    <row r="270">
      <c r="H270" s="310"/>
      <c r="L270" s="27"/>
    </row>
    <row r="271">
      <c r="H271" s="310"/>
      <c r="L271" s="27"/>
    </row>
    <row r="272">
      <c r="H272" s="310"/>
      <c r="L272" s="27"/>
    </row>
    <row r="273">
      <c r="H273" s="310"/>
      <c r="L273" s="27"/>
    </row>
    <row r="274">
      <c r="H274" s="310"/>
      <c r="L274" s="27"/>
    </row>
    <row r="275">
      <c r="H275" s="310"/>
      <c r="L275" s="27"/>
    </row>
    <row r="276">
      <c r="H276" s="310"/>
      <c r="L276" s="27"/>
    </row>
    <row r="277">
      <c r="H277" s="310"/>
      <c r="L277" s="27"/>
    </row>
    <row r="278">
      <c r="H278" s="310"/>
      <c r="L278" s="27"/>
    </row>
    <row r="279">
      <c r="H279" s="310"/>
      <c r="L279" s="27"/>
    </row>
    <row r="280">
      <c r="H280" s="310"/>
      <c r="L280" s="27"/>
    </row>
    <row r="281">
      <c r="H281" s="310"/>
      <c r="L281" s="27"/>
    </row>
    <row r="282">
      <c r="H282" s="310"/>
      <c r="L282" s="27"/>
    </row>
    <row r="283">
      <c r="H283" s="310"/>
      <c r="L283" s="27"/>
    </row>
    <row r="284">
      <c r="H284" s="310"/>
      <c r="L284" s="27"/>
    </row>
    <row r="285">
      <c r="H285" s="310"/>
      <c r="L285" s="27"/>
    </row>
    <row r="286">
      <c r="H286" s="310"/>
      <c r="L286" s="27"/>
    </row>
    <row r="287">
      <c r="H287" s="310"/>
      <c r="L287" s="27"/>
    </row>
    <row r="288">
      <c r="H288" s="310"/>
      <c r="L288" s="27"/>
    </row>
    <row r="289">
      <c r="H289" s="310"/>
      <c r="L289" s="27"/>
    </row>
    <row r="290">
      <c r="H290" s="310"/>
      <c r="L290" s="27"/>
    </row>
    <row r="291">
      <c r="H291" s="310"/>
      <c r="L291" s="27"/>
    </row>
    <row r="292">
      <c r="H292" s="310"/>
      <c r="L292" s="27"/>
    </row>
    <row r="293">
      <c r="H293" s="310"/>
      <c r="L293" s="27"/>
    </row>
    <row r="294">
      <c r="H294" s="310"/>
      <c r="L294" s="27"/>
    </row>
    <row r="295">
      <c r="H295" s="310"/>
      <c r="L295" s="27"/>
    </row>
    <row r="296">
      <c r="H296" s="310"/>
      <c r="L296" s="27"/>
    </row>
    <row r="297">
      <c r="H297" s="310"/>
      <c r="L297" s="27"/>
    </row>
    <row r="298">
      <c r="H298" s="310"/>
      <c r="L298" s="27"/>
    </row>
    <row r="299">
      <c r="H299" s="310"/>
      <c r="L299" s="27"/>
    </row>
    <row r="300">
      <c r="H300" s="310"/>
      <c r="L300" s="27"/>
    </row>
    <row r="301">
      <c r="H301" s="310"/>
      <c r="L301" s="27"/>
    </row>
    <row r="302">
      <c r="H302" s="310"/>
      <c r="L302" s="27"/>
    </row>
    <row r="303">
      <c r="H303" s="310"/>
      <c r="L303" s="27"/>
    </row>
    <row r="304">
      <c r="H304" s="310"/>
      <c r="L304" s="27"/>
    </row>
    <row r="305">
      <c r="H305" s="310"/>
      <c r="L305" s="27"/>
    </row>
    <row r="306">
      <c r="H306" s="310"/>
      <c r="L306" s="27"/>
    </row>
    <row r="307">
      <c r="H307" s="310"/>
      <c r="L307" s="27"/>
    </row>
    <row r="308">
      <c r="H308" s="310"/>
      <c r="L308" s="27"/>
    </row>
    <row r="309">
      <c r="H309" s="310"/>
      <c r="L309" s="27"/>
    </row>
    <row r="310">
      <c r="H310" s="310"/>
      <c r="L310" s="27"/>
    </row>
    <row r="311">
      <c r="H311" s="310"/>
      <c r="L311" s="27"/>
    </row>
    <row r="312">
      <c r="H312" s="310"/>
      <c r="L312" s="27"/>
    </row>
    <row r="313">
      <c r="H313" s="310"/>
      <c r="L313" s="27"/>
    </row>
    <row r="314">
      <c r="H314" s="310"/>
      <c r="L314" s="27"/>
    </row>
    <row r="315">
      <c r="H315" s="310"/>
      <c r="L315" s="27"/>
    </row>
    <row r="316">
      <c r="H316" s="310"/>
      <c r="L316" s="27"/>
    </row>
    <row r="317">
      <c r="H317" s="310"/>
      <c r="L317" s="27"/>
    </row>
    <row r="318">
      <c r="H318" s="310"/>
      <c r="L318" s="27"/>
    </row>
    <row r="319">
      <c r="H319" s="310"/>
      <c r="L319" s="27"/>
    </row>
    <row r="320">
      <c r="H320" s="310"/>
      <c r="L320" s="27"/>
    </row>
    <row r="321">
      <c r="H321" s="310"/>
      <c r="L321" s="27"/>
    </row>
    <row r="322">
      <c r="H322" s="310"/>
      <c r="L322" s="27"/>
    </row>
    <row r="323">
      <c r="H323" s="310"/>
      <c r="L323" s="27"/>
    </row>
    <row r="324">
      <c r="H324" s="310"/>
      <c r="L324" s="27"/>
    </row>
    <row r="325">
      <c r="H325" s="310"/>
      <c r="L325" s="27"/>
    </row>
    <row r="326">
      <c r="H326" s="310"/>
      <c r="L326" s="27"/>
    </row>
    <row r="327">
      <c r="H327" s="310"/>
      <c r="L327" s="27"/>
    </row>
    <row r="328">
      <c r="H328" s="310"/>
      <c r="L328" s="27"/>
    </row>
    <row r="329">
      <c r="H329" s="310"/>
      <c r="L329" s="27"/>
    </row>
    <row r="330">
      <c r="H330" s="310"/>
      <c r="L330" s="27"/>
    </row>
    <row r="331">
      <c r="H331" s="310"/>
      <c r="L331" s="27"/>
    </row>
    <row r="332">
      <c r="H332" s="310"/>
      <c r="L332" s="27"/>
    </row>
    <row r="333">
      <c r="H333" s="310"/>
      <c r="L333" s="27"/>
    </row>
    <row r="334">
      <c r="H334" s="310"/>
      <c r="L334" s="27"/>
    </row>
    <row r="335">
      <c r="H335" s="310"/>
      <c r="L335" s="27"/>
    </row>
    <row r="336">
      <c r="H336" s="310"/>
      <c r="L336" s="27"/>
    </row>
    <row r="337">
      <c r="H337" s="310"/>
      <c r="L337" s="27"/>
    </row>
    <row r="338">
      <c r="H338" s="310"/>
      <c r="L338" s="27"/>
    </row>
    <row r="339">
      <c r="H339" s="310"/>
      <c r="L339" s="27"/>
    </row>
    <row r="340">
      <c r="H340" s="310"/>
      <c r="L340" s="27"/>
    </row>
    <row r="341">
      <c r="H341" s="310"/>
      <c r="L341" s="27"/>
    </row>
    <row r="342">
      <c r="H342" s="310"/>
      <c r="L342" s="27"/>
    </row>
    <row r="343">
      <c r="H343" s="310"/>
      <c r="L343" s="27"/>
    </row>
    <row r="344">
      <c r="H344" s="310"/>
      <c r="L344" s="27"/>
    </row>
    <row r="345">
      <c r="H345" s="310"/>
      <c r="L345" s="27"/>
    </row>
    <row r="346">
      <c r="H346" s="310"/>
      <c r="L346" s="27"/>
    </row>
    <row r="347">
      <c r="H347" s="310"/>
      <c r="L347" s="27"/>
    </row>
    <row r="348">
      <c r="H348" s="310"/>
      <c r="L348" s="27"/>
    </row>
    <row r="349">
      <c r="H349" s="310"/>
      <c r="L349" s="27"/>
    </row>
    <row r="350">
      <c r="H350" s="310"/>
      <c r="L350" s="27"/>
    </row>
    <row r="351">
      <c r="H351" s="310"/>
      <c r="L351" s="27"/>
    </row>
    <row r="352">
      <c r="H352" s="310"/>
      <c r="L352" s="27"/>
    </row>
    <row r="353">
      <c r="H353" s="310"/>
      <c r="L353" s="27"/>
    </row>
    <row r="354">
      <c r="H354" s="310"/>
      <c r="L354" s="27"/>
    </row>
    <row r="355">
      <c r="H355" s="310"/>
      <c r="L355" s="27"/>
    </row>
    <row r="356">
      <c r="H356" s="310"/>
      <c r="L356" s="27"/>
    </row>
    <row r="357">
      <c r="H357" s="310"/>
      <c r="L357" s="27"/>
    </row>
    <row r="358">
      <c r="H358" s="310"/>
      <c r="L358" s="27"/>
    </row>
    <row r="359">
      <c r="H359" s="310"/>
      <c r="L359" s="27"/>
    </row>
    <row r="360">
      <c r="H360" s="310"/>
      <c r="L360" s="27"/>
    </row>
    <row r="361">
      <c r="H361" s="310"/>
      <c r="L361" s="27"/>
    </row>
    <row r="362">
      <c r="H362" s="310"/>
      <c r="L362" s="27"/>
    </row>
    <row r="363">
      <c r="H363" s="310"/>
      <c r="L363" s="27"/>
    </row>
    <row r="364">
      <c r="H364" s="310"/>
      <c r="L364" s="27"/>
    </row>
    <row r="365">
      <c r="H365" s="310"/>
      <c r="L365" s="27"/>
    </row>
    <row r="366">
      <c r="H366" s="310"/>
      <c r="L366" s="27"/>
    </row>
    <row r="367">
      <c r="H367" s="310"/>
      <c r="L367" s="27"/>
    </row>
    <row r="368">
      <c r="H368" s="310"/>
      <c r="L368" s="27"/>
    </row>
    <row r="369">
      <c r="H369" s="310"/>
      <c r="L369" s="27"/>
    </row>
    <row r="370">
      <c r="H370" s="310"/>
      <c r="L370" s="27"/>
    </row>
    <row r="371">
      <c r="H371" s="310"/>
      <c r="L371" s="27"/>
    </row>
    <row r="372">
      <c r="H372" s="310"/>
      <c r="L372" s="27"/>
    </row>
    <row r="373">
      <c r="H373" s="310"/>
      <c r="L373" s="27"/>
    </row>
    <row r="374">
      <c r="H374" s="310"/>
      <c r="L374" s="27"/>
    </row>
    <row r="375">
      <c r="H375" s="310"/>
      <c r="L375" s="27"/>
    </row>
    <row r="376">
      <c r="H376" s="310"/>
      <c r="L376" s="27"/>
    </row>
    <row r="377">
      <c r="H377" s="310"/>
      <c r="L377" s="27"/>
    </row>
    <row r="378">
      <c r="H378" s="310"/>
      <c r="L378" s="27"/>
    </row>
    <row r="379">
      <c r="H379" s="310"/>
      <c r="L379" s="27"/>
    </row>
    <row r="380">
      <c r="H380" s="310"/>
      <c r="L380" s="27"/>
    </row>
    <row r="381">
      <c r="H381" s="310"/>
      <c r="L381" s="27"/>
    </row>
    <row r="382">
      <c r="H382" s="310"/>
      <c r="L382" s="27"/>
    </row>
    <row r="383">
      <c r="H383" s="310"/>
      <c r="L383" s="27"/>
    </row>
    <row r="384">
      <c r="H384" s="310"/>
      <c r="L384" s="27"/>
    </row>
    <row r="385">
      <c r="H385" s="310"/>
      <c r="L385" s="27"/>
    </row>
    <row r="386">
      <c r="H386" s="310"/>
      <c r="L386" s="27"/>
    </row>
    <row r="387">
      <c r="H387" s="310"/>
      <c r="L387" s="27"/>
    </row>
    <row r="388">
      <c r="H388" s="310"/>
      <c r="L388" s="27"/>
    </row>
    <row r="389">
      <c r="H389" s="310"/>
      <c r="L389" s="27"/>
    </row>
    <row r="390">
      <c r="H390" s="310"/>
      <c r="L390" s="27"/>
    </row>
    <row r="391">
      <c r="H391" s="310"/>
      <c r="L391" s="27"/>
    </row>
    <row r="392">
      <c r="H392" s="310"/>
      <c r="L392" s="27"/>
    </row>
    <row r="393">
      <c r="H393" s="310"/>
      <c r="L393" s="27"/>
    </row>
    <row r="394">
      <c r="H394" s="310"/>
      <c r="L394" s="27"/>
    </row>
    <row r="395">
      <c r="H395" s="310"/>
      <c r="L395" s="27"/>
    </row>
    <row r="396">
      <c r="H396" s="310"/>
      <c r="L396" s="27"/>
    </row>
    <row r="397">
      <c r="H397" s="310"/>
      <c r="L397" s="27"/>
    </row>
    <row r="398">
      <c r="H398" s="310"/>
      <c r="L398" s="27"/>
    </row>
    <row r="399">
      <c r="H399" s="310"/>
      <c r="L399" s="27"/>
    </row>
    <row r="400">
      <c r="H400" s="310"/>
      <c r="L400" s="27"/>
    </row>
    <row r="401">
      <c r="H401" s="310"/>
      <c r="L401" s="27"/>
    </row>
    <row r="402">
      <c r="H402" s="310"/>
      <c r="L402" s="27"/>
    </row>
    <row r="403">
      <c r="H403" s="310"/>
      <c r="L403" s="27"/>
    </row>
    <row r="404">
      <c r="H404" s="310"/>
      <c r="L404" s="27"/>
    </row>
    <row r="405">
      <c r="H405" s="310"/>
      <c r="L405" s="27"/>
    </row>
    <row r="406">
      <c r="H406" s="310"/>
      <c r="L406" s="27"/>
    </row>
    <row r="407">
      <c r="H407" s="310"/>
      <c r="L407" s="27"/>
    </row>
    <row r="408">
      <c r="H408" s="310"/>
      <c r="L408" s="27"/>
    </row>
    <row r="409">
      <c r="H409" s="310"/>
      <c r="L409" s="27"/>
    </row>
    <row r="410">
      <c r="H410" s="310"/>
      <c r="L410" s="27"/>
    </row>
    <row r="411">
      <c r="H411" s="310"/>
      <c r="L411" s="27"/>
    </row>
    <row r="412">
      <c r="H412" s="310"/>
      <c r="L412" s="27"/>
    </row>
    <row r="413">
      <c r="H413" s="310"/>
      <c r="L413" s="27"/>
    </row>
    <row r="414">
      <c r="H414" s="310"/>
      <c r="L414" s="27"/>
    </row>
    <row r="415">
      <c r="H415" s="310"/>
      <c r="L415" s="27"/>
    </row>
    <row r="416">
      <c r="H416" s="310"/>
      <c r="L416" s="27"/>
    </row>
    <row r="417">
      <c r="H417" s="310"/>
      <c r="L417" s="27"/>
    </row>
    <row r="418">
      <c r="H418" s="310"/>
      <c r="L418" s="27"/>
    </row>
    <row r="419">
      <c r="H419" s="310"/>
      <c r="L419" s="27"/>
    </row>
    <row r="420">
      <c r="H420" s="310"/>
      <c r="L420" s="27"/>
    </row>
    <row r="421">
      <c r="H421" s="310"/>
      <c r="L421" s="27"/>
    </row>
    <row r="422">
      <c r="H422" s="310"/>
      <c r="L422" s="27"/>
    </row>
    <row r="423">
      <c r="H423" s="310"/>
      <c r="L423" s="27"/>
    </row>
    <row r="424">
      <c r="H424" s="310"/>
      <c r="L424" s="27"/>
    </row>
    <row r="425">
      <c r="H425" s="310"/>
      <c r="L425" s="27"/>
    </row>
    <row r="426">
      <c r="H426" s="310"/>
      <c r="L426" s="27"/>
    </row>
    <row r="427">
      <c r="H427" s="310"/>
      <c r="L427" s="27"/>
    </row>
    <row r="428">
      <c r="H428" s="310"/>
      <c r="L428" s="27"/>
    </row>
    <row r="429">
      <c r="H429" s="310"/>
      <c r="L429" s="27"/>
    </row>
    <row r="430">
      <c r="H430" s="310"/>
      <c r="L430" s="27"/>
    </row>
    <row r="431">
      <c r="H431" s="310"/>
      <c r="L431" s="27"/>
    </row>
    <row r="432">
      <c r="H432" s="310"/>
      <c r="L432" s="27"/>
    </row>
    <row r="433">
      <c r="H433" s="310"/>
      <c r="L433" s="27"/>
    </row>
    <row r="434">
      <c r="H434" s="310"/>
      <c r="L434" s="27"/>
    </row>
    <row r="435">
      <c r="H435" s="310"/>
      <c r="L435" s="27"/>
    </row>
    <row r="436">
      <c r="H436" s="310"/>
      <c r="L436" s="27"/>
    </row>
    <row r="437">
      <c r="H437" s="310"/>
      <c r="L437" s="27"/>
    </row>
    <row r="438">
      <c r="H438" s="310"/>
      <c r="L438" s="27"/>
    </row>
    <row r="439">
      <c r="H439" s="310"/>
      <c r="L439" s="27"/>
    </row>
    <row r="440">
      <c r="H440" s="310"/>
      <c r="L440" s="27"/>
    </row>
    <row r="441">
      <c r="H441" s="310"/>
      <c r="L441" s="27"/>
    </row>
    <row r="442">
      <c r="H442" s="310"/>
      <c r="L442" s="27"/>
    </row>
    <row r="443">
      <c r="H443" s="310"/>
      <c r="L443" s="27"/>
    </row>
    <row r="444">
      <c r="H444" s="310"/>
      <c r="L444" s="27"/>
    </row>
    <row r="445">
      <c r="H445" s="310"/>
      <c r="L445" s="27"/>
    </row>
    <row r="446">
      <c r="H446" s="310"/>
      <c r="L446" s="27"/>
    </row>
    <row r="447">
      <c r="H447" s="310"/>
      <c r="L447" s="27"/>
    </row>
    <row r="448">
      <c r="H448" s="310"/>
      <c r="L448" s="27"/>
    </row>
    <row r="449">
      <c r="H449" s="310"/>
      <c r="L449" s="27"/>
    </row>
    <row r="450">
      <c r="H450" s="310"/>
      <c r="L450" s="27"/>
    </row>
    <row r="451">
      <c r="H451" s="310"/>
      <c r="L451" s="27"/>
    </row>
    <row r="452">
      <c r="H452" s="310"/>
      <c r="L452" s="27"/>
    </row>
    <row r="453">
      <c r="H453" s="310"/>
      <c r="L453" s="27"/>
    </row>
    <row r="454">
      <c r="H454" s="310"/>
      <c r="L454" s="27"/>
    </row>
    <row r="455">
      <c r="H455" s="310"/>
      <c r="L455" s="27"/>
    </row>
    <row r="456">
      <c r="H456" s="310"/>
      <c r="L456" s="27"/>
    </row>
    <row r="457">
      <c r="H457" s="310"/>
      <c r="L457" s="27"/>
    </row>
    <row r="458">
      <c r="H458" s="310"/>
      <c r="L458" s="27"/>
    </row>
    <row r="459">
      <c r="H459" s="310"/>
      <c r="L459" s="27"/>
    </row>
    <row r="460">
      <c r="H460" s="310"/>
      <c r="L460" s="27"/>
    </row>
    <row r="461">
      <c r="H461" s="310"/>
      <c r="L461" s="27"/>
    </row>
    <row r="462">
      <c r="H462" s="310"/>
      <c r="L462" s="27"/>
    </row>
    <row r="463">
      <c r="H463" s="310"/>
      <c r="L463" s="27"/>
    </row>
    <row r="464">
      <c r="H464" s="310"/>
      <c r="L464" s="27"/>
    </row>
    <row r="465">
      <c r="H465" s="310"/>
      <c r="L465" s="27"/>
    </row>
    <row r="466">
      <c r="H466" s="310"/>
      <c r="L466" s="27"/>
    </row>
    <row r="467">
      <c r="H467" s="310"/>
      <c r="L467" s="27"/>
    </row>
    <row r="468">
      <c r="H468" s="310"/>
      <c r="L468" s="27"/>
    </row>
    <row r="469">
      <c r="H469" s="310"/>
      <c r="L469" s="27"/>
    </row>
    <row r="470">
      <c r="H470" s="310"/>
      <c r="L470" s="27"/>
    </row>
    <row r="471">
      <c r="H471" s="310"/>
      <c r="L471" s="27"/>
    </row>
    <row r="472">
      <c r="H472" s="310"/>
      <c r="L472" s="27"/>
    </row>
    <row r="473">
      <c r="H473" s="310"/>
      <c r="L473" s="27"/>
    </row>
    <row r="474">
      <c r="H474" s="310"/>
      <c r="L474" s="27"/>
    </row>
    <row r="475">
      <c r="H475" s="310"/>
      <c r="L475" s="27"/>
    </row>
    <row r="476">
      <c r="H476" s="310"/>
      <c r="L476" s="27"/>
    </row>
    <row r="477">
      <c r="H477" s="310"/>
      <c r="L477" s="27"/>
    </row>
    <row r="478">
      <c r="H478" s="310"/>
      <c r="L478" s="27"/>
    </row>
    <row r="479">
      <c r="H479" s="310"/>
      <c r="L479" s="27"/>
    </row>
    <row r="480">
      <c r="H480" s="310"/>
      <c r="L480" s="27"/>
    </row>
    <row r="481">
      <c r="H481" s="310"/>
      <c r="L481" s="27"/>
    </row>
    <row r="482">
      <c r="H482" s="310"/>
      <c r="L482" s="27"/>
    </row>
    <row r="483">
      <c r="H483" s="310"/>
      <c r="L483" s="27"/>
    </row>
    <row r="484">
      <c r="H484" s="310"/>
      <c r="L484" s="27"/>
    </row>
    <row r="485">
      <c r="H485" s="310"/>
      <c r="L485" s="27"/>
    </row>
    <row r="486">
      <c r="H486" s="310"/>
      <c r="L486" s="27"/>
    </row>
    <row r="487">
      <c r="H487" s="310"/>
      <c r="L487" s="27"/>
    </row>
    <row r="488">
      <c r="H488" s="310"/>
      <c r="L488" s="27"/>
    </row>
    <row r="489">
      <c r="H489" s="310"/>
      <c r="L489" s="27"/>
    </row>
    <row r="490">
      <c r="H490" s="310"/>
      <c r="L490" s="27"/>
    </row>
    <row r="491">
      <c r="H491" s="310"/>
      <c r="L491" s="27"/>
    </row>
    <row r="492">
      <c r="H492" s="310"/>
      <c r="L492" s="27"/>
    </row>
    <row r="493">
      <c r="H493" s="310"/>
      <c r="L493" s="27"/>
    </row>
    <row r="494">
      <c r="H494" s="310"/>
      <c r="L494" s="27"/>
    </row>
    <row r="495">
      <c r="H495" s="310"/>
      <c r="L495" s="27"/>
    </row>
    <row r="496">
      <c r="H496" s="310"/>
      <c r="L496" s="27"/>
    </row>
    <row r="497">
      <c r="H497" s="310"/>
      <c r="L497" s="27"/>
    </row>
    <row r="498">
      <c r="H498" s="310"/>
      <c r="L498" s="27"/>
    </row>
    <row r="499">
      <c r="H499" s="310"/>
      <c r="L499" s="27"/>
    </row>
    <row r="500">
      <c r="H500" s="310"/>
      <c r="L500" s="27"/>
    </row>
    <row r="501">
      <c r="H501" s="310"/>
      <c r="L501" s="27"/>
    </row>
    <row r="502">
      <c r="H502" s="310"/>
      <c r="L502" s="27"/>
    </row>
    <row r="503">
      <c r="H503" s="310"/>
      <c r="L503" s="27"/>
    </row>
    <row r="504">
      <c r="H504" s="310"/>
      <c r="L504" s="27"/>
    </row>
    <row r="505">
      <c r="H505" s="310"/>
      <c r="L505" s="27"/>
    </row>
    <row r="506">
      <c r="H506" s="310"/>
      <c r="L506" s="27"/>
    </row>
    <row r="507">
      <c r="H507" s="310"/>
      <c r="L507" s="27"/>
    </row>
    <row r="508">
      <c r="H508" s="310"/>
      <c r="L508" s="27"/>
    </row>
    <row r="509">
      <c r="H509" s="310"/>
      <c r="L509" s="27"/>
    </row>
    <row r="510">
      <c r="H510" s="310"/>
      <c r="L510" s="27"/>
    </row>
    <row r="511">
      <c r="H511" s="310"/>
      <c r="L511" s="27"/>
    </row>
    <row r="512">
      <c r="H512" s="310"/>
      <c r="L512" s="27"/>
    </row>
    <row r="513">
      <c r="H513" s="310"/>
      <c r="L513" s="27"/>
    </row>
    <row r="514">
      <c r="H514" s="310"/>
      <c r="L514" s="27"/>
    </row>
    <row r="515">
      <c r="H515" s="310"/>
      <c r="L515" s="27"/>
    </row>
    <row r="516">
      <c r="H516" s="310"/>
      <c r="L516" s="27"/>
    </row>
    <row r="517">
      <c r="H517" s="310"/>
      <c r="L517" s="27"/>
    </row>
    <row r="518">
      <c r="H518" s="310"/>
      <c r="L518" s="27"/>
    </row>
    <row r="519">
      <c r="H519" s="310"/>
      <c r="L519" s="27"/>
    </row>
    <row r="520">
      <c r="H520" s="310"/>
      <c r="L520" s="27"/>
    </row>
    <row r="521">
      <c r="H521" s="310"/>
      <c r="L521" s="27"/>
    </row>
    <row r="522">
      <c r="H522" s="310"/>
      <c r="L522" s="27"/>
    </row>
    <row r="523">
      <c r="H523" s="310"/>
      <c r="L523" s="27"/>
    </row>
    <row r="524">
      <c r="H524" s="310"/>
      <c r="L524" s="27"/>
    </row>
    <row r="525">
      <c r="H525" s="310"/>
      <c r="L525" s="27"/>
    </row>
    <row r="526">
      <c r="H526" s="310"/>
      <c r="L526" s="27"/>
    </row>
    <row r="527">
      <c r="H527" s="310"/>
      <c r="L527" s="27"/>
    </row>
    <row r="528">
      <c r="H528" s="310"/>
      <c r="L528" s="27"/>
    </row>
    <row r="529">
      <c r="H529" s="310"/>
      <c r="L529" s="27"/>
    </row>
    <row r="530">
      <c r="H530" s="310"/>
      <c r="L530" s="27"/>
    </row>
    <row r="531">
      <c r="H531" s="310"/>
      <c r="L531" s="27"/>
    </row>
    <row r="532">
      <c r="H532" s="310"/>
      <c r="L532" s="27"/>
    </row>
    <row r="533">
      <c r="H533" s="310"/>
      <c r="L533" s="27"/>
    </row>
    <row r="534">
      <c r="H534" s="310"/>
      <c r="L534" s="27"/>
    </row>
    <row r="535">
      <c r="H535" s="310"/>
      <c r="L535" s="27"/>
    </row>
    <row r="536">
      <c r="H536" s="310"/>
      <c r="L536" s="27"/>
    </row>
    <row r="537">
      <c r="H537" s="310"/>
      <c r="L537" s="27"/>
    </row>
    <row r="538">
      <c r="H538" s="310"/>
      <c r="L538" s="27"/>
    </row>
    <row r="539">
      <c r="H539" s="310"/>
      <c r="L539" s="27"/>
    </row>
    <row r="540">
      <c r="H540" s="310"/>
      <c r="L540" s="27"/>
    </row>
    <row r="541">
      <c r="H541" s="310"/>
      <c r="L541" s="27"/>
    </row>
    <row r="542">
      <c r="H542" s="310"/>
      <c r="L542" s="27"/>
    </row>
    <row r="543">
      <c r="H543" s="310"/>
      <c r="L543" s="27"/>
    </row>
    <row r="544">
      <c r="H544" s="310"/>
      <c r="L544" s="27"/>
    </row>
    <row r="545">
      <c r="H545" s="310"/>
      <c r="L545" s="27"/>
    </row>
    <row r="546">
      <c r="H546" s="310"/>
      <c r="L546" s="27"/>
    </row>
    <row r="547">
      <c r="H547" s="310"/>
      <c r="L547" s="27"/>
    </row>
    <row r="548">
      <c r="H548" s="310"/>
      <c r="L548" s="27"/>
    </row>
    <row r="549">
      <c r="H549" s="310"/>
      <c r="L549" s="27"/>
    </row>
    <row r="550">
      <c r="H550" s="310"/>
      <c r="L550" s="27"/>
    </row>
    <row r="551">
      <c r="H551" s="310"/>
      <c r="L551" s="27"/>
    </row>
    <row r="552">
      <c r="H552" s="310"/>
      <c r="L552" s="27"/>
    </row>
    <row r="553">
      <c r="H553" s="310"/>
      <c r="L553" s="27"/>
    </row>
    <row r="554">
      <c r="H554" s="310"/>
      <c r="L554" s="27"/>
    </row>
    <row r="555">
      <c r="H555" s="310"/>
      <c r="L555" s="27"/>
    </row>
    <row r="556">
      <c r="H556" s="310"/>
      <c r="L556" s="27"/>
    </row>
    <row r="557">
      <c r="H557" s="310"/>
      <c r="L557" s="27"/>
    </row>
    <row r="558">
      <c r="H558" s="310"/>
      <c r="L558" s="27"/>
    </row>
    <row r="559">
      <c r="H559" s="310"/>
      <c r="L559" s="27"/>
    </row>
    <row r="560">
      <c r="H560" s="310"/>
      <c r="L560" s="27"/>
    </row>
    <row r="561">
      <c r="H561" s="310"/>
      <c r="L561" s="27"/>
    </row>
    <row r="562">
      <c r="H562" s="310"/>
      <c r="L562" s="27"/>
    </row>
    <row r="563">
      <c r="H563" s="310"/>
      <c r="L563" s="27"/>
    </row>
    <row r="564">
      <c r="H564" s="310"/>
      <c r="L564" s="27"/>
    </row>
    <row r="565">
      <c r="H565" s="310"/>
      <c r="L565" s="27"/>
    </row>
    <row r="566">
      <c r="H566" s="310"/>
      <c r="L566" s="27"/>
    </row>
    <row r="567">
      <c r="H567" s="310"/>
      <c r="L567" s="27"/>
    </row>
    <row r="568">
      <c r="H568" s="310"/>
      <c r="L568" s="27"/>
    </row>
    <row r="569">
      <c r="H569" s="310"/>
      <c r="L569" s="27"/>
    </row>
    <row r="570">
      <c r="H570" s="310"/>
      <c r="L570" s="27"/>
    </row>
    <row r="571">
      <c r="H571" s="310"/>
      <c r="L571" s="27"/>
    </row>
    <row r="572">
      <c r="H572" s="310"/>
      <c r="L572" s="27"/>
    </row>
    <row r="573">
      <c r="H573" s="310"/>
      <c r="L573" s="27"/>
    </row>
    <row r="574">
      <c r="H574" s="310"/>
      <c r="L574" s="27"/>
    </row>
    <row r="575">
      <c r="H575" s="310"/>
      <c r="L575" s="27"/>
    </row>
    <row r="576">
      <c r="H576" s="310"/>
      <c r="L576" s="27"/>
    </row>
    <row r="577">
      <c r="H577" s="310"/>
      <c r="L577" s="27"/>
    </row>
    <row r="578">
      <c r="H578" s="310"/>
      <c r="L578" s="27"/>
    </row>
    <row r="579">
      <c r="H579" s="310"/>
      <c r="L579" s="27"/>
    </row>
    <row r="580">
      <c r="H580" s="310"/>
      <c r="L580" s="27"/>
    </row>
    <row r="581">
      <c r="H581" s="310"/>
      <c r="L581" s="27"/>
    </row>
    <row r="582">
      <c r="H582" s="310"/>
      <c r="L582" s="27"/>
    </row>
    <row r="583">
      <c r="H583" s="310"/>
      <c r="L583" s="27"/>
    </row>
    <row r="584">
      <c r="H584" s="310"/>
      <c r="L584" s="27"/>
    </row>
    <row r="585">
      <c r="H585" s="310"/>
      <c r="L585" s="27"/>
    </row>
    <row r="586">
      <c r="H586" s="310"/>
      <c r="L586" s="27"/>
    </row>
    <row r="587">
      <c r="H587" s="310"/>
      <c r="L587" s="27"/>
    </row>
    <row r="588">
      <c r="H588" s="310"/>
      <c r="L588" s="27"/>
    </row>
    <row r="589">
      <c r="H589" s="310"/>
      <c r="L589" s="27"/>
    </row>
    <row r="590">
      <c r="H590" s="310"/>
      <c r="L590" s="27"/>
    </row>
    <row r="591">
      <c r="H591" s="310"/>
      <c r="L591" s="27"/>
    </row>
    <row r="592">
      <c r="H592" s="310"/>
      <c r="L592" s="27"/>
    </row>
    <row r="593">
      <c r="H593" s="310"/>
      <c r="L593" s="27"/>
    </row>
    <row r="594">
      <c r="H594" s="310"/>
      <c r="L594" s="27"/>
    </row>
    <row r="595">
      <c r="H595" s="310"/>
      <c r="L595" s="27"/>
    </row>
    <row r="596">
      <c r="H596" s="310"/>
      <c r="L596" s="27"/>
    </row>
    <row r="597">
      <c r="H597" s="310"/>
      <c r="L597" s="27"/>
    </row>
    <row r="598">
      <c r="H598" s="310"/>
      <c r="L598" s="27"/>
    </row>
    <row r="599">
      <c r="H599" s="310"/>
      <c r="L599" s="27"/>
    </row>
    <row r="600">
      <c r="H600" s="310"/>
      <c r="L600" s="27"/>
    </row>
    <row r="601">
      <c r="H601" s="310"/>
      <c r="L601" s="27"/>
    </row>
    <row r="602">
      <c r="H602" s="310"/>
      <c r="L602" s="27"/>
    </row>
    <row r="603">
      <c r="H603" s="310"/>
      <c r="L603" s="27"/>
    </row>
    <row r="604">
      <c r="H604" s="310"/>
      <c r="L604" s="27"/>
    </row>
    <row r="605">
      <c r="H605" s="310"/>
      <c r="L605" s="27"/>
    </row>
    <row r="606">
      <c r="H606" s="310"/>
      <c r="L606" s="27"/>
    </row>
    <row r="607">
      <c r="H607" s="310"/>
      <c r="L607" s="27"/>
    </row>
    <row r="608">
      <c r="H608" s="310"/>
      <c r="L608" s="27"/>
    </row>
    <row r="609">
      <c r="H609" s="310"/>
      <c r="L609" s="27"/>
    </row>
    <row r="610">
      <c r="H610" s="310"/>
      <c r="L610" s="27"/>
    </row>
    <row r="611">
      <c r="H611" s="310"/>
      <c r="L611" s="27"/>
    </row>
    <row r="612">
      <c r="H612" s="310"/>
      <c r="L612" s="27"/>
    </row>
    <row r="613">
      <c r="H613" s="310"/>
      <c r="L613" s="27"/>
    </row>
    <row r="614">
      <c r="H614" s="310"/>
      <c r="L614" s="27"/>
    </row>
    <row r="615">
      <c r="H615" s="310"/>
      <c r="L615" s="27"/>
    </row>
    <row r="616">
      <c r="H616" s="310"/>
      <c r="L616" s="27"/>
    </row>
    <row r="617">
      <c r="H617" s="310"/>
      <c r="L617" s="27"/>
    </row>
    <row r="618">
      <c r="H618" s="310"/>
      <c r="L618" s="27"/>
    </row>
    <row r="619">
      <c r="H619" s="310"/>
      <c r="L619" s="27"/>
    </row>
    <row r="620">
      <c r="H620" s="310"/>
      <c r="L620" s="27"/>
    </row>
    <row r="621">
      <c r="H621" s="310"/>
      <c r="L621" s="27"/>
    </row>
    <row r="622">
      <c r="H622" s="310"/>
      <c r="L622" s="27"/>
    </row>
    <row r="623">
      <c r="H623" s="310"/>
      <c r="L623" s="27"/>
    </row>
    <row r="624">
      <c r="H624" s="310"/>
      <c r="L624" s="27"/>
    </row>
    <row r="625">
      <c r="H625" s="310"/>
      <c r="L625" s="27"/>
    </row>
    <row r="626">
      <c r="H626" s="310"/>
      <c r="L626" s="27"/>
    </row>
    <row r="627">
      <c r="H627" s="310"/>
      <c r="L627" s="27"/>
    </row>
    <row r="628">
      <c r="H628" s="310"/>
      <c r="L628" s="27"/>
    </row>
    <row r="629">
      <c r="H629" s="310"/>
      <c r="L629" s="27"/>
    </row>
    <row r="630">
      <c r="H630" s="310"/>
      <c r="L630" s="27"/>
    </row>
    <row r="631">
      <c r="H631" s="310"/>
      <c r="L631" s="27"/>
    </row>
    <row r="632">
      <c r="H632" s="310"/>
      <c r="L632" s="27"/>
    </row>
    <row r="633">
      <c r="H633" s="310"/>
      <c r="L633" s="27"/>
    </row>
    <row r="634">
      <c r="H634" s="310"/>
      <c r="L634" s="27"/>
    </row>
    <row r="635">
      <c r="H635" s="310"/>
      <c r="L635" s="27"/>
    </row>
    <row r="636">
      <c r="H636" s="310"/>
      <c r="L636" s="27"/>
    </row>
    <row r="637">
      <c r="H637" s="310"/>
      <c r="L637" s="27"/>
    </row>
    <row r="638">
      <c r="H638" s="310"/>
      <c r="L638" s="27"/>
    </row>
    <row r="639">
      <c r="H639" s="310"/>
      <c r="L639" s="27"/>
    </row>
    <row r="640">
      <c r="H640" s="310"/>
      <c r="L640" s="27"/>
    </row>
    <row r="641">
      <c r="H641" s="310"/>
      <c r="L641" s="27"/>
    </row>
    <row r="642">
      <c r="H642" s="310"/>
      <c r="L642" s="27"/>
    </row>
    <row r="643">
      <c r="H643" s="310"/>
      <c r="L643" s="27"/>
    </row>
    <row r="644">
      <c r="H644" s="310"/>
      <c r="L644" s="27"/>
    </row>
    <row r="645">
      <c r="H645" s="310"/>
      <c r="L645" s="27"/>
    </row>
    <row r="646">
      <c r="H646" s="310"/>
      <c r="L646" s="27"/>
    </row>
    <row r="647">
      <c r="H647" s="310"/>
      <c r="L647" s="27"/>
    </row>
    <row r="648">
      <c r="H648" s="310"/>
      <c r="L648" s="27"/>
    </row>
    <row r="649">
      <c r="H649" s="310"/>
      <c r="L649" s="27"/>
    </row>
    <row r="650">
      <c r="H650" s="310"/>
      <c r="L650" s="27"/>
    </row>
    <row r="651">
      <c r="H651" s="310"/>
      <c r="L651" s="27"/>
    </row>
    <row r="652">
      <c r="H652" s="310"/>
      <c r="L652" s="27"/>
    </row>
    <row r="653">
      <c r="H653" s="310"/>
      <c r="L653" s="27"/>
    </row>
    <row r="654">
      <c r="H654" s="310"/>
      <c r="L654" s="27"/>
    </row>
    <row r="655">
      <c r="H655" s="310"/>
      <c r="L655" s="27"/>
    </row>
    <row r="656">
      <c r="H656" s="310"/>
      <c r="L656" s="27"/>
    </row>
    <row r="657">
      <c r="H657" s="310"/>
      <c r="L657" s="27"/>
    </row>
    <row r="658">
      <c r="H658" s="310"/>
      <c r="L658" s="27"/>
    </row>
    <row r="659">
      <c r="H659" s="310"/>
      <c r="L659" s="27"/>
    </row>
    <row r="660">
      <c r="H660" s="310"/>
      <c r="L660" s="27"/>
    </row>
    <row r="661">
      <c r="H661" s="310"/>
      <c r="L661" s="27"/>
    </row>
    <row r="662">
      <c r="H662" s="310"/>
      <c r="L662" s="27"/>
    </row>
    <row r="663">
      <c r="H663" s="310"/>
      <c r="L663" s="27"/>
    </row>
    <row r="664">
      <c r="H664" s="310"/>
      <c r="L664" s="27"/>
    </row>
    <row r="665">
      <c r="H665" s="310"/>
      <c r="L665" s="27"/>
    </row>
    <row r="666">
      <c r="H666" s="310"/>
      <c r="L666" s="27"/>
    </row>
    <row r="667">
      <c r="H667" s="310"/>
      <c r="L667" s="27"/>
    </row>
    <row r="668">
      <c r="H668" s="310"/>
      <c r="L668" s="27"/>
    </row>
    <row r="669">
      <c r="H669" s="310"/>
      <c r="L669" s="27"/>
    </row>
    <row r="670">
      <c r="H670" s="310"/>
      <c r="L670" s="27"/>
    </row>
    <row r="671">
      <c r="H671" s="310"/>
      <c r="L671" s="27"/>
    </row>
    <row r="672">
      <c r="H672" s="310"/>
      <c r="L672" s="27"/>
    </row>
    <row r="673">
      <c r="H673" s="310"/>
      <c r="L673" s="27"/>
    </row>
    <row r="674">
      <c r="H674" s="310"/>
      <c r="L674" s="27"/>
    </row>
    <row r="675">
      <c r="H675" s="310"/>
      <c r="L675" s="27"/>
    </row>
    <row r="676">
      <c r="H676" s="310"/>
      <c r="L676" s="27"/>
    </row>
    <row r="677">
      <c r="H677" s="310"/>
      <c r="L677" s="27"/>
    </row>
    <row r="678">
      <c r="H678" s="310"/>
      <c r="L678" s="27"/>
    </row>
    <row r="679">
      <c r="H679" s="310"/>
      <c r="L679" s="27"/>
    </row>
    <row r="680">
      <c r="H680" s="310"/>
      <c r="L680" s="27"/>
    </row>
    <row r="681">
      <c r="H681" s="310"/>
      <c r="L681" s="27"/>
    </row>
    <row r="682">
      <c r="H682" s="310"/>
      <c r="L682" s="27"/>
    </row>
    <row r="683">
      <c r="H683" s="310"/>
      <c r="L683" s="27"/>
    </row>
    <row r="684">
      <c r="H684" s="310"/>
      <c r="L684" s="27"/>
    </row>
    <row r="685">
      <c r="H685" s="310"/>
      <c r="L685" s="27"/>
    </row>
    <row r="686">
      <c r="H686" s="310"/>
      <c r="L686" s="27"/>
    </row>
    <row r="687">
      <c r="H687" s="310"/>
      <c r="L687" s="27"/>
    </row>
    <row r="688">
      <c r="H688" s="310"/>
      <c r="L688" s="27"/>
    </row>
    <row r="689">
      <c r="H689" s="310"/>
      <c r="L689" s="27"/>
    </row>
    <row r="690">
      <c r="H690" s="310"/>
      <c r="L690" s="27"/>
    </row>
    <row r="691">
      <c r="H691" s="310"/>
      <c r="L691" s="27"/>
    </row>
    <row r="692">
      <c r="H692" s="310"/>
      <c r="L692" s="27"/>
    </row>
    <row r="693">
      <c r="H693" s="310"/>
      <c r="L693" s="27"/>
    </row>
    <row r="694">
      <c r="H694" s="310"/>
      <c r="L694" s="27"/>
    </row>
    <row r="695">
      <c r="H695" s="310"/>
      <c r="L695" s="27"/>
    </row>
    <row r="696">
      <c r="H696" s="310"/>
      <c r="L696" s="27"/>
    </row>
    <row r="697">
      <c r="H697" s="310"/>
      <c r="L697" s="27"/>
    </row>
    <row r="698">
      <c r="H698" s="310"/>
      <c r="L698" s="27"/>
    </row>
    <row r="699">
      <c r="H699" s="310"/>
      <c r="L699" s="27"/>
    </row>
    <row r="700">
      <c r="H700" s="310"/>
      <c r="L700" s="27"/>
    </row>
    <row r="701">
      <c r="H701" s="310"/>
      <c r="L701" s="27"/>
    </row>
    <row r="702">
      <c r="H702" s="310"/>
      <c r="L702" s="27"/>
    </row>
    <row r="703">
      <c r="H703" s="310"/>
      <c r="L703" s="27"/>
    </row>
    <row r="704">
      <c r="H704" s="310"/>
      <c r="L704" s="27"/>
    </row>
    <row r="705">
      <c r="H705" s="310"/>
      <c r="L705" s="27"/>
    </row>
    <row r="706">
      <c r="H706" s="310"/>
      <c r="L706" s="27"/>
    </row>
    <row r="707">
      <c r="H707" s="310"/>
      <c r="L707" s="27"/>
    </row>
    <row r="708">
      <c r="H708" s="310"/>
      <c r="L708" s="27"/>
    </row>
    <row r="709">
      <c r="H709" s="310"/>
      <c r="L709" s="27"/>
    </row>
    <row r="710">
      <c r="H710" s="310"/>
      <c r="L710" s="27"/>
    </row>
    <row r="711">
      <c r="H711" s="310"/>
      <c r="L711" s="27"/>
    </row>
    <row r="712">
      <c r="H712" s="310"/>
      <c r="L712" s="27"/>
    </row>
    <row r="713">
      <c r="H713" s="310"/>
      <c r="L713" s="27"/>
    </row>
    <row r="714">
      <c r="H714" s="310"/>
      <c r="L714" s="27"/>
    </row>
    <row r="715">
      <c r="H715" s="310"/>
      <c r="L715" s="27"/>
    </row>
    <row r="716">
      <c r="H716" s="310"/>
      <c r="L716" s="27"/>
    </row>
    <row r="717">
      <c r="H717" s="310"/>
      <c r="L717" s="27"/>
    </row>
    <row r="718">
      <c r="H718" s="310"/>
      <c r="L718" s="27"/>
    </row>
    <row r="719">
      <c r="H719" s="310"/>
      <c r="L719" s="27"/>
    </row>
    <row r="720">
      <c r="H720" s="310"/>
      <c r="L720" s="27"/>
    </row>
    <row r="721">
      <c r="H721" s="310"/>
      <c r="L721" s="27"/>
    </row>
    <row r="722">
      <c r="H722" s="310"/>
      <c r="L722" s="27"/>
    </row>
    <row r="723">
      <c r="H723" s="310"/>
      <c r="L723" s="27"/>
    </row>
    <row r="724">
      <c r="H724" s="310"/>
      <c r="L724" s="27"/>
    </row>
    <row r="725">
      <c r="H725" s="310"/>
      <c r="L725" s="27"/>
    </row>
    <row r="726">
      <c r="H726" s="310"/>
      <c r="L726" s="27"/>
    </row>
    <row r="727">
      <c r="H727" s="310"/>
      <c r="L727" s="27"/>
    </row>
    <row r="728">
      <c r="H728" s="310"/>
      <c r="L728" s="27"/>
    </row>
    <row r="729">
      <c r="H729" s="310"/>
      <c r="L729" s="27"/>
    </row>
    <row r="730">
      <c r="H730" s="310"/>
      <c r="L730" s="27"/>
    </row>
    <row r="731">
      <c r="H731" s="310"/>
      <c r="L731" s="27"/>
    </row>
    <row r="732">
      <c r="H732" s="310"/>
      <c r="L732" s="27"/>
    </row>
    <row r="733">
      <c r="H733" s="310"/>
      <c r="L733" s="27"/>
    </row>
    <row r="734">
      <c r="H734" s="310"/>
      <c r="L734" s="27"/>
    </row>
    <row r="735">
      <c r="H735" s="310"/>
      <c r="L735" s="27"/>
    </row>
    <row r="736">
      <c r="H736" s="310"/>
      <c r="L736" s="27"/>
    </row>
    <row r="737">
      <c r="H737" s="310"/>
      <c r="L737" s="27"/>
    </row>
    <row r="738">
      <c r="H738" s="310"/>
      <c r="L738" s="27"/>
    </row>
    <row r="739">
      <c r="H739" s="310"/>
      <c r="L739" s="27"/>
    </row>
    <row r="740">
      <c r="H740" s="310"/>
      <c r="L740" s="27"/>
    </row>
    <row r="741">
      <c r="H741" s="310"/>
      <c r="L741" s="27"/>
    </row>
    <row r="742">
      <c r="H742" s="310"/>
      <c r="L742" s="27"/>
    </row>
    <row r="743">
      <c r="H743" s="310"/>
      <c r="L743" s="27"/>
    </row>
    <row r="744">
      <c r="H744" s="310"/>
      <c r="L744" s="27"/>
    </row>
    <row r="745">
      <c r="H745" s="310"/>
      <c r="L745" s="27"/>
    </row>
    <row r="746">
      <c r="H746" s="310"/>
      <c r="L746" s="27"/>
    </row>
    <row r="747">
      <c r="H747" s="310"/>
      <c r="L747" s="27"/>
    </row>
    <row r="748">
      <c r="H748" s="310"/>
      <c r="L748" s="27"/>
    </row>
    <row r="749">
      <c r="H749" s="310"/>
      <c r="L749" s="27"/>
    </row>
    <row r="750">
      <c r="H750" s="310"/>
      <c r="L750" s="27"/>
    </row>
    <row r="751">
      <c r="H751" s="310"/>
      <c r="L751" s="27"/>
    </row>
    <row r="752">
      <c r="H752" s="310"/>
      <c r="L752" s="27"/>
    </row>
    <row r="753">
      <c r="H753" s="310"/>
      <c r="L753" s="27"/>
    </row>
    <row r="754">
      <c r="H754" s="310"/>
      <c r="L754" s="27"/>
    </row>
    <row r="755">
      <c r="H755" s="310"/>
      <c r="L755" s="27"/>
    </row>
    <row r="756">
      <c r="H756" s="310"/>
      <c r="L756" s="27"/>
    </row>
    <row r="757">
      <c r="H757" s="310"/>
      <c r="L757" s="27"/>
    </row>
    <row r="758">
      <c r="H758" s="310"/>
      <c r="L758" s="27"/>
    </row>
    <row r="759">
      <c r="H759" s="310"/>
      <c r="L759" s="27"/>
    </row>
    <row r="760">
      <c r="H760" s="310"/>
      <c r="L760" s="27"/>
    </row>
    <row r="761">
      <c r="H761" s="310"/>
      <c r="L761" s="27"/>
    </row>
    <row r="762">
      <c r="H762" s="310"/>
      <c r="L762" s="27"/>
    </row>
    <row r="763">
      <c r="H763" s="310"/>
      <c r="L763" s="27"/>
    </row>
    <row r="764">
      <c r="H764" s="310"/>
      <c r="L764" s="27"/>
    </row>
    <row r="765">
      <c r="H765" s="310"/>
      <c r="L765" s="27"/>
    </row>
    <row r="766">
      <c r="H766" s="310"/>
      <c r="L766" s="27"/>
    </row>
    <row r="767">
      <c r="H767" s="310"/>
      <c r="L767" s="27"/>
    </row>
    <row r="768">
      <c r="H768" s="310"/>
      <c r="L768" s="27"/>
    </row>
    <row r="769">
      <c r="H769" s="310"/>
      <c r="L769" s="27"/>
    </row>
    <row r="770">
      <c r="H770" s="310"/>
      <c r="L770" s="27"/>
    </row>
    <row r="771">
      <c r="H771" s="310"/>
      <c r="L771" s="27"/>
    </row>
    <row r="772">
      <c r="H772" s="310"/>
      <c r="L772" s="27"/>
    </row>
    <row r="773">
      <c r="H773" s="310"/>
      <c r="L773" s="27"/>
    </row>
    <row r="774">
      <c r="H774" s="310"/>
      <c r="L774" s="27"/>
    </row>
    <row r="775">
      <c r="H775" s="310"/>
      <c r="L775" s="27"/>
    </row>
    <row r="776">
      <c r="H776" s="310"/>
      <c r="L776" s="27"/>
    </row>
    <row r="777">
      <c r="H777" s="310"/>
      <c r="L777" s="27"/>
    </row>
    <row r="778">
      <c r="H778" s="310"/>
      <c r="L778" s="27"/>
    </row>
    <row r="779">
      <c r="H779" s="310"/>
      <c r="L779" s="27"/>
    </row>
    <row r="780">
      <c r="H780" s="310"/>
      <c r="L780" s="27"/>
    </row>
    <row r="781">
      <c r="H781" s="310"/>
      <c r="L781" s="27"/>
    </row>
    <row r="782">
      <c r="H782" s="310"/>
      <c r="L782" s="27"/>
    </row>
    <row r="783">
      <c r="H783" s="310"/>
      <c r="L783" s="27"/>
    </row>
    <row r="784">
      <c r="H784" s="310"/>
      <c r="L784" s="27"/>
    </row>
    <row r="785">
      <c r="H785" s="310"/>
      <c r="L785" s="27"/>
    </row>
    <row r="786">
      <c r="H786" s="310"/>
      <c r="L786" s="27"/>
    </row>
    <row r="787">
      <c r="H787" s="310"/>
      <c r="L787" s="27"/>
    </row>
    <row r="788">
      <c r="H788" s="310"/>
      <c r="L788" s="27"/>
    </row>
    <row r="789">
      <c r="H789" s="310"/>
      <c r="L789" s="27"/>
    </row>
    <row r="790">
      <c r="H790" s="310"/>
      <c r="L790" s="27"/>
    </row>
    <row r="791">
      <c r="H791" s="310"/>
      <c r="L791" s="27"/>
    </row>
    <row r="792">
      <c r="H792" s="310"/>
      <c r="L792" s="27"/>
    </row>
    <row r="793">
      <c r="H793" s="310"/>
      <c r="L793" s="27"/>
    </row>
    <row r="794">
      <c r="H794" s="310"/>
      <c r="L794" s="27"/>
    </row>
    <row r="795">
      <c r="H795" s="310"/>
      <c r="L795" s="27"/>
    </row>
    <row r="796">
      <c r="H796" s="310"/>
      <c r="L796" s="27"/>
    </row>
    <row r="797">
      <c r="H797" s="310"/>
      <c r="L797" s="27"/>
    </row>
    <row r="798">
      <c r="H798" s="310"/>
      <c r="L798" s="27"/>
    </row>
    <row r="799">
      <c r="H799" s="310"/>
      <c r="L799" s="27"/>
    </row>
    <row r="800">
      <c r="H800" s="310"/>
      <c r="L800" s="27"/>
    </row>
    <row r="801">
      <c r="H801" s="310"/>
      <c r="L801" s="27"/>
    </row>
    <row r="802">
      <c r="H802" s="310"/>
      <c r="L802" s="27"/>
    </row>
    <row r="803">
      <c r="H803" s="310"/>
      <c r="L803" s="27"/>
    </row>
    <row r="804">
      <c r="H804" s="310"/>
      <c r="L804" s="27"/>
    </row>
    <row r="805">
      <c r="H805" s="310"/>
      <c r="L805" s="27"/>
    </row>
    <row r="806">
      <c r="H806" s="310"/>
      <c r="L806" s="27"/>
    </row>
    <row r="807">
      <c r="H807" s="310"/>
      <c r="L807" s="27"/>
    </row>
    <row r="808">
      <c r="H808" s="310"/>
      <c r="L808" s="27"/>
    </row>
    <row r="809">
      <c r="H809" s="310"/>
      <c r="L809" s="27"/>
    </row>
    <row r="810">
      <c r="H810" s="310"/>
      <c r="L810" s="27"/>
    </row>
    <row r="811">
      <c r="H811" s="310"/>
      <c r="L811" s="27"/>
    </row>
    <row r="812">
      <c r="H812" s="310"/>
      <c r="L812" s="27"/>
    </row>
    <row r="813">
      <c r="H813" s="310"/>
      <c r="L813" s="27"/>
    </row>
    <row r="814">
      <c r="H814" s="310"/>
      <c r="L814" s="27"/>
    </row>
    <row r="815">
      <c r="H815" s="310"/>
      <c r="L815" s="27"/>
    </row>
    <row r="816">
      <c r="H816" s="310"/>
      <c r="L816" s="27"/>
    </row>
    <row r="817">
      <c r="H817" s="310"/>
      <c r="L817" s="27"/>
    </row>
    <row r="818">
      <c r="H818" s="310"/>
      <c r="L818" s="27"/>
    </row>
    <row r="819">
      <c r="H819" s="310"/>
      <c r="L819" s="27"/>
    </row>
    <row r="820">
      <c r="H820" s="310"/>
      <c r="L820" s="27"/>
    </row>
    <row r="821">
      <c r="H821" s="310"/>
      <c r="L821" s="27"/>
    </row>
    <row r="822">
      <c r="H822" s="310"/>
      <c r="L822" s="27"/>
    </row>
    <row r="823">
      <c r="H823" s="310"/>
      <c r="L823" s="27"/>
    </row>
    <row r="824">
      <c r="H824" s="310"/>
      <c r="L824" s="27"/>
    </row>
    <row r="825">
      <c r="H825" s="310"/>
      <c r="L825" s="27"/>
    </row>
    <row r="826">
      <c r="H826" s="310"/>
      <c r="L826" s="27"/>
    </row>
    <row r="827">
      <c r="H827" s="310"/>
      <c r="L827" s="27"/>
    </row>
    <row r="828">
      <c r="H828" s="310"/>
      <c r="L828" s="27"/>
    </row>
    <row r="829">
      <c r="H829" s="310"/>
      <c r="L829" s="27"/>
    </row>
    <row r="830">
      <c r="H830" s="310"/>
      <c r="L830" s="27"/>
    </row>
    <row r="831">
      <c r="H831" s="310"/>
      <c r="L831" s="27"/>
    </row>
    <row r="832">
      <c r="H832" s="310"/>
      <c r="L832" s="27"/>
    </row>
    <row r="833">
      <c r="H833" s="310"/>
      <c r="L833" s="27"/>
    </row>
    <row r="834">
      <c r="H834" s="310"/>
      <c r="L834" s="27"/>
    </row>
    <row r="835">
      <c r="H835" s="310"/>
      <c r="L835" s="27"/>
    </row>
    <row r="836">
      <c r="H836" s="310"/>
      <c r="L836" s="27"/>
    </row>
    <row r="837">
      <c r="H837" s="310"/>
      <c r="L837" s="27"/>
    </row>
    <row r="838">
      <c r="H838" s="310"/>
      <c r="L838" s="27"/>
    </row>
    <row r="839">
      <c r="H839" s="310"/>
      <c r="L839" s="27"/>
    </row>
    <row r="840">
      <c r="H840" s="310"/>
      <c r="L840" s="27"/>
    </row>
    <row r="841">
      <c r="H841" s="310"/>
      <c r="L841" s="27"/>
    </row>
    <row r="842">
      <c r="H842" s="310"/>
      <c r="L842" s="27"/>
    </row>
    <row r="843">
      <c r="H843" s="310"/>
      <c r="L843" s="27"/>
    </row>
    <row r="844">
      <c r="H844" s="310"/>
      <c r="L844" s="27"/>
    </row>
    <row r="845">
      <c r="H845" s="310"/>
      <c r="L845" s="27"/>
    </row>
    <row r="846">
      <c r="H846" s="310"/>
      <c r="L846" s="27"/>
    </row>
    <row r="847">
      <c r="H847" s="310"/>
      <c r="L847" s="27"/>
    </row>
    <row r="848">
      <c r="H848" s="310"/>
      <c r="L848" s="27"/>
    </row>
    <row r="849">
      <c r="H849" s="310"/>
      <c r="L849" s="27"/>
    </row>
    <row r="850">
      <c r="H850" s="310"/>
      <c r="L850" s="27"/>
    </row>
    <row r="851">
      <c r="H851" s="310"/>
      <c r="L851" s="27"/>
    </row>
    <row r="852">
      <c r="H852" s="310"/>
      <c r="L852" s="27"/>
    </row>
    <row r="853">
      <c r="H853" s="310"/>
      <c r="L853" s="27"/>
    </row>
    <row r="854">
      <c r="H854" s="310"/>
      <c r="L854" s="27"/>
    </row>
    <row r="855">
      <c r="H855" s="310"/>
      <c r="L855" s="27"/>
    </row>
    <row r="856">
      <c r="H856" s="310"/>
      <c r="L856" s="27"/>
    </row>
    <row r="857">
      <c r="H857" s="310"/>
      <c r="L857" s="27"/>
    </row>
    <row r="858">
      <c r="H858" s="310"/>
      <c r="L858" s="27"/>
    </row>
    <row r="859">
      <c r="H859" s="310"/>
      <c r="L859" s="27"/>
    </row>
    <row r="860">
      <c r="H860" s="310"/>
      <c r="L860" s="27"/>
    </row>
    <row r="861">
      <c r="H861" s="310"/>
      <c r="L861" s="27"/>
    </row>
    <row r="862">
      <c r="H862" s="310"/>
      <c r="L862" s="27"/>
    </row>
    <row r="863">
      <c r="H863" s="310"/>
      <c r="L863" s="27"/>
    </row>
    <row r="864">
      <c r="H864" s="310"/>
      <c r="L864" s="27"/>
    </row>
    <row r="865">
      <c r="H865" s="310"/>
      <c r="L865" s="27"/>
    </row>
    <row r="866">
      <c r="H866" s="310"/>
      <c r="L866" s="27"/>
    </row>
    <row r="867">
      <c r="H867" s="310"/>
      <c r="L867" s="27"/>
    </row>
    <row r="868">
      <c r="H868" s="310"/>
      <c r="L868" s="27"/>
    </row>
    <row r="869">
      <c r="H869" s="310"/>
      <c r="L869" s="27"/>
    </row>
    <row r="870">
      <c r="H870" s="310"/>
      <c r="L870" s="27"/>
    </row>
    <row r="871">
      <c r="H871" s="310"/>
      <c r="L871" s="27"/>
    </row>
    <row r="872">
      <c r="H872" s="310"/>
      <c r="L872" s="27"/>
    </row>
    <row r="873">
      <c r="H873" s="310"/>
      <c r="L873" s="27"/>
    </row>
    <row r="874">
      <c r="H874" s="310"/>
      <c r="L874" s="27"/>
    </row>
    <row r="875">
      <c r="H875" s="310"/>
      <c r="L875" s="27"/>
    </row>
    <row r="876">
      <c r="H876" s="310"/>
      <c r="L876" s="27"/>
    </row>
    <row r="877">
      <c r="H877" s="310"/>
      <c r="L877" s="27"/>
    </row>
    <row r="878">
      <c r="H878" s="310"/>
      <c r="L878" s="27"/>
    </row>
    <row r="879">
      <c r="H879" s="310"/>
      <c r="L879" s="27"/>
    </row>
    <row r="880">
      <c r="H880" s="310"/>
      <c r="L880" s="27"/>
    </row>
    <row r="881">
      <c r="H881" s="310"/>
      <c r="L881" s="27"/>
    </row>
    <row r="882">
      <c r="H882" s="310"/>
      <c r="L882" s="27"/>
    </row>
    <row r="883">
      <c r="H883" s="310"/>
      <c r="L883" s="27"/>
    </row>
    <row r="884">
      <c r="H884" s="310"/>
      <c r="L884" s="27"/>
    </row>
    <row r="885">
      <c r="H885" s="310"/>
      <c r="L885" s="27"/>
    </row>
    <row r="886">
      <c r="H886" s="310"/>
      <c r="L886" s="27"/>
    </row>
    <row r="887">
      <c r="H887" s="310"/>
      <c r="L887" s="27"/>
    </row>
    <row r="888">
      <c r="H888" s="310"/>
      <c r="L888" s="27"/>
    </row>
    <row r="889">
      <c r="H889" s="310"/>
      <c r="L889" s="27"/>
    </row>
    <row r="890">
      <c r="H890" s="310"/>
      <c r="L890" s="27"/>
    </row>
    <row r="891">
      <c r="H891" s="310"/>
      <c r="L891" s="27"/>
    </row>
    <row r="892">
      <c r="H892" s="310"/>
      <c r="L892" s="27"/>
    </row>
    <row r="893">
      <c r="H893" s="310"/>
      <c r="L893" s="27"/>
    </row>
    <row r="894">
      <c r="H894" s="310"/>
      <c r="L894" s="27"/>
    </row>
    <row r="895">
      <c r="H895" s="310"/>
      <c r="L895" s="27"/>
    </row>
    <row r="896">
      <c r="H896" s="310"/>
      <c r="L896" s="27"/>
    </row>
    <row r="897">
      <c r="H897" s="310"/>
      <c r="L897" s="27"/>
    </row>
    <row r="898">
      <c r="H898" s="310"/>
      <c r="L898" s="27"/>
    </row>
    <row r="899">
      <c r="H899" s="310"/>
      <c r="L899" s="27"/>
    </row>
    <row r="900">
      <c r="H900" s="310"/>
      <c r="L900" s="27"/>
    </row>
    <row r="901">
      <c r="H901" s="310"/>
      <c r="L901" s="27"/>
    </row>
    <row r="902">
      <c r="H902" s="310"/>
      <c r="L902" s="27"/>
    </row>
    <row r="903">
      <c r="H903" s="310"/>
      <c r="L903" s="27"/>
    </row>
    <row r="904">
      <c r="H904" s="310"/>
      <c r="L904" s="27"/>
    </row>
    <row r="905">
      <c r="H905" s="310"/>
      <c r="L905" s="27"/>
    </row>
    <row r="906">
      <c r="H906" s="310"/>
      <c r="L906" s="27"/>
    </row>
    <row r="907">
      <c r="H907" s="310"/>
      <c r="L907" s="27"/>
    </row>
    <row r="908">
      <c r="H908" s="310"/>
      <c r="L908" s="27"/>
    </row>
    <row r="909">
      <c r="H909" s="310"/>
      <c r="L909" s="27"/>
    </row>
    <row r="910">
      <c r="H910" s="310"/>
      <c r="L910" s="27"/>
    </row>
    <row r="911">
      <c r="H911" s="310"/>
      <c r="L911" s="27"/>
    </row>
    <row r="912">
      <c r="H912" s="310"/>
      <c r="L912" s="27"/>
    </row>
    <row r="913">
      <c r="H913" s="310"/>
      <c r="L913" s="27"/>
    </row>
    <row r="914">
      <c r="H914" s="310"/>
      <c r="L914" s="27"/>
    </row>
    <row r="915">
      <c r="H915" s="310"/>
      <c r="L915" s="27"/>
    </row>
    <row r="916">
      <c r="H916" s="310"/>
      <c r="L916" s="27"/>
    </row>
    <row r="917">
      <c r="H917" s="310"/>
      <c r="L917" s="27"/>
    </row>
    <row r="918">
      <c r="H918" s="310"/>
      <c r="L918" s="27"/>
    </row>
    <row r="919">
      <c r="H919" s="310"/>
      <c r="L919" s="27"/>
    </row>
    <row r="920">
      <c r="H920" s="310"/>
      <c r="L920" s="27"/>
    </row>
    <row r="921">
      <c r="H921" s="310"/>
      <c r="L921" s="27"/>
    </row>
    <row r="922">
      <c r="H922" s="310"/>
      <c r="L922" s="27"/>
    </row>
    <row r="923">
      <c r="H923" s="310"/>
      <c r="L923" s="27"/>
    </row>
    <row r="924">
      <c r="H924" s="310"/>
      <c r="L924" s="27"/>
    </row>
    <row r="925">
      <c r="H925" s="310"/>
      <c r="L925" s="27"/>
    </row>
    <row r="926">
      <c r="H926" s="310"/>
      <c r="L926" s="27"/>
    </row>
    <row r="927">
      <c r="H927" s="310"/>
      <c r="L927" s="27"/>
    </row>
    <row r="928">
      <c r="H928" s="310"/>
      <c r="L928" s="27"/>
    </row>
    <row r="929">
      <c r="H929" s="310"/>
      <c r="L929" s="27"/>
    </row>
    <row r="930">
      <c r="H930" s="310"/>
      <c r="L930" s="27"/>
    </row>
    <row r="931">
      <c r="H931" s="310"/>
      <c r="L931" s="27"/>
    </row>
    <row r="932">
      <c r="H932" s="310"/>
      <c r="L932" s="27"/>
    </row>
    <row r="933">
      <c r="H933" s="310"/>
      <c r="L933" s="27"/>
    </row>
    <row r="934">
      <c r="H934" s="310"/>
      <c r="L934" s="27"/>
    </row>
    <row r="935">
      <c r="H935" s="310"/>
      <c r="L935" s="27"/>
    </row>
    <row r="936">
      <c r="H936" s="310"/>
      <c r="L936" s="27"/>
    </row>
    <row r="937">
      <c r="H937" s="310"/>
      <c r="L937" s="27"/>
    </row>
    <row r="938">
      <c r="H938" s="310"/>
      <c r="L938" s="27"/>
    </row>
    <row r="939">
      <c r="H939" s="310"/>
      <c r="L939" s="27"/>
    </row>
    <row r="940">
      <c r="H940" s="310"/>
      <c r="L940" s="27"/>
    </row>
    <row r="941">
      <c r="H941" s="310"/>
      <c r="L941" s="27"/>
    </row>
    <row r="942">
      <c r="H942" s="310"/>
      <c r="L942" s="27"/>
    </row>
    <row r="943">
      <c r="H943" s="310"/>
      <c r="L943" s="27"/>
    </row>
    <row r="944">
      <c r="H944" s="310"/>
      <c r="L944" s="27"/>
    </row>
    <row r="945">
      <c r="H945" s="310"/>
      <c r="L945" s="27"/>
    </row>
    <row r="946">
      <c r="H946" s="310"/>
      <c r="L946" s="27"/>
    </row>
    <row r="947">
      <c r="H947" s="310"/>
      <c r="L947" s="27"/>
    </row>
    <row r="948">
      <c r="H948" s="310"/>
      <c r="L948" s="27"/>
    </row>
    <row r="949">
      <c r="H949" s="310"/>
      <c r="L949" s="27"/>
    </row>
    <row r="950">
      <c r="H950" s="310"/>
      <c r="L950" s="27"/>
    </row>
    <row r="951">
      <c r="H951" s="310"/>
      <c r="L951" s="27"/>
    </row>
    <row r="952">
      <c r="H952" s="310"/>
      <c r="L952" s="27"/>
    </row>
    <row r="953">
      <c r="H953" s="310"/>
      <c r="L953" s="27"/>
    </row>
    <row r="954">
      <c r="H954" s="310"/>
      <c r="L954" s="27"/>
    </row>
    <row r="955">
      <c r="H955" s="310"/>
      <c r="L955" s="27"/>
    </row>
    <row r="956">
      <c r="H956" s="310"/>
      <c r="L956" s="27"/>
    </row>
    <row r="957">
      <c r="H957" s="310"/>
      <c r="L957" s="27"/>
    </row>
    <row r="958">
      <c r="H958" s="310"/>
      <c r="L958" s="27"/>
    </row>
    <row r="959">
      <c r="H959" s="310"/>
      <c r="L959" s="27"/>
    </row>
    <row r="960">
      <c r="H960" s="310"/>
      <c r="L960" s="27"/>
    </row>
    <row r="961">
      <c r="H961" s="310"/>
      <c r="L961" s="27"/>
    </row>
    <row r="962">
      <c r="H962" s="310"/>
      <c r="L962" s="27"/>
    </row>
    <row r="963">
      <c r="H963" s="310"/>
      <c r="L963" s="27"/>
    </row>
    <row r="964">
      <c r="H964" s="310"/>
      <c r="L964" s="27"/>
    </row>
    <row r="965">
      <c r="H965" s="310"/>
      <c r="L965" s="27"/>
    </row>
    <row r="966">
      <c r="H966" s="310"/>
      <c r="L966" s="27"/>
    </row>
    <row r="967">
      <c r="H967" s="310"/>
      <c r="L967" s="27"/>
    </row>
    <row r="968">
      <c r="H968" s="310"/>
      <c r="L968" s="27"/>
    </row>
    <row r="969">
      <c r="H969" s="310"/>
      <c r="L969" s="27"/>
    </row>
    <row r="970">
      <c r="H970" s="310"/>
      <c r="L970" s="27"/>
    </row>
    <row r="971">
      <c r="H971" s="310"/>
      <c r="L971" s="27"/>
    </row>
    <row r="972">
      <c r="H972" s="310"/>
      <c r="L972" s="27"/>
    </row>
    <row r="973">
      <c r="H973" s="310"/>
      <c r="L973" s="27"/>
    </row>
    <row r="974">
      <c r="H974" s="310"/>
      <c r="L974" s="27"/>
    </row>
    <row r="975">
      <c r="H975" s="310"/>
      <c r="L975" s="27"/>
    </row>
    <row r="976">
      <c r="H976" s="310"/>
      <c r="L976" s="27"/>
    </row>
    <row r="977">
      <c r="H977" s="310"/>
      <c r="L977" s="27"/>
    </row>
    <row r="978">
      <c r="H978" s="310"/>
      <c r="L978" s="27"/>
    </row>
    <row r="979">
      <c r="H979" s="310"/>
      <c r="L979" s="27"/>
    </row>
    <row r="980">
      <c r="H980" s="310"/>
      <c r="L980" s="27"/>
    </row>
    <row r="981">
      <c r="H981" s="310"/>
      <c r="L981" s="27"/>
    </row>
    <row r="982">
      <c r="H982" s="310"/>
      <c r="L982" s="27"/>
    </row>
    <row r="983">
      <c r="H983" s="310"/>
      <c r="L983" s="27"/>
    </row>
    <row r="984">
      <c r="H984" s="310"/>
      <c r="L984" s="27"/>
    </row>
    <row r="985">
      <c r="H985" s="310"/>
      <c r="L985" s="27"/>
    </row>
    <row r="986">
      <c r="H986" s="310"/>
      <c r="L986" s="27"/>
    </row>
    <row r="987">
      <c r="H987" s="310"/>
      <c r="L987" s="27"/>
    </row>
    <row r="988">
      <c r="H988" s="310"/>
      <c r="L988" s="27"/>
    </row>
    <row r="989">
      <c r="H989" s="310"/>
      <c r="L989" s="27"/>
    </row>
    <row r="990">
      <c r="H990" s="310"/>
      <c r="L990" s="27"/>
    </row>
    <row r="991">
      <c r="H991" s="310"/>
      <c r="L991" s="27"/>
    </row>
    <row r="992">
      <c r="H992" s="310"/>
      <c r="L992" s="27"/>
    </row>
    <row r="993">
      <c r="H993" s="310"/>
      <c r="L993" s="27"/>
    </row>
    <row r="994">
      <c r="H994" s="310"/>
      <c r="L994" s="27"/>
    </row>
    <row r="995">
      <c r="H995" s="310"/>
      <c r="L995" s="27"/>
    </row>
    <row r="996">
      <c r="H996" s="310"/>
      <c r="L996" s="27"/>
    </row>
    <row r="997">
      <c r="H997" s="310"/>
      <c r="L997" s="27"/>
    </row>
    <row r="998">
      <c r="H998" s="310"/>
      <c r="L998" s="27"/>
    </row>
    <row r="999">
      <c r="H999" s="310"/>
      <c r="L999" s="27"/>
    </row>
    <row r="1000">
      <c r="H1000" s="310"/>
      <c r="L1000" s="27"/>
    </row>
    <row r="1001">
      <c r="H1001" s="310"/>
      <c r="L1001" s="27"/>
    </row>
  </sheetData>
  <conditionalFormatting sqref="D48:G48">
    <cfRule type="cellIs" dxfId="0" priority="1" operator="lessThan">
      <formula>0</formula>
    </cfRule>
  </conditionalFormatting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9.38"/>
    <col hidden="1" min="4" max="5" width="12.63"/>
    <col customWidth="1" hidden="1" min="6" max="6" width="14.63"/>
    <col customWidth="1" hidden="1" min="7" max="7" width="20.25"/>
    <col hidden="1" min="8" max="8" width="12.63"/>
    <col customWidth="1" min="14" max="14" width="20.63"/>
    <col customWidth="1" min="15" max="15" width="11.25"/>
    <col customWidth="1" min="16" max="16" width="7.88"/>
    <col customWidth="1" min="17" max="18" width="9.5"/>
  </cols>
  <sheetData>
    <row r="1">
      <c r="A1" s="18" t="s">
        <v>346</v>
      </c>
      <c r="B1" s="199" t="s">
        <v>296</v>
      </c>
      <c r="E1" s="27"/>
      <c r="F1" s="27"/>
      <c r="H1" s="310"/>
      <c r="N1" s="107"/>
    </row>
    <row r="2">
      <c r="B2" s="18" t="s">
        <v>240</v>
      </c>
      <c r="C2" s="249">
        <v>13.0</v>
      </c>
      <c r="E2" s="32"/>
      <c r="F2" s="27"/>
      <c r="H2" s="310"/>
      <c r="N2" s="27"/>
    </row>
    <row r="3">
      <c r="B3" s="18" t="s">
        <v>241</v>
      </c>
      <c r="C3" s="249">
        <v>48.0</v>
      </c>
      <c r="E3" s="32"/>
      <c r="F3" s="27"/>
      <c r="H3" s="310"/>
      <c r="N3" s="27"/>
    </row>
    <row r="4">
      <c r="B4" s="18" t="s">
        <v>242</v>
      </c>
      <c r="C4" s="249">
        <v>13.0</v>
      </c>
      <c r="H4" s="310"/>
      <c r="N4" s="27"/>
      <c r="O4" s="107"/>
      <c r="P4" s="107"/>
      <c r="S4" s="17"/>
    </row>
    <row r="5">
      <c r="B5" s="18" t="s">
        <v>285</v>
      </c>
      <c r="C5" s="249">
        <v>42.0</v>
      </c>
      <c r="E5" s="249"/>
      <c r="F5" s="249"/>
      <c r="H5" s="310"/>
      <c r="N5" s="27"/>
      <c r="O5" s="107"/>
      <c r="P5" s="107"/>
      <c r="S5" s="32"/>
    </row>
    <row r="6">
      <c r="B6" s="18" t="s">
        <v>324</v>
      </c>
      <c r="C6" s="249">
        <v>6.0</v>
      </c>
      <c r="E6" s="249"/>
      <c r="F6" s="249"/>
      <c r="H6" s="310"/>
      <c r="N6" s="301" t="s">
        <v>325</v>
      </c>
      <c r="O6" s="107"/>
      <c r="P6" s="107"/>
      <c r="S6" s="30"/>
    </row>
    <row r="7">
      <c r="C7" s="276">
        <f>SUM(C2:C6)</f>
        <v>122</v>
      </c>
      <c r="E7" s="27"/>
      <c r="F7" s="27"/>
      <c r="H7" s="310"/>
      <c r="N7" s="302" t="s">
        <v>119</v>
      </c>
      <c r="O7" s="302" t="s">
        <v>120</v>
      </c>
      <c r="P7" s="27"/>
    </row>
    <row r="8">
      <c r="E8" s="107"/>
      <c r="F8" s="107"/>
      <c r="H8" s="311"/>
      <c r="N8" s="7" t="s">
        <v>347</v>
      </c>
      <c r="O8" s="7" t="s">
        <v>348</v>
      </c>
      <c r="P8" s="107"/>
    </row>
    <row r="9">
      <c r="B9" s="55" t="s">
        <v>122</v>
      </c>
      <c r="C9" s="56"/>
      <c r="D9" s="254" t="s">
        <v>125</v>
      </c>
      <c r="E9" s="254" t="s">
        <v>126</v>
      </c>
      <c r="F9" s="254" t="s">
        <v>127</v>
      </c>
      <c r="G9" s="254" t="s">
        <v>128</v>
      </c>
      <c r="H9" s="254" t="s">
        <v>129</v>
      </c>
      <c r="I9" s="254" t="s">
        <v>130</v>
      </c>
      <c r="J9" s="253" t="s">
        <v>131</v>
      </c>
      <c r="K9" s="254" t="s">
        <v>132</v>
      </c>
      <c r="N9" s="7" t="s">
        <v>328</v>
      </c>
      <c r="O9" s="7" t="s">
        <v>349</v>
      </c>
      <c r="P9" s="107"/>
      <c r="R9" s="18"/>
      <c r="S9" s="18"/>
    </row>
    <row r="10">
      <c r="B10" s="59" t="s">
        <v>129</v>
      </c>
      <c r="C10" s="60"/>
      <c r="D10" s="61">
        <v>6625.0</v>
      </c>
      <c r="E10" s="61">
        <v>6675.0</v>
      </c>
      <c r="F10" s="113">
        <v>6675.0</v>
      </c>
      <c r="G10" s="113">
        <v>6675.0</v>
      </c>
      <c r="H10" s="113">
        <v>6675.0</v>
      </c>
      <c r="I10" s="113">
        <v>8324.69</v>
      </c>
      <c r="J10" s="113">
        <v>8171.69</v>
      </c>
      <c r="K10" s="113">
        <v>8171.69</v>
      </c>
      <c r="N10" s="7"/>
      <c r="O10" s="7" t="s">
        <v>192</v>
      </c>
      <c r="P10" s="107"/>
      <c r="R10" s="18"/>
    </row>
    <row r="11">
      <c r="B11" s="59" t="s">
        <v>136</v>
      </c>
      <c r="C11" s="60"/>
      <c r="D11" s="62">
        <f>3191.15+385.96</f>
        <v>3577.11</v>
      </c>
      <c r="E11" s="62">
        <f>1290+98+1831.15+385.96</f>
        <v>3605.11</v>
      </c>
      <c r="F11" s="114">
        <f t="shared" ref="F11:G11" si="1">1290+3711.15+385.96</f>
        <v>5387.11</v>
      </c>
      <c r="G11" s="114">
        <f t="shared" si="1"/>
        <v>5387.11</v>
      </c>
      <c r="H11" s="114">
        <f>2040+3303.11-0.3</f>
        <v>5342.81</v>
      </c>
      <c r="I11" s="114">
        <f>2040+3367.11</f>
        <v>5407.11</v>
      </c>
      <c r="J11" s="114">
        <f>2040+3379.11</f>
        <v>5419.11</v>
      </c>
      <c r="K11" s="114">
        <f>2040+3303.11-0.3</f>
        <v>5342.81</v>
      </c>
      <c r="N11" s="303"/>
      <c r="O11" s="107"/>
      <c r="P11" s="27"/>
      <c r="R11" s="18"/>
    </row>
    <row r="12">
      <c r="B12" s="59" t="s">
        <v>137</v>
      </c>
      <c r="C12" s="60"/>
      <c r="D12" s="62">
        <v>3100.0</v>
      </c>
      <c r="E12" s="62"/>
      <c r="F12" s="114" t="s">
        <v>330</v>
      </c>
      <c r="G12" s="114"/>
      <c r="H12" s="313"/>
      <c r="I12" s="313"/>
      <c r="J12" s="313"/>
      <c r="K12" s="313"/>
      <c r="N12" s="363"/>
      <c r="O12" s="107"/>
      <c r="P12" s="107"/>
      <c r="R12" s="18"/>
    </row>
    <row r="13">
      <c r="B13" s="59" t="s">
        <v>138</v>
      </c>
      <c r="C13" s="60"/>
      <c r="D13" s="62">
        <v>6215.07</v>
      </c>
      <c r="E13" s="258"/>
      <c r="F13" s="258"/>
      <c r="G13" s="66"/>
      <c r="H13" s="314"/>
      <c r="I13" s="314"/>
      <c r="J13" s="348"/>
      <c r="K13" s="348"/>
      <c r="N13" s="32"/>
      <c r="O13" s="107"/>
      <c r="P13" s="107"/>
      <c r="R13" s="18"/>
    </row>
    <row r="14">
      <c r="B14" s="67" t="s">
        <v>139</v>
      </c>
      <c r="C14" s="68"/>
      <c r="D14" s="69">
        <f t="shared" ref="D14:K14" si="2">SUM(D10:D13)</f>
        <v>19517.18</v>
      </c>
      <c r="E14" s="69">
        <f t="shared" si="2"/>
        <v>10280.11</v>
      </c>
      <c r="F14" s="69">
        <f t="shared" si="2"/>
        <v>12062.11</v>
      </c>
      <c r="G14" s="69">
        <f t="shared" si="2"/>
        <v>12062.11</v>
      </c>
      <c r="H14" s="315">
        <f t="shared" si="2"/>
        <v>12017.81</v>
      </c>
      <c r="I14" s="315">
        <f t="shared" si="2"/>
        <v>13731.8</v>
      </c>
      <c r="J14" s="315">
        <f t="shared" si="2"/>
        <v>13590.8</v>
      </c>
      <c r="K14" s="315">
        <f t="shared" si="2"/>
        <v>13514.5</v>
      </c>
      <c r="N14" s="248"/>
      <c r="O14" s="107"/>
      <c r="P14" s="107"/>
      <c r="R14" s="18"/>
      <c r="U14" s="107"/>
    </row>
    <row r="15">
      <c r="H15" s="311"/>
      <c r="I15" s="311"/>
      <c r="J15" s="311"/>
      <c r="K15" s="311"/>
      <c r="N15" s="32"/>
      <c r="O15" s="107"/>
      <c r="R15" s="18"/>
      <c r="U15" s="27"/>
    </row>
    <row r="16">
      <c r="B16" s="70" t="s">
        <v>140</v>
      </c>
      <c r="C16" s="71"/>
      <c r="D16" s="58" t="s">
        <v>126</v>
      </c>
      <c r="E16" s="58" t="s">
        <v>127</v>
      </c>
      <c r="F16" s="58" t="s">
        <v>128</v>
      </c>
      <c r="G16" s="58" t="s">
        <v>129</v>
      </c>
      <c r="H16" s="316" t="s">
        <v>130</v>
      </c>
      <c r="I16" s="316" t="s">
        <v>131</v>
      </c>
      <c r="J16" s="316" t="s">
        <v>132</v>
      </c>
      <c r="K16" s="316" t="s">
        <v>133</v>
      </c>
      <c r="N16" s="107"/>
      <c r="O16" s="26"/>
      <c r="P16" s="107"/>
      <c r="R16" s="18"/>
    </row>
    <row r="17">
      <c r="B17" s="72" t="s">
        <v>141</v>
      </c>
      <c r="C17" s="73"/>
      <c r="D17" s="75">
        <v>325.7</v>
      </c>
      <c r="E17" s="75">
        <v>330.0</v>
      </c>
      <c r="F17" s="75">
        <v>355.4</v>
      </c>
      <c r="G17" s="317">
        <f>F17</f>
        <v>355.4</v>
      </c>
      <c r="H17" s="317">
        <v>350.0</v>
      </c>
      <c r="I17" s="349">
        <v>326.7</v>
      </c>
      <c r="J17" s="349">
        <v>307.6</v>
      </c>
      <c r="K17" s="349">
        <v>350.0</v>
      </c>
      <c r="N17" s="107" t="s">
        <v>331</v>
      </c>
      <c r="O17" s="192"/>
      <c r="R17" s="18"/>
    </row>
    <row r="18">
      <c r="B18" s="72" t="s">
        <v>142</v>
      </c>
      <c r="C18" s="73"/>
      <c r="D18" s="75">
        <v>185.9</v>
      </c>
      <c r="E18" s="75">
        <v>170.1</v>
      </c>
      <c r="F18" s="75">
        <v>171.7</v>
      </c>
      <c r="G18" s="75" t="s">
        <v>350</v>
      </c>
      <c r="H18" s="317">
        <v>200.0</v>
      </c>
      <c r="I18" s="349">
        <v>153.8</v>
      </c>
      <c r="J18" s="349" t="s">
        <v>356</v>
      </c>
      <c r="K18" s="349">
        <v>200.0</v>
      </c>
      <c r="N18" s="192"/>
      <c r="O18" s="26" t="s">
        <v>27</v>
      </c>
      <c r="P18" s="26" t="s">
        <v>274</v>
      </c>
      <c r="Q18" s="26" t="s">
        <v>351</v>
      </c>
      <c r="R18" s="26" t="s">
        <v>333</v>
      </c>
      <c r="S18" s="107" t="s">
        <v>3</v>
      </c>
    </row>
    <row r="19">
      <c r="B19" s="72" t="s">
        <v>143</v>
      </c>
      <c r="C19" s="73"/>
      <c r="D19" s="75">
        <v>165.0</v>
      </c>
      <c r="E19" s="75">
        <v>164.9</v>
      </c>
      <c r="F19" s="75">
        <v>164.9</v>
      </c>
      <c r="G19" s="75">
        <f>F19</f>
        <v>164.9</v>
      </c>
      <c r="H19" s="317">
        <v>174.88</v>
      </c>
      <c r="I19" s="317">
        <f>H19</f>
        <v>174.88</v>
      </c>
      <c r="J19" s="317">
        <f>174.85</f>
        <v>174.85</v>
      </c>
      <c r="K19" s="317">
        <f>J19</f>
        <v>174.85</v>
      </c>
      <c r="N19" s="364" t="s">
        <v>141</v>
      </c>
      <c r="O19" s="350"/>
      <c r="P19" s="246"/>
      <c r="Q19" s="246">
        <v>350.0</v>
      </c>
      <c r="R19" s="246"/>
    </row>
    <row r="20">
      <c r="B20" s="72" t="s">
        <v>144</v>
      </c>
      <c r="C20" s="73"/>
      <c r="D20" s="75">
        <v>106.0</v>
      </c>
      <c r="E20" s="75">
        <v>100.0</v>
      </c>
      <c r="F20" s="75">
        <v>100.0</v>
      </c>
      <c r="G20" s="75">
        <v>100.0</v>
      </c>
      <c r="H20" s="317">
        <f t="shared" ref="H20:K20" si="3">G20</f>
        <v>100</v>
      </c>
      <c r="I20" s="317">
        <f t="shared" si="3"/>
        <v>100</v>
      </c>
      <c r="J20" s="339">
        <f t="shared" si="3"/>
        <v>100</v>
      </c>
      <c r="K20" s="317">
        <f t="shared" si="3"/>
        <v>100</v>
      </c>
      <c r="N20" s="364" t="s">
        <v>142</v>
      </c>
      <c r="O20" s="352"/>
      <c r="P20" s="246"/>
      <c r="Q20" s="246">
        <v>200.0</v>
      </c>
      <c r="R20" s="246"/>
      <c r="S20" s="18"/>
    </row>
    <row r="21">
      <c r="B21" s="72" t="s">
        <v>145</v>
      </c>
      <c r="C21" s="73"/>
      <c r="D21" s="75">
        <v>2500.0</v>
      </c>
      <c r="E21" s="75">
        <v>2500.0</v>
      </c>
      <c r="F21" s="75">
        <v>2500.0</v>
      </c>
      <c r="G21" s="75">
        <v>2500.0</v>
      </c>
      <c r="H21" s="317">
        <v>2500.0</v>
      </c>
      <c r="I21" s="317">
        <v>2500.0</v>
      </c>
      <c r="J21" s="317">
        <v>2500.0</v>
      </c>
      <c r="K21" s="317">
        <v>2500.0</v>
      </c>
      <c r="N21" s="364" t="s">
        <v>143</v>
      </c>
      <c r="O21" s="246"/>
      <c r="P21" s="246"/>
      <c r="Q21" s="246">
        <v>174.88</v>
      </c>
      <c r="R21" s="246"/>
      <c r="S21" s="287"/>
    </row>
    <row r="22">
      <c r="B22" s="72" t="s">
        <v>146</v>
      </c>
      <c r="C22" s="77" t="s">
        <v>147</v>
      </c>
      <c r="D22" s="75">
        <v>400.0</v>
      </c>
      <c r="E22" s="75">
        <v>400.0</v>
      </c>
      <c r="F22" s="75">
        <v>400.0</v>
      </c>
      <c r="G22" s="75">
        <f t="shared" ref="G22:K22" si="4">F22</f>
        <v>400</v>
      </c>
      <c r="H22" s="317">
        <f t="shared" si="4"/>
        <v>400</v>
      </c>
      <c r="I22" s="317">
        <f t="shared" si="4"/>
        <v>400</v>
      </c>
      <c r="J22" s="317">
        <f t="shared" si="4"/>
        <v>400</v>
      </c>
      <c r="K22" s="317">
        <f t="shared" si="4"/>
        <v>400</v>
      </c>
      <c r="N22" s="364" t="s">
        <v>144</v>
      </c>
      <c r="O22" s="269"/>
      <c r="P22" s="246"/>
      <c r="Q22" s="339">
        <v>100.0</v>
      </c>
      <c r="R22" s="246"/>
    </row>
    <row r="23">
      <c r="B23" s="72" t="s">
        <v>148</v>
      </c>
      <c r="C23" s="73"/>
      <c r="D23" s="75">
        <v>600.0</v>
      </c>
      <c r="E23" s="75">
        <v>650.0</v>
      </c>
      <c r="F23" s="75">
        <v>650.0</v>
      </c>
      <c r="G23" s="75">
        <v>500.0</v>
      </c>
      <c r="H23" s="317">
        <v>500.0</v>
      </c>
      <c r="I23" s="317">
        <v>500.0</v>
      </c>
      <c r="J23" s="339">
        <v>500.0</v>
      </c>
      <c r="K23" s="317">
        <v>500.0</v>
      </c>
      <c r="N23" s="364" t="s">
        <v>145</v>
      </c>
      <c r="O23" s="265"/>
      <c r="P23" s="246"/>
      <c r="Q23" s="365">
        <v>2500.0</v>
      </c>
      <c r="R23" s="246"/>
    </row>
    <row r="24">
      <c r="B24" s="72" t="s">
        <v>149</v>
      </c>
      <c r="C24" s="73"/>
      <c r="D24" s="75">
        <v>500.0</v>
      </c>
      <c r="E24" s="75">
        <v>500.0</v>
      </c>
      <c r="F24" s="75">
        <v>500.0</v>
      </c>
      <c r="G24" s="75">
        <f t="shared" ref="G24:K24" si="5">F24</f>
        <v>500</v>
      </c>
      <c r="H24" s="317">
        <f t="shared" si="5"/>
        <v>500</v>
      </c>
      <c r="I24" s="317">
        <f t="shared" si="5"/>
        <v>500</v>
      </c>
      <c r="J24" s="339">
        <f t="shared" si="5"/>
        <v>500</v>
      </c>
      <c r="K24" s="317">
        <f t="shared" si="5"/>
        <v>500</v>
      </c>
      <c r="N24" s="364" t="s">
        <v>146</v>
      </c>
      <c r="O24" s="263">
        <v>200.0</v>
      </c>
      <c r="P24" s="257">
        <v>200.0</v>
      </c>
      <c r="R24" s="246"/>
    </row>
    <row r="25">
      <c r="B25" s="72" t="s">
        <v>150</v>
      </c>
      <c r="C25" s="73"/>
      <c r="D25" s="75">
        <v>300.0</v>
      </c>
      <c r="E25" s="75">
        <v>300.0</v>
      </c>
      <c r="F25" s="75">
        <v>300.0</v>
      </c>
      <c r="G25" s="75">
        <f t="shared" ref="G25:H25" si="6">F25</f>
        <v>300</v>
      </c>
      <c r="H25" s="317">
        <f t="shared" si="6"/>
        <v>300</v>
      </c>
      <c r="I25" s="317">
        <v>400.0</v>
      </c>
      <c r="J25" s="317">
        <f t="shared" ref="J25:K25" si="7">I25</f>
        <v>400</v>
      </c>
      <c r="K25" s="317">
        <f t="shared" si="7"/>
        <v>400</v>
      </c>
      <c r="N25" s="364" t="s">
        <v>148</v>
      </c>
      <c r="O25" s="247"/>
      <c r="P25" s="247"/>
      <c r="Q25" s="246">
        <v>500.0</v>
      </c>
      <c r="R25" s="246"/>
    </row>
    <row r="26">
      <c r="B26" s="72" t="s">
        <v>357</v>
      </c>
      <c r="C26" s="73"/>
      <c r="D26" s="75"/>
      <c r="E26" s="75"/>
      <c r="F26" s="75"/>
      <c r="G26" s="75"/>
      <c r="H26" s="317"/>
      <c r="I26" s="317"/>
      <c r="J26" s="317"/>
      <c r="K26" s="317"/>
      <c r="N26" s="364" t="s">
        <v>149</v>
      </c>
      <c r="O26" s="247"/>
      <c r="P26" s="247"/>
      <c r="Q26" s="339">
        <v>500.0</v>
      </c>
      <c r="R26" s="246"/>
    </row>
    <row r="27">
      <c r="B27" s="72" t="s">
        <v>152</v>
      </c>
      <c r="C27" s="73"/>
      <c r="D27" s="75">
        <v>200.0</v>
      </c>
      <c r="E27" s="75"/>
      <c r="F27" s="75"/>
      <c r="G27" s="75"/>
      <c r="H27" s="317"/>
      <c r="I27" s="317"/>
      <c r="J27" s="317"/>
      <c r="K27" s="319"/>
      <c r="N27" s="364" t="s">
        <v>150</v>
      </c>
      <c r="O27" s="247"/>
      <c r="P27" s="366">
        <v>400.0</v>
      </c>
      <c r="Q27" s="266"/>
      <c r="R27" s="246"/>
    </row>
    <row r="28">
      <c r="B28" s="72" t="s">
        <v>181</v>
      </c>
      <c r="C28" s="73"/>
      <c r="D28" s="75">
        <v>100.0</v>
      </c>
      <c r="E28" s="75">
        <v>150.0</v>
      </c>
      <c r="F28" s="75">
        <v>150.0</v>
      </c>
      <c r="G28" s="75">
        <f t="shared" ref="G28:I28" si="8">F28</f>
        <v>150</v>
      </c>
      <c r="H28" s="317">
        <f t="shared" si="8"/>
        <v>150</v>
      </c>
      <c r="I28" s="317">
        <f t="shared" si="8"/>
        <v>150</v>
      </c>
      <c r="J28" s="339">
        <f>I28+160</f>
        <v>310</v>
      </c>
      <c r="K28" s="317">
        <f>J28</f>
        <v>310</v>
      </c>
      <c r="N28" s="364" t="s">
        <v>181</v>
      </c>
      <c r="O28" s="247"/>
      <c r="P28" s="247"/>
      <c r="Q28" s="337">
        <v>310.0</v>
      </c>
      <c r="R28" s="246"/>
      <c r="W28" s="18" t="s">
        <v>358</v>
      </c>
    </row>
    <row r="29">
      <c r="B29" s="72" t="s">
        <v>296</v>
      </c>
      <c r="C29" s="73"/>
      <c r="D29" s="75">
        <v>116.0</v>
      </c>
      <c r="E29" s="75">
        <v>112.0</v>
      </c>
      <c r="F29" s="75">
        <v>122.0</v>
      </c>
      <c r="G29" s="75">
        <f t="shared" ref="G29:K29" si="9">F29</f>
        <v>122</v>
      </c>
      <c r="H29" s="317">
        <f t="shared" si="9"/>
        <v>122</v>
      </c>
      <c r="I29" s="317">
        <f t="shared" si="9"/>
        <v>122</v>
      </c>
      <c r="J29" s="317">
        <f t="shared" si="9"/>
        <v>122</v>
      </c>
      <c r="K29" s="317">
        <f t="shared" si="9"/>
        <v>122</v>
      </c>
      <c r="N29" s="364" t="s">
        <v>296</v>
      </c>
      <c r="O29" s="263">
        <v>109.0</v>
      </c>
      <c r="P29" s="257">
        <v>13.0</v>
      </c>
      <c r="Q29" s="367"/>
      <c r="R29" s="246"/>
      <c r="W29" s="18" t="s">
        <v>345</v>
      </c>
    </row>
    <row r="30">
      <c r="B30" s="72" t="s">
        <v>155</v>
      </c>
      <c r="C30" s="73"/>
      <c r="D30" s="75"/>
      <c r="E30" s="75"/>
      <c r="F30" s="74"/>
      <c r="G30" s="75" t="str">
        <f t="shared" ref="G30:K30" si="10">F30</f>
        <v/>
      </c>
      <c r="H30" s="317" t="str">
        <f t="shared" si="10"/>
        <v/>
      </c>
      <c r="I30" s="317" t="str">
        <f t="shared" si="10"/>
        <v/>
      </c>
      <c r="J30" s="317" t="str">
        <f t="shared" si="10"/>
        <v/>
      </c>
      <c r="K30" s="317" t="str">
        <f t="shared" si="10"/>
        <v/>
      </c>
      <c r="N30" s="364" t="s">
        <v>156</v>
      </c>
      <c r="O30" s="247"/>
      <c r="P30" s="247"/>
      <c r="Q30" s="263"/>
      <c r="R30" s="246"/>
      <c r="S30" s="107">
        <v>200.0</v>
      </c>
      <c r="W30" s="18" t="s">
        <v>359</v>
      </c>
    </row>
    <row r="31">
      <c r="B31" s="72" t="s">
        <v>156</v>
      </c>
      <c r="C31" s="73"/>
      <c r="D31" s="75">
        <v>200.0</v>
      </c>
      <c r="E31" s="75">
        <v>1200.0</v>
      </c>
      <c r="F31" s="75">
        <v>1000.0</v>
      </c>
      <c r="G31" s="317">
        <v>400.0</v>
      </c>
      <c r="H31" s="317">
        <v>200.0</v>
      </c>
      <c r="I31" s="317"/>
      <c r="J31" s="317">
        <v>200.0</v>
      </c>
      <c r="K31" s="317">
        <v>200.0</v>
      </c>
      <c r="N31" s="368" t="s">
        <v>295</v>
      </c>
      <c r="O31" s="247"/>
      <c r="P31" s="247"/>
      <c r="Q31" s="367"/>
      <c r="R31" s="263">
        <v>2000.0</v>
      </c>
      <c r="W31" s="18" t="s">
        <v>360</v>
      </c>
    </row>
    <row r="32">
      <c r="B32" s="72" t="s">
        <v>272</v>
      </c>
      <c r="C32" s="73"/>
      <c r="D32" s="74"/>
      <c r="E32" s="74"/>
      <c r="F32" s="74"/>
      <c r="G32" s="75" t="str">
        <f t="shared" ref="G32:K32" si="11">F32</f>
        <v/>
      </c>
      <c r="H32" s="317" t="str">
        <f t="shared" si="11"/>
        <v/>
      </c>
      <c r="I32" s="317" t="str">
        <f t="shared" si="11"/>
        <v/>
      </c>
      <c r="J32" s="317" t="str">
        <f t="shared" si="11"/>
        <v/>
      </c>
      <c r="K32" s="317" t="str">
        <f t="shared" si="11"/>
        <v/>
      </c>
      <c r="N32" s="364" t="s">
        <v>159</v>
      </c>
      <c r="O32" s="263">
        <v>400.0</v>
      </c>
      <c r="P32" s="257"/>
      <c r="Q32" s="367"/>
      <c r="R32" s="246"/>
      <c r="W32" s="4" t="s">
        <v>340</v>
      </c>
      <c r="X32" s="1"/>
    </row>
    <row r="33">
      <c r="B33" s="272" t="s">
        <v>295</v>
      </c>
      <c r="C33" s="273"/>
      <c r="D33" s="274">
        <v>1500.0</v>
      </c>
      <c r="E33" s="274">
        <v>1500.0</v>
      </c>
      <c r="F33" s="274">
        <v>1500.0</v>
      </c>
      <c r="G33" s="274">
        <f t="shared" ref="G33:G35" si="13">F33</f>
        <v>1500</v>
      </c>
      <c r="H33" s="274">
        <v>1800.0</v>
      </c>
      <c r="I33" s="274">
        <v>2000.0</v>
      </c>
      <c r="J33" s="274">
        <f t="shared" ref="J33:K33" si="12">I33</f>
        <v>2000</v>
      </c>
      <c r="K33" s="317">
        <f t="shared" si="12"/>
        <v>2000</v>
      </c>
      <c r="N33" s="107" t="s">
        <v>334</v>
      </c>
      <c r="O33" s="263">
        <f>1500-63.28</f>
        <v>1436.72</v>
      </c>
      <c r="P33" s="257">
        <v>1500.0</v>
      </c>
      <c r="Q33" s="367"/>
      <c r="R33" s="246"/>
      <c r="W33" s="6">
        <v>5886.5</v>
      </c>
      <c r="X33" s="6" t="s">
        <v>361</v>
      </c>
    </row>
    <row r="34">
      <c r="B34" s="72" t="s">
        <v>159</v>
      </c>
      <c r="C34" s="73"/>
      <c r="D34" s="75">
        <v>800.0</v>
      </c>
      <c r="E34" s="75">
        <v>800.0</v>
      </c>
      <c r="F34" s="75">
        <v>800.0</v>
      </c>
      <c r="G34" s="75">
        <f t="shared" si="13"/>
        <v>800</v>
      </c>
      <c r="H34" s="317">
        <f t="shared" ref="H34:K34" si="14">G34</f>
        <v>800</v>
      </c>
      <c r="I34" s="319">
        <f t="shared" si="14"/>
        <v>800</v>
      </c>
      <c r="J34" s="319">
        <f t="shared" si="14"/>
        <v>800</v>
      </c>
      <c r="K34" s="317">
        <f t="shared" si="14"/>
        <v>800</v>
      </c>
      <c r="N34" s="107" t="s">
        <v>335</v>
      </c>
      <c r="O34" s="246"/>
      <c r="P34" s="257"/>
      <c r="Q34" s="246"/>
      <c r="R34" s="246"/>
      <c r="S34" s="107"/>
      <c r="W34" s="6">
        <v>5367.69</v>
      </c>
      <c r="X34" s="6" t="s">
        <v>362</v>
      </c>
    </row>
    <row r="35">
      <c r="B35" s="72" t="s">
        <v>160</v>
      </c>
      <c r="C35" s="73"/>
      <c r="D35" s="75">
        <v>1800.0</v>
      </c>
      <c r="E35" s="75">
        <v>1800.0</v>
      </c>
      <c r="F35" s="75">
        <v>1800.0</v>
      </c>
      <c r="G35" s="75">
        <f t="shared" si="13"/>
        <v>1800</v>
      </c>
      <c r="H35" s="317">
        <f>G35+500</f>
        <v>2300</v>
      </c>
      <c r="I35" s="319">
        <v>3000.0</v>
      </c>
      <c r="J35" s="319">
        <f t="shared" ref="J35:K35" si="15">I35</f>
        <v>3000</v>
      </c>
      <c r="K35" s="317">
        <f t="shared" si="15"/>
        <v>3000</v>
      </c>
      <c r="N35" s="107"/>
      <c r="O35" s="251"/>
      <c r="P35" s="246"/>
      <c r="Q35" s="246"/>
      <c r="R35" s="246"/>
    </row>
    <row r="36">
      <c r="B36" s="67" t="s">
        <v>161</v>
      </c>
      <c r="C36" s="68"/>
      <c r="D36" s="78">
        <f t="shared" ref="D36:K36" si="16">SUM(D17:D35)*-1</f>
        <v>-9798.6</v>
      </c>
      <c r="E36" s="78">
        <f t="shared" si="16"/>
        <v>-10677</v>
      </c>
      <c r="F36" s="78">
        <f t="shared" si="16"/>
        <v>-10514</v>
      </c>
      <c r="G36" s="78">
        <f t="shared" si="16"/>
        <v>-9592.3</v>
      </c>
      <c r="H36" s="320">
        <f t="shared" si="16"/>
        <v>-10396.88</v>
      </c>
      <c r="I36" s="320">
        <f t="shared" si="16"/>
        <v>-11127.38</v>
      </c>
      <c r="J36" s="320">
        <f t="shared" si="16"/>
        <v>-11314.45</v>
      </c>
      <c r="K36" s="320">
        <f t="shared" si="16"/>
        <v>-11556.85</v>
      </c>
      <c r="N36" s="107"/>
    </row>
    <row r="37">
      <c r="H37" s="311"/>
      <c r="I37" s="311"/>
      <c r="J37" s="311"/>
      <c r="K37" s="311"/>
      <c r="N37" s="7" t="s">
        <v>26</v>
      </c>
      <c r="O37" s="325">
        <f t="shared" ref="O37:S37" si="17">SUM(O19:O36)</f>
        <v>2145.72</v>
      </c>
      <c r="P37" s="325">
        <f t="shared" si="17"/>
        <v>2113</v>
      </c>
      <c r="Q37" s="325">
        <f t="shared" si="17"/>
        <v>4634.88</v>
      </c>
      <c r="R37" s="325">
        <f t="shared" si="17"/>
        <v>2000</v>
      </c>
      <c r="S37" s="325">
        <f t="shared" si="17"/>
        <v>200</v>
      </c>
    </row>
    <row r="38">
      <c r="B38" s="80" t="s">
        <v>162</v>
      </c>
      <c r="C38" s="81"/>
      <c r="D38" s="82">
        <f t="shared" ref="D38:K38" si="18">D14+D36</f>
        <v>9718.58</v>
      </c>
      <c r="E38" s="82">
        <f t="shared" si="18"/>
        <v>-396.89</v>
      </c>
      <c r="F38" s="82">
        <f t="shared" si="18"/>
        <v>1548.11</v>
      </c>
      <c r="G38" s="82">
        <f t="shared" si="18"/>
        <v>2469.81</v>
      </c>
      <c r="H38" s="315">
        <f t="shared" si="18"/>
        <v>1620.93</v>
      </c>
      <c r="I38" s="315">
        <f t="shared" si="18"/>
        <v>2604.42</v>
      </c>
      <c r="J38" s="315">
        <f t="shared" si="18"/>
        <v>2276.35</v>
      </c>
      <c r="K38" s="315">
        <f t="shared" si="18"/>
        <v>1957.65</v>
      </c>
      <c r="N38" s="107"/>
      <c r="O38" s="287"/>
      <c r="P38" s="324"/>
      <c r="Q38" s="287"/>
    </row>
    <row r="39">
      <c r="B39" s="83"/>
      <c r="C39" s="83"/>
      <c r="D39" s="84"/>
      <c r="E39" s="84"/>
      <c r="F39" s="84"/>
      <c r="G39" s="84"/>
      <c r="H39" s="311"/>
      <c r="I39" s="311"/>
      <c r="J39" s="311"/>
      <c r="K39" s="311"/>
      <c r="N39" s="325" t="s">
        <v>353</v>
      </c>
      <c r="S39" s="18">
        <v>12013.6</v>
      </c>
      <c r="T39" s="12">
        <f>S40-S39</f>
        <v>1500.9</v>
      </c>
    </row>
    <row r="40">
      <c r="B40" s="85" t="s">
        <v>163</v>
      </c>
      <c r="C40" s="86"/>
      <c r="D40" s="57" t="s">
        <v>125</v>
      </c>
      <c r="E40" s="57" t="s">
        <v>126</v>
      </c>
      <c r="F40" s="57" t="s">
        <v>127</v>
      </c>
      <c r="G40" s="294" t="s">
        <v>129</v>
      </c>
      <c r="H40" s="344" t="s">
        <v>130</v>
      </c>
      <c r="I40" s="344" t="s">
        <v>354</v>
      </c>
      <c r="J40" s="344" t="s">
        <v>132</v>
      </c>
      <c r="K40" s="344" t="s">
        <v>132</v>
      </c>
      <c r="N40" s="27"/>
      <c r="S40" s="18">
        <v>13514.5</v>
      </c>
    </row>
    <row r="41">
      <c r="B41" s="87" t="s">
        <v>164</v>
      </c>
      <c r="C41" s="88">
        <v>2347.0</v>
      </c>
      <c r="D41" s="134">
        <v>498.84</v>
      </c>
      <c r="E41" s="135">
        <v>498.84</v>
      </c>
      <c r="F41" s="134"/>
      <c r="G41" s="295"/>
      <c r="H41" s="327"/>
      <c r="I41" s="327"/>
      <c r="J41" s="327"/>
      <c r="K41" s="327"/>
      <c r="N41" s="27"/>
      <c r="O41" s="12">
        <f>8108.41-2145.72</f>
        <v>5962.69</v>
      </c>
    </row>
    <row r="42">
      <c r="B42" s="87" t="s">
        <v>165</v>
      </c>
      <c r="C42" s="88">
        <v>7750.82</v>
      </c>
      <c r="D42" s="135">
        <v>385.96</v>
      </c>
      <c r="E42" s="135">
        <v>385.96</v>
      </c>
      <c r="F42" s="135">
        <v>385.96</v>
      </c>
      <c r="G42" s="307">
        <v>385.96</v>
      </c>
      <c r="H42" s="345"/>
      <c r="I42" s="328"/>
      <c r="J42" s="327"/>
      <c r="K42" s="327"/>
      <c r="N42" s="107"/>
    </row>
    <row r="43">
      <c r="B43" s="87" t="s">
        <v>166</v>
      </c>
      <c r="C43" s="88">
        <v>7724.29</v>
      </c>
      <c r="D43" s="135">
        <v>520.0</v>
      </c>
      <c r="E43" s="135">
        <v>518.81</v>
      </c>
      <c r="F43" s="135">
        <v>520.0</v>
      </c>
      <c r="G43" s="135">
        <v>520.0</v>
      </c>
      <c r="H43" s="135">
        <v>520.0</v>
      </c>
      <c r="I43" s="135">
        <v>520.0</v>
      </c>
      <c r="J43" s="329">
        <v>520.0</v>
      </c>
      <c r="K43" s="329">
        <v>520.0</v>
      </c>
      <c r="N43" s="107"/>
    </row>
    <row r="44">
      <c r="B44" s="87" t="s">
        <v>280</v>
      </c>
      <c r="C44" s="88">
        <v>6440.26</v>
      </c>
      <c r="D44" s="135">
        <v>730.49</v>
      </c>
      <c r="E44" s="135">
        <v>730.49</v>
      </c>
      <c r="F44" s="135">
        <v>730.49</v>
      </c>
      <c r="G44" s="135">
        <v>730.49</v>
      </c>
      <c r="H44" s="346"/>
      <c r="I44" s="329"/>
      <c r="J44" s="360"/>
      <c r="K44" s="360"/>
      <c r="N44" s="107"/>
    </row>
    <row r="45">
      <c r="A45" s="298">
        <v>45020.0</v>
      </c>
      <c r="B45" s="87" t="s">
        <v>203</v>
      </c>
      <c r="C45" s="88">
        <v>440.0</v>
      </c>
      <c r="D45" s="135">
        <v>440.0</v>
      </c>
      <c r="E45" s="135">
        <v>440.0</v>
      </c>
      <c r="F45" s="135"/>
      <c r="G45" s="297"/>
      <c r="H45" s="327"/>
      <c r="I45" s="327"/>
      <c r="J45" s="327"/>
      <c r="K45" s="327"/>
      <c r="N45" s="107"/>
      <c r="O45" s="107"/>
    </row>
    <row r="46">
      <c r="B46" s="67" t="s">
        <v>167</v>
      </c>
      <c r="C46" s="95">
        <f>SUM(C41:C45)</f>
        <v>24702.37</v>
      </c>
      <c r="D46" s="78">
        <f t="shared" ref="D46:F46" si="19">SUM(D41:D45)*-1</f>
        <v>-2575.29</v>
      </c>
      <c r="E46" s="78">
        <f t="shared" si="19"/>
        <v>-2574.1</v>
      </c>
      <c r="F46" s="78">
        <f t="shared" si="19"/>
        <v>-1636.45</v>
      </c>
      <c r="G46" s="299">
        <f t="shared" ref="G46:K46" si="20">SUM(G41:G44)*-1</f>
        <v>-1636.45</v>
      </c>
      <c r="H46" s="330">
        <f t="shared" si="20"/>
        <v>-520</v>
      </c>
      <c r="I46" s="330">
        <f t="shared" si="20"/>
        <v>-520</v>
      </c>
      <c r="J46" s="330">
        <f t="shared" si="20"/>
        <v>-520</v>
      </c>
      <c r="K46" s="330">
        <f t="shared" si="20"/>
        <v>-520</v>
      </c>
      <c r="N46" s="107"/>
      <c r="O46" s="107"/>
    </row>
    <row r="47">
      <c r="B47" s="83"/>
      <c r="C47" s="83"/>
      <c r="D47" s="96"/>
      <c r="E47" s="96"/>
      <c r="F47" s="96"/>
      <c r="G47" s="96"/>
      <c r="H47" s="311"/>
      <c r="I47" s="311"/>
      <c r="J47" s="311"/>
      <c r="K47" s="311"/>
      <c r="N47" s="107"/>
      <c r="O47" s="18"/>
    </row>
    <row r="48">
      <c r="B48" s="97" t="s">
        <v>168</v>
      </c>
      <c r="C48" s="98"/>
      <c r="D48" s="99">
        <f t="shared" ref="D48:K48" si="21">D38+D46</f>
        <v>7143.29</v>
      </c>
      <c r="E48" s="99">
        <f t="shared" si="21"/>
        <v>-2970.99</v>
      </c>
      <c r="F48" s="119">
        <f t="shared" si="21"/>
        <v>-88.34</v>
      </c>
      <c r="G48" s="308">
        <f t="shared" si="21"/>
        <v>833.36</v>
      </c>
      <c r="H48" s="331">
        <f t="shared" si="21"/>
        <v>1100.93</v>
      </c>
      <c r="I48" s="331">
        <f t="shared" si="21"/>
        <v>2084.42</v>
      </c>
      <c r="J48" s="331">
        <f t="shared" si="21"/>
        <v>1756.35</v>
      </c>
      <c r="K48" s="331">
        <f t="shared" si="21"/>
        <v>1437.65</v>
      </c>
      <c r="N48" s="107"/>
      <c r="O48" s="18"/>
    </row>
    <row r="49">
      <c r="B49" s="83"/>
      <c r="C49" s="83"/>
      <c r="D49" s="96"/>
      <c r="E49" s="96"/>
      <c r="F49" s="96"/>
      <c r="G49" s="96"/>
      <c r="H49" s="311"/>
      <c r="I49" s="311"/>
      <c r="J49" s="311"/>
      <c r="K49" s="311"/>
      <c r="N49" s="107"/>
      <c r="O49" s="18"/>
    </row>
    <row r="50">
      <c r="B50" s="100" t="s">
        <v>169</v>
      </c>
      <c r="C50" s="101"/>
      <c r="D50" s="57" t="s">
        <v>125</v>
      </c>
      <c r="E50" s="57" t="s">
        <v>126</v>
      </c>
      <c r="F50" s="57" t="s">
        <v>127</v>
      </c>
      <c r="G50" s="57" t="s">
        <v>129</v>
      </c>
      <c r="H50" s="344" t="s">
        <v>130</v>
      </c>
      <c r="I50" s="344" t="s">
        <v>354</v>
      </c>
      <c r="J50" s="326" t="s">
        <v>354</v>
      </c>
      <c r="K50" s="326" t="s">
        <v>354</v>
      </c>
      <c r="N50" s="107"/>
    </row>
    <row r="51">
      <c r="B51" s="102" t="s">
        <v>170</v>
      </c>
      <c r="C51" s="103"/>
      <c r="D51" s="278">
        <v>2101.91</v>
      </c>
      <c r="E51" s="278">
        <v>331.34</v>
      </c>
      <c r="F51" s="278">
        <v>45.75</v>
      </c>
      <c r="G51" s="105" t="str">
        <f>F52</f>
        <v/>
      </c>
      <c r="H51" s="333"/>
      <c r="I51" s="361">
        <v>0.0</v>
      </c>
      <c r="J51" s="361">
        <v>0.0</v>
      </c>
      <c r="K51" s="361">
        <v>0.0</v>
      </c>
      <c r="N51" s="107"/>
      <c r="O51" s="18"/>
    </row>
    <row r="52">
      <c r="B52" s="102" t="s">
        <v>171</v>
      </c>
      <c r="C52" s="103"/>
      <c r="D52" s="279">
        <f>D48</f>
        <v>7143.29</v>
      </c>
      <c r="E52" s="279"/>
      <c r="F52" s="279"/>
      <c r="G52" s="279">
        <f t="shared" ref="G52:K52" si="22">+G48</f>
        <v>833.36</v>
      </c>
      <c r="H52" s="334">
        <f t="shared" si="22"/>
        <v>1100.93</v>
      </c>
      <c r="I52" s="334">
        <f t="shared" si="22"/>
        <v>2084.42</v>
      </c>
      <c r="J52" s="334">
        <f t="shared" si="22"/>
        <v>1756.35</v>
      </c>
      <c r="K52" s="334">
        <f t="shared" si="22"/>
        <v>1437.65</v>
      </c>
      <c r="N52" s="107"/>
    </row>
    <row r="53">
      <c r="B53" s="67"/>
      <c r="C53" s="68"/>
      <c r="D53" s="95"/>
      <c r="E53" s="95"/>
      <c r="F53" s="95"/>
      <c r="G53" s="95"/>
      <c r="H53" s="335"/>
      <c r="I53" s="335"/>
      <c r="J53" s="335"/>
      <c r="K53" s="335"/>
      <c r="N53" s="27"/>
    </row>
    <row r="54">
      <c r="B54" s="67"/>
      <c r="C54" s="68"/>
      <c r="D54" s="95"/>
      <c r="E54" s="95"/>
      <c r="F54" s="95"/>
      <c r="G54" s="95"/>
      <c r="H54" s="335"/>
      <c r="I54" s="335"/>
      <c r="J54" s="335"/>
      <c r="K54" s="335"/>
      <c r="N54" s="27"/>
    </row>
    <row r="55">
      <c r="B55" s="67" t="s">
        <v>173</v>
      </c>
      <c r="C55" s="68"/>
      <c r="D55" s="95">
        <f t="shared" ref="D55:K55" si="23">SUM(D51:D52)</f>
        <v>9245.2</v>
      </c>
      <c r="E55" s="95">
        <f t="shared" si="23"/>
        <v>331.34</v>
      </c>
      <c r="F55" s="309">
        <f t="shared" si="23"/>
        <v>45.75</v>
      </c>
      <c r="G55" s="309">
        <f t="shared" si="23"/>
        <v>833.36</v>
      </c>
      <c r="H55" s="336">
        <f t="shared" si="23"/>
        <v>1100.93</v>
      </c>
      <c r="I55" s="336">
        <f t="shared" si="23"/>
        <v>2084.42</v>
      </c>
      <c r="J55" s="336">
        <f t="shared" si="23"/>
        <v>1756.35</v>
      </c>
      <c r="K55" s="336">
        <f t="shared" si="23"/>
        <v>1437.65</v>
      </c>
      <c r="N55" s="27"/>
    </row>
    <row r="56">
      <c r="H56" s="310"/>
      <c r="J56" s="362"/>
      <c r="K56" s="362"/>
      <c r="N56" s="27"/>
    </row>
    <row r="57">
      <c r="H57" s="310"/>
      <c r="N57" s="27"/>
    </row>
    <row r="58">
      <c r="H58" s="310"/>
      <c r="N58" s="27"/>
    </row>
    <row r="59">
      <c r="H59" s="310"/>
      <c r="N59" s="27"/>
    </row>
    <row r="60">
      <c r="H60" s="310"/>
      <c r="N60" s="27"/>
    </row>
    <row r="61">
      <c r="H61" s="310"/>
      <c r="N61" s="27"/>
    </row>
    <row r="62">
      <c r="H62" s="310"/>
      <c r="N62" s="27"/>
    </row>
    <row r="63">
      <c r="H63" s="310"/>
      <c r="N63" s="27"/>
    </row>
    <row r="64">
      <c r="H64" s="310"/>
      <c r="N64" s="27"/>
    </row>
    <row r="65">
      <c r="H65" s="310"/>
      <c r="N65" s="27"/>
    </row>
    <row r="66">
      <c r="H66" s="310"/>
      <c r="N66" s="27"/>
    </row>
    <row r="67">
      <c r="H67" s="310"/>
      <c r="N67" s="27"/>
    </row>
    <row r="68">
      <c r="H68" s="310"/>
      <c r="N68" s="27"/>
    </row>
    <row r="69">
      <c r="H69" s="310"/>
      <c r="N69" s="27"/>
    </row>
    <row r="70">
      <c r="H70" s="310"/>
      <c r="N70" s="27"/>
    </row>
    <row r="71">
      <c r="H71" s="310"/>
      <c r="N71" s="27"/>
    </row>
    <row r="72">
      <c r="H72" s="310"/>
      <c r="N72" s="27"/>
    </row>
    <row r="73">
      <c r="H73" s="310"/>
      <c r="N73" s="27"/>
    </row>
    <row r="74">
      <c r="H74" s="310"/>
      <c r="N74" s="27"/>
    </row>
    <row r="75">
      <c r="H75" s="310"/>
      <c r="N75" s="27"/>
    </row>
    <row r="76">
      <c r="H76" s="310"/>
      <c r="N76" s="27"/>
    </row>
    <row r="77">
      <c r="H77" s="310"/>
      <c r="N77" s="27"/>
    </row>
    <row r="78">
      <c r="H78" s="310"/>
      <c r="N78" s="27"/>
    </row>
    <row r="79">
      <c r="H79" s="310"/>
      <c r="N79" s="27"/>
    </row>
    <row r="80">
      <c r="H80" s="310"/>
      <c r="N80" s="27"/>
    </row>
    <row r="81">
      <c r="H81" s="310"/>
      <c r="N81" s="27"/>
    </row>
    <row r="82">
      <c r="H82" s="310"/>
      <c r="N82" s="27"/>
    </row>
    <row r="83">
      <c r="H83" s="310"/>
      <c r="N83" s="27"/>
    </row>
    <row r="84">
      <c r="H84" s="310"/>
      <c r="N84" s="27"/>
    </row>
    <row r="85">
      <c r="H85" s="310"/>
      <c r="N85" s="27"/>
    </row>
    <row r="86">
      <c r="H86" s="310"/>
      <c r="N86" s="27"/>
    </row>
    <row r="87">
      <c r="H87" s="310"/>
      <c r="N87" s="27"/>
    </row>
    <row r="88">
      <c r="H88" s="310"/>
      <c r="N88" s="27"/>
    </row>
    <row r="89">
      <c r="H89" s="310"/>
      <c r="N89" s="27"/>
    </row>
    <row r="90">
      <c r="H90" s="310"/>
      <c r="N90" s="27"/>
    </row>
    <row r="91">
      <c r="H91" s="310"/>
      <c r="N91" s="27"/>
    </row>
    <row r="92">
      <c r="H92" s="310"/>
      <c r="N92" s="27"/>
    </row>
    <row r="93">
      <c r="H93" s="310"/>
      <c r="N93" s="27"/>
    </row>
    <row r="94">
      <c r="H94" s="310"/>
      <c r="N94" s="27"/>
    </row>
    <row r="95">
      <c r="H95" s="310"/>
      <c r="N95" s="27"/>
    </row>
    <row r="96">
      <c r="H96" s="310"/>
      <c r="N96" s="27"/>
    </row>
    <row r="97">
      <c r="H97" s="310"/>
      <c r="N97" s="27"/>
    </row>
    <row r="98">
      <c r="H98" s="310"/>
      <c r="N98" s="27"/>
    </row>
    <row r="99">
      <c r="H99" s="310"/>
      <c r="N99" s="27"/>
    </row>
    <row r="100">
      <c r="H100" s="310"/>
      <c r="N100" s="27"/>
    </row>
    <row r="101">
      <c r="H101" s="310"/>
      <c r="N101" s="27"/>
    </row>
    <row r="102">
      <c r="H102" s="310"/>
      <c r="N102" s="27"/>
    </row>
    <row r="103">
      <c r="H103" s="310"/>
      <c r="N103" s="27"/>
    </row>
    <row r="104">
      <c r="H104" s="310"/>
      <c r="N104" s="27"/>
    </row>
    <row r="105">
      <c r="H105" s="310"/>
      <c r="N105" s="27"/>
    </row>
    <row r="106">
      <c r="H106" s="310"/>
      <c r="N106" s="27"/>
    </row>
    <row r="107">
      <c r="H107" s="310"/>
      <c r="N107" s="27"/>
    </row>
    <row r="108">
      <c r="H108" s="310"/>
      <c r="N108" s="27"/>
    </row>
    <row r="109">
      <c r="H109" s="310"/>
      <c r="N109" s="27"/>
    </row>
    <row r="110">
      <c r="H110" s="310"/>
      <c r="N110" s="27"/>
    </row>
    <row r="111">
      <c r="H111" s="310"/>
      <c r="N111" s="27"/>
    </row>
    <row r="112">
      <c r="H112" s="310"/>
      <c r="N112" s="27"/>
    </row>
    <row r="113">
      <c r="H113" s="310"/>
      <c r="N113" s="27"/>
    </row>
    <row r="114">
      <c r="H114" s="310"/>
      <c r="N114" s="27"/>
    </row>
    <row r="115">
      <c r="H115" s="310"/>
      <c r="N115" s="27"/>
    </row>
    <row r="116">
      <c r="H116" s="310"/>
      <c r="N116" s="27"/>
    </row>
    <row r="117">
      <c r="H117" s="310"/>
      <c r="N117" s="27"/>
    </row>
    <row r="118">
      <c r="H118" s="310"/>
      <c r="N118" s="27"/>
    </row>
    <row r="119">
      <c r="H119" s="310"/>
      <c r="N119" s="27"/>
    </row>
    <row r="120">
      <c r="H120" s="310"/>
      <c r="N120" s="27"/>
    </row>
    <row r="121">
      <c r="H121" s="310"/>
      <c r="N121" s="27"/>
    </row>
    <row r="122">
      <c r="H122" s="310"/>
      <c r="N122" s="27"/>
    </row>
    <row r="123">
      <c r="H123" s="310"/>
      <c r="N123" s="27"/>
    </row>
    <row r="124">
      <c r="H124" s="310"/>
      <c r="N124" s="27"/>
    </row>
    <row r="125">
      <c r="H125" s="310"/>
      <c r="N125" s="27"/>
    </row>
    <row r="126">
      <c r="H126" s="310"/>
      <c r="N126" s="27"/>
    </row>
    <row r="127">
      <c r="H127" s="310"/>
      <c r="N127" s="27"/>
    </row>
    <row r="128">
      <c r="H128" s="310"/>
      <c r="N128" s="27"/>
    </row>
    <row r="129">
      <c r="H129" s="310"/>
      <c r="N129" s="27"/>
    </row>
    <row r="130">
      <c r="H130" s="310"/>
      <c r="N130" s="27"/>
    </row>
    <row r="131">
      <c r="H131" s="310"/>
      <c r="N131" s="27"/>
    </row>
    <row r="132">
      <c r="H132" s="310"/>
      <c r="N132" s="27"/>
    </row>
    <row r="133">
      <c r="H133" s="310"/>
      <c r="N133" s="27"/>
    </row>
    <row r="134">
      <c r="H134" s="310"/>
      <c r="N134" s="27"/>
    </row>
    <row r="135">
      <c r="H135" s="310"/>
      <c r="N135" s="27"/>
    </row>
    <row r="136">
      <c r="H136" s="310"/>
      <c r="N136" s="27"/>
    </row>
    <row r="137">
      <c r="H137" s="310"/>
      <c r="N137" s="27"/>
    </row>
    <row r="138">
      <c r="H138" s="310"/>
      <c r="N138" s="27"/>
    </row>
    <row r="139">
      <c r="H139" s="310"/>
      <c r="N139" s="27"/>
    </row>
    <row r="140">
      <c r="H140" s="310"/>
      <c r="N140" s="27"/>
    </row>
    <row r="141">
      <c r="H141" s="310"/>
      <c r="N141" s="27"/>
    </row>
    <row r="142">
      <c r="H142" s="310"/>
      <c r="N142" s="27"/>
    </row>
    <row r="143">
      <c r="H143" s="310"/>
      <c r="N143" s="27"/>
    </row>
    <row r="144">
      <c r="H144" s="310"/>
      <c r="N144" s="27"/>
    </row>
    <row r="145">
      <c r="H145" s="310"/>
      <c r="N145" s="27"/>
    </row>
    <row r="146">
      <c r="H146" s="310"/>
      <c r="N146" s="27"/>
    </row>
    <row r="147">
      <c r="H147" s="310"/>
      <c r="N147" s="27"/>
    </row>
    <row r="148">
      <c r="H148" s="310"/>
      <c r="N148" s="27"/>
    </row>
    <row r="149">
      <c r="H149" s="310"/>
      <c r="N149" s="27"/>
    </row>
    <row r="150">
      <c r="H150" s="310"/>
      <c r="N150" s="27"/>
    </row>
    <row r="151">
      <c r="H151" s="310"/>
      <c r="N151" s="27"/>
    </row>
    <row r="152">
      <c r="H152" s="310"/>
      <c r="N152" s="27"/>
    </row>
    <row r="153">
      <c r="H153" s="310"/>
      <c r="N153" s="27"/>
    </row>
    <row r="154">
      <c r="H154" s="310"/>
      <c r="N154" s="27"/>
    </row>
    <row r="155">
      <c r="H155" s="310"/>
      <c r="N155" s="27"/>
    </row>
    <row r="156">
      <c r="H156" s="310"/>
      <c r="N156" s="27"/>
    </row>
    <row r="157">
      <c r="H157" s="310"/>
      <c r="N157" s="27"/>
    </row>
    <row r="158">
      <c r="H158" s="310"/>
      <c r="N158" s="27"/>
    </row>
    <row r="159">
      <c r="H159" s="310"/>
      <c r="N159" s="27"/>
    </row>
    <row r="160">
      <c r="H160" s="310"/>
      <c r="N160" s="27"/>
    </row>
    <row r="161">
      <c r="H161" s="310"/>
      <c r="N161" s="27"/>
    </row>
    <row r="162">
      <c r="H162" s="310"/>
      <c r="N162" s="27"/>
    </row>
    <row r="163">
      <c r="H163" s="310"/>
      <c r="N163" s="27"/>
    </row>
    <row r="164">
      <c r="H164" s="310"/>
      <c r="N164" s="27"/>
    </row>
    <row r="165">
      <c r="H165" s="310"/>
      <c r="N165" s="27"/>
    </row>
    <row r="166">
      <c r="H166" s="310"/>
      <c r="N166" s="27"/>
    </row>
    <row r="167">
      <c r="H167" s="310"/>
      <c r="N167" s="27"/>
    </row>
    <row r="168">
      <c r="H168" s="310"/>
      <c r="N168" s="27"/>
    </row>
    <row r="169">
      <c r="H169" s="310"/>
      <c r="N169" s="27"/>
    </row>
    <row r="170">
      <c r="H170" s="310"/>
      <c r="N170" s="27"/>
    </row>
    <row r="171">
      <c r="H171" s="310"/>
      <c r="N171" s="27"/>
    </row>
    <row r="172">
      <c r="H172" s="310"/>
      <c r="N172" s="27"/>
    </row>
    <row r="173">
      <c r="H173" s="310"/>
      <c r="N173" s="27"/>
    </row>
    <row r="174">
      <c r="H174" s="310"/>
      <c r="N174" s="27"/>
    </row>
    <row r="175">
      <c r="H175" s="310"/>
      <c r="N175" s="27"/>
    </row>
    <row r="176">
      <c r="H176" s="310"/>
      <c r="N176" s="27"/>
    </row>
    <row r="177">
      <c r="H177" s="310"/>
      <c r="N177" s="27"/>
    </row>
    <row r="178">
      <c r="H178" s="310"/>
      <c r="N178" s="27"/>
    </row>
    <row r="179">
      <c r="H179" s="310"/>
      <c r="N179" s="27"/>
    </row>
    <row r="180">
      <c r="H180" s="310"/>
      <c r="N180" s="27"/>
    </row>
    <row r="181">
      <c r="H181" s="310"/>
      <c r="N181" s="27"/>
    </row>
    <row r="182">
      <c r="H182" s="310"/>
      <c r="N182" s="27"/>
    </row>
    <row r="183">
      <c r="H183" s="310"/>
      <c r="N183" s="27"/>
    </row>
    <row r="184">
      <c r="H184" s="310"/>
      <c r="N184" s="27"/>
    </row>
    <row r="185">
      <c r="H185" s="310"/>
      <c r="N185" s="27"/>
    </row>
    <row r="186">
      <c r="H186" s="310"/>
      <c r="N186" s="27"/>
    </row>
    <row r="187">
      <c r="H187" s="310"/>
      <c r="N187" s="27"/>
    </row>
    <row r="188">
      <c r="H188" s="310"/>
      <c r="N188" s="27"/>
    </row>
    <row r="189">
      <c r="H189" s="310"/>
      <c r="N189" s="27"/>
    </row>
    <row r="190">
      <c r="H190" s="310"/>
      <c r="N190" s="27"/>
    </row>
    <row r="191">
      <c r="H191" s="310"/>
      <c r="N191" s="27"/>
    </row>
    <row r="192">
      <c r="H192" s="310"/>
      <c r="N192" s="27"/>
    </row>
    <row r="193">
      <c r="H193" s="310"/>
      <c r="N193" s="27"/>
    </row>
    <row r="194">
      <c r="H194" s="310"/>
      <c r="N194" s="27"/>
    </row>
    <row r="195">
      <c r="H195" s="310"/>
      <c r="N195" s="27"/>
    </row>
    <row r="196">
      <c r="H196" s="310"/>
      <c r="N196" s="27"/>
    </row>
    <row r="197">
      <c r="H197" s="310"/>
      <c r="N197" s="27"/>
    </row>
    <row r="198">
      <c r="H198" s="310"/>
      <c r="N198" s="27"/>
    </row>
    <row r="199">
      <c r="H199" s="310"/>
      <c r="N199" s="27"/>
    </row>
    <row r="200">
      <c r="H200" s="310"/>
      <c r="N200" s="27"/>
    </row>
    <row r="201">
      <c r="H201" s="310"/>
      <c r="N201" s="27"/>
    </row>
    <row r="202">
      <c r="H202" s="310"/>
      <c r="N202" s="27"/>
    </row>
    <row r="203">
      <c r="H203" s="310"/>
      <c r="N203" s="27"/>
    </row>
    <row r="204">
      <c r="H204" s="310"/>
      <c r="N204" s="27"/>
    </row>
    <row r="205">
      <c r="H205" s="310"/>
      <c r="N205" s="27"/>
    </row>
    <row r="206">
      <c r="H206" s="310"/>
      <c r="N206" s="27"/>
    </row>
    <row r="207">
      <c r="H207" s="310"/>
      <c r="N207" s="27"/>
    </row>
    <row r="208">
      <c r="H208" s="310"/>
      <c r="N208" s="27"/>
    </row>
    <row r="209">
      <c r="H209" s="310"/>
      <c r="N209" s="27"/>
    </row>
    <row r="210">
      <c r="H210" s="310"/>
      <c r="N210" s="27"/>
    </row>
    <row r="211">
      <c r="H211" s="310"/>
      <c r="N211" s="27"/>
    </row>
    <row r="212">
      <c r="H212" s="310"/>
      <c r="N212" s="27"/>
    </row>
    <row r="213">
      <c r="H213" s="310"/>
      <c r="N213" s="27"/>
    </row>
    <row r="214">
      <c r="H214" s="310"/>
      <c r="N214" s="27"/>
    </row>
    <row r="215">
      <c r="H215" s="310"/>
      <c r="N215" s="27"/>
    </row>
    <row r="216">
      <c r="H216" s="310"/>
      <c r="N216" s="27"/>
    </row>
    <row r="217">
      <c r="H217" s="310"/>
      <c r="N217" s="27"/>
    </row>
    <row r="218">
      <c r="H218" s="310"/>
      <c r="N218" s="27"/>
    </row>
    <row r="219">
      <c r="H219" s="310"/>
      <c r="N219" s="27"/>
    </row>
    <row r="220">
      <c r="H220" s="310"/>
      <c r="N220" s="27"/>
    </row>
    <row r="221">
      <c r="H221" s="310"/>
      <c r="N221" s="27"/>
    </row>
    <row r="222">
      <c r="H222" s="310"/>
      <c r="N222" s="27"/>
    </row>
    <row r="223">
      <c r="H223" s="310"/>
      <c r="N223" s="27"/>
    </row>
    <row r="224">
      <c r="H224" s="310"/>
      <c r="N224" s="27"/>
    </row>
    <row r="225">
      <c r="H225" s="310"/>
      <c r="N225" s="27"/>
    </row>
    <row r="226">
      <c r="H226" s="310"/>
      <c r="N226" s="27"/>
    </row>
    <row r="227">
      <c r="H227" s="310"/>
      <c r="N227" s="27"/>
    </row>
    <row r="228">
      <c r="H228" s="310"/>
      <c r="N228" s="27"/>
    </row>
    <row r="229">
      <c r="H229" s="310"/>
      <c r="N229" s="27"/>
    </row>
    <row r="230">
      <c r="H230" s="310"/>
      <c r="N230" s="27"/>
    </row>
    <row r="231">
      <c r="H231" s="310"/>
      <c r="N231" s="27"/>
    </row>
    <row r="232">
      <c r="H232" s="310"/>
      <c r="N232" s="27"/>
    </row>
    <row r="233">
      <c r="H233" s="310"/>
      <c r="N233" s="27"/>
    </row>
    <row r="234">
      <c r="H234" s="310"/>
      <c r="N234" s="27"/>
    </row>
    <row r="235">
      <c r="H235" s="310"/>
      <c r="N235" s="27"/>
    </row>
    <row r="236">
      <c r="H236" s="310"/>
      <c r="N236" s="27"/>
    </row>
    <row r="237">
      <c r="H237" s="310"/>
      <c r="N237" s="27"/>
    </row>
    <row r="238">
      <c r="H238" s="310"/>
      <c r="N238" s="27"/>
    </row>
    <row r="239">
      <c r="H239" s="310"/>
      <c r="N239" s="27"/>
    </row>
    <row r="240">
      <c r="H240" s="310"/>
      <c r="N240" s="27"/>
    </row>
    <row r="241">
      <c r="H241" s="310"/>
      <c r="N241" s="27"/>
    </row>
    <row r="242">
      <c r="H242" s="310"/>
      <c r="N242" s="27"/>
    </row>
    <row r="243">
      <c r="H243" s="310"/>
      <c r="N243" s="27"/>
    </row>
    <row r="244">
      <c r="H244" s="310"/>
      <c r="N244" s="27"/>
    </row>
    <row r="245">
      <c r="H245" s="310"/>
      <c r="N245" s="27"/>
    </row>
    <row r="246">
      <c r="H246" s="310"/>
      <c r="N246" s="27"/>
    </row>
    <row r="247">
      <c r="H247" s="310"/>
      <c r="N247" s="27"/>
    </row>
    <row r="248">
      <c r="H248" s="310"/>
      <c r="N248" s="27"/>
    </row>
    <row r="249">
      <c r="H249" s="310"/>
      <c r="N249" s="27"/>
    </row>
    <row r="250">
      <c r="H250" s="310"/>
      <c r="N250" s="27"/>
    </row>
    <row r="251">
      <c r="H251" s="310"/>
      <c r="N251" s="27"/>
    </row>
    <row r="252">
      <c r="H252" s="310"/>
      <c r="N252" s="27"/>
    </row>
    <row r="253">
      <c r="H253" s="310"/>
      <c r="N253" s="27"/>
    </row>
    <row r="254">
      <c r="H254" s="310"/>
      <c r="N254" s="27"/>
    </row>
    <row r="255">
      <c r="H255" s="310"/>
      <c r="N255" s="27"/>
    </row>
    <row r="256">
      <c r="H256" s="310"/>
      <c r="N256" s="27"/>
    </row>
    <row r="257">
      <c r="H257" s="310"/>
      <c r="N257" s="27"/>
    </row>
    <row r="258">
      <c r="H258" s="310"/>
      <c r="N258" s="27"/>
    </row>
    <row r="259">
      <c r="H259" s="310"/>
      <c r="N259" s="27"/>
    </row>
    <row r="260">
      <c r="H260" s="310"/>
      <c r="N260" s="27"/>
    </row>
    <row r="261">
      <c r="H261" s="310"/>
      <c r="N261" s="27"/>
    </row>
    <row r="262">
      <c r="H262" s="310"/>
      <c r="N262" s="27"/>
    </row>
    <row r="263">
      <c r="H263" s="310"/>
      <c r="N263" s="27"/>
    </row>
    <row r="264">
      <c r="H264" s="310"/>
      <c r="N264" s="27"/>
    </row>
    <row r="265">
      <c r="H265" s="310"/>
      <c r="N265" s="27"/>
    </row>
    <row r="266">
      <c r="H266" s="310"/>
      <c r="N266" s="27"/>
    </row>
    <row r="267">
      <c r="H267" s="310"/>
      <c r="N267" s="27"/>
    </row>
    <row r="268">
      <c r="H268" s="310"/>
      <c r="N268" s="27"/>
    </row>
    <row r="269">
      <c r="H269" s="310"/>
      <c r="N269" s="27"/>
    </row>
    <row r="270">
      <c r="H270" s="310"/>
      <c r="N270" s="27"/>
    </row>
    <row r="271">
      <c r="H271" s="310"/>
      <c r="N271" s="27"/>
    </row>
    <row r="272">
      <c r="H272" s="310"/>
      <c r="N272" s="27"/>
    </row>
    <row r="273">
      <c r="H273" s="310"/>
      <c r="N273" s="27"/>
    </row>
    <row r="274">
      <c r="H274" s="310"/>
      <c r="N274" s="27"/>
    </row>
    <row r="275">
      <c r="H275" s="310"/>
      <c r="N275" s="27"/>
    </row>
    <row r="276">
      <c r="H276" s="310"/>
      <c r="N276" s="27"/>
    </row>
    <row r="277">
      <c r="H277" s="310"/>
      <c r="N277" s="27"/>
    </row>
    <row r="278">
      <c r="H278" s="310"/>
      <c r="N278" s="27"/>
    </row>
    <row r="279">
      <c r="H279" s="310"/>
      <c r="N279" s="27"/>
    </row>
    <row r="280">
      <c r="H280" s="310"/>
      <c r="N280" s="27"/>
    </row>
    <row r="281">
      <c r="H281" s="310"/>
      <c r="N281" s="27"/>
    </row>
    <row r="282">
      <c r="H282" s="310"/>
      <c r="N282" s="27"/>
    </row>
    <row r="283">
      <c r="H283" s="310"/>
      <c r="N283" s="27"/>
    </row>
    <row r="284">
      <c r="H284" s="310"/>
      <c r="N284" s="27"/>
    </row>
    <row r="285">
      <c r="H285" s="310"/>
      <c r="N285" s="27"/>
    </row>
    <row r="286">
      <c r="H286" s="310"/>
      <c r="N286" s="27"/>
    </row>
    <row r="287">
      <c r="H287" s="310"/>
      <c r="N287" s="27"/>
    </row>
    <row r="288">
      <c r="H288" s="310"/>
      <c r="N288" s="27"/>
    </row>
    <row r="289">
      <c r="H289" s="310"/>
      <c r="N289" s="27"/>
    </row>
    <row r="290">
      <c r="H290" s="310"/>
      <c r="N290" s="27"/>
    </row>
    <row r="291">
      <c r="H291" s="310"/>
      <c r="N291" s="27"/>
    </row>
    <row r="292">
      <c r="H292" s="310"/>
      <c r="N292" s="27"/>
    </row>
    <row r="293">
      <c r="H293" s="310"/>
      <c r="N293" s="27"/>
    </row>
    <row r="294">
      <c r="H294" s="310"/>
      <c r="N294" s="27"/>
    </row>
    <row r="295">
      <c r="H295" s="310"/>
      <c r="N295" s="27"/>
    </row>
    <row r="296">
      <c r="H296" s="310"/>
      <c r="N296" s="27"/>
    </row>
    <row r="297">
      <c r="H297" s="310"/>
      <c r="N297" s="27"/>
    </row>
    <row r="298">
      <c r="H298" s="310"/>
      <c r="N298" s="27"/>
    </row>
    <row r="299">
      <c r="H299" s="310"/>
      <c r="N299" s="27"/>
    </row>
    <row r="300">
      <c r="H300" s="310"/>
      <c r="N300" s="27"/>
    </row>
    <row r="301">
      <c r="H301" s="310"/>
      <c r="N301" s="27"/>
    </row>
    <row r="302">
      <c r="H302" s="310"/>
      <c r="N302" s="27"/>
    </row>
    <row r="303">
      <c r="H303" s="310"/>
      <c r="N303" s="27"/>
    </row>
    <row r="304">
      <c r="H304" s="310"/>
      <c r="N304" s="27"/>
    </row>
    <row r="305">
      <c r="H305" s="310"/>
      <c r="N305" s="27"/>
    </row>
    <row r="306">
      <c r="H306" s="310"/>
      <c r="N306" s="27"/>
    </row>
    <row r="307">
      <c r="H307" s="310"/>
      <c r="N307" s="27"/>
    </row>
    <row r="308">
      <c r="H308" s="310"/>
      <c r="N308" s="27"/>
    </row>
    <row r="309">
      <c r="H309" s="310"/>
      <c r="N309" s="27"/>
    </row>
    <row r="310">
      <c r="H310" s="310"/>
      <c r="N310" s="27"/>
    </row>
    <row r="311">
      <c r="H311" s="310"/>
      <c r="N311" s="27"/>
    </row>
    <row r="312">
      <c r="H312" s="310"/>
      <c r="N312" s="27"/>
    </row>
    <row r="313">
      <c r="H313" s="310"/>
      <c r="N313" s="27"/>
    </row>
    <row r="314">
      <c r="H314" s="310"/>
      <c r="N314" s="27"/>
    </row>
    <row r="315">
      <c r="H315" s="310"/>
      <c r="N315" s="27"/>
    </row>
    <row r="316">
      <c r="H316" s="310"/>
      <c r="N316" s="27"/>
    </row>
    <row r="317">
      <c r="H317" s="310"/>
      <c r="N317" s="27"/>
    </row>
    <row r="318">
      <c r="H318" s="310"/>
      <c r="N318" s="27"/>
    </row>
    <row r="319">
      <c r="H319" s="310"/>
      <c r="N319" s="27"/>
    </row>
    <row r="320">
      <c r="H320" s="310"/>
      <c r="N320" s="27"/>
    </row>
    <row r="321">
      <c r="H321" s="310"/>
      <c r="N321" s="27"/>
    </row>
    <row r="322">
      <c r="H322" s="310"/>
      <c r="N322" s="27"/>
    </row>
    <row r="323">
      <c r="H323" s="310"/>
      <c r="N323" s="27"/>
    </row>
    <row r="324">
      <c r="H324" s="310"/>
      <c r="N324" s="27"/>
    </row>
    <row r="325">
      <c r="H325" s="310"/>
      <c r="N325" s="27"/>
    </row>
    <row r="326">
      <c r="H326" s="310"/>
      <c r="N326" s="27"/>
    </row>
    <row r="327">
      <c r="H327" s="310"/>
      <c r="N327" s="27"/>
    </row>
    <row r="328">
      <c r="H328" s="310"/>
      <c r="N328" s="27"/>
    </row>
    <row r="329">
      <c r="H329" s="310"/>
      <c r="N329" s="27"/>
    </row>
    <row r="330">
      <c r="H330" s="310"/>
      <c r="N330" s="27"/>
    </row>
    <row r="331">
      <c r="H331" s="310"/>
      <c r="N331" s="27"/>
    </row>
    <row r="332">
      <c r="H332" s="310"/>
      <c r="N332" s="27"/>
    </row>
    <row r="333">
      <c r="H333" s="310"/>
      <c r="N333" s="27"/>
    </row>
    <row r="334">
      <c r="H334" s="310"/>
      <c r="N334" s="27"/>
    </row>
    <row r="335">
      <c r="H335" s="310"/>
      <c r="N335" s="27"/>
    </row>
    <row r="336">
      <c r="H336" s="310"/>
      <c r="N336" s="27"/>
    </row>
    <row r="337">
      <c r="H337" s="310"/>
      <c r="N337" s="27"/>
    </row>
    <row r="338">
      <c r="H338" s="310"/>
      <c r="N338" s="27"/>
    </row>
    <row r="339">
      <c r="H339" s="310"/>
      <c r="N339" s="27"/>
    </row>
    <row r="340">
      <c r="H340" s="310"/>
      <c r="N340" s="27"/>
    </row>
    <row r="341">
      <c r="H341" s="310"/>
      <c r="N341" s="27"/>
    </row>
    <row r="342">
      <c r="H342" s="310"/>
      <c r="N342" s="27"/>
    </row>
    <row r="343">
      <c r="H343" s="310"/>
      <c r="N343" s="27"/>
    </row>
    <row r="344">
      <c r="H344" s="310"/>
      <c r="N344" s="27"/>
    </row>
    <row r="345">
      <c r="H345" s="310"/>
      <c r="N345" s="27"/>
    </row>
    <row r="346">
      <c r="H346" s="310"/>
      <c r="N346" s="27"/>
    </row>
    <row r="347">
      <c r="H347" s="310"/>
      <c r="N347" s="27"/>
    </row>
    <row r="348">
      <c r="H348" s="310"/>
      <c r="N348" s="27"/>
    </row>
    <row r="349">
      <c r="H349" s="310"/>
      <c r="N349" s="27"/>
    </row>
    <row r="350">
      <c r="H350" s="310"/>
      <c r="N350" s="27"/>
    </row>
    <row r="351">
      <c r="H351" s="310"/>
      <c r="N351" s="27"/>
    </row>
    <row r="352">
      <c r="H352" s="310"/>
      <c r="N352" s="27"/>
    </row>
    <row r="353">
      <c r="H353" s="310"/>
      <c r="N353" s="27"/>
    </row>
    <row r="354">
      <c r="H354" s="310"/>
      <c r="N354" s="27"/>
    </row>
    <row r="355">
      <c r="H355" s="310"/>
      <c r="N355" s="27"/>
    </row>
    <row r="356">
      <c r="H356" s="310"/>
      <c r="N356" s="27"/>
    </row>
    <row r="357">
      <c r="H357" s="310"/>
      <c r="N357" s="27"/>
    </row>
    <row r="358">
      <c r="H358" s="310"/>
      <c r="N358" s="27"/>
    </row>
    <row r="359">
      <c r="H359" s="310"/>
      <c r="N359" s="27"/>
    </row>
    <row r="360">
      <c r="H360" s="310"/>
      <c r="N360" s="27"/>
    </row>
    <row r="361">
      <c r="H361" s="310"/>
      <c r="N361" s="27"/>
    </row>
    <row r="362">
      <c r="H362" s="310"/>
      <c r="N362" s="27"/>
    </row>
    <row r="363">
      <c r="H363" s="310"/>
      <c r="N363" s="27"/>
    </row>
    <row r="364">
      <c r="H364" s="310"/>
      <c r="N364" s="27"/>
    </row>
    <row r="365">
      <c r="H365" s="310"/>
      <c r="N365" s="27"/>
    </row>
    <row r="366">
      <c r="H366" s="310"/>
      <c r="N366" s="27"/>
    </row>
    <row r="367">
      <c r="H367" s="310"/>
      <c r="N367" s="27"/>
    </row>
    <row r="368">
      <c r="H368" s="310"/>
      <c r="N368" s="27"/>
    </row>
    <row r="369">
      <c r="H369" s="310"/>
      <c r="N369" s="27"/>
    </row>
    <row r="370">
      <c r="H370" s="310"/>
      <c r="N370" s="27"/>
    </row>
    <row r="371">
      <c r="H371" s="310"/>
      <c r="N371" s="27"/>
    </row>
    <row r="372">
      <c r="H372" s="310"/>
      <c r="N372" s="27"/>
    </row>
    <row r="373">
      <c r="H373" s="310"/>
      <c r="N373" s="27"/>
    </row>
    <row r="374">
      <c r="H374" s="310"/>
      <c r="N374" s="27"/>
    </row>
    <row r="375">
      <c r="H375" s="310"/>
      <c r="N375" s="27"/>
    </row>
    <row r="376">
      <c r="H376" s="310"/>
      <c r="N376" s="27"/>
    </row>
    <row r="377">
      <c r="H377" s="310"/>
      <c r="N377" s="27"/>
    </row>
    <row r="378">
      <c r="H378" s="310"/>
      <c r="N378" s="27"/>
    </row>
    <row r="379">
      <c r="H379" s="310"/>
      <c r="N379" s="27"/>
    </row>
    <row r="380">
      <c r="H380" s="310"/>
      <c r="N380" s="27"/>
    </row>
    <row r="381">
      <c r="H381" s="310"/>
      <c r="N381" s="27"/>
    </row>
    <row r="382">
      <c r="H382" s="310"/>
      <c r="N382" s="27"/>
    </row>
    <row r="383">
      <c r="H383" s="310"/>
      <c r="N383" s="27"/>
    </row>
    <row r="384">
      <c r="H384" s="310"/>
      <c r="N384" s="27"/>
    </row>
    <row r="385">
      <c r="H385" s="310"/>
      <c r="N385" s="27"/>
    </row>
    <row r="386">
      <c r="H386" s="310"/>
      <c r="N386" s="27"/>
    </row>
    <row r="387">
      <c r="H387" s="310"/>
      <c r="N387" s="27"/>
    </row>
    <row r="388">
      <c r="H388" s="310"/>
      <c r="N388" s="27"/>
    </row>
    <row r="389">
      <c r="H389" s="310"/>
      <c r="N389" s="27"/>
    </row>
    <row r="390">
      <c r="H390" s="310"/>
      <c r="N390" s="27"/>
    </row>
    <row r="391">
      <c r="H391" s="310"/>
      <c r="N391" s="27"/>
    </row>
    <row r="392">
      <c r="H392" s="310"/>
      <c r="N392" s="27"/>
    </row>
    <row r="393">
      <c r="H393" s="310"/>
      <c r="N393" s="27"/>
    </row>
    <row r="394">
      <c r="H394" s="310"/>
      <c r="N394" s="27"/>
    </row>
    <row r="395">
      <c r="H395" s="310"/>
      <c r="N395" s="27"/>
    </row>
    <row r="396">
      <c r="H396" s="310"/>
      <c r="N396" s="27"/>
    </row>
    <row r="397">
      <c r="H397" s="310"/>
      <c r="N397" s="27"/>
    </row>
    <row r="398">
      <c r="H398" s="310"/>
      <c r="N398" s="27"/>
    </row>
    <row r="399">
      <c r="H399" s="310"/>
      <c r="N399" s="27"/>
    </row>
    <row r="400">
      <c r="H400" s="310"/>
      <c r="N400" s="27"/>
    </row>
    <row r="401">
      <c r="H401" s="310"/>
      <c r="N401" s="27"/>
    </row>
    <row r="402">
      <c r="H402" s="310"/>
      <c r="N402" s="27"/>
    </row>
    <row r="403">
      <c r="H403" s="310"/>
      <c r="N403" s="27"/>
    </row>
    <row r="404">
      <c r="H404" s="310"/>
      <c r="N404" s="27"/>
    </row>
    <row r="405">
      <c r="H405" s="310"/>
      <c r="N405" s="27"/>
    </row>
    <row r="406">
      <c r="H406" s="310"/>
      <c r="N406" s="27"/>
    </row>
    <row r="407">
      <c r="H407" s="310"/>
      <c r="N407" s="27"/>
    </row>
    <row r="408">
      <c r="H408" s="310"/>
      <c r="N408" s="27"/>
    </row>
    <row r="409">
      <c r="H409" s="310"/>
      <c r="N409" s="27"/>
    </row>
    <row r="410">
      <c r="H410" s="310"/>
      <c r="N410" s="27"/>
    </row>
    <row r="411">
      <c r="H411" s="310"/>
      <c r="N411" s="27"/>
    </row>
    <row r="412">
      <c r="H412" s="310"/>
      <c r="N412" s="27"/>
    </row>
    <row r="413">
      <c r="H413" s="310"/>
      <c r="N413" s="27"/>
    </row>
    <row r="414">
      <c r="H414" s="310"/>
      <c r="N414" s="27"/>
    </row>
    <row r="415">
      <c r="H415" s="310"/>
      <c r="N415" s="27"/>
    </row>
    <row r="416">
      <c r="H416" s="310"/>
      <c r="N416" s="27"/>
    </row>
    <row r="417">
      <c r="H417" s="310"/>
      <c r="N417" s="27"/>
    </row>
    <row r="418">
      <c r="H418" s="310"/>
      <c r="N418" s="27"/>
    </row>
    <row r="419">
      <c r="H419" s="310"/>
      <c r="N419" s="27"/>
    </row>
    <row r="420">
      <c r="H420" s="310"/>
      <c r="N420" s="27"/>
    </row>
    <row r="421">
      <c r="H421" s="310"/>
      <c r="N421" s="27"/>
    </row>
    <row r="422">
      <c r="H422" s="310"/>
      <c r="N422" s="27"/>
    </row>
    <row r="423">
      <c r="H423" s="310"/>
      <c r="N423" s="27"/>
    </row>
    <row r="424">
      <c r="H424" s="310"/>
      <c r="N424" s="27"/>
    </row>
    <row r="425">
      <c r="H425" s="310"/>
      <c r="N425" s="27"/>
    </row>
    <row r="426">
      <c r="H426" s="310"/>
      <c r="N426" s="27"/>
    </row>
    <row r="427">
      <c r="H427" s="310"/>
      <c r="N427" s="27"/>
    </row>
    <row r="428">
      <c r="H428" s="310"/>
      <c r="N428" s="27"/>
    </row>
    <row r="429">
      <c r="H429" s="310"/>
      <c r="N429" s="27"/>
    </row>
    <row r="430">
      <c r="H430" s="310"/>
      <c r="N430" s="27"/>
    </row>
    <row r="431">
      <c r="H431" s="310"/>
      <c r="N431" s="27"/>
    </row>
    <row r="432">
      <c r="H432" s="310"/>
      <c r="N432" s="27"/>
    </row>
    <row r="433">
      <c r="H433" s="310"/>
      <c r="N433" s="27"/>
    </row>
    <row r="434">
      <c r="H434" s="310"/>
      <c r="N434" s="27"/>
    </row>
    <row r="435">
      <c r="H435" s="310"/>
      <c r="N435" s="27"/>
    </row>
    <row r="436">
      <c r="H436" s="310"/>
      <c r="N436" s="27"/>
    </row>
    <row r="437">
      <c r="H437" s="310"/>
      <c r="N437" s="27"/>
    </row>
    <row r="438">
      <c r="H438" s="310"/>
      <c r="N438" s="27"/>
    </row>
    <row r="439">
      <c r="H439" s="310"/>
      <c r="N439" s="27"/>
    </row>
    <row r="440">
      <c r="H440" s="310"/>
      <c r="N440" s="27"/>
    </row>
    <row r="441">
      <c r="H441" s="310"/>
      <c r="N441" s="27"/>
    </row>
    <row r="442">
      <c r="H442" s="310"/>
      <c r="N442" s="27"/>
    </row>
    <row r="443">
      <c r="H443" s="310"/>
      <c r="N443" s="27"/>
    </row>
    <row r="444">
      <c r="H444" s="310"/>
      <c r="N444" s="27"/>
    </row>
    <row r="445">
      <c r="H445" s="310"/>
      <c r="N445" s="27"/>
    </row>
    <row r="446">
      <c r="H446" s="310"/>
      <c r="N446" s="27"/>
    </row>
    <row r="447">
      <c r="H447" s="310"/>
      <c r="N447" s="27"/>
    </row>
    <row r="448">
      <c r="H448" s="310"/>
      <c r="N448" s="27"/>
    </row>
    <row r="449">
      <c r="H449" s="310"/>
      <c r="N449" s="27"/>
    </row>
    <row r="450">
      <c r="H450" s="310"/>
      <c r="N450" s="27"/>
    </row>
    <row r="451">
      <c r="H451" s="310"/>
      <c r="N451" s="27"/>
    </row>
    <row r="452">
      <c r="H452" s="310"/>
      <c r="N452" s="27"/>
    </row>
    <row r="453">
      <c r="H453" s="310"/>
      <c r="N453" s="27"/>
    </row>
    <row r="454">
      <c r="H454" s="310"/>
      <c r="N454" s="27"/>
    </row>
    <row r="455">
      <c r="H455" s="310"/>
      <c r="N455" s="27"/>
    </row>
    <row r="456">
      <c r="H456" s="310"/>
      <c r="N456" s="27"/>
    </row>
    <row r="457">
      <c r="H457" s="310"/>
      <c r="N457" s="27"/>
    </row>
    <row r="458">
      <c r="H458" s="310"/>
      <c r="N458" s="27"/>
    </row>
    <row r="459">
      <c r="H459" s="310"/>
      <c r="N459" s="27"/>
    </row>
    <row r="460">
      <c r="H460" s="310"/>
      <c r="N460" s="27"/>
    </row>
    <row r="461">
      <c r="H461" s="310"/>
      <c r="N461" s="27"/>
    </row>
    <row r="462">
      <c r="H462" s="310"/>
      <c r="N462" s="27"/>
    </row>
    <row r="463">
      <c r="H463" s="310"/>
      <c r="N463" s="27"/>
    </row>
    <row r="464">
      <c r="H464" s="310"/>
      <c r="N464" s="27"/>
    </row>
    <row r="465">
      <c r="H465" s="310"/>
      <c r="N465" s="27"/>
    </row>
    <row r="466">
      <c r="H466" s="310"/>
      <c r="N466" s="27"/>
    </row>
    <row r="467">
      <c r="H467" s="310"/>
      <c r="N467" s="27"/>
    </row>
    <row r="468">
      <c r="H468" s="310"/>
      <c r="N468" s="27"/>
    </row>
    <row r="469">
      <c r="H469" s="310"/>
      <c r="N469" s="27"/>
    </row>
    <row r="470">
      <c r="H470" s="310"/>
      <c r="N470" s="27"/>
    </row>
    <row r="471">
      <c r="H471" s="310"/>
      <c r="N471" s="27"/>
    </row>
    <row r="472">
      <c r="H472" s="310"/>
      <c r="N472" s="27"/>
    </row>
    <row r="473">
      <c r="H473" s="310"/>
      <c r="N473" s="27"/>
    </row>
    <row r="474">
      <c r="H474" s="310"/>
      <c r="N474" s="27"/>
    </row>
    <row r="475">
      <c r="H475" s="310"/>
      <c r="N475" s="27"/>
    </row>
    <row r="476">
      <c r="H476" s="310"/>
      <c r="N476" s="27"/>
    </row>
    <row r="477">
      <c r="H477" s="310"/>
      <c r="N477" s="27"/>
    </row>
    <row r="478">
      <c r="H478" s="310"/>
      <c r="N478" s="27"/>
    </row>
    <row r="479">
      <c r="H479" s="310"/>
      <c r="N479" s="27"/>
    </row>
    <row r="480">
      <c r="H480" s="310"/>
      <c r="N480" s="27"/>
    </row>
    <row r="481">
      <c r="H481" s="310"/>
      <c r="N481" s="27"/>
    </row>
    <row r="482">
      <c r="H482" s="310"/>
      <c r="N482" s="27"/>
    </row>
    <row r="483">
      <c r="H483" s="310"/>
      <c r="N483" s="27"/>
    </row>
    <row r="484">
      <c r="H484" s="310"/>
      <c r="N484" s="27"/>
    </row>
    <row r="485">
      <c r="H485" s="310"/>
      <c r="N485" s="27"/>
    </row>
    <row r="486">
      <c r="H486" s="310"/>
      <c r="N486" s="27"/>
    </row>
    <row r="487">
      <c r="H487" s="310"/>
      <c r="N487" s="27"/>
    </row>
    <row r="488">
      <c r="H488" s="310"/>
      <c r="N488" s="27"/>
    </row>
    <row r="489">
      <c r="H489" s="310"/>
      <c r="N489" s="27"/>
    </row>
    <row r="490">
      <c r="H490" s="310"/>
      <c r="N490" s="27"/>
    </row>
    <row r="491">
      <c r="H491" s="310"/>
      <c r="N491" s="27"/>
    </row>
    <row r="492">
      <c r="H492" s="310"/>
      <c r="N492" s="27"/>
    </row>
    <row r="493">
      <c r="H493" s="310"/>
      <c r="N493" s="27"/>
    </row>
    <row r="494">
      <c r="H494" s="310"/>
      <c r="N494" s="27"/>
    </row>
    <row r="495">
      <c r="H495" s="310"/>
      <c r="N495" s="27"/>
    </row>
    <row r="496">
      <c r="H496" s="310"/>
      <c r="N496" s="27"/>
    </row>
    <row r="497">
      <c r="H497" s="310"/>
      <c r="N497" s="27"/>
    </row>
    <row r="498">
      <c r="H498" s="310"/>
      <c r="N498" s="27"/>
    </row>
    <row r="499">
      <c r="H499" s="310"/>
      <c r="N499" s="27"/>
    </row>
    <row r="500">
      <c r="H500" s="310"/>
      <c r="N500" s="27"/>
    </row>
    <row r="501">
      <c r="H501" s="310"/>
      <c r="N501" s="27"/>
    </row>
    <row r="502">
      <c r="H502" s="310"/>
      <c r="N502" s="27"/>
    </row>
    <row r="503">
      <c r="H503" s="310"/>
      <c r="N503" s="27"/>
    </row>
    <row r="504">
      <c r="H504" s="310"/>
      <c r="N504" s="27"/>
    </row>
    <row r="505">
      <c r="H505" s="310"/>
      <c r="N505" s="27"/>
    </row>
    <row r="506">
      <c r="H506" s="310"/>
      <c r="N506" s="27"/>
    </row>
    <row r="507">
      <c r="H507" s="310"/>
      <c r="N507" s="27"/>
    </row>
    <row r="508">
      <c r="H508" s="310"/>
      <c r="N508" s="27"/>
    </row>
    <row r="509">
      <c r="H509" s="310"/>
      <c r="N509" s="27"/>
    </row>
    <row r="510">
      <c r="H510" s="310"/>
      <c r="N510" s="27"/>
    </row>
    <row r="511">
      <c r="H511" s="310"/>
      <c r="N511" s="27"/>
    </row>
    <row r="512">
      <c r="H512" s="310"/>
      <c r="N512" s="27"/>
    </row>
    <row r="513">
      <c r="H513" s="310"/>
      <c r="N513" s="27"/>
    </row>
    <row r="514">
      <c r="H514" s="310"/>
      <c r="N514" s="27"/>
    </row>
    <row r="515">
      <c r="H515" s="310"/>
      <c r="N515" s="27"/>
    </row>
    <row r="516">
      <c r="H516" s="310"/>
      <c r="N516" s="27"/>
    </row>
    <row r="517">
      <c r="H517" s="310"/>
      <c r="N517" s="27"/>
    </row>
    <row r="518">
      <c r="H518" s="310"/>
      <c r="N518" s="27"/>
    </row>
    <row r="519">
      <c r="H519" s="310"/>
      <c r="N519" s="27"/>
    </row>
    <row r="520">
      <c r="H520" s="310"/>
      <c r="N520" s="27"/>
    </row>
    <row r="521">
      <c r="H521" s="310"/>
      <c r="N521" s="27"/>
    </row>
    <row r="522">
      <c r="H522" s="310"/>
      <c r="N522" s="27"/>
    </row>
    <row r="523">
      <c r="H523" s="310"/>
      <c r="N523" s="27"/>
    </row>
    <row r="524">
      <c r="H524" s="310"/>
      <c r="N524" s="27"/>
    </row>
    <row r="525">
      <c r="H525" s="310"/>
      <c r="N525" s="27"/>
    </row>
    <row r="526">
      <c r="H526" s="310"/>
      <c r="N526" s="27"/>
    </row>
    <row r="527">
      <c r="H527" s="310"/>
      <c r="N527" s="27"/>
    </row>
    <row r="528">
      <c r="H528" s="310"/>
      <c r="N528" s="27"/>
    </row>
    <row r="529">
      <c r="H529" s="310"/>
      <c r="N529" s="27"/>
    </row>
    <row r="530">
      <c r="H530" s="310"/>
      <c r="N530" s="27"/>
    </row>
    <row r="531">
      <c r="H531" s="310"/>
      <c r="N531" s="27"/>
    </row>
    <row r="532">
      <c r="H532" s="310"/>
      <c r="N532" s="27"/>
    </row>
    <row r="533">
      <c r="H533" s="310"/>
      <c r="N533" s="27"/>
    </row>
    <row r="534">
      <c r="H534" s="310"/>
      <c r="N534" s="27"/>
    </row>
    <row r="535">
      <c r="H535" s="310"/>
      <c r="N535" s="27"/>
    </row>
    <row r="536">
      <c r="H536" s="310"/>
      <c r="N536" s="27"/>
    </row>
    <row r="537">
      <c r="H537" s="310"/>
      <c r="N537" s="27"/>
    </row>
    <row r="538">
      <c r="H538" s="310"/>
      <c r="N538" s="27"/>
    </row>
    <row r="539">
      <c r="H539" s="310"/>
      <c r="N539" s="27"/>
    </row>
    <row r="540">
      <c r="H540" s="310"/>
      <c r="N540" s="27"/>
    </row>
    <row r="541">
      <c r="H541" s="310"/>
      <c r="N541" s="27"/>
    </row>
    <row r="542">
      <c r="H542" s="310"/>
      <c r="N542" s="27"/>
    </row>
    <row r="543">
      <c r="H543" s="310"/>
      <c r="N543" s="27"/>
    </row>
    <row r="544">
      <c r="H544" s="310"/>
      <c r="N544" s="27"/>
    </row>
    <row r="545">
      <c r="H545" s="310"/>
      <c r="N545" s="27"/>
    </row>
    <row r="546">
      <c r="H546" s="310"/>
      <c r="N546" s="27"/>
    </row>
    <row r="547">
      <c r="H547" s="310"/>
      <c r="N547" s="27"/>
    </row>
    <row r="548">
      <c r="H548" s="310"/>
      <c r="N548" s="27"/>
    </row>
    <row r="549">
      <c r="H549" s="310"/>
      <c r="N549" s="27"/>
    </row>
    <row r="550">
      <c r="H550" s="310"/>
      <c r="N550" s="27"/>
    </row>
    <row r="551">
      <c r="H551" s="310"/>
      <c r="N551" s="27"/>
    </row>
    <row r="552">
      <c r="H552" s="310"/>
      <c r="N552" s="27"/>
    </row>
    <row r="553">
      <c r="H553" s="310"/>
      <c r="N553" s="27"/>
    </row>
    <row r="554">
      <c r="H554" s="310"/>
      <c r="N554" s="27"/>
    </row>
    <row r="555">
      <c r="H555" s="310"/>
      <c r="N555" s="27"/>
    </row>
    <row r="556">
      <c r="H556" s="310"/>
      <c r="N556" s="27"/>
    </row>
    <row r="557">
      <c r="H557" s="310"/>
      <c r="N557" s="27"/>
    </row>
    <row r="558">
      <c r="H558" s="310"/>
      <c r="N558" s="27"/>
    </row>
    <row r="559">
      <c r="H559" s="310"/>
      <c r="N559" s="27"/>
    </row>
    <row r="560">
      <c r="H560" s="310"/>
      <c r="N560" s="27"/>
    </row>
    <row r="561">
      <c r="H561" s="310"/>
      <c r="N561" s="27"/>
    </row>
    <row r="562">
      <c r="H562" s="310"/>
      <c r="N562" s="27"/>
    </row>
    <row r="563">
      <c r="H563" s="310"/>
      <c r="N563" s="27"/>
    </row>
    <row r="564">
      <c r="H564" s="310"/>
      <c r="N564" s="27"/>
    </row>
    <row r="565">
      <c r="H565" s="310"/>
      <c r="N565" s="27"/>
    </row>
    <row r="566">
      <c r="H566" s="310"/>
      <c r="N566" s="27"/>
    </row>
    <row r="567">
      <c r="H567" s="310"/>
      <c r="N567" s="27"/>
    </row>
    <row r="568">
      <c r="H568" s="310"/>
      <c r="N568" s="27"/>
    </row>
    <row r="569">
      <c r="H569" s="310"/>
      <c r="N569" s="27"/>
    </row>
    <row r="570">
      <c r="H570" s="310"/>
      <c r="N570" s="27"/>
    </row>
    <row r="571">
      <c r="H571" s="310"/>
      <c r="N571" s="27"/>
    </row>
    <row r="572">
      <c r="H572" s="310"/>
      <c r="N572" s="27"/>
    </row>
    <row r="573">
      <c r="H573" s="310"/>
      <c r="N573" s="27"/>
    </row>
    <row r="574">
      <c r="H574" s="310"/>
      <c r="N574" s="27"/>
    </row>
    <row r="575">
      <c r="H575" s="310"/>
      <c r="N575" s="27"/>
    </row>
    <row r="576">
      <c r="H576" s="310"/>
      <c r="N576" s="27"/>
    </row>
    <row r="577">
      <c r="H577" s="310"/>
      <c r="N577" s="27"/>
    </row>
    <row r="578">
      <c r="H578" s="310"/>
      <c r="N578" s="27"/>
    </row>
    <row r="579">
      <c r="H579" s="310"/>
      <c r="N579" s="27"/>
    </row>
    <row r="580">
      <c r="H580" s="310"/>
      <c r="N580" s="27"/>
    </row>
    <row r="581">
      <c r="H581" s="310"/>
      <c r="N581" s="27"/>
    </row>
    <row r="582">
      <c r="H582" s="310"/>
      <c r="N582" s="27"/>
    </row>
    <row r="583">
      <c r="H583" s="310"/>
      <c r="N583" s="27"/>
    </row>
    <row r="584">
      <c r="H584" s="310"/>
      <c r="N584" s="27"/>
    </row>
    <row r="585">
      <c r="H585" s="310"/>
      <c r="N585" s="27"/>
    </row>
    <row r="586">
      <c r="H586" s="310"/>
      <c r="N586" s="27"/>
    </row>
    <row r="587">
      <c r="H587" s="310"/>
      <c r="N587" s="27"/>
    </row>
    <row r="588">
      <c r="H588" s="310"/>
      <c r="N588" s="27"/>
    </row>
    <row r="589">
      <c r="H589" s="310"/>
      <c r="N589" s="27"/>
    </row>
    <row r="590">
      <c r="H590" s="310"/>
      <c r="N590" s="27"/>
    </row>
    <row r="591">
      <c r="H591" s="310"/>
      <c r="N591" s="27"/>
    </row>
    <row r="592">
      <c r="H592" s="310"/>
      <c r="N592" s="27"/>
    </row>
    <row r="593">
      <c r="H593" s="310"/>
      <c r="N593" s="27"/>
    </row>
    <row r="594">
      <c r="H594" s="310"/>
      <c r="N594" s="27"/>
    </row>
    <row r="595">
      <c r="H595" s="310"/>
      <c r="N595" s="27"/>
    </row>
    <row r="596">
      <c r="H596" s="310"/>
      <c r="N596" s="27"/>
    </row>
    <row r="597">
      <c r="H597" s="310"/>
      <c r="N597" s="27"/>
    </row>
    <row r="598">
      <c r="H598" s="310"/>
      <c r="N598" s="27"/>
    </row>
    <row r="599">
      <c r="H599" s="310"/>
      <c r="N599" s="27"/>
    </row>
    <row r="600">
      <c r="H600" s="310"/>
      <c r="N600" s="27"/>
    </row>
    <row r="601">
      <c r="H601" s="310"/>
      <c r="N601" s="27"/>
    </row>
    <row r="602">
      <c r="H602" s="310"/>
      <c r="N602" s="27"/>
    </row>
    <row r="603">
      <c r="H603" s="310"/>
      <c r="N603" s="27"/>
    </row>
    <row r="604">
      <c r="H604" s="310"/>
      <c r="N604" s="27"/>
    </row>
    <row r="605">
      <c r="H605" s="310"/>
      <c r="N605" s="27"/>
    </row>
    <row r="606">
      <c r="H606" s="310"/>
      <c r="N606" s="27"/>
    </row>
    <row r="607">
      <c r="H607" s="310"/>
      <c r="N607" s="27"/>
    </row>
    <row r="608">
      <c r="H608" s="310"/>
      <c r="N608" s="27"/>
    </row>
    <row r="609">
      <c r="H609" s="310"/>
      <c r="N609" s="27"/>
    </row>
    <row r="610">
      <c r="H610" s="310"/>
      <c r="N610" s="27"/>
    </row>
    <row r="611">
      <c r="H611" s="310"/>
      <c r="N611" s="27"/>
    </row>
    <row r="612">
      <c r="H612" s="310"/>
      <c r="N612" s="27"/>
    </row>
    <row r="613">
      <c r="H613" s="310"/>
      <c r="N613" s="27"/>
    </row>
    <row r="614">
      <c r="H614" s="310"/>
      <c r="N614" s="27"/>
    </row>
    <row r="615">
      <c r="H615" s="310"/>
      <c r="N615" s="27"/>
    </row>
    <row r="616">
      <c r="H616" s="310"/>
      <c r="N616" s="27"/>
    </row>
    <row r="617">
      <c r="H617" s="310"/>
      <c r="N617" s="27"/>
    </row>
    <row r="618">
      <c r="H618" s="310"/>
      <c r="N618" s="27"/>
    </row>
    <row r="619">
      <c r="H619" s="310"/>
      <c r="N619" s="27"/>
    </row>
    <row r="620">
      <c r="H620" s="310"/>
      <c r="N620" s="27"/>
    </row>
    <row r="621">
      <c r="H621" s="310"/>
      <c r="N621" s="27"/>
    </row>
    <row r="622">
      <c r="H622" s="310"/>
      <c r="N622" s="27"/>
    </row>
    <row r="623">
      <c r="H623" s="310"/>
      <c r="N623" s="27"/>
    </row>
    <row r="624">
      <c r="H624" s="310"/>
      <c r="N624" s="27"/>
    </row>
    <row r="625">
      <c r="H625" s="310"/>
      <c r="N625" s="27"/>
    </row>
    <row r="626">
      <c r="H626" s="310"/>
      <c r="N626" s="27"/>
    </row>
    <row r="627">
      <c r="H627" s="310"/>
      <c r="N627" s="27"/>
    </row>
    <row r="628">
      <c r="H628" s="310"/>
      <c r="N628" s="27"/>
    </row>
    <row r="629">
      <c r="H629" s="310"/>
      <c r="N629" s="27"/>
    </row>
    <row r="630">
      <c r="H630" s="310"/>
      <c r="N630" s="27"/>
    </row>
    <row r="631">
      <c r="H631" s="310"/>
      <c r="N631" s="27"/>
    </row>
    <row r="632">
      <c r="H632" s="310"/>
      <c r="N632" s="27"/>
    </row>
    <row r="633">
      <c r="H633" s="310"/>
      <c r="N633" s="27"/>
    </row>
    <row r="634">
      <c r="H634" s="310"/>
      <c r="N634" s="27"/>
    </row>
    <row r="635">
      <c r="H635" s="310"/>
      <c r="N635" s="27"/>
    </row>
    <row r="636">
      <c r="H636" s="310"/>
      <c r="N636" s="27"/>
    </row>
    <row r="637">
      <c r="H637" s="310"/>
      <c r="N637" s="27"/>
    </row>
    <row r="638">
      <c r="H638" s="310"/>
      <c r="N638" s="27"/>
    </row>
    <row r="639">
      <c r="H639" s="310"/>
      <c r="N639" s="27"/>
    </row>
    <row r="640">
      <c r="H640" s="310"/>
      <c r="N640" s="27"/>
    </row>
    <row r="641">
      <c r="H641" s="310"/>
      <c r="N641" s="27"/>
    </row>
    <row r="642">
      <c r="H642" s="310"/>
      <c r="N642" s="27"/>
    </row>
    <row r="643">
      <c r="H643" s="310"/>
      <c r="N643" s="27"/>
    </row>
    <row r="644">
      <c r="H644" s="310"/>
      <c r="N644" s="27"/>
    </row>
    <row r="645">
      <c r="H645" s="310"/>
      <c r="N645" s="27"/>
    </row>
    <row r="646">
      <c r="H646" s="310"/>
      <c r="N646" s="27"/>
    </row>
    <row r="647">
      <c r="H647" s="310"/>
      <c r="N647" s="27"/>
    </row>
    <row r="648">
      <c r="H648" s="310"/>
      <c r="N648" s="27"/>
    </row>
    <row r="649">
      <c r="H649" s="310"/>
      <c r="N649" s="27"/>
    </row>
    <row r="650">
      <c r="H650" s="310"/>
      <c r="N650" s="27"/>
    </row>
    <row r="651">
      <c r="H651" s="310"/>
      <c r="N651" s="27"/>
    </row>
    <row r="652">
      <c r="H652" s="310"/>
      <c r="N652" s="27"/>
    </row>
    <row r="653">
      <c r="H653" s="310"/>
      <c r="N653" s="27"/>
    </row>
    <row r="654">
      <c r="H654" s="310"/>
      <c r="N654" s="27"/>
    </row>
    <row r="655">
      <c r="H655" s="310"/>
      <c r="N655" s="27"/>
    </row>
    <row r="656">
      <c r="H656" s="310"/>
      <c r="N656" s="27"/>
    </row>
    <row r="657">
      <c r="H657" s="310"/>
      <c r="N657" s="27"/>
    </row>
    <row r="658">
      <c r="H658" s="310"/>
      <c r="N658" s="27"/>
    </row>
    <row r="659">
      <c r="H659" s="310"/>
      <c r="N659" s="27"/>
    </row>
    <row r="660">
      <c r="H660" s="310"/>
      <c r="N660" s="27"/>
    </row>
    <row r="661">
      <c r="H661" s="310"/>
      <c r="N661" s="27"/>
    </row>
    <row r="662">
      <c r="H662" s="310"/>
      <c r="N662" s="27"/>
    </row>
    <row r="663">
      <c r="H663" s="310"/>
      <c r="N663" s="27"/>
    </row>
    <row r="664">
      <c r="H664" s="310"/>
      <c r="N664" s="27"/>
    </row>
    <row r="665">
      <c r="H665" s="310"/>
      <c r="N665" s="27"/>
    </row>
    <row r="666">
      <c r="H666" s="310"/>
      <c r="N666" s="27"/>
    </row>
    <row r="667">
      <c r="H667" s="310"/>
      <c r="N667" s="27"/>
    </row>
    <row r="668">
      <c r="H668" s="310"/>
      <c r="N668" s="27"/>
    </row>
    <row r="669">
      <c r="H669" s="310"/>
      <c r="N669" s="27"/>
    </row>
    <row r="670">
      <c r="H670" s="310"/>
      <c r="N670" s="27"/>
    </row>
    <row r="671">
      <c r="H671" s="310"/>
      <c r="N671" s="27"/>
    </row>
    <row r="672">
      <c r="H672" s="310"/>
      <c r="N672" s="27"/>
    </row>
    <row r="673">
      <c r="H673" s="310"/>
      <c r="N673" s="27"/>
    </row>
    <row r="674">
      <c r="H674" s="310"/>
      <c r="N674" s="27"/>
    </row>
    <row r="675">
      <c r="H675" s="310"/>
      <c r="N675" s="27"/>
    </row>
    <row r="676">
      <c r="H676" s="310"/>
      <c r="N676" s="27"/>
    </row>
    <row r="677">
      <c r="H677" s="310"/>
      <c r="N677" s="27"/>
    </row>
    <row r="678">
      <c r="H678" s="310"/>
      <c r="N678" s="27"/>
    </row>
    <row r="679">
      <c r="H679" s="310"/>
      <c r="N679" s="27"/>
    </row>
    <row r="680">
      <c r="H680" s="310"/>
      <c r="N680" s="27"/>
    </row>
    <row r="681">
      <c r="H681" s="310"/>
      <c r="N681" s="27"/>
    </row>
    <row r="682">
      <c r="H682" s="310"/>
      <c r="N682" s="27"/>
    </row>
    <row r="683">
      <c r="H683" s="310"/>
      <c r="N683" s="27"/>
    </row>
    <row r="684">
      <c r="H684" s="310"/>
      <c r="N684" s="27"/>
    </row>
    <row r="685">
      <c r="H685" s="310"/>
      <c r="N685" s="27"/>
    </row>
    <row r="686">
      <c r="H686" s="310"/>
      <c r="N686" s="27"/>
    </row>
    <row r="687">
      <c r="H687" s="310"/>
      <c r="N687" s="27"/>
    </row>
    <row r="688">
      <c r="H688" s="310"/>
      <c r="N688" s="27"/>
    </row>
    <row r="689">
      <c r="H689" s="310"/>
      <c r="N689" s="27"/>
    </row>
    <row r="690">
      <c r="H690" s="310"/>
      <c r="N690" s="27"/>
    </row>
    <row r="691">
      <c r="H691" s="310"/>
      <c r="N691" s="27"/>
    </row>
    <row r="692">
      <c r="H692" s="310"/>
      <c r="N692" s="27"/>
    </row>
    <row r="693">
      <c r="H693" s="310"/>
      <c r="N693" s="27"/>
    </row>
    <row r="694">
      <c r="H694" s="310"/>
      <c r="N694" s="27"/>
    </row>
    <row r="695">
      <c r="H695" s="310"/>
      <c r="N695" s="27"/>
    </row>
    <row r="696">
      <c r="H696" s="310"/>
      <c r="N696" s="27"/>
    </row>
    <row r="697">
      <c r="H697" s="310"/>
      <c r="N697" s="27"/>
    </row>
    <row r="698">
      <c r="H698" s="310"/>
      <c r="N698" s="27"/>
    </row>
    <row r="699">
      <c r="H699" s="310"/>
      <c r="N699" s="27"/>
    </row>
    <row r="700">
      <c r="H700" s="310"/>
      <c r="N700" s="27"/>
    </row>
    <row r="701">
      <c r="H701" s="310"/>
      <c r="N701" s="27"/>
    </row>
    <row r="702">
      <c r="H702" s="310"/>
      <c r="N702" s="27"/>
    </row>
    <row r="703">
      <c r="H703" s="310"/>
      <c r="N703" s="27"/>
    </row>
    <row r="704">
      <c r="H704" s="310"/>
      <c r="N704" s="27"/>
    </row>
    <row r="705">
      <c r="H705" s="310"/>
      <c r="N705" s="27"/>
    </row>
    <row r="706">
      <c r="H706" s="310"/>
      <c r="N706" s="27"/>
    </row>
    <row r="707">
      <c r="H707" s="310"/>
      <c r="N707" s="27"/>
    </row>
    <row r="708">
      <c r="H708" s="310"/>
      <c r="N708" s="27"/>
    </row>
    <row r="709">
      <c r="H709" s="310"/>
      <c r="N709" s="27"/>
    </row>
    <row r="710">
      <c r="H710" s="310"/>
      <c r="N710" s="27"/>
    </row>
    <row r="711">
      <c r="H711" s="310"/>
      <c r="N711" s="27"/>
    </row>
    <row r="712">
      <c r="H712" s="310"/>
      <c r="N712" s="27"/>
    </row>
    <row r="713">
      <c r="H713" s="310"/>
      <c r="N713" s="27"/>
    </row>
    <row r="714">
      <c r="H714" s="310"/>
      <c r="N714" s="27"/>
    </row>
    <row r="715">
      <c r="H715" s="310"/>
      <c r="N715" s="27"/>
    </row>
    <row r="716">
      <c r="H716" s="310"/>
      <c r="N716" s="27"/>
    </row>
    <row r="717">
      <c r="H717" s="310"/>
      <c r="N717" s="27"/>
    </row>
    <row r="718">
      <c r="H718" s="310"/>
      <c r="N718" s="27"/>
    </row>
    <row r="719">
      <c r="H719" s="310"/>
      <c r="N719" s="27"/>
    </row>
    <row r="720">
      <c r="H720" s="310"/>
      <c r="N720" s="27"/>
    </row>
    <row r="721">
      <c r="H721" s="310"/>
      <c r="N721" s="27"/>
    </row>
    <row r="722">
      <c r="H722" s="310"/>
      <c r="N722" s="27"/>
    </row>
    <row r="723">
      <c r="H723" s="310"/>
      <c r="N723" s="27"/>
    </row>
    <row r="724">
      <c r="H724" s="310"/>
      <c r="N724" s="27"/>
    </row>
    <row r="725">
      <c r="H725" s="310"/>
      <c r="N725" s="27"/>
    </row>
    <row r="726">
      <c r="H726" s="310"/>
      <c r="N726" s="27"/>
    </row>
    <row r="727">
      <c r="H727" s="310"/>
      <c r="N727" s="27"/>
    </row>
    <row r="728">
      <c r="H728" s="310"/>
      <c r="N728" s="27"/>
    </row>
    <row r="729">
      <c r="H729" s="310"/>
      <c r="N729" s="27"/>
    </row>
    <row r="730">
      <c r="H730" s="310"/>
      <c r="N730" s="27"/>
    </row>
    <row r="731">
      <c r="H731" s="310"/>
      <c r="N731" s="27"/>
    </row>
    <row r="732">
      <c r="H732" s="310"/>
      <c r="N732" s="27"/>
    </row>
    <row r="733">
      <c r="H733" s="310"/>
      <c r="N733" s="27"/>
    </row>
    <row r="734">
      <c r="H734" s="310"/>
      <c r="N734" s="27"/>
    </row>
    <row r="735">
      <c r="H735" s="310"/>
      <c r="N735" s="27"/>
    </row>
    <row r="736">
      <c r="H736" s="310"/>
      <c r="N736" s="27"/>
    </row>
    <row r="737">
      <c r="H737" s="310"/>
      <c r="N737" s="27"/>
    </row>
    <row r="738">
      <c r="H738" s="310"/>
      <c r="N738" s="27"/>
    </row>
    <row r="739">
      <c r="H739" s="310"/>
      <c r="N739" s="27"/>
    </row>
    <row r="740">
      <c r="H740" s="310"/>
      <c r="N740" s="27"/>
    </row>
    <row r="741">
      <c r="H741" s="310"/>
      <c r="N741" s="27"/>
    </row>
    <row r="742">
      <c r="H742" s="310"/>
      <c r="N742" s="27"/>
    </row>
    <row r="743">
      <c r="H743" s="310"/>
      <c r="N743" s="27"/>
    </row>
    <row r="744">
      <c r="H744" s="310"/>
      <c r="N744" s="27"/>
    </row>
    <row r="745">
      <c r="H745" s="310"/>
      <c r="N745" s="27"/>
    </row>
    <row r="746">
      <c r="H746" s="310"/>
      <c r="N746" s="27"/>
    </row>
    <row r="747">
      <c r="H747" s="310"/>
      <c r="N747" s="27"/>
    </row>
    <row r="748">
      <c r="H748" s="310"/>
      <c r="N748" s="27"/>
    </row>
    <row r="749">
      <c r="H749" s="310"/>
      <c r="N749" s="27"/>
    </row>
    <row r="750">
      <c r="H750" s="310"/>
      <c r="N750" s="27"/>
    </row>
    <row r="751">
      <c r="H751" s="310"/>
      <c r="N751" s="27"/>
    </row>
    <row r="752">
      <c r="H752" s="310"/>
      <c r="N752" s="27"/>
    </row>
    <row r="753">
      <c r="H753" s="310"/>
      <c r="N753" s="27"/>
    </row>
    <row r="754">
      <c r="H754" s="310"/>
      <c r="N754" s="27"/>
    </row>
    <row r="755">
      <c r="H755" s="310"/>
      <c r="N755" s="27"/>
    </row>
    <row r="756">
      <c r="H756" s="310"/>
      <c r="N756" s="27"/>
    </row>
    <row r="757">
      <c r="H757" s="310"/>
      <c r="N757" s="27"/>
    </row>
    <row r="758">
      <c r="H758" s="310"/>
      <c r="N758" s="27"/>
    </row>
    <row r="759">
      <c r="H759" s="310"/>
      <c r="N759" s="27"/>
    </row>
    <row r="760">
      <c r="H760" s="310"/>
      <c r="N760" s="27"/>
    </row>
    <row r="761">
      <c r="H761" s="310"/>
      <c r="N761" s="27"/>
    </row>
    <row r="762">
      <c r="H762" s="310"/>
      <c r="N762" s="27"/>
    </row>
    <row r="763">
      <c r="H763" s="310"/>
      <c r="N763" s="27"/>
    </row>
    <row r="764">
      <c r="H764" s="310"/>
      <c r="N764" s="27"/>
    </row>
    <row r="765">
      <c r="H765" s="310"/>
      <c r="N765" s="27"/>
    </row>
    <row r="766">
      <c r="H766" s="310"/>
      <c r="N766" s="27"/>
    </row>
    <row r="767">
      <c r="H767" s="310"/>
      <c r="N767" s="27"/>
    </row>
    <row r="768">
      <c r="H768" s="310"/>
      <c r="N768" s="27"/>
    </row>
    <row r="769">
      <c r="H769" s="310"/>
      <c r="N769" s="27"/>
    </row>
    <row r="770">
      <c r="H770" s="310"/>
      <c r="N770" s="27"/>
    </row>
    <row r="771">
      <c r="H771" s="310"/>
      <c r="N771" s="27"/>
    </row>
    <row r="772">
      <c r="H772" s="310"/>
      <c r="N772" s="27"/>
    </row>
    <row r="773">
      <c r="H773" s="310"/>
      <c r="N773" s="27"/>
    </row>
    <row r="774">
      <c r="H774" s="310"/>
      <c r="N774" s="27"/>
    </row>
    <row r="775">
      <c r="H775" s="310"/>
      <c r="N775" s="27"/>
    </row>
    <row r="776">
      <c r="H776" s="310"/>
      <c r="N776" s="27"/>
    </row>
    <row r="777">
      <c r="H777" s="310"/>
      <c r="N777" s="27"/>
    </row>
    <row r="778">
      <c r="H778" s="310"/>
      <c r="N778" s="27"/>
    </row>
    <row r="779">
      <c r="H779" s="310"/>
      <c r="N779" s="27"/>
    </row>
    <row r="780">
      <c r="H780" s="310"/>
      <c r="N780" s="27"/>
    </row>
    <row r="781">
      <c r="H781" s="310"/>
      <c r="N781" s="27"/>
    </row>
    <row r="782">
      <c r="H782" s="310"/>
      <c r="N782" s="27"/>
    </row>
    <row r="783">
      <c r="H783" s="310"/>
      <c r="N783" s="27"/>
    </row>
    <row r="784">
      <c r="H784" s="310"/>
      <c r="N784" s="27"/>
    </row>
    <row r="785">
      <c r="H785" s="310"/>
      <c r="N785" s="27"/>
    </row>
    <row r="786">
      <c r="H786" s="310"/>
      <c r="N786" s="27"/>
    </row>
    <row r="787">
      <c r="H787" s="310"/>
      <c r="N787" s="27"/>
    </row>
    <row r="788">
      <c r="H788" s="310"/>
      <c r="N788" s="27"/>
    </row>
    <row r="789">
      <c r="H789" s="310"/>
      <c r="N789" s="27"/>
    </row>
    <row r="790">
      <c r="H790" s="310"/>
      <c r="N790" s="27"/>
    </row>
    <row r="791">
      <c r="H791" s="310"/>
      <c r="N791" s="27"/>
    </row>
    <row r="792">
      <c r="H792" s="310"/>
      <c r="N792" s="27"/>
    </row>
    <row r="793">
      <c r="H793" s="310"/>
      <c r="N793" s="27"/>
    </row>
    <row r="794">
      <c r="H794" s="310"/>
      <c r="N794" s="27"/>
    </row>
    <row r="795">
      <c r="H795" s="310"/>
      <c r="N795" s="27"/>
    </row>
    <row r="796">
      <c r="H796" s="310"/>
      <c r="N796" s="27"/>
    </row>
    <row r="797">
      <c r="H797" s="310"/>
      <c r="N797" s="27"/>
    </row>
    <row r="798">
      <c r="H798" s="310"/>
      <c r="N798" s="27"/>
    </row>
    <row r="799">
      <c r="H799" s="310"/>
      <c r="N799" s="27"/>
    </row>
    <row r="800">
      <c r="H800" s="310"/>
      <c r="N800" s="27"/>
    </row>
    <row r="801">
      <c r="H801" s="310"/>
      <c r="N801" s="27"/>
    </row>
    <row r="802">
      <c r="H802" s="310"/>
      <c r="N802" s="27"/>
    </row>
    <row r="803">
      <c r="H803" s="310"/>
      <c r="N803" s="27"/>
    </row>
    <row r="804">
      <c r="H804" s="310"/>
      <c r="N804" s="27"/>
    </row>
    <row r="805">
      <c r="H805" s="310"/>
      <c r="N805" s="27"/>
    </row>
    <row r="806">
      <c r="H806" s="310"/>
      <c r="N806" s="27"/>
    </row>
    <row r="807">
      <c r="H807" s="310"/>
      <c r="N807" s="27"/>
    </row>
    <row r="808">
      <c r="H808" s="310"/>
      <c r="N808" s="27"/>
    </row>
    <row r="809">
      <c r="H809" s="310"/>
      <c r="N809" s="27"/>
    </row>
    <row r="810">
      <c r="H810" s="310"/>
      <c r="N810" s="27"/>
    </row>
    <row r="811">
      <c r="H811" s="310"/>
      <c r="N811" s="27"/>
    </row>
    <row r="812">
      <c r="H812" s="310"/>
      <c r="N812" s="27"/>
    </row>
    <row r="813">
      <c r="H813" s="310"/>
      <c r="N813" s="27"/>
    </row>
    <row r="814">
      <c r="H814" s="310"/>
      <c r="N814" s="27"/>
    </row>
    <row r="815">
      <c r="H815" s="310"/>
      <c r="N815" s="27"/>
    </row>
    <row r="816">
      <c r="H816" s="310"/>
      <c r="N816" s="27"/>
    </row>
    <row r="817">
      <c r="H817" s="310"/>
      <c r="N817" s="27"/>
    </row>
    <row r="818">
      <c r="H818" s="310"/>
      <c r="N818" s="27"/>
    </row>
    <row r="819">
      <c r="H819" s="310"/>
      <c r="N819" s="27"/>
    </row>
    <row r="820">
      <c r="H820" s="310"/>
      <c r="N820" s="27"/>
    </row>
    <row r="821">
      <c r="H821" s="310"/>
      <c r="N821" s="27"/>
    </row>
    <row r="822">
      <c r="H822" s="310"/>
      <c r="N822" s="27"/>
    </row>
    <row r="823">
      <c r="H823" s="310"/>
      <c r="N823" s="27"/>
    </row>
    <row r="824">
      <c r="H824" s="310"/>
      <c r="N824" s="27"/>
    </row>
    <row r="825">
      <c r="H825" s="310"/>
      <c r="N825" s="27"/>
    </row>
    <row r="826">
      <c r="H826" s="310"/>
      <c r="N826" s="27"/>
    </row>
    <row r="827">
      <c r="H827" s="310"/>
      <c r="N827" s="27"/>
    </row>
    <row r="828">
      <c r="H828" s="310"/>
      <c r="N828" s="27"/>
    </row>
    <row r="829">
      <c r="H829" s="310"/>
      <c r="N829" s="27"/>
    </row>
    <row r="830">
      <c r="H830" s="310"/>
      <c r="N830" s="27"/>
    </row>
    <row r="831">
      <c r="H831" s="310"/>
      <c r="N831" s="27"/>
    </row>
    <row r="832">
      <c r="H832" s="310"/>
      <c r="N832" s="27"/>
    </row>
    <row r="833">
      <c r="H833" s="310"/>
      <c r="N833" s="27"/>
    </row>
    <row r="834">
      <c r="H834" s="310"/>
      <c r="N834" s="27"/>
    </row>
    <row r="835">
      <c r="H835" s="310"/>
      <c r="N835" s="27"/>
    </row>
    <row r="836">
      <c r="H836" s="310"/>
      <c r="N836" s="27"/>
    </row>
    <row r="837">
      <c r="H837" s="310"/>
      <c r="N837" s="27"/>
    </row>
    <row r="838">
      <c r="H838" s="310"/>
      <c r="N838" s="27"/>
    </row>
    <row r="839">
      <c r="H839" s="310"/>
      <c r="N839" s="27"/>
    </row>
    <row r="840">
      <c r="H840" s="310"/>
      <c r="N840" s="27"/>
    </row>
    <row r="841">
      <c r="H841" s="310"/>
      <c r="N841" s="27"/>
    </row>
    <row r="842">
      <c r="H842" s="310"/>
      <c r="N842" s="27"/>
    </row>
    <row r="843">
      <c r="H843" s="310"/>
      <c r="N843" s="27"/>
    </row>
    <row r="844">
      <c r="H844" s="310"/>
      <c r="N844" s="27"/>
    </row>
    <row r="845">
      <c r="H845" s="310"/>
      <c r="N845" s="27"/>
    </row>
    <row r="846">
      <c r="H846" s="310"/>
      <c r="N846" s="27"/>
    </row>
    <row r="847">
      <c r="H847" s="310"/>
      <c r="N847" s="27"/>
    </row>
    <row r="848">
      <c r="H848" s="310"/>
      <c r="N848" s="27"/>
    </row>
    <row r="849">
      <c r="H849" s="310"/>
      <c r="N849" s="27"/>
    </row>
    <row r="850">
      <c r="H850" s="310"/>
      <c r="N850" s="27"/>
    </row>
    <row r="851">
      <c r="H851" s="310"/>
      <c r="N851" s="27"/>
    </row>
    <row r="852">
      <c r="H852" s="310"/>
      <c r="N852" s="27"/>
    </row>
    <row r="853">
      <c r="H853" s="310"/>
      <c r="N853" s="27"/>
    </row>
    <row r="854">
      <c r="H854" s="310"/>
      <c r="N854" s="27"/>
    </row>
    <row r="855">
      <c r="H855" s="310"/>
      <c r="N855" s="27"/>
    </row>
    <row r="856">
      <c r="H856" s="310"/>
      <c r="N856" s="27"/>
    </row>
    <row r="857">
      <c r="H857" s="310"/>
      <c r="N857" s="27"/>
    </row>
    <row r="858">
      <c r="H858" s="310"/>
      <c r="N858" s="27"/>
    </row>
    <row r="859">
      <c r="H859" s="310"/>
      <c r="N859" s="27"/>
    </row>
    <row r="860">
      <c r="H860" s="310"/>
      <c r="N860" s="27"/>
    </row>
    <row r="861">
      <c r="H861" s="310"/>
      <c r="N861" s="27"/>
    </row>
    <row r="862">
      <c r="H862" s="310"/>
      <c r="N862" s="27"/>
    </row>
    <row r="863">
      <c r="H863" s="310"/>
      <c r="N863" s="27"/>
    </row>
    <row r="864">
      <c r="H864" s="310"/>
      <c r="N864" s="27"/>
    </row>
    <row r="865">
      <c r="H865" s="310"/>
      <c r="N865" s="27"/>
    </row>
    <row r="866">
      <c r="H866" s="310"/>
      <c r="N866" s="27"/>
    </row>
    <row r="867">
      <c r="H867" s="310"/>
      <c r="N867" s="27"/>
    </row>
    <row r="868">
      <c r="H868" s="310"/>
      <c r="N868" s="27"/>
    </row>
    <row r="869">
      <c r="H869" s="310"/>
      <c r="N869" s="27"/>
    </row>
    <row r="870">
      <c r="H870" s="310"/>
      <c r="N870" s="27"/>
    </row>
    <row r="871">
      <c r="H871" s="310"/>
      <c r="N871" s="27"/>
    </row>
    <row r="872">
      <c r="H872" s="310"/>
      <c r="N872" s="27"/>
    </row>
    <row r="873">
      <c r="H873" s="310"/>
      <c r="N873" s="27"/>
    </row>
    <row r="874">
      <c r="H874" s="310"/>
      <c r="N874" s="27"/>
    </row>
    <row r="875">
      <c r="H875" s="310"/>
      <c r="N875" s="27"/>
    </row>
    <row r="876">
      <c r="H876" s="310"/>
      <c r="N876" s="27"/>
    </row>
    <row r="877">
      <c r="H877" s="310"/>
      <c r="N877" s="27"/>
    </row>
    <row r="878">
      <c r="H878" s="310"/>
      <c r="N878" s="27"/>
    </row>
    <row r="879">
      <c r="H879" s="310"/>
      <c r="N879" s="27"/>
    </row>
    <row r="880">
      <c r="H880" s="310"/>
      <c r="N880" s="27"/>
    </row>
    <row r="881">
      <c r="H881" s="310"/>
      <c r="N881" s="27"/>
    </row>
    <row r="882">
      <c r="H882" s="310"/>
      <c r="N882" s="27"/>
    </row>
    <row r="883">
      <c r="H883" s="310"/>
      <c r="N883" s="27"/>
    </row>
    <row r="884">
      <c r="H884" s="310"/>
      <c r="N884" s="27"/>
    </row>
    <row r="885">
      <c r="H885" s="310"/>
      <c r="N885" s="27"/>
    </row>
    <row r="886">
      <c r="H886" s="310"/>
      <c r="N886" s="27"/>
    </row>
    <row r="887">
      <c r="H887" s="310"/>
      <c r="N887" s="27"/>
    </row>
    <row r="888">
      <c r="H888" s="310"/>
      <c r="N888" s="27"/>
    </row>
    <row r="889">
      <c r="H889" s="310"/>
      <c r="N889" s="27"/>
    </row>
    <row r="890">
      <c r="H890" s="310"/>
      <c r="N890" s="27"/>
    </row>
    <row r="891">
      <c r="H891" s="310"/>
      <c r="N891" s="27"/>
    </row>
    <row r="892">
      <c r="H892" s="310"/>
      <c r="N892" s="27"/>
    </row>
    <row r="893">
      <c r="H893" s="310"/>
      <c r="N893" s="27"/>
    </row>
    <row r="894">
      <c r="H894" s="310"/>
      <c r="N894" s="27"/>
    </row>
    <row r="895">
      <c r="H895" s="310"/>
      <c r="N895" s="27"/>
    </row>
    <row r="896">
      <c r="H896" s="310"/>
      <c r="N896" s="27"/>
    </row>
    <row r="897">
      <c r="H897" s="310"/>
      <c r="N897" s="27"/>
    </row>
    <row r="898">
      <c r="H898" s="310"/>
      <c r="N898" s="27"/>
    </row>
    <row r="899">
      <c r="H899" s="310"/>
      <c r="N899" s="27"/>
    </row>
    <row r="900">
      <c r="H900" s="310"/>
      <c r="N900" s="27"/>
    </row>
    <row r="901">
      <c r="H901" s="310"/>
      <c r="N901" s="27"/>
    </row>
    <row r="902">
      <c r="H902" s="310"/>
      <c r="N902" s="27"/>
    </row>
    <row r="903">
      <c r="H903" s="310"/>
      <c r="N903" s="27"/>
    </row>
    <row r="904">
      <c r="H904" s="310"/>
      <c r="N904" s="27"/>
    </row>
    <row r="905">
      <c r="H905" s="310"/>
      <c r="N905" s="27"/>
    </row>
    <row r="906">
      <c r="H906" s="310"/>
      <c r="N906" s="27"/>
    </row>
    <row r="907">
      <c r="H907" s="310"/>
      <c r="N907" s="27"/>
    </row>
    <row r="908">
      <c r="H908" s="310"/>
      <c r="N908" s="27"/>
    </row>
    <row r="909">
      <c r="H909" s="310"/>
      <c r="N909" s="27"/>
    </row>
    <row r="910">
      <c r="H910" s="310"/>
      <c r="N910" s="27"/>
    </row>
    <row r="911">
      <c r="H911" s="310"/>
      <c r="N911" s="27"/>
    </row>
    <row r="912">
      <c r="H912" s="310"/>
      <c r="N912" s="27"/>
    </row>
    <row r="913">
      <c r="H913" s="310"/>
      <c r="N913" s="27"/>
    </row>
    <row r="914">
      <c r="H914" s="310"/>
      <c r="N914" s="27"/>
    </row>
    <row r="915">
      <c r="H915" s="310"/>
      <c r="N915" s="27"/>
    </row>
    <row r="916">
      <c r="H916" s="310"/>
      <c r="N916" s="27"/>
    </row>
    <row r="917">
      <c r="H917" s="310"/>
      <c r="N917" s="27"/>
    </row>
    <row r="918">
      <c r="H918" s="310"/>
      <c r="N918" s="27"/>
    </row>
    <row r="919">
      <c r="H919" s="310"/>
      <c r="N919" s="27"/>
    </row>
    <row r="920">
      <c r="H920" s="310"/>
      <c r="N920" s="27"/>
    </row>
    <row r="921">
      <c r="H921" s="310"/>
      <c r="N921" s="27"/>
    </row>
    <row r="922">
      <c r="H922" s="310"/>
      <c r="N922" s="27"/>
    </row>
    <row r="923">
      <c r="H923" s="310"/>
      <c r="N923" s="27"/>
    </row>
    <row r="924">
      <c r="H924" s="310"/>
      <c r="N924" s="27"/>
    </row>
    <row r="925">
      <c r="H925" s="310"/>
      <c r="N925" s="27"/>
    </row>
    <row r="926">
      <c r="H926" s="310"/>
      <c r="N926" s="27"/>
    </row>
    <row r="927">
      <c r="H927" s="310"/>
      <c r="N927" s="27"/>
    </row>
    <row r="928">
      <c r="H928" s="310"/>
      <c r="N928" s="27"/>
    </row>
    <row r="929">
      <c r="H929" s="310"/>
      <c r="N929" s="27"/>
    </row>
    <row r="930">
      <c r="H930" s="310"/>
      <c r="N930" s="27"/>
    </row>
    <row r="931">
      <c r="H931" s="310"/>
      <c r="N931" s="27"/>
    </row>
    <row r="932">
      <c r="H932" s="310"/>
      <c r="N932" s="27"/>
    </row>
    <row r="933">
      <c r="H933" s="310"/>
      <c r="N933" s="27"/>
    </row>
    <row r="934">
      <c r="H934" s="310"/>
      <c r="N934" s="27"/>
    </row>
    <row r="935">
      <c r="H935" s="310"/>
      <c r="N935" s="27"/>
    </row>
    <row r="936">
      <c r="H936" s="310"/>
      <c r="N936" s="27"/>
    </row>
    <row r="937">
      <c r="H937" s="310"/>
      <c r="N937" s="27"/>
    </row>
    <row r="938">
      <c r="H938" s="310"/>
      <c r="N938" s="27"/>
    </row>
    <row r="939">
      <c r="H939" s="310"/>
      <c r="N939" s="27"/>
    </row>
    <row r="940">
      <c r="H940" s="310"/>
      <c r="N940" s="27"/>
    </row>
    <row r="941">
      <c r="H941" s="310"/>
      <c r="N941" s="27"/>
    </row>
    <row r="942">
      <c r="H942" s="310"/>
      <c r="N942" s="27"/>
    </row>
    <row r="943">
      <c r="H943" s="310"/>
      <c r="N943" s="27"/>
    </row>
    <row r="944">
      <c r="H944" s="310"/>
      <c r="N944" s="27"/>
    </row>
    <row r="945">
      <c r="H945" s="310"/>
      <c r="N945" s="27"/>
    </row>
    <row r="946">
      <c r="H946" s="310"/>
      <c r="N946" s="27"/>
    </row>
    <row r="947">
      <c r="H947" s="310"/>
      <c r="N947" s="27"/>
    </row>
    <row r="948">
      <c r="H948" s="310"/>
      <c r="N948" s="27"/>
    </row>
    <row r="949">
      <c r="H949" s="310"/>
      <c r="N949" s="27"/>
    </row>
    <row r="950">
      <c r="H950" s="310"/>
      <c r="N950" s="27"/>
    </row>
    <row r="951">
      <c r="H951" s="310"/>
      <c r="N951" s="27"/>
    </row>
    <row r="952">
      <c r="H952" s="310"/>
      <c r="N952" s="27"/>
    </row>
    <row r="953">
      <c r="H953" s="310"/>
      <c r="N953" s="27"/>
    </row>
    <row r="954">
      <c r="H954" s="310"/>
      <c r="N954" s="27"/>
    </row>
    <row r="955">
      <c r="H955" s="310"/>
      <c r="N955" s="27"/>
    </row>
    <row r="956">
      <c r="H956" s="310"/>
      <c r="N956" s="27"/>
    </row>
    <row r="957">
      <c r="H957" s="310"/>
      <c r="N957" s="27"/>
    </row>
    <row r="958">
      <c r="H958" s="310"/>
      <c r="N958" s="27"/>
    </row>
    <row r="959">
      <c r="H959" s="310"/>
      <c r="N959" s="27"/>
    </row>
    <row r="960">
      <c r="H960" s="310"/>
      <c r="N960" s="27"/>
    </row>
    <row r="961">
      <c r="H961" s="310"/>
      <c r="N961" s="27"/>
    </row>
    <row r="962">
      <c r="H962" s="310"/>
      <c r="N962" s="27"/>
    </row>
    <row r="963">
      <c r="H963" s="310"/>
      <c r="N963" s="27"/>
    </row>
    <row r="964">
      <c r="H964" s="310"/>
      <c r="N964" s="27"/>
    </row>
    <row r="965">
      <c r="H965" s="310"/>
      <c r="N965" s="27"/>
    </row>
    <row r="966">
      <c r="H966" s="310"/>
      <c r="N966" s="27"/>
    </row>
    <row r="967">
      <c r="H967" s="310"/>
      <c r="N967" s="27"/>
    </row>
    <row r="968">
      <c r="H968" s="310"/>
      <c r="N968" s="27"/>
    </row>
    <row r="969">
      <c r="H969" s="310"/>
      <c r="N969" s="27"/>
    </row>
    <row r="970">
      <c r="H970" s="310"/>
      <c r="N970" s="27"/>
    </row>
    <row r="971">
      <c r="H971" s="310"/>
      <c r="N971" s="27"/>
    </row>
    <row r="972">
      <c r="H972" s="310"/>
      <c r="N972" s="27"/>
    </row>
    <row r="973">
      <c r="H973" s="310"/>
      <c r="N973" s="27"/>
    </row>
    <row r="974">
      <c r="H974" s="310"/>
      <c r="N974" s="27"/>
    </row>
    <row r="975">
      <c r="H975" s="310"/>
      <c r="N975" s="27"/>
    </row>
    <row r="976">
      <c r="H976" s="310"/>
      <c r="N976" s="27"/>
    </row>
    <row r="977">
      <c r="H977" s="310"/>
      <c r="N977" s="27"/>
    </row>
    <row r="978">
      <c r="H978" s="310"/>
      <c r="N978" s="27"/>
    </row>
    <row r="979">
      <c r="H979" s="310"/>
      <c r="N979" s="27"/>
    </row>
    <row r="980">
      <c r="H980" s="310"/>
      <c r="N980" s="27"/>
    </row>
    <row r="981">
      <c r="H981" s="310"/>
      <c r="N981" s="27"/>
    </row>
    <row r="982">
      <c r="H982" s="310"/>
      <c r="N982" s="27"/>
    </row>
    <row r="983">
      <c r="H983" s="310"/>
      <c r="N983" s="27"/>
    </row>
    <row r="984">
      <c r="H984" s="310"/>
      <c r="N984" s="27"/>
    </row>
    <row r="985">
      <c r="H985" s="310"/>
      <c r="N985" s="27"/>
    </row>
    <row r="986">
      <c r="H986" s="310"/>
      <c r="N986" s="27"/>
    </row>
    <row r="987">
      <c r="H987" s="310"/>
      <c r="N987" s="27"/>
    </row>
    <row r="988">
      <c r="H988" s="310"/>
      <c r="N988" s="27"/>
    </row>
    <row r="989">
      <c r="H989" s="310"/>
      <c r="N989" s="27"/>
    </row>
    <row r="990">
      <c r="H990" s="310"/>
      <c r="N990" s="27"/>
    </row>
    <row r="991">
      <c r="H991" s="310"/>
      <c r="N991" s="27"/>
    </row>
    <row r="992">
      <c r="H992" s="310"/>
      <c r="N992" s="27"/>
    </row>
    <row r="993">
      <c r="H993" s="310"/>
      <c r="N993" s="27"/>
    </row>
    <row r="994">
      <c r="H994" s="310"/>
      <c r="N994" s="27"/>
    </row>
    <row r="995">
      <c r="H995" s="310"/>
      <c r="N995" s="27"/>
    </row>
    <row r="996">
      <c r="H996" s="310"/>
      <c r="N996" s="27"/>
    </row>
    <row r="997">
      <c r="H997" s="310"/>
      <c r="N997" s="27"/>
    </row>
    <row r="998">
      <c r="H998" s="310"/>
      <c r="N998" s="27"/>
    </row>
    <row r="999">
      <c r="H999" s="310"/>
      <c r="N999" s="27"/>
    </row>
    <row r="1000">
      <c r="H1000" s="310"/>
      <c r="N1000" s="27"/>
    </row>
    <row r="1001">
      <c r="H1001" s="310"/>
      <c r="N1001" s="27"/>
    </row>
  </sheetData>
  <conditionalFormatting sqref="D48:G48">
    <cfRule type="cellIs" dxfId="0" priority="1" operator="lessThan">
      <formula>0</formula>
    </cfRule>
  </conditionalFormatting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9.38"/>
    <col hidden="1" min="4" max="5" width="12.63"/>
    <col customWidth="1" hidden="1" min="6" max="6" width="14.63"/>
    <col customWidth="1" hidden="1" min="7" max="7" width="20.25"/>
    <col hidden="1" min="8" max="8" width="12.63"/>
    <col customWidth="1" min="15" max="15" width="20.63"/>
    <col customWidth="1" min="16" max="16" width="11.25"/>
    <col customWidth="1" min="17" max="17" width="9.25"/>
    <col customWidth="1" min="18" max="19" width="9.5"/>
  </cols>
  <sheetData>
    <row r="1">
      <c r="A1" s="18" t="s">
        <v>346</v>
      </c>
      <c r="B1" s="199" t="s">
        <v>296</v>
      </c>
      <c r="E1" s="27"/>
      <c r="F1" s="27"/>
      <c r="H1" s="310"/>
      <c r="O1" s="107"/>
    </row>
    <row r="2">
      <c r="B2" s="18" t="s">
        <v>240</v>
      </c>
      <c r="C2" s="249">
        <v>13.0</v>
      </c>
      <c r="E2" s="32"/>
      <c r="F2" s="27"/>
      <c r="H2" s="310"/>
      <c r="O2" s="27"/>
    </row>
    <row r="3">
      <c r="B3" s="18" t="s">
        <v>241</v>
      </c>
      <c r="C3" s="249">
        <v>48.0</v>
      </c>
      <c r="E3" s="32"/>
      <c r="F3" s="27"/>
      <c r="H3" s="310"/>
      <c r="O3" s="27"/>
    </row>
    <row r="4">
      <c r="B4" s="18" t="s">
        <v>242</v>
      </c>
      <c r="C4" s="249">
        <v>13.0</v>
      </c>
      <c r="H4" s="310"/>
      <c r="O4" s="27"/>
      <c r="P4" s="107"/>
      <c r="Q4" s="107"/>
      <c r="T4" s="17"/>
    </row>
    <row r="5">
      <c r="B5" s="18" t="s">
        <v>285</v>
      </c>
      <c r="C5" s="249">
        <v>42.0</v>
      </c>
      <c r="E5" s="249"/>
      <c r="F5" s="249"/>
      <c r="H5" s="310"/>
      <c r="O5" s="27"/>
      <c r="P5" s="107"/>
      <c r="Q5" s="107"/>
      <c r="T5" s="32"/>
    </row>
    <row r="6">
      <c r="B6" s="18" t="s">
        <v>324</v>
      </c>
      <c r="C6" s="249">
        <v>6.0</v>
      </c>
      <c r="E6" s="249"/>
      <c r="F6" s="249"/>
      <c r="H6" s="310"/>
      <c r="O6" s="301" t="s">
        <v>325</v>
      </c>
      <c r="P6" s="107"/>
      <c r="Q6" s="107"/>
      <c r="T6" s="30"/>
    </row>
    <row r="7">
      <c r="C7" s="276">
        <f>SUM(C2:C6)</f>
        <v>122</v>
      </c>
      <c r="E7" s="27"/>
      <c r="F7" s="27"/>
      <c r="H7" s="310"/>
      <c r="O7" s="302" t="s">
        <v>119</v>
      </c>
      <c r="P7" s="302" t="s">
        <v>120</v>
      </c>
      <c r="Q7" s="27"/>
    </row>
    <row r="8">
      <c r="E8" s="107"/>
      <c r="F8" s="107"/>
      <c r="H8" s="311"/>
      <c r="O8" s="7" t="s">
        <v>347</v>
      </c>
      <c r="P8" s="7" t="s">
        <v>348</v>
      </c>
      <c r="Q8" s="107"/>
    </row>
    <row r="9">
      <c r="B9" s="55" t="s">
        <v>122</v>
      </c>
      <c r="C9" s="56"/>
      <c r="D9" s="254" t="s">
        <v>125</v>
      </c>
      <c r="E9" s="254" t="s">
        <v>126</v>
      </c>
      <c r="F9" s="254" t="s">
        <v>127</v>
      </c>
      <c r="G9" s="254" t="s">
        <v>128</v>
      </c>
      <c r="H9" s="254" t="s">
        <v>129</v>
      </c>
      <c r="I9" s="254" t="s">
        <v>130</v>
      </c>
      <c r="J9" s="254" t="s">
        <v>131</v>
      </c>
      <c r="K9" s="253" t="s">
        <v>132</v>
      </c>
      <c r="L9" s="254" t="s">
        <v>133</v>
      </c>
      <c r="O9" s="7" t="s">
        <v>328</v>
      </c>
      <c r="P9" s="7" t="s">
        <v>349</v>
      </c>
      <c r="Q9" s="107"/>
      <c r="S9" s="18"/>
      <c r="T9" s="18"/>
    </row>
    <row r="10">
      <c r="B10" s="59" t="s">
        <v>129</v>
      </c>
      <c r="C10" s="60"/>
      <c r="D10" s="61">
        <v>6625.0</v>
      </c>
      <c r="E10" s="61">
        <v>6675.0</v>
      </c>
      <c r="F10" s="113">
        <v>6675.0</v>
      </c>
      <c r="G10" s="113">
        <v>6675.0</v>
      </c>
      <c r="H10" s="113">
        <v>6675.0</v>
      </c>
      <c r="I10" s="113">
        <v>8324.69</v>
      </c>
      <c r="J10" s="113">
        <v>8171.69</v>
      </c>
      <c r="K10" s="113">
        <v>8324.69</v>
      </c>
      <c r="L10" s="113">
        <v>8171.69</v>
      </c>
      <c r="O10" s="7"/>
      <c r="P10" s="7" t="s">
        <v>192</v>
      </c>
      <c r="Q10" s="107"/>
      <c r="S10" s="18"/>
    </row>
    <row r="11">
      <c r="B11" s="59" t="s">
        <v>136</v>
      </c>
      <c r="C11" s="60"/>
      <c r="D11" s="62">
        <f>3191.15+385.96</f>
        <v>3577.11</v>
      </c>
      <c r="E11" s="62">
        <f>1290+98+1831.15+385.96</f>
        <v>3605.11</v>
      </c>
      <c r="F11" s="114">
        <f t="shared" ref="F11:G11" si="1">1290+3711.15+385.96</f>
        <v>5387.11</v>
      </c>
      <c r="G11" s="114">
        <f t="shared" si="1"/>
        <v>5387.11</v>
      </c>
      <c r="H11" s="114">
        <f>2040+3303.11-0.3</f>
        <v>5342.81</v>
      </c>
      <c r="I11" s="114">
        <f>2040+3367.11</f>
        <v>5407.11</v>
      </c>
      <c r="J11" s="114">
        <f>2040+3379.11</f>
        <v>5419.11</v>
      </c>
      <c r="K11" s="114">
        <f>2040+3356.11</f>
        <v>5396.11</v>
      </c>
      <c r="L11" s="114">
        <f>2040+3303.11-0.3</f>
        <v>5342.81</v>
      </c>
      <c r="O11" s="303"/>
      <c r="P11" s="107"/>
      <c r="Q11" s="27"/>
      <c r="S11" s="18"/>
    </row>
    <row r="12">
      <c r="B12" s="59" t="s">
        <v>137</v>
      </c>
      <c r="C12" s="60"/>
      <c r="D12" s="62">
        <v>3100.0</v>
      </c>
      <c r="E12" s="62"/>
      <c r="F12" s="114" t="s">
        <v>330</v>
      </c>
      <c r="G12" s="114"/>
      <c r="H12" s="313"/>
      <c r="I12" s="313"/>
      <c r="J12" s="313"/>
      <c r="K12" s="313"/>
      <c r="L12" s="313"/>
      <c r="O12" s="363"/>
      <c r="P12" s="107"/>
      <c r="Q12" s="107"/>
      <c r="S12" s="18"/>
    </row>
    <row r="13">
      <c r="B13" s="59" t="s">
        <v>138</v>
      </c>
      <c r="C13" s="60"/>
      <c r="D13" s="62">
        <v>6215.07</v>
      </c>
      <c r="E13" s="258"/>
      <c r="F13" s="258"/>
      <c r="G13" s="66"/>
      <c r="H13" s="314"/>
      <c r="I13" s="314"/>
      <c r="J13" s="348"/>
      <c r="K13" s="348"/>
      <c r="L13" s="348"/>
      <c r="O13" s="32"/>
      <c r="P13" s="107"/>
      <c r="Q13" s="107"/>
      <c r="S13" s="18"/>
    </row>
    <row r="14">
      <c r="B14" s="67" t="s">
        <v>139</v>
      </c>
      <c r="C14" s="68"/>
      <c r="D14" s="69">
        <f t="shared" ref="D14:L14" si="2">SUM(D10:D13)</f>
        <v>19517.18</v>
      </c>
      <c r="E14" s="69">
        <f t="shared" si="2"/>
        <v>10280.11</v>
      </c>
      <c r="F14" s="69">
        <f t="shared" si="2"/>
        <v>12062.11</v>
      </c>
      <c r="G14" s="69">
        <f t="shared" si="2"/>
        <v>12062.11</v>
      </c>
      <c r="H14" s="315">
        <f t="shared" si="2"/>
        <v>12017.81</v>
      </c>
      <c r="I14" s="315">
        <f t="shared" si="2"/>
        <v>13731.8</v>
      </c>
      <c r="J14" s="315">
        <f t="shared" si="2"/>
        <v>13590.8</v>
      </c>
      <c r="K14" s="315">
        <f t="shared" si="2"/>
        <v>13720.8</v>
      </c>
      <c r="L14" s="315">
        <f t="shared" si="2"/>
        <v>13514.5</v>
      </c>
      <c r="O14" s="248"/>
      <c r="P14" s="107"/>
      <c r="Q14" s="107"/>
      <c r="S14" s="18"/>
      <c r="V14" s="107"/>
    </row>
    <row r="15">
      <c r="H15" s="311"/>
      <c r="I15" s="311"/>
      <c r="J15" s="311"/>
      <c r="K15" s="311"/>
      <c r="L15" s="311"/>
      <c r="O15" s="32"/>
      <c r="P15" s="107"/>
      <c r="S15" s="18"/>
      <c r="V15" s="27"/>
    </row>
    <row r="16">
      <c r="B16" s="70" t="s">
        <v>140</v>
      </c>
      <c r="C16" s="71"/>
      <c r="D16" s="58" t="s">
        <v>126</v>
      </c>
      <c r="E16" s="58" t="s">
        <v>127</v>
      </c>
      <c r="F16" s="58" t="s">
        <v>128</v>
      </c>
      <c r="G16" s="58" t="s">
        <v>129</v>
      </c>
      <c r="H16" s="316" t="s">
        <v>130</v>
      </c>
      <c r="I16" s="316" t="s">
        <v>131</v>
      </c>
      <c r="J16" s="316" t="s">
        <v>132</v>
      </c>
      <c r="K16" s="316" t="s">
        <v>133</v>
      </c>
      <c r="L16" s="316" t="s">
        <v>134</v>
      </c>
      <c r="O16" s="107"/>
      <c r="P16" s="26"/>
      <c r="Q16" s="107"/>
      <c r="S16" s="18"/>
    </row>
    <row r="17">
      <c r="B17" s="72" t="s">
        <v>141</v>
      </c>
      <c r="C17" s="73"/>
      <c r="D17" s="75">
        <v>325.7</v>
      </c>
      <c r="E17" s="75">
        <v>330.0</v>
      </c>
      <c r="F17" s="75">
        <v>355.4</v>
      </c>
      <c r="G17" s="317">
        <f>F17</f>
        <v>355.4</v>
      </c>
      <c r="H17" s="317">
        <v>350.0</v>
      </c>
      <c r="I17" s="349">
        <v>326.7</v>
      </c>
      <c r="J17" s="349">
        <v>307.6</v>
      </c>
      <c r="K17" s="349">
        <v>343.8</v>
      </c>
      <c r="L17" s="349">
        <v>350.0</v>
      </c>
      <c r="O17" s="107" t="s">
        <v>331</v>
      </c>
      <c r="P17" s="192"/>
      <c r="S17" s="18"/>
    </row>
    <row r="18">
      <c r="B18" s="72" t="s">
        <v>142</v>
      </c>
      <c r="C18" s="73"/>
      <c r="D18" s="75">
        <v>185.9</v>
      </c>
      <c r="E18" s="75">
        <v>170.1</v>
      </c>
      <c r="F18" s="75">
        <v>171.7</v>
      </c>
      <c r="G18" s="75" t="s">
        <v>350</v>
      </c>
      <c r="H18" s="317">
        <v>200.0</v>
      </c>
      <c r="I18" s="349">
        <v>153.8</v>
      </c>
      <c r="J18" s="349">
        <v>172.1</v>
      </c>
      <c r="K18" s="349">
        <v>161.8</v>
      </c>
      <c r="L18" s="349">
        <v>200.0</v>
      </c>
      <c r="O18" s="192"/>
      <c r="P18" s="26" t="s">
        <v>27</v>
      </c>
      <c r="Q18" s="26" t="s">
        <v>274</v>
      </c>
      <c r="R18" s="26" t="s">
        <v>351</v>
      </c>
      <c r="S18" s="26" t="s">
        <v>333</v>
      </c>
      <c r="T18" s="26" t="s">
        <v>3</v>
      </c>
    </row>
    <row r="19">
      <c r="B19" s="72" t="s">
        <v>143</v>
      </c>
      <c r="C19" s="73"/>
      <c r="D19" s="75">
        <v>165.0</v>
      </c>
      <c r="E19" s="75">
        <v>164.9</v>
      </c>
      <c r="F19" s="75">
        <v>164.9</v>
      </c>
      <c r="G19" s="75">
        <f>F19</f>
        <v>164.9</v>
      </c>
      <c r="H19" s="317">
        <v>174.88</v>
      </c>
      <c r="I19" s="317">
        <f>H19</f>
        <v>174.88</v>
      </c>
      <c r="J19" s="317">
        <f>174.85</f>
        <v>174.85</v>
      </c>
      <c r="K19" s="339">
        <f t="shared" ref="K19:L19" si="3">J19</f>
        <v>174.85</v>
      </c>
      <c r="L19" s="317">
        <f t="shared" si="3"/>
        <v>174.85</v>
      </c>
      <c r="O19" s="364" t="s">
        <v>141</v>
      </c>
      <c r="P19" s="350"/>
      <c r="R19" s="267">
        <v>350.0</v>
      </c>
      <c r="S19" s="246"/>
    </row>
    <row r="20">
      <c r="B20" s="72" t="s">
        <v>144</v>
      </c>
      <c r="C20" s="73"/>
      <c r="D20" s="75">
        <v>106.0</v>
      </c>
      <c r="E20" s="75">
        <v>100.0</v>
      </c>
      <c r="F20" s="75">
        <v>100.0</v>
      </c>
      <c r="G20" s="75">
        <v>100.0</v>
      </c>
      <c r="H20" s="317">
        <f t="shared" ref="H20:L20" si="4">G20</f>
        <v>100</v>
      </c>
      <c r="I20" s="317">
        <f t="shared" si="4"/>
        <v>100</v>
      </c>
      <c r="J20" s="317">
        <f t="shared" si="4"/>
        <v>100</v>
      </c>
      <c r="K20" s="339">
        <f t="shared" si="4"/>
        <v>100</v>
      </c>
      <c r="L20" s="317">
        <f t="shared" si="4"/>
        <v>100</v>
      </c>
      <c r="O20" s="364" t="s">
        <v>142</v>
      </c>
      <c r="P20" s="352"/>
      <c r="R20" s="267">
        <v>200.0</v>
      </c>
      <c r="S20" s="246"/>
    </row>
    <row r="21">
      <c r="B21" s="72" t="s">
        <v>145</v>
      </c>
      <c r="C21" s="73"/>
      <c r="D21" s="75">
        <v>2500.0</v>
      </c>
      <c r="E21" s="75">
        <v>2500.0</v>
      </c>
      <c r="F21" s="75">
        <v>2500.0</v>
      </c>
      <c r="G21" s="75">
        <v>2500.0</v>
      </c>
      <c r="H21" s="317">
        <v>2500.0</v>
      </c>
      <c r="I21" s="317">
        <v>2500.0</v>
      </c>
      <c r="J21" s="317">
        <v>2500.0</v>
      </c>
      <c r="K21" s="317">
        <v>2500.0</v>
      </c>
      <c r="L21" s="317">
        <v>2500.0</v>
      </c>
      <c r="O21" s="364" t="s">
        <v>143</v>
      </c>
      <c r="P21" s="246"/>
      <c r="R21" s="275">
        <v>174.85</v>
      </c>
      <c r="S21" s="246"/>
      <c r="T21" s="287"/>
    </row>
    <row r="22">
      <c r="B22" s="72" t="s">
        <v>146</v>
      </c>
      <c r="C22" s="77" t="s">
        <v>147</v>
      </c>
      <c r="D22" s="75">
        <v>400.0</v>
      </c>
      <c r="E22" s="75">
        <v>400.0</v>
      </c>
      <c r="F22" s="75">
        <v>400.0</v>
      </c>
      <c r="G22" s="75">
        <f t="shared" ref="G22:L22" si="5">F22</f>
        <v>400</v>
      </c>
      <c r="H22" s="317">
        <f t="shared" si="5"/>
        <v>400</v>
      </c>
      <c r="I22" s="317">
        <f t="shared" si="5"/>
        <v>400</v>
      </c>
      <c r="J22" s="317">
        <f t="shared" si="5"/>
        <v>400</v>
      </c>
      <c r="K22" s="317">
        <f t="shared" si="5"/>
        <v>400</v>
      </c>
      <c r="L22" s="317">
        <f t="shared" si="5"/>
        <v>400</v>
      </c>
      <c r="O22" s="364" t="s">
        <v>144</v>
      </c>
      <c r="P22" s="269"/>
      <c r="R22" s="275">
        <v>100.0</v>
      </c>
      <c r="S22" s="246"/>
    </row>
    <row r="23">
      <c r="B23" s="72" t="s">
        <v>148</v>
      </c>
      <c r="C23" s="73"/>
      <c r="D23" s="75">
        <v>600.0</v>
      </c>
      <c r="E23" s="75">
        <v>650.0</v>
      </c>
      <c r="F23" s="75">
        <v>650.0</v>
      </c>
      <c r="G23" s="75">
        <v>500.0</v>
      </c>
      <c r="H23" s="317">
        <v>500.0</v>
      </c>
      <c r="I23" s="317">
        <v>500.0</v>
      </c>
      <c r="J23" s="317">
        <v>500.0</v>
      </c>
      <c r="K23" s="339">
        <v>500.0</v>
      </c>
      <c r="L23" s="317">
        <v>500.0</v>
      </c>
      <c r="O23" s="364" t="s">
        <v>145</v>
      </c>
      <c r="P23" s="265"/>
      <c r="R23" s="275">
        <v>2500.0</v>
      </c>
      <c r="S23" s="246"/>
    </row>
    <row r="24">
      <c r="B24" s="72" t="s">
        <v>149</v>
      </c>
      <c r="C24" s="73"/>
      <c r="D24" s="75">
        <v>500.0</v>
      </c>
      <c r="E24" s="75">
        <v>500.0</v>
      </c>
      <c r="F24" s="75">
        <v>500.0</v>
      </c>
      <c r="G24" s="75">
        <f t="shared" ref="G24:L24" si="6">F24</f>
        <v>500</v>
      </c>
      <c r="H24" s="317">
        <f t="shared" si="6"/>
        <v>500</v>
      </c>
      <c r="I24" s="317">
        <f t="shared" si="6"/>
        <v>500</v>
      </c>
      <c r="J24" s="317">
        <f t="shared" si="6"/>
        <v>500</v>
      </c>
      <c r="K24" s="339">
        <f t="shared" si="6"/>
        <v>500</v>
      </c>
      <c r="L24" s="317">
        <f t="shared" si="6"/>
        <v>500</v>
      </c>
      <c r="O24" s="364" t="s">
        <v>146</v>
      </c>
      <c r="P24" s="257">
        <v>200.0</v>
      </c>
      <c r="Q24" s="369">
        <v>200.0</v>
      </c>
      <c r="S24" s="246"/>
    </row>
    <row r="25">
      <c r="B25" s="72" t="s">
        <v>150</v>
      </c>
      <c r="C25" s="73"/>
      <c r="D25" s="75">
        <v>300.0</v>
      </c>
      <c r="E25" s="75">
        <v>300.0</v>
      </c>
      <c r="F25" s="75">
        <v>300.0</v>
      </c>
      <c r="G25" s="75">
        <f t="shared" ref="G25:H25" si="7">F25</f>
        <v>300</v>
      </c>
      <c r="H25" s="317">
        <f t="shared" si="7"/>
        <v>300</v>
      </c>
      <c r="I25" s="317">
        <v>400.0</v>
      </c>
      <c r="J25" s="317">
        <f t="shared" ref="J25:L25" si="8">I25</f>
        <v>400</v>
      </c>
      <c r="K25" s="317">
        <f t="shared" si="8"/>
        <v>400</v>
      </c>
      <c r="L25" s="317">
        <f t="shared" si="8"/>
        <v>400</v>
      </c>
      <c r="O25" s="364" t="s">
        <v>148</v>
      </c>
      <c r="P25" s="247"/>
      <c r="R25" s="370">
        <v>500.0</v>
      </c>
      <c r="S25" s="246"/>
    </row>
    <row r="26">
      <c r="B26" s="72" t="s">
        <v>357</v>
      </c>
      <c r="C26" s="73"/>
      <c r="D26" s="75"/>
      <c r="E26" s="75"/>
      <c r="F26" s="75"/>
      <c r="G26" s="75"/>
      <c r="H26" s="317"/>
      <c r="I26" s="317"/>
      <c r="J26" s="317"/>
      <c r="K26" s="317"/>
      <c r="L26" s="317"/>
      <c r="O26" s="364" t="s">
        <v>149</v>
      </c>
      <c r="P26" s="247"/>
      <c r="R26" s="370">
        <v>500.0</v>
      </c>
      <c r="S26" s="246"/>
    </row>
    <row r="27">
      <c r="B27" s="72" t="s">
        <v>152</v>
      </c>
      <c r="C27" s="73"/>
      <c r="D27" s="75">
        <v>200.0</v>
      </c>
      <c r="E27" s="75"/>
      <c r="F27" s="75"/>
      <c r="G27" s="75"/>
      <c r="H27" s="317"/>
      <c r="I27" s="317"/>
      <c r="J27" s="317"/>
      <c r="K27" s="319"/>
      <c r="L27" s="319"/>
      <c r="O27" s="364" t="s">
        <v>150</v>
      </c>
      <c r="P27" s="247"/>
      <c r="Q27" s="371">
        <v>400.0</v>
      </c>
      <c r="R27" s="266"/>
      <c r="S27" s="246"/>
    </row>
    <row r="28">
      <c r="B28" s="72" t="s">
        <v>181</v>
      </c>
      <c r="C28" s="73"/>
      <c r="D28" s="75">
        <v>100.0</v>
      </c>
      <c r="E28" s="75">
        <v>150.0</v>
      </c>
      <c r="F28" s="75">
        <v>150.0</v>
      </c>
      <c r="G28" s="75">
        <f t="shared" ref="G28:I28" si="9">F28</f>
        <v>150</v>
      </c>
      <c r="H28" s="317">
        <f t="shared" si="9"/>
        <v>150</v>
      </c>
      <c r="I28" s="317">
        <f t="shared" si="9"/>
        <v>150</v>
      </c>
      <c r="J28" s="317">
        <f>I28+160</f>
        <v>310</v>
      </c>
      <c r="K28" s="339">
        <f t="shared" ref="K28:L28" si="10">J28</f>
        <v>310</v>
      </c>
      <c r="L28" s="317">
        <f t="shared" si="10"/>
        <v>310</v>
      </c>
      <c r="O28" s="364" t="s">
        <v>181</v>
      </c>
      <c r="P28" s="247"/>
      <c r="R28" s="370">
        <v>310.0</v>
      </c>
      <c r="S28" s="247"/>
    </row>
    <row r="29">
      <c r="B29" s="72" t="s">
        <v>296</v>
      </c>
      <c r="C29" s="73"/>
      <c r="D29" s="75">
        <v>116.0</v>
      </c>
      <c r="E29" s="75">
        <v>112.0</v>
      </c>
      <c r="F29" s="75">
        <v>122.0</v>
      </c>
      <c r="G29" s="75">
        <f t="shared" ref="G29:L29" si="11">F29</f>
        <v>122</v>
      </c>
      <c r="H29" s="317">
        <f t="shared" si="11"/>
        <v>122</v>
      </c>
      <c r="I29" s="317">
        <f t="shared" si="11"/>
        <v>122</v>
      </c>
      <c r="J29" s="317">
        <f t="shared" si="11"/>
        <v>122</v>
      </c>
      <c r="K29" s="319">
        <f t="shared" si="11"/>
        <v>122</v>
      </c>
      <c r="L29" s="317">
        <f t="shared" si="11"/>
        <v>122</v>
      </c>
      <c r="O29" s="364" t="s">
        <v>296</v>
      </c>
      <c r="P29" s="257">
        <v>109.0</v>
      </c>
      <c r="Q29" s="257">
        <v>13.0</v>
      </c>
      <c r="S29" s="247"/>
    </row>
    <row r="30">
      <c r="B30" s="72" t="s">
        <v>155</v>
      </c>
      <c r="C30" s="73"/>
      <c r="D30" s="75"/>
      <c r="E30" s="75"/>
      <c r="F30" s="74"/>
      <c r="G30" s="75" t="str">
        <f t="shared" ref="G30:L30" si="12">F30</f>
        <v/>
      </c>
      <c r="H30" s="317" t="str">
        <f t="shared" si="12"/>
        <v/>
      </c>
      <c r="I30" s="317" t="str">
        <f t="shared" si="12"/>
        <v/>
      </c>
      <c r="J30" s="317" t="str">
        <f t="shared" si="12"/>
        <v/>
      </c>
      <c r="K30" s="319" t="str">
        <f t="shared" si="12"/>
        <v/>
      </c>
      <c r="L30" s="317" t="str">
        <f t="shared" si="12"/>
        <v/>
      </c>
      <c r="O30" s="364" t="s">
        <v>156</v>
      </c>
      <c r="P30" s="247"/>
      <c r="R30" s="247"/>
      <c r="S30" s="247"/>
      <c r="T30" s="107">
        <v>400.0</v>
      </c>
    </row>
    <row r="31">
      <c r="B31" s="72" t="s">
        <v>156</v>
      </c>
      <c r="C31" s="73"/>
      <c r="D31" s="75">
        <v>200.0</v>
      </c>
      <c r="E31" s="75">
        <v>1200.0</v>
      </c>
      <c r="F31" s="75">
        <v>1000.0</v>
      </c>
      <c r="G31" s="317">
        <v>400.0</v>
      </c>
      <c r="H31" s="317">
        <v>200.0</v>
      </c>
      <c r="I31" s="317"/>
      <c r="J31" s="317">
        <v>200.0</v>
      </c>
      <c r="K31" s="337">
        <v>400.0</v>
      </c>
      <c r="L31" s="317">
        <v>200.0</v>
      </c>
      <c r="O31" s="368" t="s">
        <v>295</v>
      </c>
      <c r="P31" s="247"/>
      <c r="R31" s="367"/>
      <c r="S31" s="372">
        <v>2000.0</v>
      </c>
      <c r="T31" s="27"/>
    </row>
    <row r="32">
      <c r="B32" s="72" t="s">
        <v>272</v>
      </c>
      <c r="C32" s="73"/>
      <c r="D32" s="74"/>
      <c r="E32" s="74"/>
      <c r="F32" s="74"/>
      <c r="G32" s="75" t="str">
        <f t="shared" ref="G32:L32" si="13">F32</f>
        <v/>
      </c>
      <c r="H32" s="317" t="str">
        <f t="shared" si="13"/>
        <v/>
      </c>
      <c r="I32" s="317" t="str">
        <f t="shared" si="13"/>
        <v/>
      </c>
      <c r="J32" s="317" t="str">
        <f t="shared" si="13"/>
        <v/>
      </c>
      <c r="K32" s="317" t="str">
        <f t="shared" si="13"/>
        <v/>
      </c>
      <c r="L32" s="317" t="str">
        <f t="shared" si="13"/>
        <v/>
      </c>
      <c r="O32" s="364" t="s">
        <v>159</v>
      </c>
      <c r="P32" s="263">
        <v>400.0</v>
      </c>
      <c r="Q32" s="369">
        <v>400.0</v>
      </c>
      <c r="R32" s="367"/>
      <c r="S32" s="246"/>
      <c r="T32" s="27"/>
      <c r="X32" s="32"/>
    </row>
    <row r="33">
      <c r="B33" s="272" t="s">
        <v>295</v>
      </c>
      <c r="C33" s="273"/>
      <c r="D33" s="274">
        <v>1500.0</v>
      </c>
      <c r="E33" s="274">
        <v>1500.0</v>
      </c>
      <c r="F33" s="274">
        <v>1500.0</v>
      </c>
      <c r="G33" s="274">
        <f t="shared" ref="G33:G35" si="15">F33</f>
        <v>1500</v>
      </c>
      <c r="H33" s="274">
        <v>1800.0</v>
      </c>
      <c r="I33" s="274">
        <v>2000.0</v>
      </c>
      <c r="J33" s="274">
        <f t="shared" ref="J33:L33" si="14">I33</f>
        <v>2000</v>
      </c>
      <c r="K33" s="274">
        <f t="shared" si="14"/>
        <v>2000</v>
      </c>
      <c r="L33" s="317">
        <f t="shared" si="14"/>
        <v>2000</v>
      </c>
      <c r="O33" s="107" t="s">
        <v>334</v>
      </c>
      <c r="P33" s="263">
        <v>1500.0</v>
      </c>
      <c r="Q33" s="369">
        <v>1500.0</v>
      </c>
      <c r="R33" s="367"/>
      <c r="S33" s="246"/>
      <c r="T33" s="107">
        <v>1448.32</v>
      </c>
      <c r="X33" s="18"/>
      <c r="Y33" s="18"/>
    </row>
    <row r="34">
      <c r="B34" s="72" t="s">
        <v>159</v>
      </c>
      <c r="C34" s="73"/>
      <c r="D34" s="75">
        <v>800.0</v>
      </c>
      <c r="E34" s="75">
        <v>800.0</v>
      </c>
      <c r="F34" s="75">
        <v>800.0</v>
      </c>
      <c r="G34" s="75">
        <f t="shared" si="15"/>
        <v>800</v>
      </c>
      <c r="H34" s="317">
        <f t="shared" ref="H34:L34" si="16">G34</f>
        <v>800</v>
      </c>
      <c r="I34" s="319">
        <f t="shared" si="16"/>
        <v>800</v>
      </c>
      <c r="J34" s="319">
        <f t="shared" si="16"/>
        <v>800</v>
      </c>
      <c r="K34" s="319">
        <f t="shared" si="16"/>
        <v>800</v>
      </c>
      <c r="L34" s="317">
        <f t="shared" si="16"/>
        <v>800</v>
      </c>
      <c r="O34" s="107" t="s">
        <v>335</v>
      </c>
      <c r="P34" s="246"/>
      <c r="Q34" s="257">
        <v>520.0</v>
      </c>
      <c r="R34" s="246"/>
      <c r="S34" s="246"/>
      <c r="T34" s="107"/>
      <c r="X34" s="18"/>
      <c r="Y34" s="18"/>
    </row>
    <row r="35">
      <c r="B35" s="72" t="s">
        <v>160</v>
      </c>
      <c r="C35" s="73"/>
      <c r="D35" s="75">
        <v>1800.0</v>
      </c>
      <c r="E35" s="75">
        <v>1800.0</v>
      </c>
      <c r="F35" s="75">
        <v>1800.0</v>
      </c>
      <c r="G35" s="75">
        <f t="shared" si="15"/>
        <v>1800</v>
      </c>
      <c r="H35" s="317">
        <f>G35+500</f>
        <v>2300</v>
      </c>
      <c r="I35" s="319">
        <v>3000.0</v>
      </c>
      <c r="J35" s="319">
        <f t="shared" ref="J35:L35" si="17">I35</f>
        <v>3000</v>
      </c>
      <c r="K35" s="319">
        <f t="shared" si="17"/>
        <v>3000</v>
      </c>
      <c r="L35" s="317">
        <f t="shared" si="17"/>
        <v>3000</v>
      </c>
      <c r="O35" s="107" t="s">
        <v>363</v>
      </c>
      <c r="P35" s="251"/>
      <c r="Q35" s="246"/>
      <c r="R35" s="246"/>
      <c r="S35" s="246"/>
      <c r="T35" s="107">
        <v>108.84</v>
      </c>
    </row>
    <row r="36">
      <c r="B36" s="67" t="s">
        <v>161</v>
      </c>
      <c r="C36" s="68"/>
      <c r="D36" s="78">
        <f t="shared" ref="D36:L36" si="18">SUM(D17:D35)*-1</f>
        <v>-9798.6</v>
      </c>
      <c r="E36" s="78">
        <f t="shared" si="18"/>
        <v>-10677</v>
      </c>
      <c r="F36" s="78">
        <f t="shared" si="18"/>
        <v>-10514</v>
      </c>
      <c r="G36" s="78">
        <f t="shared" si="18"/>
        <v>-9592.3</v>
      </c>
      <c r="H36" s="320">
        <f t="shared" si="18"/>
        <v>-10396.88</v>
      </c>
      <c r="I36" s="320">
        <f t="shared" si="18"/>
        <v>-11127.38</v>
      </c>
      <c r="J36" s="320">
        <f t="shared" si="18"/>
        <v>-11486.55</v>
      </c>
      <c r="K36" s="320">
        <f t="shared" si="18"/>
        <v>-11712.45</v>
      </c>
      <c r="L36" s="320">
        <f t="shared" si="18"/>
        <v>-11556.85</v>
      </c>
      <c r="O36" s="107"/>
    </row>
    <row r="37">
      <c r="H37" s="311"/>
      <c r="I37" s="311"/>
      <c r="J37" s="311"/>
      <c r="K37" s="311"/>
      <c r="L37" s="311"/>
      <c r="O37" s="7" t="s">
        <v>26</v>
      </c>
      <c r="P37" s="325">
        <f t="shared" ref="P37:T37" si="19">SUM(P19:P36)</f>
        <v>2209</v>
      </c>
      <c r="Q37" s="325">
        <f t="shared" si="19"/>
        <v>3033</v>
      </c>
      <c r="R37" s="373">
        <f t="shared" si="19"/>
        <v>4634.85</v>
      </c>
      <c r="S37" s="325">
        <f t="shared" si="19"/>
        <v>2000</v>
      </c>
      <c r="T37" s="325">
        <f t="shared" si="19"/>
        <v>1957.16</v>
      </c>
    </row>
    <row r="38">
      <c r="B38" s="80" t="s">
        <v>162</v>
      </c>
      <c r="C38" s="81"/>
      <c r="D38" s="82">
        <f t="shared" ref="D38:L38" si="20">D14+D36</f>
        <v>9718.58</v>
      </c>
      <c r="E38" s="82">
        <f t="shared" si="20"/>
        <v>-396.89</v>
      </c>
      <c r="F38" s="82">
        <f t="shared" si="20"/>
        <v>1548.11</v>
      </c>
      <c r="G38" s="82">
        <f t="shared" si="20"/>
        <v>2469.81</v>
      </c>
      <c r="H38" s="315">
        <f t="shared" si="20"/>
        <v>1620.93</v>
      </c>
      <c r="I38" s="315">
        <f t="shared" si="20"/>
        <v>2604.42</v>
      </c>
      <c r="J38" s="315">
        <f t="shared" si="20"/>
        <v>2104.25</v>
      </c>
      <c r="K38" s="315">
        <f t="shared" si="20"/>
        <v>2008.35</v>
      </c>
      <c r="L38" s="315">
        <f t="shared" si="20"/>
        <v>1957.65</v>
      </c>
      <c r="O38" s="107"/>
      <c r="P38" s="287"/>
      <c r="Q38" s="324"/>
      <c r="R38" s="287"/>
    </row>
    <row r="39">
      <c r="B39" s="83"/>
      <c r="C39" s="83"/>
      <c r="D39" s="84"/>
      <c r="E39" s="84"/>
      <c r="F39" s="84"/>
      <c r="G39" s="84"/>
      <c r="H39" s="311"/>
      <c r="I39" s="311"/>
      <c r="J39" s="311"/>
      <c r="K39" s="311"/>
      <c r="L39" s="311"/>
      <c r="O39" s="325" t="s">
        <v>353</v>
      </c>
    </row>
    <row r="40">
      <c r="B40" s="85" t="s">
        <v>163</v>
      </c>
      <c r="C40" s="86"/>
      <c r="D40" s="57" t="s">
        <v>125</v>
      </c>
      <c r="E40" s="57" t="s">
        <v>126</v>
      </c>
      <c r="F40" s="57" t="s">
        <v>127</v>
      </c>
      <c r="G40" s="294" t="s">
        <v>129</v>
      </c>
      <c r="H40" s="344" t="s">
        <v>130</v>
      </c>
      <c r="I40" s="344" t="s">
        <v>354</v>
      </c>
      <c r="J40" s="344" t="s">
        <v>132</v>
      </c>
      <c r="K40" s="344" t="s">
        <v>132</v>
      </c>
      <c r="L40" s="344" t="s">
        <v>132</v>
      </c>
      <c r="O40" s="27"/>
    </row>
    <row r="41">
      <c r="B41" s="87" t="s">
        <v>164</v>
      </c>
      <c r="C41" s="88">
        <v>2347.0</v>
      </c>
      <c r="D41" s="134">
        <v>498.84</v>
      </c>
      <c r="E41" s="135">
        <v>498.84</v>
      </c>
      <c r="F41" s="134"/>
      <c r="G41" s="295"/>
      <c r="H41" s="327"/>
      <c r="I41" s="327"/>
      <c r="J41" s="327"/>
      <c r="K41" s="327"/>
      <c r="L41" s="327"/>
      <c r="O41" s="27"/>
    </row>
    <row r="42">
      <c r="B42" s="87" t="s">
        <v>165</v>
      </c>
      <c r="C42" s="88">
        <v>7750.82</v>
      </c>
      <c r="D42" s="135">
        <v>385.96</v>
      </c>
      <c r="E42" s="135">
        <v>385.96</v>
      </c>
      <c r="F42" s="135">
        <v>385.96</v>
      </c>
      <c r="G42" s="307">
        <v>385.96</v>
      </c>
      <c r="H42" s="345"/>
      <c r="I42" s="328"/>
      <c r="J42" s="327"/>
      <c r="K42" s="327"/>
      <c r="L42" s="327"/>
      <c r="O42" s="107"/>
      <c r="R42" s="18">
        <v>108.84</v>
      </c>
      <c r="S42" s="18" t="s">
        <v>363</v>
      </c>
    </row>
    <row r="43">
      <c r="B43" s="87" t="s">
        <v>166</v>
      </c>
      <c r="C43" s="88">
        <v>7724.29</v>
      </c>
      <c r="D43" s="135">
        <v>520.0</v>
      </c>
      <c r="E43" s="135">
        <v>518.81</v>
      </c>
      <c r="F43" s="135">
        <v>520.0</v>
      </c>
      <c r="G43" s="135">
        <v>520.0</v>
      </c>
      <c r="H43" s="135">
        <v>520.0</v>
      </c>
      <c r="I43" s="135">
        <v>520.0</v>
      </c>
      <c r="J43" s="329">
        <v>520.0</v>
      </c>
      <c r="K43" s="329">
        <v>520.0</v>
      </c>
      <c r="L43" s="329">
        <v>520.0</v>
      </c>
      <c r="O43" s="107"/>
    </row>
    <row r="44">
      <c r="B44" s="87" t="s">
        <v>280</v>
      </c>
      <c r="C44" s="88">
        <v>6440.26</v>
      </c>
      <c r="D44" s="135">
        <v>730.49</v>
      </c>
      <c r="E44" s="135">
        <v>730.49</v>
      </c>
      <c r="F44" s="135">
        <v>730.49</v>
      </c>
      <c r="G44" s="135">
        <v>730.49</v>
      </c>
      <c r="H44" s="346"/>
      <c r="I44" s="329"/>
      <c r="J44" s="360"/>
      <c r="K44" s="360"/>
      <c r="L44" s="360"/>
      <c r="O44" s="107"/>
    </row>
    <row r="45">
      <c r="A45" s="298">
        <v>45020.0</v>
      </c>
      <c r="B45" s="87" t="s">
        <v>203</v>
      </c>
      <c r="C45" s="88">
        <v>440.0</v>
      </c>
      <c r="D45" s="135">
        <v>440.0</v>
      </c>
      <c r="E45" s="135">
        <v>440.0</v>
      </c>
      <c r="F45" s="135"/>
      <c r="G45" s="297"/>
      <c r="H45" s="327"/>
      <c r="I45" s="327"/>
      <c r="J45" s="327"/>
      <c r="K45" s="327"/>
      <c r="L45" s="327"/>
      <c r="O45" s="107"/>
      <c r="P45" s="107"/>
    </row>
    <row r="46">
      <c r="B46" s="67" t="s">
        <v>167</v>
      </c>
      <c r="C46" s="95">
        <f>SUM(C41:C45)</f>
        <v>24702.37</v>
      </c>
      <c r="D46" s="78">
        <f t="shared" ref="D46:F46" si="21">SUM(D41:D45)*-1</f>
        <v>-2575.29</v>
      </c>
      <c r="E46" s="78">
        <f t="shared" si="21"/>
        <v>-2574.1</v>
      </c>
      <c r="F46" s="78">
        <f t="shared" si="21"/>
        <v>-1636.45</v>
      </c>
      <c r="G46" s="299">
        <f t="shared" ref="G46:L46" si="22">SUM(G41:G44)*-1</f>
        <v>-1636.45</v>
      </c>
      <c r="H46" s="330">
        <f t="shared" si="22"/>
        <v>-520</v>
      </c>
      <c r="I46" s="330">
        <f t="shared" si="22"/>
        <v>-520</v>
      </c>
      <c r="J46" s="330">
        <f t="shared" si="22"/>
        <v>-520</v>
      </c>
      <c r="K46" s="330">
        <f t="shared" si="22"/>
        <v>-520</v>
      </c>
      <c r="L46" s="330">
        <f t="shared" si="22"/>
        <v>-520</v>
      </c>
      <c r="O46" s="107"/>
      <c r="P46" s="107"/>
    </row>
    <row r="47">
      <c r="B47" s="83"/>
      <c r="C47" s="83"/>
      <c r="D47" s="96"/>
      <c r="E47" s="96"/>
      <c r="F47" s="96"/>
      <c r="G47" s="96"/>
      <c r="H47" s="311"/>
      <c r="I47" s="311"/>
      <c r="J47" s="311"/>
      <c r="K47" s="311"/>
      <c r="L47" s="311"/>
      <c r="O47" s="107"/>
      <c r="P47" s="18"/>
    </row>
    <row r="48">
      <c r="B48" s="97" t="s">
        <v>168</v>
      </c>
      <c r="C48" s="98"/>
      <c r="D48" s="99">
        <f t="shared" ref="D48:L48" si="23">D38+D46</f>
        <v>7143.29</v>
      </c>
      <c r="E48" s="99">
        <f t="shared" si="23"/>
        <v>-2970.99</v>
      </c>
      <c r="F48" s="119">
        <f t="shared" si="23"/>
        <v>-88.34</v>
      </c>
      <c r="G48" s="308">
        <f t="shared" si="23"/>
        <v>833.36</v>
      </c>
      <c r="H48" s="331">
        <f t="shared" si="23"/>
        <v>1100.93</v>
      </c>
      <c r="I48" s="331">
        <f t="shared" si="23"/>
        <v>2084.42</v>
      </c>
      <c r="J48" s="331">
        <f t="shared" si="23"/>
        <v>1584.25</v>
      </c>
      <c r="K48" s="331">
        <f t="shared" si="23"/>
        <v>1488.35</v>
      </c>
      <c r="L48" s="331">
        <f t="shared" si="23"/>
        <v>1437.65</v>
      </c>
      <c r="O48" s="107"/>
      <c r="P48" s="18"/>
    </row>
    <row r="49">
      <c r="B49" s="83"/>
      <c r="C49" s="83"/>
      <c r="D49" s="96"/>
      <c r="E49" s="96"/>
      <c r="F49" s="96"/>
      <c r="G49" s="96"/>
      <c r="H49" s="311"/>
      <c r="I49" s="311"/>
      <c r="J49" s="311"/>
      <c r="K49" s="311"/>
      <c r="L49" s="311"/>
      <c r="O49" s="107"/>
      <c r="P49" s="18"/>
    </row>
    <row r="50">
      <c r="B50" s="100" t="s">
        <v>169</v>
      </c>
      <c r="C50" s="101"/>
      <c r="D50" s="57" t="s">
        <v>125</v>
      </c>
      <c r="E50" s="57" t="s">
        <v>126</v>
      </c>
      <c r="F50" s="57" t="s">
        <v>127</v>
      </c>
      <c r="G50" s="57" t="s">
        <v>129</v>
      </c>
      <c r="H50" s="344" t="s">
        <v>130</v>
      </c>
      <c r="I50" s="344" t="s">
        <v>354</v>
      </c>
      <c r="J50" s="326" t="s">
        <v>354</v>
      </c>
      <c r="K50" s="326" t="s">
        <v>354</v>
      </c>
      <c r="L50" s="326" t="s">
        <v>354</v>
      </c>
      <c r="O50" s="107"/>
    </row>
    <row r="51">
      <c r="B51" s="102" t="s">
        <v>170</v>
      </c>
      <c r="C51" s="103"/>
      <c r="D51" s="278">
        <v>2101.91</v>
      </c>
      <c r="E51" s="278">
        <v>331.34</v>
      </c>
      <c r="F51" s="278">
        <v>45.75</v>
      </c>
      <c r="G51" s="105" t="str">
        <f>F52</f>
        <v/>
      </c>
      <c r="H51" s="333"/>
      <c r="I51" s="361">
        <v>0.0</v>
      </c>
      <c r="J51" s="361">
        <v>0.0</v>
      </c>
      <c r="K51" s="361">
        <v>0.0</v>
      </c>
      <c r="L51" s="361">
        <v>0.0</v>
      </c>
      <c r="O51" s="107"/>
      <c r="P51" s="18"/>
    </row>
    <row r="52">
      <c r="B52" s="102" t="s">
        <v>171</v>
      </c>
      <c r="C52" s="103"/>
      <c r="D52" s="279">
        <f>D48</f>
        <v>7143.29</v>
      </c>
      <c r="E52" s="279"/>
      <c r="F52" s="279"/>
      <c r="G52" s="279">
        <f t="shared" ref="G52:L52" si="24">+G48</f>
        <v>833.36</v>
      </c>
      <c r="H52" s="334">
        <f t="shared" si="24"/>
        <v>1100.93</v>
      </c>
      <c r="I52" s="334">
        <f t="shared" si="24"/>
        <v>2084.42</v>
      </c>
      <c r="J52" s="334">
        <f t="shared" si="24"/>
        <v>1584.25</v>
      </c>
      <c r="K52" s="334">
        <f t="shared" si="24"/>
        <v>1488.35</v>
      </c>
      <c r="L52" s="334">
        <f t="shared" si="24"/>
        <v>1437.65</v>
      </c>
      <c r="O52" s="107"/>
    </row>
    <row r="53">
      <c r="B53" s="67"/>
      <c r="C53" s="68"/>
      <c r="D53" s="95"/>
      <c r="E53" s="95"/>
      <c r="F53" s="95"/>
      <c r="G53" s="95"/>
      <c r="H53" s="335"/>
      <c r="I53" s="335"/>
      <c r="J53" s="335"/>
      <c r="K53" s="335"/>
      <c r="L53" s="335"/>
      <c r="O53" s="27"/>
    </row>
    <row r="54">
      <c r="B54" s="67"/>
      <c r="C54" s="68"/>
      <c r="D54" s="95"/>
      <c r="E54" s="95"/>
      <c r="F54" s="95"/>
      <c r="G54" s="95"/>
      <c r="H54" s="335"/>
      <c r="I54" s="335"/>
      <c r="J54" s="335"/>
      <c r="K54" s="335"/>
      <c r="L54" s="335"/>
      <c r="O54" s="27"/>
    </row>
    <row r="55">
      <c r="B55" s="67" t="s">
        <v>173</v>
      </c>
      <c r="C55" s="68"/>
      <c r="D55" s="95">
        <f t="shared" ref="D55:L55" si="25">SUM(D51:D52)</f>
        <v>9245.2</v>
      </c>
      <c r="E55" s="95">
        <f t="shared" si="25"/>
        <v>331.34</v>
      </c>
      <c r="F55" s="309">
        <f t="shared" si="25"/>
        <v>45.75</v>
      </c>
      <c r="G55" s="309">
        <f t="shared" si="25"/>
        <v>833.36</v>
      </c>
      <c r="H55" s="336">
        <f t="shared" si="25"/>
        <v>1100.93</v>
      </c>
      <c r="I55" s="336">
        <f t="shared" si="25"/>
        <v>2084.42</v>
      </c>
      <c r="J55" s="336">
        <f t="shared" si="25"/>
        <v>1584.25</v>
      </c>
      <c r="K55" s="336">
        <f t="shared" si="25"/>
        <v>1488.35</v>
      </c>
      <c r="L55" s="336">
        <f t="shared" si="25"/>
        <v>1437.65</v>
      </c>
      <c r="O55" s="27"/>
    </row>
    <row r="56">
      <c r="H56" s="310"/>
      <c r="J56" s="362"/>
      <c r="K56" s="362"/>
      <c r="L56" s="362"/>
      <c r="O56" s="27"/>
    </row>
    <row r="57">
      <c r="H57" s="310"/>
      <c r="O57" s="27"/>
    </row>
    <row r="58">
      <c r="H58" s="310"/>
      <c r="O58" s="27"/>
    </row>
    <row r="59">
      <c r="H59" s="310"/>
      <c r="O59" s="27"/>
    </row>
    <row r="60">
      <c r="H60" s="310"/>
      <c r="O60" s="27"/>
    </row>
    <row r="61">
      <c r="H61" s="310"/>
      <c r="O61" s="27"/>
    </row>
    <row r="62">
      <c r="H62" s="310"/>
      <c r="O62" s="27"/>
    </row>
    <row r="63">
      <c r="H63" s="310"/>
      <c r="O63" s="27"/>
    </row>
    <row r="64">
      <c r="H64" s="310"/>
      <c r="O64" s="27"/>
    </row>
    <row r="65">
      <c r="H65" s="310"/>
      <c r="O65" s="27"/>
    </row>
    <row r="66">
      <c r="H66" s="310"/>
      <c r="O66" s="27"/>
    </row>
    <row r="67">
      <c r="H67" s="310"/>
      <c r="O67" s="27"/>
    </row>
    <row r="68">
      <c r="H68" s="310"/>
      <c r="O68" s="27"/>
    </row>
    <row r="69">
      <c r="H69" s="310"/>
      <c r="O69" s="27"/>
    </row>
    <row r="70">
      <c r="H70" s="310"/>
      <c r="O70" s="27"/>
    </row>
    <row r="71">
      <c r="H71" s="310"/>
      <c r="O71" s="27"/>
    </row>
    <row r="72">
      <c r="H72" s="310"/>
      <c r="O72" s="27"/>
    </row>
    <row r="73">
      <c r="H73" s="310"/>
      <c r="O73" s="27"/>
    </row>
    <row r="74">
      <c r="H74" s="310"/>
      <c r="O74" s="27"/>
    </row>
    <row r="75">
      <c r="H75" s="310"/>
      <c r="O75" s="27"/>
    </row>
    <row r="76">
      <c r="H76" s="310"/>
      <c r="O76" s="27"/>
    </row>
    <row r="77">
      <c r="H77" s="310"/>
      <c r="O77" s="27"/>
    </row>
    <row r="78">
      <c r="H78" s="310"/>
      <c r="O78" s="27"/>
    </row>
    <row r="79">
      <c r="H79" s="310"/>
      <c r="O79" s="27"/>
    </row>
    <row r="80">
      <c r="H80" s="310"/>
      <c r="O80" s="27"/>
    </row>
    <row r="81">
      <c r="H81" s="310"/>
      <c r="O81" s="27"/>
    </row>
    <row r="82">
      <c r="H82" s="310"/>
      <c r="O82" s="27"/>
    </row>
    <row r="83">
      <c r="H83" s="310"/>
      <c r="O83" s="27"/>
    </row>
    <row r="84">
      <c r="H84" s="310"/>
      <c r="O84" s="27"/>
    </row>
    <row r="85">
      <c r="H85" s="310"/>
      <c r="O85" s="27"/>
    </row>
    <row r="86">
      <c r="H86" s="310"/>
      <c r="O86" s="27"/>
    </row>
    <row r="87">
      <c r="H87" s="310"/>
      <c r="O87" s="27"/>
    </row>
    <row r="88">
      <c r="H88" s="310"/>
      <c r="O88" s="27"/>
    </row>
    <row r="89">
      <c r="H89" s="310"/>
      <c r="O89" s="27"/>
    </row>
    <row r="90">
      <c r="H90" s="310"/>
      <c r="O90" s="27"/>
    </row>
    <row r="91">
      <c r="H91" s="310"/>
      <c r="O91" s="27"/>
    </row>
    <row r="92">
      <c r="H92" s="310"/>
      <c r="O92" s="27"/>
    </row>
    <row r="93">
      <c r="H93" s="310"/>
      <c r="O93" s="27"/>
    </row>
    <row r="94">
      <c r="H94" s="310"/>
      <c r="O94" s="27"/>
    </row>
    <row r="95">
      <c r="H95" s="310"/>
      <c r="O95" s="27"/>
    </row>
    <row r="96">
      <c r="H96" s="310"/>
      <c r="O96" s="27"/>
    </row>
    <row r="97">
      <c r="H97" s="310"/>
      <c r="O97" s="27"/>
    </row>
    <row r="98">
      <c r="H98" s="310"/>
      <c r="O98" s="27"/>
    </row>
    <row r="99">
      <c r="H99" s="310"/>
      <c r="O99" s="27"/>
    </row>
    <row r="100">
      <c r="H100" s="310"/>
      <c r="O100" s="27"/>
    </row>
    <row r="101">
      <c r="H101" s="310"/>
      <c r="O101" s="27"/>
    </row>
    <row r="102">
      <c r="H102" s="310"/>
      <c r="O102" s="27"/>
    </row>
    <row r="103">
      <c r="H103" s="310"/>
      <c r="O103" s="27"/>
    </row>
    <row r="104">
      <c r="H104" s="310"/>
      <c r="O104" s="27"/>
    </row>
    <row r="105">
      <c r="H105" s="310"/>
      <c r="O105" s="27"/>
    </row>
    <row r="106">
      <c r="H106" s="310"/>
      <c r="O106" s="27"/>
    </row>
    <row r="107">
      <c r="H107" s="310"/>
      <c r="O107" s="27"/>
    </row>
    <row r="108">
      <c r="H108" s="310"/>
      <c r="O108" s="27"/>
    </row>
    <row r="109">
      <c r="H109" s="310"/>
      <c r="O109" s="27"/>
    </row>
    <row r="110">
      <c r="H110" s="310"/>
      <c r="O110" s="27"/>
    </row>
    <row r="111">
      <c r="H111" s="310"/>
      <c r="O111" s="27"/>
    </row>
    <row r="112">
      <c r="H112" s="310"/>
      <c r="O112" s="27"/>
    </row>
    <row r="113">
      <c r="H113" s="310"/>
      <c r="O113" s="27"/>
    </row>
    <row r="114">
      <c r="H114" s="310"/>
      <c r="O114" s="27"/>
    </row>
    <row r="115">
      <c r="H115" s="310"/>
      <c r="O115" s="27"/>
    </row>
    <row r="116">
      <c r="H116" s="310"/>
      <c r="O116" s="27"/>
    </row>
    <row r="117">
      <c r="H117" s="310"/>
      <c r="O117" s="27"/>
    </row>
    <row r="118">
      <c r="H118" s="310"/>
      <c r="O118" s="27"/>
    </row>
    <row r="119">
      <c r="H119" s="310"/>
      <c r="O119" s="27"/>
    </row>
    <row r="120">
      <c r="H120" s="310"/>
      <c r="O120" s="27"/>
    </row>
    <row r="121">
      <c r="H121" s="310"/>
      <c r="O121" s="27"/>
    </row>
    <row r="122">
      <c r="H122" s="310"/>
      <c r="O122" s="27"/>
    </row>
    <row r="123">
      <c r="H123" s="310"/>
      <c r="O123" s="27"/>
    </row>
    <row r="124">
      <c r="H124" s="310"/>
      <c r="O124" s="27"/>
    </row>
    <row r="125">
      <c r="H125" s="310"/>
      <c r="O125" s="27"/>
    </row>
    <row r="126">
      <c r="H126" s="310"/>
      <c r="O126" s="27"/>
    </row>
    <row r="127">
      <c r="H127" s="310"/>
      <c r="O127" s="27"/>
    </row>
    <row r="128">
      <c r="H128" s="310"/>
      <c r="O128" s="27"/>
    </row>
    <row r="129">
      <c r="H129" s="310"/>
      <c r="O129" s="27"/>
    </row>
    <row r="130">
      <c r="H130" s="310"/>
      <c r="O130" s="27"/>
    </row>
    <row r="131">
      <c r="H131" s="310"/>
      <c r="O131" s="27"/>
    </row>
    <row r="132">
      <c r="H132" s="310"/>
      <c r="O132" s="27"/>
    </row>
    <row r="133">
      <c r="H133" s="310"/>
      <c r="O133" s="27"/>
    </row>
    <row r="134">
      <c r="H134" s="310"/>
      <c r="O134" s="27"/>
    </row>
    <row r="135">
      <c r="H135" s="310"/>
      <c r="O135" s="27"/>
    </row>
    <row r="136">
      <c r="H136" s="310"/>
      <c r="O136" s="27"/>
    </row>
    <row r="137">
      <c r="H137" s="310"/>
      <c r="O137" s="27"/>
    </row>
    <row r="138">
      <c r="H138" s="310"/>
      <c r="O138" s="27"/>
    </row>
    <row r="139">
      <c r="H139" s="310"/>
      <c r="O139" s="27"/>
    </row>
    <row r="140">
      <c r="H140" s="310"/>
      <c r="O140" s="27"/>
    </row>
    <row r="141">
      <c r="H141" s="310"/>
      <c r="O141" s="27"/>
    </row>
    <row r="142">
      <c r="H142" s="310"/>
      <c r="O142" s="27"/>
    </row>
    <row r="143">
      <c r="H143" s="310"/>
      <c r="O143" s="27"/>
    </row>
    <row r="144">
      <c r="H144" s="310"/>
      <c r="O144" s="27"/>
    </row>
    <row r="145">
      <c r="H145" s="310"/>
      <c r="O145" s="27"/>
    </row>
    <row r="146">
      <c r="H146" s="310"/>
      <c r="O146" s="27"/>
    </row>
    <row r="147">
      <c r="H147" s="310"/>
      <c r="O147" s="27"/>
    </row>
    <row r="148">
      <c r="H148" s="310"/>
      <c r="O148" s="27"/>
    </row>
    <row r="149">
      <c r="H149" s="310"/>
      <c r="O149" s="27"/>
    </row>
    <row r="150">
      <c r="H150" s="310"/>
      <c r="O150" s="27"/>
    </row>
    <row r="151">
      <c r="H151" s="310"/>
      <c r="O151" s="27"/>
    </row>
    <row r="152">
      <c r="H152" s="310"/>
      <c r="O152" s="27"/>
    </row>
    <row r="153">
      <c r="H153" s="310"/>
      <c r="O153" s="27"/>
    </row>
    <row r="154">
      <c r="H154" s="310"/>
      <c r="O154" s="27"/>
    </row>
    <row r="155">
      <c r="H155" s="310"/>
      <c r="O155" s="27"/>
    </row>
    <row r="156">
      <c r="H156" s="310"/>
      <c r="O156" s="27"/>
    </row>
    <row r="157">
      <c r="H157" s="310"/>
      <c r="O157" s="27"/>
    </row>
    <row r="158">
      <c r="H158" s="310"/>
      <c r="O158" s="27"/>
    </row>
    <row r="159">
      <c r="H159" s="310"/>
      <c r="O159" s="27"/>
    </row>
    <row r="160">
      <c r="H160" s="310"/>
      <c r="O160" s="27"/>
    </row>
    <row r="161">
      <c r="H161" s="310"/>
      <c r="O161" s="27"/>
    </row>
    <row r="162">
      <c r="H162" s="310"/>
      <c r="O162" s="27"/>
    </row>
    <row r="163">
      <c r="H163" s="310"/>
      <c r="O163" s="27"/>
    </row>
    <row r="164">
      <c r="H164" s="310"/>
      <c r="O164" s="27"/>
    </row>
    <row r="165">
      <c r="H165" s="310"/>
      <c r="O165" s="27"/>
    </row>
    <row r="166">
      <c r="H166" s="310"/>
      <c r="O166" s="27"/>
    </row>
    <row r="167">
      <c r="H167" s="310"/>
      <c r="O167" s="27"/>
    </row>
    <row r="168">
      <c r="H168" s="310"/>
      <c r="O168" s="27"/>
    </row>
    <row r="169">
      <c r="H169" s="310"/>
      <c r="O169" s="27"/>
    </row>
    <row r="170">
      <c r="H170" s="310"/>
      <c r="O170" s="27"/>
    </row>
    <row r="171">
      <c r="H171" s="310"/>
      <c r="O171" s="27"/>
    </row>
    <row r="172">
      <c r="H172" s="310"/>
      <c r="O172" s="27"/>
    </row>
    <row r="173">
      <c r="H173" s="310"/>
      <c r="O173" s="27"/>
    </row>
    <row r="174">
      <c r="H174" s="310"/>
      <c r="O174" s="27"/>
    </row>
    <row r="175">
      <c r="H175" s="310"/>
      <c r="O175" s="27"/>
    </row>
    <row r="176">
      <c r="H176" s="310"/>
      <c r="O176" s="27"/>
    </row>
    <row r="177">
      <c r="H177" s="310"/>
      <c r="O177" s="27"/>
    </row>
    <row r="178">
      <c r="H178" s="310"/>
      <c r="O178" s="27"/>
    </row>
    <row r="179">
      <c r="H179" s="310"/>
      <c r="O179" s="27"/>
    </row>
    <row r="180">
      <c r="H180" s="310"/>
      <c r="O180" s="27"/>
    </row>
    <row r="181">
      <c r="H181" s="310"/>
      <c r="O181" s="27"/>
    </row>
    <row r="182">
      <c r="H182" s="310"/>
      <c r="O182" s="27"/>
    </row>
    <row r="183">
      <c r="H183" s="310"/>
      <c r="O183" s="27"/>
    </row>
    <row r="184">
      <c r="H184" s="310"/>
      <c r="O184" s="27"/>
    </row>
    <row r="185">
      <c r="H185" s="310"/>
      <c r="O185" s="27"/>
    </row>
    <row r="186">
      <c r="H186" s="310"/>
      <c r="O186" s="27"/>
    </row>
    <row r="187">
      <c r="H187" s="310"/>
      <c r="O187" s="27"/>
    </row>
    <row r="188">
      <c r="H188" s="310"/>
      <c r="O188" s="27"/>
    </row>
    <row r="189">
      <c r="H189" s="310"/>
      <c r="O189" s="27"/>
    </row>
    <row r="190">
      <c r="H190" s="310"/>
      <c r="O190" s="27"/>
    </row>
    <row r="191">
      <c r="H191" s="310"/>
      <c r="O191" s="27"/>
    </row>
    <row r="192">
      <c r="H192" s="310"/>
      <c r="O192" s="27"/>
    </row>
    <row r="193">
      <c r="H193" s="310"/>
      <c r="O193" s="27"/>
    </row>
    <row r="194">
      <c r="H194" s="310"/>
      <c r="O194" s="27"/>
    </row>
    <row r="195">
      <c r="H195" s="310"/>
      <c r="O195" s="27"/>
    </row>
    <row r="196">
      <c r="H196" s="310"/>
      <c r="O196" s="27"/>
    </row>
    <row r="197">
      <c r="H197" s="310"/>
      <c r="O197" s="27"/>
    </row>
    <row r="198">
      <c r="H198" s="310"/>
      <c r="O198" s="27"/>
    </row>
    <row r="199">
      <c r="H199" s="310"/>
      <c r="O199" s="27"/>
    </row>
    <row r="200">
      <c r="H200" s="310"/>
      <c r="O200" s="27"/>
    </row>
    <row r="201">
      <c r="H201" s="310"/>
      <c r="O201" s="27"/>
    </row>
    <row r="202">
      <c r="H202" s="310"/>
      <c r="O202" s="27"/>
    </row>
    <row r="203">
      <c r="H203" s="310"/>
      <c r="O203" s="27"/>
    </row>
    <row r="204">
      <c r="H204" s="310"/>
      <c r="O204" s="27"/>
    </row>
    <row r="205">
      <c r="H205" s="310"/>
      <c r="O205" s="27"/>
    </row>
    <row r="206">
      <c r="H206" s="310"/>
      <c r="O206" s="27"/>
    </row>
    <row r="207">
      <c r="H207" s="310"/>
      <c r="O207" s="27"/>
    </row>
    <row r="208">
      <c r="H208" s="310"/>
      <c r="O208" s="27"/>
    </row>
    <row r="209">
      <c r="H209" s="310"/>
      <c r="O209" s="27"/>
    </row>
    <row r="210">
      <c r="H210" s="310"/>
      <c r="O210" s="27"/>
    </row>
    <row r="211">
      <c r="H211" s="310"/>
      <c r="O211" s="27"/>
    </row>
    <row r="212">
      <c r="H212" s="310"/>
      <c r="O212" s="27"/>
    </row>
    <row r="213">
      <c r="H213" s="310"/>
      <c r="O213" s="27"/>
    </row>
    <row r="214">
      <c r="H214" s="310"/>
      <c r="O214" s="27"/>
    </row>
    <row r="215">
      <c r="H215" s="310"/>
      <c r="O215" s="27"/>
    </row>
    <row r="216">
      <c r="H216" s="310"/>
      <c r="O216" s="27"/>
    </row>
    <row r="217">
      <c r="H217" s="310"/>
      <c r="O217" s="27"/>
    </row>
    <row r="218">
      <c r="H218" s="310"/>
      <c r="O218" s="27"/>
    </row>
    <row r="219">
      <c r="H219" s="310"/>
      <c r="O219" s="27"/>
    </row>
    <row r="220">
      <c r="H220" s="310"/>
      <c r="O220" s="27"/>
    </row>
    <row r="221">
      <c r="H221" s="310"/>
      <c r="O221" s="27"/>
    </row>
    <row r="222">
      <c r="H222" s="310"/>
      <c r="O222" s="27"/>
    </row>
    <row r="223">
      <c r="H223" s="310"/>
      <c r="O223" s="27"/>
    </row>
    <row r="224">
      <c r="H224" s="310"/>
      <c r="O224" s="27"/>
    </row>
    <row r="225">
      <c r="H225" s="310"/>
      <c r="O225" s="27"/>
    </row>
    <row r="226">
      <c r="H226" s="310"/>
      <c r="O226" s="27"/>
    </row>
    <row r="227">
      <c r="H227" s="310"/>
      <c r="O227" s="27"/>
    </row>
    <row r="228">
      <c r="H228" s="310"/>
      <c r="O228" s="27"/>
    </row>
    <row r="229">
      <c r="H229" s="310"/>
      <c r="O229" s="27"/>
    </row>
    <row r="230">
      <c r="H230" s="310"/>
      <c r="O230" s="27"/>
    </row>
    <row r="231">
      <c r="H231" s="310"/>
      <c r="O231" s="27"/>
    </row>
    <row r="232">
      <c r="H232" s="310"/>
      <c r="O232" s="27"/>
    </row>
    <row r="233">
      <c r="H233" s="310"/>
      <c r="O233" s="27"/>
    </row>
    <row r="234">
      <c r="H234" s="310"/>
      <c r="O234" s="27"/>
    </row>
    <row r="235">
      <c r="H235" s="310"/>
      <c r="O235" s="27"/>
    </row>
    <row r="236">
      <c r="H236" s="310"/>
      <c r="O236" s="27"/>
    </row>
    <row r="237">
      <c r="H237" s="310"/>
      <c r="O237" s="27"/>
    </row>
    <row r="238">
      <c r="H238" s="310"/>
      <c r="O238" s="27"/>
    </row>
    <row r="239">
      <c r="H239" s="310"/>
      <c r="O239" s="27"/>
    </row>
    <row r="240">
      <c r="H240" s="310"/>
      <c r="O240" s="27"/>
    </row>
    <row r="241">
      <c r="H241" s="310"/>
      <c r="O241" s="27"/>
    </row>
    <row r="242">
      <c r="H242" s="310"/>
      <c r="O242" s="27"/>
    </row>
    <row r="243">
      <c r="H243" s="310"/>
      <c r="O243" s="27"/>
    </row>
    <row r="244">
      <c r="H244" s="310"/>
      <c r="O244" s="27"/>
    </row>
    <row r="245">
      <c r="H245" s="310"/>
      <c r="O245" s="27"/>
    </row>
    <row r="246">
      <c r="H246" s="310"/>
      <c r="O246" s="27"/>
    </row>
    <row r="247">
      <c r="H247" s="310"/>
      <c r="O247" s="27"/>
    </row>
    <row r="248">
      <c r="H248" s="310"/>
      <c r="O248" s="27"/>
    </row>
    <row r="249">
      <c r="H249" s="310"/>
      <c r="O249" s="27"/>
    </row>
    <row r="250">
      <c r="H250" s="310"/>
      <c r="O250" s="27"/>
    </row>
    <row r="251">
      <c r="H251" s="310"/>
      <c r="O251" s="27"/>
    </row>
    <row r="252">
      <c r="H252" s="310"/>
      <c r="O252" s="27"/>
    </row>
    <row r="253">
      <c r="H253" s="310"/>
      <c r="O253" s="27"/>
    </row>
    <row r="254">
      <c r="H254" s="310"/>
      <c r="O254" s="27"/>
    </row>
    <row r="255">
      <c r="H255" s="310"/>
      <c r="O255" s="27"/>
    </row>
    <row r="256">
      <c r="H256" s="310"/>
      <c r="O256" s="27"/>
    </row>
    <row r="257">
      <c r="H257" s="310"/>
      <c r="O257" s="27"/>
    </row>
    <row r="258">
      <c r="H258" s="310"/>
      <c r="O258" s="27"/>
    </row>
    <row r="259">
      <c r="H259" s="310"/>
      <c r="O259" s="27"/>
    </row>
    <row r="260">
      <c r="H260" s="310"/>
      <c r="O260" s="27"/>
    </row>
    <row r="261">
      <c r="H261" s="310"/>
      <c r="O261" s="27"/>
    </row>
    <row r="262">
      <c r="H262" s="310"/>
      <c r="O262" s="27"/>
    </row>
    <row r="263">
      <c r="H263" s="310"/>
      <c r="O263" s="27"/>
    </row>
    <row r="264">
      <c r="H264" s="310"/>
      <c r="O264" s="27"/>
    </row>
    <row r="265">
      <c r="H265" s="310"/>
      <c r="O265" s="27"/>
    </row>
    <row r="266">
      <c r="H266" s="310"/>
      <c r="O266" s="27"/>
    </row>
    <row r="267">
      <c r="H267" s="310"/>
      <c r="O267" s="27"/>
    </row>
    <row r="268">
      <c r="H268" s="310"/>
      <c r="O268" s="27"/>
    </row>
    <row r="269">
      <c r="H269" s="310"/>
      <c r="O269" s="27"/>
    </row>
    <row r="270">
      <c r="H270" s="310"/>
      <c r="O270" s="27"/>
    </row>
    <row r="271">
      <c r="H271" s="310"/>
      <c r="O271" s="27"/>
    </row>
    <row r="272">
      <c r="H272" s="310"/>
      <c r="O272" s="27"/>
    </row>
    <row r="273">
      <c r="H273" s="310"/>
      <c r="O273" s="27"/>
    </row>
    <row r="274">
      <c r="H274" s="310"/>
      <c r="O274" s="27"/>
    </row>
    <row r="275">
      <c r="H275" s="310"/>
      <c r="O275" s="27"/>
    </row>
    <row r="276">
      <c r="H276" s="310"/>
      <c r="O276" s="27"/>
    </row>
    <row r="277">
      <c r="H277" s="310"/>
      <c r="O277" s="27"/>
    </row>
    <row r="278">
      <c r="H278" s="310"/>
      <c r="O278" s="27"/>
    </row>
    <row r="279">
      <c r="H279" s="310"/>
      <c r="O279" s="27"/>
    </row>
    <row r="280">
      <c r="H280" s="310"/>
      <c r="O280" s="27"/>
    </row>
    <row r="281">
      <c r="H281" s="310"/>
      <c r="O281" s="27"/>
    </row>
    <row r="282">
      <c r="H282" s="310"/>
      <c r="O282" s="27"/>
    </row>
    <row r="283">
      <c r="H283" s="310"/>
      <c r="O283" s="27"/>
    </row>
    <row r="284">
      <c r="H284" s="310"/>
      <c r="O284" s="27"/>
    </row>
    <row r="285">
      <c r="H285" s="310"/>
      <c r="O285" s="27"/>
    </row>
    <row r="286">
      <c r="H286" s="310"/>
      <c r="O286" s="27"/>
    </row>
    <row r="287">
      <c r="H287" s="310"/>
      <c r="O287" s="27"/>
    </row>
    <row r="288">
      <c r="H288" s="310"/>
      <c r="O288" s="27"/>
    </row>
    <row r="289">
      <c r="H289" s="310"/>
      <c r="O289" s="27"/>
    </row>
    <row r="290">
      <c r="H290" s="310"/>
      <c r="O290" s="27"/>
    </row>
    <row r="291">
      <c r="H291" s="310"/>
      <c r="O291" s="27"/>
    </row>
    <row r="292">
      <c r="H292" s="310"/>
      <c r="O292" s="27"/>
    </row>
    <row r="293">
      <c r="H293" s="310"/>
      <c r="O293" s="27"/>
    </row>
    <row r="294">
      <c r="H294" s="310"/>
      <c r="O294" s="27"/>
    </row>
    <row r="295">
      <c r="H295" s="310"/>
      <c r="O295" s="27"/>
    </row>
    <row r="296">
      <c r="H296" s="310"/>
      <c r="O296" s="27"/>
    </row>
    <row r="297">
      <c r="H297" s="310"/>
      <c r="O297" s="27"/>
    </row>
    <row r="298">
      <c r="H298" s="310"/>
      <c r="O298" s="27"/>
    </row>
    <row r="299">
      <c r="H299" s="310"/>
      <c r="O299" s="27"/>
    </row>
    <row r="300">
      <c r="H300" s="310"/>
      <c r="O300" s="27"/>
    </row>
    <row r="301">
      <c r="H301" s="310"/>
      <c r="O301" s="27"/>
    </row>
    <row r="302">
      <c r="H302" s="310"/>
      <c r="O302" s="27"/>
    </row>
    <row r="303">
      <c r="H303" s="310"/>
      <c r="O303" s="27"/>
    </row>
    <row r="304">
      <c r="H304" s="310"/>
      <c r="O304" s="27"/>
    </row>
    <row r="305">
      <c r="H305" s="310"/>
      <c r="O305" s="27"/>
    </row>
    <row r="306">
      <c r="H306" s="310"/>
      <c r="O306" s="27"/>
    </row>
    <row r="307">
      <c r="H307" s="310"/>
      <c r="O307" s="27"/>
    </row>
    <row r="308">
      <c r="H308" s="310"/>
      <c r="O308" s="27"/>
    </row>
    <row r="309">
      <c r="H309" s="310"/>
      <c r="O309" s="27"/>
    </row>
    <row r="310">
      <c r="H310" s="310"/>
      <c r="O310" s="27"/>
    </row>
    <row r="311">
      <c r="H311" s="310"/>
      <c r="O311" s="27"/>
    </row>
    <row r="312">
      <c r="H312" s="310"/>
      <c r="O312" s="27"/>
    </row>
    <row r="313">
      <c r="H313" s="310"/>
      <c r="O313" s="27"/>
    </row>
    <row r="314">
      <c r="H314" s="310"/>
      <c r="O314" s="27"/>
    </row>
    <row r="315">
      <c r="H315" s="310"/>
      <c r="O315" s="27"/>
    </row>
    <row r="316">
      <c r="H316" s="310"/>
      <c r="O316" s="27"/>
    </row>
    <row r="317">
      <c r="H317" s="310"/>
      <c r="O317" s="27"/>
    </row>
    <row r="318">
      <c r="H318" s="310"/>
      <c r="O318" s="27"/>
    </row>
    <row r="319">
      <c r="H319" s="310"/>
      <c r="O319" s="27"/>
    </row>
    <row r="320">
      <c r="H320" s="310"/>
      <c r="O320" s="27"/>
    </row>
    <row r="321">
      <c r="H321" s="310"/>
      <c r="O321" s="27"/>
    </row>
    <row r="322">
      <c r="H322" s="310"/>
      <c r="O322" s="27"/>
    </row>
    <row r="323">
      <c r="H323" s="310"/>
      <c r="O323" s="27"/>
    </row>
    <row r="324">
      <c r="H324" s="310"/>
      <c r="O324" s="27"/>
    </row>
    <row r="325">
      <c r="H325" s="310"/>
      <c r="O325" s="27"/>
    </row>
    <row r="326">
      <c r="H326" s="310"/>
      <c r="O326" s="27"/>
    </row>
    <row r="327">
      <c r="H327" s="310"/>
      <c r="O327" s="27"/>
    </row>
    <row r="328">
      <c r="H328" s="310"/>
      <c r="O328" s="27"/>
    </row>
    <row r="329">
      <c r="H329" s="310"/>
      <c r="O329" s="27"/>
    </row>
    <row r="330">
      <c r="H330" s="310"/>
      <c r="O330" s="27"/>
    </row>
    <row r="331">
      <c r="H331" s="310"/>
      <c r="O331" s="27"/>
    </row>
    <row r="332">
      <c r="H332" s="310"/>
      <c r="O332" s="27"/>
    </row>
    <row r="333">
      <c r="H333" s="310"/>
      <c r="O333" s="27"/>
    </row>
    <row r="334">
      <c r="H334" s="310"/>
      <c r="O334" s="27"/>
    </row>
    <row r="335">
      <c r="H335" s="310"/>
      <c r="O335" s="27"/>
    </row>
    <row r="336">
      <c r="H336" s="310"/>
      <c r="O336" s="27"/>
    </row>
    <row r="337">
      <c r="H337" s="310"/>
      <c r="O337" s="27"/>
    </row>
    <row r="338">
      <c r="H338" s="310"/>
      <c r="O338" s="27"/>
    </row>
    <row r="339">
      <c r="H339" s="310"/>
      <c r="O339" s="27"/>
    </row>
    <row r="340">
      <c r="H340" s="310"/>
      <c r="O340" s="27"/>
    </row>
    <row r="341">
      <c r="H341" s="310"/>
      <c r="O341" s="27"/>
    </row>
    <row r="342">
      <c r="H342" s="310"/>
      <c r="O342" s="27"/>
    </row>
    <row r="343">
      <c r="H343" s="310"/>
      <c r="O343" s="27"/>
    </row>
    <row r="344">
      <c r="H344" s="310"/>
      <c r="O344" s="27"/>
    </row>
    <row r="345">
      <c r="H345" s="310"/>
      <c r="O345" s="27"/>
    </row>
    <row r="346">
      <c r="H346" s="310"/>
      <c r="O346" s="27"/>
    </row>
    <row r="347">
      <c r="H347" s="310"/>
      <c r="O347" s="27"/>
    </row>
    <row r="348">
      <c r="H348" s="310"/>
      <c r="O348" s="27"/>
    </row>
    <row r="349">
      <c r="H349" s="310"/>
      <c r="O349" s="27"/>
    </row>
    <row r="350">
      <c r="H350" s="310"/>
      <c r="O350" s="27"/>
    </row>
    <row r="351">
      <c r="H351" s="310"/>
      <c r="O351" s="27"/>
    </row>
    <row r="352">
      <c r="H352" s="310"/>
      <c r="O352" s="27"/>
    </row>
    <row r="353">
      <c r="H353" s="310"/>
      <c r="O353" s="27"/>
    </row>
    <row r="354">
      <c r="H354" s="310"/>
      <c r="O354" s="27"/>
    </row>
    <row r="355">
      <c r="H355" s="310"/>
      <c r="O355" s="27"/>
    </row>
    <row r="356">
      <c r="H356" s="310"/>
      <c r="O356" s="27"/>
    </row>
    <row r="357">
      <c r="H357" s="310"/>
      <c r="O357" s="27"/>
    </row>
    <row r="358">
      <c r="H358" s="310"/>
      <c r="O358" s="27"/>
    </row>
    <row r="359">
      <c r="H359" s="310"/>
      <c r="O359" s="27"/>
    </row>
    <row r="360">
      <c r="H360" s="310"/>
      <c r="O360" s="27"/>
    </row>
    <row r="361">
      <c r="H361" s="310"/>
      <c r="O361" s="27"/>
    </row>
    <row r="362">
      <c r="H362" s="310"/>
      <c r="O362" s="27"/>
    </row>
    <row r="363">
      <c r="H363" s="310"/>
      <c r="O363" s="27"/>
    </row>
    <row r="364">
      <c r="H364" s="310"/>
      <c r="O364" s="27"/>
    </row>
    <row r="365">
      <c r="H365" s="310"/>
      <c r="O365" s="27"/>
    </row>
    <row r="366">
      <c r="H366" s="310"/>
      <c r="O366" s="27"/>
    </row>
    <row r="367">
      <c r="H367" s="310"/>
      <c r="O367" s="27"/>
    </row>
    <row r="368">
      <c r="H368" s="310"/>
      <c r="O368" s="27"/>
    </row>
    <row r="369">
      <c r="H369" s="310"/>
      <c r="O369" s="27"/>
    </row>
    <row r="370">
      <c r="H370" s="310"/>
      <c r="O370" s="27"/>
    </row>
    <row r="371">
      <c r="H371" s="310"/>
      <c r="O371" s="27"/>
    </row>
    <row r="372">
      <c r="H372" s="310"/>
      <c r="O372" s="27"/>
    </row>
    <row r="373">
      <c r="H373" s="310"/>
      <c r="O373" s="27"/>
    </row>
    <row r="374">
      <c r="H374" s="310"/>
      <c r="O374" s="27"/>
    </row>
    <row r="375">
      <c r="H375" s="310"/>
      <c r="O375" s="27"/>
    </row>
    <row r="376">
      <c r="H376" s="310"/>
      <c r="O376" s="27"/>
    </row>
    <row r="377">
      <c r="H377" s="310"/>
      <c r="O377" s="27"/>
    </row>
    <row r="378">
      <c r="H378" s="310"/>
      <c r="O378" s="27"/>
    </row>
    <row r="379">
      <c r="H379" s="310"/>
      <c r="O379" s="27"/>
    </row>
    <row r="380">
      <c r="H380" s="310"/>
      <c r="O380" s="27"/>
    </row>
    <row r="381">
      <c r="H381" s="310"/>
      <c r="O381" s="27"/>
    </row>
    <row r="382">
      <c r="H382" s="310"/>
      <c r="O382" s="27"/>
    </row>
    <row r="383">
      <c r="H383" s="310"/>
      <c r="O383" s="27"/>
    </row>
    <row r="384">
      <c r="H384" s="310"/>
      <c r="O384" s="27"/>
    </row>
    <row r="385">
      <c r="H385" s="310"/>
      <c r="O385" s="27"/>
    </row>
    <row r="386">
      <c r="H386" s="310"/>
      <c r="O386" s="27"/>
    </row>
    <row r="387">
      <c r="H387" s="310"/>
      <c r="O387" s="27"/>
    </row>
    <row r="388">
      <c r="H388" s="310"/>
      <c r="O388" s="27"/>
    </row>
    <row r="389">
      <c r="H389" s="310"/>
      <c r="O389" s="27"/>
    </row>
    <row r="390">
      <c r="H390" s="310"/>
      <c r="O390" s="27"/>
    </row>
    <row r="391">
      <c r="H391" s="310"/>
      <c r="O391" s="27"/>
    </row>
    <row r="392">
      <c r="H392" s="310"/>
      <c r="O392" s="27"/>
    </row>
    <row r="393">
      <c r="H393" s="310"/>
      <c r="O393" s="27"/>
    </row>
    <row r="394">
      <c r="H394" s="310"/>
      <c r="O394" s="27"/>
    </row>
    <row r="395">
      <c r="H395" s="310"/>
      <c r="O395" s="27"/>
    </row>
    <row r="396">
      <c r="H396" s="310"/>
      <c r="O396" s="27"/>
    </row>
    <row r="397">
      <c r="H397" s="310"/>
      <c r="O397" s="27"/>
    </row>
    <row r="398">
      <c r="H398" s="310"/>
      <c r="O398" s="27"/>
    </row>
    <row r="399">
      <c r="H399" s="310"/>
      <c r="O399" s="27"/>
    </row>
    <row r="400">
      <c r="H400" s="310"/>
      <c r="O400" s="27"/>
    </row>
    <row r="401">
      <c r="H401" s="310"/>
      <c r="O401" s="27"/>
    </row>
    <row r="402">
      <c r="H402" s="310"/>
      <c r="O402" s="27"/>
    </row>
    <row r="403">
      <c r="H403" s="310"/>
      <c r="O403" s="27"/>
    </row>
    <row r="404">
      <c r="H404" s="310"/>
      <c r="O404" s="27"/>
    </row>
    <row r="405">
      <c r="H405" s="310"/>
      <c r="O405" s="27"/>
    </row>
    <row r="406">
      <c r="H406" s="310"/>
      <c r="O406" s="27"/>
    </row>
    <row r="407">
      <c r="H407" s="310"/>
      <c r="O407" s="27"/>
    </row>
    <row r="408">
      <c r="H408" s="310"/>
      <c r="O408" s="27"/>
    </row>
    <row r="409">
      <c r="H409" s="310"/>
      <c r="O409" s="27"/>
    </row>
    <row r="410">
      <c r="H410" s="310"/>
      <c r="O410" s="27"/>
    </row>
    <row r="411">
      <c r="H411" s="310"/>
      <c r="O411" s="27"/>
    </row>
    <row r="412">
      <c r="H412" s="310"/>
      <c r="O412" s="27"/>
    </row>
    <row r="413">
      <c r="H413" s="310"/>
      <c r="O413" s="27"/>
    </row>
    <row r="414">
      <c r="H414" s="310"/>
      <c r="O414" s="27"/>
    </row>
    <row r="415">
      <c r="H415" s="310"/>
      <c r="O415" s="27"/>
    </row>
    <row r="416">
      <c r="H416" s="310"/>
      <c r="O416" s="27"/>
    </row>
    <row r="417">
      <c r="H417" s="310"/>
      <c r="O417" s="27"/>
    </row>
    <row r="418">
      <c r="H418" s="310"/>
      <c r="O418" s="27"/>
    </row>
    <row r="419">
      <c r="H419" s="310"/>
      <c r="O419" s="27"/>
    </row>
    <row r="420">
      <c r="H420" s="310"/>
      <c r="O420" s="27"/>
    </row>
    <row r="421">
      <c r="H421" s="310"/>
      <c r="O421" s="27"/>
    </row>
    <row r="422">
      <c r="H422" s="310"/>
      <c r="O422" s="27"/>
    </row>
    <row r="423">
      <c r="H423" s="310"/>
      <c r="O423" s="27"/>
    </row>
    <row r="424">
      <c r="H424" s="310"/>
      <c r="O424" s="27"/>
    </row>
    <row r="425">
      <c r="H425" s="310"/>
      <c r="O425" s="27"/>
    </row>
    <row r="426">
      <c r="H426" s="310"/>
      <c r="O426" s="27"/>
    </row>
    <row r="427">
      <c r="H427" s="310"/>
      <c r="O427" s="27"/>
    </row>
    <row r="428">
      <c r="H428" s="310"/>
      <c r="O428" s="27"/>
    </row>
    <row r="429">
      <c r="H429" s="310"/>
      <c r="O429" s="27"/>
    </row>
    <row r="430">
      <c r="H430" s="310"/>
      <c r="O430" s="27"/>
    </row>
    <row r="431">
      <c r="H431" s="310"/>
      <c r="O431" s="27"/>
    </row>
    <row r="432">
      <c r="H432" s="310"/>
      <c r="O432" s="27"/>
    </row>
    <row r="433">
      <c r="H433" s="310"/>
      <c r="O433" s="27"/>
    </row>
    <row r="434">
      <c r="H434" s="310"/>
      <c r="O434" s="27"/>
    </row>
    <row r="435">
      <c r="H435" s="310"/>
      <c r="O435" s="27"/>
    </row>
    <row r="436">
      <c r="H436" s="310"/>
      <c r="O436" s="27"/>
    </row>
    <row r="437">
      <c r="H437" s="310"/>
      <c r="O437" s="27"/>
    </row>
    <row r="438">
      <c r="H438" s="310"/>
      <c r="O438" s="27"/>
    </row>
    <row r="439">
      <c r="H439" s="310"/>
      <c r="O439" s="27"/>
    </row>
    <row r="440">
      <c r="H440" s="310"/>
      <c r="O440" s="27"/>
    </row>
    <row r="441">
      <c r="H441" s="310"/>
      <c r="O441" s="27"/>
    </row>
    <row r="442">
      <c r="H442" s="310"/>
      <c r="O442" s="27"/>
    </row>
    <row r="443">
      <c r="H443" s="310"/>
      <c r="O443" s="27"/>
    </row>
    <row r="444">
      <c r="H444" s="310"/>
      <c r="O444" s="27"/>
    </row>
    <row r="445">
      <c r="H445" s="310"/>
      <c r="O445" s="27"/>
    </row>
    <row r="446">
      <c r="H446" s="310"/>
      <c r="O446" s="27"/>
    </row>
    <row r="447">
      <c r="H447" s="310"/>
      <c r="O447" s="27"/>
    </row>
    <row r="448">
      <c r="H448" s="310"/>
      <c r="O448" s="27"/>
    </row>
    <row r="449">
      <c r="H449" s="310"/>
      <c r="O449" s="27"/>
    </row>
    <row r="450">
      <c r="H450" s="310"/>
      <c r="O450" s="27"/>
    </row>
    <row r="451">
      <c r="H451" s="310"/>
      <c r="O451" s="27"/>
    </row>
    <row r="452">
      <c r="H452" s="310"/>
      <c r="O452" s="27"/>
    </row>
    <row r="453">
      <c r="H453" s="310"/>
      <c r="O453" s="27"/>
    </row>
    <row r="454">
      <c r="H454" s="310"/>
      <c r="O454" s="27"/>
    </row>
    <row r="455">
      <c r="H455" s="310"/>
      <c r="O455" s="27"/>
    </row>
    <row r="456">
      <c r="H456" s="310"/>
      <c r="O456" s="27"/>
    </row>
    <row r="457">
      <c r="H457" s="310"/>
      <c r="O457" s="27"/>
    </row>
    <row r="458">
      <c r="H458" s="310"/>
      <c r="O458" s="27"/>
    </row>
    <row r="459">
      <c r="H459" s="310"/>
      <c r="O459" s="27"/>
    </row>
    <row r="460">
      <c r="H460" s="310"/>
      <c r="O460" s="27"/>
    </row>
    <row r="461">
      <c r="H461" s="310"/>
      <c r="O461" s="27"/>
    </row>
    <row r="462">
      <c r="H462" s="310"/>
      <c r="O462" s="27"/>
    </row>
    <row r="463">
      <c r="H463" s="310"/>
      <c r="O463" s="27"/>
    </row>
    <row r="464">
      <c r="H464" s="310"/>
      <c r="O464" s="27"/>
    </row>
    <row r="465">
      <c r="H465" s="310"/>
      <c r="O465" s="27"/>
    </row>
    <row r="466">
      <c r="H466" s="310"/>
      <c r="O466" s="27"/>
    </row>
    <row r="467">
      <c r="H467" s="310"/>
      <c r="O467" s="27"/>
    </row>
    <row r="468">
      <c r="H468" s="310"/>
      <c r="O468" s="27"/>
    </row>
    <row r="469">
      <c r="H469" s="310"/>
      <c r="O469" s="27"/>
    </row>
    <row r="470">
      <c r="H470" s="310"/>
      <c r="O470" s="27"/>
    </row>
    <row r="471">
      <c r="H471" s="310"/>
      <c r="O471" s="27"/>
    </row>
    <row r="472">
      <c r="H472" s="310"/>
      <c r="O472" s="27"/>
    </row>
    <row r="473">
      <c r="H473" s="310"/>
      <c r="O473" s="27"/>
    </row>
    <row r="474">
      <c r="H474" s="310"/>
      <c r="O474" s="27"/>
    </row>
    <row r="475">
      <c r="H475" s="310"/>
      <c r="O475" s="27"/>
    </row>
    <row r="476">
      <c r="H476" s="310"/>
      <c r="O476" s="27"/>
    </row>
    <row r="477">
      <c r="H477" s="310"/>
      <c r="O477" s="27"/>
    </row>
    <row r="478">
      <c r="H478" s="310"/>
      <c r="O478" s="27"/>
    </row>
    <row r="479">
      <c r="H479" s="310"/>
      <c r="O479" s="27"/>
    </row>
    <row r="480">
      <c r="H480" s="310"/>
      <c r="O480" s="27"/>
    </row>
    <row r="481">
      <c r="H481" s="310"/>
      <c r="O481" s="27"/>
    </row>
    <row r="482">
      <c r="H482" s="310"/>
      <c r="O482" s="27"/>
    </row>
    <row r="483">
      <c r="H483" s="310"/>
      <c r="O483" s="27"/>
    </row>
    <row r="484">
      <c r="H484" s="310"/>
      <c r="O484" s="27"/>
    </row>
    <row r="485">
      <c r="H485" s="310"/>
      <c r="O485" s="27"/>
    </row>
    <row r="486">
      <c r="H486" s="310"/>
      <c r="O486" s="27"/>
    </row>
    <row r="487">
      <c r="H487" s="310"/>
      <c r="O487" s="27"/>
    </row>
    <row r="488">
      <c r="H488" s="310"/>
      <c r="O488" s="27"/>
    </row>
    <row r="489">
      <c r="H489" s="310"/>
      <c r="O489" s="27"/>
    </row>
    <row r="490">
      <c r="H490" s="310"/>
      <c r="O490" s="27"/>
    </row>
    <row r="491">
      <c r="H491" s="310"/>
      <c r="O491" s="27"/>
    </row>
    <row r="492">
      <c r="H492" s="310"/>
      <c r="O492" s="27"/>
    </row>
    <row r="493">
      <c r="H493" s="310"/>
      <c r="O493" s="27"/>
    </row>
    <row r="494">
      <c r="H494" s="310"/>
      <c r="O494" s="27"/>
    </row>
    <row r="495">
      <c r="H495" s="310"/>
      <c r="O495" s="27"/>
    </row>
    <row r="496">
      <c r="H496" s="310"/>
      <c r="O496" s="27"/>
    </row>
    <row r="497">
      <c r="H497" s="310"/>
      <c r="O497" s="27"/>
    </row>
    <row r="498">
      <c r="H498" s="310"/>
      <c r="O498" s="27"/>
    </row>
    <row r="499">
      <c r="H499" s="310"/>
      <c r="O499" s="27"/>
    </row>
    <row r="500">
      <c r="H500" s="310"/>
      <c r="O500" s="27"/>
    </row>
    <row r="501">
      <c r="H501" s="310"/>
      <c r="O501" s="27"/>
    </row>
    <row r="502">
      <c r="H502" s="310"/>
      <c r="O502" s="27"/>
    </row>
    <row r="503">
      <c r="H503" s="310"/>
      <c r="O503" s="27"/>
    </row>
    <row r="504">
      <c r="H504" s="310"/>
      <c r="O504" s="27"/>
    </row>
    <row r="505">
      <c r="H505" s="310"/>
      <c r="O505" s="27"/>
    </row>
    <row r="506">
      <c r="H506" s="310"/>
      <c r="O506" s="27"/>
    </row>
    <row r="507">
      <c r="H507" s="310"/>
      <c r="O507" s="27"/>
    </row>
    <row r="508">
      <c r="H508" s="310"/>
      <c r="O508" s="27"/>
    </row>
    <row r="509">
      <c r="H509" s="310"/>
      <c r="O509" s="27"/>
    </row>
    <row r="510">
      <c r="H510" s="310"/>
      <c r="O510" s="27"/>
    </row>
    <row r="511">
      <c r="H511" s="310"/>
      <c r="O511" s="27"/>
    </row>
    <row r="512">
      <c r="H512" s="310"/>
      <c r="O512" s="27"/>
    </row>
    <row r="513">
      <c r="H513" s="310"/>
      <c r="O513" s="27"/>
    </row>
    <row r="514">
      <c r="H514" s="310"/>
      <c r="O514" s="27"/>
    </row>
    <row r="515">
      <c r="H515" s="310"/>
      <c r="O515" s="27"/>
    </row>
    <row r="516">
      <c r="H516" s="310"/>
      <c r="O516" s="27"/>
    </row>
    <row r="517">
      <c r="H517" s="310"/>
      <c r="O517" s="27"/>
    </row>
    <row r="518">
      <c r="H518" s="310"/>
      <c r="O518" s="27"/>
    </row>
    <row r="519">
      <c r="H519" s="310"/>
      <c r="O519" s="27"/>
    </row>
    <row r="520">
      <c r="H520" s="310"/>
      <c r="O520" s="27"/>
    </row>
    <row r="521">
      <c r="H521" s="310"/>
      <c r="O521" s="27"/>
    </row>
    <row r="522">
      <c r="H522" s="310"/>
      <c r="O522" s="27"/>
    </row>
    <row r="523">
      <c r="H523" s="310"/>
      <c r="O523" s="27"/>
    </row>
    <row r="524">
      <c r="H524" s="310"/>
      <c r="O524" s="27"/>
    </row>
    <row r="525">
      <c r="H525" s="310"/>
      <c r="O525" s="27"/>
    </row>
    <row r="526">
      <c r="H526" s="310"/>
      <c r="O526" s="27"/>
    </row>
    <row r="527">
      <c r="H527" s="310"/>
      <c r="O527" s="27"/>
    </row>
    <row r="528">
      <c r="H528" s="310"/>
      <c r="O528" s="27"/>
    </row>
    <row r="529">
      <c r="H529" s="310"/>
      <c r="O529" s="27"/>
    </row>
    <row r="530">
      <c r="H530" s="310"/>
      <c r="O530" s="27"/>
    </row>
    <row r="531">
      <c r="H531" s="310"/>
      <c r="O531" s="27"/>
    </row>
    <row r="532">
      <c r="H532" s="310"/>
      <c r="O532" s="27"/>
    </row>
    <row r="533">
      <c r="H533" s="310"/>
      <c r="O533" s="27"/>
    </row>
    <row r="534">
      <c r="H534" s="310"/>
      <c r="O534" s="27"/>
    </row>
    <row r="535">
      <c r="H535" s="310"/>
      <c r="O535" s="27"/>
    </row>
    <row r="536">
      <c r="H536" s="310"/>
      <c r="O536" s="27"/>
    </row>
    <row r="537">
      <c r="H537" s="310"/>
      <c r="O537" s="27"/>
    </row>
    <row r="538">
      <c r="H538" s="310"/>
      <c r="O538" s="27"/>
    </row>
    <row r="539">
      <c r="H539" s="310"/>
      <c r="O539" s="27"/>
    </row>
    <row r="540">
      <c r="H540" s="310"/>
      <c r="O540" s="27"/>
    </row>
    <row r="541">
      <c r="H541" s="310"/>
      <c r="O541" s="27"/>
    </row>
    <row r="542">
      <c r="H542" s="310"/>
      <c r="O542" s="27"/>
    </row>
    <row r="543">
      <c r="H543" s="310"/>
      <c r="O543" s="27"/>
    </row>
    <row r="544">
      <c r="H544" s="310"/>
      <c r="O544" s="27"/>
    </row>
    <row r="545">
      <c r="H545" s="310"/>
      <c r="O545" s="27"/>
    </row>
    <row r="546">
      <c r="H546" s="310"/>
      <c r="O546" s="27"/>
    </row>
    <row r="547">
      <c r="H547" s="310"/>
      <c r="O547" s="27"/>
    </row>
    <row r="548">
      <c r="H548" s="310"/>
      <c r="O548" s="27"/>
    </row>
    <row r="549">
      <c r="H549" s="310"/>
      <c r="O549" s="27"/>
    </row>
    <row r="550">
      <c r="H550" s="310"/>
      <c r="O550" s="27"/>
    </row>
    <row r="551">
      <c r="H551" s="310"/>
      <c r="O551" s="27"/>
    </row>
    <row r="552">
      <c r="H552" s="310"/>
      <c r="O552" s="27"/>
    </row>
    <row r="553">
      <c r="H553" s="310"/>
      <c r="O553" s="27"/>
    </row>
    <row r="554">
      <c r="H554" s="310"/>
      <c r="O554" s="27"/>
    </row>
    <row r="555">
      <c r="H555" s="310"/>
      <c r="O555" s="27"/>
    </row>
    <row r="556">
      <c r="H556" s="310"/>
      <c r="O556" s="27"/>
    </row>
    <row r="557">
      <c r="H557" s="310"/>
      <c r="O557" s="27"/>
    </row>
    <row r="558">
      <c r="H558" s="310"/>
      <c r="O558" s="27"/>
    </row>
    <row r="559">
      <c r="H559" s="310"/>
      <c r="O559" s="27"/>
    </row>
    <row r="560">
      <c r="H560" s="310"/>
      <c r="O560" s="27"/>
    </row>
    <row r="561">
      <c r="H561" s="310"/>
      <c r="O561" s="27"/>
    </row>
    <row r="562">
      <c r="H562" s="310"/>
      <c r="O562" s="27"/>
    </row>
    <row r="563">
      <c r="H563" s="310"/>
      <c r="O563" s="27"/>
    </row>
    <row r="564">
      <c r="H564" s="310"/>
      <c r="O564" s="27"/>
    </row>
    <row r="565">
      <c r="H565" s="310"/>
      <c r="O565" s="27"/>
    </row>
    <row r="566">
      <c r="H566" s="310"/>
      <c r="O566" s="27"/>
    </row>
    <row r="567">
      <c r="H567" s="310"/>
      <c r="O567" s="27"/>
    </row>
    <row r="568">
      <c r="H568" s="310"/>
      <c r="O568" s="27"/>
    </row>
    <row r="569">
      <c r="H569" s="310"/>
      <c r="O569" s="27"/>
    </row>
    <row r="570">
      <c r="H570" s="310"/>
      <c r="O570" s="27"/>
    </row>
    <row r="571">
      <c r="H571" s="310"/>
      <c r="O571" s="27"/>
    </row>
    <row r="572">
      <c r="H572" s="310"/>
      <c r="O572" s="27"/>
    </row>
    <row r="573">
      <c r="H573" s="310"/>
      <c r="O573" s="27"/>
    </row>
    <row r="574">
      <c r="H574" s="310"/>
      <c r="O574" s="27"/>
    </row>
    <row r="575">
      <c r="H575" s="310"/>
      <c r="O575" s="27"/>
    </row>
    <row r="576">
      <c r="H576" s="310"/>
      <c r="O576" s="27"/>
    </row>
    <row r="577">
      <c r="H577" s="310"/>
      <c r="O577" s="27"/>
    </row>
    <row r="578">
      <c r="H578" s="310"/>
      <c r="O578" s="27"/>
    </row>
    <row r="579">
      <c r="H579" s="310"/>
      <c r="O579" s="27"/>
    </row>
    <row r="580">
      <c r="H580" s="310"/>
      <c r="O580" s="27"/>
    </row>
    <row r="581">
      <c r="H581" s="310"/>
      <c r="O581" s="27"/>
    </row>
    <row r="582">
      <c r="H582" s="310"/>
      <c r="O582" s="27"/>
    </row>
    <row r="583">
      <c r="H583" s="310"/>
      <c r="O583" s="27"/>
    </row>
    <row r="584">
      <c r="H584" s="310"/>
      <c r="O584" s="27"/>
    </row>
    <row r="585">
      <c r="H585" s="310"/>
      <c r="O585" s="27"/>
    </row>
    <row r="586">
      <c r="H586" s="310"/>
      <c r="O586" s="27"/>
    </row>
    <row r="587">
      <c r="H587" s="310"/>
      <c r="O587" s="27"/>
    </row>
    <row r="588">
      <c r="H588" s="310"/>
      <c r="O588" s="27"/>
    </row>
    <row r="589">
      <c r="H589" s="310"/>
      <c r="O589" s="27"/>
    </row>
    <row r="590">
      <c r="H590" s="310"/>
      <c r="O590" s="27"/>
    </row>
    <row r="591">
      <c r="H591" s="310"/>
      <c r="O591" s="27"/>
    </row>
    <row r="592">
      <c r="H592" s="310"/>
      <c r="O592" s="27"/>
    </row>
    <row r="593">
      <c r="H593" s="310"/>
      <c r="O593" s="27"/>
    </row>
    <row r="594">
      <c r="H594" s="310"/>
      <c r="O594" s="27"/>
    </row>
    <row r="595">
      <c r="H595" s="310"/>
      <c r="O595" s="27"/>
    </row>
    <row r="596">
      <c r="H596" s="310"/>
      <c r="O596" s="27"/>
    </row>
    <row r="597">
      <c r="H597" s="310"/>
      <c r="O597" s="27"/>
    </row>
    <row r="598">
      <c r="H598" s="310"/>
      <c r="O598" s="27"/>
    </row>
    <row r="599">
      <c r="H599" s="310"/>
      <c r="O599" s="27"/>
    </row>
    <row r="600">
      <c r="H600" s="310"/>
      <c r="O600" s="27"/>
    </row>
    <row r="601">
      <c r="H601" s="310"/>
      <c r="O601" s="27"/>
    </row>
    <row r="602">
      <c r="H602" s="310"/>
      <c r="O602" s="27"/>
    </row>
    <row r="603">
      <c r="H603" s="310"/>
      <c r="O603" s="27"/>
    </row>
    <row r="604">
      <c r="H604" s="310"/>
      <c r="O604" s="27"/>
    </row>
    <row r="605">
      <c r="H605" s="310"/>
      <c r="O605" s="27"/>
    </row>
    <row r="606">
      <c r="H606" s="310"/>
      <c r="O606" s="27"/>
    </row>
    <row r="607">
      <c r="H607" s="310"/>
      <c r="O607" s="27"/>
    </row>
    <row r="608">
      <c r="H608" s="310"/>
      <c r="O608" s="27"/>
    </row>
    <row r="609">
      <c r="H609" s="310"/>
      <c r="O609" s="27"/>
    </row>
    <row r="610">
      <c r="H610" s="310"/>
      <c r="O610" s="27"/>
    </row>
    <row r="611">
      <c r="H611" s="310"/>
      <c r="O611" s="27"/>
    </row>
    <row r="612">
      <c r="H612" s="310"/>
      <c r="O612" s="27"/>
    </row>
    <row r="613">
      <c r="H613" s="310"/>
      <c r="O613" s="27"/>
    </row>
    <row r="614">
      <c r="H614" s="310"/>
      <c r="O614" s="27"/>
    </row>
    <row r="615">
      <c r="H615" s="310"/>
      <c r="O615" s="27"/>
    </row>
    <row r="616">
      <c r="H616" s="310"/>
      <c r="O616" s="27"/>
    </row>
    <row r="617">
      <c r="H617" s="310"/>
      <c r="O617" s="27"/>
    </row>
    <row r="618">
      <c r="H618" s="310"/>
      <c r="O618" s="27"/>
    </row>
    <row r="619">
      <c r="H619" s="310"/>
      <c r="O619" s="27"/>
    </row>
    <row r="620">
      <c r="H620" s="310"/>
      <c r="O620" s="27"/>
    </row>
    <row r="621">
      <c r="H621" s="310"/>
      <c r="O621" s="27"/>
    </row>
    <row r="622">
      <c r="H622" s="310"/>
      <c r="O622" s="27"/>
    </row>
    <row r="623">
      <c r="H623" s="310"/>
      <c r="O623" s="27"/>
    </row>
    <row r="624">
      <c r="H624" s="310"/>
      <c r="O624" s="27"/>
    </row>
    <row r="625">
      <c r="H625" s="310"/>
      <c r="O625" s="27"/>
    </row>
    <row r="626">
      <c r="H626" s="310"/>
      <c r="O626" s="27"/>
    </row>
    <row r="627">
      <c r="H627" s="310"/>
      <c r="O627" s="27"/>
    </row>
    <row r="628">
      <c r="H628" s="310"/>
      <c r="O628" s="27"/>
    </row>
    <row r="629">
      <c r="H629" s="310"/>
      <c r="O629" s="27"/>
    </row>
    <row r="630">
      <c r="H630" s="310"/>
      <c r="O630" s="27"/>
    </row>
    <row r="631">
      <c r="H631" s="310"/>
      <c r="O631" s="27"/>
    </row>
    <row r="632">
      <c r="H632" s="310"/>
      <c r="O632" s="27"/>
    </row>
    <row r="633">
      <c r="H633" s="310"/>
      <c r="O633" s="27"/>
    </row>
    <row r="634">
      <c r="H634" s="310"/>
      <c r="O634" s="27"/>
    </row>
    <row r="635">
      <c r="H635" s="310"/>
      <c r="O635" s="27"/>
    </row>
    <row r="636">
      <c r="H636" s="310"/>
      <c r="O636" s="27"/>
    </row>
    <row r="637">
      <c r="H637" s="310"/>
      <c r="O637" s="27"/>
    </row>
    <row r="638">
      <c r="H638" s="310"/>
      <c r="O638" s="27"/>
    </row>
    <row r="639">
      <c r="H639" s="310"/>
      <c r="O639" s="27"/>
    </row>
    <row r="640">
      <c r="H640" s="310"/>
      <c r="O640" s="27"/>
    </row>
    <row r="641">
      <c r="H641" s="310"/>
      <c r="O641" s="27"/>
    </row>
    <row r="642">
      <c r="H642" s="310"/>
      <c r="O642" s="27"/>
    </row>
    <row r="643">
      <c r="H643" s="310"/>
      <c r="O643" s="27"/>
    </row>
    <row r="644">
      <c r="H644" s="310"/>
      <c r="O644" s="27"/>
    </row>
    <row r="645">
      <c r="H645" s="310"/>
      <c r="O645" s="27"/>
    </row>
    <row r="646">
      <c r="H646" s="310"/>
      <c r="O646" s="27"/>
    </row>
    <row r="647">
      <c r="H647" s="310"/>
      <c r="O647" s="27"/>
    </row>
    <row r="648">
      <c r="H648" s="310"/>
      <c r="O648" s="27"/>
    </row>
    <row r="649">
      <c r="H649" s="310"/>
      <c r="O649" s="27"/>
    </row>
    <row r="650">
      <c r="H650" s="310"/>
      <c r="O650" s="27"/>
    </row>
    <row r="651">
      <c r="H651" s="310"/>
      <c r="O651" s="27"/>
    </row>
    <row r="652">
      <c r="H652" s="310"/>
      <c r="O652" s="27"/>
    </row>
    <row r="653">
      <c r="H653" s="310"/>
      <c r="O653" s="27"/>
    </row>
    <row r="654">
      <c r="H654" s="310"/>
      <c r="O654" s="27"/>
    </row>
    <row r="655">
      <c r="H655" s="310"/>
      <c r="O655" s="27"/>
    </row>
    <row r="656">
      <c r="H656" s="310"/>
      <c r="O656" s="27"/>
    </row>
    <row r="657">
      <c r="H657" s="310"/>
      <c r="O657" s="27"/>
    </row>
    <row r="658">
      <c r="H658" s="310"/>
      <c r="O658" s="27"/>
    </row>
    <row r="659">
      <c r="H659" s="310"/>
      <c r="O659" s="27"/>
    </row>
    <row r="660">
      <c r="H660" s="310"/>
      <c r="O660" s="27"/>
    </row>
    <row r="661">
      <c r="H661" s="310"/>
      <c r="O661" s="27"/>
    </row>
    <row r="662">
      <c r="H662" s="310"/>
      <c r="O662" s="27"/>
    </row>
    <row r="663">
      <c r="H663" s="310"/>
      <c r="O663" s="27"/>
    </row>
    <row r="664">
      <c r="H664" s="310"/>
      <c r="O664" s="27"/>
    </row>
    <row r="665">
      <c r="H665" s="310"/>
      <c r="O665" s="27"/>
    </row>
    <row r="666">
      <c r="H666" s="310"/>
      <c r="O666" s="27"/>
    </row>
    <row r="667">
      <c r="H667" s="310"/>
      <c r="O667" s="27"/>
    </row>
    <row r="668">
      <c r="H668" s="310"/>
      <c r="O668" s="27"/>
    </row>
    <row r="669">
      <c r="H669" s="310"/>
      <c r="O669" s="27"/>
    </row>
    <row r="670">
      <c r="H670" s="310"/>
      <c r="O670" s="27"/>
    </row>
    <row r="671">
      <c r="H671" s="310"/>
      <c r="O671" s="27"/>
    </row>
    <row r="672">
      <c r="H672" s="310"/>
      <c r="O672" s="27"/>
    </row>
    <row r="673">
      <c r="H673" s="310"/>
      <c r="O673" s="27"/>
    </row>
    <row r="674">
      <c r="H674" s="310"/>
      <c r="O674" s="27"/>
    </row>
    <row r="675">
      <c r="H675" s="310"/>
      <c r="O675" s="27"/>
    </row>
    <row r="676">
      <c r="H676" s="310"/>
      <c r="O676" s="27"/>
    </row>
    <row r="677">
      <c r="H677" s="310"/>
      <c r="O677" s="27"/>
    </row>
    <row r="678">
      <c r="H678" s="310"/>
      <c r="O678" s="27"/>
    </row>
    <row r="679">
      <c r="H679" s="310"/>
      <c r="O679" s="27"/>
    </row>
    <row r="680">
      <c r="H680" s="310"/>
      <c r="O680" s="27"/>
    </row>
    <row r="681">
      <c r="H681" s="310"/>
      <c r="O681" s="27"/>
    </row>
    <row r="682">
      <c r="H682" s="310"/>
      <c r="O682" s="27"/>
    </row>
    <row r="683">
      <c r="H683" s="310"/>
      <c r="O683" s="27"/>
    </row>
    <row r="684">
      <c r="H684" s="310"/>
      <c r="O684" s="27"/>
    </row>
    <row r="685">
      <c r="H685" s="310"/>
      <c r="O685" s="27"/>
    </row>
    <row r="686">
      <c r="H686" s="310"/>
      <c r="O686" s="27"/>
    </row>
    <row r="687">
      <c r="H687" s="310"/>
      <c r="O687" s="27"/>
    </row>
    <row r="688">
      <c r="H688" s="310"/>
      <c r="O688" s="27"/>
    </row>
    <row r="689">
      <c r="H689" s="310"/>
      <c r="O689" s="27"/>
    </row>
    <row r="690">
      <c r="H690" s="310"/>
      <c r="O690" s="27"/>
    </row>
    <row r="691">
      <c r="H691" s="310"/>
      <c r="O691" s="27"/>
    </row>
    <row r="692">
      <c r="H692" s="310"/>
      <c r="O692" s="27"/>
    </row>
    <row r="693">
      <c r="H693" s="310"/>
      <c r="O693" s="27"/>
    </row>
    <row r="694">
      <c r="H694" s="310"/>
      <c r="O694" s="27"/>
    </row>
    <row r="695">
      <c r="H695" s="310"/>
      <c r="O695" s="27"/>
    </row>
    <row r="696">
      <c r="H696" s="310"/>
      <c r="O696" s="27"/>
    </row>
    <row r="697">
      <c r="H697" s="310"/>
      <c r="O697" s="27"/>
    </row>
    <row r="698">
      <c r="H698" s="310"/>
      <c r="O698" s="27"/>
    </row>
    <row r="699">
      <c r="H699" s="310"/>
      <c r="O699" s="27"/>
    </row>
    <row r="700">
      <c r="H700" s="310"/>
      <c r="O700" s="27"/>
    </row>
    <row r="701">
      <c r="H701" s="310"/>
      <c r="O701" s="27"/>
    </row>
    <row r="702">
      <c r="H702" s="310"/>
      <c r="O702" s="27"/>
    </row>
    <row r="703">
      <c r="H703" s="310"/>
      <c r="O703" s="27"/>
    </row>
    <row r="704">
      <c r="H704" s="310"/>
      <c r="O704" s="27"/>
    </row>
    <row r="705">
      <c r="H705" s="310"/>
      <c r="O705" s="27"/>
    </row>
    <row r="706">
      <c r="H706" s="310"/>
      <c r="O706" s="27"/>
    </row>
    <row r="707">
      <c r="H707" s="310"/>
      <c r="O707" s="27"/>
    </row>
    <row r="708">
      <c r="H708" s="310"/>
      <c r="O708" s="27"/>
    </row>
    <row r="709">
      <c r="H709" s="310"/>
      <c r="O709" s="27"/>
    </row>
    <row r="710">
      <c r="H710" s="310"/>
      <c r="O710" s="27"/>
    </row>
    <row r="711">
      <c r="H711" s="310"/>
      <c r="O711" s="27"/>
    </row>
    <row r="712">
      <c r="H712" s="310"/>
      <c r="O712" s="27"/>
    </row>
    <row r="713">
      <c r="H713" s="310"/>
      <c r="O713" s="27"/>
    </row>
    <row r="714">
      <c r="H714" s="310"/>
      <c r="O714" s="27"/>
    </row>
    <row r="715">
      <c r="H715" s="310"/>
      <c r="O715" s="27"/>
    </row>
    <row r="716">
      <c r="H716" s="310"/>
      <c r="O716" s="27"/>
    </row>
    <row r="717">
      <c r="H717" s="310"/>
      <c r="O717" s="27"/>
    </row>
    <row r="718">
      <c r="H718" s="310"/>
      <c r="O718" s="27"/>
    </row>
    <row r="719">
      <c r="H719" s="310"/>
      <c r="O719" s="27"/>
    </row>
    <row r="720">
      <c r="H720" s="310"/>
      <c r="O720" s="27"/>
    </row>
    <row r="721">
      <c r="H721" s="310"/>
      <c r="O721" s="27"/>
    </row>
    <row r="722">
      <c r="H722" s="310"/>
      <c r="O722" s="27"/>
    </row>
    <row r="723">
      <c r="H723" s="310"/>
      <c r="O723" s="27"/>
    </row>
    <row r="724">
      <c r="H724" s="310"/>
      <c r="O724" s="27"/>
    </row>
    <row r="725">
      <c r="H725" s="310"/>
      <c r="O725" s="27"/>
    </row>
    <row r="726">
      <c r="H726" s="310"/>
      <c r="O726" s="27"/>
    </row>
    <row r="727">
      <c r="H727" s="310"/>
      <c r="O727" s="27"/>
    </row>
    <row r="728">
      <c r="H728" s="310"/>
      <c r="O728" s="27"/>
    </row>
    <row r="729">
      <c r="H729" s="310"/>
      <c r="O729" s="27"/>
    </row>
    <row r="730">
      <c r="H730" s="310"/>
      <c r="O730" s="27"/>
    </row>
    <row r="731">
      <c r="H731" s="310"/>
      <c r="O731" s="27"/>
    </row>
    <row r="732">
      <c r="H732" s="310"/>
      <c r="O732" s="27"/>
    </row>
    <row r="733">
      <c r="H733" s="310"/>
      <c r="O733" s="27"/>
    </row>
    <row r="734">
      <c r="H734" s="310"/>
      <c r="O734" s="27"/>
    </row>
    <row r="735">
      <c r="H735" s="310"/>
      <c r="O735" s="27"/>
    </row>
    <row r="736">
      <c r="H736" s="310"/>
      <c r="O736" s="27"/>
    </row>
    <row r="737">
      <c r="H737" s="310"/>
      <c r="O737" s="27"/>
    </row>
    <row r="738">
      <c r="H738" s="310"/>
      <c r="O738" s="27"/>
    </row>
    <row r="739">
      <c r="H739" s="310"/>
      <c r="O739" s="27"/>
    </row>
    <row r="740">
      <c r="H740" s="310"/>
      <c r="O740" s="27"/>
    </row>
    <row r="741">
      <c r="H741" s="310"/>
      <c r="O741" s="27"/>
    </row>
    <row r="742">
      <c r="H742" s="310"/>
      <c r="O742" s="27"/>
    </row>
    <row r="743">
      <c r="H743" s="310"/>
      <c r="O743" s="27"/>
    </row>
    <row r="744">
      <c r="H744" s="310"/>
      <c r="O744" s="27"/>
    </row>
    <row r="745">
      <c r="H745" s="310"/>
      <c r="O745" s="27"/>
    </row>
    <row r="746">
      <c r="H746" s="310"/>
      <c r="O746" s="27"/>
    </row>
    <row r="747">
      <c r="H747" s="310"/>
      <c r="O747" s="27"/>
    </row>
    <row r="748">
      <c r="H748" s="310"/>
      <c r="O748" s="27"/>
    </row>
    <row r="749">
      <c r="H749" s="310"/>
      <c r="O749" s="27"/>
    </row>
    <row r="750">
      <c r="H750" s="310"/>
      <c r="O750" s="27"/>
    </row>
    <row r="751">
      <c r="H751" s="310"/>
      <c r="O751" s="27"/>
    </row>
    <row r="752">
      <c r="H752" s="310"/>
      <c r="O752" s="27"/>
    </row>
    <row r="753">
      <c r="H753" s="310"/>
      <c r="O753" s="27"/>
    </row>
    <row r="754">
      <c r="H754" s="310"/>
      <c r="O754" s="27"/>
    </row>
    <row r="755">
      <c r="H755" s="310"/>
      <c r="O755" s="27"/>
    </row>
    <row r="756">
      <c r="H756" s="310"/>
      <c r="O756" s="27"/>
    </row>
    <row r="757">
      <c r="H757" s="310"/>
      <c r="O757" s="27"/>
    </row>
    <row r="758">
      <c r="H758" s="310"/>
      <c r="O758" s="27"/>
    </row>
    <row r="759">
      <c r="H759" s="310"/>
      <c r="O759" s="27"/>
    </row>
    <row r="760">
      <c r="H760" s="310"/>
      <c r="O760" s="27"/>
    </row>
    <row r="761">
      <c r="H761" s="310"/>
      <c r="O761" s="27"/>
    </row>
    <row r="762">
      <c r="H762" s="310"/>
      <c r="O762" s="27"/>
    </row>
    <row r="763">
      <c r="H763" s="310"/>
      <c r="O763" s="27"/>
    </row>
    <row r="764">
      <c r="H764" s="310"/>
      <c r="O764" s="27"/>
    </row>
    <row r="765">
      <c r="H765" s="310"/>
      <c r="O765" s="27"/>
    </row>
    <row r="766">
      <c r="H766" s="310"/>
      <c r="O766" s="27"/>
    </row>
    <row r="767">
      <c r="H767" s="310"/>
      <c r="O767" s="27"/>
    </row>
    <row r="768">
      <c r="H768" s="310"/>
      <c r="O768" s="27"/>
    </row>
    <row r="769">
      <c r="H769" s="310"/>
      <c r="O769" s="27"/>
    </row>
    <row r="770">
      <c r="H770" s="310"/>
      <c r="O770" s="27"/>
    </row>
    <row r="771">
      <c r="H771" s="310"/>
      <c r="O771" s="27"/>
    </row>
    <row r="772">
      <c r="H772" s="310"/>
      <c r="O772" s="27"/>
    </row>
    <row r="773">
      <c r="H773" s="310"/>
      <c r="O773" s="27"/>
    </row>
    <row r="774">
      <c r="H774" s="310"/>
      <c r="O774" s="27"/>
    </row>
    <row r="775">
      <c r="H775" s="310"/>
      <c r="O775" s="27"/>
    </row>
    <row r="776">
      <c r="H776" s="310"/>
      <c r="O776" s="27"/>
    </row>
    <row r="777">
      <c r="H777" s="310"/>
      <c r="O777" s="27"/>
    </row>
    <row r="778">
      <c r="H778" s="310"/>
      <c r="O778" s="27"/>
    </row>
    <row r="779">
      <c r="H779" s="310"/>
      <c r="O779" s="27"/>
    </row>
    <row r="780">
      <c r="H780" s="310"/>
      <c r="O780" s="27"/>
    </row>
    <row r="781">
      <c r="H781" s="310"/>
      <c r="O781" s="27"/>
    </row>
    <row r="782">
      <c r="H782" s="310"/>
      <c r="O782" s="27"/>
    </row>
    <row r="783">
      <c r="H783" s="310"/>
      <c r="O783" s="27"/>
    </row>
    <row r="784">
      <c r="H784" s="310"/>
      <c r="O784" s="27"/>
    </row>
    <row r="785">
      <c r="H785" s="310"/>
      <c r="O785" s="27"/>
    </row>
    <row r="786">
      <c r="H786" s="310"/>
      <c r="O786" s="27"/>
    </row>
    <row r="787">
      <c r="H787" s="310"/>
      <c r="O787" s="27"/>
    </row>
    <row r="788">
      <c r="H788" s="310"/>
      <c r="O788" s="27"/>
    </row>
    <row r="789">
      <c r="H789" s="310"/>
      <c r="O789" s="27"/>
    </row>
    <row r="790">
      <c r="H790" s="310"/>
      <c r="O790" s="27"/>
    </row>
    <row r="791">
      <c r="H791" s="310"/>
      <c r="O791" s="27"/>
    </row>
    <row r="792">
      <c r="H792" s="310"/>
      <c r="O792" s="27"/>
    </row>
    <row r="793">
      <c r="H793" s="310"/>
      <c r="O793" s="27"/>
    </row>
    <row r="794">
      <c r="H794" s="310"/>
      <c r="O794" s="27"/>
    </row>
    <row r="795">
      <c r="H795" s="310"/>
      <c r="O795" s="27"/>
    </row>
    <row r="796">
      <c r="H796" s="310"/>
      <c r="O796" s="27"/>
    </row>
    <row r="797">
      <c r="H797" s="310"/>
      <c r="O797" s="27"/>
    </row>
    <row r="798">
      <c r="H798" s="310"/>
      <c r="O798" s="27"/>
    </row>
    <row r="799">
      <c r="H799" s="310"/>
      <c r="O799" s="27"/>
    </row>
    <row r="800">
      <c r="H800" s="310"/>
      <c r="O800" s="27"/>
    </row>
    <row r="801">
      <c r="H801" s="310"/>
      <c r="O801" s="27"/>
    </row>
    <row r="802">
      <c r="H802" s="310"/>
      <c r="O802" s="27"/>
    </row>
    <row r="803">
      <c r="H803" s="310"/>
      <c r="O803" s="27"/>
    </row>
    <row r="804">
      <c r="H804" s="310"/>
      <c r="O804" s="27"/>
    </row>
    <row r="805">
      <c r="H805" s="310"/>
      <c r="O805" s="27"/>
    </row>
    <row r="806">
      <c r="H806" s="310"/>
      <c r="O806" s="27"/>
    </row>
    <row r="807">
      <c r="H807" s="310"/>
      <c r="O807" s="27"/>
    </row>
    <row r="808">
      <c r="H808" s="310"/>
      <c r="O808" s="27"/>
    </row>
    <row r="809">
      <c r="H809" s="310"/>
      <c r="O809" s="27"/>
    </row>
    <row r="810">
      <c r="H810" s="310"/>
      <c r="O810" s="27"/>
    </row>
    <row r="811">
      <c r="H811" s="310"/>
      <c r="O811" s="27"/>
    </row>
    <row r="812">
      <c r="H812" s="310"/>
      <c r="O812" s="27"/>
    </row>
    <row r="813">
      <c r="H813" s="310"/>
      <c r="O813" s="27"/>
    </row>
    <row r="814">
      <c r="H814" s="310"/>
      <c r="O814" s="27"/>
    </row>
    <row r="815">
      <c r="H815" s="310"/>
      <c r="O815" s="27"/>
    </row>
    <row r="816">
      <c r="H816" s="310"/>
      <c r="O816" s="27"/>
    </row>
    <row r="817">
      <c r="H817" s="310"/>
      <c r="O817" s="27"/>
    </row>
    <row r="818">
      <c r="H818" s="310"/>
      <c r="O818" s="27"/>
    </row>
    <row r="819">
      <c r="H819" s="310"/>
      <c r="O819" s="27"/>
    </row>
    <row r="820">
      <c r="H820" s="310"/>
      <c r="O820" s="27"/>
    </row>
    <row r="821">
      <c r="H821" s="310"/>
      <c r="O821" s="27"/>
    </row>
    <row r="822">
      <c r="H822" s="310"/>
      <c r="O822" s="27"/>
    </row>
    <row r="823">
      <c r="H823" s="310"/>
      <c r="O823" s="27"/>
    </row>
    <row r="824">
      <c r="H824" s="310"/>
      <c r="O824" s="27"/>
    </row>
    <row r="825">
      <c r="H825" s="310"/>
      <c r="O825" s="27"/>
    </row>
    <row r="826">
      <c r="H826" s="310"/>
      <c r="O826" s="27"/>
    </row>
    <row r="827">
      <c r="H827" s="310"/>
      <c r="O827" s="27"/>
    </row>
    <row r="828">
      <c r="H828" s="310"/>
      <c r="O828" s="27"/>
    </row>
    <row r="829">
      <c r="H829" s="310"/>
      <c r="O829" s="27"/>
    </row>
    <row r="830">
      <c r="H830" s="310"/>
      <c r="O830" s="27"/>
    </row>
    <row r="831">
      <c r="H831" s="310"/>
      <c r="O831" s="27"/>
    </row>
    <row r="832">
      <c r="H832" s="310"/>
      <c r="O832" s="27"/>
    </row>
    <row r="833">
      <c r="H833" s="310"/>
      <c r="O833" s="27"/>
    </row>
    <row r="834">
      <c r="H834" s="310"/>
      <c r="O834" s="27"/>
    </row>
    <row r="835">
      <c r="H835" s="310"/>
      <c r="O835" s="27"/>
    </row>
    <row r="836">
      <c r="H836" s="310"/>
      <c r="O836" s="27"/>
    </row>
    <row r="837">
      <c r="H837" s="310"/>
      <c r="O837" s="27"/>
    </row>
    <row r="838">
      <c r="H838" s="310"/>
      <c r="O838" s="27"/>
    </row>
    <row r="839">
      <c r="H839" s="310"/>
      <c r="O839" s="27"/>
    </row>
    <row r="840">
      <c r="H840" s="310"/>
      <c r="O840" s="27"/>
    </row>
    <row r="841">
      <c r="H841" s="310"/>
      <c r="O841" s="27"/>
    </row>
    <row r="842">
      <c r="H842" s="310"/>
      <c r="O842" s="27"/>
    </row>
    <row r="843">
      <c r="H843" s="310"/>
      <c r="O843" s="27"/>
    </row>
    <row r="844">
      <c r="H844" s="310"/>
      <c r="O844" s="27"/>
    </row>
    <row r="845">
      <c r="H845" s="310"/>
      <c r="O845" s="27"/>
    </row>
    <row r="846">
      <c r="H846" s="310"/>
      <c r="O846" s="27"/>
    </row>
    <row r="847">
      <c r="H847" s="310"/>
      <c r="O847" s="27"/>
    </row>
    <row r="848">
      <c r="H848" s="310"/>
      <c r="O848" s="27"/>
    </row>
    <row r="849">
      <c r="H849" s="310"/>
      <c r="O849" s="27"/>
    </row>
    <row r="850">
      <c r="H850" s="310"/>
      <c r="O850" s="27"/>
    </row>
    <row r="851">
      <c r="H851" s="310"/>
      <c r="O851" s="27"/>
    </row>
    <row r="852">
      <c r="H852" s="310"/>
      <c r="O852" s="27"/>
    </row>
    <row r="853">
      <c r="H853" s="310"/>
      <c r="O853" s="27"/>
    </row>
    <row r="854">
      <c r="H854" s="310"/>
      <c r="O854" s="27"/>
    </row>
    <row r="855">
      <c r="H855" s="310"/>
      <c r="O855" s="27"/>
    </row>
    <row r="856">
      <c r="H856" s="310"/>
      <c r="O856" s="27"/>
    </row>
    <row r="857">
      <c r="H857" s="310"/>
      <c r="O857" s="27"/>
    </row>
    <row r="858">
      <c r="H858" s="310"/>
      <c r="O858" s="27"/>
    </row>
    <row r="859">
      <c r="H859" s="310"/>
      <c r="O859" s="27"/>
    </row>
    <row r="860">
      <c r="H860" s="310"/>
      <c r="O860" s="27"/>
    </row>
    <row r="861">
      <c r="H861" s="310"/>
      <c r="O861" s="27"/>
    </row>
    <row r="862">
      <c r="H862" s="310"/>
      <c r="O862" s="27"/>
    </row>
    <row r="863">
      <c r="H863" s="310"/>
      <c r="O863" s="27"/>
    </row>
    <row r="864">
      <c r="H864" s="310"/>
      <c r="O864" s="27"/>
    </row>
    <row r="865">
      <c r="H865" s="310"/>
      <c r="O865" s="27"/>
    </row>
    <row r="866">
      <c r="H866" s="310"/>
      <c r="O866" s="27"/>
    </row>
    <row r="867">
      <c r="H867" s="310"/>
      <c r="O867" s="27"/>
    </row>
    <row r="868">
      <c r="H868" s="310"/>
      <c r="O868" s="27"/>
    </row>
    <row r="869">
      <c r="H869" s="310"/>
      <c r="O869" s="27"/>
    </row>
    <row r="870">
      <c r="H870" s="310"/>
      <c r="O870" s="27"/>
    </row>
    <row r="871">
      <c r="H871" s="310"/>
      <c r="O871" s="27"/>
    </row>
    <row r="872">
      <c r="H872" s="310"/>
      <c r="O872" s="27"/>
    </row>
    <row r="873">
      <c r="H873" s="310"/>
      <c r="O873" s="27"/>
    </row>
    <row r="874">
      <c r="H874" s="310"/>
      <c r="O874" s="27"/>
    </row>
    <row r="875">
      <c r="H875" s="310"/>
      <c r="O875" s="27"/>
    </row>
    <row r="876">
      <c r="H876" s="310"/>
      <c r="O876" s="27"/>
    </row>
    <row r="877">
      <c r="H877" s="310"/>
      <c r="O877" s="27"/>
    </row>
    <row r="878">
      <c r="H878" s="310"/>
      <c r="O878" s="27"/>
    </row>
    <row r="879">
      <c r="H879" s="310"/>
      <c r="O879" s="27"/>
    </row>
    <row r="880">
      <c r="H880" s="310"/>
      <c r="O880" s="27"/>
    </row>
    <row r="881">
      <c r="H881" s="310"/>
      <c r="O881" s="27"/>
    </row>
    <row r="882">
      <c r="H882" s="310"/>
      <c r="O882" s="27"/>
    </row>
    <row r="883">
      <c r="H883" s="310"/>
      <c r="O883" s="27"/>
    </row>
    <row r="884">
      <c r="H884" s="310"/>
      <c r="O884" s="27"/>
    </row>
    <row r="885">
      <c r="H885" s="310"/>
      <c r="O885" s="27"/>
    </row>
    <row r="886">
      <c r="H886" s="310"/>
      <c r="O886" s="27"/>
    </row>
    <row r="887">
      <c r="H887" s="310"/>
      <c r="O887" s="27"/>
    </row>
    <row r="888">
      <c r="H888" s="310"/>
      <c r="O888" s="27"/>
    </row>
    <row r="889">
      <c r="H889" s="310"/>
      <c r="O889" s="27"/>
    </row>
    <row r="890">
      <c r="H890" s="310"/>
      <c r="O890" s="27"/>
    </row>
    <row r="891">
      <c r="H891" s="310"/>
      <c r="O891" s="27"/>
    </row>
    <row r="892">
      <c r="H892" s="310"/>
      <c r="O892" s="27"/>
    </row>
    <row r="893">
      <c r="H893" s="310"/>
      <c r="O893" s="27"/>
    </row>
    <row r="894">
      <c r="H894" s="310"/>
      <c r="O894" s="27"/>
    </row>
    <row r="895">
      <c r="H895" s="310"/>
      <c r="O895" s="27"/>
    </row>
    <row r="896">
      <c r="H896" s="310"/>
      <c r="O896" s="27"/>
    </row>
    <row r="897">
      <c r="H897" s="310"/>
      <c r="O897" s="27"/>
    </row>
    <row r="898">
      <c r="H898" s="310"/>
      <c r="O898" s="27"/>
    </row>
    <row r="899">
      <c r="H899" s="310"/>
      <c r="O899" s="27"/>
    </row>
    <row r="900">
      <c r="H900" s="310"/>
      <c r="O900" s="27"/>
    </row>
    <row r="901">
      <c r="H901" s="310"/>
      <c r="O901" s="27"/>
    </row>
    <row r="902">
      <c r="H902" s="310"/>
      <c r="O902" s="27"/>
    </row>
    <row r="903">
      <c r="H903" s="310"/>
      <c r="O903" s="27"/>
    </row>
    <row r="904">
      <c r="H904" s="310"/>
      <c r="O904" s="27"/>
    </row>
    <row r="905">
      <c r="H905" s="310"/>
      <c r="O905" s="27"/>
    </row>
    <row r="906">
      <c r="H906" s="310"/>
      <c r="O906" s="27"/>
    </row>
    <row r="907">
      <c r="H907" s="310"/>
      <c r="O907" s="27"/>
    </row>
    <row r="908">
      <c r="H908" s="310"/>
      <c r="O908" s="27"/>
    </row>
    <row r="909">
      <c r="H909" s="310"/>
      <c r="O909" s="27"/>
    </row>
    <row r="910">
      <c r="H910" s="310"/>
      <c r="O910" s="27"/>
    </row>
    <row r="911">
      <c r="H911" s="310"/>
      <c r="O911" s="27"/>
    </row>
    <row r="912">
      <c r="H912" s="310"/>
      <c r="O912" s="27"/>
    </row>
    <row r="913">
      <c r="H913" s="310"/>
      <c r="O913" s="27"/>
    </row>
    <row r="914">
      <c r="H914" s="310"/>
      <c r="O914" s="27"/>
    </row>
    <row r="915">
      <c r="H915" s="310"/>
      <c r="O915" s="27"/>
    </row>
    <row r="916">
      <c r="H916" s="310"/>
      <c r="O916" s="27"/>
    </row>
    <row r="917">
      <c r="H917" s="310"/>
      <c r="O917" s="27"/>
    </row>
    <row r="918">
      <c r="H918" s="310"/>
      <c r="O918" s="27"/>
    </row>
    <row r="919">
      <c r="H919" s="310"/>
      <c r="O919" s="27"/>
    </row>
    <row r="920">
      <c r="H920" s="310"/>
      <c r="O920" s="27"/>
    </row>
    <row r="921">
      <c r="H921" s="310"/>
      <c r="O921" s="27"/>
    </row>
    <row r="922">
      <c r="H922" s="310"/>
      <c r="O922" s="27"/>
    </row>
    <row r="923">
      <c r="H923" s="310"/>
      <c r="O923" s="27"/>
    </row>
    <row r="924">
      <c r="H924" s="310"/>
      <c r="O924" s="27"/>
    </row>
    <row r="925">
      <c r="H925" s="310"/>
      <c r="O925" s="27"/>
    </row>
    <row r="926">
      <c r="H926" s="310"/>
      <c r="O926" s="27"/>
    </row>
    <row r="927">
      <c r="H927" s="310"/>
      <c r="O927" s="27"/>
    </row>
    <row r="928">
      <c r="H928" s="310"/>
      <c r="O928" s="27"/>
    </row>
    <row r="929">
      <c r="H929" s="310"/>
      <c r="O929" s="27"/>
    </row>
    <row r="930">
      <c r="H930" s="310"/>
      <c r="O930" s="27"/>
    </row>
    <row r="931">
      <c r="H931" s="310"/>
      <c r="O931" s="27"/>
    </row>
    <row r="932">
      <c r="H932" s="310"/>
      <c r="O932" s="27"/>
    </row>
    <row r="933">
      <c r="H933" s="310"/>
      <c r="O933" s="27"/>
    </row>
    <row r="934">
      <c r="H934" s="310"/>
      <c r="O934" s="27"/>
    </row>
    <row r="935">
      <c r="H935" s="310"/>
      <c r="O935" s="27"/>
    </row>
    <row r="936">
      <c r="H936" s="310"/>
      <c r="O936" s="27"/>
    </row>
    <row r="937">
      <c r="H937" s="310"/>
      <c r="O937" s="27"/>
    </row>
    <row r="938">
      <c r="H938" s="310"/>
      <c r="O938" s="27"/>
    </row>
    <row r="939">
      <c r="H939" s="310"/>
      <c r="O939" s="27"/>
    </row>
    <row r="940">
      <c r="H940" s="310"/>
      <c r="O940" s="27"/>
    </row>
    <row r="941">
      <c r="H941" s="310"/>
      <c r="O941" s="27"/>
    </row>
    <row r="942">
      <c r="H942" s="310"/>
      <c r="O942" s="27"/>
    </row>
    <row r="943">
      <c r="H943" s="310"/>
      <c r="O943" s="27"/>
    </row>
    <row r="944">
      <c r="H944" s="310"/>
      <c r="O944" s="27"/>
    </row>
    <row r="945">
      <c r="H945" s="310"/>
      <c r="O945" s="27"/>
    </row>
    <row r="946">
      <c r="H946" s="310"/>
      <c r="O946" s="27"/>
    </row>
    <row r="947">
      <c r="H947" s="310"/>
      <c r="O947" s="27"/>
    </row>
    <row r="948">
      <c r="H948" s="310"/>
      <c r="O948" s="27"/>
    </row>
    <row r="949">
      <c r="H949" s="310"/>
      <c r="O949" s="27"/>
    </row>
    <row r="950">
      <c r="H950" s="310"/>
      <c r="O950" s="27"/>
    </row>
    <row r="951">
      <c r="H951" s="310"/>
      <c r="O951" s="27"/>
    </row>
    <row r="952">
      <c r="H952" s="310"/>
      <c r="O952" s="27"/>
    </row>
    <row r="953">
      <c r="H953" s="310"/>
      <c r="O953" s="27"/>
    </row>
    <row r="954">
      <c r="H954" s="310"/>
      <c r="O954" s="27"/>
    </row>
    <row r="955">
      <c r="H955" s="310"/>
      <c r="O955" s="27"/>
    </row>
    <row r="956">
      <c r="H956" s="310"/>
      <c r="O956" s="27"/>
    </row>
    <row r="957">
      <c r="H957" s="310"/>
      <c r="O957" s="27"/>
    </row>
    <row r="958">
      <c r="H958" s="310"/>
      <c r="O958" s="27"/>
    </row>
    <row r="959">
      <c r="H959" s="310"/>
      <c r="O959" s="27"/>
    </row>
    <row r="960">
      <c r="H960" s="310"/>
      <c r="O960" s="27"/>
    </row>
    <row r="961">
      <c r="H961" s="310"/>
      <c r="O961" s="27"/>
    </row>
    <row r="962">
      <c r="H962" s="310"/>
      <c r="O962" s="27"/>
    </row>
    <row r="963">
      <c r="H963" s="310"/>
      <c r="O963" s="27"/>
    </row>
    <row r="964">
      <c r="H964" s="310"/>
      <c r="O964" s="27"/>
    </row>
    <row r="965">
      <c r="H965" s="310"/>
      <c r="O965" s="27"/>
    </row>
    <row r="966">
      <c r="H966" s="310"/>
      <c r="O966" s="27"/>
    </row>
    <row r="967">
      <c r="H967" s="310"/>
      <c r="O967" s="27"/>
    </row>
    <row r="968">
      <c r="H968" s="310"/>
      <c r="O968" s="27"/>
    </row>
    <row r="969">
      <c r="H969" s="310"/>
      <c r="O969" s="27"/>
    </row>
    <row r="970">
      <c r="H970" s="310"/>
      <c r="O970" s="27"/>
    </row>
    <row r="971">
      <c r="H971" s="310"/>
      <c r="O971" s="27"/>
    </row>
    <row r="972">
      <c r="H972" s="310"/>
      <c r="O972" s="27"/>
    </row>
    <row r="973">
      <c r="H973" s="310"/>
      <c r="O973" s="27"/>
    </row>
    <row r="974">
      <c r="H974" s="310"/>
      <c r="O974" s="27"/>
    </row>
    <row r="975">
      <c r="H975" s="310"/>
      <c r="O975" s="27"/>
    </row>
    <row r="976">
      <c r="H976" s="310"/>
      <c r="O976" s="27"/>
    </row>
    <row r="977">
      <c r="H977" s="310"/>
      <c r="O977" s="27"/>
    </row>
    <row r="978">
      <c r="H978" s="310"/>
      <c r="O978" s="27"/>
    </row>
    <row r="979">
      <c r="H979" s="310"/>
      <c r="O979" s="27"/>
    </row>
    <row r="980">
      <c r="H980" s="310"/>
      <c r="O980" s="27"/>
    </row>
    <row r="981">
      <c r="H981" s="310"/>
      <c r="O981" s="27"/>
    </row>
    <row r="982">
      <c r="H982" s="310"/>
      <c r="O982" s="27"/>
    </row>
    <row r="983">
      <c r="H983" s="310"/>
      <c r="O983" s="27"/>
    </row>
    <row r="984">
      <c r="H984" s="310"/>
      <c r="O984" s="27"/>
    </row>
    <row r="985">
      <c r="H985" s="310"/>
      <c r="O985" s="27"/>
    </row>
    <row r="986">
      <c r="H986" s="310"/>
      <c r="O986" s="27"/>
    </row>
    <row r="987">
      <c r="H987" s="310"/>
      <c r="O987" s="27"/>
    </row>
    <row r="988">
      <c r="H988" s="310"/>
      <c r="O988" s="27"/>
    </row>
    <row r="989">
      <c r="H989" s="310"/>
      <c r="O989" s="27"/>
    </row>
    <row r="990">
      <c r="H990" s="310"/>
      <c r="O990" s="27"/>
    </row>
    <row r="991">
      <c r="H991" s="310"/>
      <c r="O991" s="27"/>
    </row>
    <row r="992">
      <c r="H992" s="310"/>
      <c r="O992" s="27"/>
    </row>
    <row r="993">
      <c r="H993" s="310"/>
      <c r="O993" s="27"/>
    </row>
    <row r="994">
      <c r="H994" s="310"/>
      <c r="O994" s="27"/>
    </row>
    <row r="995">
      <c r="H995" s="310"/>
      <c r="O995" s="27"/>
    </row>
    <row r="996">
      <c r="H996" s="310"/>
      <c r="O996" s="27"/>
    </row>
    <row r="997">
      <c r="H997" s="310"/>
      <c r="O997" s="27"/>
    </row>
    <row r="998">
      <c r="H998" s="310"/>
      <c r="O998" s="27"/>
    </row>
    <row r="999">
      <c r="H999" s="310"/>
      <c r="O999" s="27"/>
    </row>
    <row r="1000">
      <c r="H1000" s="310"/>
      <c r="O1000" s="27"/>
    </row>
    <row r="1001">
      <c r="H1001" s="310"/>
      <c r="O1001" s="27"/>
    </row>
  </sheetData>
  <conditionalFormatting sqref="D48:G48">
    <cfRule type="cellIs" dxfId="0" priority="1" operator="lessThan">
      <formula>0</formula>
    </cfRule>
  </conditionalFormatting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9.38"/>
    <col hidden="1" min="4" max="5" width="12.63"/>
    <col customWidth="1" hidden="1" min="6" max="6" width="14.63"/>
    <col customWidth="1" hidden="1" min="7" max="7" width="20.25"/>
    <col hidden="1" min="8" max="10" width="12.63"/>
    <col customWidth="1" min="15" max="15" width="20.63"/>
    <col customWidth="1" min="16" max="16" width="11.25"/>
    <col customWidth="1" min="17" max="17" width="9.25"/>
    <col customWidth="1" min="18" max="19" width="9.5"/>
  </cols>
  <sheetData>
    <row r="1">
      <c r="A1" s="18" t="s">
        <v>346</v>
      </c>
      <c r="B1" s="199" t="s">
        <v>296</v>
      </c>
      <c r="E1" s="27"/>
      <c r="F1" s="27"/>
      <c r="H1" s="310"/>
      <c r="O1" s="107"/>
    </row>
    <row r="2">
      <c r="B2" s="18" t="s">
        <v>240</v>
      </c>
      <c r="C2" s="249">
        <v>13.0</v>
      </c>
      <c r="E2" s="32"/>
      <c r="F2" s="27"/>
      <c r="H2" s="310"/>
      <c r="O2" s="27"/>
    </row>
    <row r="3">
      <c r="B3" s="18" t="s">
        <v>241</v>
      </c>
      <c r="C3" s="249">
        <v>48.0</v>
      </c>
      <c r="E3" s="32"/>
      <c r="F3" s="27"/>
      <c r="H3" s="310"/>
      <c r="O3" s="27"/>
    </row>
    <row r="4">
      <c r="B4" s="18" t="s">
        <v>242</v>
      </c>
      <c r="C4" s="249">
        <v>13.0</v>
      </c>
      <c r="H4" s="310"/>
      <c r="O4" s="27"/>
      <c r="P4" s="107"/>
      <c r="Q4" s="107"/>
      <c r="T4" s="17"/>
    </row>
    <row r="5">
      <c r="B5" s="18" t="s">
        <v>285</v>
      </c>
      <c r="C5" s="249">
        <v>42.0</v>
      </c>
      <c r="E5" s="249"/>
      <c r="F5" s="249"/>
      <c r="H5" s="310"/>
      <c r="O5" s="27"/>
      <c r="P5" s="107"/>
      <c r="Q5" s="107"/>
      <c r="T5" s="32"/>
    </row>
    <row r="6">
      <c r="B6" s="18" t="s">
        <v>324</v>
      </c>
      <c r="C6" s="249">
        <v>6.0</v>
      </c>
      <c r="E6" s="249"/>
      <c r="F6" s="249"/>
      <c r="H6" s="310"/>
      <c r="O6" s="301" t="s">
        <v>325</v>
      </c>
      <c r="P6" s="107"/>
      <c r="Q6" s="107"/>
      <c r="T6" s="30"/>
    </row>
    <row r="7">
      <c r="C7" s="276">
        <f>SUM(C2:C6)</f>
        <v>122</v>
      </c>
      <c r="E7" s="27"/>
      <c r="F7" s="27"/>
      <c r="H7" s="310"/>
      <c r="O7" s="302" t="s">
        <v>119</v>
      </c>
      <c r="P7" s="302" t="s">
        <v>120</v>
      </c>
      <c r="Q7" s="27"/>
    </row>
    <row r="8">
      <c r="E8" s="107"/>
      <c r="F8" s="107"/>
      <c r="H8" s="311"/>
      <c r="O8" s="7" t="s">
        <v>347</v>
      </c>
      <c r="P8" s="7" t="s">
        <v>348</v>
      </c>
      <c r="Q8" s="107"/>
    </row>
    <row r="9">
      <c r="B9" s="55" t="s">
        <v>122</v>
      </c>
      <c r="C9" s="56"/>
      <c r="D9" s="254" t="s">
        <v>125</v>
      </c>
      <c r="E9" s="254" t="s">
        <v>126</v>
      </c>
      <c r="F9" s="254" t="s">
        <v>127</v>
      </c>
      <c r="G9" s="254" t="s">
        <v>128</v>
      </c>
      <c r="H9" s="254" t="s">
        <v>129</v>
      </c>
      <c r="I9" s="254" t="s">
        <v>130</v>
      </c>
      <c r="J9" s="254" t="s">
        <v>131</v>
      </c>
      <c r="K9" s="254" t="s">
        <v>132</v>
      </c>
      <c r="L9" s="253" t="s">
        <v>133</v>
      </c>
      <c r="M9" s="254" t="s">
        <v>134</v>
      </c>
      <c r="O9" s="7" t="s">
        <v>328</v>
      </c>
      <c r="P9" s="7" t="s">
        <v>349</v>
      </c>
      <c r="Q9" s="107"/>
      <c r="S9" s="18"/>
      <c r="T9" s="18"/>
    </row>
    <row r="10">
      <c r="B10" s="59" t="s">
        <v>129</v>
      </c>
      <c r="C10" s="60"/>
      <c r="D10" s="61">
        <v>6625.0</v>
      </c>
      <c r="E10" s="61">
        <v>6675.0</v>
      </c>
      <c r="F10" s="113">
        <v>6675.0</v>
      </c>
      <c r="G10" s="113">
        <v>6675.0</v>
      </c>
      <c r="H10" s="113">
        <v>6675.0</v>
      </c>
      <c r="I10" s="113">
        <v>8324.69</v>
      </c>
      <c r="J10" s="113">
        <v>8171.69</v>
      </c>
      <c r="K10" s="113">
        <v>8324.69</v>
      </c>
      <c r="L10" s="113">
        <v>8324.69</v>
      </c>
      <c r="M10" s="113">
        <v>8324.69</v>
      </c>
      <c r="O10" s="7"/>
      <c r="P10" s="7" t="s">
        <v>192</v>
      </c>
      <c r="Q10" s="107"/>
      <c r="S10" s="18"/>
    </row>
    <row r="11">
      <c r="B11" s="59" t="s">
        <v>136</v>
      </c>
      <c r="C11" s="60"/>
      <c r="D11" s="62">
        <f>3191.15+385.96</f>
        <v>3577.11</v>
      </c>
      <c r="E11" s="62">
        <f>1290+98+1831.15+385.96</f>
        <v>3605.11</v>
      </c>
      <c r="F11" s="114">
        <f t="shared" ref="F11:G11" si="1">1290+3711.15+385.96</f>
        <v>5387.11</v>
      </c>
      <c r="G11" s="114">
        <f t="shared" si="1"/>
        <v>5387.11</v>
      </c>
      <c r="H11" s="114">
        <f>2040+3303.11-0.3</f>
        <v>5342.81</v>
      </c>
      <c r="I11" s="114">
        <f>2040+3367.11</f>
        <v>5407.11</v>
      </c>
      <c r="J11" s="114">
        <f>2040+3379.11</f>
        <v>5419.11</v>
      </c>
      <c r="K11" s="114">
        <f>2040+3356.11</f>
        <v>5396.11</v>
      </c>
      <c r="L11" s="114">
        <f t="shared" ref="L11:M11" si="2">2040+3379.11</f>
        <v>5419.11</v>
      </c>
      <c r="M11" s="114">
        <f t="shared" si="2"/>
        <v>5419.11</v>
      </c>
      <c r="O11" s="303"/>
      <c r="P11" s="107"/>
      <c r="Q11" s="27"/>
      <c r="S11" s="18"/>
    </row>
    <row r="12">
      <c r="B12" s="59" t="s">
        <v>137</v>
      </c>
      <c r="C12" s="60"/>
      <c r="D12" s="62">
        <v>3100.0</v>
      </c>
      <c r="E12" s="62"/>
      <c r="F12" s="114" t="s">
        <v>330</v>
      </c>
      <c r="G12" s="114"/>
      <c r="H12" s="313"/>
      <c r="I12" s="313"/>
      <c r="J12" s="313"/>
      <c r="K12" s="313"/>
      <c r="L12" s="313"/>
      <c r="M12" s="313"/>
      <c r="O12" s="363"/>
      <c r="P12" s="107"/>
      <c r="Q12" s="107"/>
      <c r="S12" s="18"/>
    </row>
    <row r="13">
      <c r="B13" s="59" t="s">
        <v>138</v>
      </c>
      <c r="C13" s="60"/>
      <c r="D13" s="62">
        <v>6215.07</v>
      </c>
      <c r="E13" s="258"/>
      <c r="F13" s="258"/>
      <c r="G13" s="66"/>
      <c r="H13" s="314"/>
      <c r="I13" s="314"/>
      <c r="J13" s="348"/>
      <c r="K13" s="348"/>
      <c r="L13" s="348"/>
      <c r="M13" s="348"/>
      <c r="O13" s="32"/>
      <c r="P13" s="107"/>
      <c r="Q13" s="107"/>
      <c r="S13" s="18"/>
    </row>
    <row r="14">
      <c r="B14" s="67" t="s">
        <v>139</v>
      </c>
      <c r="C14" s="68"/>
      <c r="D14" s="69">
        <f t="shared" ref="D14:M14" si="3">SUM(D10:D13)</f>
        <v>19517.18</v>
      </c>
      <c r="E14" s="69">
        <f t="shared" si="3"/>
        <v>10280.11</v>
      </c>
      <c r="F14" s="69">
        <f t="shared" si="3"/>
        <v>12062.11</v>
      </c>
      <c r="G14" s="69">
        <f t="shared" si="3"/>
        <v>12062.11</v>
      </c>
      <c r="H14" s="315">
        <f t="shared" si="3"/>
        <v>12017.81</v>
      </c>
      <c r="I14" s="315">
        <f t="shared" si="3"/>
        <v>13731.8</v>
      </c>
      <c r="J14" s="315">
        <f t="shared" si="3"/>
        <v>13590.8</v>
      </c>
      <c r="K14" s="315">
        <f t="shared" si="3"/>
        <v>13720.8</v>
      </c>
      <c r="L14" s="315">
        <f t="shared" si="3"/>
        <v>13743.8</v>
      </c>
      <c r="M14" s="315">
        <f t="shared" si="3"/>
        <v>13743.8</v>
      </c>
      <c r="O14" s="248"/>
      <c r="P14" s="107"/>
      <c r="Q14" s="107"/>
      <c r="S14" s="18"/>
      <c r="V14" s="107"/>
    </row>
    <row r="15">
      <c r="H15" s="311"/>
      <c r="I15" s="311"/>
      <c r="J15" s="311"/>
      <c r="K15" s="311"/>
      <c r="L15" s="311"/>
      <c r="M15" s="311"/>
      <c r="O15" s="32"/>
      <c r="P15" s="107"/>
      <c r="S15" s="18"/>
      <c r="V15" s="27"/>
    </row>
    <row r="16">
      <c r="B16" s="70" t="s">
        <v>140</v>
      </c>
      <c r="C16" s="71"/>
      <c r="D16" s="58" t="s">
        <v>126</v>
      </c>
      <c r="E16" s="58" t="s">
        <v>127</v>
      </c>
      <c r="F16" s="58" t="s">
        <v>128</v>
      </c>
      <c r="G16" s="58" t="s">
        <v>129</v>
      </c>
      <c r="H16" s="316" t="s">
        <v>130</v>
      </c>
      <c r="I16" s="316" t="s">
        <v>131</v>
      </c>
      <c r="J16" s="316" t="s">
        <v>132</v>
      </c>
      <c r="K16" s="316" t="s">
        <v>133</v>
      </c>
      <c r="L16" s="316" t="s">
        <v>134</v>
      </c>
      <c r="M16" s="316" t="s">
        <v>123</v>
      </c>
      <c r="O16" s="107"/>
      <c r="P16" s="26"/>
      <c r="Q16" s="107"/>
      <c r="S16" s="18"/>
    </row>
    <row r="17">
      <c r="B17" s="72" t="s">
        <v>141</v>
      </c>
      <c r="C17" s="73"/>
      <c r="D17" s="75">
        <v>325.7</v>
      </c>
      <c r="E17" s="75">
        <v>330.0</v>
      </c>
      <c r="F17" s="75">
        <v>355.4</v>
      </c>
      <c r="G17" s="317">
        <f>F17</f>
        <v>355.4</v>
      </c>
      <c r="H17" s="317">
        <v>350.0</v>
      </c>
      <c r="I17" s="349">
        <v>326.7</v>
      </c>
      <c r="J17" s="349">
        <v>307.6</v>
      </c>
      <c r="K17" s="349">
        <v>343.8</v>
      </c>
      <c r="L17" s="337">
        <v>350.0</v>
      </c>
      <c r="M17" s="349">
        <v>350.0</v>
      </c>
      <c r="O17" s="107" t="s">
        <v>331</v>
      </c>
      <c r="P17" s="192"/>
      <c r="S17" s="18"/>
    </row>
    <row r="18">
      <c r="B18" s="72" t="s">
        <v>142</v>
      </c>
      <c r="C18" s="73"/>
      <c r="D18" s="75">
        <v>185.9</v>
      </c>
      <c r="E18" s="75">
        <v>170.1</v>
      </c>
      <c r="F18" s="75">
        <v>171.7</v>
      </c>
      <c r="G18" s="75" t="s">
        <v>350</v>
      </c>
      <c r="H18" s="317">
        <v>200.0</v>
      </c>
      <c r="I18" s="349">
        <v>153.8</v>
      </c>
      <c r="J18" s="349">
        <v>172.1</v>
      </c>
      <c r="K18" s="349">
        <v>161.8</v>
      </c>
      <c r="L18" s="337">
        <v>200.0</v>
      </c>
      <c r="M18" s="349">
        <v>200.0</v>
      </c>
      <c r="O18" s="192"/>
      <c r="P18" s="26" t="s">
        <v>27</v>
      </c>
      <c r="Q18" s="26" t="s">
        <v>274</v>
      </c>
      <c r="R18" s="26" t="s">
        <v>351</v>
      </c>
      <c r="S18" s="26" t="s">
        <v>333</v>
      </c>
      <c r="T18" s="26" t="s">
        <v>3</v>
      </c>
    </row>
    <row r="19">
      <c r="B19" s="72" t="s">
        <v>143</v>
      </c>
      <c r="C19" s="73"/>
      <c r="D19" s="75">
        <v>165.0</v>
      </c>
      <c r="E19" s="75">
        <v>164.9</v>
      </c>
      <c r="F19" s="75">
        <v>164.9</v>
      </c>
      <c r="G19" s="75">
        <f>F19</f>
        <v>164.9</v>
      </c>
      <c r="H19" s="317">
        <v>174.88</v>
      </c>
      <c r="I19" s="317">
        <f>H19</f>
        <v>174.88</v>
      </c>
      <c r="J19" s="317">
        <f>174.85</f>
        <v>174.85</v>
      </c>
      <c r="K19" s="317">
        <f t="shared" ref="K19:M19" si="4">J19</f>
        <v>174.85</v>
      </c>
      <c r="L19" s="339">
        <f t="shared" si="4"/>
        <v>174.85</v>
      </c>
      <c r="M19" s="317">
        <f t="shared" si="4"/>
        <v>174.85</v>
      </c>
      <c r="O19" s="364" t="s">
        <v>141</v>
      </c>
      <c r="P19" s="350"/>
      <c r="R19" s="267">
        <v>350.0</v>
      </c>
      <c r="S19" s="246"/>
    </row>
    <row r="20">
      <c r="B20" s="72" t="s">
        <v>144</v>
      </c>
      <c r="C20" s="73"/>
      <c r="D20" s="75">
        <v>106.0</v>
      </c>
      <c r="E20" s="75">
        <v>100.0</v>
      </c>
      <c r="F20" s="75">
        <v>100.0</v>
      </c>
      <c r="G20" s="75">
        <v>100.0</v>
      </c>
      <c r="H20" s="317">
        <f t="shared" ref="H20:M20" si="5">G20</f>
        <v>100</v>
      </c>
      <c r="I20" s="317">
        <f t="shared" si="5"/>
        <v>100</v>
      </c>
      <c r="J20" s="317">
        <f t="shared" si="5"/>
        <v>100</v>
      </c>
      <c r="K20" s="317">
        <f t="shared" si="5"/>
        <v>100</v>
      </c>
      <c r="L20" s="339">
        <f t="shared" si="5"/>
        <v>100</v>
      </c>
      <c r="M20" s="317">
        <f t="shared" si="5"/>
        <v>100</v>
      </c>
      <c r="O20" s="364" t="s">
        <v>142</v>
      </c>
      <c r="P20" s="352"/>
      <c r="R20" s="267">
        <v>200.0</v>
      </c>
      <c r="S20" s="246"/>
    </row>
    <row r="21">
      <c r="B21" s="72" t="s">
        <v>145</v>
      </c>
      <c r="C21" s="73"/>
      <c r="D21" s="75">
        <v>2500.0</v>
      </c>
      <c r="E21" s="75">
        <v>2500.0</v>
      </c>
      <c r="F21" s="75">
        <v>2500.0</v>
      </c>
      <c r="G21" s="75">
        <v>2500.0</v>
      </c>
      <c r="H21" s="317">
        <v>2500.0</v>
      </c>
      <c r="I21" s="317">
        <v>2500.0</v>
      </c>
      <c r="J21" s="317">
        <v>2500.0</v>
      </c>
      <c r="K21" s="317">
        <v>2500.0</v>
      </c>
      <c r="L21" s="339">
        <v>2500.0</v>
      </c>
      <c r="M21" s="317">
        <v>2500.0</v>
      </c>
      <c r="O21" s="364" t="s">
        <v>143</v>
      </c>
      <c r="P21" s="246"/>
      <c r="R21" s="275">
        <v>174.85</v>
      </c>
      <c r="S21" s="246"/>
      <c r="T21" s="287"/>
    </row>
    <row r="22">
      <c r="B22" s="72" t="s">
        <v>146</v>
      </c>
      <c r="C22" s="77" t="s">
        <v>147</v>
      </c>
      <c r="D22" s="75">
        <v>400.0</v>
      </c>
      <c r="E22" s="75">
        <v>400.0</v>
      </c>
      <c r="F22" s="75">
        <v>400.0</v>
      </c>
      <c r="G22" s="75">
        <f t="shared" ref="G22:M22" si="6">F22</f>
        <v>400</v>
      </c>
      <c r="H22" s="317">
        <f t="shared" si="6"/>
        <v>400</v>
      </c>
      <c r="I22" s="317">
        <f t="shared" si="6"/>
        <v>400</v>
      </c>
      <c r="J22" s="317">
        <f t="shared" si="6"/>
        <v>400</v>
      </c>
      <c r="K22" s="317">
        <f t="shared" si="6"/>
        <v>400</v>
      </c>
      <c r="L22" s="339">
        <f t="shared" si="6"/>
        <v>400</v>
      </c>
      <c r="M22" s="317">
        <f t="shared" si="6"/>
        <v>400</v>
      </c>
      <c r="O22" s="364" t="s">
        <v>144</v>
      </c>
      <c r="P22" s="269"/>
      <c r="R22" s="275">
        <v>100.0</v>
      </c>
      <c r="S22" s="246"/>
    </row>
    <row r="23">
      <c r="B23" s="72" t="s">
        <v>148</v>
      </c>
      <c r="C23" s="73"/>
      <c r="D23" s="75">
        <v>600.0</v>
      </c>
      <c r="E23" s="75">
        <v>650.0</v>
      </c>
      <c r="F23" s="75">
        <v>650.0</v>
      </c>
      <c r="G23" s="75">
        <v>500.0</v>
      </c>
      <c r="H23" s="317">
        <v>500.0</v>
      </c>
      <c r="I23" s="317">
        <v>500.0</v>
      </c>
      <c r="J23" s="317">
        <v>500.0</v>
      </c>
      <c r="K23" s="317">
        <v>500.0</v>
      </c>
      <c r="L23" s="339">
        <v>500.0</v>
      </c>
      <c r="M23" s="317">
        <v>500.0</v>
      </c>
      <c r="O23" s="364" t="s">
        <v>145</v>
      </c>
      <c r="P23" s="265"/>
      <c r="R23" s="271"/>
      <c r="S23" s="246"/>
    </row>
    <row r="24">
      <c r="B24" s="72" t="s">
        <v>149</v>
      </c>
      <c r="C24" s="73"/>
      <c r="D24" s="75">
        <v>500.0</v>
      </c>
      <c r="E24" s="75">
        <v>500.0</v>
      </c>
      <c r="F24" s="75">
        <v>500.0</v>
      </c>
      <c r="G24" s="75">
        <f t="shared" ref="G24:M24" si="7">F24</f>
        <v>500</v>
      </c>
      <c r="H24" s="317">
        <f t="shared" si="7"/>
        <v>500</v>
      </c>
      <c r="I24" s="317">
        <f t="shared" si="7"/>
        <v>500</v>
      </c>
      <c r="J24" s="317">
        <f t="shared" si="7"/>
        <v>500</v>
      </c>
      <c r="K24" s="317">
        <f t="shared" si="7"/>
        <v>500</v>
      </c>
      <c r="L24" s="339">
        <f t="shared" si="7"/>
        <v>500</v>
      </c>
      <c r="M24" s="317">
        <f t="shared" si="7"/>
        <v>500</v>
      </c>
      <c r="O24" s="364" t="s">
        <v>146</v>
      </c>
      <c r="P24" s="257">
        <v>200.0</v>
      </c>
      <c r="Q24" s="369">
        <v>200.0</v>
      </c>
      <c r="S24" s="246"/>
    </row>
    <row r="25">
      <c r="B25" s="72" t="s">
        <v>150</v>
      </c>
      <c r="C25" s="73"/>
      <c r="D25" s="75">
        <v>300.0</v>
      </c>
      <c r="E25" s="75">
        <v>300.0</v>
      </c>
      <c r="F25" s="75">
        <v>300.0</v>
      </c>
      <c r="G25" s="75">
        <f t="shared" ref="G25:H25" si="8">F25</f>
        <v>300</v>
      </c>
      <c r="H25" s="317">
        <f t="shared" si="8"/>
        <v>300</v>
      </c>
      <c r="I25" s="317">
        <v>400.0</v>
      </c>
      <c r="J25" s="317">
        <f t="shared" ref="J25:M25" si="9">I25</f>
        <v>400</v>
      </c>
      <c r="K25" s="317">
        <f t="shared" si="9"/>
        <v>400</v>
      </c>
      <c r="L25" s="339">
        <f t="shared" si="9"/>
        <v>400</v>
      </c>
      <c r="M25" s="317">
        <f t="shared" si="9"/>
        <v>400</v>
      </c>
      <c r="O25" s="364" t="s">
        <v>148</v>
      </c>
      <c r="P25" s="247"/>
      <c r="R25" s="370">
        <v>500.0</v>
      </c>
      <c r="S25" s="246"/>
    </row>
    <row r="26">
      <c r="B26" s="72" t="s">
        <v>357</v>
      </c>
      <c r="C26" s="73"/>
      <c r="D26" s="75"/>
      <c r="E26" s="75"/>
      <c r="F26" s="75"/>
      <c r="G26" s="75"/>
      <c r="H26" s="317"/>
      <c r="I26" s="317"/>
      <c r="J26" s="317"/>
      <c r="K26" s="317"/>
      <c r="L26" s="317"/>
      <c r="M26" s="317"/>
      <c r="O26" s="364" t="s">
        <v>149</v>
      </c>
      <c r="P26" s="247"/>
      <c r="R26" s="370">
        <v>500.0</v>
      </c>
      <c r="S26" s="246"/>
    </row>
    <row r="27">
      <c r="B27" s="72" t="s">
        <v>152</v>
      </c>
      <c r="C27" s="73"/>
      <c r="D27" s="75">
        <v>200.0</v>
      </c>
      <c r="E27" s="75"/>
      <c r="F27" s="75"/>
      <c r="G27" s="75"/>
      <c r="H27" s="317"/>
      <c r="I27" s="317"/>
      <c r="J27" s="317"/>
      <c r="K27" s="319"/>
      <c r="L27" s="319"/>
      <c r="M27" s="319"/>
      <c r="O27" s="364" t="s">
        <v>150</v>
      </c>
      <c r="P27" s="247"/>
      <c r="Q27" s="371">
        <v>400.0</v>
      </c>
      <c r="R27" s="266"/>
      <c r="S27" s="246"/>
    </row>
    <row r="28">
      <c r="B28" s="72" t="s">
        <v>181</v>
      </c>
      <c r="C28" s="73"/>
      <c r="D28" s="75">
        <v>100.0</v>
      </c>
      <c r="E28" s="75">
        <v>150.0</v>
      </c>
      <c r="F28" s="75">
        <v>150.0</v>
      </c>
      <c r="G28" s="75">
        <f t="shared" ref="G28:I28" si="10">F28</f>
        <v>150</v>
      </c>
      <c r="H28" s="317">
        <f t="shared" si="10"/>
        <v>150</v>
      </c>
      <c r="I28" s="317">
        <f t="shared" si="10"/>
        <v>150</v>
      </c>
      <c r="J28" s="317">
        <f>I28+160</f>
        <v>310</v>
      </c>
      <c r="K28" s="317">
        <f>J28</f>
        <v>310</v>
      </c>
      <c r="L28" s="339">
        <f>150+45+500</f>
        <v>695</v>
      </c>
      <c r="M28" s="317">
        <f>L28</f>
        <v>695</v>
      </c>
      <c r="O28" s="364" t="s">
        <v>181</v>
      </c>
      <c r="P28" s="247"/>
      <c r="R28" s="261">
        <v>695.0</v>
      </c>
      <c r="S28" s="247"/>
    </row>
    <row r="29">
      <c r="B29" s="72" t="s">
        <v>296</v>
      </c>
      <c r="C29" s="73"/>
      <c r="D29" s="75">
        <v>116.0</v>
      </c>
      <c r="E29" s="75">
        <v>112.0</v>
      </c>
      <c r="F29" s="75">
        <v>122.0</v>
      </c>
      <c r="G29" s="75">
        <f t="shared" ref="G29:M29" si="11">F29</f>
        <v>122</v>
      </c>
      <c r="H29" s="317">
        <f t="shared" si="11"/>
        <v>122</v>
      </c>
      <c r="I29" s="317">
        <f t="shared" si="11"/>
        <v>122</v>
      </c>
      <c r="J29" s="317">
        <f t="shared" si="11"/>
        <v>122</v>
      </c>
      <c r="K29" s="319">
        <f t="shared" si="11"/>
        <v>122</v>
      </c>
      <c r="L29" s="339">
        <f t="shared" si="11"/>
        <v>122</v>
      </c>
      <c r="M29" s="317">
        <f t="shared" si="11"/>
        <v>122</v>
      </c>
      <c r="O29" s="364" t="s">
        <v>296</v>
      </c>
      <c r="P29" s="257">
        <v>109.0</v>
      </c>
      <c r="Q29" s="257">
        <v>13.0</v>
      </c>
      <c r="S29" s="247"/>
    </row>
    <row r="30">
      <c r="B30" s="72" t="s">
        <v>155</v>
      </c>
      <c r="C30" s="73"/>
      <c r="D30" s="75"/>
      <c r="E30" s="75"/>
      <c r="F30" s="74"/>
      <c r="G30" s="75" t="str">
        <f t="shared" ref="G30:M30" si="12">F30</f>
        <v/>
      </c>
      <c r="H30" s="317" t="str">
        <f t="shared" si="12"/>
        <v/>
      </c>
      <c r="I30" s="317" t="str">
        <f t="shared" si="12"/>
        <v/>
      </c>
      <c r="J30" s="317" t="str">
        <f t="shared" si="12"/>
        <v/>
      </c>
      <c r="K30" s="319" t="str">
        <f t="shared" si="12"/>
        <v/>
      </c>
      <c r="L30" s="317" t="str">
        <f t="shared" si="12"/>
        <v/>
      </c>
      <c r="M30" s="317" t="str">
        <f t="shared" si="12"/>
        <v/>
      </c>
      <c r="O30" s="364" t="s">
        <v>156</v>
      </c>
      <c r="P30" s="247"/>
      <c r="R30" s="247"/>
      <c r="S30" s="247"/>
      <c r="T30" s="107">
        <v>300.0</v>
      </c>
    </row>
    <row r="31">
      <c r="B31" s="72" t="s">
        <v>156</v>
      </c>
      <c r="C31" s="73"/>
      <c r="D31" s="75">
        <v>200.0</v>
      </c>
      <c r="E31" s="75">
        <v>1200.0</v>
      </c>
      <c r="F31" s="75">
        <v>1000.0</v>
      </c>
      <c r="G31" s="317">
        <v>400.0</v>
      </c>
      <c r="H31" s="317">
        <v>200.0</v>
      </c>
      <c r="I31" s="317"/>
      <c r="J31" s="317">
        <v>200.0</v>
      </c>
      <c r="K31" s="349">
        <v>400.0</v>
      </c>
      <c r="L31" s="337">
        <v>300.0</v>
      </c>
      <c r="M31" s="317">
        <v>200.0</v>
      </c>
      <c r="O31" s="368" t="s">
        <v>295</v>
      </c>
      <c r="P31" s="247"/>
      <c r="R31" s="367"/>
      <c r="S31" s="372">
        <v>2000.0</v>
      </c>
      <c r="T31" s="27"/>
    </row>
    <row r="32">
      <c r="B32" s="72" t="s">
        <v>272</v>
      </c>
      <c r="C32" s="73"/>
      <c r="D32" s="74"/>
      <c r="E32" s="74"/>
      <c r="F32" s="74"/>
      <c r="G32" s="75" t="str">
        <f t="shared" ref="G32:M32" si="13">F32</f>
        <v/>
      </c>
      <c r="H32" s="317" t="str">
        <f t="shared" si="13"/>
        <v/>
      </c>
      <c r="I32" s="317" t="str">
        <f t="shared" si="13"/>
        <v/>
      </c>
      <c r="J32" s="317" t="str">
        <f t="shared" si="13"/>
        <v/>
      </c>
      <c r="K32" s="317" t="str">
        <f t="shared" si="13"/>
        <v/>
      </c>
      <c r="L32" s="339" t="str">
        <f t="shared" si="13"/>
        <v/>
      </c>
      <c r="M32" s="317" t="str">
        <f t="shared" si="13"/>
        <v/>
      </c>
      <c r="O32" s="364" t="s">
        <v>159</v>
      </c>
      <c r="P32" s="263">
        <v>420.0</v>
      </c>
      <c r="Q32" s="369">
        <v>550.0</v>
      </c>
      <c r="R32" s="367"/>
      <c r="S32" s="246"/>
      <c r="T32" s="27"/>
      <c r="X32" s="32"/>
    </row>
    <row r="33">
      <c r="B33" s="272" t="s">
        <v>295</v>
      </c>
      <c r="C33" s="273"/>
      <c r="D33" s="274">
        <v>1500.0</v>
      </c>
      <c r="E33" s="274">
        <v>1500.0</v>
      </c>
      <c r="F33" s="274">
        <v>1500.0</v>
      </c>
      <c r="G33" s="274">
        <f t="shared" ref="G33:G35" si="15">F33</f>
        <v>1500</v>
      </c>
      <c r="H33" s="274">
        <v>1800.0</v>
      </c>
      <c r="I33" s="274">
        <v>2000.0</v>
      </c>
      <c r="J33" s="274">
        <f t="shared" ref="J33:M33" si="14">I33</f>
        <v>2000</v>
      </c>
      <c r="K33" s="274">
        <f t="shared" si="14"/>
        <v>2000</v>
      </c>
      <c r="L33" s="339">
        <f t="shared" si="14"/>
        <v>2000</v>
      </c>
      <c r="M33" s="317">
        <f t="shared" si="14"/>
        <v>2000</v>
      </c>
      <c r="O33" s="107" t="s">
        <v>334</v>
      </c>
      <c r="P33" s="263">
        <v>1500.0</v>
      </c>
      <c r="Q33" s="369">
        <v>1500.0</v>
      </c>
      <c r="R33" s="367"/>
      <c r="S33" s="246"/>
      <c r="T33" s="374">
        <f>L52</f>
        <v>1531.95</v>
      </c>
      <c r="X33" s="18"/>
      <c r="Y33" s="18"/>
    </row>
    <row r="34">
      <c r="B34" s="72" t="s">
        <v>159</v>
      </c>
      <c r="C34" s="73"/>
      <c r="D34" s="75">
        <v>800.0</v>
      </c>
      <c r="E34" s="75">
        <v>800.0</v>
      </c>
      <c r="F34" s="75">
        <v>800.0</v>
      </c>
      <c r="G34" s="75">
        <f t="shared" si="15"/>
        <v>800</v>
      </c>
      <c r="H34" s="317">
        <f t="shared" ref="H34:K34" si="16">G34</f>
        <v>800</v>
      </c>
      <c r="I34" s="319">
        <f t="shared" si="16"/>
        <v>800</v>
      </c>
      <c r="J34" s="319">
        <f t="shared" si="16"/>
        <v>800</v>
      </c>
      <c r="K34" s="319">
        <f t="shared" si="16"/>
        <v>800</v>
      </c>
      <c r="L34" s="337">
        <f>800+150+20</f>
        <v>970</v>
      </c>
      <c r="M34" s="317">
        <f>L34</f>
        <v>970</v>
      </c>
      <c r="O34" s="107" t="s">
        <v>364</v>
      </c>
      <c r="P34" s="246"/>
      <c r="Q34" s="257"/>
      <c r="R34" s="246"/>
      <c r="S34" s="246"/>
      <c r="T34" s="107">
        <v>663.32</v>
      </c>
      <c r="X34" s="18"/>
      <c r="Y34" s="18"/>
    </row>
    <row r="35">
      <c r="B35" s="72" t="s">
        <v>160</v>
      </c>
      <c r="C35" s="73"/>
      <c r="D35" s="75">
        <v>1800.0</v>
      </c>
      <c r="E35" s="75">
        <v>1800.0</v>
      </c>
      <c r="F35" s="75">
        <v>1800.0</v>
      </c>
      <c r="G35" s="75">
        <f t="shared" si="15"/>
        <v>1800</v>
      </c>
      <c r="H35" s="317">
        <f>G35+500</f>
        <v>2300</v>
      </c>
      <c r="I35" s="319">
        <v>3000.0</v>
      </c>
      <c r="J35" s="319">
        <f t="shared" ref="J35:M35" si="17">I35</f>
        <v>3000</v>
      </c>
      <c r="K35" s="319">
        <f t="shared" si="17"/>
        <v>3000</v>
      </c>
      <c r="L35" s="339">
        <f t="shared" si="17"/>
        <v>3000</v>
      </c>
      <c r="M35" s="317">
        <f t="shared" si="17"/>
        <v>3000</v>
      </c>
      <c r="O35" s="107" t="s">
        <v>363</v>
      </c>
      <c r="P35" s="251"/>
      <c r="Q35" s="246"/>
      <c r="R35" s="246"/>
      <c r="S35" s="246"/>
      <c r="T35" s="107"/>
    </row>
    <row r="36">
      <c r="B36" s="67" t="s">
        <v>161</v>
      </c>
      <c r="C36" s="68"/>
      <c r="D36" s="78">
        <f t="shared" ref="D36:M36" si="18">SUM(D17:D35)*-1</f>
        <v>-9798.6</v>
      </c>
      <c r="E36" s="78">
        <f t="shared" si="18"/>
        <v>-10677</v>
      </c>
      <c r="F36" s="78">
        <f t="shared" si="18"/>
        <v>-10514</v>
      </c>
      <c r="G36" s="78">
        <f t="shared" si="18"/>
        <v>-9592.3</v>
      </c>
      <c r="H36" s="320">
        <f t="shared" si="18"/>
        <v>-10396.88</v>
      </c>
      <c r="I36" s="320">
        <f t="shared" si="18"/>
        <v>-11127.38</v>
      </c>
      <c r="J36" s="320">
        <f t="shared" si="18"/>
        <v>-11486.55</v>
      </c>
      <c r="K36" s="320">
        <f t="shared" si="18"/>
        <v>-11712.45</v>
      </c>
      <c r="L36" s="320">
        <f t="shared" si="18"/>
        <v>-12211.85</v>
      </c>
      <c r="M36" s="320">
        <f t="shared" si="18"/>
        <v>-12111.85</v>
      </c>
      <c r="O36" s="107"/>
    </row>
    <row r="37">
      <c r="H37" s="311"/>
      <c r="I37" s="311"/>
      <c r="J37" s="311"/>
      <c r="K37" s="311"/>
      <c r="L37" s="311"/>
      <c r="M37" s="311"/>
      <c r="O37" s="7" t="s">
        <v>26</v>
      </c>
      <c r="P37" s="325">
        <f t="shared" ref="P37:T37" si="19">SUM(P19:P36)</f>
        <v>2229</v>
      </c>
      <c r="Q37" s="325">
        <f t="shared" si="19"/>
        <v>2663</v>
      </c>
      <c r="R37" s="373">
        <f t="shared" si="19"/>
        <v>2519.85</v>
      </c>
      <c r="S37" s="325">
        <f t="shared" si="19"/>
        <v>2000</v>
      </c>
      <c r="T37" s="325">
        <f t="shared" si="19"/>
        <v>2495.27</v>
      </c>
    </row>
    <row r="38">
      <c r="B38" s="80" t="s">
        <v>162</v>
      </c>
      <c r="C38" s="81"/>
      <c r="D38" s="82">
        <f t="shared" ref="D38:M38" si="20">D14+D36</f>
        <v>9718.58</v>
      </c>
      <c r="E38" s="82">
        <f t="shared" si="20"/>
        <v>-396.89</v>
      </c>
      <c r="F38" s="82">
        <f t="shared" si="20"/>
        <v>1548.11</v>
      </c>
      <c r="G38" s="82">
        <f t="shared" si="20"/>
        <v>2469.81</v>
      </c>
      <c r="H38" s="315">
        <f t="shared" si="20"/>
        <v>1620.93</v>
      </c>
      <c r="I38" s="315">
        <f t="shared" si="20"/>
        <v>2604.42</v>
      </c>
      <c r="J38" s="315">
        <f t="shared" si="20"/>
        <v>2104.25</v>
      </c>
      <c r="K38" s="315">
        <f t="shared" si="20"/>
        <v>2008.35</v>
      </c>
      <c r="L38" s="315">
        <f t="shared" si="20"/>
        <v>1531.95</v>
      </c>
      <c r="M38" s="315">
        <f t="shared" si="20"/>
        <v>1631.95</v>
      </c>
      <c r="O38" s="107" t="s">
        <v>365</v>
      </c>
      <c r="P38" s="375">
        <f>L10-P37</f>
        <v>6095.69</v>
      </c>
      <c r="Q38" s="324"/>
      <c r="R38" s="287"/>
    </row>
    <row r="39">
      <c r="B39" s="83"/>
      <c r="C39" s="83"/>
      <c r="D39" s="84"/>
      <c r="E39" s="84"/>
      <c r="F39" s="84"/>
      <c r="G39" s="84"/>
      <c r="H39" s="311"/>
      <c r="I39" s="311"/>
      <c r="J39" s="311"/>
      <c r="K39" s="311"/>
      <c r="L39" s="311"/>
      <c r="M39" s="311"/>
      <c r="O39" s="325" t="s">
        <v>353</v>
      </c>
    </row>
    <row r="40">
      <c r="B40" s="85" t="s">
        <v>163</v>
      </c>
      <c r="C40" s="86"/>
      <c r="D40" s="57" t="s">
        <v>125</v>
      </c>
      <c r="E40" s="57" t="s">
        <v>126</v>
      </c>
      <c r="F40" s="57" t="s">
        <v>127</v>
      </c>
      <c r="G40" s="294" t="s">
        <v>129</v>
      </c>
      <c r="H40" s="344" t="s">
        <v>130</v>
      </c>
      <c r="I40" s="344" t="s">
        <v>354</v>
      </c>
      <c r="J40" s="344" t="s">
        <v>132</v>
      </c>
      <c r="K40" s="344" t="s">
        <v>132</v>
      </c>
      <c r="L40" s="344" t="s">
        <v>132</v>
      </c>
      <c r="M40" s="344" t="s">
        <v>132</v>
      </c>
      <c r="O40" s="27"/>
    </row>
    <row r="41">
      <c r="B41" s="87" t="s">
        <v>164</v>
      </c>
      <c r="C41" s="88">
        <v>2347.0</v>
      </c>
      <c r="D41" s="134">
        <v>498.84</v>
      </c>
      <c r="E41" s="135">
        <v>498.84</v>
      </c>
      <c r="F41" s="134"/>
      <c r="G41" s="295"/>
      <c r="H41" s="327"/>
      <c r="I41" s="327"/>
      <c r="J41" s="327"/>
      <c r="K41" s="327"/>
      <c r="L41" s="327"/>
      <c r="M41" s="327"/>
      <c r="O41" s="27"/>
    </row>
    <row r="42">
      <c r="B42" s="87" t="s">
        <v>165</v>
      </c>
      <c r="C42" s="88">
        <v>7750.82</v>
      </c>
      <c r="D42" s="135">
        <v>385.96</v>
      </c>
      <c r="E42" s="135">
        <v>385.96</v>
      </c>
      <c r="F42" s="135">
        <v>385.96</v>
      </c>
      <c r="G42" s="307">
        <v>385.96</v>
      </c>
      <c r="H42" s="345"/>
      <c r="I42" s="328"/>
      <c r="J42" s="327"/>
      <c r="K42" s="327"/>
      <c r="L42" s="327"/>
      <c r="M42" s="327"/>
      <c r="O42" s="107"/>
    </row>
    <row r="43">
      <c r="B43" s="87" t="s">
        <v>166</v>
      </c>
      <c r="C43" s="88">
        <v>7724.29</v>
      </c>
      <c r="D43" s="135">
        <v>520.0</v>
      </c>
      <c r="E43" s="135">
        <v>518.81</v>
      </c>
      <c r="F43" s="135">
        <v>520.0</v>
      </c>
      <c r="G43" s="135">
        <v>520.0</v>
      </c>
      <c r="H43" s="135">
        <v>520.0</v>
      </c>
      <c r="I43" s="135">
        <v>520.0</v>
      </c>
      <c r="J43" s="329">
        <v>520.0</v>
      </c>
      <c r="K43" s="329">
        <v>520.0</v>
      </c>
      <c r="L43" s="329"/>
      <c r="M43" s="329"/>
      <c r="O43" s="107"/>
    </row>
    <row r="44">
      <c r="B44" s="87" t="s">
        <v>280</v>
      </c>
      <c r="C44" s="88">
        <v>6440.26</v>
      </c>
      <c r="D44" s="135">
        <v>730.49</v>
      </c>
      <c r="E44" s="135">
        <v>730.49</v>
      </c>
      <c r="F44" s="135">
        <v>730.49</v>
      </c>
      <c r="G44" s="135">
        <v>730.49</v>
      </c>
      <c r="H44" s="346"/>
      <c r="I44" s="329"/>
      <c r="J44" s="360"/>
      <c r="K44" s="360"/>
      <c r="L44" s="360"/>
      <c r="M44" s="360"/>
      <c r="O44" s="107"/>
    </row>
    <row r="45">
      <c r="A45" s="298">
        <v>45020.0</v>
      </c>
      <c r="B45" s="87" t="s">
        <v>203</v>
      </c>
      <c r="C45" s="88">
        <v>440.0</v>
      </c>
      <c r="D45" s="135">
        <v>440.0</v>
      </c>
      <c r="E45" s="135">
        <v>440.0</v>
      </c>
      <c r="F45" s="135"/>
      <c r="G45" s="297"/>
      <c r="H45" s="327"/>
      <c r="I45" s="327"/>
      <c r="J45" s="327"/>
      <c r="K45" s="327"/>
      <c r="L45" s="327"/>
      <c r="M45" s="327"/>
      <c r="O45" s="107"/>
      <c r="P45" s="107"/>
    </row>
    <row r="46">
      <c r="B46" s="67" t="s">
        <v>167</v>
      </c>
      <c r="C46" s="95">
        <f>SUM(C41:C45)</f>
        <v>24702.37</v>
      </c>
      <c r="D46" s="78">
        <f t="shared" ref="D46:F46" si="21">SUM(D41:D45)*-1</f>
        <v>-2575.29</v>
      </c>
      <c r="E46" s="78">
        <f t="shared" si="21"/>
        <v>-2574.1</v>
      </c>
      <c r="F46" s="78">
        <f t="shared" si="21"/>
        <v>-1636.45</v>
      </c>
      <c r="G46" s="299">
        <f t="shared" ref="G46:M46" si="22">SUM(G41:G44)*-1</f>
        <v>-1636.45</v>
      </c>
      <c r="H46" s="330">
        <f t="shared" si="22"/>
        <v>-520</v>
      </c>
      <c r="I46" s="330">
        <f t="shared" si="22"/>
        <v>-520</v>
      </c>
      <c r="J46" s="330">
        <f t="shared" si="22"/>
        <v>-520</v>
      </c>
      <c r="K46" s="330">
        <f t="shared" si="22"/>
        <v>-520</v>
      </c>
      <c r="L46" s="330">
        <f t="shared" si="22"/>
        <v>0</v>
      </c>
      <c r="M46" s="330">
        <f t="shared" si="22"/>
        <v>0</v>
      </c>
      <c r="O46" s="107"/>
      <c r="P46" s="107"/>
    </row>
    <row r="47">
      <c r="B47" s="83"/>
      <c r="C47" s="83"/>
      <c r="D47" s="96"/>
      <c r="E47" s="96"/>
      <c r="F47" s="96"/>
      <c r="G47" s="96"/>
      <c r="H47" s="311"/>
      <c r="I47" s="311"/>
      <c r="J47" s="311"/>
      <c r="K47" s="311"/>
      <c r="L47" s="311"/>
      <c r="M47" s="311"/>
      <c r="O47" s="107"/>
      <c r="P47" s="18"/>
    </row>
    <row r="48">
      <c r="B48" s="97" t="s">
        <v>168</v>
      </c>
      <c r="C48" s="98"/>
      <c r="D48" s="99">
        <f t="shared" ref="D48:M48" si="23">D38+D46</f>
        <v>7143.29</v>
      </c>
      <c r="E48" s="99">
        <f t="shared" si="23"/>
        <v>-2970.99</v>
      </c>
      <c r="F48" s="119">
        <f t="shared" si="23"/>
        <v>-88.34</v>
      </c>
      <c r="G48" s="308">
        <f t="shared" si="23"/>
        <v>833.36</v>
      </c>
      <c r="H48" s="331">
        <f t="shared" si="23"/>
        <v>1100.93</v>
      </c>
      <c r="I48" s="331">
        <f t="shared" si="23"/>
        <v>2084.42</v>
      </c>
      <c r="J48" s="331">
        <f t="shared" si="23"/>
        <v>1584.25</v>
      </c>
      <c r="K48" s="331">
        <f t="shared" si="23"/>
        <v>1488.35</v>
      </c>
      <c r="L48" s="331">
        <f t="shared" si="23"/>
        <v>1531.95</v>
      </c>
      <c r="M48" s="331">
        <f t="shared" si="23"/>
        <v>1631.95</v>
      </c>
      <c r="O48" s="107"/>
      <c r="P48" s="18"/>
    </row>
    <row r="49">
      <c r="B49" s="83"/>
      <c r="C49" s="83"/>
      <c r="D49" s="96"/>
      <c r="E49" s="96"/>
      <c r="F49" s="96"/>
      <c r="G49" s="96"/>
      <c r="H49" s="311"/>
      <c r="I49" s="311"/>
      <c r="J49" s="311"/>
      <c r="K49" s="311"/>
      <c r="L49" s="311"/>
      <c r="M49" s="311"/>
      <c r="O49" s="107"/>
      <c r="P49" s="18"/>
    </row>
    <row r="50">
      <c r="B50" s="100" t="s">
        <v>169</v>
      </c>
      <c r="C50" s="101"/>
      <c r="D50" s="57" t="s">
        <v>125</v>
      </c>
      <c r="E50" s="57" t="s">
        <v>126</v>
      </c>
      <c r="F50" s="57" t="s">
        <v>127</v>
      </c>
      <c r="G50" s="57" t="s">
        <v>129</v>
      </c>
      <c r="H50" s="344" t="s">
        <v>130</v>
      </c>
      <c r="I50" s="344" t="s">
        <v>354</v>
      </c>
      <c r="J50" s="326" t="s">
        <v>354</v>
      </c>
      <c r="K50" s="326" t="s">
        <v>354</v>
      </c>
      <c r="L50" s="326" t="s">
        <v>354</v>
      </c>
      <c r="M50" s="326" t="s">
        <v>354</v>
      </c>
      <c r="O50" s="107"/>
    </row>
    <row r="51">
      <c r="B51" s="102" t="s">
        <v>170</v>
      </c>
      <c r="C51" s="103"/>
      <c r="D51" s="278">
        <v>2101.91</v>
      </c>
      <c r="E51" s="278">
        <v>331.34</v>
      </c>
      <c r="F51" s="278">
        <v>45.75</v>
      </c>
      <c r="G51" s="105" t="str">
        <f>F52</f>
        <v/>
      </c>
      <c r="H51" s="333"/>
      <c r="I51" s="361">
        <v>0.0</v>
      </c>
      <c r="J51" s="361">
        <v>0.0</v>
      </c>
      <c r="K51" s="361">
        <v>0.0</v>
      </c>
      <c r="L51" s="361">
        <v>0.0</v>
      </c>
      <c r="M51" s="361">
        <v>0.0</v>
      </c>
      <c r="O51" s="107"/>
      <c r="P51" s="18"/>
    </row>
    <row r="52">
      <c r="B52" s="102" t="s">
        <v>171</v>
      </c>
      <c r="C52" s="103"/>
      <c r="D52" s="279">
        <f>D48</f>
        <v>7143.29</v>
      </c>
      <c r="E52" s="279"/>
      <c r="F52" s="279"/>
      <c r="G52" s="279">
        <f t="shared" ref="G52:M52" si="24">+G48</f>
        <v>833.36</v>
      </c>
      <c r="H52" s="334">
        <f t="shared" si="24"/>
        <v>1100.93</v>
      </c>
      <c r="I52" s="334">
        <f t="shared" si="24"/>
        <v>2084.42</v>
      </c>
      <c r="J52" s="334">
        <f t="shared" si="24"/>
        <v>1584.25</v>
      </c>
      <c r="K52" s="334">
        <f t="shared" si="24"/>
        <v>1488.35</v>
      </c>
      <c r="L52" s="334">
        <f t="shared" si="24"/>
        <v>1531.95</v>
      </c>
      <c r="M52" s="334">
        <f t="shared" si="24"/>
        <v>1631.95</v>
      </c>
      <c r="O52" s="107"/>
    </row>
    <row r="53">
      <c r="B53" s="67"/>
      <c r="C53" s="68"/>
      <c r="D53" s="95"/>
      <c r="E53" s="95"/>
      <c r="F53" s="95"/>
      <c r="G53" s="95"/>
      <c r="H53" s="335"/>
      <c r="I53" s="335"/>
      <c r="J53" s="335"/>
      <c r="K53" s="335"/>
      <c r="L53" s="335"/>
      <c r="M53" s="335"/>
      <c r="O53" s="27"/>
    </row>
    <row r="54">
      <c r="B54" s="67"/>
      <c r="C54" s="68"/>
      <c r="D54" s="95"/>
      <c r="E54" s="95"/>
      <c r="F54" s="95"/>
      <c r="G54" s="95"/>
      <c r="H54" s="335"/>
      <c r="I54" s="335"/>
      <c r="J54" s="335"/>
      <c r="K54" s="335"/>
      <c r="L54" s="335"/>
      <c r="M54" s="335"/>
      <c r="O54" s="27"/>
    </row>
    <row r="55">
      <c r="B55" s="67" t="s">
        <v>173</v>
      </c>
      <c r="C55" s="68"/>
      <c r="D55" s="95">
        <f t="shared" ref="D55:M55" si="25">SUM(D51:D52)</f>
        <v>9245.2</v>
      </c>
      <c r="E55" s="95">
        <f t="shared" si="25"/>
        <v>331.34</v>
      </c>
      <c r="F55" s="309">
        <f t="shared" si="25"/>
        <v>45.75</v>
      </c>
      <c r="G55" s="309">
        <f t="shared" si="25"/>
        <v>833.36</v>
      </c>
      <c r="H55" s="336">
        <f t="shared" si="25"/>
        <v>1100.93</v>
      </c>
      <c r="I55" s="336">
        <f t="shared" si="25"/>
        <v>2084.42</v>
      </c>
      <c r="J55" s="336">
        <f t="shared" si="25"/>
        <v>1584.25</v>
      </c>
      <c r="K55" s="336">
        <f t="shared" si="25"/>
        <v>1488.35</v>
      </c>
      <c r="L55" s="336">
        <f t="shared" si="25"/>
        <v>1531.95</v>
      </c>
      <c r="M55" s="336">
        <f t="shared" si="25"/>
        <v>1631.95</v>
      </c>
      <c r="O55" s="27"/>
    </row>
    <row r="56">
      <c r="H56" s="310"/>
      <c r="J56" s="362"/>
      <c r="K56" s="362"/>
      <c r="L56" s="362"/>
      <c r="M56" s="362"/>
      <c r="O56" s="27"/>
    </row>
    <row r="57">
      <c r="H57" s="310"/>
      <c r="O57" s="27"/>
    </row>
    <row r="58">
      <c r="H58" s="310"/>
      <c r="O58" s="27"/>
    </row>
    <row r="59">
      <c r="H59" s="310"/>
      <c r="O59" s="27"/>
    </row>
    <row r="60">
      <c r="H60" s="310"/>
      <c r="O60" s="27"/>
    </row>
    <row r="61">
      <c r="H61" s="310"/>
      <c r="O61" s="27"/>
    </row>
    <row r="62">
      <c r="H62" s="310"/>
      <c r="O62" s="27"/>
    </row>
    <row r="63">
      <c r="H63" s="310"/>
      <c r="O63" s="27"/>
    </row>
    <row r="64">
      <c r="H64" s="310"/>
      <c r="O64" s="27"/>
    </row>
    <row r="65">
      <c r="H65" s="310"/>
      <c r="O65" s="27"/>
    </row>
    <row r="66">
      <c r="H66" s="310"/>
      <c r="O66" s="27"/>
    </row>
    <row r="67">
      <c r="H67" s="310"/>
      <c r="O67" s="27"/>
    </row>
    <row r="68">
      <c r="H68" s="310"/>
      <c r="O68" s="27"/>
    </row>
    <row r="69">
      <c r="H69" s="310"/>
      <c r="O69" s="27"/>
    </row>
    <row r="70">
      <c r="H70" s="310"/>
      <c r="O70" s="27"/>
    </row>
    <row r="71">
      <c r="H71" s="310"/>
      <c r="O71" s="27"/>
    </row>
    <row r="72">
      <c r="H72" s="310"/>
      <c r="O72" s="27"/>
    </row>
    <row r="73">
      <c r="H73" s="310"/>
      <c r="O73" s="27"/>
    </row>
    <row r="74">
      <c r="H74" s="310"/>
      <c r="O74" s="27"/>
    </row>
    <row r="75">
      <c r="H75" s="310"/>
      <c r="O75" s="27"/>
    </row>
    <row r="76">
      <c r="H76" s="310"/>
      <c r="O76" s="27"/>
    </row>
    <row r="77">
      <c r="H77" s="310"/>
      <c r="O77" s="27"/>
    </row>
    <row r="78">
      <c r="H78" s="310"/>
      <c r="O78" s="27"/>
    </row>
    <row r="79">
      <c r="H79" s="310"/>
      <c r="O79" s="27"/>
    </row>
    <row r="80">
      <c r="H80" s="310"/>
      <c r="O80" s="27"/>
    </row>
    <row r="81">
      <c r="H81" s="310"/>
      <c r="O81" s="27"/>
    </row>
    <row r="82">
      <c r="H82" s="310"/>
      <c r="O82" s="27"/>
    </row>
    <row r="83">
      <c r="H83" s="310"/>
      <c r="O83" s="27"/>
    </row>
    <row r="84">
      <c r="H84" s="310"/>
      <c r="O84" s="27"/>
    </row>
    <row r="85">
      <c r="H85" s="310"/>
      <c r="O85" s="27"/>
    </row>
    <row r="86">
      <c r="H86" s="310"/>
      <c r="O86" s="27"/>
    </row>
    <row r="87">
      <c r="H87" s="310"/>
      <c r="O87" s="27"/>
    </row>
    <row r="88">
      <c r="H88" s="310"/>
      <c r="O88" s="27"/>
    </row>
    <row r="89">
      <c r="H89" s="310"/>
      <c r="O89" s="27"/>
    </row>
    <row r="90">
      <c r="H90" s="310"/>
      <c r="O90" s="27"/>
    </row>
    <row r="91">
      <c r="H91" s="310"/>
      <c r="O91" s="27"/>
    </row>
    <row r="92">
      <c r="H92" s="310"/>
      <c r="O92" s="27"/>
    </row>
    <row r="93">
      <c r="H93" s="310"/>
      <c r="O93" s="27"/>
    </row>
    <row r="94">
      <c r="H94" s="310"/>
      <c r="O94" s="27"/>
    </row>
    <row r="95">
      <c r="H95" s="310"/>
      <c r="O95" s="27"/>
    </row>
    <row r="96">
      <c r="H96" s="310"/>
      <c r="O96" s="27"/>
    </row>
    <row r="97">
      <c r="H97" s="310"/>
      <c r="O97" s="27"/>
    </row>
    <row r="98">
      <c r="H98" s="310"/>
      <c r="O98" s="27"/>
    </row>
    <row r="99">
      <c r="H99" s="310"/>
      <c r="O99" s="27"/>
    </row>
    <row r="100">
      <c r="H100" s="310"/>
      <c r="O100" s="27"/>
    </row>
    <row r="101">
      <c r="H101" s="310"/>
      <c r="O101" s="27"/>
    </row>
    <row r="102">
      <c r="H102" s="310"/>
      <c r="O102" s="27"/>
    </row>
    <row r="103">
      <c r="H103" s="310"/>
      <c r="O103" s="27"/>
    </row>
    <row r="104">
      <c r="H104" s="310"/>
      <c r="O104" s="27"/>
    </row>
    <row r="105">
      <c r="H105" s="310"/>
      <c r="O105" s="27"/>
    </row>
    <row r="106">
      <c r="H106" s="310"/>
      <c r="O106" s="27"/>
    </row>
    <row r="107">
      <c r="H107" s="310"/>
      <c r="O107" s="27"/>
    </row>
    <row r="108">
      <c r="H108" s="310"/>
      <c r="O108" s="27"/>
    </row>
    <row r="109">
      <c r="H109" s="310"/>
      <c r="O109" s="27"/>
    </row>
    <row r="110">
      <c r="H110" s="310"/>
      <c r="O110" s="27"/>
    </row>
    <row r="111">
      <c r="H111" s="310"/>
      <c r="O111" s="27"/>
    </row>
    <row r="112">
      <c r="H112" s="310"/>
      <c r="O112" s="27"/>
    </row>
    <row r="113">
      <c r="H113" s="310"/>
      <c r="O113" s="27"/>
    </row>
    <row r="114">
      <c r="H114" s="310"/>
      <c r="O114" s="27"/>
    </row>
    <row r="115">
      <c r="H115" s="310"/>
      <c r="O115" s="27"/>
    </row>
    <row r="116">
      <c r="H116" s="310"/>
      <c r="O116" s="27"/>
    </row>
    <row r="117">
      <c r="H117" s="310"/>
      <c r="O117" s="27"/>
    </row>
    <row r="118">
      <c r="H118" s="310"/>
      <c r="O118" s="27"/>
    </row>
    <row r="119">
      <c r="H119" s="310"/>
      <c r="O119" s="27"/>
    </row>
    <row r="120">
      <c r="H120" s="310"/>
      <c r="O120" s="27"/>
    </row>
    <row r="121">
      <c r="H121" s="310"/>
      <c r="O121" s="27"/>
    </row>
    <row r="122">
      <c r="H122" s="310"/>
      <c r="O122" s="27"/>
    </row>
    <row r="123">
      <c r="H123" s="310"/>
      <c r="O123" s="27"/>
    </row>
    <row r="124">
      <c r="H124" s="310"/>
      <c r="O124" s="27"/>
    </row>
    <row r="125">
      <c r="H125" s="310"/>
      <c r="O125" s="27"/>
    </row>
    <row r="126">
      <c r="H126" s="310"/>
      <c r="O126" s="27"/>
    </row>
    <row r="127">
      <c r="H127" s="310"/>
      <c r="O127" s="27"/>
    </row>
    <row r="128">
      <c r="H128" s="310"/>
      <c r="O128" s="27"/>
    </row>
    <row r="129">
      <c r="H129" s="310"/>
      <c r="O129" s="27"/>
    </row>
    <row r="130">
      <c r="H130" s="310"/>
      <c r="O130" s="27"/>
    </row>
    <row r="131">
      <c r="H131" s="310"/>
      <c r="O131" s="27"/>
    </row>
    <row r="132">
      <c r="H132" s="310"/>
      <c r="O132" s="27"/>
    </row>
    <row r="133">
      <c r="H133" s="310"/>
      <c r="O133" s="27"/>
    </row>
    <row r="134">
      <c r="H134" s="310"/>
      <c r="O134" s="27"/>
    </row>
    <row r="135">
      <c r="H135" s="310"/>
      <c r="O135" s="27"/>
    </row>
    <row r="136">
      <c r="H136" s="310"/>
      <c r="O136" s="27"/>
    </row>
    <row r="137">
      <c r="H137" s="310"/>
      <c r="O137" s="27"/>
    </row>
    <row r="138">
      <c r="H138" s="310"/>
      <c r="O138" s="27"/>
    </row>
    <row r="139">
      <c r="H139" s="310"/>
      <c r="O139" s="27"/>
    </row>
    <row r="140">
      <c r="H140" s="310"/>
      <c r="O140" s="27"/>
    </row>
    <row r="141">
      <c r="H141" s="310"/>
      <c r="O141" s="27"/>
    </row>
    <row r="142">
      <c r="H142" s="310"/>
      <c r="O142" s="27"/>
    </row>
    <row r="143">
      <c r="H143" s="310"/>
      <c r="O143" s="27"/>
    </row>
    <row r="144">
      <c r="H144" s="310"/>
      <c r="O144" s="27"/>
    </row>
    <row r="145">
      <c r="H145" s="310"/>
      <c r="O145" s="27"/>
    </row>
    <row r="146">
      <c r="H146" s="310"/>
      <c r="O146" s="27"/>
    </row>
    <row r="147">
      <c r="H147" s="310"/>
      <c r="O147" s="27"/>
    </row>
    <row r="148">
      <c r="H148" s="310"/>
      <c r="O148" s="27"/>
    </row>
    <row r="149">
      <c r="H149" s="310"/>
      <c r="O149" s="27"/>
    </row>
    <row r="150">
      <c r="H150" s="310"/>
      <c r="O150" s="27"/>
    </row>
    <row r="151">
      <c r="H151" s="310"/>
      <c r="O151" s="27"/>
    </row>
    <row r="152">
      <c r="H152" s="310"/>
      <c r="O152" s="27"/>
    </row>
    <row r="153">
      <c r="H153" s="310"/>
      <c r="O153" s="27"/>
    </row>
    <row r="154">
      <c r="H154" s="310"/>
      <c r="O154" s="27"/>
    </row>
    <row r="155">
      <c r="H155" s="310"/>
      <c r="O155" s="27"/>
    </row>
    <row r="156">
      <c r="H156" s="310"/>
      <c r="O156" s="27"/>
    </row>
    <row r="157">
      <c r="H157" s="310"/>
      <c r="O157" s="27"/>
    </row>
    <row r="158">
      <c r="H158" s="310"/>
      <c r="O158" s="27"/>
    </row>
    <row r="159">
      <c r="H159" s="310"/>
      <c r="O159" s="27"/>
    </row>
    <row r="160">
      <c r="H160" s="310"/>
      <c r="O160" s="27"/>
    </row>
    <row r="161">
      <c r="H161" s="310"/>
      <c r="O161" s="27"/>
    </row>
    <row r="162">
      <c r="H162" s="310"/>
      <c r="O162" s="27"/>
    </row>
    <row r="163">
      <c r="H163" s="310"/>
      <c r="O163" s="27"/>
    </row>
    <row r="164">
      <c r="H164" s="310"/>
      <c r="O164" s="27"/>
    </row>
    <row r="165">
      <c r="H165" s="310"/>
      <c r="O165" s="27"/>
    </row>
    <row r="166">
      <c r="H166" s="310"/>
      <c r="O166" s="27"/>
    </row>
    <row r="167">
      <c r="H167" s="310"/>
      <c r="O167" s="27"/>
    </row>
    <row r="168">
      <c r="H168" s="310"/>
      <c r="O168" s="27"/>
    </row>
    <row r="169">
      <c r="H169" s="310"/>
      <c r="O169" s="27"/>
    </row>
    <row r="170">
      <c r="H170" s="310"/>
      <c r="O170" s="27"/>
    </row>
    <row r="171">
      <c r="H171" s="310"/>
      <c r="O171" s="27"/>
    </row>
    <row r="172">
      <c r="H172" s="310"/>
      <c r="O172" s="27"/>
    </row>
    <row r="173">
      <c r="H173" s="310"/>
      <c r="O173" s="27"/>
    </row>
    <row r="174">
      <c r="H174" s="310"/>
      <c r="O174" s="27"/>
    </row>
    <row r="175">
      <c r="H175" s="310"/>
      <c r="O175" s="27"/>
    </row>
    <row r="176">
      <c r="H176" s="310"/>
      <c r="O176" s="27"/>
    </row>
    <row r="177">
      <c r="H177" s="310"/>
      <c r="O177" s="27"/>
    </row>
    <row r="178">
      <c r="H178" s="310"/>
      <c r="O178" s="27"/>
    </row>
    <row r="179">
      <c r="H179" s="310"/>
      <c r="O179" s="27"/>
    </row>
    <row r="180">
      <c r="H180" s="310"/>
      <c r="O180" s="27"/>
    </row>
    <row r="181">
      <c r="H181" s="310"/>
      <c r="O181" s="27"/>
    </row>
    <row r="182">
      <c r="H182" s="310"/>
      <c r="O182" s="27"/>
    </row>
    <row r="183">
      <c r="H183" s="310"/>
      <c r="O183" s="27"/>
    </row>
    <row r="184">
      <c r="H184" s="310"/>
      <c r="O184" s="27"/>
    </row>
    <row r="185">
      <c r="H185" s="310"/>
      <c r="O185" s="27"/>
    </row>
    <row r="186">
      <c r="H186" s="310"/>
      <c r="O186" s="27"/>
    </row>
    <row r="187">
      <c r="H187" s="310"/>
      <c r="O187" s="27"/>
    </row>
    <row r="188">
      <c r="H188" s="310"/>
      <c r="O188" s="27"/>
    </row>
    <row r="189">
      <c r="H189" s="310"/>
      <c r="O189" s="27"/>
    </row>
    <row r="190">
      <c r="H190" s="310"/>
      <c r="O190" s="27"/>
    </row>
    <row r="191">
      <c r="H191" s="310"/>
      <c r="O191" s="27"/>
    </row>
    <row r="192">
      <c r="H192" s="310"/>
      <c r="O192" s="27"/>
    </row>
    <row r="193">
      <c r="H193" s="310"/>
      <c r="O193" s="27"/>
    </row>
    <row r="194">
      <c r="H194" s="310"/>
      <c r="O194" s="27"/>
    </row>
    <row r="195">
      <c r="H195" s="310"/>
      <c r="O195" s="27"/>
    </row>
    <row r="196">
      <c r="H196" s="310"/>
      <c r="O196" s="27"/>
    </row>
    <row r="197">
      <c r="H197" s="310"/>
      <c r="O197" s="27"/>
    </row>
    <row r="198">
      <c r="H198" s="310"/>
      <c r="O198" s="27"/>
    </row>
    <row r="199">
      <c r="H199" s="310"/>
      <c r="O199" s="27"/>
    </row>
    <row r="200">
      <c r="H200" s="310"/>
      <c r="O200" s="27"/>
    </row>
    <row r="201">
      <c r="H201" s="310"/>
      <c r="O201" s="27"/>
    </row>
    <row r="202">
      <c r="H202" s="310"/>
      <c r="O202" s="27"/>
    </row>
    <row r="203">
      <c r="H203" s="310"/>
      <c r="O203" s="27"/>
    </row>
    <row r="204">
      <c r="H204" s="310"/>
      <c r="O204" s="27"/>
    </row>
    <row r="205">
      <c r="H205" s="310"/>
      <c r="O205" s="27"/>
    </row>
    <row r="206">
      <c r="H206" s="310"/>
      <c r="O206" s="27"/>
    </row>
    <row r="207">
      <c r="H207" s="310"/>
      <c r="O207" s="27"/>
    </row>
    <row r="208">
      <c r="H208" s="310"/>
      <c r="O208" s="27"/>
    </row>
    <row r="209">
      <c r="H209" s="310"/>
      <c r="O209" s="27"/>
    </row>
    <row r="210">
      <c r="H210" s="310"/>
      <c r="O210" s="27"/>
    </row>
    <row r="211">
      <c r="H211" s="310"/>
      <c r="O211" s="27"/>
    </row>
    <row r="212">
      <c r="H212" s="310"/>
      <c r="O212" s="27"/>
    </row>
    <row r="213">
      <c r="H213" s="310"/>
      <c r="O213" s="27"/>
    </row>
    <row r="214">
      <c r="H214" s="310"/>
      <c r="O214" s="27"/>
    </row>
    <row r="215">
      <c r="H215" s="310"/>
      <c r="O215" s="27"/>
    </row>
    <row r="216">
      <c r="H216" s="310"/>
      <c r="O216" s="27"/>
    </row>
    <row r="217">
      <c r="H217" s="310"/>
      <c r="O217" s="27"/>
    </row>
    <row r="218">
      <c r="H218" s="310"/>
      <c r="O218" s="27"/>
    </row>
    <row r="219">
      <c r="H219" s="310"/>
      <c r="O219" s="27"/>
    </row>
    <row r="220">
      <c r="H220" s="310"/>
      <c r="O220" s="27"/>
    </row>
    <row r="221">
      <c r="H221" s="310"/>
      <c r="O221" s="27"/>
    </row>
    <row r="222">
      <c r="H222" s="310"/>
      <c r="O222" s="27"/>
    </row>
    <row r="223">
      <c r="H223" s="310"/>
      <c r="O223" s="27"/>
    </row>
    <row r="224">
      <c r="H224" s="310"/>
      <c r="O224" s="27"/>
    </row>
    <row r="225">
      <c r="H225" s="310"/>
      <c r="O225" s="27"/>
    </row>
    <row r="226">
      <c r="H226" s="310"/>
      <c r="O226" s="27"/>
    </row>
    <row r="227">
      <c r="H227" s="310"/>
      <c r="O227" s="27"/>
    </row>
    <row r="228">
      <c r="H228" s="310"/>
      <c r="O228" s="27"/>
    </row>
    <row r="229">
      <c r="H229" s="310"/>
      <c r="O229" s="27"/>
    </row>
    <row r="230">
      <c r="H230" s="310"/>
      <c r="O230" s="27"/>
    </row>
    <row r="231">
      <c r="H231" s="310"/>
      <c r="O231" s="27"/>
    </row>
    <row r="232">
      <c r="H232" s="310"/>
      <c r="O232" s="27"/>
    </row>
    <row r="233">
      <c r="H233" s="310"/>
      <c r="O233" s="27"/>
    </row>
    <row r="234">
      <c r="H234" s="310"/>
      <c r="O234" s="27"/>
    </row>
    <row r="235">
      <c r="H235" s="310"/>
      <c r="O235" s="27"/>
    </row>
    <row r="236">
      <c r="H236" s="310"/>
      <c r="O236" s="27"/>
    </row>
    <row r="237">
      <c r="H237" s="310"/>
      <c r="O237" s="27"/>
    </row>
    <row r="238">
      <c r="H238" s="310"/>
      <c r="O238" s="27"/>
    </row>
    <row r="239">
      <c r="H239" s="310"/>
      <c r="O239" s="27"/>
    </row>
    <row r="240">
      <c r="H240" s="310"/>
      <c r="O240" s="27"/>
    </row>
    <row r="241">
      <c r="H241" s="310"/>
      <c r="O241" s="27"/>
    </row>
    <row r="242">
      <c r="H242" s="310"/>
      <c r="O242" s="27"/>
    </row>
    <row r="243">
      <c r="H243" s="310"/>
      <c r="O243" s="27"/>
    </row>
    <row r="244">
      <c r="H244" s="310"/>
      <c r="O244" s="27"/>
    </row>
    <row r="245">
      <c r="H245" s="310"/>
      <c r="O245" s="27"/>
    </row>
    <row r="246">
      <c r="H246" s="310"/>
      <c r="O246" s="27"/>
    </row>
    <row r="247">
      <c r="H247" s="310"/>
      <c r="O247" s="27"/>
    </row>
    <row r="248">
      <c r="H248" s="310"/>
      <c r="O248" s="27"/>
    </row>
    <row r="249">
      <c r="H249" s="310"/>
      <c r="O249" s="27"/>
    </row>
    <row r="250">
      <c r="H250" s="310"/>
      <c r="O250" s="27"/>
    </row>
    <row r="251">
      <c r="H251" s="310"/>
      <c r="O251" s="27"/>
    </row>
    <row r="252">
      <c r="H252" s="310"/>
      <c r="O252" s="27"/>
    </row>
    <row r="253">
      <c r="H253" s="310"/>
      <c r="O253" s="27"/>
    </row>
    <row r="254">
      <c r="H254" s="310"/>
      <c r="O254" s="27"/>
    </row>
    <row r="255">
      <c r="H255" s="310"/>
      <c r="O255" s="27"/>
    </row>
    <row r="256">
      <c r="H256" s="310"/>
      <c r="O256" s="27"/>
    </row>
    <row r="257">
      <c r="H257" s="310"/>
      <c r="O257" s="27"/>
    </row>
    <row r="258">
      <c r="H258" s="310"/>
      <c r="O258" s="27"/>
    </row>
    <row r="259">
      <c r="H259" s="310"/>
      <c r="O259" s="27"/>
    </row>
    <row r="260">
      <c r="H260" s="310"/>
      <c r="O260" s="27"/>
    </row>
    <row r="261">
      <c r="H261" s="310"/>
      <c r="O261" s="27"/>
    </row>
    <row r="262">
      <c r="H262" s="310"/>
      <c r="O262" s="27"/>
    </row>
    <row r="263">
      <c r="H263" s="310"/>
      <c r="O263" s="27"/>
    </row>
    <row r="264">
      <c r="H264" s="310"/>
      <c r="O264" s="27"/>
    </row>
    <row r="265">
      <c r="H265" s="310"/>
      <c r="O265" s="27"/>
    </row>
    <row r="266">
      <c r="H266" s="310"/>
      <c r="O266" s="27"/>
    </row>
    <row r="267">
      <c r="H267" s="310"/>
      <c r="O267" s="27"/>
    </row>
    <row r="268">
      <c r="H268" s="310"/>
      <c r="O268" s="27"/>
    </row>
    <row r="269">
      <c r="H269" s="310"/>
      <c r="O269" s="27"/>
    </row>
    <row r="270">
      <c r="H270" s="310"/>
      <c r="O270" s="27"/>
    </row>
    <row r="271">
      <c r="H271" s="310"/>
      <c r="O271" s="27"/>
    </row>
    <row r="272">
      <c r="H272" s="310"/>
      <c r="O272" s="27"/>
    </row>
    <row r="273">
      <c r="H273" s="310"/>
      <c r="O273" s="27"/>
    </row>
    <row r="274">
      <c r="H274" s="310"/>
      <c r="O274" s="27"/>
    </row>
    <row r="275">
      <c r="H275" s="310"/>
      <c r="O275" s="27"/>
    </row>
    <row r="276">
      <c r="H276" s="310"/>
      <c r="O276" s="27"/>
    </row>
    <row r="277">
      <c r="H277" s="310"/>
      <c r="O277" s="27"/>
    </row>
    <row r="278">
      <c r="H278" s="310"/>
      <c r="O278" s="27"/>
    </row>
    <row r="279">
      <c r="H279" s="310"/>
      <c r="O279" s="27"/>
    </row>
    <row r="280">
      <c r="H280" s="310"/>
      <c r="O280" s="27"/>
    </row>
    <row r="281">
      <c r="H281" s="310"/>
      <c r="O281" s="27"/>
    </row>
    <row r="282">
      <c r="H282" s="310"/>
      <c r="O282" s="27"/>
    </row>
    <row r="283">
      <c r="H283" s="310"/>
      <c r="O283" s="27"/>
    </row>
    <row r="284">
      <c r="H284" s="310"/>
      <c r="O284" s="27"/>
    </row>
    <row r="285">
      <c r="H285" s="310"/>
      <c r="O285" s="27"/>
    </row>
    <row r="286">
      <c r="H286" s="310"/>
      <c r="O286" s="27"/>
    </row>
    <row r="287">
      <c r="H287" s="310"/>
      <c r="O287" s="27"/>
    </row>
    <row r="288">
      <c r="H288" s="310"/>
      <c r="O288" s="27"/>
    </row>
    <row r="289">
      <c r="H289" s="310"/>
      <c r="O289" s="27"/>
    </row>
    <row r="290">
      <c r="H290" s="310"/>
      <c r="O290" s="27"/>
    </row>
    <row r="291">
      <c r="H291" s="310"/>
      <c r="O291" s="27"/>
    </row>
    <row r="292">
      <c r="H292" s="310"/>
      <c r="O292" s="27"/>
    </row>
    <row r="293">
      <c r="H293" s="310"/>
      <c r="O293" s="27"/>
    </row>
    <row r="294">
      <c r="H294" s="310"/>
      <c r="O294" s="27"/>
    </row>
    <row r="295">
      <c r="H295" s="310"/>
      <c r="O295" s="27"/>
    </row>
    <row r="296">
      <c r="H296" s="310"/>
      <c r="O296" s="27"/>
    </row>
    <row r="297">
      <c r="H297" s="310"/>
      <c r="O297" s="27"/>
    </row>
    <row r="298">
      <c r="H298" s="310"/>
      <c r="O298" s="27"/>
    </row>
    <row r="299">
      <c r="H299" s="310"/>
      <c r="O299" s="27"/>
    </row>
    <row r="300">
      <c r="H300" s="310"/>
      <c r="O300" s="27"/>
    </row>
    <row r="301">
      <c r="H301" s="310"/>
      <c r="O301" s="27"/>
    </row>
    <row r="302">
      <c r="H302" s="310"/>
      <c r="O302" s="27"/>
    </row>
    <row r="303">
      <c r="H303" s="310"/>
      <c r="O303" s="27"/>
    </row>
    <row r="304">
      <c r="H304" s="310"/>
      <c r="O304" s="27"/>
    </row>
    <row r="305">
      <c r="H305" s="310"/>
      <c r="O305" s="27"/>
    </row>
    <row r="306">
      <c r="H306" s="310"/>
      <c r="O306" s="27"/>
    </row>
    <row r="307">
      <c r="H307" s="310"/>
      <c r="O307" s="27"/>
    </row>
    <row r="308">
      <c r="H308" s="310"/>
      <c r="O308" s="27"/>
    </row>
    <row r="309">
      <c r="H309" s="310"/>
      <c r="O309" s="27"/>
    </row>
    <row r="310">
      <c r="H310" s="310"/>
      <c r="O310" s="27"/>
    </row>
    <row r="311">
      <c r="H311" s="310"/>
      <c r="O311" s="27"/>
    </row>
    <row r="312">
      <c r="H312" s="310"/>
      <c r="O312" s="27"/>
    </row>
    <row r="313">
      <c r="H313" s="310"/>
      <c r="O313" s="27"/>
    </row>
    <row r="314">
      <c r="H314" s="310"/>
      <c r="O314" s="27"/>
    </row>
    <row r="315">
      <c r="H315" s="310"/>
      <c r="O315" s="27"/>
    </row>
    <row r="316">
      <c r="H316" s="310"/>
      <c r="O316" s="27"/>
    </row>
    <row r="317">
      <c r="H317" s="310"/>
      <c r="O317" s="27"/>
    </row>
    <row r="318">
      <c r="H318" s="310"/>
      <c r="O318" s="27"/>
    </row>
    <row r="319">
      <c r="H319" s="310"/>
      <c r="O319" s="27"/>
    </row>
    <row r="320">
      <c r="H320" s="310"/>
      <c r="O320" s="27"/>
    </row>
    <row r="321">
      <c r="H321" s="310"/>
      <c r="O321" s="27"/>
    </row>
    <row r="322">
      <c r="H322" s="310"/>
      <c r="O322" s="27"/>
    </row>
    <row r="323">
      <c r="H323" s="310"/>
      <c r="O323" s="27"/>
    </row>
    <row r="324">
      <c r="H324" s="310"/>
      <c r="O324" s="27"/>
    </row>
    <row r="325">
      <c r="H325" s="310"/>
      <c r="O325" s="27"/>
    </row>
    <row r="326">
      <c r="H326" s="310"/>
      <c r="O326" s="27"/>
    </row>
    <row r="327">
      <c r="H327" s="310"/>
      <c r="O327" s="27"/>
    </row>
    <row r="328">
      <c r="H328" s="310"/>
      <c r="O328" s="27"/>
    </row>
    <row r="329">
      <c r="H329" s="310"/>
      <c r="O329" s="27"/>
    </row>
    <row r="330">
      <c r="H330" s="310"/>
      <c r="O330" s="27"/>
    </row>
    <row r="331">
      <c r="H331" s="310"/>
      <c r="O331" s="27"/>
    </row>
    <row r="332">
      <c r="H332" s="310"/>
      <c r="O332" s="27"/>
    </row>
    <row r="333">
      <c r="H333" s="310"/>
      <c r="O333" s="27"/>
    </row>
    <row r="334">
      <c r="H334" s="310"/>
      <c r="O334" s="27"/>
    </row>
    <row r="335">
      <c r="H335" s="310"/>
      <c r="O335" s="27"/>
    </row>
    <row r="336">
      <c r="H336" s="310"/>
      <c r="O336" s="27"/>
    </row>
    <row r="337">
      <c r="H337" s="310"/>
      <c r="O337" s="27"/>
    </row>
    <row r="338">
      <c r="H338" s="310"/>
      <c r="O338" s="27"/>
    </row>
    <row r="339">
      <c r="H339" s="310"/>
      <c r="O339" s="27"/>
    </row>
    <row r="340">
      <c r="H340" s="310"/>
      <c r="O340" s="27"/>
    </row>
    <row r="341">
      <c r="H341" s="310"/>
      <c r="O341" s="27"/>
    </row>
    <row r="342">
      <c r="H342" s="310"/>
      <c r="O342" s="27"/>
    </row>
    <row r="343">
      <c r="H343" s="310"/>
      <c r="O343" s="27"/>
    </row>
    <row r="344">
      <c r="H344" s="310"/>
      <c r="O344" s="27"/>
    </row>
    <row r="345">
      <c r="H345" s="310"/>
      <c r="O345" s="27"/>
    </row>
    <row r="346">
      <c r="H346" s="310"/>
      <c r="O346" s="27"/>
    </row>
    <row r="347">
      <c r="H347" s="310"/>
      <c r="O347" s="27"/>
    </row>
    <row r="348">
      <c r="H348" s="310"/>
      <c r="O348" s="27"/>
    </row>
    <row r="349">
      <c r="H349" s="310"/>
      <c r="O349" s="27"/>
    </row>
    <row r="350">
      <c r="H350" s="310"/>
      <c r="O350" s="27"/>
    </row>
    <row r="351">
      <c r="H351" s="310"/>
      <c r="O351" s="27"/>
    </row>
    <row r="352">
      <c r="H352" s="310"/>
      <c r="O352" s="27"/>
    </row>
    <row r="353">
      <c r="H353" s="310"/>
      <c r="O353" s="27"/>
    </row>
    <row r="354">
      <c r="H354" s="310"/>
      <c r="O354" s="27"/>
    </row>
    <row r="355">
      <c r="H355" s="310"/>
      <c r="O355" s="27"/>
    </row>
    <row r="356">
      <c r="H356" s="310"/>
      <c r="O356" s="27"/>
    </row>
    <row r="357">
      <c r="H357" s="310"/>
      <c r="O357" s="27"/>
    </row>
    <row r="358">
      <c r="H358" s="310"/>
      <c r="O358" s="27"/>
    </row>
    <row r="359">
      <c r="H359" s="310"/>
      <c r="O359" s="27"/>
    </row>
    <row r="360">
      <c r="H360" s="310"/>
      <c r="O360" s="27"/>
    </row>
    <row r="361">
      <c r="H361" s="310"/>
      <c r="O361" s="27"/>
    </row>
    <row r="362">
      <c r="H362" s="310"/>
      <c r="O362" s="27"/>
    </row>
    <row r="363">
      <c r="H363" s="310"/>
      <c r="O363" s="27"/>
    </row>
    <row r="364">
      <c r="H364" s="310"/>
      <c r="O364" s="27"/>
    </row>
    <row r="365">
      <c r="H365" s="310"/>
      <c r="O365" s="27"/>
    </row>
    <row r="366">
      <c r="H366" s="310"/>
      <c r="O366" s="27"/>
    </row>
    <row r="367">
      <c r="H367" s="310"/>
      <c r="O367" s="27"/>
    </row>
    <row r="368">
      <c r="H368" s="310"/>
      <c r="O368" s="27"/>
    </row>
    <row r="369">
      <c r="H369" s="310"/>
      <c r="O369" s="27"/>
    </row>
    <row r="370">
      <c r="H370" s="310"/>
      <c r="O370" s="27"/>
    </row>
    <row r="371">
      <c r="H371" s="310"/>
      <c r="O371" s="27"/>
    </row>
    <row r="372">
      <c r="H372" s="310"/>
      <c r="O372" s="27"/>
    </row>
    <row r="373">
      <c r="H373" s="310"/>
      <c r="O373" s="27"/>
    </row>
    <row r="374">
      <c r="H374" s="310"/>
      <c r="O374" s="27"/>
    </row>
    <row r="375">
      <c r="H375" s="310"/>
      <c r="O375" s="27"/>
    </row>
    <row r="376">
      <c r="H376" s="310"/>
      <c r="O376" s="27"/>
    </row>
    <row r="377">
      <c r="H377" s="310"/>
      <c r="O377" s="27"/>
    </row>
    <row r="378">
      <c r="H378" s="310"/>
      <c r="O378" s="27"/>
    </row>
    <row r="379">
      <c r="H379" s="310"/>
      <c r="O379" s="27"/>
    </row>
    <row r="380">
      <c r="H380" s="310"/>
      <c r="O380" s="27"/>
    </row>
    <row r="381">
      <c r="H381" s="310"/>
      <c r="O381" s="27"/>
    </row>
    <row r="382">
      <c r="H382" s="310"/>
      <c r="O382" s="27"/>
    </row>
    <row r="383">
      <c r="H383" s="310"/>
      <c r="O383" s="27"/>
    </row>
    <row r="384">
      <c r="H384" s="310"/>
      <c r="O384" s="27"/>
    </row>
    <row r="385">
      <c r="H385" s="310"/>
      <c r="O385" s="27"/>
    </row>
    <row r="386">
      <c r="H386" s="310"/>
      <c r="O386" s="27"/>
    </row>
    <row r="387">
      <c r="H387" s="310"/>
      <c r="O387" s="27"/>
    </row>
    <row r="388">
      <c r="H388" s="310"/>
      <c r="O388" s="27"/>
    </row>
    <row r="389">
      <c r="H389" s="310"/>
      <c r="O389" s="27"/>
    </row>
    <row r="390">
      <c r="H390" s="310"/>
      <c r="O390" s="27"/>
    </row>
    <row r="391">
      <c r="H391" s="310"/>
      <c r="O391" s="27"/>
    </row>
    <row r="392">
      <c r="H392" s="310"/>
      <c r="O392" s="27"/>
    </row>
    <row r="393">
      <c r="H393" s="310"/>
      <c r="O393" s="27"/>
    </row>
    <row r="394">
      <c r="H394" s="310"/>
      <c r="O394" s="27"/>
    </row>
    <row r="395">
      <c r="H395" s="310"/>
      <c r="O395" s="27"/>
    </row>
    <row r="396">
      <c r="H396" s="310"/>
      <c r="O396" s="27"/>
    </row>
    <row r="397">
      <c r="H397" s="310"/>
      <c r="O397" s="27"/>
    </row>
    <row r="398">
      <c r="H398" s="310"/>
      <c r="O398" s="27"/>
    </row>
    <row r="399">
      <c r="H399" s="310"/>
      <c r="O399" s="27"/>
    </row>
    <row r="400">
      <c r="H400" s="310"/>
      <c r="O400" s="27"/>
    </row>
    <row r="401">
      <c r="H401" s="310"/>
      <c r="O401" s="27"/>
    </row>
    <row r="402">
      <c r="H402" s="310"/>
      <c r="O402" s="27"/>
    </row>
    <row r="403">
      <c r="H403" s="310"/>
      <c r="O403" s="27"/>
    </row>
    <row r="404">
      <c r="H404" s="310"/>
      <c r="O404" s="27"/>
    </row>
    <row r="405">
      <c r="H405" s="310"/>
      <c r="O405" s="27"/>
    </row>
    <row r="406">
      <c r="H406" s="310"/>
      <c r="O406" s="27"/>
    </row>
    <row r="407">
      <c r="H407" s="310"/>
      <c r="O407" s="27"/>
    </row>
    <row r="408">
      <c r="H408" s="310"/>
      <c r="O408" s="27"/>
    </row>
    <row r="409">
      <c r="H409" s="310"/>
      <c r="O409" s="27"/>
    </row>
    <row r="410">
      <c r="H410" s="310"/>
      <c r="O410" s="27"/>
    </row>
    <row r="411">
      <c r="H411" s="310"/>
      <c r="O411" s="27"/>
    </row>
    <row r="412">
      <c r="H412" s="310"/>
      <c r="O412" s="27"/>
    </row>
    <row r="413">
      <c r="H413" s="310"/>
      <c r="O413" s="27"/>
    </row>
    <row r="414">
      <c r="H414" s="310"/>
      <c r="O414" s="27"/>
    </row>
    <row r="415">
      <c r="H415" s="310"/>
      <c r="O415" s="27"/>
    </row>
    <row r="416">
      <c r="H416" s="310"/>
      <c r="O416" s="27"/>
    </row>
    <row r="417">
      <c r="H417" s="310"/>
      <c r="O417" s="27"/>
    </row>
    <row r="418">
      <c r="H418" s="310"/>
      <c r="O418" s="27"/>
    </row>
    <row r="419">
      <c r="H419" s="310"/>
      <c r="O419" s="27"/>
    </row>
    <row r="420">
      <c r="H420" s="310"/>
      <c r="O420" s="27"/>
    </row>
    <row r="421">
      <c r="H421" s="310"/>
      <c r="O421" s="27"/>
    </row>
    <row r="422">
      <c r="H422" s="310"/>
      <c r="O422" s="27"/>
    </row>
    <row r="423">
      <c r="H423" s="310"/>
      <c r="O423" s="27"/>
    </row>
    <row r="424">
      <c r="H424" s="310"/>
      <c r="O424" s="27"/>
    </row>
    <row r="425">
      <c r="H425" s="310"/>
      <c r="O425" s="27"/>
    </row>
    <row r="426">
      <c r="H426" s="310"/>
      <c r="O426" s="27"/>
    </row>
    <row r="427">
      <c r="H427" s="310"/>
      <c r="O427" s="27"/>
    </row>
    <row r="428">
      <c r="H428" s="310"/>
      <c r="O428" s="27"/>
    </row>
    <row r="429">
      <c r="H429" s="310"/>
      <c r="O429" s="27"/>
    </row>
    <row r="430">
      <c r="H430" s="310"/>
      <c r="O430" s="27"/>
    </row>
    <row r="431">
      <c r="H431" s="310"/>
      <c r="O431" s="27"/>
    </row>
    <row r="432">
      <c r="H432" s="310"/>
      <c r="O432" s="27"/>
    </row>
    <row r="433">
      <c r="H433" s="310"/>
      <c r="O433" s="27"/>
    </row>
    <row r="434">
      <c r="H434" s="310"/>
      <c r="O434" s="27"/>
    </row>
    <row r="435">
      <c r="H435" s="310"/>
      <c r="O435" s="27"/>
    </row>
    <row r="436">
      <c r="H436" s="310"/>
      <c r="O436" s="27"/>
    </row>
    <row r="437">
      <c r="H437" s="310"/>
      <c r="O437" s="27"/>
    </row>
    <row r="438">
      <c r="H438" s="310"/>
      <c r="O438" s="27"/>
    </row>
    <row r="439">
      <c r="H439" s="310"/>
      <c r="O439" s="27"/>
    </row>
    <row r="440">
      <c r="H440" s="310"/>
      <c r="O440" s="27"/>
    </row>
    <row r="441">
      <c r="H441" s="310"/>
      <c r="O441" s="27"/>
    </row>
    <row r="442">
      <c r="H442" s="310"/>
      <c r="O442" s="27"/>
    </row>
    <row r="443">
      <c r="H443" s="310"/>
      <c r="O443" s="27"/>
    </row>
    <row r="444">
      <c r="H444" s="310"/>
      <c r="O444" s="27"/>
    </row>
    <row r="445">
      <c r="H445" s="310"/>
      <c r="O445" s="27"/>
    </row>
    <row r="446">
      <c r="H446" s="310"/>
      <c r="O446" s="27"/>
    </row>
    <row r="447">
      <c r="H447" s="310"/>
      <c r="O447" s="27"/>
    </row>
    <row r="448">
      <c r="H448" s="310"/>
      <c r="O448" s="27"/>
    </row>
    <row r="449">
      <c r="H449" s="310"/>
      <c r="O449" s="27"/>
    </row>
    <row r="450">
      <c r="H450" s="310"/>
      <c r="O450" s="27"/>
    </row>
    <row r="451">
      <c r="H451" s="310"/>
      <c r="O451" s="27"/>
    </row>
    <row r="452">
      <c r="H452" s="310"/>
      <c r="O452" s="27"/>
    </row>
    <row r="453">
      <c r="H453" s="310"/>
      <c r="O453" s="27"/>
    </row>
    <row r="454">
      <c r="H454" s="310"/>
      <c r="O454" s="27"/>
    </row>
    <row r="455">
      <c r="H455" s="310"/>
      <c r="O455" s="27"/>
    </row>
    <row r="456">
      <c r="H456" s="310"/>
      <c r="O456" s="27"/>
    </row>
    <row r="457">
      <c r="H457" s="310"/>
      <c r="O457" s="27"/>
    </row>
    <row r="458">
      <c r="H458" s="310"/>
      <c r="O458" s="27"/>
    </row>
    <row r="459">
      <c r="H459" s="310"/>
      <c r="O459" s="27"/>
    </row>
    <row r="460">
      <c r="H460" s="310"/>
      <c r="O460" s="27"/>
    </row>
    <row r="461">
      <c r="H461" s="310"/>
      <c r="O461" s="27"/>
    </row>
    <row r="462">
      <c r="H462" s="310"/>
      <c r="O462" s="27"/>
    </row>
    <row r="463">
      <c r="H463" s="310"/>
      <c r="O463" s="27"/>
    </row>
    <row r="464">
      <c r="H464" s="310"/>
      <c r="O464" s="27"/>
    </row>
    <row r="465">
      <c r="H465" s="310"/>
      <c r="O465" s="27"/>
    </row>
    <row r="466">
      <c r="H466" s="310"/>
      <c r="O466" s="27"/>
    </row>
    <row r="467">
      <c r="H467" s="310"/>
      <c r="O467" s="27"/>
    </row>
    <row r="468">
      <c r="H468" s="310"/>
      <c r="O468" s="27"/>
    </row>
    <row r="469">
      <c r="H469" s="310"/>
      <c r="O469" s="27"/>
    </row>
    <row r="470">
      <c r="H470" s="310"/>
      <c r="O470" s="27"/>
    </row>
    <row r="471">
      <c r="H471" s="310"/>
      <c r="O471" s="27"/>
    </row>
    <row r="472">
      <c r="H472" s="310"/>
      <c r="O472" s="27"/>
    </row>
    <row r="473">
      <c r="H473" s="310"/>
      <c r="O473" s="27"/>
    </row>
    <row r="474">
      <c r="H474" s="310"/>
      <c r="O474" s="27"/>
    </row>
    <row r="475">
      <c r="H475" s="310"/>
      <c r="O475" s="27"/>
    </row>
    <row r="476">
      <c r="H476" s="310"/>
      <c r="O476" s="27"/>
    </row>
    <row r="477">
      <c r="H477" s="310"/>
      <c r="O477" s="27"/>
    </row>
    <row r="478">
      <c r="H478" s="310"/>
      <c r="O478" s="27"/>
    </row>
    <row r="479">
      <c r="H479" s="310"/>
      <c r="O479" s="27"/>
    </row>
    <row r="480">
      <c r="H480" s="310"/>
      <c r="O480" s="27"/>
    </row>
    <row r="481">
      <c r="H481" s="310"/>
      <c r="O481" s="27"/>
    </row>
    <row r="482">
      <c r="H482" s="310"/>
      <c r="O482" s="27"/>
    </row>
    <row r="483">
      <c r="H483" s="310"/>
      <c r="O483" s="27"/>
    </row>
    <row r="484">
      <c r="H484" s="310"/>
      <c r="O484" s="27"/>
    </row>
    <row r="485">
      <c r="H485" s="310"/>
      <c r="O485" s="27"/>
    </row>
    <row r="486">
      <c r="H486" s="310"/>
      <c r="O486" s="27"/>
    </row>
    <row r="487">
      <c r="H487" s="310"/>
      <c r="O487" s="27"/>
    </row>
    <row r="488">
      <c r="H488" s="310"/>
      <c r="O488" s="27"/>
    </row>
    <row r="489">
      <c r="H489" s="310"/>
      <c r="O489" s="27"/>
    </row>
    <row r="490">
      <c r="H490" s="310"/>
      <c r="O490" s="27"/>
    </row>
    <row r="491">
      <c r="H491" s="310"/>
      <c r="O491" s="27"/>
    </row>
    <row r="492">
      <c r="H492" s="310"/>
      <c r="O492" s="27"/>
    </row>
    <row r="493">
      <c r="H493" s="310"/>
      <c r="O493" s="27"/>
    </row>
    <row r="494">
      <c r="H494" s="310"/>
      <c r="O494" s="27"/>
    </row>
    <row r="495">
      <c r="H495" s="310"/>
      <c r="O495" s="27"/>
    </row>
    <row r="496">
      <c r="H496" s="310"/>
      <c r="O496" s="27"/>
    </row>
    <row r="497">
      <c r="H497" s="310"/>
      <c r="O497" s="27"/>
    </row>
    <row r="498">
      <c r="H498" s="310"/>
      <c r="O498" s="27"/>
    </row>
    <row r="499">
      <c r="H499" s="310"/>
      <c r="O499" s="27"/>
    </row>
    <row r="500">
      <c r="H500" s="310"/>
      <c r="O500" s="27"/>
    </row>
    <row r="501">
      <c r="H501" s="310"/>
      <c r="O501" s="27"/>
    </row>
    <row r="502">
      <c r="H502" s="310"/>
      <c r="O502" s="27"/>
    </row>
    <row r="503">
      <c r="H503" s="310"/>
      <c r="O503" s="27"/>
    </row>
    <row r="504">
      <c r="H504" s="310"/>
      <c r="O504" s="27"/>
    </row>
    <row r="505">
      <c r="H505" s="310"/>
      <c r="O505" s="27"/>
    </row>
    <row r="506">
      <c r="H506" s="310"/>
      <c r="O506" s="27"/>
    </row>
    <row r="507">
      <c r="H507" s="310"/>
      <c r="O507" s="27"/>
    </row>
    <row r="508">
      <c r="H508" s="310"/>
      <c r="O508" s="27"/>
    </row>
    <row r="509">
      <c r="H509" s="310"/>
      <c r="O509" s="27"/>
    </row>
    <row r="510">
      <c r="H510" s="310"/>
      <c r="O510" s="27"/>
    </row>
    <row r="511">
      <c r="H511" s="310"/>
      <c r="O511" s="27"/>
    </row>
    <row r="512">
      <c r="H512" s="310"/>
      <c r="O512" s="27"/>
    </row>
    <row r="513">
      <c r="H513" s="310"/>
      <c r="O513" s="27"/>
    </row>
    <row r="514">
      <c r="H514" s="310"/>
      <c r="O514" s="27"/>
    </row>
    <row r="515">
      <c r="H515" s="310"/>
      <c r="O515" s="27"/>
    </row>
    <row r="516">
      <c r="H516" s="310"/>
      <c r="O516" s="27"/>
    </row>
    <row r="517">
      <c r="H517" s="310"/>
      <c r="O517" s="27"/>
    </row>
    <row r="518">
      <c r="H518" s="310"/>
      <c r="O518" s="27"/>
    </row>
    <row r="519">
      <c r="H519" s="310"/>
      <c r="O519" s="27"/>
    </row>
    <row r="520">
      <c r="H520" s="310"/>
      <c r="O520" s="27"/>
    </row>
    <row r="521">
      <c r="H521" s="310"/>
      <c r="O521" s="27"/>
    </row>
    <row r="522">
      <c r="H522" s="310"/>
      <c r="O522" s="27"/>
    </row>
    <row r="523">
      <c r="H523" s="310"/>
      <c r="O523" s="27"/>
    </row>
    <row r="524">
      <c r="H524" s="310"/>
      <c r="O524" s="27"/>
    </row>
    <row r="525">
      <c r="H525" s="310"/>
      <c r="O525" s="27"/>
    </row>
    <row r="526">
      <c r="H526" s="310"/>
      <c r="O526" s="27"/>
    </row>
    <row r="527">
      <c r="H527" s="310"/>
      <c r="O527" s="27"/>
    </row>
    <row r="528">
      <c r="H528" s="310"/>
      <c r="O528" s="27"/>
    </row>
    <row r="529">
      <c r="H529" s="310"/>
      <c r="O529" s="27"/>
    </row>
    <row r="530">
      <c r="H530" s="310"/>
      <c r="O530" s="27"/>
    </row>
    <row r="531">
      <c r="H531" s="310"/>
      <c r="O531" s="27"/>
    </row>
    <row r="532">
      <c r="H532" s="310"/>
      <c r="O532" s="27"/>
    </row>
    <row r="533">
      <c r="H533" s="310"/>
      <c r="O533" s="27"/>
    </row>
    <row r="534">
      <c r="H534" s="310"/>
      <c r="O534" s="27"/>
    </row>
    <row r="535">
      <c r="H535" s="310"/>
      <c r="O535" s="27"/>
    </row>
    <row r="536">
      <c r="H536" s="310"/>
      <c r="O536" s="27"/>
    </row>
    <row r="537">
      <c r="H537" s="310"/>
      <c r="O537" s="27"/>
    </row>
    <row r="538">
      <c r="H538" s="310"/>
      <c r="O538" s="27"/>
    </row>
    <row r="539">
      <c r="H539" s="310"/>
      <c r="O539" s="27"/>
    </row>
    <row r="540">
      <c r="H540" s="310"/>
      <c r="O540" s="27"/>
    </row>
    <row r="541">
      <c r="H541" s="310"/>
      <c r="O541" s="27"/>
    </row>
    <row r="542">
      <c r="H542" s="310"/>
      <c r="O542" s="27"/>
    </row>
    <row r="543">
      <c r="H543" s="310"/>
      <c r="O543" s="27"/>
    </row>
    <row r="544">
      <c r="H544" s="310"/>
      <c r="O544" s="27"/>
    </row>
    <row r="545">
      <c r="H545" s="310"/>
      <c r="O545" s="27"/>
    </row>
    <row r="546">
      <c r="H546" s="310"/>
      <c r="O546" s="27"/>
    </row>
    <row r="547">
      <c r="H547" s="310"/>
      <c r="O547" s="27"/>
    </row>
    <row r="548">
      <c r="H548" s="310"/>
      <c r="O548" s="27"/>
    </row>
    <row r="549">
      <c r="H549" s="310"/>
      <c r="O549" s="27"/>
    </row>
    <row r="550">
      <c r="H550" s="310"/>
      <c r="O550" s="27"/>
    </row>
    <row r="551">
      <c r="H551" s="310"/>
      <c r="O551" s="27"/>
    </row>
    <row r="552">
      <c r="H552" s="310"/>
      <c r="O552" s="27"/>
    </row>
    <row r="553">
      <c r="H553" s="310"/>
      <c r="O553" s="27"/>
    </row>
    <row r="554">
      <c r="H554" s="310"/>
      <c r="O554" s="27"/>
    </row>
    <row r="555">
      <c r="H555" s="310"/>
      <c r="O555" s="27"/>
    </row>
    <row r="556">
      <c r="H556" s="310"/>
      <c r="O556" s="27"/>
    </row>
    <row r="557">
      <c r="H557" s="310"/>
      <c r="O557" s="27"/>
    </row>
    <row r="558">
      <c r="H558" s="310"/>
      <c r="O558" s="27"/>
    </row>
    <row r="559">
      <c r="H559" s="310"/>
      <c r="O559" s="27"/>
    </row>
    <row r="560">
      <c r="H560" s="310"/>
      <c r="O560" s="27"/>
    </row>
    <row r="561">
      <c r="H561" s="310"/>
      <c r="O561" s="27"/>
    </row>
    <row r="562">
      <c r="H562" s="310"/>
      <c r="O562" s="27"/>
    </row>
    <row r="563">
      <c r="H563" s="310"/>
      <c r="O563" s="27"/>
    </row>
    <row r="564">
      <c r="H564" s="310"/>
      <c r="O564" s="27"/>
    </row>
    <row r="565">
      <c r="H565" s="310"/>
      <c r="O565" s="27"/>
    </row>
    <row r="566">
      <c r="H566" s="310"/>
      <c r="O566" s="27"/>
    </row>
    <row r="567">
      <c r="H567" s="310"/>
      <c r="O567" s="27"/>
    </row>
    <row r="568">
      <c r="H568" s="310"/>
      <c r="O568" s="27"/>
    </row>
    <row r="569">
      <c r="H569" s="310"/>
      <c r="O569" s="27"/>
    </row>
    <row r="570">
      <c r="H570" s="310"/>
      <c r="O570" s="27"/>
    </row>
    <row r="571">
      <c r="H571" s="310"/>
      <c r="O571" s="27"/>
    </row>
    <row r="572">
      <c r="H572" s="310"/>
      <c r="O572" s="27"/>
    </row>
    <row r="573">
      <c r="H573" s="310"/>
      <c r="O573" s="27"/>
    </row>
    <row r="574">
      <c r="H574" s="310"/>
      <c r="O574" s="27"/>
    </row>
    <row r="575">
      <c r="H575" s="310"/>
      <c r="O575" s="27"/>
    </row>
    <row r="576">
      <c r="H576" s="310"/>
      <c r="O576" s="27"/>
    </row>
    <row r="577">
      <c r="H577" s="310"/>
      <c r="O577" s="27"/>
    </row>
    <row r="578">
      <c r="H578" s="310"/>
      <c r="O578" s="27"/>
    </row>
    <row r="579">
      <c r="H579" s="310"/>
      <c r="O579" s="27"/>
    </row>
    <row r="580">
      <c r="H580" s="310"/>
      <c r="O580" s="27"/>
    </row>
    <row r="581">
      <c r="H581" s="310"/>
      <c r="O581" s="27"/>
    </row>
    <row r="582">
      <c r="H582" s="310"/>
      <c r="O582" s="27"/>
    </row>
    <row r="583">
      <c r="H583" s="310"/>
      <c r="O583" s="27"/>
    </row>
    <row r="584">
      <c r="H584" s="310"/>
      <c r="O584" s="27"/>
    </row>
    <row r="585">
      <c r="H585" s="310"/>
      <c r="O585" s="27"/>
    </row>
    <row r="586">
      <c r="H586" s="310"/>
      <c r="O586" s="27"/>
    </row>
    <row r="587">
      <c r="H587" s="310"/>
      <c r="O587" s="27"/>
    </row>
    <row r="588">
      <c r="H588" s="310"/>
      <c r="O588" s="27"/>
    </row>
    <row r="589">
      <c r="H589" s="310"/>
      <c r="O589" s="27"/>
    </row>
    <row r="590">
      <c r="H590" s="310"/>
      <c r="O590" s="27"/>
    </row>
    <row r="591">
      <c r="H591" s="310"/>
      <c r="O591" s="27"/>
    </row>
    <row r="592">
      <c r="H592" s="310"/>
      <c r="O592" s="27"/>
    </row>
    <row r="593">
      <c r="H593" s="310"/>
      <c r="O593" s="27"/>
    </row>
    <row r="594">
      <c r="H594" s="310"/>
      <c r="O594" s="27"/>
    </row>
    <row r="595">
      <c r="H595" s="310"/>
      <c r="O595" s="27"/>
    </row>
    <row r="596">
      <c r="H596" s="310"/>
      <c r="O596" s="27"/>
    </row>
    <row r="597">
      <c r="H597" s="310"/>
      <c r="O597" s="27"/>
    </row>
    <row r="598">
      <c r="H598" s="310"/>
      <c r="O598" s="27"/>
    </row>
    <row r="599">
      <c r="H599" s="310"/>
      <c r="O599" s="27"/>
    </row>
    <row r="600">
      <c r="H600" s="310"/>
      <c r="O600" s="27"/>
    </row>
    <row r="601">
      <c r="H601" s="310"/>
      <c r="O601" s="27"/>
    </row>
    <row r="602">
      <c r="H602" s="310"/>
      <c r="O602" s="27"/>
    </row>
    <row r="603">
      <c r="H603" s="310"/>
      <c r="O603" s="27"/>
    </row>
    <row r="604">
      <c r="H604" s="310"/>
      <c r="O604" s="27"/>
    </row>
    <row r="605">
      <c r="H605" s="310"/>
      <c r="O605" s="27"/>
    </row>
    <row r="606">
      <c r="H606" s="310"/>
      <c r="O606" s="27"/>
    </row>
    <row r="607">
      <c r="H607" s="310"/>
      <c r="O607" s="27"/>
    </row>
    <row r="608">
      <c r="H608" s="310"/>
      <c r="O608" s="27"/>
    </row>
    <row r="609">
      <c r="H609" s="310"/>
      <c r="O609" s="27"/>
    </row>
    <row r="610">
      <c r="H610" s="310"/>
      <c r="O610" s="27"/>
    </row>
    <row r="611">
      <c r="H611" s="310"/>
      <c r="O611" s="27"/>
    </row>
    <row r="612">
      <c r="H612" s="310"/>
      <c r="O612" s="27"/>
    </row>
    <row r="613">
      <c r="H613" s="310"/>
      <c r="O613" s="27"/>
    </row>
    <row r="614">
      <c r="H614" s="310"/>
      <c r="O614" s="27"/>
    </row>
    <row r="615">
      <c r="H615" s="310"/>
      <c r="O615" s="27"/>
    </row>
    <row r="616">
      <c r="H616" s="310"/>
      <c r="O616" s="27"/>
    </row>
    <row r="617">
      <c r="H617" s="310"/>
      <c r="O617" s="27"/>
    </row>
    <row r="618">
      <c r="H618" s="310"/>
      <c r="O618" s="27"/>
    </row>
    <row r="619">
      <c r="H619" s="310"/>
      <c r="O619" s="27"/>
    </row>
    <row r="620">
      <c r="H620" s="310"/>
      <c r="O620" s="27"/>
    </row>
    <row r="621">
      <c r="H621" s="310"/>
      <c r="O621" s="27"/>
    </row>
    <row r="622">
      <c r="H622" s="310"/>
      <c r="O622" s="27"/>
    </row>
    <row r="623">
      <c r="H623" s="310"/>
      <c r="O623" s="27"/>
    </row>
    <row r="624">
      <c r="H624" s="310"/>
      <c r="O624" s="27"/>
    </row>
    <row r="625">
      <c r="H625" s="310"/>
      <c r="O625" s="27"/>
    </row>
    <row r="626">
      <c r="H626" s="310"/>
      <c r="O626" s="27"/>
    </row>
    <row r="627">
      <c r="H627" s="310"/>
      <c r="O627" s="27"/>
    </row>
    <row r="628">
      <c r="H628" s="310"/>
      <c r="O628" s="27"/>
    </row>
    <row r="629">
      <c r="H629" s="310"/>
      <c r="O629" s="27"/>
    </row>
    <row r="630">
      <c r="H630" s="310"/>
      <c r="O630" s="27"/>
    </row>
    <row r="631">
      <c r="H631" s="310"/>
      <c r="O631" s="27"/>
    </row>
    <row r="632">
      <c r="H632" s="310"/>
      <c r="O632" s="27"/>
    </row>
    <row r="633">
      <c r="H633" s="310"/>
      <c r="O633" s="27"/>
    </row>
    <row r="634">
      <c r="H634" s="310"/>
      <c r="O634" s="27"/>
    </row>
    <row r="635">
      <c r="H635" s="310"/>
      <c r="O635" s="27"/>
    </row>
    <row r="636">
      <c r="H636" s="310"/>
      <c r="O636" s="27"/>
    </row>
    <row r="637">
      <c r="H637" s="310"/>
      <c r="O637" s="27"/>
    </row>
    <row r="638">
      <c r="H638" s="310"/>
      <c r="O638" s="27"/>
    </row>
    <row r="639">
      <c r="H639" s="310"/>
      <c r="O639" s="27"/>
    </row>
    <row r="640">
      <c r="H640" s="310"/>
      <c r="O640" s="27"/>
    </row>
    <row r="641">
      <c r="H641" s="310"/>
      <c r="O641" s="27"/>
    </row>
    <row r="642">
      <c r="H642" s="310"/>
      <c r="O642" s="27"/>
    </row>
    <row r="643">
      <c r="H643" s="310"/>
      <c r="O643" s="27"/>
    </row>
    <row r="644">
      <c r="H644" s="310"/>
      <c r="O644" s="27"/>
    </row>
    <row r="645">
      <c r="H645" s="310"/>
      <c r="O645" s="27"/>
    </row>
    <row r="646">
      <c r="H646" s="310"/>
      <c r="O646" s="27"/>
    </row>
    <row r="647">
      <c r="H647" s="310"/>
      <c r="O647" s="27"/>
    </row>
    <row r="648">
      <c r="H648" s="310"/>
      <c r="O648" s="27"/>
    </row>
    <row r="649">
      <c r="H649" s="310"/>
      <c r="O649" s="27"/>
    </row>
    <row r="650">
      <c r="H650" s="310"/>
      <c r="O650" s="27"/>
    </row>
    <row r="651">
      <c r="H651" s="310"/>
      <c r="O651" s="27"/>
    </row>
    <row r="652">
      <c r="H652" s="310"/>
      <c r="O652" s="27"/>
    </row>
    <row r="653">
      <c r="H653" s="310"/>
      <c r="O653" s="27"/>
    </row>
    <row r="654">
      <c r="H654" s="310"/>
      <c r="O654" s="27"/>
    </row>
    <row r="655">
      <c r="H655" s="310"/>
      <c r="O655" s="27"/>
    </row>
    <row r="656">
      <c r="H656" s="310"/>
      <c r="O656" s="27"/>
    </row>
    <row r="657">
      <c r="H657" s="310"/>
      <c r="O657" s="27"/>
    </row>
    <row r="658">
      <c r="H658" s="310"/>
      <c r="O658" s="27"/>
    </row>
    <row r="659">
      <c r="H659" s="310"/>
      <c r="O659" s="27"/>
    </row>
    <row r="660">
      <c r="H660" s="310"/>
      <c r="O660" s="27"/>
    </row>
    <row r="661">
      <c r="H661" s="310"/>
      <c r="O661" s="27"/>
    </row>
    <row r="662">
      <c r="H662" s="310"/>
      <c r="O662" s="27"/>
    </row>
    <row r="663">
      <c r="H663" s="310"/>
      <c r="O663" s="27"/>
    </row>
    <row r="664">
      <c r="H664" s="310"/>
      <c r="O664" s="27"/>
    </row>
    <row r="665">
      <c r="H665" s="310"/>
      <c r="O665" s="27"/>
    </row>
    <row r="666">
      <c r="H666" s="310"/>
      <c r="O666" s="27"/>
    </row>
    <row r="667">
      <c r="H667" s="310"/>
      <c r="O667" s="27"/>
    </row>
    <row r="668">
      <c r="H668" s="310"/>
      <c r="O668" s="27"/>
    </row>
    <row r="669">
      <c r="H669" s="310"/>
      <c r="O669" s="27"/>
    </row>
    <row r="670">
      <c r="H670" s="310"/>
      <c r="O670" s="27"/>
    </row>
    <row r="671">
      <c r="H671" s="310"/>
      <c r="O671" s="27"/>
    </row>
    <row r="672">
      <c r="H672" s="310"/>
      <c r="O672" s="27"/>
    </row>
    <row r="673">
      <c r="H673" s="310"/>
      <c r="O673" s="27"/>
    </row>
    <row r="674">
      <c r="H674" s="310"/>
      <c r="O674" s="27"/>
    </row>
    <row r="675">
      <c r="H675" s="310"/>
      <c r="O675" s="27"/>
    </row>
    <row r="676">
      <c r="H676" s="310"/>
      <c r="O676" s="27"/>
    </row>
    <row r="677">
      <c r="H677" s="310"/>
      <c r="O677" s="27"/>
    </row>
    <row r="678">
      <c r="H678" s="310"/>
      <c r="O678" s="27"/>
    </row>
    <row r="679">
      <c r="H679" s="310"/>
      <c r="O679" s="27"/>
    </row>
    <row r="680">
      <c r="H680" s="310"/>
      <c r="O680" s="27"/>
    </row>
    <row r="681">
      <c r="H681" s="310"/>
      <c r="O681" s="27"/>
    </row>
    <row r="682">
      <c r="H682" s="310"/>
      <c r="O682" s="27"/>
    </row>
    <row r="683">
      <c r="H683" s="310"/>
      <c r="O683" s="27"/>
    </row>
    <row r="684">
      <c r="H684" s="310"/>
      <c r="O684" s="27"/>
    </row>
    <row r="685">
      <c r="H685" s="310"/>
      <c r="O685" s="27"/>
    </row>
    <row r="686">
      <c r="H686" s="310"/>
      <c r="O686" s="27"/>
    </row>
    <row r="687">
      <c r="H687" s="310"/>
      <c r="O687" s="27"/>
    </row>
    <row r="688">
      <c r="H688" s="310"/>
      <c r="O688" s="27"/>
    </row>
    <row r="689">
      <c r="H689" s="310"/>
      <c r="O689" s="27"/>
    </row>
    <row r="690">
      <c r="H690" s="310"/>
      <c r="O690" s="27"/>
    </row>
    <row r="691">
      <c r="H691" s="310"/>
      <c r="O691" s="27"/>
    </row>
    <row r="692">
      <c r="H692" s="310"/>
      <c r="O692" s="27"/>
    </row>
    <row r="693">
      <c r="H693" s="310"/>
      <c r="O693" s="27"/>
    </row>
    <row r="694">
      <c r="H694" s="310"/>
      <c r="O694" s="27"/>
    </row>
    <row r="695">
      <c r="H695" s="310"/>
      <c r="O695" s="27"/>
    </row>
    <row r="696">
      <c r="H696" s="310"/>
      <c r="O696" s="27"/>
    </row>
    <row r="697">
      <c r="H697" s="310"/>
      <c r="O697" s="27"/>
    </row>
    <row r="698">
      <c r="H698" s="310"/>
      <c r="O698" s="27"/>
    </row>
    <row r="699">
      <c r="H699" s="310"/>
      <c r="O699" s="27"/>
    </row>
    <row r="700">
      <c r="H700" s="310"/>
      <c r="O700" s="27"/>
    </row>
    <row r="701">
      <c r="H701" s="310"/>
      <c r="O701" s="27"/>
    </row>
    <row r="702">
      <c r="H702" s="310"/>
      <c r="O702" s="27"/>
    </row>
    <row r="703">
      <c r="H703" s="310"/>
      <c r="O703" s="27"/>
    </row>
    <row r="704">
      <c r="H704" s="310"/>
      <c r="O704" s="27"/>
    </row>
    <row r="705">
      <c r="H705" s="310"/>
      <c r="O705" s="27"/>
    </row>
    <row r="706">
      <c r="H706" s="310"/>
      <c r="O706" s="27"/>
    </row>
    <row r="707">
      <c r="H707" s="310"/>
      <c r="O707" s="27"/>
    </row>
    <row r="708">
      <c r="H708" s="310"/>
      <c r="O708" s="27"/>
    </row>
    <row r="709">
      <c r="H709" s="310"/>
      <c r="O709" s="27"/>
    </row>
    <row r="710">
      <c r="H710" s="310"/>
      <c r="O710" s="27"/>
    </row>
    <row r="711">
      <c r="H711" s="310"/>
      <c r="O711" s="27"/>
    </row>
    <row r="712">
      <c r="H712" s="310"/>
      <c r="O712" s="27"/>
    </row>
    <row r="713">
      <c r="H713" s="310"/>
      <c r="O713" s="27"/>
    </row>
    <row r="714">
      <c r="H714" s="310"/>
      <c r="O714" s="27"/>
    </row>
    <row r="715">
      <c r="H715" s="310"/>
      <c r="O715" s="27"/>
    </row>
    <row r="716">
      <c r="H716" s="310"/>
      <c r="O716" s="27"/>
    </row>
    <row r="717">
      <c r="H717" s="310"/>
      <c r="O717" s="27"/>
    </row>
    <row r="718">
      <c r="H718" s="310"/>
      <c r="O718" s="27"/>
    </row>
    <row r="719">
      <c r="H719" s="310"/>
      <c r="O719" s="27"/>
    </row>
    <row r="720">
      <c r="H720" s="310"/>
      <c r="O720" s="27"/>
    </row>
    <row r="721">
      <c r="H721" s="310"/>
      <c r="O721" s="27"/>
    </row>
    <row r="722">
      <c r="H722" s="310"/>
      <c r="O722" s="27"/>
    </row>
    <row r="723">
      <c r="H723" s="310"/>
      <c r="O723" s="27"/>
    </row>
    <row r="724">
      <c r="H724" s="310"/>
      <c r="O724" s="27"/>
    </row>
    <row r="725">
      <c r="H725" s="310"/>
      <c r="O725" s="27"/>
    </row>
    <row r="726">
      <c r="H726" s="310"/>
      <c r="O726" s="27"/>
    </row>
    <row r="727">
      <c r="H727" s="310"/>
      <c r="O727" s="27"/>
    </row>
    <row r="728">
      <c r="H728" s="310"/>
      <c r="O728" s="27"/>
    </row>
    <row r="729">
      <c r="H729" s="310"/>
      <c r="O729" s="27"/>
    </row>
    <row r="730">
      <c r="H730" s="310"/>
      <c r="O730" s="27"/>
    </row>
    <row r="731">
      <c r="H731" s="310"/>
      <c r="O731" s="27"/>
    </row>
    <row r="732">
      <c r="H732" s="310"/>
      <c r="O732" s="27"/>
    </row>
    <row r="733">
      <c r="H733" s="310"/>
      <c r="O733" s="27"/>
    </row>
    <row r="734">
      <c r="H734" s="310"/>
      <c r="O734" s="27"/>
    </row>
    <row r="735">
      <c r="H735" s="310"/>
      <c r="O735" s="27"/>
    </row>
    <row r="736">
      <c r="H736" s="310"/>
      <c r="O736" s="27"/>
    </row>
    <row r="737">
      <c r="H737" s="310"/>
      <c r="O737" s="27"/>
    </row>
    <row r="738">
      <c r="H738" s="310"/>
      <c r="O738" s="27"/>
    </row>
    <row r="739">
      <c r="H739" s="310"/>
      <c r="O739" s="27"/>
    </row>
    <row r="740">
      <c r="H740" s="310"/>
      <c r="O740" s="27"/>
    </row>
    <row r="741">
      <c r="H741" s="310"/>
      <c r="O741" s="27"/>
    </row>
    <row r="742">
      <c r="H742" s="310"/>
      <c r="O742" s="27"/>
    </row>
    <row r="743">
      <c r="H743" s="310"/>
      <c r="O743" s="27"/>
    </row>
    <row r="744">
      <c r="H744" s="310"/>
      <c r="O744" s="27"/>
    </row>
    <row r="745">
      <c r="H745" s="310"/>
      <c r="O745" s="27"/>
    </row>
    <row r="746">
      <c r="H746" s="310"/>
      <c r="O746" s="27"/>
    </row>
    <row r="747">
      <c r="H747" s="310"/>
      <c r="O747" s="27"/>
    </row>
    <row r="748">
      <c r="H748" s="310"/>
      <c r="O748" s="27"/>
    </row>
    <row r="749">
      <c r="H749" s="310"/>
      <c r="O749" s="27"/>
    </row>
    <row r="750">
      <c r="H750" s="310"/>
      <c r="O750" s="27"/>
    </row>
    <row r="751">
      <c r="H751" s="310"/>
      <c r="O751" s="27"/>
    </row>
    <row r="752">
      <c r="H752" s="310"/>
      <c r="O752" s="27"/>
    </row>
    <row r="753">
      <c r="H753" s="310"/>
      <c r="O753" s="27"/>
    </row>
    <row r="754">
      <c r="H754" s="310"/>
      <c r="O754" s="27"/>
    </row>
    <row r="755">
      <c r="H755" s="310"/>
      <c r="O755" s="27"/>
    </row>
    <row r="756">
      <c r="H756" s="310"/>
      <c r="O756" s="27"/>
    </row>
    <row r="757">
      <c r="H757" s="310"/>
      <c r="O757" s="27"/>
    </row>
    <row r="758">
      <c r="H758" s="310"/>
      <c r="O758" s="27"/>
    </row>
    <row r="759">
      <c r="H759" s="310"/>
      <c r="O759" s="27"/>
    </row>
    <row r="760">
      <c r="H760" s="310"/>
      <c r="O760" s="27"/>
    </row>
    <row r="761">
      <c r="H761" s="310"/>
      <c r="O761" s="27"/>
    </row>
    <row r="762">
      <c r="H762" s="310"/>
      <c r="O762" s="27"/>
    </row>
    <row r="763">
      <c r="H763" s="310"/>
      <c r="O763" s="27"/>
    </row>
    <row r="764">
      <c r="H764" s="310"/>
      <c r="O764" s="27"/>
    </row>
    <row r="765">
      <c r="H765" s="310"/>
      <c r="O765" s="27"/>
    </row>
    <row r="766">
      <c r="H766" s="310"/>
      <c r="O766" s="27"/>
    </row>
    <row r="767">
      <c r="H767" s="310"/>
      <c r="O767" s="27"/>
    </row>
    <row r="768">
      <c r="H768" s="310"/>
      <c r="O768" s="27"/>
    </row>
    <row r="769">
      <c r="H769" s="310"/>
      <c r="O769" s="27"/>
    </row>
    <row r="770">
      <c r="H770" s="310"/>
      <c r="O770" s="27"/>
    </row>
    <row r="771">
      <c r="H771" s="310"/>
      <c r="O771" s="27"/>
    </row>
    <row r="772">
      <c r="H772" s="310"/>
      <c r="O772" s="27"/>
    </row>
    <row r="773">
      <c r="H773" s="310"/>
      <c r="O773" s="27"/>
    </row>
    <row r="774">
      <c r="H774" s="310"/>
      <c r="O774" s="27"/>
    </row>
    <row r="775">
      <c r="H775" s="310"/>
      <c r="O775" s="27"/>
    </row>
    <row r="776">
      <c r="H776" s="310"/>
      <c r="O776" s="27"/>
    </row>
    <row r="777">
      <c r="H777" s="310"/>
      <c r="O777" s="27"/>
    </row>
    <row r="778">
      <c r="H778" s="310"/>
      <c r="O778" s="27"/>
    </row>
    <row r="779">
      <c r="H779" s="310"/>
      <c r="O779" s="27"/>
    </row>
    <row r="780">
      <c r="H780" s="310"/>
      <c r="O780" s="27"/>
    </row>
    <row r="781">
      <c r="H781" s="310"/>
      <c r="O781" s="27"/>
    </row>
    <row r="782">
      <c r="H782" s="310"/>
      <c r="O782" s="27"/>
    </row>
    <row r="783">
      <c r="H783" s="310"/>
      <c r="O783" s="27"/>
    </row>
    <row r="784">
      <c r="H784" s="310"/>
      <c r="O784" s="27"/>
    </row>
    <row r="785">
      <c r="H785" s="310"/>
      <c r="O785" s="27"/>
    </row>
    <row r="786">
      <c r="H786" s="310"/>
      <c r="O786" s="27"/>
    </row>
    <row r="787">
      <c r="H787" s="310"/>
      <c r="O787" s="27"/>
    </row>
    <row r="788">
      <c r="H788" s="310"/>
      <c r="O788" s="27"/>
    </row>
    <row r="789">
      <c r="H789" s="310"/>
      <c r="O789" s="27"/>
    </row>
    <row r="790">
      <c r="H790" s="310"/>
      <c r="O790" s="27"/>
    </row>
    <row r="791">
      <c r="H791" s="310"/>
      <c r="O791" s="27"/>
    </row>
    <row r="792">
      <c r="H792" s="310"/>
      <c r="O792" s="27"/>
    </row>
    <row r="793">
      <c r="H793" s="310"/>
      <c r="O793" s="27"/>
    </row>
    <row r="794">
      <c r="H794" s="310"/>
      <c r="O794" s="27"/>
    </row>
    <row r="795">
      <c r="H795" s="310"/>
      <c r="O795" s="27"/>
    </row>
    <row r="796">
      <c r="H796" s="310"/>
      <c r="O796" s="27"/>
    </row>
    <row r="797">
      <c r="H797" s="310"/>
      <c r="O797" s="27"/>
    </row>
    <row r="798">
      <c r="H798" s="310"/>
      <c r="O798" s="27"/>
    </row>
    <row r="799">
      <c r="H799" s="310"/>
      <c r="O799" s="27"/>
    </row>
    <row r="800">
      <c r="H800" s="310"/>
      <c r="O800" s="27"/>
    </row>
    <row r="801">
      <c r="H801" s="310"/>
      <c r="O801" s="27"/>
    </row>
    <row r="802">
      <c r="H802" s="310"/>
      <c r="O802" s="27"/>
    </row>
    <row r="803">
      <c r="H803" s="310"/>
      <c r="O803" s="27"/>
    </row>
    <row r="804">
      <c r="H804" s="310"/>
      <c r="O804" s="27"/>
    </row>
    <row r="805">
      <c r="H805" s="310"/>
      <c r="O805" s="27"/>
    </row>
    <row r="806">
      <c r="H806" s="310"/>
      <c r="O806" s="27"/>
    </row>
    <row r="807">
      <c r="H807" s="310"/>
      <c r="O807" s="27"/>
    </row>
    <row r="808">
      <c r="H808" s="310"/>
      <c r="O808" s="27"/>
    </row>
    <row r="809">
      <c r="H809" s="310"/>
      <c r="O809" s="27"/>
    </row>
    <row r="810">
      <c r="H810" s="310"/>
      <c r="O810" s="27"/>
    </row>
    <row r="811">
      <c r="H811" s="310"/>
      <c r="O811" s="27"/>
    </row>
    <row r="812">
      <c r="H812" s="310"/>
      <c r="O812" s="27"/>
    </row>
    <row r="813">
      <c r="H813" s="310"/>
      <c r="O813" s="27"/>
    </row>
    <row r="814">
      <c r="H814" s="310"/>
      <c r="O814" s="27"/>
    </row>
    <row r="815">
      <c r="H815" s="310"/>
      <c r="O815" s="27"/>
    </row>
    <row r="816">
      <c r="H816" s="310"/>
      <c r="O816" s="27"/>
    </row>
    <row r="817">
      <c r="H817" s="310"/>
      <c r="O817" s="27"/>
    </row>
    <row r="818">
      <c r="H818" s="310"/>
      <c r="O818" s="27"/>
    </row>
    <row r="819">
      <c r="H819" s="310"/>
      <c r="O819" s="27"/>
    </row>
    <row r="820">
      <c r="H820" s="310"/>
      <c r="O820" s="27"/>
    </row>
    <row r="821">
      <c r="H821" s="310"/>
      <c r="O821" s="27"/>
    </row>
    <row r="822">
      <c r="H822" s="310"/>
      <c r="O822" s="27"/>
    </row>
    <row r="823">
      <c r="H823" s="310"/>
      <c r="O823" s="27"/>
    </row>
    <row r="824">
      <c r="H824" s="310"/>
      <c r="O824" s="27"/>
    </row>
    <row r="825">
      <c r="H825" s="310"/>
      <c r="O825" s="27"/>
    </row>
    <row r="826">
      <c r="H826" s="310"/>
      <c r="O826" s="27"/>
    </row>
    <row r="827">
      <c r="H827" s="310"/>
      <c r="O827" s="27"/>
    </row>
    <row r="828">
      <c r="H828" s="310"/>
      <c r="O828" s="27"/>
    </row>
    <row r="829">
      <c r="H829" s="310"/>
      <c r="O829" s="27"/>
    </row>
    <row r="830">
      <c r="H830" s="310"/>
      <c r="O830" s="27"/>
    </row>
    <row r="831">
      <c r="H831" s="310"/>
      <c r="O831" s="27"/>
    </row>
    <row r="832">
      <c r="H832" s="310"/>
      <c r="O832" s="27"/>
    </row>
    <row r="833">
      <c r="H833" s="310"/>
      <c r="O833" s="27"/>
    </row>
    <row r="834">
      <c r="H834" s="310"/>
      <c r="O834" s="27"/>
    </row>
    <row r="835">
      <c r="H835" s="310"/>
      <c r="O835" s="27"/>
    </row>
    <row r="836">
      <c r="H836" s="310"/>
      <c r="O836" s="27"/>
    </row>
    <row r="837">
      <c r="H837" s="310"/>
      <c r="O837" s="27"/>
    </row>
    <row r="838">
      <c r="H838" s="310"/>
      <c r="O838" s="27"/>
    </row>
    <row r="839">
      <c r="H839" s="310"/>
      <c r="O839" s="27"/>
    </row>
    <row r="840">
      <c r="H840" s="310"/>
      <c r="O840" s="27"/>
    </row>
    <row r="841">
      <c r="H841" s="310"/>
      <c r="O841" s="27"/>
    </row>
    <row r="842">
      <c r="H842" s="310"/>
      <c r="O842" s="27"/>
    </row>
    <row r="843">
      <c r="H843" s="310"/>
      <c r="O843" s="27"/>
    </row>
    <row r="844">
      <c r="H844" s="310"/>
      <c r="O844" s="27"/>
    </row>
    <row r="845">
      <c r="H845" s="310"/>
      <c r="O845" s="27"/>
    </row>
    <row r="846">
      <c r="H846" s="310"/>
      <c r="O846" s="27"/>
    </row>
    <row r="847">
      <c r="H847" s="310"/>
      <c r="O847" s="27"/>
    </row>
    <row r="848">
      <c r="H848" s="310"/>
      <c r="O848" s="27"/>
    </row>
    <row r="849">
      <c r="H849" s="310"/>
      <c r="O849" s="27"/>
    </row>
    <row r="850">
      <c r="H850" s="310"/>
      <c r="O850" s="27"/>
    </row>
    <row r="851">
      <c r="H851" s="310"/>
      <c r="O851" s="27"/>
    </row>
    <row r="852">
      <c r="H852" s="310"/>
      <c r="O852" s="27"/>
    </row>
    <row r="853">
      <c r="H853" s="310"/>
      <c r="O853" s="27"/>
    </row>
    <row r="854">
      <c r="H854" s="310"/>
      <c r="O854" s="27"/>
    </row>
    <row r="855">
      <c r="H855" s="310"/>
      <c r="O855" s="27"/>
    </row>
    <row r="856">
      <c r="H856" s="310"/>
      <c r="O856" s="27"/>
    </row>
    <row r="857">
      <c r="H857" s="310"/>
      <c r="O857" s="27"/>
    </row>
    <row r="858">
      <c r="H858" s="310"/>
      <c r="O858" s="27"/>
    </row>
    <row r="859">
      <c r="H859" s="310"/>
      <c r="O859" s="27"/>
    </row>
    <row r="860">
      <c r="H860" s="310"/>
      <c r="O860" s="27"/>
    </row>
    <row r="861">
      <c r="H861" s="310"/>
      <c r="O861" s="27"/>
    </row>
    <row r="862">
      <c r="H862" s="310"/>
      <c r="O862" s="27"/>
    </row>
    <row r="863">
      <c r="H863" s="310"/>
      <c r="O863" s="27"/>
    </row>
    <row r="864">
      <c r="H864" s="310"/>
      <c r="O864" s="27"/>
    </row>
    <row r="865">
      <c r="H865" s="310"/>
      <c r="O865" s="27"/>
    </row>
    <row r="866">
      <c r="H866" s="310"/>
      <c r="O866" s="27"/>
    </row>
    <row r="867">
      <c r="H867" s="310"/>
      <c r="O867" s="27"/>
    </row>
    <row r="868">
      <c r="H868" s="310"/>
      <c r="O868" s="27"/>
    </row>
    <row r="869">
      <c r="H869" s="310"/>
      <c r="O869" s="27"/>
    </row>
    <row r="870">
      <c r="H870" s="310"/>
      <c r="O870" s="27"/>
    </row>
    <row r="871">
      <c r="H871" s="310"/>
      <c r="O871" s="27"/>
    </row>
    <row r="872">
      <c r="H872" s="310"/>
      <c r="O872" s="27"/>
    </row>
    <row r="873">
      <c r="H873" s="310"/>
      <c r="O873" s="27"/>
    </row>
    <row r="874">
      <c r="H874" s="310"/>
      <c r="O874" s="27"/>
    </row>
    <row r="875">
      <c r="H875" s="310"/>
      <c r="O875" s="27"/>
    </row>
    <row r="876">
      <c r="H876" s="310"/>
      <c r="O876" s="27"/>
    </row>
    <row r="877">
      <c r="H877" s="310"/>
      <c r="O877" s="27"/>
    </row>
    <row r="878">
      <c r="H878" s="310"/>
      <c r="O878" s="27"/>
    </row>
    <row r="879">
      <c r="H879" s="310"/>
      <c r="O879" s="27"/>
    </row>
    <row r="880">
      <c r="H880" s="310"/>
      <c r="O880" s="27"/>
    </row>
    <row r="881">
      <c r="H881" s="310"/>
      <c r="O881" s="27"/>
    </row>
    <row r="882">
      <c r="H882" s="310"/>
      <c r="O882" s="27"/>
    </row>
    <row r="883">
      <c r="H883" s="310"/>
      <c r="O883" s="27"/>
    </row>
    <row r="884">
      <c r="H884" s="310"/>
      <c r="O884" s="27"/>
    </row>
    <row r="885">
      <c r="H885" s="310"/>
      <c r="O885" s="27"/>
    </row>
    <row r="886">
      <c r="H886" s="310"/>
      <c r="O886" s="27"/>
    </row>
    <row r="887">
      <c r="H887" s="310"/>
      <c r="O887" s="27"/>
    </row>
    <row r="888">
      <c r="H888" s="310"/>
      <c r="O888" s="27"/>
    </row>
    <row r="889">
      <c r="H889" s="310"/>
      <c r="O889" s="27"/>
    </row>
    <row r="890">
      <c r="H890" s="310"/>
      <c r="O890" s="27"/>
    </row>
    <row r="891">
      <c r="H891" s="310"/>
      <c r="O891" s="27"/>
    </row>
    <row r="892">
      <c r="H892" s="310"/>
      <c r="O892" s="27"/>
    </row>
    <row r="893">
      <c r="H893" s="310"/>
      <c r="O893" s="27"/>
    </row>
    <row r="894">
      <c r="H894" s="310"/>
      <c r="O894" s="27"/>
    </row>
    <row r="895">
      <c r="H895" s="310"/>
      <c r="O895" s="27"/>
    </row>
    <row r="896">
      <c r="H896" s="310"/>
      <c r="O896" s="27"/>
    </row>
    <row r="897">
      <c r="H897" s="310"/>
      <c r="O897" s="27"/>
    </row>
    <row r="898">
      <c r="H898" s="310"/>
      <c r="O898" s="27"/>
    </row>
    <row r="899">
      <c r="H899" s="310"/>
      <c r="O899" s="27"/>
    </row>
    <row r="900">
      <c r="H900" s="310"/>
      <c r="O900" s="27"/>
    </row>
    <row r="901">
      <c r="H901" s="310"/>
      <c r="O901" s="27"/>
    </row>
    <row r="902">
      <c r="H902" s="310"/>
      <c r="O902" s="27"/>
    </row>
    <row r="903">
      <c r="H903" s="310"/>
      <c r="O903" s="27"/>
    </row>
    <row r="904">
      <c r="H904" s="310"/>
      <c r="O904" s="27"/>
    </row>
    <row r="905">
      <c r="H905" s="310"/>
      <c r="O905" s="27"/>
    </row>
    <row r="906">
      <c r="H906" s="310"/>
      <c r="O906" s="27"/>
    </row>
    <row r="907">
      <c r="H907" s="310"/>
      <c r="O907" s="27"/>
    </row>
    <row r="908">
      <c r="H908" s="310"/>
      <c r="O908" s="27"/>
    </row>
    <row r="909">
      <c r="H909" s="310"/>
      <c r="O909" s="27"/>
    </row>
    <row r="910">
      <c r="H910" s="310"/>
      <c r="O910" s="27"/>
    </row>
    <row r="911">
      <c r="H911" s="310"/>
      <c r="O911" s="27"/>
    </row>
    <row r="912">
      <c r="H912" s="310"/>
      <c r="O912" s="27"/>
    </row>
    <row r="913">
      <c r="H913" s="310"/>
      <c r="O913" s="27"/>
    </row>
    <row r="914">
      <c r="H914" s="310"/>
      <c r="O914" s="27"/>
    </row>
    <row r="915">
      <c r="H915" s="310"/>
      <c r="O915" s="27"/>
    </row>
    <row r="916">
      <c r="H916" s="310"/>
      <c r="O916" s="27"/>
    </row>
    <row r="917">
      <c r="H917" s="310"/>
      <c r="O917" s="27"/>
    </row>
    <row r="918">
      <c r="H918" s="310"/>
      <c r="O918" s="27"/>
    </row>
    <row r="919">
      <c r="H919" s="310"/>
      <c r="O919" s="27"/>
    </row>
    <row r="920">
      <c r="H920" s="310"/>
      <c r="O920" s="27"/>
    </row>
    <row r="921">
      <c r="H921" s="310"/>
      <c r="O921" s="27"/>
    </row>
    <row r="922">
      <c r="H922" s="310"/>
      <c r="O922" s="27"/>
    </row>
    <row r="923">
      <c r="H923" s="310"/>
      <c r="O923" s="27"/>
    </row>
    <row r="924">
      <c r="H924" s="310"/>
      <c r="O924" s="27"/>
    </row>
    <row r="925">
      <c r="H925" s="310"/>
      <c r="O925" s="27"/>
    </row>
    <row r="926">
      <c r="H926" s="310"/>
      <c r="O926" s="27"/>
    </row>
    <row r="927">
      <c r="H927" s="310"/>
      <c r="O927" s="27"/>
    </row>
    <row r="928">
      <c r="H928" s="310"/>
      <c r="O928" s="27"/>
    </row>
    <row r="929">
      <c r="H929" s="310"/>
      <c r="O929" s="27"/>
    </row>
    <row r="930">
      <c r="H930" s="310"/>
      <c r="O930" s="27"/>
    </row>
    <row r="931">
      <c r="H931" s="310"/>
      <c r="O931" s="27"/>
    </row>
    <row r="932">
      <c r="H932" s="310"/>
      <c r="O932" s="27"/>
    </row>
    <row r="933">
      <c r="H933" s="310"/>
      <c r="O933" s="27"/>
    </row>
    <row r="934">
      <c r="H934" s="310"/>
      <c r="O934" s="27"/>
    </row>
    <row r="935">
      <c r="H935" s="310"/>
      <c r="O935" s="27"/>
    </row>
    <row r="936">
      <c r="H936" s="310"/>
      <c r="O936" s="27"/>
    </row>
    <row r="937">
      <c r="H937" s="310"/>
      <c r="O937" s="27"/>
    </row>
    <row r="938">
      <c r="H938" s="310"/>
      <c r="O938" s="27"/>
    </row>
    <row r="939">
      <c r="H939" s="310"/>
      <c r="O939" s="27"/>
    </row>
    <row r="940">
      <c r="H940" s="310"/>
      <c r="O940" s="27"/>
    </row>
    <row r="941">
      <c r="H941" s="310"/>
      <c r="O941" s="27"/>
    </row>
    <row r="942">
      <c r="H942" s="310"/>
      <c r="O942" s="27"/>
    </row>
    <row r="943">
      <c r="H943" s="310"/>
      <c r="O943" s="27"/>
    </row>
    <row r="944">
      <c r="H944" s="310"/>
      <c r="O944" s="27"/>
    </row>
    <row r="945">
      <c r="H945" s="310"/>
      <c r="O945" s="27"/>
    </row>
    <row r="946">
      <c r="H946" s="310"/>
      <c r="O946" s="27"/>
    </row>
    <row r="947">
      <c r="H947" s="310"/>
      <c r="O947" s="27"/>
    </row>
    <row r="948">
      <c r="H948" s="310"/>
      <c r="O948" s="27"/>
    </row>
    <row r="949">
      <c r="H949" s="310"/>
      <c r="O949" s="27"/>
    </row>
    <row r="950">
      <c r="H950" s="310"/>
      <c r="O950" s="27"/>
    </row>
    <row r="951">
      <c r="H951" s="310"/>
      <c r="O951" s="27"/>
    </row>
    <row r="952">
      <c r="H952" s="310"/>
      <c r="O952" s="27"/>
    </row>
    <row r="953">
      <c r="H953" s="310"/>
      <c r="O953" s="27"/>
    </row>
    <row r="954">
      <c r="H954" s="310"/>
      <c r="O954" s="27"/>
    </row>
    <row r="955">
      <c r="H955" s="310"/>
      <c r="O955" s="27"/>
    </row>
    <row r="956">
      <c r="H956" s="310"/>
      <c r="O956" s="27"/>
    </row>
    <row r="957">
      <c r="H957" s="310"/>
      <c r="O957" s="27"/>
    </row>
    <row r="958">
      <c r="H958" s="310"/>
      <c r="O958" s="27"/>
    </row>
    <row r="959">
      <c r="H959" s="310"/>
      <c r="O959" s="27"/>
    </row>
    <row r="960">
      <c r="H960" s="310"/>
      <c r="O960" s="27"/>
    </row>
    <row r="961">
      <c r="H961" s="310"/>
      <c r="O961" s="27"/>
    </row>
    <row r="962">
      <c r="H962" s="310"/>
      <c r="O962" s="27"/>
    </row>
    <row r="963">
      <c r="H963" s="310"/>
      <c r="O963" s="27"/>
    </row>
    <row r="964">
      <c r="H964" s="310"/>
      <c r="O964" s="27"/>
    </row>
    <row r="965">
      <c r="H965" s="310"/>
      <c r="O965" s="27"/>
    </row>
    <row r="966">
      <c r="H966" s="310"/>
      <c r="O966" s="27"/>
    </row>
    <row r="967">
      <c r="H967" s="310"/>
      <c r="O967" s="27"/>
    </row>
    <row r="968">
      <c r="H968" s="310"/>
      <c r="O968" s="27"/>
    </row>
    <row r="969">
      <c r="H969" s="310"/>
      <c r="O969" s="27"/>
    </row>
    <row r="970">
      <c r="H970" s="310"/>
      <c r="O970" s="27"/>
    </row>
    <row r="971">
      <c r="H971" s="310"/>
      <c r="O971" s="27"/>
    </row>
    <row r="972">
      <c r="H972" s="310"/>
      <c r="O972" s="27"/>
    </row>
    <row r="973">
      <c r="H973" s="310"/>
      <c r="O973" s="27"/>
    </row>
    <row r="974">
      <c r="H974" s="310"/>
      <c r="O974" s="27"/>
    </row>
    <row r="975">
      <c r="H975" s="310"/>
      <c r="O975" s="27"/>
    </row>
    <row r="976">
      <c r="H976" s="310"/>
      <c r="O976" s="27"/>
    </row>
    <row r="977">
      <c r="H977" s="310"/>
      <c r="O977" s="27"/>
    </row>
    <row r="978">
      <c r="H978" s="310"/>
      <c r="O978" s="27"/>
    </row>
    <row r="979">
      <c r="H979" s="310"/>
      <c r="O979" s="27"/>
    </row>
    <row r="980">
      <c r="H980" s="310"/>
      <c r="O980" s="27"/>
    </row>
    <row r="981">
      <c r="H981" s="310"/>
      <c r="O981" s="27"/>
    </row>
    <row r="982">
      <c r="H982" s="310"/>
      <c r="O982" s="27"/>
    </row>
    <row r="983">
      <c r="H983" s="310"/>
      <c r="O983" s="27"/>
    </row>
    <row r="984">
      <c r="H984" s="310"/>
      <c r="O984" s="27"/>
    </row>
    <row r="985">
      <c r="H985" s="310"/>
      <c r="O985" s="27"/>
    </row>
    <row r="986">
      <c r="H986" s="310"/>
      <c r="O986" s="27"/>
    </row>
    <row r="987">
      <c r="H987" s="310"/>
      <c r="O987" s="27"/>
    </row>
    <row r="988">
      <c r="H988" s="310"/>
      <c r="O988" s="27"/>
    </row>
    <row r="989">
      <c r="H989" s="310"/>
      <c r="O989" s="27"/>
    </row>
    <row r="990">
      <c r="H990" s="310"/>
      <c r="O990" s="27"/>
    </row>
    <row r="991">
      <c r="H991" s="310"/>
      <c r="O991" s="27"/>
    </row>
    <row r="992">
      <c r="H992" s="310"/>
      <c r="O992" s="27"/>
    </row>
    <row r="993">
      <c r="H993" s="310"/>
      <c r="O993" s="27"/>
    </row>
    <row r="994">
      <c r="H994" s="310"/>
      <c r="O994" s="27"/>
    </row>
    <row r="995">
      <c r="H995" s="310"/>
      <c r="O995" s="27"/>
    </row>
    <row r="996">
      <c r="H996" s="310"/>
      <c r="O996" s="27"/>
    </row>
    <row r="997">
      <c r="H997" s="310"/>
      <c r="O997" s="27"/>
    </row>
    <row r="998">
      <c r="H998" s="310"/>
      <c r="O998" s="27"/>
    </row>
    <row r="999">
      <c r="H999" s="310"/>
      <c r="O999" s="27"/>
    </row>
    <row r="1000">
      <c r="H1000" s="310"/>
      <c r="O1000" s="27"/>
    </row>
    <row r="1001">
      <c r="H1001" s="310"/>
      <c r="O1001" s="27"/>
    </row>
  </sheetData>
  <conditionalFormatting sqref="D48:G48">
    <cfRule type="cellIs" dxfId="0" priority="1" operator="lessThan">
      <formula>0</formula>
    </cfRule>
  </conditionalFormatting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9.38"/>
    <col customWidth="1" min="7" max="7" width="20.63"/>
    <col customWidth="1" min="8" max="8" width="11.25"/>
    <col customWidth="1" min="9" max="9" width="9.25"/>
    <col customWidth="1" min="10" max="11" width="9.5"/>
  </cols>
  <sheetData>
    <row r="1">
      <c r="A1" s="18" t="s">
        <v>346</v>
      </c>
      <c r="B1" s="199" t="s">
        <v>296</v>
      </c>
      <c r="G1" s="107"/>
    </row>
    <row r="2">
      <c r="B2" s="18" t="s">
        <v>240</v>
      </c>
      <c r="C2" s="249">
        <v>13.0</v>
      </c>
      <c r="G2" s="27"/>
    </row>
    <row r="3">
      <c r="B3" s="18" t="s">
        <v>241</v>
      </c>
      <c r="C3" s="249">
        <v>48.0</v>
      </c>
      <c r="G3" s="27"/>
    </row>
    <row r="4">
      <c r="B4" s="18" t="s">
        <v>242</v>
      </c>
      <c r="C4" s="249">
        <v>13.0</v>
      </c>
      <c r="G4" s="27"/>
      <c r="H4" s="107"/>
      <c r="I4" s="107"/>
      <c r="L4" s="17"/>
    </row>
    <row r="5">
      <c r="B5" s="18" t="s">
        <v>285</v>
      </c>
      <c r="C5" s="249">
        <v>42.0</v>
      </c>
      <c r="G5" s="27"/>
      <c r="H5" s="107"/>
      <c r="I5" s="107"/>
      <c r="L5" s="32"/>
    </row>
    <row r="6">
      <c r="B6" s="18" t="s">
        <v>324</v>
      </c>
      <c r="C6" s="249">
        <v>6.0</v>
      </c>
      <c r="G6" s="301" t="s">
        <v>325</v>
      </c>
      <c r="H6" s="107"/>
      <c r="I6" s="107"/>
      <c r="L6" s="30"/>
    </row>
    <row r="7">
      <c r="C7" s="276">
        <f>SUM(C2:C6)</f>
        <v>122</v>
      </c>
      <c r="G7" s="302" t="s">
        <v>119</v>
      </c>
      <c r="H7" s="302" t="s">
        <v>120</v>
      </c>
      <c r="I7" s="27"/>
    </row>
    <row r="8">
      <c r="E8" s="18" t="s">
        <v>366</v>
      </c>
      <c r="G8" s="7" t="s">
        <v>347</v>
      </c>
      <c r="H8" s="7" t="s">
        <v>348</v>
      </c>
      <c r="I8" s="107"/>
    </row>
    <row r="9">
      <c r="B9" s="55" t="s">
        <v>122</v>
      </c>
      <c r="C9" s="56"/>
      <c r="D9" s="253" t="s">
        <v>134</v>
      </c>
      <c r="E9" s="254" t="s">
        <v>123</v>
      </c>
      <c r="G9" s="7" t="s">
        <v>328</v>
      </c>
      <c r="H9" s="7" t="s">
        <v>349</v>
      </c>
      <c r="I9" s="107"/>
      <c r="K9" s="18"/>
      <c r="L9" s="18"/>
    </row>
    <row r="10">
      <c r="B10" s="59" t="s">
        <v>129</v>
      </c>
      <c r="C10" s="60"/>
      <c r="D10" s="113">
        <v>8257.5</v>
      </c>
      <c r="E10" s="113">
        <v>8324.69</v>
      </c>
      <c r="G10" s="7"/>
      <c r="H10" s="7" t="s">
        <v>192</v>
      </c>
      <c r="I10" s="107"/>
      <c r="K10" s="18"/>
    </row>
    <row r="11">
      <c r="B11" s="59" t="s">
        <v>136</v>
      </c>
      <c r="C11" s="60"/>
      <c r="D11" s="114">
        <f>2040+3294.58</f>
        <v>5334.58</v>
      </c>
      <c r="E11" s="114">
        <v>5419.11</v>
      </c>
      <c r="G11" s="303"/>
      <c r="H11" s="107"/>
      <c r="I11" s="27"/>
      <c r="K11" s="18"/>
    </row>
    <row r="12">
      <c r="B12" s="59" t="s">
        <v>137</v>
      </c>
      <c r="C12" s="60"/>
      <c r="D12" s="313"/>
      <c r="E12" s="114"/>
      <c r="G12" s="363"/>
      <c r="H12" s="107"/>
      <c r="I12" s="107"/>
      <c r="K12" s="18"/>
    </row>
    <row r="13">
      <c r="B13" s="59" t="s">
        <v>138</v>
      </c>
      <c r="C13" s="60"/>
      <c r="D13" s="348"/>
      <c r="E13" s="117">
        <f>7000+1500</f>
        <v>8500</v>
      </c>
      <c r="G13" s="32"/>
      <c r="H13" s="107"/>
      <c r="I13" s="107"/>
      <c r="K13" s="18"/>
    </row>
    <row r="14">
      <c r="B14" s="67" t="s">
        <v>139</v>
      </c>
      <c r="C14" s="68"/>
      <c r="D14" s="315">
        <f t="shared" ref="D14:E14" si="1">SUM(D10:D13)</f>
        <v>13592.08</v>
      </c>
      <c r="E14" s="315">
        <f t="shared" si="1"/>
        <v>22243.8</v>
      </c>
      <c r="G14" s="248"/>
      <c r="H14" s="107"/>
      <c r="I14" s="107"/>
      <c r="K14" s="18"/>
      <c r="N14" s="107"/>
    </row>
    <row r="15">
      <c r="D15" s="311"/>
      <c r="E15" s="311"/>
      <c r="G15" s="32"/>
      <c r="H15" s="107"/>
      <c r="K15" s="18"/>
      <c r="N15" s="27"/>
    </row>
    <row r="16">
      <c r="B16" s="70" t="s">
        <v>140</v>
      </c>
      <c r="C16" s="71"/>
      <c r="D16" s="316" t="s">
        <v>123</v>
      </c>
      <c r="E16" s="316" t="s">
        <v>124</v>
      </c>
      <c r="G16" s="107"/>
      <c r="H16" s="26"/>
      <c r="I16" s="107"/>
      <c r="K16" s="18"/>
    </row>
    <row r="17">
      <c r="B17" s="121" t="s">
        <v>141</v>
      </c>
      <c r="C17" s="122"/>
      <c r="D17" s="123">
        <v>350.0</v>
      </c>
      <c r="E17" s="123">
        <v>350.0</v>
      </c>
      <c r="G17" s="107" t="s">
        <v>331</v>
      </c>
      <c r="H17" s="192"/>
      <c r="K17" s="18"/>
    </row>
    <row r="18">
      <c r="B18" s="121" t="s">
        <v>142</v>
      </c>
      <c r="C18" s="122"/>
      <c r="D18" s="123">
        <v>200.0</v>
      </c>
      <c r="E18" s="123">
        <v>200.0</v>
      </c>
      <c r="G18" s="192"/>
      <c r="H18" s="26" t="s">
        <v>27</v>
      </c>
      <c r="I18" s="26" t="s">
        <v>274</v>
      </c>
      <c r="J18" s="26" t="s">
        <v>351</v>
      </c>
      <c r="K18" s="26" t="s">
        <v>333</v>
      </c>
      <c r="L18" s="26" t="s">
        <v>367</v>
      </c>
      <c r="M18" s="376" t="s">
        <v>368</v>
      </c>
      <c r="N18" s="26" t="s">
        <v>48</v>
      </c>
      <c r="O18" s="18" t="s">
        <v>369</v>
      </c>
    </row>
    <row r="19">
      <c r="B19" s="121" t="s">
        <v>143</v>
      </c>
      <c r="C19" s="122"/>
      <c r="D19" s="125">
        <v>174.85</v>
      </c>
      <c r="E19" s="125">
        <v>174.85</v>
      </c>
      <c r="G19" s="121" t="s">
        <v>141</v>
      </c>
      <c r="H19" s="377"/>
      <c r="I19" s="27"/>
      <c r="J19" s="378">
        <v>350.0</v>
      </c>
      <c r="K19" s="247"/>
      <c r="L19" s="27"/>
      <c r="M19" s="27"/>
      <c r="N19" s="27"/>
      <c r="O19" s="27"/>
    </row>
    <row r="20">
      <c r="B20" s="121" t="s">
        <v>144</v>
      </c>
      <c r="C20" s="122"/>
      <c r="D20" s="123">
        <v>100.0</v>
      </c>
      <c r="E20" s="123">
        <v>100.0</v>
      </c>
      <c r="G20" s="121" t="s">
        <v>142</v>
      </c>
      <c r="H20" s="377"/>
      <c r="I20" s="27"/>
      <c r="J20" s="378">
        <v>200.0</v>
      </c>
      <c r="K20" s="247"/>
      <c r="L20" s="27"/>
      <c r="M20" s="27"/>
      <c r="N20" s="27"/>
      <c r="O20" s="27"/>
    </row>
    <row r="21">
      <c r="B21" s="121" t="s">
        <v>145</v>
      </c>
      <c r="C21" s="122"/>
      <c r="D21" s="123">
        <v>2500.0</v>
      </c>
      <c r="E21" s="123">
        <v>2500.0</v>
      </c>
      <c r="G21" s="121" t="s">
        <v>143</v>
      </c>
      <c r="H21" s="377"/>
      <c r="I21" s="27"/>
      <c r="J21" s="379">
        <v>174.85</v>
      </c>
      <c r="K21" s="247"/>
      <c r="L21" s="305"/>
      <c r="M21" s="27"/>
      <c r="N21" s="27"/>
      <c r="O21" s="27"/>
    </row>
    <row r="22">
      <c r="B22" s="121" t="s">
        <v>146</v>
      </c>
      <c r="C22" s="126" t="s">
        <v>147</v>
      </c>
      <c r="D22" s="123">
        <v>400.0</v>
      </c>
      <c r="E22" s="123">
        <v>400.0</v>
      </c>
      <c r="G22" s="121" t="s">
        <v>144</v>
      </c>
      <c r="H22" s="377"/>
      <c r="I22" s="27"/>
      <c r="J22" s="378">
        <v>100.0</v>
      </c>
      <c r="K22" s="247"/>
      <c r="L22" s="27"/>
      <c r="M22" s="27"/>
      <c r="N22" s="27"/>
      <c r="O22" s="27"/>
    </row>
    <row r="23">
      <c r="B23" s="127" t="s">
        <v>180</v>
      </c>
      <c r="C23" s="128"/>
      <c r="D23" s="129">
        <v>0.0</v>
      </c>
      <c r="E23" s="129">
        <v>0.0</v>
      </c>
      <c r="G23" s="121" t="s">
        <v>145</v>
      </c>
      <c r="H23" s="377"/>
      <c r="I23" s="27"/>
      <c r="J23" s="27"/>
      <c r="K23" s="247"/>
      <c r="L23" s="27"/>
      <c r="M23" s="27"/>
      <c r="N23" s="27"/>
      <c r="O23" s="27"/>
    </row>
    <row r="24">
      <c r="B24" s="121" t="s">
        <v>148</v>
      </c>
      <c r="C24" s="122"/>
      <c r="D24" s="123">
        <v>500.0</v>
      </c>
      <c r="E24" s="123">
        <v>500.0</v>
      </c>
      <c r="G24" s="121" t="s">
        <v>146</v>
      </c>
      <c r="H24" s="380">
        <v>200.0</v>
      </c>
      <c r="I24" s="378">
        <v>200.0</v>
      </c>
      <c r="J24" s="27"/>
      <c r="K24" s="247"/>
      <c r="L24" s="27"/>
      <c r="M24" s="27"/>
      <c r="N24" s="27"/>
      <c r="O24" s="27"/>
    </row>
    <row r="25">
      <c r="B25" s="121" t="s">
        <v>149</v>
      </c>
      <c r="C25" s="122"/>
      <c r="D25" s="123">
        <v>500.0</v>
      </c>
      <c r="E25" s="123">
        <v>500.0</v>
      </c>
      <c r="G25" s="127" t="s">
        <v>180</v>
      </c>
      <c r="H25" s="377"/>
      <c r="I25" s="381"/>
      <c r="J25" s="372"/>
      <c r="K25" s="247"/>
      <c r="L25" s="27"/>
      <c r="M25" s="27"/>
      <c r="N25" s="27"/>
      <c r="O25" s="27"/>
    </row>
    <row r="26">
      <c r="B26" s="127" t="s">
        <v>181</v>
      </c>
      <c r="C26" s="128"/>
      <c r="D26" s="129">
        <v>650.0</v>
      </c>
      <c r="E26" s="129">
        <v>150.0</v>
      </c>
      <c r="G26" s="121" t="s">
        <v>148</v>
      </c>
      <c r="H26" s="377"/>
      <c r="I26" s="382"/>
      <c r="J26" s="378">
        <v>500.0</v>
      </c>
      <c r="K26" s="247"/>
      <c r="L26" s="27"/>
      <c r="M26" s="27"/>
      <c r="N26" s="27"/>
      <c r="O26" s="27"/>
    </row>
    <row r="27">
      <c r="B27" s="121" t="s">
        <v>150</v>
      </c>
      <c r="C27" s="122"/>
      <c r="D27" s="123">
        <v>400.0</v>
      </c>
      <c r="E27" s="123">
        <v>400.0</v>
      </c>
      <c r="G27" s="121" t="s">
        <v>149</v>
      </c>
      <c r="H27" s="377"/>
      <c r="I27" s="382"/>
      <c r="J27" s="378">
        <v>500.0</v>
      </c>
      <c r="K27" s="247"/>
      <c r="L27" s="27"/>
      <c r="M27" s="27"/>
      <c r="N27" s="27"/>
      <c r="O27" s="27"/>
    </row>
    <row r="28">
      <c r="B28" s="127" t="s">
        <v>183</v>
      </c>
      <c r="C28" s="128"/>
      <c r="D28" s="129">
        <v>400.0</v>
      </c>
      <c r="E28" s="129">
        <v>400.0</v>
      </c>
      <c r="G28" s="127" t="s">
        <v>181</v>
      </c>
      <c r="H28" s="377"/>
      <c r="I28" s="382"/>
      <c r="J28" s="129">
        <v>650.0</v>
      </c>
      <c r="K28" s="247"/>
      <c r="L28" s="27"/>
      <c r="M28" s="27"/>
      <c r="N28" s="27"/>
      <c r="O28" s="27"/>
    </row>
    <row r="29">
      <c r="B29" s="121" t="s">
        <v>152</v>
      </c>
      <c r="C29" s="122"/>
      <c r="D29" s="131"/>
      <c r="E29" s="123">
        <v>1000.0</v>
      </c>
      <c r="G29" s="121" t="s">
        <v>150</v>
      </c>
      <c r="H29" s="377"/>
      <c r="I29" s="378">
        <v>400.0</v>
      </c>
      <c r="J29" s="27"/>
      <c r="K29" s="247"/>
      <c r="L29" s="27"/>
      <c r="M29" s="27"/>
      <c r="N29" s="27"/>
      <c r="O29" s="27"/>
    </row>
    <row r="30">
      <c r="B30" s="121" t="s">
        <v>154</v>
      </c>
      <c r="C30" s="122"/>
      <c r="D30" s="123">
        <v>122.0</v>
      </c>
      <c r="E30" s="123">
        <v>122.0</v>
      </c>
      <c r="G30" s="127" t="s">
        <v>183</v>
      </c>
      <c r="H30" s="377"/>
      <c r="I30" s="27"/>
      <c r="J30" s="247"/>
      <c r="K30" s="247"/>
      <c r="L30" s="107"/>
      <c r="M30" s="129">
        <v>400.0</v>
      </c>
      <c r="N30" s="27"/>
      <c r="O30" s="27"/>
    </row>
    <row r="31">
      <c r="B31" s="121" t="s">
        <v>155</v>
      </c>
      <c r="C31" s="122"/>
      <c r="D31" s="131"/>
      <c r="E31" s="131"/>
      <c r="G31" s="121" t="s">
        <v>154</v>
      </c>
      <c r="H31" s="380">
        <v>109.0</v>
      </c>
      <c r="I31" s="378">
        <v>13.0</v>
      </c>
      <c r="J31" s="383"/>
      <c r="K31" s="372"/>
      <c r="L31" s="27"/>
      <c r="M31" s="27"/>
      <c r="N31" s="27"/>
      <c r="O31" s="27"/>
    </row>
    <row r="32">
      <c r="B32" s="121" t="s">
        <v>156</v>
      </c>
      <c r="C32" s="122"/>
      <c r="D32" s="123">
        <v>150.0</v>
      </c>
      <c r="E32" s="123">
        <v>150.0</v>
      </c>
      <c r="G32" s="121" t="s">
        <v>156</v>
      </c>
      <c r="H32" s="377"/>
      <c r="I32" s="27"/>
      <c r="J32" s="383"/>
      <c r="K32" s="247"/>
      <c r="L32" s="27"/>
      <c r="M32" s="123">
        <v>150.0</v>
      </c>
      <c r="N32" s="27"/>
      <c r="O32" s="27"/>
      <c r="P32" s="32"/>
    </row>
    <row r="33">
      <c r="B33" s="121" t="s">
        <v>157</v>
      </c>
      <c r="C33" s="122"/>
      <c r="D33" s="123">
        <v>50.0</v>
      </c>
      <c r="E33" s="123">
        <v>50.0</v>
      </c>
      <c r="G33" s="121" t="s">
        <v>157</v>
      </c>
      <c r="H33" s="377"/>
      <c r="I33" s="27"/>
      <c r="J33" s="383"/>
      <c r="K33" s="247"/>
      <c r="L33" s="107"/>
      <c r="M33" s="27"/>
      <c r="N33" s="27"/>
      <c r="O33" s="378">
        <v>50.0</v>
      </c>
      <c r="P33" s="18"/>
      <c r="Q33" s="18"/>
    </row>
    <row r="34">
      <c r="B34" s="121" t="s">
        <v>158</v>
      </c>
      <c r="C34" s="122"/>
      <c r="D34" s="131"/>
      <c r="E34" s="131"/>
      <c r="G34" s="121" t="s">
        <v>159</v>
      </c>
      <c r="H34" s="380">
        <v>400.0</v>
      </c>
      <c r="I34" s="378">
        <v>550.0</v>
      </c>
      <c r="J34" s="247"/>
      <c r="K34" s="247"/>
      <c r="L34" s="107"/>
      <c r="M34" s="27"/>
      <c r="N34" s="27"/>
      <c r="O34" s="27"/>
      <c r="P34" s="18"/>
      <c r="Q34" s="18"/>
    </row>
    <row r="35">
      <c r="B35" s="121" t="s">
        <v>159</v>
      </c>
      <c r="C35" s="122"/>
      <c r="D35" s="123">
        <f>400+400+150</f>
        <v>950</v>
      </c>
      <c r="E35" s="123">
        <v>950.0</v>
      </c>
      <c r="G35" s="121" t="s">
        <v>160</v>
      </c>
      <c r="H35" s="380">
        <v>1500.0</v>
      </c>
      <c r="I35" s="378">
        <v>1500.0</v>
      </c>
      <c r="J35" s="247"/>
      <c r="K35" s="247"/>
      <c r="L35" s="107"/>
      <c r="M35" s="27"/>
      <c r="N35" s="27"/>
      <c r="O35" s="27"/>
    </row>
    <row r="36">
      <c r="B36" s="121" t="s">
        <v>160</v>
      </c>
      <c r="C36" s="122"/>
      <c r="D36" s="123">
        <v>3000.0</v>
      </c>
      <c r="E36" s="123">
        <v>3000.0</v>
      </c>
      <c r="G36" s="127" t="s">
        <v>184</v>
      </c>
      <c r="H36" s="384"/>
      <c r="I36" s="27"/>
      <c r="J36" s="27"/>
      <c r="K36" s="377">
        <v>1087.8499999999985</v>
      </c>
      <c r="L36" s="27"/>
      <c r="M36" s="27"/>
      <c r="N36" s="27"/>
      <c r="O36" s="27"/>
    </row>
    <row r="37">
      <c r="B37" s="127" t="s">
        <v>184</v>
      </c>
      <c r="C37" s="128"/>
      <c r="D37" s="385">
        <v>1087.8499999999985</v>
      </c>
      <c r="E37" s="129">
        <v>700.0</v>
      </c>
      <c r="G37" s="127" t="s">
        <v>3</v>
      </c>
      <c r="H37" s="384"/>
      <c r="I37" s="27"/>
      <c r="J37" s="27"/>
      <c r="K37" s="27"/>
      <c r="L37" s="378">
        <v>500.0</v>
      </c>
      <c r="M37" s="27"/>
      <c r="N37" s="27"/>
      <c r="O37" s="27"/>
    </row>
    <row r="38">
      <c r="B38" s="127" t="s">
        <v>3</v>
      </c>
      <c r="C38" s="128"/>
      <c r="D38" s="129">
        <v>500.0</v>
      </c>
      <c r="E38" s="129">
        <v>500.0</v>
      </c>
      <c r="G38" s="127" t="s">
        <v>370</v>
      </c>
      <c r="H38" s="27"/>
      <c r="I38" s="27"/>
      <c r="J38" s="27"/>
      <c r="K38" s="27"/>
      <c r="L38" s="27"/>
      <c r="M38" s="27"/>
      <c r="N38" s="378">
        <v>1557.380000000001</v>
      </c>
      <c r="O38" s="27"/>
    </row>
    <row r="39">
      <c r="B39" s="67" t="s">
        <v>161</v>
      </c>
      <c r="C39" s="68"/>
      <c r="D39" s="132">
        <f>SUM(D17:D38)*-1</f>
        <v>-12034.7</v>
      </c>
      <c r="E39" s="132">
        <f>SUM(E17:E36)*-1</f>
        <v>-10946.85</v>
      </c>
      <c r="G39" s="7" t="s">
        <v>26</v>
      </c>
      <c r="H39" s="325">
        <f t="shared" ref="H39:O39" si="2">SUM(H19:H38)</f>
        <v>2209</v>
      </c>
      <c r="I39" s="325">
        <f t="shared" si="2"/>
        <v>2663</v>
      </c>
      <c r="J39" s="373">
        <f t="shared" si="2"/>
        <v>2474.85</v>
      </c>
      <c r="K39" s="325">
        <f t="shared" si="2"/>
        <v>1087.85</v>
      </c>
      <c r="L39" s="325">
        <f t="shared" si="2"/>
        <v>500</v>
      </c>
      <c r="M39" s="325">
        <f t="shared" si="2"/>
        <v>550</v>
      </c>
      <c r="N39" s="325">
        <f t="shared" si="2"/>
        <v>1557.38</v>
      </c>
      <c r="O39" s="325">
        <f t="shared" si="2"/>
        <v>50</v>
      </c>
    </row>
    <row r="40">
      <c r="G40" s="107" t="s">
        <v>371</v>
      </c>
      <c r="H40" s="28">
        <f>D10-H39</f>
        <v>6048.5</v>
      </c>
      <c r="I40" s="386"/>
      <c r="J40" s="287"/>
    </row>
    <row r="41">
      <c r="B41" s="80" t="s">
        <v>162</v>
      </c>
      <c r="C41" s="81"/>
      <c r="D41" s="82">
        <f t="shared" ref="D41:E41" si="3">D14+D39</f>
        <v>1557.38</v>
      </c>
      <c r="E41" s="82">
        <f t="shared" si="3"/>
        <v>11296.95</v>
      </c>
      <c r="G41" s="325" t="s">
        <v>353</v>
      </c>
      <c r="O41" s="18" t="s">
        <v>372</v>
      </c>
    </row>
    <row r="42">
      <c r="B42" s="83"/>
      <c r="C42" s="83"/>
      <c r="D42" s="84"/>
      <c r="E42" s="84"/>
      <c r="G42" s="107"/>
      <c r="O42" s="18">
        <v>952.15</v>
      </c>
    </row>
    <row r="43">
      <c r="B43" s="85" t="s">
        <v>163</v>
      </c>
      <c r="C43" s="86"/>
      <c r="D43" s="57" t="s">
        <v>123</v>
      </c>
      <c r="E43" s="57" t="s">
        <v>124</v>
      </c>
      <c r="G43" s="107"/>
    </row>
    <row r="44">
      <c r="B44" s="87" t="s">
        <v>185</v>
      </c>
      <c r="C44" s="88"/>
      <c r="D44" s="89"/>
      <c r="E44" s="89"/>
      <c r="G44" s="107"/>
      <c r="K44" s="387"/>
      <c r="N44" s="387"/>
    </row>
    <row r="45">
      <c r="A45" s="298">
        <v>45020.0</v>
      </c>
      <c r="B45" s="87" t="s">
        <v>58</v>
      </c>
      <c r="C45" s="88"/>
      <c r="D45" s="91"/>
      <c r="E45" s="91"/>
      <c r="G45" s="107" t="s">
        <v>48</v>
      </c>
      <c r="H45" s="107"/>
      <c r="I45" s="18" t="s">
        <v>373</v>
      </c>
    </row>
    <row r="46">
      <c r="B46" s="87"/>
      <c r="C46" s="88"/>
      <c r="D46" s="91"/>
      <c r="E46" s="91"/>
      <c r="G46" s="107"/>
      <c r="H46" s="388">
        <v>1557.380000000001</v>
      </c>
      <c r="I46" s="389" t="s">
        <v>370</v>
      </c>
    </row>
    <row r="47">
      <c r="B47" s="92"/>
      <c r="C47" s="93"/>
      <c r="D47" s="94"/>
      <c r="E47" s="94"/>
      <c r="G47" s="107"/>
      <c r="H47" s="107">
        <v>-350.0</v>
      </c>
      <c r="I47" s="18" t="s">
        <v>374</v>
      </c>
    </row>
    <row r="48">
      <c r="B48" s="67" t="s">
        <v>167</v>
      </c>
      <c r="C48" s="95">
        <f>SUM(C44:C47)</f>
        <v>0</v>
      </c>
      <c r="D48" s="78">
        <f t="shared" ref="D48:E48" si="4">SUM(D44:D47)*-1</f>
        <v>0</v>
      </c>
      <c r="E48" s="78">
        <f t="shared" si="4"/>
        <v>0</v>
      </c>
      <c r="G48" s="107"/>
      <c r="H48" s="18"/>
    </row>
    <row r="49">
      <c r="B49" s="83"/>
      <c r="C49" s="83"/>
      <c r="D49" s="96"/>
      <c r="E49" s="96"/>
      <c r="G49" s="107"/>
      <c r="H49" s="18"/>
    </row>
    <row r="50">
      <c r="B50" s="97" t="s">
        <v>168</v>
      </c>
      <c r="C50" s="98"/>
      <c r="D50" s="99">
        <f t="shared" ref="D50:E50" si="5">D41+D48</f>
        <v>1557.38</v>
      </c>
      <c r="E50" s="99">
        <f t="shared" si="5"/>
        <v>11296.95</v>
      </c>
      <c r="G50" s="107"/>
    </row>
    <row r="51">
      <c r="B51" s="83"/>
      <c r="C51" s="83"/>
      <c r="D51" s="96"/>
      <c r="E51" s="96"/>
      <c r="G51" s="107"/>
      <c r="H51" s="18"/>
    </row>
    <row r="52">
      <c r="B52" s="100" t="s">
        <v>169</v>
      </c>
      <c r="C52" s="101"/>
      <c r="D52" s="57" t="s">
        <v>123</v>
      </c>
      <c r="E52" s="57" t="s">
        <v>124</v>
      </c>
      <c r="G52" s="107"/>
    </row>
    <row r="53">
      <c r="B53" s="102" t="s">
        <v>170</v>
      </c>
      <c r="C53" s="103"/>
      <c r="D53" s="104"/>
      <c r="E53" s="105">
        <f>D55</f>
        <v>1557.38</v>
      </c>
      <c r="G53" s="27"/>
    </row>
    <row r="54">
      <c r="B54" s="102" t="s">
        <v>171</v>
      </c>
      <c r="C54" s="103"/>
      <c r="D54" s="106">
        <f t="shared" ref="D54:E54" si="6">+D50</f>
        <v>1557.38</v>
      </c>
      <c r="E54" s="106">
        <f t="shared" si="6"/>
        <v>11296.95</v>
      </c>
      <c r="G54" s="27"/>
    </row>
    <row r="55">
      <c r="B55" s="67" t="s">
        <v>173</v>
      </c>
      <c r="C55" s="68"/>
      <c r="D55" s="95">
        <f t="shared" ref="D55:E55" si="7">SUM(D53:D54)</f>
        <v>1557.38</v>
      </c>
      <c r="E55" s="95">
        <f t="shared" si="7"/>
        <v>12854.33</v>
      </c>
      <c r="G55" s="27"/>
    </row>
    <row r="56">
      <c r="D56" s="362"/>
      <c r="E56" s="362"/>
      <c r="G56" s="27"/>
    </row>
    <row r="57">
      <c r="G57" s="27"/>
    </row>
    <row r="58">
      <c r="G58" s="27"/>
    </row>
    <row r="59">
      <c r="G59" s="27"/>
    </row>
    <row r="60">
      <c r="G60" s="27"/>
    </row>
    <row r="61">
      <c r="G61" s="27"/>
    </row>
    <row r="62">
      <c r="G62" s="27"/>
    </row>
    <row r="63">
      <c r="G63" s="27"/>
    </row>
    <row r="64">
      <c r="G64" s="27"/>
    </row>
    <row r="65">
      <c r="G65" s="27"/>
    </row>
    <row r="66">
      <c r="G66" s="27"/>
    </row>
    <row r="67">
      <c r="G67" s="27"/>
    </row>
    <row r="68">
      <c r="G68" s="27"/>
    </row>
    <row r="69">
      <c r="G69" s="27"/>
    </row>
    <row r="70">
      <c r="G70" s="27"/>
    </row>
    <row r="71">
      <c r="G71" s="27"/>
    </row>
    <row r="72">
      <c r="G72" s="27"/>
    </row>
    <row r="73">
      <c r="G73" s="27"/>
    </row>
    <row r="74">
      <c r="G74" s="27"/>
    </row>
    <row r="75">
      <c r="G75" s="27"/>
    </row>
    <row r="76">
      <c r="G76" s="27"/>
    </row>
    <row r="77">
      <c r="G77" s="27"/>
    </row>
    <row r="78">
      <c r="G78" s="27"/>
    </row>
    <row r="79">
      <c r="G79" s="27"/>
    </row>
    <row r="80">
      <c r="G80" s="27"/>
    </row>
    <row r="81">
      <c r="G81" s="27"/>
    </row>
    <row r="82">
      <c r="G82" s="27"/>
    </row>
    <row r="83">
      <c r="G83" s="27"/>
    </row>
    <row r="84">
      <c r="G84" s="27"/>
    </row>
    <row r="85">
      <c r="G85" s="27"/>
    </row>
    <row r="86">
      <c r="G86" s="27"/>
    </row>
    <row r="87">
      <c r="G87" s="27"/>
    </row>
    <row r="88">
      <c r="G88" s="27"/>
    </row>
    <row r="89">
      <c r="G89" s="27"/>
    </row>
    <row r="90">
      <c r="G90" s="27"/>
    </row>
    <row r="91">
      <c r="G91" s="27"/>
    </row>
    <row r="92">
      <c r="G92" s="27"/>
    </row>
    <row r="93">
      <c r="G93" s="27"/>
    </row>
    <row r="94">
      <c r="G94" s="27"/>
    </row>
    <row r="95">
      <c r="G95" s="27"/>
    </row>
    <row r="96">
      <c r="G96" s="27"/>
    </row>
    <row r="97">
      <c r="G97" s="27"/>
    </row>
    <row r="98">
      <c r="G98" s="27"/>
    </row>
    <row r="99">
      <c r="G99" s="27"/>
    </row>
    <row r="100">
      <c r="G100" s="27"/>
    </row>
    <row r="101">
      <c r="G101" s="27"/>
    </row>
    <row r="102">
      <c r="G102" s="27"/>
    </row>
    <row r="103">
      <c r="G103" s="27"/>
    </row>
    <row r="104">
      <c r="G104" s="27"/>
    </row>
    <row r="105">
      <c r="G105" s="27"/>
    </row>
    <row r="106">
      <c r="G106" s="27"/>
    </row>
    <row r="107">
      <c r="G107" s="27"/>
    </row>
    <row r="108">
      <c r="G108" s="27"/>
    </row>
    <row r="109">
      <c r="G109" s="27"/>
    </row>
    <row r="110">
      <c r="G110" s="27"/>
    </row>
    <row r="111">
      <c r="G111" s="27"/>
    </row>
    <row r="112">
      <c r="G112" s="27"/>
    </row>
    <row r="113">
      <c r="G113" s="27"/>
    </row>
    <row r="114">
      <c r="G114" s="27"/>
    </row>
    <row r="115">
      <c r="G115" s="27"/>
    </row>
    <row r="116">
      <c r="G116" s="27"/>
    </row>
    <row r="117">
      <c r="G117" s="27"/>
    </row>
    <row r="118">
      <c r="G118" s="27"/>
    </row>
    <row r="119">
      <c r="G119" s="27"/>
    </row>
    <row r="120">
      <c r="G120" s="27"/>
    </row>
    <row r="121">
      <c r="G121" s="27"/>
    </row>
    <row r="122">
      <c r="G122" s="27"/>
    </row>
    <row r="123">
      <c r="G123" s="27"/>
    </row>
    <row r="124">
      <c r="G124" s="27"/>
    </row>
    <row r="125">
      <c r="G125" s="27"/>
    </row>
    <row r="126">
      <c r="G126" s="27"/>
    </row>
    <row r="127">
      <c r="G127" s="27"/>
    </row>
    <row r="128">
      <c r="G128" s="27"/>
    </row>
    <row r="129">
      <c r="G129" s="27"/>
    </row>
    <row r="130">
      <c r="G130" s="27"/>
    </row>
    <row r="131">
      <c r="G131" s="27"/>
    </row>
    <row r="132">
      <c r="G132" s="27"/>
    </row>
    <row r="133">
      <c r="G133" s="27"/>
    </row>
    <row r="134">
      <c r="G134" s="27"/>
    </row>
    <row r="135">
      <c r="G135" s="27"/>
    </row>
    <row r="136">
      <c r="G136" s="27"/>
    </row>
    <row r="137">
      <c r="G137" s="27"/>
    </row>
    <row r="138">
      <c r="G138" s="27"/>
    </row>
    <row r="139">
      <c r="G139" s="27"/>
    </row>
    <row r="140">
      <c r="G140" s="27"/>
    </row>
    <row r="141">
      <c r="G141" s="27"/>
    </row>
    <row r="142">
      <c r="G142" s="27"/>
    </row>
    <row r="143">
      <c r="G143" s="27"/>
    </row>
    <row r="144">
      <c r="G144" s="27"/>
    </row>
    <row r="145">
      <c r="G145" s="27"/>
    </row>
    <row r="146">
      <c r="G146" s="27"/>
    </row>
    <row r="147">
      <c r="G147" s="27"/>
    </row>
    <row r="148">
      <c r="G148" s="27"/>
    </row>
    <row r="149">
      <c r="G149" s="27"/>
    </row>
    <row r="150">
      <c r="G150" s="27"/>
    </row>
    <row r="151">
      <c r="G151" s="27"/>
    </row>
    <row r="152">
      <c r="G152" s="27"/>
    </row>
    <row r="153">
      <c r="G153" s="27"/>
    </row>
    <row r="154">
      <c r="G154" s="27"/>
    </row>
    <row r="155">
      <c r="G155" s="27"/>
    </row>
    <row r="156">
      <c r="G156" s="27"/>
    </row>
    <row r="157">
      <c r="G157" s="27"/>
    </row>
    <row r="158">
      <c r="G158" s="27"/>
    </row>
    <row r="159">
      <c r="G159" s="27"/>
    </row>
    <row r="160">
      <c r="G160" s="27"/>
    </row>
    <row r="161">
      <c r="G161" s="27"/>
    </row>
    <row r="162">
      <c r="G162" s="27"/>
    </row>
    <row r="163">
      <c r="G163" s="27"/>
    </row>
    <row r="164">
      <c r="G164" s="27"/>
    </row>
    <row r="165">
      <c r="G165" s="27"/>
    </row>
    <row r="166">
      <c r="G166" s="27"/>
    </row>
    <row r="167">
      <c r="G167" s="27"/>
    </row>
    <row r="168">
      <c r="G168" s="27"/>
    </row>
    <row r="169">
      <c r="G169" s="27"/>
    </row>
    <row r="170">
      <c r="G170" s="27"/>
    </row>
    <row r="171">
      <c r="G171" s="27"/>
    </row>
    <row r="172">
      <c r="G172" s="27"/>
    </row>
    <row r="173">
      <c r="G173" s="27"/>
    </row>
    <row r="174">
      <c r="G174" s="27"/>
    </row>
    <row r="175">
      <c r="G175" s="27"/>
    </row>
    <row r="176">
      <c r="G176" s="27"/>
    </row>
    <row r="177">
      <c r="G177" s="27"/>
    </row>
    <row r="178">
      <c r="G178" s="27"/>
    </row>
    <row r="179">
      <c r="G179" s="27"/>
    </row>
    <row r="180">
      <c r="G180" s="27"/>
    </row>
    <row r="181">
      <c r="G181" s="27"/>
    </row>
    <row r="182">
      <c r="G182" s="27"/>
    </row>
    <row r="183">
      <c r="G183" s="27"/>
    </row>
    <row r="184">
      <c r="G184" s="27"/>
    </row>
    <row r="185">
      <c r="G185" s="27"/>
    </row>
    <row r="186">
      <c r="G186" s="27"/>
    </row>
    <row r="187">
      <c r="G187" s="27"/>
    </row>
    <row r="188">
      <c r="G188" s="27"/>
    </row>
    <row r="189">
      <c r="G189" s="27"/>
    </row>
    <row r="190">
      <c r="G190" s="27"/>
    </row>
    <row r="191">
      <c r="G191" s="27"/>
    </row>
    <row r="192">
      <c r="G192" s="27"/>
    </row>
    <row r="193">
      <c r="G193" s="27"/>
    </row>
    <row r="194">
      <c r="G194" s="27"/>
    </row>
    <row r="195">
      <c r="G195" s="27"/>
    </row>
    <row r="196">
      <c r="G196" s="27"/>
    </row>
    <row r="197">
      <c r="G197" s="27"/>
    </row>
    <row r="198">
      <c r="G198" s="27"/>
    </row>
    <row r="199">
      <c r="G199" s="27"/>
    </row>
    <row r="200">
      <c r="G200" s="27"/>
    </row>
    <row r="201">
      <c r="G201" s="27"/>
    </row>
    <row r="202">
      <c r="G202" s="27"/>
    </row>
    <row r="203">
      <c r="G203" s="27"/>
    </row>
    <row r="204">
      <c r="G204" s="27"/>
    </row>
    <row r="205">
      <c r="G205" s="27"/>
    </row>
    <row r="206">
      <c r="G206" s="27"/>
    </row>
    <row r="207">
      <c r="G207" s="27"/>
    </row>
    <row r="208">
      <c r="G208" s="27"/>
    </row>
    <row r="209">
      <c r="G209" s="27"/>
    </row>
    <row r="210">
      <c r="G210" s="27"/>
    </row>
    <row r="211">
      <c r="G211" s="27"/>
    </row>
    <row r="212">
      <c r="G212" s="27"/>
    </row>
    <row r="213">
      <c r="G213" s="27"/>
    </row>
    <row r="214">
      <c r="G214" s="27"/>
    </row>
    <row r="215">
      <c r="G215" s="27"/>
    </row>
    <row r="216">
      <c r="G216" s="27"/>
    </row>
    <row r="217">
      <c r="G217" s="27"/>
    </row>
    <row r="218">
      <c r="G218" s="27"/>
    </row>
    <row r="219">
      <c r="G219" s="27"/>
    </row>
    <row r="220">
      <c r="G220" s="27"/>
    </row>
    <row r="221">
      <c r="G221" s="27"/>
    </row>
    <row r="222">
      <c r="G222" s="27"/>
    </row>
    <row r="223">
      <c r="G223" s="27"/>
    </row>
    <row r="224">
      <c r="G224" s="27"/>
    </row>
    <row r="225">
      <c r="G225" s="27"/>
    </row>
    <row r="226">
      <c r="G226" s="27"/>
    </row>
    <row r="227">
      <c r="G227" s="27"/>
    </row>
    <row r="228">
      <c r="G228" s="27"/>
    </row>
    <row r="229">
      <c r="G229" s="27"/>
    </row>
    <row r="230">
      <c r="G230" s="27"/>
    </row>
    <row r="231">
      <c r="G231" s="27"/>
    </row>
    <row r="232">
      <c r="G232" s="27"/>
    </row>
    <row r="233">
      <c r="G233" s="27"/>
    </row>
    <row r="234">
      <c r="G234" s="27"/>
    </row>
    <row r="235">
      <c r="G235" s="27"/>
    </row>
    <row r="236">
      <c r="G236" s="27"/>
    </row>
    <row r="237">
      <c r="G237" s="27"/>
    </row>
    <row r="238">
      <c r="G238" s="27"/>
    </row>
    <row r="239">
      <c r="G239" s="27"/>
    </row>
    <row r="240">
      <c r="G240" s="27"/>
    </row>
    <row r="241">
      <c r="G241" s="27"/>
    </row>
    <row r="242">
      <c r="G242" s="27"/>
    </row>
    <row r="243">
      <c r="G243" s="27"/>
    </row>
    <row r="244">
      <c r="G244" s="27"/>
    </row>
    <row r="245">
      <c r="G245" s="27"/>
    </row>
    <row r="246">
      <c r="G246" s="27"/>
    </row>
    <row r="247">
      <c r="G247" s="27"/>
    </row>
    <row r="248">
      <c r="G248" s="27"/>
    </row>
    <row r="249">
      <c r="G249" s="27"/>
    </row>
    <row r="250">
      <c r="G250" s="27"/>
    </row>
    <row r="251">
      <c r="G251" s="27"/>
    </row>
    <row r="252">
      <c r="G252" s="27"/>
    </row>
    <row r="253">
      <c r="G253" s="27"/>
    </row>
    <row r="254">
      <c r="G254" s="27"/>
    </row>
    <row r="255">
      <c r="G255" s="27"/>
    </row>
    <row r="256">
      <c r="G256" s="27"/>
    </row>
    <row r="257">
      <c r="G257" s="27"/>
    </row>
    <row r="258">
      <c r="G258" s="27"/>
    </row>
    <row r="259">
      <c r="G259" s="27"/>
    </row>
    <row r="260">
      <c r="G260" s="27"/>
    </row>
    <row r="261">
      <c r="G261" s="27"/>
    </row>
    <row r="262">
      <c r="G262" s="27"/>
    </row>
    <row r="263">
      <c r="G263" s="27"/>
    </row>
    <row r="264">
      <c r="G264" s="27"/>
    </row>
    <row r="265">
      <c r="G265" s="27"/>
    </row>
    <row r="266">
      <c r="G266" s="27"/>
    </row>
    <row r="267">
      <c r="G267" s="27"/>
    </row>
    <row r="268">
      <c r="G268" s="27"/>
    </row>
    <row r="269">
      <c r="G269" s="27"/>
    </row>
    <row r="270">
      <c r="G270" s="27"/>
    </row>
    <row r="271">
      <c r="G271" s="27"/>
    </row>
    <row r="272">
      <c r="G272" s="27"/>
    </row>
    <row r="273">
      <c r="G273" s="27"/>
    </row>
    <row r="274">
      <c r="G274" s="27"/>
    </row>
    <row r="275">
      <c r="G275" s="27"/>
    </row>
    <row r="276">
      <c r="G276" s="27"/>
    </row>
    <row r="277">
      <c r="G277" s="27"/>
    </row>
    <row r="278">
      <c r="G278" s="27"/>
    </row>
    <row r="279">
      <c r="G279" s="27"/>
    </row>
    <row r="280">
      <c r="G280" s="27"/>
    </row>
    <row r="281">
      <c r="G281" s="27"/>
    </row>
    <row r="282">
      <c r="G282" s="27"/>
    </row>
    <row r="283">
      <c r="G283" s="27"/>
    </row>
    <row r="284">
      <c r="G284" s="27"/>
    </row>
    <row r="285">
      <c r="G285" s="27"/>
    </row>
    <row r="286">
      <c r="G286" s="27"/>
    </row>
    <row r="287">
      <c r="G287" s="27"/>
    </row>
    <row r="288">
      <c r="G288" s="27"/>
    </row>
    <row r="289">
      <c r="G289" s="27"/>
    </row>
    <row r="290">
      <c r="G290" s="27"/>
    </row>
    <row r="291">
      <c r="G291" s="27"/>
    </row>
    <row r="292">
      <c r="G292" s="27"/>
    </row>
    <row r="293">
      <c r="G293" s="27"/>
    </row>
    <row r="294">
      <c r="G294" s="27"/>
    </row>
    <row r="295">
      <c r="G295" s="27"/>
    </row>
    <row r="296">
      <c r="G296" s="27"/>
    </row>
    <row r="297">
      <c r="G297" s="27"/>
    </row>
    <row r="298">
      <c r="G298" s="27"/>
    </row>
    <row r="299">
      <c r="G299" s="27"/>
    </row>
    <row r="300">
      <c r="G300" s="27"/>
    </row>
    <row r="301">
      <c r="G301" s="27"/>
    </row>
    <row r="302">
      <c r="G302" s="27"/>
    </row>
    <row r="303">
      <c r="G303" s="27"/>
    </row>
    <row r="304">
      <c r="G304" s="27"/>
    </row>
    <row r="305">
      <c r="G305" s="27"/>
    </row>
    <row r="306">
      <c r="G306" s="27"/>
    </row>
    <row r="307">
      <c r="G307" s="27"/>
    </row>
    <row r="308">
      <c r="G308" s="27"/>
    </row>
    <row r="309">
      <c r="G309" s="27"/>
    </row>
    <row r="310">
      <c r="G310" s="27"/>
    </row>
    <row r="311">
      <c r="G311" s="27"/>
    </row>
    <row r="312">
      <c r="G312" s="27"/>
    </row>
    <row r="313">
      <c r="G313" s="27"/>
    </row>
    <row r="314">
      <c r="G314" s="27"/>
    </row>
    <row r="315">
      <c r="G315" s="27"/>
    </row>
    <row r="316">
      <c r="G316" s="27"/>
    </row>
    <row r="317">
      <c r="G317" s="27"/>
    </row>
    <row r="318">
      <c r="G318" s="27"/>
    </row>
    <row r="319">
      <c r="G319" s="27"/>
    </row>
    <row r="320">
      <c r="G320" s="27"/>
    </row>
    <row r="321">
      <c r="G321" s="27"/>
    </row>
    <row r="322">
      <c r="G322" s="27"/>
    </row>
    <row r="323">
      <c r="G323" s="27"/>
    </row>
    <row r="324">
      <c r="G324" s="27"/>
    </row>
    <row r="325">
      <c r="G325" s="27"/>
    </row>
    <row r="326">
      <c r="G326" s="27"/>
    </row>
    <row r="327">
      <c r="G327" s="27"/>
    </row>
    <row r="328">
      <c r="G328" s="27"/>
    </row>
    <row r="329">
      <c r="G329" s="27"/>
    </row>
    <row r="330">
      <c r="G330" s="27"/>
    </row>
    <row r="331">
      <c r="G331" s="27"/>
    </row>
    <row r="332">
      <c r="G332" s="27"/>
    </row>
    <row r="333">
      <c r="G333" s="27"/>
    </row>
    <row r="334">
      <c r="G334" s="27"/>
    </row>
    <row r="335">
      <c r="G335" s="27"/>
    </row>
    <row r="336">
      <c r="G336" s="27"/>
    </row>
    <row r="337">
      <c r="G337" s="27"/>
    </row>
    <row r="338">
      <c r="G338" s="27"/>
    </row>
    <row r="339">
      <c r="G339" s="27"/>
    </row>
    <row r="340">
      <c r="G340" s="27"/>
    </row>
    <row r="341">
      <c r="G341" s="27"/>
    </row>
    <row r="342">
      <c r="G342" s="27"/>
    </row>
    <row r="343">
      <c r="G343" s="27"/>
    </row>
    <row r="344">
      <c r="G344" s="27"/>
    </row>
    <row r="345">
      <c r="G345" s="27"/>
    </row>
    <row r="346">
      <c r="G346" s="27"/>
    </row>
    <row r="347">
      <c r="G347" s="27"/>
    </row>
    <row r="348">
      <c r="G348" s="27"/>
    </row>
    <row r="349">
      <c r="G349" s="27"/>
    </row>
    <row r="350">
      <c r="G350" s="27"/>
    </row>
    <row r="351">
      <c r="G351" s="27"/>
    </row>
    <row r="352">
      <c r="G352" s="27"/>
    </row>
    <row r="353">
      <c r="G353" s="27"/>
    </row>
    <row r="354">
      <c r="G354" s="27"/>
    </row>
    <row r="355">
      <c r="G355" s="27"/>
    </row>
    <row r="356">
      <c r="G356" s="27"/>
    </row>
    <row r="357">
      <c r="G357" s="27"/>
    </row>
    <row r="358">
      <c r="G358" s="27"/>
    </row>
    <row r="359">
      <c r="G359" s="27"/>
    </row>
    <row r="360">
      <c r="G360" s="27"/>
    </row>
    <row r="361">
      <c r="G361" s="27"/>
    </row>
    <row r="362">
      <c r="G362" s="27"/>
    </row>
    <row r="363">
      <c r="G363" s="27"/>
    </row>
    <row r="364">
      <c r="G364" s="27"/>
    </row>
    <row r="365">
      <c r="G365" s="27"/>
    </row>
    <row r="366">
      <c r="G366" s="27"/>
    </row>
    <row r="367">
      <c r="G367" s="27"/>
    </row>
    <row r="368">
      <c r="G368" s="27"/>
    </row>
    <row r="369">
      <c r="G369" s="27"/>
    </row>
    <row r="370">
      <c r="G370" s="27"/>
    </row>
    <row r="371">
      <c r="G371" s="27"/>
    </row>
    <row r="372">
      <c r="G372" s="27"/>
    </row>
    <row r="373">
      <c r="G373" s="27"/>
    </row>
    <row r="374">
      <c r="G374" s="27"/>
    </row>
    <row r="375">
      <c r="G375" s="27"/>
    </row>
    <row r="376">
      <c r="G376" s="27"/>
    </row>
    <row r="377">
      <c r="G377" s="27"/>
    </row>
    <row r="378">
      <c r="G378" s="27"/>
    </row>
    <row r="379">
      <c r="G379" s="27"/>
    </row>
    <row r="380">
      <c r="G380" s="27"/>
    </row>
    <row r="381">
      <c r="G381" s="27"/>
    </row>
    <row r="382">
      <c r="G382" s="27"/>
    </row>
    <row r="383">
      <c r="G383" s="27"/>
    </row>
    <row r="384">
      <c r="G384" s="27"/>
    </row>
    <row r="385">
      <c r="G385" s="27"/>
    </row>
    <row r="386">
      <c r="G386" s="27"/>
    </row>
    <row r="387">
      <c r="G387" s="27"/>
    </row>
    <row r="388">
      <c r="G388" s="27"/>
    </row>
    <row r="389">
      <c r="G389" s="27"/>
    </row>
    <row r="390">
      <c r="G390" s="27"/>
    </row>
    <row r="391">
      <c r="G391" s="27"/>
    </row>
    <row r="392">
      <c r="G392" s="27"/>
    </row>
    <row r="393">
      <c r="G393" s="27"/>
    </row>
    <row r="394">
      <c r="G394" s="27"/>
    </row>
    <row r="395">
      <c r="G395" s="27"/>
    </row>
    <row r="396">
      <c r="G396" s="27"/>
    </row>
    <row r="397">
      <c r="G397" s="27"/>
    </row>
    <row r="398">
      <c r="G398" s="27"/>
    </row>
    <row r="399">
      <c r="G399" s="27"/>
    </row>
    <row r="400">
      <c r="G400" s="27"/>
    </row>
    <row r="401">
      <c r="G401" s="27"/>
    </row>
    <row r="402">
      <c r="G402" s="27"/>
    </row>
    <row r="403">
      <c r="G403" s="27"/>
    </row>
    <row r="404">
      <c r="G404" s="27"/>
    </row>
    <row r="405">
      <c r="G405" s="27"/>
    </row>
    <row r="406">
      <c r="G406" s="27"/>
    </row>
    <row r="407">
      <c r="G407" s="27"/>
    </row>
    <row r="408">
      <c r="G408" s="27"/>
    </row>
    <row r="409">
      <c r="G409" s="27"/>
    </row>
    <row r="410">
      <c r="G410" s="27"/>
    </row>
    <row r="411">
      <c r="G411" s="27"/>
    </row>
    <row r="412">
      <c r="G412" s="27"/>
    </row>
    <row r="413">
      <c r="G413" s="27"/>
    </row>
    <row r="414">
      <c r="G414" s="27"/>
    </row>
    <row r="415">
      <c r="G415" s="27"/>
    </row>
    <row r="416">
      <c r="G416" s="27"/>
    </row>
    <row r="417">
      <c r="G417" s="27"/>
    </row>
    <row r="418">
      <c r="G418" s="27"/>
    </row>
    <row r="419">
      <c r="G419" s="27"/>
    </row>
    <row r="420">
      <c r="G420" s="27"/>
    </row>
    <row r="421">
      <c r="G421" s="27"/>
    </row>
    <row r="422">
      <c r="G422" s="27"/>
    </row>
    <row r="423">
      <c r="G423" s="27"/>
    </row>
    <row r="424">
      <c r="G424" s="27"/>
    </row>
    <row r="425">
      <c r="G425" s="27"/>
    </row>
    <row r="426">
      <c r="G426" s="27"/>
    </row>
    <row r="427">
      <c r="G427" s="27"/>
    </row>
    <row r="428">
      <c r="G428" s="27"/>
    </row>
    <row r="429">
      <c r="G429" s="27"/>
    </row>
    <row r="430">
      <c r="G430" s="27"/>
    </row>
    <row r="431">
      <c r="G431" s="27"/>
    </row>
    <row r="432">
      <c r="G432" s="27"/>
    </row>
    <row r="433">
      <c r="G433" s="27"/>
    </row>
    <row r="434">
      <c r="G434" s="27"/>
    </row>
    <row r="435">
      <c r="G435" s="27"/>
    </row>
    <row r="436">
      <c r="G436" s="27"/>
    </row>
    <row r="437">
      <c r="G437" s="27"/>
    </row>
    <row r="438">
      <c r="G438" s="27"/>
    </row>
    <row r="439">
      <c r="G439" s="27"/>
    </row>
    <row r="440">
      <c r="G440" s="27"/>
    </row>
    <row r="441">
      <c r="G441" s="27"/>
    </row>
    <row r="442">
      <c r="G442" s="27"/>
    </row>
    <row r="443">
      <c r="G443" s="27"/>
    </row>
    <row r="444">
      <c r="G444" s="27"/>
    </row>
    <row r="445">
      <c r="G445" s="27"/>
    </row>
    <row r="446">
      <c r="G446" s="27"/>
    </row>
    <row r="447">
      <c r="G447" s="27"/>
    </row>
    <row r="448">
      <c r="G448" s="27"/>
    </row>
    <row r="449">
      <c r="G449" s="27"/>
    </row>
    <row r="450">
      <c r="G450" s="27"/>
    </row>
    <row r="451">
      <c r="G451" s="27"/>
    </row>
    <row r="452">
      <c r="G452" s="27"/>
    </row>
    <row r="453">
      <c r="G453" s="27"/>
    </row>
    <row r="454">
      <c r="G454" s="27"/>
    </row>
    <row r="455">
      <c r="G455" s="27"/>
    </row>
    <row r="456">
      <c r="G456" s="27"/>
    </row>
    <row r="457">
      <c r="G457" s="27"/>
    </row>
    <row r="458">
      <c r="G458" s="27"/>
    </row>
    <row r="459">
      <c r="G459" s="27"/>
    </row>
    <row r="460">
      <c r="G460" s="27"/>
    </row>
    <row r="461">
      <c r="G461" s="27"/>
    </row>
    <row r="462">
      <c r="G462" s="27"/>
    </row>
    <row r="463">
      <c r="G463" s="27"/>
    </row>
    <row r="464">
      <c r="G464" s="27"/>
    </row>
    <row r="465">
      <c r="G465" s="27"/>
    </row>
    <row r="466">
      <c r="G466" s="27"/>
    </row>
    <row r="467">
      <c r="G467" s="27"/>
    </row>
    <row r="468">
      <c r="G468" s="27"/>
    </row>
    <row r="469">
      <c r="G469" s="27"/>
    </row>
    <row r="470">
      <c r="G470" s="27"/>
    </row>
    <row r="471">
      <c r="G471" s="27"/>
    </row>
    <row r="472">
      <c r="G472" s="27"/>
    </row>
    <row r="473">
      <c r="G473" s="27"/>
    </row>
    <row r="474">
      <c r="G474" s="27"/>
    </row>
    <row r="475">
      <c r="G475" s="27"/>
    </row>
    <row r="476">
      <c r="G476" s="27"/>
    </row>
    <row r="477">
      <c r="G477" s="27"/>
    </row>
    <row r="478">
      <c r="G478" s="27"/>
    </row>
    <row r="479">
      <c r="G479" s="27"/>
    </row>
    <row r="480">
      <c r="G480" s="27"/>
    </row>
    <row r="481">
      <c r="G481" s="27"/>
    </row>
    <row r="482">
      <c r="G482" s="27"/>
    </row>
    <row r="483">
      <c r="G483" s="27"/>
    </row>
    <row r="484">
      <c r="G484" s="27"/>
    </row>
    <row r="485">
      <c r="G485" s="27"/>
    </row>
    <row r="486">
      <c r="G486" s="27"/>
    </row>
    <row r="487">
      <c r="G487" s="27"/>
    </row>
    <row r="488">
      <c r="G488" s="27"/>
    </row>
    <row r="489">
      <c r="G489" s="27"/>
    </row>
    <row r="490">
      <c r="G490" s="27"/>
    </row>
    <row r="491">
      <c r="G491" s="27"/>
    </row>
    <row r="492">
      <c r="G492" s="27"/>
    </row>
    <row r="493">
      <c r="G493" s="27"/>
    </row>
    <row r="494">
      <c r="G494" s="27"/>
    </row>
    <row r="495">
      <c r="G495" s="27"/>
    </row>
    <row r="496">
      <c r="G496" s="27"/>
    </row>
    <row r="497">
      <c r="G497" s="27"/>
    </row>
    <row r="498">
      <c r="G498" s="27"/>
    </row>
    <row r="499">
      <c r="G499" s="27"/>
    </row>
    <row r="500">
      <c r="G500" s="27"/>
    </row>
    <row r="501">
      <c r="G501" s="27"/>
    </row>
    <row r="502">
      <c r="G502" s="27"/>
    </row>
    <row r="503">
      <c r="G503" s="27"/>
    </row>
    <row r="504">
      <c r="G504" s="27"/>
    </row>
    <row r="505">
      <c r="G505" s="27"/>
    </row>
    <row r="506">
      <c r="G506" s="27"/>
    </row>
    <row r="507">
      <c r="G507" s="27"/>
    </row>
    <row r="508">
      <c r="G508" s="27"/>
    </row>
    <row r="509">
      <c r="G509" s="27"/>
    </row>
    <row r="510">
      <c r="G510" s="27"/>
    </row>
    <row r="511">
      <c r="G511" s="27"/>
    </row>
    <row r="512">
      <c r="G512" s="27"/>
    </row>
    <row r="513">
      <c r="G513" s="27"/>
    </row>
    <row r="514">
      <c r="G514" s="27"/>
    </row>
    <row r="515">
      <c r="G515" s="27"/>
    </row>
    <row r="516">
      <c r="G516" s="27"/>
    </row>
    <row r="517">
      <c r="G517" s="27"/>
    </row>
    <row r="518">
      <c r="G518" s="27"/>
    </row>
    <row r="519">
      <c r="G519" s="27"/>
    </row>
    <row r="520">
      <c r="G520" s="27"/>
    </row>
    <row r="521">
      <c r="G521" s="27"/>
    </row>
    <row r="522">
      <c r="G522" s="27"/>
    </row>
    <row r="523">
      <c r="G523" s="27"/>
    </row>
    <row r="524">
      <c r="G524" s="27"/>
    </row>
    <row r="525">
      <c r="G525" s="27"/>
    </row>
    <row r="526">
      <c r="G526" s="27"/>
    </row>
    <row r="527">
      <c r="G527" s="27"/>
    </row>
    <row r="528">
      <c r="G528" s="27"/>
    </row>
    <row r="529">
      <c r="G529" s="27"/>
    </row>
    <row r="530">
      <c r="G530" s="27"/>
    </row>
    <row r="531">
      <c r="G531" s="27"/>
    </row>
    <row r="532">
      <c r="G532" s="27"/>
    </row>
    <row r="533">
      <c r="G533" s="27"/>
    </row>
    <row r="534">
      <c r="G534" s="27"/>
    </row>
    <row r="535">
      <c r="G535" s="27"/>
    </row>
    <row r="536">
      <c r="G536" s="27"/>
    </row>
    <row r="537">
      <c r="G537" s="27"/>
    </row>
    <row r="538">
      <c r="G538" s="27"/>
    </row>
    <row r="539">
      <c r="G539" s="27"/>
    </row>
    <row r="540">
      <c r="G540" s="27"/>
    </row>
    <row r="541">
      <c r="G541" s="27"/>
    </row>
    <row r="542">
      <c r="G542" s="27"/>
    </row>
    <row r="543">
      <c r="G543" s="27"/>
    </row>
    <row r="544">
      <c r="G544" s="27"/>
    </row>
    <row r="545">
      <c r="G545" s="27"/>
    </row>
    <row r="546">
      <c r="G546" s="27"/>
    </row>
    <row r="547">
      <c r="G547" s="27"/>
    </row>
    <row r="548">
      <c r="G548" s="27"/>
    </row>
    <row r="549">
      <c r="G549" s="27"/>
    </row>
    <row r="550">
      <c r="G550" s="27"/>
    </row>
    <row r="551">
      <c r="G551" s="27"/>
    </row>
    <row r="552">
      <c r="G552" s="27"/>
    </row>
    <row r="553">
      <c r="G553" s="27"/>
    </row>
    <row r="554">
      <c r="G554" s="27"/>
    </row>
    <row r="555">
      <c r="G555" s="27"/>
    </row>
    <row r="556">
      <c r="G556" s="27"/>
    </row>
    <row r="557">
      <c r="G557" s="27"/>
    </row>
    <row r="558">
      <c r="G558" s="27"/>
    </row>
    <row r="559">
      <c r="G559" s="27"/>
    </row>
    <row r="560">
      <c r="G560" s="27"/>
    </row>
    <row r="561">
      <c r="G561" s="27"/>
    </row>
    <row r="562">
      <c r="G562" s="27"/>
    </row>
    <row r="563">
      <c r="G563" s="27"/>
    </row>
    <row r="564">
      <c r="G564" s="27"/>
    </row>
    <row r="565">
      <c r="G565" s="27"/>
    </row>
    <row r="566">
      <c r="G566" s="27"/>
    </row>
    <row r="567">
      <c r="G567" s="27"/>
    </row>
    <row r="568">
      <c r="G568" s="27"/>
    </row>
    <row r="569">
      <c r="G569" s="27"/>
    </row>
    <row r="570">
      <c r="G570" s="27"/>
    </row>
    <row r="571">
      <c r="G571" s="27"/>
    </row>
    <row r="572">
      <c r="G572" s="27"/>
    </row>
    <row r="573">
      <c r="G573" s="27"/>
    </row>
    <row r="574">
      <c r="G574" s="27"/>
    </row>
    <row r="575">
      <c r="G575" s="27"/>
    </row>
    <row r="576">
      <c r="G576" s="27"/>
    </row>
    <row r="577">
      <c r="G577" s="27"/>
    </row>
    <row r="578">
      <c r="G578" s="27"/>
    </row>
    <row r="579">
      <c r="G579" s="27"/>
    </row>
    <row r="580">
      <c r="G580" s="27"/>
    </row>
    <row r="581">
      <c r="G581" s="27"/>
    </row>
    <row r="582">
      <c r="G582" s="27"/>
    </row>
    <row r="583">
      <c r="G583" s="27"/>
    </row>
    <row r="584">
      <c r="G584" s="27"/>
    </row>
    <row r="585">
      <c r="G585" s="27"/>
    </row>
    <row r="586">
      <c r="G586" s="27"/>
    </row>
    <row r="587">
      <c r="G587" s="27"/>
    </row>
    <row r="588">
      <c r="G588" s="27"/>
    </row>
    <row r="589">
      <c r="G589" s="27"/>
    </row>
    <row r="590">
      <c r="G590" s="27"/>
    </row>
    <row r="591">
      <c r="G591" s="27"/>
    </row>
    <row r="592">
      <c r="G592" s="27"/>
    </row>
    <row r="593">
      <c r="G593" s="27"/>
    </row>
    <row r="594">
      <c r="G594" s="27"/>
    </row>
    <row r="595">
      <c r="G595" s="27"/>
    </row>
    <row r="596">
      <c r="G596" s="27"/>
    </row>
    <row r="597">
      <c r="G597" s="27"/>
    </row>
    <row r="598">
      <c r="G598" s="27"/>
    </row>
    <row r="599">
      <c r="G599" s="27"/>
    </row>
    <row r="600">
      <c r="G600" s="27"/>
    </row>
    <row r="601">
      <c r="G601" s="27"/>
    </row>
    <row r="602">
      <c r="G602" s="27"/>
    </row>
    <row r="603">
      <c r="G603" s="27"/>
    </row>
    <row r="604">
      <c r="G604" s="27"/>
    </row>
    <row r="605">
      <c r="G605" s="27"/>
    </row>
    <row r="606">
      <c r="G606" s="27"/>
    </row>
    <row r="607">
      <c r="G607" s="27"/>
    </row>
    <row r="608">
      <c r="G608" s="27"/>
    </row>
    <row r="609">
      <c r="G609" s="27"/>
    </row>
    <row r="610">
      <c r="G610" s="27"/>
    </row>
    <row r="611">
      <c r="G611" s="27"/>
    </row>
    <row r="612">
      <c r="G612" s="27"/>
    </row>
    <row r="613">
      <c r="G613" s="27"/>
    </row>
    <row r="614">
      <c r="G614" s="27"/>
    </row>
    <row r="615">
      <c r="G615" s="27"/>
    </row>
    <row r="616">
      <c r="G616" s="27"/>
    </row>
    <row r="617">
      <c r="G617" s="27"/>
    </row>
    <row r="618">
      <c r="G618" s="27"/>
    </row>
    <row r="619">
      <c r="G619" s="27"/>
    </row>
    <row r="620">
      <c r="G620" s="27"/>
    </row>
    <row r="621">
      <c r="G621" s="27"/>
    </row>
    <row r="622">
      <c r="G622" s="27"/>
    </row>
    <row r="623">
      <c r="G623" s="27"/>
    </row>
    <row r="624">
      <c r="G624" s="27"/>
    </row>
    <row r="625">
      <c r="G625" s="27"/>
    </row>
    <row r="626">
      <c r="G626" s="27"/>
    </row>
    <row r="627">
      <c r="G627" s="27"/>
    </row>
    <row r="628">
      <c r="G628" s="27"/>
    </row>
    <row r="629">
      <c r="G629" s="27"/>
    </row>
    <row r="630">
      <c r="G630" s="27"/>
    </row>
    <row r="631">
      <c r="G631" s="27"/>
    </row>
    <row r="632">
      <c r="G632" s="27"/>
    </row>
    <row r="633">
      <c r="G633" s="27"/>
    </row>
    <row r="634">
      <c r="G634" s="27"/>
    </row>
    <row r="635">
      <c r="G635" s="27"/>
    </row>
    <row r="636">
      <c r="G636" s="27"/>
    </row>
    <row r="637">
      <c r="G637" s="27"/>
    </row>
    <row r="638">
      <c r="G638" s="27"/>
    </row>
    <row r="639">
      <c r="G639" s="27"/>
    </row>
    <row r="640">
      <c r="G640" s="27"/>
    </row>
    <row r="641">
      <c r="G641" s="27"/>
    </row>
    <row r="642">
      <c r="G642" s="27"/>
    </row>
    <row r="643">
      <c r="G643" s="27"/>
    </row>
    <row r="644">
      <c r="G644" s="27"/>
    </row>
    <row r="645">
      <c r="G645" s="27"/>
    </row>
    <row r="646">
      <c r="G646" s="27"/>
    </row>
    <row r="647">
      <c r="G647" s="27"/>
    </row>
    <row r="648">
      <c r="G648" s="27"/>
    </row>
    <row r="649">
      <c r="G649" s="27"/>
    </row>
    <row r="650">
      <c r="G650" s="27"/>
    </row>
    <row r="651">
      <c r="G651" s="27"/>
    </row>
    <row r="652">
      <c r="G652" s="27"/>
    </row>
    <row r="653">
      <c r="G653" s="27"/>
    </row>
    <row r="654">
      <c r="G654" s="27"/>
    </row>
    <row r="655">
      <c r="G655" s="27"/>
    </row>
    <row r="656">
      <c r="G656" s="27"/>
    </row>
    <row r="657">
      <c r="G657" s="27"/>
    </row>
    <row r="658">
      <c r="G658" s="27"/>
    </row>
    <row r="659">
      <c r="G659" s="27"/>
    </row>
    <row r="660">
      <c r="G660" s="27"/>
    </row>
    <row r="661">
      <c r="G661" s="27"/>
    </row>
    <row r="662">
      <c r="G662" s="27"/>
    </row>
    <row r="663">
      <c r="G663" s="27"/>
    </row>
    <row r="664">
      <c r="G664" s="27"/>
    </row>
    <row r="665">
      <c r="G665" s="27"/>
    </row>
    <row r="666">
      <c r="G666" s="27"/>
    </row>
    <row r="667">
      <c r="G667" s="27"/>
    </row>
    <row r="668">
      <c r="G668" s="27"/>
    </row>
    <row r="669">
      <c r="G669" s="27"/>
    </row>
    <row r="670">
      <c r="G670" s="27"/>
    </row>
    <row r="671">
      <c r="G671" s="27"/>
    </row>
    <row r="672">
      <c r="G672" s="27"/>
    </row>
    <row r="673">
      <c r="G673" s="27"/>
    </row>
    <row r="674">
      <c r="G674" s="27"/>
    </row>
    <row r="675">
      <c r="G675" s="27"/>
    </row>
    <row r="676">
      <c r="G676" s="27"/>
    </row>
    <row r="677">
      <c r="G677" s="27"/>
    </row>
    <row r="678">
      <c r="G678" s="27"/>
    </row>
    <row r="679">
      <c r="G679" s="27"/>
    </row>
    <row r="680">
      <c r="G680" s="27"/>
    </row>
    <row r="681">
      <c r="G681" s="27"/>
    </row>
    <row r="682">
      <c r="G682" s="27"/>
    </row>
    <row r="683">
      <c r="G683" s="27"/>
    </row>
    <row r="684">
      <c r="G684" s="27"/>
    </row>
    <row r="685">
      <c r="G685" s="27"/>
    </row>
    <row r="686">
      <c r="G686" s="27"/>
    </row>
    <row r="687">
      <c r="G687" s="27"/>
    </row>
    <row r="688">
      <c r="G688" s="27"/>
    </row>
    <row r="689">
      <c r="G689" s="27"/>
    </row>
    <row r="690">
      <c r="G690" s="27"/>
    </row>
    <row r="691">
      <c r="G691" s="27"/>
    </row>
    <row r="692">
      <c r="G692" s="27"/>
    </row>
    <row r="693">
      <c r="G693" s="27"/>
    </row>
    <row r="694">
      <c r="G694" s="27"/>
    </row>
    <row r="695">
      <c r="G695" s="27"/>
    </row>
    <row r="696">
      <c r="G696" s="27"/>
    </row>
    <row r="697">
      <c r="G697" s="27"/>
    </row>
    <row r="698">
      <c r="G698" s="27"/>
    </row>
    <row r="699">
      <c r="G699" s="27"/>
    </row>
    <row r="700">
      <c r="G700" s="27"/>
    </row>
    <row r="701">
      <c r="G701" s="27"/>
    </row>
    <row r="702">
      <c r="G702" s="27"/>
    </row>
    <row r="703">
      <c r="G703" s="27"/>
    </row>
    <row r="704">
      <c r="G704" s="27"/>
    </row>
    <row r="705">
      <c r="G705" s="27"/>
    </row>
    <row r="706">
      <c r="G706" s="27"/>
    </row>
    <row r="707">
      <c r="G707" s="27"/>
    </row>
    <row r="708">
      <c r="G708" s="27"/>
    </row>
    <row r="709">
      <c r="G709" s="27"/>
    </row>
    <row r="710">
      <c r="G710" s="27"/>
    </row>
    <row r="711">
      <c r="G711" s="27"/>
    </row>
    <row r="712">
      <c r="G712" s="27"/>
    </row>
    <row r="713">
      <c r="G713" s="27"/>
    </row>
    <row r="714">
      <c r="G714" s="27"/>
    </row>
    <row r="715">
      <c r="G715" s="27"/>
    </row>
    <row r="716">
      <c r="G716" s="27"/>
    </row>
    <row r="717">
      <c r="G717" s="27"/>
    </row>
    <row r="718">
      <c r="G718" s="27"/>
    </row>
    <row r="719">
      <c r="G719" s="27"/>
    </row>
    <row r="720">
      <c r="G720" s="27"/>
    </row>
    <row r="721">
      <c r="G721" s="27"/>
    </row>
    <row r="722">
      <c r="G722" s="27"/>
    </row>
    <row r="723">
      <c r="G723" s="27"/>
    </row>
    <row r="724">
      <c r="G724" s="27"/>
    </row>
    <row r="725">
      <c r="G725" s="27"/>
    </row>
    <row r="726">
      <c r="G726" s="27"/>
    </row>
    <row r="727">
      <c r="G727" s="27"/>
    </row>
    <row r="728">
      <c r="G728" s="27"/>
    </row>
    <row r="729">
      <c r="G729" s="27"/>
    </row>
    <row r="730">
      <c r="G730" s="27"/>
    </row>
    <row r="731">
      <c r="G731" s="27"/>
    </row>
    <row r="732">
      <c r="G732" s="27"/>
    </row>
    <row r="733">
      <c r="G733" s="27"/>
    </row>
    <row r="734">
      <c r="G734" s="27"/>
    </row>
    <row r="735">
      <c r="G735" s="27"/>
    </row>
    <row r="736">
      <c r="G736" s="27"/>
    </row>
    <row r="737">
      <c r="G737" s="27"/>
    </row>
    <row r="738">
      <c r="G738" s="27"/>
    </row>
    <row r="739">
      <c r="G739" s="27"/>
    </row>
    <row r="740">
      <c r="G740" s="27"/>
    </row>
    <row r="741">
      <c r="G741" s="27"/>
    </row>
    <row r="742">
      <c r="G742" s="27"/>
    </row>
    <row r="743">
      <c r="G743" s="27"/>
    </row>
    <row r="744">
      <c r="G744" s="27"/>
    </row>
    <row r="745">
      <c r="G745" s="27"/>
    </row>
    <row r="746">
      <c r="G746" s="27"/>
    </row>
    <row r="747">
      <c r="G747" s="27"/>
    </row>
    <row r="748">
      <c r="G748" s="27"/>
    </row>
    <row r="749">
      <c r="G749" s="27"/>
    </row>
    <row r="750">
      <c r="G750" s="27"/>
    </row>
    <row r="751">
      <c r="G751" s="27"/>
    </row>
    <row r="752">
      <c r="G752" s="27"/>
    </row>
    <row r="753">
      <c r="G753" s="27"/>
    </row>
    <row r="754">
      <c r="G754" s="27"/>
    </row>
    <row r="755">
      <c r="G755" s="27"/>
    </row>
    <row r="756">
      <c r="G756" s="27"/>
    </row>
    <row r="757">
      <c r="G757" s="27"/>
    </row>
    <row r="758">
      <c r="G758" s="27"/>
    </row>
    <row r="759">
      <c r="G759" s="27"/>
    </row>
    <row r="760">
      <c r="G760" s="27"/>
    </row>
    <row r="761">
      <c r="G761" s="27"/>
    </row>
    <row r="762">
      <c r="G762" s="27"/>
    </row>
    <row r="763">
      <c r="G763" s="27"/>
    </row>
    <row r="764">
      <c r="G764" s="27"/>
    </row>
    <row r="765">
      <c r="G765" s="27"/>
    </row>
    <row r="766">
      <c r="G766" s="27"/>
    </row>
    <row r="767">
      <c r="G767" s="27"/>
    </row>
    <row r="768">
      <c r="G768" s="27"/>
    </row>
    <row r="769">
      <c r="G769" s="27"/>
    </row>
    <row r="770">
      <c r="G770" s="27"/>
    </row>
    <row r="771">
      <c r="G771" s="27"/>
    </row>
    <row r="772">
      <c r="G772" s="27"/>
    </row>
    <row r="773">
      <c r="G773" s="27"/>
    </row>
    <row r="774">
      <c r="G774" s="27"/>
    </row>
    <row r="775">
      <c r="G775" s="27"/>
    </row>
    <row r="776">
      <c r="G776" s="27"/>
    </row>
    <row r="777">
      <c r="G777" s="27"/>
    </row>
    <row r="778">
      <c r="G778" s="27"/>
    </row>
    <row r="779">
      <c r="G779" s="27"/>
    </row>
    <row r="780">
      <c r="G780" s="27"/>
    </row>
    <row r="781">
      <c r="G781" s="27"/>
    </row>
    <row r="782">
      <c r="G782" s="27"/>
    </row>
    <row r="783">
      <c r="G783" s="27"/>
    </row>
    <row r="784">
      <c r="G784" s="27"/>
    </row>
    <row r="785">
      <c r="G785" s="27"/>
    </row>
    <row r="786">
      <c r="G786" s="27"/>
    </row>
    <row r="787">
      <c r="G787" s="27"/>
    </row>
    <row r="788">
      <c r="G788" s="27"/>
    </row>
    <row r="789">
      <c r="G789" s="27"/>
    </row>
    <row r="790">
      <c r="G790" s="27"/>
    </row>
    <row r="791">
      <c r="G791" s="27"/>
    </row>
    <row r="792">
      <c r="G792" s="27"/>
    </row>
    <row r="793">
      <c r="G793" s="27"/>
    </row>
    <row r="794">
      <c r="G794" s="27"/>
    </row>
    <row r="795">
      <c r="G795" s="27"/>
    </row>
    <row r="796">
      <c r="G796" s="27"/>
    </row>
    <row r="797">
      <c r="G797" s="27"/>
    </row>
    <row r="798">
      <c r="G798" s="27"/>
    </row>
    <row r="799">
      <c r="G799" s="27"/>
    </row>
    <row r="800">
      <c r="G800" s="27"/>
    </row>
    <row r="801">
      <c r="G801" s="27"/>
    </row>
    <row r="802">
      <c r="G802" s="27"/>
    </row>
    <row r="803">
      <c r="G803" s="27"/>
    </row>
    <row r="804">
      <c r="G804" s="27"/>
    </row>
    <row r="805">
      <c r="G805" s="27"/>
    </row>
    <row r="806">
      <c r="G806" s="27"/>
    </row>
    <row r="807">
      <c r="G807" s="27"/>
    </row>
    <row r="808">
      <c r="G808" s="27"/>
    </row>
    <row r="809">
      <c r="G809" s="27"/>
    </row>
    <row r="810">
      <c r="G810" s="27"/>
    </row>
    <row r="811">
      <c r="G811" s="27"/>
    </row>
    <row r="812">
      <c r="G812" s="27"/>
    </row>
    <row r="813">
      <c r="G813" s="27"/>
    </row>
    <row r="814">
      <c r="G814" s="27"/>
    </row>
    <row r="815">
      <c r="G815" s="27"/>
    </row>
    <row r="816">
      <c r="G816" s="27"/>
    </row>
    <row r="817">
      <c r="G817" s="27"/>
    </row>
    <row r="818">
      <c r="G818" s="27"/>
    </row>
    <row r="819">
      <c r="G819" s="27"/>
    </row>
    <row r="820">
      <c r="G820" s="27"/>
    </row>
    <row r="821">
      <c r="G821" s="27"/>
    </row>
    <row r="822">
      <c r="G822" s="27"/>
    </row>
    <row r="823">
      <c r="G823" s="27"/>
    </row>
    <row r="824">
      <c r="G824" s="27"/>
    </row>
    <row r="825">
      <c r="G825" s="27"/>
    </row>
    <row r="826">
      <c r="G826" s="27"/>
    </row>
    <row r="827">
      <c r="G827" s="27"/>
    </row>
    <row r="828">
      <c r="G828" s="27"/>
    </row>
    <row r="829">
      <c r="G829" s="27"/>
    </row>
    <row r="830">
      <c r="G830" s="27"/>
    </row>
    <row r="831">
      <c r="G831" s="27"/>
    </row>
    <row r="832">
      <c r="G832" s="27"/>
    </row>
    <row r="833">
      <c r="G833" s="27"/>
    </row>
    <row r="834">
      <c r="G834" s="27"/>
    </row>
    <row r="835">
      <c r="G835" s="27"/>
    </row>
    <row r="836">
      <c r="G836" s="27"/>
    </row>
    <row r="837">
      <c r="G837" s="27"/>
    </row>
    <row r="838">
      <c r="G838" s="27"/>
    </row>
    <row r="839">
      <c r="G839" s="27"/>
    </row>
    <row r="840">
      <c r="G840" s="27"/>
    </row>
    <row r="841">
      <c r="G841" s="27"/>
    </row>
    <row r="842">
      <c r="G842" s="27"/>
    </row>
    <row r="843">
      <c r="G843" s="27"/>
    </row>
    <row r="844">
      <c r="G844" s="27"/>
    </row>
    <row r="845">
      <c r="G845" s="27"/>
    </row>
    <row r="846">
      <c r="G846" s="27"/>
    </row>
    <row r="847">
      <c r="G847" s="27"/>
    </row>
    <row r="848">
      <c r="G848" s="27"/>
    </row>
    <row r="849">
      <c r="G849" s="27"/>
    </row>
    <row r="850">
      <c r="G850" s="27"/>
    </row>
    <row r="851">
      <c r="G851" s="27"/>
    </row>
    <row r="852">
      <c r="G852" s="27"/>
    </row>
    <row r="853">
      <c r="G853" s="27"/>
    </row>
    <row r="854">
      <c r="G854" s="27"/>
    </row>
    <row r="855">
      <c r="G855" s="27"/>
    </row>
    <row r="856">
      <c r="G856" s="27"/>
    </row>
    <row r="857">
      <c r="G857" s="27"/>
    </row>
    <row r="858">
      <c r="G858" s="27"/>
    </row>
    <row r="859">
      <c r="G859" s="27"/>
    </row>
    <row r="860">
      <c r="G860" s="27"/>
    </row>
    <row r="861">
      <c r="G861" s="27"/>
    </row>
    <row r="862">
      <c r="G862" s="27"/>
    </row>
    <row r="863">
      <c r="G863" s="27"/>
    </row>
    <row r="864">
      <c r="G864" s="27"/>
    </row>
    <row r="865">
      <c r="G865" s="27"/>
    </row>
    <row r="866">
      <c r="G866" s="27"/>
    </row>
    <row r="867">
      <c r="G867" s="27"/>
    </row>
    <row r="868">
      <c r="G868" s="27"/>
    </row>
    <row r="869">
      <c r="G869" s="27"/>
    </row>
    <row r="870">
      <c r="G870" s="27"/>
    </row>
    <row r="871">
      <c r="G871" s="27"/>
    </row>
    <row r="872">
      <c r="G872" s="27"/>
    </row>
    <row r="873">
      <c r="G873" s="27"/>
    </row>
    <row r="874">
      <c r="G874" s="27"/>
    </row>
    <row r="875">
      <c r="G875" s="27"/>
    </row>
    <row r="876">
      <c r="G876" s="27"/>
    </row>
    <row r="877">
      <c r="G877" s="27"/>
    </row>
    <row r="878">
      <c r="G878" s="27"/>
    </row>
    <row r="879">
      <c r="G879" s="27"/>
    </row>
    <row r="880">
      <c r="G880" s="27"/>
    </row>
    <row r="881">
      <c r="G881" s="27"/>
    </row>
    <row r="882">
      <c r="G882" s="27"/>
    </row>
    <row r="883">
      <c r="G883" s="27"/>
    </row>
    <row r="884">
      <c r="G884" s="27"/>
    </row>
    <row r="885">
      <c r="G885" s="27"/>
    </row>
    <row r="886">
      <c r="G886" s="27"/>
    </row>
    <row r="887">
      <c r="G887" s="27"/>
    </row>
    <row r="888">
      <c r="G888" s="27"/>
    </row>
    <row r="889">
      <c r="G889" s="27"/>
    </row>
    <row r="890">
      <c r="G890" s="27"/>
    </row>
    <row r="891">
      <c r="G891" s="27"/>
    </row>
    <row r="892">
      <c r="G892" s="27"/>
    </row>
    <row r="893">
      <c r="G893" s="27"/>
    </row>
    <row r="894">
      <c r="G894" s="27"/>
    </row>
    <row r="895">
      <c r="G895" s="27"/>
    </row>
    <row r="896">
      <c r="G896" s="27"/>
    </row>
    <row r="897">
      <c r="G897" s="27"/>
    </row>
    <row r="898">
      <c r="G898" s="27"/>
    </row>
    <row r="899">
      <c r="G899" s="27"/>
    </row>
    <row r="900">
      <c r="G900" s="27"/>
    </row>
    <row r="901">
      <c r="G901" s="27"/>
    </row>
    <row r="902">
      <c r="G902" s="27"/>
    </row>
    <row r="903">
      <c r="G903" s="27"/>
    </row>
    <row r="904">
      <c r="G904" s="27"/>
    </row>
    <row r="905">
      <c r="G905" s="27"/>
    </row>
    <row r="906">
      <c r="G906" s="27"/>
    </row>
    <row r="907">
      <c r="G907" s="27"/>
    </row>
    <row r="908">
      <c r="G908" s="27"/>
    </row>
    <row r="909">
      <c r="G909" s="27"/>
    </row>
    <row r="910">
      <c r="G910" s="27"/>
    </row>
    <row r="911">
      <c r="G911" s="27"/>
    </row>
    <row r="912">
      <c r="G912" s="27"/>
    </row>
    <row r="913">
      <c r="G913" s="27"/>
    </row>
    <row r="914">
      <c r="G914" s="27"/>
    </row>
    <row r="915">
      <c r="G915" s="27"/>
    </row>
    <row r="916">
      <c r="G916" s="27"/>
    </row>
    <row r="917">
      <c r="G917" s="27"/>
    </row>
    <row r="918">
      <c r="G918" s="27"/>
    </row>
    <row r="919">
      <c r="G919" s="27"/>
    </row>
    <row r="920">
      <c r="G920" s="27"/>
    </row>
    <row r="921">
      <c r="G921" s="27"/>
    </row>
    <row r="922">
      <c r="G922" s="27"/>
    </row>
    <row r="923">
      <c r="G923" s="27"/>
    </row>
    <row r="924">
      <c r="G924" s="27"/>
    </row>
    <row r="925">
      <c r="G925" s="27"/>
    </row>
    <row r="926">
      <c r="G926" s="27"/>
    </row>
    <row r="927">
      <c r="G927" s="27"/>
    </row>
    <row r="928">
      <c r="G928" s="27"/>
    </row>
    <row r="929">
      <c r="G929" s="27"/>
    </row>
    <row r="930">
      <c r="G930" s="27"/>
    </row>
    <row r="931">
      <c r="G931" s="27"/>
    </row>
    <row r="932">
      <c r="G932" s="27"/>
    </row>
    <row r="933">
      <c r="G933" s="27"/>
    </row>
    <row r="934">
      <c r="G934" s="27"/>
    </row>
    <row r="935">
      <c r="G935" s="27"/>
    </row>
    <row r="936">
      <c r="G936" s="27"/>
    </row>
    <row r="937">
      <c r="G937" s="27"/>
    </row>
    <row r="938">
      <c r="G938" s="27"/>
    </row>
    <row r="939">
      <c r="G939" s="27"/>
    </row>
    <row r="940">
      <c r="G940" s="27"/>
    </row>
    <row r="941">
      <c r="G941" s="27"/>
    </row>
    <row r="942">
      <c r="G942" s="27"/>
    </row>
    <row r="943">
      <c r="G943" s="27"/>
    </row>
    <row r="944">
      <c r="G944" s="27"/>
    </row>
    <row r="945">
      <c r="G945" s="27"/>
    </row>
    <row r="946">
      <c r="G946" s="27"/>
    </row>
    <row r="947">
      <c r="G947" s="27"/>
    </row>
    <row r="948">
      <c r="G948" s="27"/>
    </row>
    <row r="949">
      <c r="G949" s="27"/>
    </row>
    <row r="950">
      <c r="G950" s="27"/>
    </row>
    <row r="951">
      <c r="G951" s="27"/>
    </row>
    <row r="952">
      <c r="G952" s="27"/>
    </row>
    <row r="953">
      <c r="G953" s="27"/>
    </row>
    <row r="954">
      <c r="G954" s="27"/>
    </row>
    <row r="955">
      <c r="G955" s="27"/>
    </row>
    <row r="956">
      <c r="G956" s="27"/>
    </row>
    <row r="957">
      <c r="G957" s="27"/>
    </row>
    <row r="958">
      <c r="G958" s="27"/>
    </row>
    <row r="959">
      <c r="G959" s="27"/>
    </row>
    <row r="960">
      <c r="G960" s="27"/>
    </row>
    <row r="961">
      <c r="G961" s="27"/>
    </row>
    <row r="962">
      <c r="G962" s="27"/>
    </row>
    <row r="963">
      <c r="G963" s="27"/>
    </row>
    <row r="964">
      <c r="G964" s="27"/>
    </row>
    <row r="965">
      <c r="G965" s="27"/>
    </row>
    <row r="966">
      <c r="G966" s="27"/>
    </row>
    <row r="967">
      <c r="G967" s="27"/>
    </row>
    <row r="968">
      <c r="G968" s="27"/>
    </row>
    <row r="969">
      <c r="G969" s="27"/>
    </row>
    <row r="970">
      <c r="G970" s="27"/>
    </row>
    <row r="971">
      <c r="G971" s="27"/>
    </row>
    <row r="972">
      <c r="G972" s="27"/>
    </row>
    <row r="973">
      <c r="G973" s="27"/>
    </row>
    <row r="974">
      <c r="G974" s="27"/>
    </row>
    <row r="975">
      <c r="G975" s="27"/>
    </row>
    <row r="976">
      <c r="G976" s="27"/>
    </row>
    <row r="977">
      <c r="G977" s="27"/>
    </row>
    <row r="978">
      <c r="G978" s="27"/>
    </row>
    <row r="979">
      <c r="G979" s="27"/>
    </row>
    <row r="980">
      <c r="G980" s="27"/>
    </row>
    <row r="981">
      <c r="G981" s="27"/>
    </row>
    <row r="982">
      <c r="G982" s="27"/>
    </row>
    <row r="983">
      <c r="G983" s="27"/>
    </row>
    <row r="984">
      <c r="G984" s="27"/>
    </row>
    <row r="985">
      <c r="G985" s="27"/>
    </row>
    <row r="986">
      <c r="G986" s="27"/>
    </row>
    <row r="987">
      <c r="G987" s="27"/>
    </row>
    <row r="988">
      <c r="G988" s="27"/>
    </row>
    <row r="989">
      <c r="G989" s="27"/>
    </row>
    <row r="990">
      <c r="G990" s="27"/>
    </row>
    <row r="991">
      <c r="G991" s="27"/>
    </row>
    <row r="992">
      <c r="G992" s="27"/>
    </row>
    <row r="993">
      <c r="G993" s="27"/>
    </row>
    <row r="994">
      <c r="G994" s="27"/>
    </row>
    <row r="995">
      <c r="G995" s="27"/>
    </row>
    <row r="996">
      <c r="G996" s="27"/>
    </row>
    <row r="997">
      <c r="G997" s="27"/>
    </row>
    <row r="998">
      <c r="G998" s="27"/>
    </row>
    <row r="999">
      <c r="G999" s="27"/>
    </row>
    <row r="1000">
      <c r="G1000" s="27"/>
    </row>
    <row r="1001">
      <c r="G1001" s="27"/>
    </row>
  </sheetData>
  <conditionalFormatting sqref="D41:E41">
    <cfRule type="cellIs" dxfId="0" priority="1" operator="lessThan">
      <formula>0</formula>
    </cfRule>
  </conditionalFormatting>
  <conditionalFormatting sqref="D50:E50">
    <cfRule type="cellIs" dxfId="0" priority="2" operator="lessThan">
      <formula>0</formula>
    </cfRule>
  </conditionalFormatting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9.38"/>
    <col customWidth="1" min="8" max="8" width="20.63"/>
    <col customWidth="1" min="9" max="9" width="11.25"/>
    <col customWidth="1" min="10" max="10" width="9.25"/>
    <col customWidth="1" min="11" max="12" width="9.5"/>
  </cols>
  <sheetData>
    <row r="1">
      <c r="A1" s="18" t="s">
        <v>346</v>
      </c>
      <c r="B1" s="199" t="s">
        <v>296</v>
      </c>
      <c r="H1" s="107"/>
    </row>
    <row r="2">
      <c r="B2" s="18" t="s">
        <v>240</v>
      </c>
      <c r="C2" s="249">
        <v>13.0</v>
      </c>
      <c r="H2" s="27"/>
    </row>
    <row r="3">
      <c r="B3" s="18" t="s">
        <v>241</v>
      </c>
      <c r="C3" s="249">
        <f>62.92/2</f>
        <v>31.46</v>
      </c>
      <c r="H3" s="27"/>
    </row>
    <row r="4">
      <c r="B4" s="18" t="s">
        <v>242</v>
      </c>
      <c r="C4" s="249">
        <v>13.0</v>
      </c>
      <c r="H4" s="27"/>
      <c r="I4" s="107"/>
      <c r="J4" s="107"/>
      <c r="M4" s="17"/>
    </row>
    <row r="5">
      <c r="B5" s="18" t="s">
        <v>285</v>
      </c>
      <c r="C5" s="249">
        <v>42.0</v>
      </c>
      <c r="H5" s="27"/>
      <c r="I5" s="107"/>
      <c r="J5" s="107"/>
      <c r="M5" s="32"/>
    </row>
    <row r="6">
      <c r="B6" s="18" t="s">
        <v>324</v>
      </c>
      <c r="C6" s="249">
        <v>6.0</v>
      </c>
      <c r="H6" s="301" t="s">
        <v>325</v>
      </c>
      <c r="I6" s="107"/>
      <c r="J6" s="107"/>
      <c r="M6" s="30"/>
    </row>
    <row r="7">
      <c r="C7" s="276">
        <f>SUM(C2:C6)</f>
        <v>105.46</v>
      </c>
      <c r="H7" s="302" t="s">
        <v>119</v>
      </c>
      <c r="I7" s="302" t="s">
        <v>120</v>
      </c>
      <c r="J7" s="27"/>
    </row>
    <row r="8">
      <c r="F8" s="18" t="s">
        <v>366</v>
      </c>
      <c r="H8" s="7" t="s">
        <v>347</v>
      </c>
      <c r="I8" s="7" t="s">
        <v>348</v>
      </c>
      <c r="J8" s="107"/>
    </row>
    <row r="9">
      <c r="B9" s="55" t="s">
        <v>122</v>
      </c>
      <c r="C9" s="56"/>
      <c r="D9" s="254" t="s">
        <v>134</v>
      </c>
      <c r="E9" s="253" t="s">
        <v>123</v>
      </c>
      <c r="F9" s="254" t="s">
        <v>124</v>
      </c>
      <c r="H9" s="7" t="s">
        <v>328</v>
      </c>
      <c r="I9" s="7" t="s">
        <v>349</v>
      </c>
      <c r="J9" s="107"/>
      <c r="L9" s="18"/>
      <c r="M9" s="18"/>
    </row>
    <row r="10">
      <c r="B10" s="59" t="s">
        <v>129</v>
      </c>
      <c r="C10" s="60"/>
      <c r="D10" s="113">
        <v>8257.5</v>
      </c>
      <c r="E10" s="113">
        <v>8402.25</v>
      </c>
      <c r="F10" s="113">
        <v>8324.69</v>
      </c>
      <c r="H10" s="7"/>
      <c r="I10" s="7" t="s">
        <v>192</v>
      </c>
      <c r="J10" s="107"/>
      <c r="L10" s="18"/>
    </row>
    <row r="11">
      <c r="B11" s="59" t="s">
        <v>136</v>
      </c>
      <c r="C11" s="60"/>
      <c r="D11" s="114">
        <f>2040+3294.58</f>
        <v>5334.58</v>
      </c>
      <c r="E11" s="114">
        <f>2040+3421.67</f>
        <v>5461.67</v>
      </c>
      <c r="F11" s="114">
        <v>5419.11</v>
      </c>
      <c r="H11" s="303"/>
      <c r="I11" s="107"/>
      <c r="J11" s="27"/>
      <c r="L11" s="18"/>
    </row>
    <row r="12">
      <c r="B12" s="59" t="s">
        <v>137</v>
      </c>
      <c r="C12" s="60"/>
      <c r="D12" s="313"/>
      <c r="E12" s="114"/>
      <c r="F12" s="114"/>
      <c r="H12" s="363"/>
      <c r="I12" s="107"/>
      <c r="J12" s="107"/>
      <c r="L12" s="18"/>
    </row>
    <row r="13">
      <c r="B13" s="59" t="s">
        <v>138</v>
      </c>
      <c r="C13" s="60"/>
      <c r="D13" s="348"/>
      <c r="E13" s="117"/>
      <c r="F13" s="117">
        <f>7000+1500</f>
        <v>8500</v>
      </c>
      <c r="H13" s="32"/>
      <c r="I13" s="107"/>
      <c r="J13" s="107"/>
      <c r="L13" s="18"/>
    </row>
    <row r="14">
      <c r="B14" s="67" t="s">
        <v>139</v>
      </c>
      <c r="C14" s="68"/>
      <c r="D14" s="315">
        <f t="shared" ref="D14:F14" si="1">SUM(D10:D13)</f>
        <v>13592.08</v>
      </c>
      <c r="E14" s="315">
        <f t="shared" si="1"/>
        <v>13863.92</v>
      </c>
      <c r="F14" s="119">
        <f t="shared" si="1"/>
        <v>22243.8</v>
      </c>
      <c r="H14" s="248"/>
      <c r="I14" s="107"/>
      <c r="J14" s="107"/>
      <c r="L14" s="18"/>
      <c r="M14" s="12">
        <f>150-54.2</f>
        <v>95.8</v>
      </c>
      <c r="O14" s="107"/>
    </row>
    <row r="15">
      <c r="D15" s="311"/>
      <c r="E15" s="311"/>
      <c r="H15" s="32"/>
      <c r="I15" s="107"/>
      <c r="L15" s="18"/>
      <c r="O15" s="27"/>
    </row>
    <row r="16">
      <c r="B16" s="70" t="s">
        <v>140</v>
      </c>
      <c r="C16" s="71"/>
      <c r="D16" s="316" t="s">
        <v>123</v>
      </c>
      <c r="E16" s="316" t="s">
        <v>124</v>
      </c>
      <c r="F16" s="316" t="s">
        <v>125</v>
      </c>
      <c r="H16" s="107"/>
      <c r="I16" s="26"/>
      <c r="J16" s="107"/>
      <c r="L16" s="18"/>
    </row>
    <row r="17">
      <c r="B17" s="121" t="s">
        <v>141</v>
      </c>
      <c r="C17" s="122"/>
      <c r="D17" s="378">
        <v>350.0</v>
      </c>
      <c r="E17" s="123">
        <v>350.0</v>
      </c>
      <c r="F17" s="123">
        <v>350.0</v>
      </c>
      <c r="H17" s="107" t="s">
        <v>331</v>
      </c>
      <c r="I17" s="192"/>
      <c r="L17" s="18"/>
    </row>
    <row r="18">
      <c r="B18" s="121" t="s">
        <v>142</v>
      </c>
      <c r="C18" s="122"/>
      <c r="D18" s="378">
        <v>200.0</v>
      </c>
      <c r="E18" s="123">
        <v>200.0</v>
      </c>
      <c r="F18" s="123">
        <v>200.0</v>
      </c>
      <c r="H18" s="192"/>
      <c r="I18" s="26" t="s">
        <v>27</v>
      </c>
      <c r="J18" s="26" t="s">
        <v>274</v>
      </c>
      <c r="K18" s="26" t="s">
        <v>351</v>
      </c>
      <c r="L18" s="26" t="s">
        <v>333</v>
      </c>
      <c r="M18" s="26" t="s">
        <v>367</v>
      </c>
      <c r="N18" s="376" t="s">
        <v>368</v>
      </c>
      <c r="O18" s="26" t="s">
        <v>48</v>
      </c>
      <c r="P18" s="18" t="s">
        <v>369</v>
      </c>
    </row>
    <row r="19">
      <c r="B19" s="121" t="s">
        <v>143</v>
      </c>
      <c r="C19" s="122"/>
      <c r="D19" s="379">
        <v>174.85</v>
      </c>
      <c r="E19" s="125">
        <v>174.85</v>
      </c>
      <c r="F19" s="125">
        <v>174.85</v>
      </c>
      <c r="H19" s="121" t="s">
        <v>141</v>
      </c>
      <c r="J19" s="27"/>
      <c r="K19" s="378">
        <v>350.0</v>
      </c>
      <c r="L19" s="247"/>
      <c r="M19" s="27"/>
      <c r="N19" s="27"/>
      <c r="O19" s="27"/>
      <c r="P19" s="27"/>
    </row>
    <row r="20">
      <c r="B20" s="121" t="s">
        <v>144</v>
      </c>
      <c r="C20" s="122"/>
      <c r="D20" s="378">
        <v>100.0</v>
      </c>
      <c r="E20" s="123">
        <v>100.0</v>
      </c>
      <c r="F20" s="123">
        <v>100.0</v>
      </c>
      <c r="H20" s="121" t="s">
        <v>142</v>
      </c>
      <c r="J20" s="27"/>
      <c r="K20" s="378">
        <v>200.0</v>
      </c>
      <c r="L20" s="247"/>
      <c r="M20" s="27"/>
      <c r="N20" s="27"/>
      <c r="O20" s="27"/>
      <c r="P20" s="27"/>
    </row>
    <row r="21">
      <c r="B21" s="121" t="s">
        <v>145</v>
      </c>
      <c r="C21" s="122"/>
      <c r="D21" s="378">
        <v>2500.0</v>
      </c>
      <c r="E21" s="378">
        <v>2500.0</v>
      </c>
      <c r="F21" s="123">
        <v>2500.0</v>
      </c>
      <c r="H21" s="121" t="s">
        <v>143</v>
      </c>
      <c r="J21" s="27"/>
      <c r="K21" s="379">
        <v>174.85</v>
      </c>
      <c r="L21" s="247"/>
      <c r="M21" s="305"/>
      <c r="N21" s="27"/>
      <c r="O21" s="27"/>
      <c r="P21" s="27"/>
    </row>
    <row r="22">
      <c r="B22" s="121" t="s">
        <v>146</v>
      </c>
      <c r="C22" s="126" t="s">
        <v>147</v>
      </c>
      <c r="D22" s="378">
        <v>400.0</v>
      </c>
      <c r="E22" s="123">
        <v>400.0</v>
      </c>
      <c r="F22" s="123">
        <v>400.0</v>
      </c>
      <c r="H22" s="121" t="s">
        <v>144</v>
      </c>
      <c r="J22" s="27"/>
      <c r="K22" s="123">
        <v>100.0</v>
      </c>
      <c r="L22" s="247"/>
      <c r="M22" s="27"/>
      <c r="N22" s="27"/>
      <c r="O22" s="27"/>
      <c r="P22" s="27"/>
    </row>
    <row r="23">
      <c r="B23" s="127" t="s">
        <v>180</v>
      </c>
      <c r="C23" s="128"/>
      <c r="D23" s="378">
        <v>0.0</v>
      </c>
      <c r="E23" s="129">
        <v>0.0</v>
      </c>
      <c r="F23" s="129">
        <v>0.0</v>
      </c>
      <c r="H23" s="121" t="s">
        <v>145</v>
      </c>
      <c r="J23" s="27"/>
      <c r="K23" s="27"/>
      <c r="L23" s="378">
        <v>460.0</v>
      </c>
      <c r="M23" s="27"/>
      <c r="N23" s="27"/>
      <c r="O23" s="27"/>
      <c r="P23" s="27"/>
    </row>
    <row r="24">
      <c r="B24" s="121" t="s">
        <v>148</v>
      </c>
      <c r="C24" s="122"/>
      <c r="D24" s="378">
        <v>500.0</v>
      </c>
      <c r="E24" s="123">
        <v>500.0</v>
      </c>
      <c r="F24" s="123">
        <v>500.0</v>
      </c>
      <c r="H24" s="121" t="s">
        <v>146</v>
      </c>
      <c r="I24" s="378">
        <v>200.0</v>
      </c>
      <c r="J24" s="378">
        <v>200.0</v>
      </c>
      <c r="K24" s="27"/>
      <c r="L24" s="247"/>
      <c r="M24" s="27"/>
      <c r="N24" s="27"/>
      <c r="O24" s="27"/>
      <c r="P24" s="27"/>
    </row>
    <row r="25">
      <c r="B25" s="121" t="s">
        <v>149</v>
      </c>
      <c r="C25" s="122"/>
      <c r="D25" s="378">
        <v>500.0</v>
      </c>
      <c r="E25" s="123">
        <v>500.0</v>
      </c>
      <c r="F25" s="123">
        <v>500.0</v>
      </c>
      <c r="H25" s="127" t="s">
        <v>180</v>
      </c>
      <c r="I25" s="378">
        <v>0.0</v>
      </c>
      <c r="J25" s="378"/>
      <c r="K25" s="372"/>
      <c r="L25" s="247"/>
      <c r="M25" s="27"/>
      <c r="N25" s="27"/>
      <c r="O25" s="27"/>
      <c r="P25" s="27"/>
    </row>
    <row r="26">
      <c r="B26" s="127" t="s">
        <v>181</v>
      </c>
      <c r="C26" s="128"/>
      <c r="D26" s="378">
        <v>650.0</v>
      </c>
      <c r="E26" s="129">
        <v>150.0</v>
      </c>
      <c r="F26" s="129">
        <v>150.0</v>
      </c>
      <c r="H26" s="121" t="s">
        <v>148</v>
      </c>
      <c r="J26" s="27"/>
      <c r="K26" s="123">
        <v>500.0</v>
      </c>
      <c r="L26" s="247"/>
      <c r="M26" s="27"/>
      <c r="N26" s="27"/>
      <c r="O26" s="27"/>
      <c r="P26" s="27"/>
    </row>
    <row r="27">
      <c r="B27" s="121" t="s">
        <v>150</v>
      </c>
      <c r="C27" s="122"/>
      <c r="D27" s="378">
        <v>400.0</v>
      </c>
      <c r="E27" s="123">
        <v>400.0</v>
      </c>
      <c r="F27" s="123">
        <v>400.0</v>
      </c>
      <c r="H27" s="121" t="s">
        <v>149</v>
      </c>
      <c r="J27" s="27"/>
      <c r="K27" s="123">
        <v>500.0</v>
      </c>
      <c r="L27" s="247"/>
      <c r="M27" s="27"/>
      <c r="N27" s="27"/>
      <c r="O27" s="27"/>
      <c r="P27" s="27"/>
    </row>
    <row r="28">
      <c r="B28" s="127" t="s">
        <v>183</v>
      </c>
      <c r="C28" s="128"/>
      <c r="D28" s="378">
        <v>400.0</v>
      </c>
      <c r="E28" s="129">
        <v>400.0</v>
      </c>
      <c r="F28" s="129">
        <v>400.0</v>
      </c>
      <c r="H28" s="127" t="s">
        <v>181</v>
      </c>
      <c r="I28" s="378"/>
      <c r="J28" s="27"/>
      <c r="K28" s="378">
        <v>150.0</v>
      </c>
      <c r="L28" s="247"/>
      <c r="M28" s="27"/>
      <c r="N28" s="27"/>
      <c r="O28" s="27"/>
      <c r="P28" s="27"/>
    </row>
    <row r="29">
      <c r="B29" s="121" t="s">
        <v>152</v>
      </c>
      <c r="C29" s="122"/>
      <c r="D29" s="390"/>
      <c r="E29" s="131"/>
      <c r="F29" s="123">
        <v>1000.0</v>
      </c>
      <c r="H29" s="121" t="s">
        <v>150</v>
      </c>
      <c r="J29" s="378">
        <v>400.0</v>
      </c>
      <c r="K29" s="27"/>
      <c r="L29" s="247"/>
      <c r="M29" s="27"/>
      <c r="N29" s="27"/>
      <c r="O29" s="27"/>
      <c r="P29" s="27"/>
    </row>
    <row r="30">
      <c r="B30" s="121" t="s">
        <v>154</v>
      </c>
      <c r="C30" s="122"/>
      <c r="D30" s="378">
        <v>122.0</v>
      </c>
      <c r="E30" s="123">
        <v>105.46</v>
      </c>
      <c r="F30" s="123">
        <v>105.46</v>
      </c>
      <c r="H30" s="127" t="s">
        <v>183</v>
      </c>
      <c r="J30" s="27"/>
      <c r="K30" s="247"/>
      <c r="L30" s="247"/>
      <c r="M30" s="107"/>
      <c r="N30" s="378">
        <v>400.0</v>
      </c>
      <c r="O30" s="27"/>
      <c r="P30" s="27"/>
    </row>
    <row r="31">
      <c r="B31" s="121" t="s">
        <v>155</v>
      </c>
      <c r="C31" s="122"/>
      <c r="D31" s="390"/>
      <c r="E31" s="131"/>
      <c r="F31" s="131"/>
      <c r="H31" s="121" t="s">
        <v>154</v>
      </c>
      <c r="I31" s="378">
        <v>92.46</v>
      </c>
      <c r="J31" s="378">
        <v>13.0</v>
      </c>
      <c r="K31" s="383"/>
      <c r="L31" s="372"/>
      <c r="M31" s="27"/>
      <c r="N31" s="27"/>
      <c r="O31" s="27"/>
      <c r="P31" s="27"/>
    </row>
    <row r="32">
      <c r="B32" s="121" t="s">
        <v>156</v>
      </c>
      <c r="C32" s="122"/>
      <c r="D32" s="378">
        <v>150.0</v>
      </c>
      <c r="E32" s="123">
        <v>150.0</v>
      </c>
      <c r="F32" s="123">
        <v>150.0</v>
      </c>
      <c r="H32" s="121" t="s">
        <v>156</v>
      </c>
      <c r="J32" s="27"/>
      <c r="K32" s="383"/>
      <c r="L32" s="247"/>
      <c r="M32" s="27"/>
      <c r="N32" s="378">
        <v>150.0</v>
      </c>
      <c r="O32" s="27"/>
      <c r="P32" s="27"/>
      <c r="Q32" s="32"/>
    </row>
    <row r="33">
      <c r="B33" s="121" t="s">
        <v>157</v>
      </c>
      <c r="C33" s="122"/>
      <c r="D33" s="378">
        <v>50.0</v>
      </c>
      <c r="E33" s="123">
        <v>50.0</v>
      </c>
      <c r="F33" s="123">
        <v>50.0</v>
      </c>
      <c r="H33" s="121" t="s">
        <v>157</v>
      </c>
      <c r="J33" s="27"/>
      <c r="K33" s="383"/>
      <c r="L33" s="247"/>
      <c r="M33" s="107"/>
      <c r="N33" s="27"/>
      <c r="O33" s="27"/>
      <c r="P33" s="378">
        <v>50.0</v>
      </c>
      <c r="Q33" s="18"/>
      <c r="R33" s="18"/>
    </row>
    <row r="34">
      <c r="B34" s="121" t="s">
        <v>158</v>
      </c>
      <c r="C34" s="122"/>
      <c r="D34" s="390"/>
      <c r="E34" s="131"/>
      <c r="F34" s="131"/>
      <c r="H34" s="121" t="s">
        <v>159</v>
      </c>
      <c r="I34" s="378"/>
      <c r="J34" s="378"/>
      <c r="K34" s="247"/>
      <c r="L34" s="247"/>
      <c r="M34" s="107"/>
      <c r="N34" s="27"/>
      <c r="O34" s="27"/>
      <c r="P34" s="27"/>
      <c r="Q34" s="18"/>
      <c r="R34" s="18"/>
    </row>
    <row r="35">
      <c r="B35" s="121" t="s">
        <v>159</v>
      </c>
      <c r="C35" s="122"/>
      <c r="D35" s="378">
        <f t="shared" ref="D35:E35" si="2">400+400+150</f>
        <v>950</v>
      </c>
      <c r="E35" s="378">
        <f t="shared" si="2"/>
        <v>950</v>
      </c>
      <c r="F35" s="123">
        <v>950.0</v>
      </c>
      <c r="H35" s="121" t="s">
        <v>160</v>
      </c>
      <c r="I35" s="378">
        <v>1500.0</v>
      </c>
      <c r="J35" s="378">
        <v>1500.0</v>
      </c>
      <c r="K35" s="247"/>
      <c r="L35" s="247"/>
      <c r="M35" s="107"/>
      <c r="N35" s="27"/>
      <c r="O35" s="27"/>
      <c r="P35" s="27"/>
    </row>
    <row r="36">
      <c r="B36" s="121" t="s">
        <v>160</v>
      </c>
      <c r="C36" s="122"/>
      <c r="D36" s="378">
        <v>3000.0</v>
      </c>
      <c r="E36" s="123">
        <v>3000.0</v>
      </c>
      <c r="F36" s="123">
        <v>3000.0</v>
      </c>
      <c r="H36" s="127" t="s">
        <v>184</v>
      </c>
      <c r="I36" s="378"/>
      <c r="J36" s="27"/>
      <c r="K36" s="27"/>
      <c r="L36" s="378">
        <v>700.0</v>
      </c>
      <c r="M36" s="27"/>
      <c r="N36" s="27"/>
      <c r="O36" s="27"/>
      <c r="P36" s="27"/>
    </row>
    <row r="37">
      <c r="B37" s="127" t="s">
        <v>184</v>
      </c>
      <c r="C37" s="128"/>
      <c r="D37" s="377">
        <v>1087.8499999999985</v>
      </c>
      <c r="E37" s="129">
        <v>700.0</v>
      </c>
      <c r="F37" s="129">
        <v>700.0</v>
      </c>
      <c r="H37" s="127" t="s">
        <v>3</v>
      </c>
      <c r="I37" s="378"/>
      <c r="J37" s="27"/>
      <c r="K37" s="27"/>
      <c r="L37" s="27"/>
      <c r="M37" s="378">
        <v>500.0</v>
      </c>
      <c r="N37" s="27"/>
      <c r="O37" s="27"/>
      <c r="P37" s="27"/>
    </row>
    <row r="38">
      <c r="B38" s="127" t="s">
        <v>3</v>
      </c>
      <c r="C38" s="128"/>
      <c r="D38" s="378">
        <v>500.0</v>
      </c>
      <c r="E38" s="129">
        <v>500.0</v>
      </c>
      <c r="F38" s="129">
        <v>500.0</v>
      </c>
      <c r="H38" s="127" t="s">
        <v>370</v>
      </c>
      <c r="I38" s="27"/>
      <c r="J38" s="27"/>
      <c r="K38" s="27"/>
      <c r="L38" s="27"/>
      <c r="M38" s="27"/>
      <c r="N38" s="27"/>
      <c r="O38" s="107">
        <v>2733.31</v>
      </c>
      <c r="P38" s="27"/>
    </row>
    <row r="39">
      <c r="B39" s="67" t="s">
        <v>161</v>
      </c>
      <c r="C39" s="68"/>
      <c r="D39" s="132">
        <f t="shared" ref="D39:E39" si="3">SUM(D17:D38)*-1</f>
        <v>-12034.7</v>
      </c>
      <c r="E39" s="132">
        <f t="shared" si="3"/>
        <v>-11130.31</v>
      </c>
      <c r="F39" s="132">
        <f>SUM(F17:F36)*-1</f>
        <v>-10930.31</v>
      </c>
      <c r="H39" s="7" t="s">
        <v>26</v>
      </c>
      <c r="I39" s="325">
        <f t="shared" ref="I39:P39" si="4">SUM(I19:I38)</f>
        <v>1792.46</v>
      </c>
      <c r="J39" s="325">
        <f t="shared" si="4"/>
        <v>2113</v>
      </c>
      <c r="K39" s="373">
        <f t="shared" si="4"/>
        <v>1974.85</v>
      </c>
      <c r="L39" s="325">
        <f t="shared" si="4"/>
        <v>1160</v>
      </c>
      <c r="M39" s="325">
        <f t="shared" si="4"/>
        <v>500</v>
      </c>
      <c r="N39" s="325">
        <f t="shared" si="4"/>
        <v>550</v>
      </c>
      <c r="O39" s="325">
        <f t="shared" si="4"/>
        <v>2733.31</v>
      </c>
      <c r="P39" s="325">
        <f t="shared" si="4"/>
        <v>50</v>
      </c>
    </row>
    <row r="40">
      <c r="H40" s="107" t="s">
        <v>371</v>
      </c>
      <c r="I40" s="391">
        <f>E10-I39-400</f>
        <v>6209.79</v>
      </c>
      <c r="J40" s="392">
        <f>J41-J39</f>
        <v>758.67</v>
      </c>
      <c r="K40" s="287"/>
    </row>
    <row r="41">
      <c r="B41" s="80" t="s">
        <v>162</v>
      </c>
      <c r="C41" s="81"/>
      <c r="D41" s="82">
        <f t="shared" ref="D41:F41" si="5">D14+D39</f>
        <v>1557.38</v>
      </c>
      <c r="E41" s="82">
        <f t="shared" si="5"/>
        <v>2733.61</v>
      </c>
      <c r="F41" s="82">
        <f t="shared" si="5"/>
        <v>11313.49</v>
      </c>
      <c r="H41" s="325" t="s">
        <v>353</v>
      </c>
      <c r="J41" s="12">
        <f>3421.67-550</f>
        <v>2871.67</v>
      </c>
      <c r="N41" s="18">
        <v>4708.16</v>
      </c>
    </row>
    <row r="42">
      <c r="B42" s="83"/>
      <c r="C42" s="83"/>
      <c r="D42" s="84"/>
      <c r="E42" s="84"/>
      <c r="F42" s="84"/>
      <c r="H42" s="107"/>
      <c r="N42" s="393">
        <f>N41-K39</f>
        <v>2733.31</v>
      </c>
    </row>
    <row r="43">
      <c r="B43" s="85" t="s">
        <v>163</v>
      </c>
      <c r="C43" s="86"/>
      <c r="D43" s="57" t="s">
        <v>123</v>
      </c>
      <c r="E43" s="57" t="s">
        <v>124</v>
      </c>
      <c r="F43" s="57" t="s">
        <v>125</v>
      </c>
      <c r="H43" s="107"/>
    </row>
    <row r="44">
      <c r="B44" s="87" t="s">
        <v>185</v>
      </c>
      <c r="C44" s="88"/>
      <c r="D44" s="89"/>
      <c r="E44" s="89"/>
      <c r="F44" s="89">
        <v>500.0</v>
      </c>
      <c r="H44" s="107"/>
      <c r="L44" s="387"/>
      <c r="O44" s="387"/>
    </row>
    <row r="45">
      <c r="A45" s="298">
        <v>45020.0</v>
      </c>
      <c r="B45" s="87" t="s">
        <v>58</v>
      </c>
      <c r="C45" s="88"/>
      <c r="D45" s="91"/>
      <c r="E45" s="91"/>
      <c r="F45" s="91"/>
      <c r="H45" s="107" t="s">
        <v>48</v>
      </c>
      <c r="I45" s="107"/>
      <c r="J45" s="18" t="s">
        <v>373</v>
      </c>
    </row>
    <row r="46">
      <c r="B46" s="87"/>
      <c r="C46" s="88"/>
      <c r="D46" s="91"/>
      <c r="E46" s="91"/>
      <c r="F46" s="91"/>
      <c r="H46" s="107"/>
      <c r="I46" s="388">
        <v>1557.380000000001</v>
      </c>
      <c r="J46" s="389" t="s">
        <v>370</v>
      </c>
    </row>
    <row r="47">
      <c r="B47" s="92"/>
      <c r="C47" s="93"/>
      <c r="D47" s="94"/>
      <c r="E47" s="94"/>
      <c r="F47" s="94"/>
      <c r="H47" s="107"/>
      <c r="I47" s="107">
        <v>-350.0</v>
      </c>
      <c r="J47" s="18" t="s">
        <v>374</v>
      </c>
    </row>
    <row r="48">
      <c r="B48" s="67" t="s">
        <v>167</v>
      </c>
      <c r="C48" s="95">
        <f>SUM(C44:C47)</f>
        <v>0</v>
      </c>
      <c r="D48" s="78">
        <f t="shared" ref="D48:F48" si="6">SUM(D44:D47)*-1</f>
        <v>0</v>
      </c>
      <c r="E48" s="78">
        <f t="shared" si="6"/>
        <v>0</v>
      </c>
      <c r="F48" s="78">
        <f t="shared" si="6"/>
        <v>-500</v>
      </c>
      <c r="H48" s="107"/>
      <c r="I48" s="18"/>
    </row>
    <row r="49">
      <c r="B49" s="83"/>
      <c r="C49" s="83"/>
      <c r="D49" s="96"/>
      <c r="E49" s="96"/>
      <c r="F49" s="96"/>
      <c r="H49" s="107"/>
      <c r="I49" s="18"/>
    </row>
    <row r="50">
      <c r="B50" s="97" t="s">
        <v>168</v>
      </c>
      <c r="C50" s="98"/>
      <c r="D50" s="99">
        <f t="shared" ref="D50:F50" si="7">D41+D48</f>
        <v>1557.38</v>
      </c>
      <c r="E50" s="99">
        <f t="shared" si="7"/>
        <v>2733.61</v>
      </c>
      <c r="F50" s="99">
        <f t="shared" si="7"/>
        <v>10813.49</v>
      </c>
      <c r="H50" s="107"/>
    </row>
    <row r="51">
      <c r="B51" s="83"/>
      <c r="C51" s="83"/>
      <c r="D51" s="96"/>
      <c r="E51" s="96"/>
      <c r="F51" s="96"/>
      <c r="H51" s="107"/>
      <c r="I51" s="18"/>
    </row>
    <row r="52">
      <c r="B52" s="100" t="s">
        <v>169</v>
      </c>
      <c r="C52" s="101"/>
      <c r="D52" s="57" t="s">
        <v>123</v>
      </c>
      <c r="E52" s="57" t="s">
        <v>124</v>
      </c>
      <c r="F52" s="57" t="s">
        <v>125</v>
      </c>
      <c r="H52" s="107"/>
    </row>
    <row r="53">
      <c r="B53" s="102" t="s">
        <v>170</v>
      </c>
      <c r="C53" s="103"/>
      <c r="D53" s="104"/>
      <c r="E53" s="105">
        <v>0.0</v>
      </c>
      <c r="F53" s="105">
        <f>E55</f>
        <v>2733.61</v>
      </c>
      <c r="H53" s="27"/>
    </row>
    <row r="54">
      <c r="B54" s="102" t="s">
        <v>171</v>
      </c>
      <c r="C54" s="103"/>
      <c r="D54" s="106">
        <f t="shared" ref="D54:F54" si="8">+D50</f>
        <v>1557.38</v>
      </c>
      <c r="E54" s="106">
        <f t="shared" si="8"/>
        <v>2733.61</v>
      </c>
      <c r="F54" s="106">
        <f t="shared" si="8"/>
        <v>10813.49</v>
      </c>
      <c r="H54" s="27"/>
    </row>
    <row r="55">
      <c r="B55" s="67" t="s">
        <v>173</v>
      </c>
      <c r="C55" s="68"/>
      <c r="D55" s="95">
        <f t="shared" ref="D55:F55" si="9">SUM(D53:D54)</f>
        <v>1557.38</v>
      </c>
      <c r="E55" s="95">
        <f t="shared" si="9"/>
        <v>2733.61</v>
      </c>
      <c r="F55" s="95">
        <f t="shared" si="9"/>
        <v>13547.1</v>
      </c>
      <c r="H55" s="27"/>
    </row>
    <row r="56">
      <c r="D56" s="362"/>
      <c r="E56" s="362"/>
      <c r="H56" s="27"/>
    </row>
    <row r="57">
      <c r="H57" s="27"/>
    </row>
    <row r="58">
      <c r="H58" s="27"/>
    </row>
    <row r="59">
      <c r="H59" s="27"/>
    </row>
    <row r="60">
      <c r="H60" s="27"/>
    </row>
    <row r="61">
      <c r="H61" s="27"/>
    </row>
    <row r="62">
      <c r="H62" s="27"/>
    </row>
    <row r="63">
      <c r="H63" s="27"/>
    </row>
    <row r="64">
      <c r="H64" s="27"/>
    </row>
    <row r="65">
      <c r="H65" s="27"/>
    </row>
    <row r="66">
      <c r="H66" s="27"/>
    </row>
    <row r="67">
      <c r="H67" s="27"/>
    </row>
    <row r="68">
      <c r="H68" s="27"/>
    </row>
    <row r="69">
      <c r="H69" s="27"/>
    </row>
    <row r="70">
      <c r="H70" s="27"/>
    </row>
    <row r="71">
      <c r="H71" s="27"/>
    </row>
    <row r="72">
      <c r="H72" s="27"/>
    </row>
    <row r="73">
      <c r="H73" s="27"/>
    </row>
    <row r="74">
      <c r="H74" s="27"/>
    </row>
    <row r="75">
      <c r="H75" s="27"/>
    </row>
    <row r="76">
      <c r="H76" s="27"/>
    </row>
    <row r="77">
      <c r="H77" s="27"/>
    </row>
    <row r="78">
      <c r="H78" s="27"/>
    </row>
    <row r="79">
      <c r="H79" s="27"/>
    </row>
    <row r="80">
      <c r="H80" s="27"/>
    </row>
    <row r="81">
      <c r="H81" s="27"/>
    </row>
    <row r="82">
      <c r="H82" s="27"/>
    </row>
    <row r="83">
      <c r="H83" s="27"/>
    </row>
    <row r="84">
      <c r="H84" s="27"/>
    </row>
    <row r="85">
      <c r="H85" s="27"/>
    </row>
    <row r="86">
      <c r="H86" s="27"/>
    </row>
    <row r="87">
      <c r="H87" s="27"/>
    </row>
    <row r="88">
      <c r="H88" s="27"/>
    </row>
    <row r="89">
      <c r="H89" s="27"/>
    </row>
    <row r="90">
      <c r="H90" s="27"/>
    </row>
    <row r="91">
      <c r="H91" s="27"/>
    </row>
    <row r="92">
      <c r="H92" s="27"/>
    </row>
    <row r="93">
      <c r="H93" s="27"/>
    </row>
    <row r="94">
      <c r="H94" s="27"/>
    </row>
    <row r="95">
      <c r="H95" s="27"/>
    </row>
    <row r="96">
      <c r="H96" s="27"/>
    </row>
    <row r="97">
      <c r="H97" s="27"/>
    </row>
    <row r="98">
      <c r="H98" s="27"/>
    </row>
    <row r="99">
      <c r="H99" s="27"/>
    </row>
    <row r="100">
      <c r="H100" s="27"/>
    </row>
    <row r="101">
      <c r="H101" s="27"/>
    </row>
    <row r="102">
      <c r="H102" s="27"/>
    </row>
    <row r="103">
      <c r="H103" s="27"/>
    </row>
    <row r="104">
      <c r="H104" s="27"/>
    </row>
    <row r="105">
      <c r="H105" s="27"/>
    </row>
    <row r="106">
      <c r="H106" s="27"/>
    </row>
    <row r="107">
      <c r="H107" s="27"/>
    </row>
    <row r="108">
      <c r="H108" s="27"/>
    </row>
    <row r="109">
      <c r="H109" s="27"/>
    </row>
    <row r="110">
      <c r="H110" s="27"/>
    </row>
    <row r="111">
      <c r="H111" s="27"/>
    </row>
    <row r="112">
      <c r="H112" s="27"/>
    </row>
    <row r="113">
      <c r="H113" s="27"/>
    </row>
    <row r="114">
      <c r="H114" s="27"/>
    </row>
    <row r="115">
      <c r="H115" s="27"/>
    </row>
    <row r="116">
      <c r="H116" s="27"/>
    </row>
    <row r="117">
      <c r="H117" s="27"/>
    </row>
    <row r="118">
      <c r="H118" s="27"/>
    </row>
    <row r="119">
      <c r="H119" s="27"/>
    </row>
    <row r="120">
      <c r="H120" s="27"/>
    </row>
    <row r="121">
      <c r="H121" s="27"/>
    </row>
    <row r="122">
      <c r="H122" s="27"/>
    </row>
    <row r="123">
      <c r="H123" s="27"/>
    </row>
    <row r="124">
      <c r="H124" s="27"/>
    </row>
    <row r="125">
      <c r="H125" s="27"/>
    </row>
    <row r="126">
      <c r="H126" s="27"/>
    </row>
    <row r="127">
      <c r="H127" s="27"/>
    </row>
    <row r="128">
      <c r="H128" s="27"/>
    </row>
    <row r="129">
      <c r="H129" s="27"/>
    </row>
    <row r="130">
      <c r="H130" s="27"/>
    </row>
    <row r="131">
      <c r="H131" s="27"/>
    </row>
    <row r="132">
      <c r="H132" s="27"/>
    </row>
    <row r="133">
      <c r="H133" s="27"/>
    </row>
    <row r="134">
      <c r="H134" s="27"/>
    </row>
    <row r="135">
      <c r="H135" s="27"/>
    </row>
    <row r="136">
      <c r="H136" s="27"/>
    </row>
    <row r="137">
      <c r="H137" s="27"/>
    </row>
    <row r="138">
      <c r="H138" s="27"/>
    </row>
    <row r="139">
      <c r="H139" s="27"/>
    </row>
    <row r="140">
      <c r="H140" s="27"/>
    </row>
    <row r="141">
      <c r="H141" s="27"/>
    </row>
    <row r="142">
      <c r="H142" s="27"/>
    </row>
    <row r="143">
      <c r="H143" s="27"/>
    </row>
    <row r="144">
      <c r="H144" s="27"/>
    </row>
    <row r="145">
      <c r="H145" s="27"/>
    </row>
    <row r="146">
      <c r="H146" s="27"/>
    </row>
    <row r="147">
      <c r="H147" s="27"/>
    </row>
    <row r="148">
      <c r="H148" s="27"/>
    </row>
    <row r="149">
      <c r="H149" s="27"/>
    </row>
    <row r="150">
      <c r="H150" s="27"/>
    </row>
    <row r="151">
      <c r="H151" s="27"/>
    </row>
    <row r="152">
      <c r="H152" s="27"/>
    </row>
    <row r="153">
      <c r="H153" s="27"/>
    </row>
    <row r="154">
      <c r="H154" s="27"/>
    </row>
    <row r="155">
      <c r="H155" s="27"/>
    </row>
    <row r="156">
      <c r="H156" s="27"/>
    </row>
    <row r="157">
      <c r="H157" s="27"/>
    </row>
    <row r="158">
      <c r="H158" s="27"/>
    </row>
    <row r="159">
      <c r="H159" s="27"/>
    </row>
    <row r="160">
      <c r="H160" s="27"/>
    </row>
    <row r="161">
      <c r="H161" s="27"/>
    </row>
    <row r="162">
      <c r="H162" s="27"/>
    </row>
    <row r="163">
      <c r="H163" s="27"/>
    </row>
    <row r="164">
      <c r="H164" s="27"/>
    </row>
    <row r="165">
      <c r="H165" s="27"/>
    </row>
    <row r="166">
      <c r="H166" s="27"/>
    </row>
    <row r="167">
      <c r="H167" s="27"/>
    </row>
    <row r="168">
      <c r="H168" s="27"/>
    </row>
    <row r="169">
      <c r="H169" s="27"/>
    </row>
    <row r="170">
      <c r="H170" s="27"/>
    </row>
    <row r="171">
      <c r="H171" s="27"/>
    </row>
    <row r="172">
      <c r="H172" s="27"/>
    </row>
    <row r="173">
      <c r="H173" s="27"/>
    </row>
    <row r="174">
      <c r="H174" s="27"/>
    </row>
    <row r="175">
      <c r="H175" s="27"/>
    </row>
    <row r="176">
      <c r="H176" s="27"/>
    </row>
    <row r="177">
      <c r="H177" s="27"/>
    </row>
    <row r="178">
      <c r="H178" s="27"/>
    </row>
    <row r="179">
      <c r="H179" s="27"/>
    </row>
    <row r="180">
      <c r="H180" s="27"/>
    </row>
    <row r="181">
      <c r="H181" s="27"/>
    </row>
    <row r="182">
      <c r="H182" s="27"/>
    </row>
    <row r="183">
      <c r="H183" s="27"/>
    </row>
    <row r="184">
      <c r="H184" s="27"/>
    </row>
    <row r="185">
      <c r="H185" s="27"/>
    </row>
    <row r="186">
      <c r="H186" s="27"/>
    </row>
    <row r="187">
      <c r="H187" s="27"/>
    </row>
    <row r="188">
      <c r="H188" s="27"/>
    </row>
    <row r="189">
      <c r="H189" s="27"/>
    </row>
    <row r="190">
      <c r="H190" s="27"/>
    </row>
    <row r="191">
      <c r="H191" s="27"/>
    </row>
    <row r="192">
      <c r="H192" s="27"/>
    </row>
    <row r="193">
      <c r="H193" s="27"/>
    </row>
    <row r="194">
      <c r="H194" s="27"/>
    </row>
    <row r="195">
      <c r="H195" s="27"/>
    </row>
    <row r="196">
      <c r="H196" s="27"/>
    </row>
    <row r="197">
      <c r="H197" s="27"/>
    </row>
    <row r="198">
      <c r="H198" s="27"/>
    </row>
    <row r="199">
      <c r="H199" s="27"/>
    </row>
    <row r="200">
      <c r="H200" s="27"/>
    </row>
    <row r="201">
      <c r="H201" s="27"/>
    </row>
    <row r="202">
      <c r="H202" s="27"/>
    </row>
    <row r="203">
      <c r="H203" s="27"/>
    </row>
    <row r="204">
      <c r="H204" s="27"/>
    </row>
    <row r="205">
      <c r="H205" s="27"/>
    </row>
    <row r="206">
      <c r="H206" s="27"/>
    </row>
    <row r="207">
      <c r="H207" s="27"/>
    </row>
    <row r="208">
      <c r="H208" s="27"/>
    </row>
    <row r="209">
      <c r="H209" s="27"/>
    </row>
    <row r="210">
      <c r="H210" s="27"/>
    </row>
    <row r="211">
      <c r="H211" s="27"/>
    </row>
    <row r="212">
      <c r="H212" s="27"/>
    </row>
    <row r="213">
      <c r="H213" s="27"/>
    </row>
    <row r="214">
      <c r="H214" s="27"/>
    </row>
    <row r="215">
      <c r="H215" s="27"/>
    </row>
    <row r="216">
      <c r="H216" s="27"/>
    </row>
    <row r="217">
      <c r="H217" s="27"/>
    </row>
    <row r="218">
      <c r="H218" s="27"/>
    </row>
    <row r="219">
      <c r="H219" s="27"/>
    </row>
    <row r="220">
      <c r="H220" s="27"/>
    </row>
    <row r="221">
      <c r="H221" s="27"/>
    </row>
    <row r="222">
      <c r="H222" s="27"/>
    </row>
    <row r="223">
      <c r="H223" s="27"/>
    </row>
    <row r="224">
      <c r="H224" s="27"/>
    </row>
    <row r="225">
      <c r="H225" s="27"/>
    </row>
    <row r="226">
      <c r="H226" s="27"/>
    </row>
    <row r="227">
      <c r="H227" s="27"/>
    </row>
    <row r="228">
      <c r="H228" s="27"/>
    </row>
    <row r="229">
      <c r="H229" s="27"/>
    </row>
    <row r="230">
      <c r="H230" s="27"/>
    </row>
    <row r="231">
      <c r="H231" s="27"/>
    </row>
    <row r="232">
      <c r="H232" s="27"/>
    </row>
    <row r="233">
      <c r="H233" s="27"/>
    </row>
    <row r="234">
      <c r="H234" s="27"/>
    </row>
    <row r="235">
      <c r="H235" s="27"/>
    </row>
    <row r="236">
      <c r="H236" s="27"/>
    </row>
    <row r="237">
      <c r="H237" s="27"/>
    </row>
    <row r="238">
      <c r="H238" s="27"/>
    </row>
    <row r="239">
      <c r="H239" s="27"/>
    </row>
    <row r="240">
      <c r="H240" s="27"/>
    </row>
    <row r="241">
      <c r="H241" s="27"/>
    </row>
    <row r="242">
      <c r="H242" s="27"/>
    </row>
    <row r="243">
      <c r="H243" s="27"/>
    </row>
    <row r="244">
      <c r="H244" s="27"/>
    </row>
    <row r="245">
      <c r="H245" s="27"/>
    </row>
    <row r="246">
      <c r="H246" s="27"/>
    </row>
    <row r="247">
      <c r="H247" s="27"/>
    </row>
    <row r="248">
      <c r="H248" s="27"/>
    </row>
    <row r="249">
      <c r="H249" s="27"/>
    </row>
    <row r="250">
      <c r="H250" s="27"/>
    </row>
    <row r="251">
      <c r="H251" s="27"/>
    </row>
    <row r="252">
      <c r="H252" s="27"/>
    </row>
    <row r="253">
      <c r="H253" s="27"/>
    </row>
    <row r="254">
      <c r="H254" s="27"/>
    </row>
    <row r="255">
      <c r="H255" s="27"/>
    </row>
    <row r="256">
      <c r="H256" s="27"/>
    </row>
    <row r="257">
      <c r="H257" s="27"/>
    </row>
    <row r="258">
      <c r="H258" s="27"/>
    </row>
    <row r="259">
      <c r="H259" s="27"/>
    </row>
    <row r="260">
      <c r="H260" s="27"/>
    </row>
    <row r="261">
      <c r="H261" s="27"/>
    </row>
    <row r="262">
      <c r="H262" s="27"/>
    </row>
    <row r="263">
      <c r="H263" s="27"/>
    </row>
    <row r="264">
      <c r="H264" s="27"/>
    </row>
    <row r="265">
      <c r="H265" s="27"/>
    </row>
    <row r="266">
      <c r="H266" s="27"/>
    </row>
    <row r="267">
      <c r="H267" s="27"/>
    </row>
    <row r="268">
      <c r="H268" s="27"/>
    </row>
    <row r="269">
      <c r="H269" s="27"/>
    </row>
    <row r="270">
      <c r="H270" s="27"/>
    </row>
    <row r="271">
      <c r="H271" s="27"/>
    </row>
    <row r="272">
      <c r="H272" s="27"/>
    </row>
    <row r="273">
      <c r="H273" s="27"/>
    </row>
    <row r="274">
      <c r="H274" s="27"/>
    </row>
    <row r="275">
      <c r="H275" s="27"/>
    </row>
    <row r="276">
      <c r="H276" s="27"/>
    </row>
    <row r="277">
      <c r="H277" s="27"/>
    </row>
    <row r="278">
      <c r="H278" s="27"/>
    </row>
    <row r="279">
      <c r="H279" s="27"/>
    </row>
    <row r="280">
      <c r="H280" s="27"/>
    </row>
    <row r="281">
      <c r="H281" s="27"/>
    </row>
    <row r="282">
      <c r="H282" s="27"/>
    </row>
    <row r="283">
      <c r="H283" s="27"/>
    </row>
    <row r="284">
      <c r="H284" s="27"/>
    </row>
    <row r="285">
      <c r="H285" s="27"/>
    </row>
    <row r="286">
      <c r="H286" s="27"/>
    </row>
    <row r="287">
      <c r="H287" s="27"/>
    </row>
    <row r="288">
      <c r="H288" s="27"/>
    </row>
    <row r="289">
      <c r="H289" s="27"/>
    </row>
    <row r="290">
      <c r="H290" s="27"/>
    </row>
    <row r="291">
      <c r="H291" s="27"/>
    </row>
    <row r="292">
      <c r="H292" s="27"/>
    </row>
    <row r="293">
      <c r="H293" s="27"/>
    </row>
    <row r="294">
      <c r="H294" s="27"/>
    </row>
    <row r="295">
      <c r="H295" s="27"/>
    </row>
    <row r="296">
      <c r="H296" s="27"/>
    </row>
    <row r="297">
      <c r="H297" s="27"/>
    </row>
    <row r="298">
      <c r="H298" s="27"/>
    </row>
    <row r="299">
      <c r="H299" s="27"/>
    </row>
    <row r="300">
      <c r="H300" s="27"/>
    </row>
    <row r="301">
      <c r="H301" s="27"/>
    </row>
    <row r="302">
      <c r="H302" s="27"/>
    </row>
    <row r="303">
      <c r="H303" s="27"/>
    </row>
    <row r="304">
      <c r="H304" s="27"/>
    </row>
    <row r="305">
      <c r="H305" s="27"/>
    </row>
    <row r="306">
      <c r="H306" s="27"/>
    </row>
    <row r="307">
      <c r="H307" s="27"/>
    </row>
    <row r="308">
      <c r="H308" s="27"/>
    </row>
    <row r="309">
      <c r="H309" s="27"/>
    </row>
    <row r="310">
      <c r="H310" s="27"/>
    </row>
    <row r="311">
      <c r="H311" s="27"/>
    </row>
    <row r="312">
      <c r="H312" s="27"/>
    </row>
    <row r="313">
      <c r="H313" s="27"/>
    </row>
    <row r="314">
      <c r="H314" s="27"/>
    </row>
    <row r="315">
      <c r="H315" s="27"/>
    </row>
    <row r="316">
      <c r="H316" s="27"/>
    </row>
    <row r="317">
      <c r="H317" s="27"/>
    </row>
    <row r="318">
      <c r="H318" s="27"/>
    </row>
    <row r="319">
      <c r="H319" s="27"/>
    </row>
    <row r="320">
      <c r="H320" s="27"/>
    </row>
    <row r="321">
      <c r="H321" s="27"/>
    </row>
    <row r="322">
      <c r="H322" s="27"/>
    </row>
    <row r="323">
      <c r="H323" s="27"/>
    </row>
    <row r="324">
      <c r="H324" s="27"/>
    </row>
    <row r="325">
      <c r="H325" s="27"/>
    </row>
    <row r="326">
      <c r="H326" s="27"/>
    </row>
    <row r="327">
      <c r="H327" s="27"/>
    </row>
    <row r="328">
      <c r="H328" s="27"/>
    </row>
    <row r="329">
      <c r="H329" s="27"/>
    </row>
    <row r="330">
      <c r="H330" s="27"/>
    </row>
    <row r="331">
      <c r="H331" s="27"/>
    </row>
    <row r="332">
      <c r="H332" s="27"/>
    </row>
    <row r="333">
      <c r="H333" s="27"/>
    </row>
    <row r="334">
      <c r="H334" s="27"/>
    </row>
    <row r="335">
      <c r="H335" s="27"/>
    </row>
    <row r="336">
      <c r="H336" s="27"/>
    </row>
    <row r="337">
      <c r="H337" s="27"/>
    </row>
    <row r="338">
      <c r="H338" s="27"/>
    </row>
    <row r="339">
      <c r="H339" s="27"/>
    </row>
    <row r="340">
      <c r="H340" s="27"/>
    </row>
    <row r="341">
      <c r="H341" s="27"/>
    </row>
    <row r="342">
      <c r="H342" s="27"/>
    </row>
    <row r="343">
      <c r="H343" s="27"/>
    </row>
    <row r="344">
      <c r="H344" s="27"/>
    </row>
    <row r="345">
      <c r="H345" s="27"/>
    </row>
    <row r="346">
      <c r="H346" s="27"/>
    </row>
    <row r="347">
      <c r="H347" s="27"/>
    </row>
    <row r="348">
      <c r="H348" s="27"/>
    </row>
    <row r="349">
      <c r="H349" s="27"/>
    </row>
    <row r="350">
      <c r="H350" s="27"/>
    </row>
    <row r="351">
      <c r="H351" s="27"/>
    </row>
    <row r="352">
      <c r="H352" s="27"/>
    </row>
    <row r="353">
      <c r="H353" s="27"/>
    </row>
    <row r="354">
      <c r="H354" s="27"/>
    </row>
    <row r="355">
      <c r="H355" s="27"/>
    </row>
    <row r="356">
      <c r="H356" s="27"/>
    </row>
    <row r="357">
      <c r="H357" s="27"/>
    </row>
    <row r="358">
      <c r="H358" s="27"/>
    </row>
    <row r="359">
      <c r="H359" s="27"/>
    </row>
    <row r="360">
      <c r="H360" s="27"/>
    </row>
    <row r="361">
      <c r="H361" s="27"/>
    </row>
    <row r="362">
      <c r="H362" s="27"/>
    </row>
    <row r="363">
      <c r="H363" s="27"/>
    </row>
    <row r="364">
      <c r="H364" s="27"/>
    </row>
    <row r="365">
      <c r="H365" s="27"/>
    </row>
    <row r="366">
      <c r="H366" s="27"/>
    </row>
    <row r="367">
      <c r="H367" s="27"/>
    </row>
    <row r="368">
      <c r="H368" s="27"/>
    </row>
    <row r="369">
      <c r="H369" s="27"/>
    </row>
    <row r="370">
      <c r="H370" s="27"/>
    </row>
    <row r="371">
      <c r="H371" s="27"/>
    </row>
    <row r="372">
      <c r="H372" s="27"/>
    </row>
    <row r="373">
      <c r="H373" s="27"/>
    </row>
    <row r="374">
      <c r="H374" s="27"/>
    </row>
    <row r="375">
      <c r="H375" s="27"/>
    </row>
    <row r="376">
      <c r="H376" s="27"/>
    </row>
    <row r="377">
      <c r="H377" s="27"/>
    </row>
    <row r="378">
      <c r="H378" s="27"/>
    </row>
    <row r="379">
      <c r="H379" s="27"/>
    </row>
    <row r="380">
      <c r="H380" s="27"/>
    </row>
    <row r="381">
      <c r="H381" s="27"/>
    </row>
    <row r="382">
      <c r="H382" s="27"/>
    </row>
    <row r="383">
      <c r="H383" s="27"/>
    </row>
    <row r="384">
      <c r="H384" s="27"/>
    </row>
    <row r="385">
      <c r="H385" s="27"/>
    </row>
    <row r="386">
      <c r="H386" s="27"/>
    </row>
    <row r="387">
      <c r="H387" s="27"/>
    </row>
    <row r="388">
      <c r="H388" s="27"/>
    </row>
    <row r="389">
      <c r="H389" s="27"/>
    </row>
    <row r="390">
      <c r="H390" s="27"/>
    </row>
    <row r="391">
      <c r="H391" s="27"/>
    </row>
    <row r="392">
      <c r="H392" s="27"/>
    </row>
    <row r="393">
      <c r="H393" s="27"/>
    </row>
    <row r="394">
      <c r="H394" s="27"/>
    </row>
    <row r="395">
      <c r="H395" s="27"/>
    </row>
    <row r="396">
      <c r="H396" s="27"/>
    </row>
    <row r="397">
      <c r="H397" s="27"/>
    </row>
    <row r="398">
      <c r="H398" s="27"/>
    </row>
    <row r="399">
      <c r="H399" s="27"/>
    </row>
    <row r="400">
      <c r="H400" s="27"/>
    </row>
    <row r="401">
      <c r="H401" s="27"/>
    </row>
    <row r="402">
      <c r="H402" s="27"/>
    </row>
    <row r="403">
      <c r="H403" s="27"/>
    </row>
    <row r="404">
      <c r="H404" s="27"/>
    </row>
    <row r="405">
      <c r="H405" s="27"/>
    </row>
    <row r="406">
      <c r="H406" s="27"/>
    </row>
    <row r="407">
      <c r="H407" s="27"/>
    </row>
    <row r="408">
      <c r="H408" s="27"/>
    </row>
    <row r="409">
      <c r="H409" s="27"/>
    </row>
    <row r="410">
      <c r="H410" s="27"/>
    </row>
    <row r="411">
      <c r="H411" s="27"/>
    </row>
    <row r="412">
      <c r="H412" s="27"/>
    </row>
    <row r="413">
      <c r="H413" s="27"/>
    </row>
    <row r="414">
      <c r="H414" s="27"/>
    </row>
    <row r="415">
      <c r="H415" s="27"/>
    </row>
    <row r="416">
      <c r="H416" s="27"/>
    </row>
    <row r="417">
      <c r="H417" s="27"/>
    </row>
    <row r="418">
      <c r="H418" s="27"/>
    </row>
    <row r="419">
      <c r="H419" s="27"/>
    </row>
    <row r="420">
      <c r="H420" s="27"/>
    </row>
    <row r="421">
      <c r="H421" s="27"/>
    </row>
    <row r="422">
      <c r="H422" s="27"/>
    </row>
    <row r="423">
      <c r="H423" s="27"/>
    </row>
    <row r="424">
      <c r="H424" s="27"/>
    </row>
    <row r="425">
      <c r="H425" s="27"/>
    </row>
    <row r="426">
      <c r="H426" s="27"/>
    </row>
    <row r="427">
      <c r="H427" s="27"/>
    </row>
    <row r="428">
      <c r="H428" s="27"/>
    </row>
    <row r="429">
      <c r="H429" s="27"/>
    </row>
    <row r="430">
      <c r="H430" s="27"/>
    </row>
    <row r="431">
      <c r="H431" s="27"/>
    </row>
    <row r="432">
      <c r="H432" s="27"/>
    </row>
    <row r="433">
      <c r="H433" s="27"/>
    </row>
    <row r="434">
      <c r="H434" s="27"/>
    </row>
    <row r="435">
      <c r="H435" s="27"/>
    </row>
    <row r="436">
      <c r="H436" s="27"/>
    </row>
    <row r="437">
      <c r="H437" s="27"/>
    </row>
    <row r="438">
      <c r="H438" s="27"/>
    </row>
    <row r="439">
      <c r="H439" s="27"/>
    </row>
    <row r="440">
      <c r="H440" s="27"/>
    </row>
    <row r="441">
      <c r="H441" s="27"/>
    </row>
    <row r="442">
      <c r="H442" s="27"/>
    </row>
    <row r="443">
      <c r="H443" s="27"/>
    </row>
    <row r="444">
      <c r="H444" s="27"/>
    </row>
    <row r="445">
      <c r="H445" s="27"/>
    </row>
    <row r="446">
      <c r="H446" s="27"/>
    </row>
    <row r="447">
      <c r="H447" s="27"/>
    </row>
    <row r="448">
      <c r="H448" s="27"/>
    </row>
    <row r="449">
      <c r="H449" s="27"/>
    </row>
    <row r="450">
      <c r="H450" s="27"/>
    </row>
    <row r="451">
      <c r="H451" s="27"/>
    </row>
    <row r="452">
      <c r="H452" s="27"/>
    </row>
    <row r="453">
      <c r="H453" s="27"/>
    </row>
    <row r="454">
      <c r="H454" s="27"/>
    </row>
    <row r="455">
      <c r="H455" s="27"/>
    </row>
    <row r="456">
      <c r="H456" s="27"/>
    </row>
    <row r="457">
      <c r="H457" s="27"/>
    </row>
    <row r="458">
      <c r="H458" s="27"/>
    </row>
    <row r="459">
      <c r="H459" s="27"/>
    </row>
    <row r="460">
      <c r="H460" s="27"/>
    </row>
    <row r="461">
      <c r="H461" s="27"/>
    </row>
    <row r="462">
      <c r="H462" s="27"/>
    </row>
    <row r="463">
      <c r="H463" s="27"/>
    </row>
    <row r="464">
      <c r="H464" s="27"/>
    </row>
    <row r="465">
      <c r="H465" s="27"/>
    </row>
    <row r="466">
      <c r="H466" s="27"/>
    </row>
    <row r="467">
      <c r="H467" s="27"/>
    </row>
    <row r="468">
      <c r="H468" s="27"/>
    </row>
    <row r="469">
      <c r="H469" s="27"/>
    </row>
    <row r="470">
      <c r="H470" s="27"/>
    </row>
    <row r="471">
      <c r="H471" s="27"/>
    </row>
    <row r="472">
      <c r="H472" s="27"/>
    </row>
    <row r="473">
      <c r="H473" s="27"/>
    </row>
    <row r="474">
      <c r="H474" s="27"/>
    </row>
    <row r="475">
      <c r="H475" s="27"/>
    </row>
    <row r="476">
      <c r="H476" s="27"/>
    </row>
    <row r="477">
      <c r="H477" s="27"/>
    </row>
    <row r="478">
      <c r="H478" s="27"/>
    </row>
    <row r="479">
      <c r="H479" s="27"/>
    </row>
    <row r="480">
      <c r="H480" s="27"/>
    </row>
    <row r="481">
      <c r="H481" s="27"/>
    </row>
    <row r="482">
      <c r="H482" s="27"/>
    </row>
    <row r="483">
      <c r="H483" s="27"/>
    </row>
    <row r="484">
      <c r="H484" s="27"/>
    </row>
    <row r="485">
      <c r="H485" s="27"/>
    </row>
    <row r="486">
      <c r="H486" s="27"/>
    </row>
    <row r="487">
      <c r="H487" s="27"/>
    </row>
    <row r="488">
      <c r="H488" s="27"/>
    </row>
    <row r="489">
      <c r="H489" s="27"/>
    </row>
    <row r="490">
      <c r="H490" s="27"/>
    </row>
    <row r="491">
      <c r="H491" s="27"/>
    </row>
    <row r="492">
      <c r="H492" s="27"/>
    </row>
    <row r="493">
      <c r="H493" s="27"/>
    </row>
    <row r="494">
      <c r="H494" s="27"/>
    </row>
    <row r="495">
      <c r="H495" s="27"/>
    </row>
    <row r="496">
      <c r="H496" s="27"/>
    </row>
    <row r="497">
      <c r="H497" s="27"/>
    </row>
    <row r="498">
      <c r="H498" s="27"/>
    </row>
    <row r="499">
      <c r="H499" s="27"/>
    </row>
    <row r="500">
      <c r="H500" s="27"/>
    </row>
    <row r="501">
      <c r="H501" s="27"/>
    </row>
    <row r="502">
      <c r="H502" s="27"/>
    </row>
    <row r="503">
      <c r="H503" s="27"/>
    </row>
    <row r="504">
      <c r="H504" s="27"/>
    </row>
    <row r="505">
      <c r="H505" s="27"/>
    </row>
    <row r="506">
      <c r="H506" s="27"/>
    </row>
    <row r="507">
      <c r="H507" s="27"/>
    </row>
    <row r="508">
      <c r="H508" s="27"/>
    </row>
    <row r="509">
      <c r="H509" s="27"/>
    </row>
    <row r="510">
      <c r="H510" s="27"/>
    </row>
    <row r="511">
      <c r="H511" s="27"/>
    </row>
    <row r="512">
      <c r="H512" s="27"/>
    </row>
    <row r="513">
      <c r="H513" s="27"/>
    </row>
    <row r="514">
      <c r="H514" s="27"/>
    </row>
    <row r="515">
      <c r="H515" s="27"/>
    </row>
    <row r="516">
      <c r="H516" s="27"/>
    </row>
    <row r="517">
      <c r="H517" s="27"/>
    </row>
    <row r="518">
      <c r="H518" s="27"/>
    </row>
    <row r="519">
      <c r="H519" s="27"/>
    </row>
    <row r="520">
      <c r="H520" s="27"/>
    </row>
    <row r="521">
      <c r="H521" s="27"/>
    </row>
    <row r="522">
      <c r="H522" s="27"/>
    </row>
    <row r="523">
      <c r="H523" s="27"/>
    </row>
    <row r="524">
      <c r="H524" s="27"/>
    </row>
    <row r="525">
      <c r="H525" s="27"/>
    </row>
    <row r="526">
      <c r="H526" s="27"/>
    </row>
    <row r="527">
      <c r="H527" s="27"/>
    </row>
    <row r="528">
      <c r="H528" s="27"/>
    </row>
    <row r="529">
      <c r="H529" s="27"/>
    </row>
    <row r="530">
      <c r="H530" s="27"/>
    </row>
    <row r="531">
      <c r="H531" s="27"/>
    </row>
    <row r="532">
      <c r="H532" s="27"/>
    </row>
    <row r="533">
      <c r="H533" s="27"/>
    </row>
    <row r="534">
      <c r="H534" s="27"/>
    </row>
    <row r="535">
      <c r="H535" s="27"/>
    </row>
    <row r="536">
      <c r="H536" s="27"/>
    </row>
    <row r="537">
      <c r="H537" s="27"/>
    </row>
    <row r="538">
      <c r="H538" s="27"/>
    </row>
    <row r="539">
      <c r="H539" s="27"/>
    </row>
    <row r="540">
      <c r="H540" s="27"/>
    </row>
    <row r="541">
      <c r="H541" s="27"/>
    </row>
    <row r="542">
      <c r="H542" s="27"/>
    </row>
    <row r="543">
      <c r="H543" s="27"/>
    </row>
    <row r="544">
      <c r="H544" s="27"/>
    </row>
    <row r="545">
      <c r="H545" s="27"/>
    </row>
    <row r="546">
      <c r="H546" s="27"/>
    </row>
    <row r="547">
      <c r="H547" s="27"/>
    </row>
    <row r="548">
      <c r="H548" s="27"/>
    </row>
    <row r="549">
      <c r="H549" s="27"/>
    </row>
    <row r="550">
      <c r="H550" s="27"/>
    </row>
    <row r="551">
      <c r="H551" s="27"/>
    </row>
    <row r="552">
      <c r="H552" s="27"/>
    </row>
    <row r="553">
      <c r="H553" s="27"/>
    </row>
    <row r="554">
      <c r="H554" s="27"/>
    </row>
    <row r="555">
      <c r="H555" s="27"/>
    </row>
    <row r="556">
      <c r="H556" s="27"/>
    </row>
    <row r="557">
      <c r="H557" s="27"/>
    </row>
    <row r="558">
      <c r="H558" s="27"/>
    </row>
    <row r="559">
      <c r="H559" s="27"/>
    </row>
    <row r="560">
      <c r="H560" s="27"/>
    </row>
    <row r="561">
      <c r="H561" s="27"/>
    </row>
    <row r="562">
      <c r="H562" s="27"/>
    </row>
    <row r="563">
      <c r="H563" s="27"/>
    </row>
    <row r="564">
      <c r="H564" s="27"/>
    </row>
    <row r="565">
      <c r="H565" s="27"/>
    </row>
    <row r="566">
      <c r="H566" s="27"/>
    </row>
    <row r="567">
      <c r="H567" s="27"/>
    </row>
    <row r="568">
      <c r="H568" s="27"/>
    </row>
    <row r="569">
      <c r="H569" s="27"/>
    </row>
    <row r="570">
      <c r="H570" s="27"/>
    </row>
    <row r="571">
      <c r="H571" s="27"/>
    </row>
    <row r="572">
      <c r="H572" s="27"/>
    </row>
    <row r="573">
      <c r="H573" s="27"/>
    </row>
    <row r="574">
      <c r="H574" s="27"/>
    </row>
    <row r="575">
      <c r="H575" s="27"/>
    </row>
    <row r="576">
      <c r="H576" s="27"/>
    </row>
    <row r="577">
      <c r="H577" s="27"/>
    </row>
    <row r="578">
      <c r="H578" s="27"/>
    </row>
    <row r="579">
      <c r="H579" s="27"/>
    </row>
    <row r="580">
      <c r="H580" s="27"/>
    </row>
    <row r="581">
      <c r="H581" s="27"/>
    </row>
    <row r="582">
      <c r="H582" s="27"/>
    </row>
    <row r="583">
      <c r="H583" s="27"/>
    </row>
    <row r="584">
      <c r="H584" s="27"/>
    </row>
    <row r="585">
      <c r="H585" s="27"/>
    </row>
    <row r="586">
      <c r="H586" s="27"/>
    </row>
    <row r="587">
      <c r="H587" s="27"/>
    </row>
    <row r="588">
      <c r="H588" s="27"/>
    </row>
    <row r="589">
      <c r="H589" s="27"/>
    </row>
    <row r="590">
      <c r="H590" s="27"/>
    </row>
    <row r="591">
      <c r="H591" s="27"/>
    </row>
    <row r="592">
      <c r="H592" s="27"/>
    </row>
    <row r="593">
      <c r="H593" s="27"/>
    </row>
    <row r="594">
      <c r="H594" s="27"/>
    </row>
    <row r="595">
      <c r="H595" s="27"/>
    </row>
    <row r="596">
      <c r="H596" s="27"/>
    </row>
    <row r="597">
      <c r="H597" s="27"/>
    </row>
    <row r="598">
      <c r="H598" s="27"/>
    </row>
    <row r="599">
      <c r="H599" s="27"/>
    </row>
    <row r="600">
      <c r="H600" s="27"/>
    </row>
    <row r="601">
      <c r="H601" s="27"/>
    </row>
    <row r="602">
      <c r="H602" s="27"/>
    </row>
    <row r="603">
      <c r="H603" s="27"/>
    </row>
    <row r="604">
      <c r="H604" s="27"/>
    </row>
    <row r="605">
      <c r="H605" s="27"/>
    </row>
    <row r="606">
      <c r="H606" s="27"/>
    </row>
    <row r="607">
      <c r="H607" s="27"/>
    </row>
    <row r="608">
      <c r="H608" s="27"/>
    </row>
    <row r="609">
      <c r="H609" s="27"/>
    </row>
    <row r="610">
      <c r="H610" s="27"/>
    </row>
    <row r="611">
      <c r="H611" s="27"/>
    </row>
    <row r="612">
      <c r="H612" s="27"/>
    </row>
    <row r="613">
      <c r="H613" s="27"/>
    </row>
    <row r="614">
      <c r="H614" s="27"/>
    </row>
    <row r="615">
      <c r="H615" s="27"/>
    </row>
    <row r="616">
      <c r="H616" s="27"/>
    </row>
    <row r="617">
      <c r="H617" s="27"/>
    </row>
    <row r="618">
      <c r="H618" s="27"/>
    </row>
    <row r="619">
      <c r="H619" s="27"/>
    </row>
    <row r="620">
      <c r="H620" s="27"/>
    </row>
    <row r="621">
      <c r="H621" s="27"/>
    </row>
    <row r="622">
      <c r="H622" s="27"/>
    </row>
    <row r="623">
      <c r="H623" s="27"/>
    </row>
    <row r="624">
      <c r="H624" s="27"/>
    </row>
    <row r="625">
      <c r="H625" s="27"/>
    </row>
    <row r="626">
      <c r="H626" s="27"/>
    </row>
    <row r="627">
      <c r="H627" s="27"/>
    </row>
    <row r="628">
      <c r="H628" s="27"/>
    </row>
    <row r="629">
      <c r="H629" s="27"/>
    </row>
    <row r="630">
      <c r="H630" s="27"/>
    </row>
    <row r="631">
      <c r="H631" s="27"/>
    </row>
    <row r="632">
      <c r="H632" s="27"/>
    </row>
    <row r="633">
      <c r="H633" s="27"/>
    </row>
    <row r="634">
      <c r="H634" s="27"/>
    </row>
    <row r="635">
      <c r="H635" s="27"/>
    </row>
    <row r="636">
      <c r="H636" s="27"/>
    </row>
    <row r="637">
      <c r="H637" s="27"/>
    </row>
    <row r="638">
      <c r="H638" s="27"/>
    </row>
    <row r="639">
      <c r="H639" s="27"/>
    </row>
    <row r="640">
      <c r="H640" s="27"/>
    </row>
    <row r="641">
      <c r="H641" s="27"/>
    </row>
    <row r="642">
      <c r="H642" s="27"/>
    </row>
    <row r="643">
      <c r="H643" s="27"/>
    </row>
    <row r="644">
      <c r="H644" s="27"/>
    </row>
    <row r="645">
      <c r="H645" s="27"/>
    </row>
    <row r="646">
      <c r="H646" s="27"/>
    </row>
    <row r="647">
      <c r="H647" s="27"/>
    </row>
    <row r="648">
      <c r="H648" s="27"/>
    </row>
    <row r="649">
      <c r="H649" s="27"/>
    </row>
    <row r="650">
      <c r="H650" s="27"/>
    </row>
    <row r="651">
      <c r="H651" s="27"/>
    </row>
    <row r="652">
      <c r="H652" s="27"/>
    </row>
    <row r="653">
      <c r="H653" s="27"/>
    </row>
    <row r="654">
      <c r="H654" s="27"/>
    </row>
    <row r="655">
      <c r="H655" s="27"/>
    </row>
    <row r="656">
      <c r="H656" s="27"/>
    </row>
    <row r="657">
      <c r="H657" s="27"/>
    </row>
    <row r="658">
      <c r="H658" s="27"/>
    </row>
    <row r="659">
      <c r="H659" s="27"/>
    </row>
    <row r="660">
      <c r="H660" s="27"/>
    </row>
    <row r="661">
      <c r="H661" s="27"/>
    </row>
    <row r="662">
      <c r="H662" s="27"/>
    </row>
    <row r="663">
      <c r="H663" s="27"/>
    </row>
    <row r="664">
      <c r="H664" s="27"/>
    </row>
    <row r="665">
      <c r="H665" s="27"/>
    </row>
    <row r="666">
      <c r="H666" s="27"/>
    </row>
    <row r="667">
      <c r="H667" s="27"/>
    </row>
    <row r="668">
      <c r="H668" s="27"/>
    </row>
    <row r="669">
      <c r="H669" s="27"/>
    </row>
    <row r="670">
      <c r="H670" s="27"/>
    </row>
    <row r="671">
      <c r="H671" s="27"/>
    </row>
    <row r="672">
      <c r="H672" s="27"/>
    </row>
    <row r="673">
      <c r="H673" s="27"/>
    </row>
    <row r="674">
      <c r="H674" s="27"/>
    </row>
    <row r="675">
      <c r="H675" s="27"/>
    </row>
    <row r="676">
      <c r="H676" s="27"/>
    </row>
    <row r="677">
      <c r="H677" s="27"/>
    </row>
    <row r="678">
      <c r="H678" s="27"/>
    </row>
    <row r="679">
      <c r="H679" s="27"/>
    </row>
    <row r="680">
      <c r="H680" s="27"/>
    </row>
    <row r="681">
      <c r="H681" s="27"/>
    </row>
    <row r="682">
      <c r="H682" s="27"/>
    </row>
    <row r="683">
      <c r="H683" s="27"/>
    </row>
    <row r="684">
      <c r="H684" s="27"/>
    </row>
    <row r="685">
      <c r="H685" s="27"/>
    </row>
    <row r="686">
      <c r="H686" s="27"/>
    </row>
    <row r="687">
      <c r="H687" s="27"/>
    </row>
    <row r="688">
      <c r="H688" s="27"/>
    </row>
    <row r="689">
      <c r="H689" s="27"/>
    </row>
    <row r="690">
      <c r="H690" s="27"/>
    </row>
    <row r="691">
      <c r="H691" s="27"/>
    </row>
    <row r="692">
      <c r="H692" s="27"/>
    </row>
    <row r="693">
      <c r="H693" s="27"/>
    </row>
    <row r="694">
      <c r="H694" s="27"/>
    </row>
    <row r="695">
      <c r="H695" s="27"/>
    </row>
    <row r="696">
      <c r="H696" s="27"/>
    </row>
    <row r="697">
      <c r="H697" s="27"/>
    </row>
    <row r="698">
      <c r="H698" s="27"/>
    </row>
    <row r="699">
      <c r="H699" s="27"/>
    </row>
    <row r="700">
      <c r="H700" s="27"/>
    </row>
    <row r="701">
      <c r="H701" s="27"/>
    </row>
    <row r="702">
      <c r="H702" s="27"/>
    </row>
    <row r="703">
      <c r="H703" s="27"/>
    </row>
    <row r="704">
      <c r="H704" s="27"/>
    </row>
    <row r="705">
      <c r="H705" s="27"/>
    </row>
    <row r="706">
      <c r="H706" s="27"/>
    </row>
    <row r="707">
      <c r="H707" s="27"/>
    </row>
    <row r="708">
      <c r="H708" s="27"/>
    </row>
    <row r="709">
      <c r="H709" s="27"/>
    </row>
    <row r="710">
      <c r="H710" s="27"/>
    </row>
    <row r="711">
      <c r="H711" s="27"/>
    </row>
    <row r="712">
      <c r="H712" s="27"/>
    </row>
    <row r="713">
      <c r="H713" s="27"/>
    </row>
    <row r="714">
      <c r="H714" s="27"/>
    </row>
    <row r="715">
      <c r="H715" s="27"/>
    </row>
    <row r="716">
      <c r="H716" s="27"/>
    </row>
    <row r="717">
      <c r="H717" s="27"/>
    </row>
    <row r="718">
      <c r="H718" s="27"/>
    </row>
    <row r="719">
      <c r="H719" s="27"/>
    </row>
    <row r="720">
      <c r="H720" s="27"/>
    </row>
    <row r="721">
      <c r="H721" s="27"/>
    </row>
    <row r="722">
      <c r="H722" s="27"/>
    </row>
    <row r="723">
      <c r="H723" s="27"/>
    </row>
    <row r="724">
      <c r="H724" s="27"/>
    </row>
    <row r="725">
      <c r="H725" s="27"/>
    </row>
    <row r="726">
      <c r="H726" s="27"/>
    </row>
    <row r="727">
      <c r="H727" s="27"/>
    </row>
    <row r="728">
      <c r="H728" s="27"/>
    </row>
    <row r="729">
      <c r="H729" s="27"/>
    </row>
    <row r="730">
      <c r="H730" s="27"/>
    </row>
    <row r="731">
      <c r="H731" s="27"/>
    </row>
    <row r="732">
      <c r="H732" s="27"/>
    </row>
    <row r="733">
      <c r="H733" s="27"/>
    </row>
    <row r="734">
      <c r="H734" s="27"/>
    </row>
    <row r="735">
      <c r="H735" s="27"/>
    </row>
    <row r="736">
      <c r="H736" s="27"/>
    </row>
    <row r="737">
      <c r="H737" s="27"/>
    </row>
    <row r="738">
      <c r="H738" s="27"/>
    </row>
    <row r="739">
      <c r="H739" s="27"/>
    </row>
    <row r="740">
      <c r="H740" s="27"/>
    </row>
    <row r="741">
      <c r="H741" s="27"/>
    </row>
    <row r="742">
      <c r="H742" s="27"/>
    </row>
    <row r="743">
      <c r="H743" s="27"/>
    </row>
    <row r="744">
      <c r="H744" s="27"/>
    </row>
    <row r="745">
      <c r="H745" s="27"/>
    </row>
    <row r="746">
      <c r="H746" s="27"/>
    </row>
    <row r="747">
      <c r="H747" s="27"/>
    </row>
    <row r="748">
      <c r="H748" s="27"/>
    </row>
    <row r="749">
      <c r="H749" s="27"/>
    </row>
    <row r="750">
      <c r="H750" s="27"/>
    </row>
    <row r="751">
      <c r="H751" s="27"/>
    </row>
    <row r="752">
      <c r="H752" s="27"/>
    </row>
    <row r="753">
      <c r="H753" s="27"/>
    </row>
    <row r="754">
      <c r="H754" s="27"/>
    </row>
    <row r="755">
      <c r="H755" s="27"/>
    </row>
    <row r="756">
      <c r="H756" s="27"/>
    </row>
    <row r="757">
      <c r="H757" s="27"/>
    </row>
    <row r="758">
      <c r="H758" s="27"/>
    </row>
    <row r="759">
      <c r="H759" s="27"/>
    </row>
    <row r="760">
      <c r="H760" s="27"/>
    </row>
    <row r="761">
      <c r="H761" s="27"/>
    </row>
    <row r="762">
      <c r="H762" s="27"/>
    </row>
    <row r="763">
      <c r="H763" s="27"/>
    </row>
    <row r="764">
      <c r="H764" s="27"/>
    </row>
    <row r="765">
      <c r="H765" s="27"/>
    </row>
    <row r="766">
      <c r="H766" s="27"/>
    </row>
    <row r="767">
      <c r="H767" s="27"/>
    </row>
    <row r="768">
      <c r="H768" s="27"/>
    </row>
    <row r="769">
      <c r="H769" s="27"/>
    </row>
    <row r="770">
      <c r="H770" s="27"/>
    </row>
    <row r="771">
      <c r="H771" s="27"/>
    </row>
    <row r="772">
      <c r="H772" s="27"/>
    </row>
    <row r="773">
      <c r="H773" s="27"/>
    </row>
    <row r="774">
      <c r="H774" s="27"/>
    </row>
    <row r="775">
      <c r="H775" s="27"/>
    </row>
    <row r="776">
      <c r="H776" s="27"/>
    </row>
    <row r="777">
      <c r="H777" s="27"/>
    </row>
    <row r="778">
      <c r="H778" s="27"/>
    </row>
    <row r="779">
      <c r="H779" s="27"/>
    </row>
    <row r="780">
      <c r="H780" s="27"/>
    </row>
    <row r="781">
      <c r="H781" s="27"/>
    </row>
    <row r="782">
      <c r="H782" s="27"/>
    </row>
    <row r="783">
      <c r="H783" s="27"/>
    </row>
    <row r="784">
      <c r="H784" s="27"/>
    </row>
    <row r="785">
      <c r="H785" s="27"/>
    </row>
    <row r="786">
      <c r="H786" s="27"/>
    </row>
    <row r="787">
      <c r="H787" s="27"/>
    </row>
    <row r="788">
      <c r="H788" s="27"/>
    </row>
    <row r="789">
      <c r="H789" s="27"/>
    </row>
    <row r="790">
      <c r="H790" s="27"/>
    </row>
    <row r="791">
      <c r="H791" s="27"/>
    </row>
    <row r="792">
      <c r="H792" s="27"/>
    </row>
    <row r="793">
      <c r="H793" s="27"/>
    </row>
    <row r="794">
      <c r="H794" s="27"/>
    </row>
    <row r="795">
      <c r="H795" s="27"/>
    </row>
    <row r="796">
      <c r="H796" s="27"/>
    </row>
    <row r="797">
      <c r="H797" s="27"/>
    </row>
    <row r="798">
      <c r="H798" s="27"/>
    </row>
    <row r="799">
      <c r="H799" s="27"/>
    </row>
    <row r="800">
      <c r="H800" s="27"/>
    </row>
    <row r="801">
      <c r="H801" s="27"/>
    </row>
    <row r="802">
      <c r="H802" s="27"/>
    </row>
    <row r="803">
      <c r="H803" s="27"/>
    </row>
    <row r="804">
      <c r="H804" s="27"/>
    </row>
    <row r="805">
      <c r="H805" s="27"/>
    </row>
    <row r="806">
      <c r="H806" s="27"/>
    </row>
    <row r="807">
      <c r="H807" s="27"/>
    </row>
    <row r="808">
      <c r="H808" s="27"/>
    </row>
    <row r="809">
      <c r="H809" s="27"/>
    </row>
    <row r="810">
      <c r="H810" s="27"/>
    </row>
    <row r="811">
      <c r="H811" s="27"/>
    </row>
    <row r="812">
      <c r="H812" s="27"/>
    </row>
    <row r="813">
      <c r="H813" s="27"/>
    </row>
    <row r="814">
      <c r="H814" s="27"/>
    </row>
    <row r="815">
      <c r="H815" s="27"/>
    </row>
    <row r="816">
      <c r="H816" s="27"/>
    </row>
    <row r="817">
      <c r="H817" s="27"/>
    </row>
    <row r="818">
      <c r="H818" s="27"/>
    </row>
    <row r="819">
      <c r="H819" s="27"/>
    </row>
    <row r="820">
      <c r="H820" s="27"/>
    </row>
    <row r="821">
      <c r="H821" s="27"/>
    </row>
    <row r="822">
      <c r="H822" s="27"/>
    </row>
    <row r="823">
      <c r="H823" s="27"/>
    </row>
    <row r="824">
      <c r="H824" s="27"/>
    </row>
    <row r="825">
      <c r="H825" s="27"/>
    </row>
    <row r="826">
      <c r="H826" s="27"/>
    </row>
    <row r="827">
      <c r="H827" s="27"/>
    </row>
    <row r="828">
      <c r="H828" s="27"/>
    </row>
    <row r="829">
      <c r="H829" s="27"/>
    </row>
    <row r="830">
      <c r="H830" s="27"/>
    </row>
    <row r="831">
      <c r="H831" s="27"/>
    </row>
    <row r="832">
      <c r="H832" s="27"/>
    </row>
    <row r="833">
      <c r="H833" s="27"/>
    </row>
    <row r="834">
      <c r="H834" s="27"/>
    </row>
    <row r="835">
      <c r="H835" s="27"/>
    </row>
    <row r="836">
      <c r="H836" s="27"/>
    </row>
    <row r="837">
      <c r="H837" s="27"/>
    </row>
    <row r="838">
      <c r="H838" s="27"/>
    </row>
    <row r="839">
      <c r="H839" s="27"/>
    </row>
    <row r="840">
      <c r="H840" s="27"/>
    </row>
    <row r="841">
      <c r="H841" s="27"/>
    </row>
    <row r="842">
      <c r="H842" s="27"/>
    </row>
    <row r="843">
      <c r="H843" s="27"/>
    </row>
    <row r="844">
      <c r="H844" s="27"/>
    </row>
    <row r="845">
      <c r="H845" s="27"/>
    </row>
    <row r="846">
      <c r="H846" s="27"/>
    </row>
    <row r="847">
      <c r="H847" s="27"/>
    </row>
    <row r="848">
      <c r="H848" s="27"/>
    </row>
    <row r="849">
      <c r="H849" s="27"/>
    </row>
    <row r="850">
      <c r="H850" s="27"/>
    </row>
    <row r="851">
      <c r="H851" s="27"/>
    </row>
    <row r="852">
      <c r="H852" s="27"/>
    </row>
    <row r="853">
      <c r="H853" s="27"/>
    </row>
    <row r="854">
      <c r="H854" s="27"/>
    </row>
    <row r="855">
      <c r="H855" s="27"/>
    </row>
    <row r="856">
      <c r="H856" s="27"/>
    </row>
    <row r="857">
      <c r="H857" s="27"/>
    </row>
    <row r="858">
      <c r="H858" s="27"/>
    </row>
    <row r="859">
      <c r="H859" s="27"/>
    </row>
    <row r="860">
      <c r="H860" s="27"/>
    </row>
    <row r="861">
      <c r="H861" s="27"/>
    </row>
    <row r="862">
      <c r="H862" s="27"/>
    </row>
    <row r="863">
      <c r="H863" s="27"/>
    </row>
    <row r="864">
      <c r="H864" s="27"/>
    </row>
    <row r="865">
      <c r="H865" s="27"/>
    </row>
    <row r="866">
      <c r="H866" s="27"/>
    </row>
    <row r="867">
      <c r="H867" s="27"/>
    </row>
    <row r="868">
      <c r="H868" s="27"/>
    </row>
    <row r="869">
      <c r="H869" s="27"/>
    </row>
    <row r="870">
      <c r="H870" s="27"/>
    </row>
    <row r="871">
      <c r="H871" s="27"/>
    </row>
    <row r="872">
      <c r="H872" s="27"/>
    </row>
    <row r="873">
      <c r="H873" s="27"/>
    </row>
    <row r="874">
      <c r="H874" s="27"/>
    </row>
    <row r="875">
      <c r="H875" s="27"/>
    </row>
    <row r="876">
      <c r="H876" s="27"/>
    </row>
    <row r="877">
      <c r="H877" s="27"/>
    </row>
    <row r="878">
      <c r="H878" s="27"/>
    </row>
    <row r="879">
      <c r="H879" s="27"/>
    </row>
    <row r="880">
      <c r="H880" s="27"/>
    </row>
    <row r="881">
      <c r="H881" s="27"/>
    </row>
    <row r="882">
      <c r="H882" s="27"/>
    </row>
    <row r="883">
      <c r="H883" s="27"/>
    </row>
    <row r="884">
      <c r="H884" s="27"/>
    </row>
    <row r="885">
      <c r="H885" s="27"/>
    </row>
    <row r="886">
      <c r="H886" s="27"/>
    </row>
    <row r="887">
      <c r="H887" s="27"/>
    </row>
    <row r="888">
      <c r="H888" s="27"/>
    </row>
    <row r="889">
      <c r="H889" s="27"/>
    </row>
    <row r="890">
      <c r="H890" s="27"/>
    </row>
    <row r="891">
      <c r="H891" s="27"/>
    </row>
    <row r="892">
      <c r="H892" s="27"/>
    </row>
    <row r="893">
      <c r="H893" s="27"/>
    </row>
    <row r="894">
      <c r="H894" s="27"/>
    </row>
    <row r="895">
      <c r="H895" s="27"/>
    </row>
    <row r="896">
      <c r="H896" s="27"/>
    </row>
    <row r="897">
      <c r="H897" s="27"/>
    </row>
    <row r="898">
      <c r="H898" s="27"/>
    </row>
    <row r="899">
      <c r="H899" s="27"/>
    </row>
    <row r="900">
      <c r="H900" s="27"/>
    </row>
    <row r="901">
      <c r="H901" s="27"/>
    </row>
    <row r="902">
      <c r="H902" s="27"/>
    </row>
    <row r="903">
      <c r="H903" s="27"/>
    </row>
    <row r="904">
      <c r="H904" s="27"/>
    </row>
    <row r="905">
      <c r="H905" s="27"/>
    </row>
    <row r="906">
      <c r="H906" s="27"/>
    </row>
    <row r="907">
      <c r="H907" s="27"/>
    </row>
    <row r="908">
      <c r="H908" s="27"/>
    </row>
    <row r="909">
      <c r="H909" s="27"/>
    </row>
    <row r="910">
      <c r="H910" s="27"/>
    </row>
    <row r="911">
      <c r="H911" s="27"/>
    </row>
    <row r="912">
      <c r="H912" s="27"/>
    </row>
    <row r="913">
      <c r="H913" s="27"/>
    </row>
    <row r="914">
      <c r="H914" s="27"/>
    </row>
    <row r="915">
      <c r="H915" s="27"/>
    </row>
    <row r="916">
      <c r="H916" s="27"/>
    </row>
    <row r="917">
      <c r="H917" s="27"/>
    </row>
    <row r="918">
      <c r="H918" s="27"/>
    </row>
    <row r="919">
      <c r="H919" s="27"/>
    </row>
    <row r="920">
      <c r="H920" s="27"/>
    </row>
    <row r="921">
      <c r="H921" s="27"/>
    </row>
    <row r="922">
      <c r="H922" s="27"/>
    </row>
    <row r="923">
      <c r="H923" s="27"/>
    </row>
    <row r="924">
      <c r="H924" s="27"/>
    </row>
    <row r="925">
      <c r="H925" s="27"/>
    </row>
    <row r="926">
      <c r="H926" s="27"/>
    </row>
    <row r="927">
      <c r="H927" s="27"/>
    </row>
    <row r="928">
      <c r="H928" s="27"/>
    </row>
    <row r="929">
      <c r="H929" s="27"/>
    </row>
    <row r="930">
      <c r="H930" s="27"/>
    </row>
    <row r="931">
      <c r="H931" s="27"/>
    </row>
    <row r="932">
      <c r="H932" s="27"/>
    </row>
    <row r="933">
      <c r="H933" s="27"/>
    </row>
    <row r="934">
      <c r="H934" s="27"/>
    </row>
    <row r="935">
      <c r="H935" s="27"/>
    </row>
    <row r="936">
      <c r="H936" s="27"/>
    </row>
    <row r="937">
      <c r="H937" s="27"/>
    </row>
    <row r="938">
      <c r="H938" s="27"/>
    </row>
    <row r="939">
      <c r="H939" s="27"/>
    </row>
    <row r="940">
      <c r="H940" s="27"/>
    </row>
    <row r="941">
      <c r="H941" s="27"/>
    </row>
    <row r="942">
      <c r="H942" s="27"/>
    </row>
    <row r="943">
      <c r="H943" s="27"/>
    </row>
    <row r="944">
      <c r="H944" s="27"/>
    </row>
    <row r="945">
      <c r="H945" s="27"/>
    </row>
    <row r="946">
      <c r="H946" s="27"/>
    </row>
    <row r="947">
      <c r="H947" s="27"/>
    </row>
    <row r="948">
      <c r="H948" s="27"/>
    </row>
    <row r="949">
      <c r="H949" s="27"/>
    </row>
    <row r="950">
      <c r="H950" s="27"/>
    </row>
    <row r="951">
      <c r="H951" s="27"/>
    </row>
    <row r="952">
      <c r="H952" s="27"/>
    </row>
    <row r="953">
      <c r="H953" s="27"/>
    </row>
    <row r="954">
      <c r="H954" s="27"/>
    </row>
    <row r="955">
      <c r="H955" s="27"/>
    </row>
    <row r="956">
      <c r="H956" s="27"/>
    </row>
    <row r="957">
      <c r="H957" s="27"/>
    </row>
    <row r="958">
      <c r="H958" s="27"/>
    </row>
    <row r="959">
      <c r="H959" s="27"/>
    </row>
    <row r="960">
      <c r="H960" s="27"/>
    </row>
    <row r="961">
      <c r="H961" s="27"/>
    </row>
    <row r="962">
      <c r="H962" s="27"/>
    </row>
    <row r="963">
      <c r="H963" s="27"/>
    </row>
    <row r="964">
      <c r="H964" s="27"/>
    </row>
    <row r="965">
      <c r="H965" s="27"/>
    </row>
    <row r="966">
      <c r="H966" s="27"/>
    </row>
    <row r="967">
      <c r="H967" s="27"/>
    </row>
    <row r="968">
      <c r="H968" s="27"/>
    </row>
    <row r="969">
      <c r="H969" s="27"/>
    </row>
    <row r="970">
      <c r="H970" s="27"/>
    </row>
    <row r="971">
      <c r="H971" s="27"/>
    </row>
    <row r="972">
      <c r="H972" s="27"/>
    </row>
    <row r="973">
      <c r="H973" s="27"/>
    </row>
    <row r="974">
      <c r="H974" s="27"/>
    </row>
    <row r="975">
      <c r="H975" s="27"/>
    </row>
    <row r="976">
      <c r="H976" s="27"/>
    </row>
    <row r="977">
      <c r="H977" s="27"/>
    </row>
    <row r="978">
      <c r="H978" s="27"/>
    </row>
    <row r="979">
      <c r="H979" s="27"/>
    </row>
    <row r="980">
      <c r="H980" s="27"/>
    </row>
    <row r="981">
      <c r="H981" s="27"/>
    </row>
    <row r="982">
      <c r="H982" s="27"/>
    </row>
    <row r="983">
      <c r="H983" s="27"/>
    </row>
    <row r="984">
      <c r="H984" s="27"/>
    </row>
    <row r="985">
      <c r="H985" s="27"/>
    </row>
    <row r="986">
      <c r="H986" s="27"/>
    </row>
    <row r="987">
      <c r="H987" s="27"/>
    </row>
    <row r="988">
      <c r="H988" s="27"/>
    </row>
    <row r="989">
      <c r="H989" s="27"/>
    </row>
    <row r="990">
      <c r="H990" s="27"/>
    </row>
    <row r="991">
      <c r="H991" s="27"/>
    </row>
    <row r="992">
      <c r="H992" s="27"/>
    </row>
    <row r="993">
      <c r="H993" s="27"/>
    </row>
    <row r="994">
      <c r="H994" s="27"/>
    </row>
    <row r="995">
      <c r="H995" s="27"/>
    </row>
    <row r="996">
      <c r="H996" s="27"/>
    </row>
    <row r="997">
      <c r="H997" s="27"/>
    </row>
    <row r="998">
      <c r="H998" s="27"/>
    </row>
    <row r="999">
      <c r="H999" s="27"/>
    </row>
    <row r="1000">
      <c r="H1000" s="27"/>
    </row>
    <row r="1001">
      <c r="H1001" s="27"/>
    </row>
  </sheetData>
  <conditionalFormatting sqref="D41:E41 F50">
    <cfRule type="cellIs" dxfId="0" priority="1" operator="lessThan">
      <formula>0</formula>
    </cfRule>
  </conditionalFormatting>
  <conditionalFormatting sqref="D50:E50">
    <cfRule type="cellIs" dxfId="0" priority="2" operator="lessThan">
      <formula>0</formula>
    </cfRule>
  </conditionalFormatting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9.38"/>
    <col customWidth="1" min="9" max="9" width="20.63"/>
    <col customWidth="1" min="10" max="10" width="11.25"/>
    <col customWidth="1" min="11" max="11" width="9.25"/>
    <col customWidth="1" min="12" max="13" width="9.5"/>
  </cols>
  <sheetData>
    <row r="1">
      <c r="A1" s="18" t="s">
        <v>346</v>
      </c>
      <c r="B1" s="199" t="s">
        <v>296</v>
      </c>
      <c r="I1" s="107"/>
    </row>
    <row r="2">
      <c r="B2" s="18" t="s">
        <v>240</v>
      </c>
      <c r="C2" s="249">
        <v>13.0</v>
      </c>
      <c r="I2" s="27"/>
    </row>
    <row r="3">
      <c r="B3" s="18" t="s">
        <v>241</v>
      </c>
      <c r="C3" s="249">
        <f>62.92/2</f>
        <v>31.46</v>
      </c>
      <c r="I3" s="27"/>
    </row>
    <row r="4">
      <c r="B4" s="18" t="s">
        <v>242</v>
      </c>
      <c r="C4" s="249">
        <v>13.0</v>
      </c>
      <c r="I4" s="27"/>
      <c r="J4" s="107"/>
      <c r="K4" s="107"/>
      <c r="N4" s="17"/>
    </row>
    <row r="5">
      <c r="B5" s="18" t="s">
        <v>285</v>
      </c>
      <c r="C5" s="249">
        <v>42.0</v>
      </c>
      <c r="I5" s="27"/>
      <c r="J5" s="107"/>
      <c r="K5" s="107"/>
      <c r="N5" s="32"/>
    </row>
    <row r="6">
      <c r="B6" s="18" t="s">
        <v>324</v>
      </c>
      <c r="C6" s="249">
        <v>6.0</v>
      </c>
      <c r="I6" s="301" t="s">
        <v>325</v>
      </c>
      <c r="J6" s="107"/>
      <c r="K6" s="107"/>
      <c r="N6" s="30"/>
    </row>
    <row r="7">
      <c r="C7" s="276">
        <f>SUM(C2:C6)</f>
        <v>105.46</v>
      </c>
      <c r="I7" s="302" t="s">
        <v>119</v>
      </c>
      <c r="J7" s="302" t="s">
        <v>120</v>
      </c>
      <c r="K7" s="27"/>
    </row>
    <row r="8">
      <c r="G8" s="18" t="s">
        <v>366</v>
      </c>
      <c r="I8" s="7" t="s">
        <v>347</v>
      </c>
      <c r="J8" s="7" t="s">
        <v>348</v>
      </c>
      <c r="K8" s="107"/>
    </row>
    <row r="9">
      <c r="B9" s="55" t="s">
        <v>122</v>
      </c>
      <c r="C9" s="56"/>
      <c r="D9" s="254" t="s">
        <v>134</v>
      </c>
      <c r="E9" s="254" t="s">
        <v>123</v>
      </c>
      <c r="F9" s="253" t="s">
        <v>124</v>
      </c>
      <c r="G9" s="254" t="s">
        <v>125</v>
      </c>
      <c r="I9" s="7" t="s">
        <v>328</v>
      </c>
      <c r="J9" s="7" t="s">
        <v>349</v>
      </c>
      <c r="K9" s="107"/>
      <c r="M9" s="18"/>
      <c r="N9" s="18"/>
    </row>
    <row r="10">
      <c r="B10" s="59" t="s">
        <v>129</v>
      </c>
      <c r="C10" s="60"/>
      <c r="D10" s="113">
        <v>8257.5</v>
      </c>
      <c r="E10" s="113">
        <v>8402.25</v>
      </c>
      <c r="F10" s="113">
        <v>8402.25</v>
      </c>
      <c r="G10" s="113">
        <v>8402.25</v>
      </c>
      <c r="I10" s="7"/>
      <c r="J10" s="7" t="s">
        <v>192</v>
      </c>
      <c r="K10" s="107"/>
      <c r="M10" s="18"/>
    </row>
    <row r="11">
      <c r="B11" s="59" t="s">
        <v>136</v>
      </c>
      <c r="C11" s="60"/>
      <c r="D11" s="114">
        <f>2040+3294.58</f>
        <v>5334.58</v>
      </c>
      <c r="E11" s="114">
        <f>2040+3421.67</f>
        <v>5461.67</v>
      </c>
      <c r="F11" s="114">
        <v>5721.67</v>
      </c>
      <c r="G11" s="114">
        <v>5721.67</v>
      </c>
      <c r="I11" s="303"/>
      <c r="J11" s="107"/>
      <c r="K11" s="27"/>
      <c r="M11" s="18"/>
    </row>
    <row r="12">
      <c r="B12" s="59" t="s">
        <v>137</v>
      </c>
      <c r="C12" s="60"/>
      <c r="D12" s="313"/>
      <c r="E12" s="114"/>
      <c r="F12" s="114"/>
      <c r="G12" s="114"/>
      <c r="I12" s="363"/>
      <c r="J12" s="107"/>
      <c r="K12" s="107"/>
      <c r="M12" s="18"/>
    </row>
    <row r="13">
      <c r="B13" s="59" t="s">
        <v>138</v>
      </c>
      <c r="C13" s="60"/>
      <c r="D13" s="348"/>
      <c r="E13" s="117"/>
      <c r="F13" s="117"/>
      <c r="G13" s="114">
        <v>7291.58</v>
      </c>
      <c r="I13" s="32"/>
      <c r="J13" s="107"/>
      <c r="K13" s="107"/>
      <c r="M13" s="18"/>
    </row>
    <row r="14">
      <c r="B14" s="67" t="s">
        <v>139</v>
      </c>
      <c r="C14" s="68"/>
      <c r="D14" s="315">
        <f t="shared" ref="D14:G14" si="1">SUM(D10:D13)</f>
        <v>13592.08</v>
      </c>
      <c r="E14" s="315">
        <f t="shared" si="1"/>
        <v>13863.92</v>
      </c>
      <c r="F14" s="119">
        <f t="shared" si="1"/>
        <v>14123.92</v>
      </c>
      <c r="G14" s="119">
        <f t="shared" si="1"/>
        <v>21415.5</v>
      </c>
      <c r="I14" s="248"/>
      <c r="J14" s="107"/>
      <c r="K14" s="107"/>
      <c r="M14" s="18"/>
      <c r="N14" s="12">
        <f>150-54.2</f>
        <v>95.8</v>
      </c>
      <c r="P14" s="107"/>
    </row>
    <row r="15">
      <c r="D15" s="311"/>
      <c r="E15" s="311"/>
      <c r="I15" s="32"/>
      <c r="J15" s="107"/>
      <c r="M15" s="18"/>
      <c r="P15" s="27"/>
    </row>
    <row r="16">
      <c r="B16" s="70" t="s">
        <v>140</v>
      </c>
      <c r="C16" s="71"/>
      <c r="D16" s="316" t="s">
        <v>123</v>
      </c>
      <c r="E16" s="316" t="s">
        <v>124</v>
      </c>
      <c r="F16" s="316" t="s">
        <v>125</v>
      </c>
      <c r="G16" s="316" t="s">
        <v>126</v>
      </c>
      <c r="I16" s="107"/>
      <c r="J16" s="26"/>
      <c r="K16" s="107"/>
      <c r="M16" s="18"/>
    </row>
    <row r="17">
      <c r="B17" s="121" t="s">
        <v>141</v>
      </c>
      <c r="C17" s="122"/>
      <c r="D17" s="378">
        <v>350.0</v>
      </c>
      <c r="E17" s="378">
        <v>350.0</v>
      </c>
      <c r="F17" s="123">
        <v>350.0</v>
      </c>
      <c r="G17" s="378">
        <v>350.0</v>
      </c>
      <c r="I17" s="107" t="s">
        <v>331</v>
      </c>
      <c r="J17" s="192"/>
      <c r="M17" s="18"/>
    </row>
    <row r="18">
      <c r="B18" s="121" t="s">
        <v>142</v>
      </c>
      <c r="C18" s="122"/>
      <c r="D18" s="378">
        <v>200.0</v>
      </c>
      <c r="E18" s="378">
        <v>200.0</v>
      </c>
      <c r="F18" s="123">
        <v>200.0</v>
      </c>
      <c r="G18" s="378">
        <v>200.0</v>
      </c>
      <c r="I18" s="192"/>
      <c r="J18" s="26" t="s">
        <v>27</v>
      </c>
      <c r="K18" s="26" t="s">
        <v>274</v>
      </c>
      <c r="L18" s="26" t="s">
        <v>351</v>
      </c>
      <c r="M18" s="26" t="s">
        <v>333</v>
      </c>
      <c r="N18" s="26" t="s">
        <v>367</v>
      </c>
      <c r="O18" s="376" t="s">
        <v>368</v>
      </c>
      <c r="P18" s="26" t="s">
        <v>48</v>
      </c>
      <c r="Q18" s="18" t="s">
        <v>369</v>
      </c>
    </row>
    <row r="19">
      <c r="B19" s="121" t="s">
        <v>143</v>
      </c>
      <c r="C19" s="122"/>
      <c r="D19" s="379">
        <v>174.85</v>
      </c>
      <c r="E19" s="379">
        <v>174.85</v>
      </c>
      <c r="F19" s="125">
        <v>174.85</v>
      </c>
      <c r="G19" s="379">
        <v>174.85</v>
      </c>
      <c r="I19" s="121" t="s">
        <v>141</v>
      </c>
      <c r="K19" s="27"/>
      <c r="L19" s="123"/>
      <c r="M19" s="247"/>
      <c r="N19" s="27"/>
      <c r="O19" s="27"/>
      <c r="P19" s="27"/>
      <c r="Q19" s="27"/>
    </row>
    <row r="20">
      <c r="B20" s="121" t="s">
        <v>144</v>
      </c>
      <c r="C20" s="122"/>
      <c r="D20" s="378">
        <v>100.0</v>
      </c>
      <c r="E20" s="378">
        <v>100.0</v>
      </c>
      <c r="F20" s="123">
        <v>100.0</v>
      </c>
      <c r="G20" s="378">
        <v>100.0</v>
      </c>
      <c r="I20" s="121" t="s">
        <v>142</v>
      </c>
      <c r="K20" s="27"/>
      <c r="L20" s="123">
        <v>200.0</v>
      </c>
      <c r="M20" s="247"/>
      <c r="N20" s="27"/>
      <c r="O20" s="27"/>
      <c r="P20" s="27"/>
      <c r="Q20" s="27"/>
    </row>
    <row r="21">
      <c r="B21" s="121" t="s">
        <v>145</v>
      </c>
      <c r="C21" s="122"/>
      <c r="D21" s="378">
        <v>2500.0</v>
      </c>
      <c r="E21" s="378">
        <v>2500.0</v>
      </c>
      <c r="F21" s="123">
        <v>2500.0</v>
      </c>
      <c r="G21" s="378">
        <v>0.0</v>
      </c>
      <c r="I21" s="121" t="s">
        <v>143</v>
      </c>
      <c r="K21" s="27"/>
      <c r="L21" s="125"/>
      <c r="M21" s="247"/>
      <c r="N21" s="305"/>
      <c r="O21" s="27"/>
      <c r="P21" s="27"/>
      <c r="Q21" s="27"/>
    </row>
    <row r="22">
      <c r="B22" s="121" t="s">
        <v>146</v>
      </c>
      <c r="C22" s="126" t="s">
        <v>147</v>
      </c>
      <c r="D22" s="378">
        <v>400.0</v>
      </c>
      <c r="E22" s="378">
        <v>400.0</v>
      </c>
      <c r="F22" s="123">
        <v>404.8</v>
      </c>
      <c r="G22" s="378">
        <v>400.0</v>
      </c>
      <c r="I22" s="121" t="s">
        <v>144</v>
      </c>
      <c r="K22" s="27"/>
      <c r="L22" s="123">
        <v>100.0</v>
      </c>
      <c r="M22" s="247"/>
      <c r="N22" s="27"/>
      <c r="O22" s="27"/>
      <c r="P22" s="27"/>
      <c r="Q22" s="27"/>
    </row>
    <row r="23">
      <c r="B23" s="127" t="s">
        <v>180</v>
      </c>
      <c r="C23" s="128"/>
      <c r="D23" s="378">
        <v>0.0</v>
      </c>
      <c r="E23" s="378">
        <v>0.0</v>
      </c>
      <c r="F23" s="129">
        <v>0.0</v>
      </c>
      <c r="G23" s="378">
        <v>0.0</v>
      </c>
      <c r="I23" s="121" t="s">
        <v>145</v>
      </c>
      <c r="K23" s="27"/>
      <c r="L23" s="378" t="s">
        <v>375</v>
      </c>
      <c r="M23" s="378"/>
      <c r="N23" s="27"/>
      <c r="O23" s="27"/>
      <c r="P23" s="27"/>
      <c r="Q23" s="27"/>
    </row>
    <row r="24">
      <c r="B24" s="121" t="s">
        <v>148</v>
      </c>
      <c r="C24" s="122"/>
      <c r="D24" s="378">
        <v>500.0</v>
      </c>
      <c r="E24" s="378">
        <v>500.0</v>
      </c>
      <c r="F24" s="123">
        <v>500.0</v>
      </c>
      <c r="G24" s="378">
        <v>500.0</v>
      </c>
      <c r="I24" s="121" t="s">
        <v>146</v>
      </c>
      <c r="J24" s="378">
        <v>204.8</v>
      </c>
      <c r="K24" s="378">
        <v>200.0</v>
      </c>
      <c r="L24" s="27"/>
      <c r="M24" s="247"/>
      <c r="N24" s="27"/>
      <c r="O24" s="27"/>
      <c r="P24" s="27"/>
      <c r="Q24" s="27"/>
    </row>
    <row r="25">
      <c r="B25" s="121" t="s">
        <v>149</v>
      </c>
      <c r="C25" s="122"/>
      <c r="D25" s="378">
        <v>500.0</v>
      </c>
      <c r="E25" s="378">
        <v>500.0</v>
      </c>
      <c r="F25" s="123">
        <v>500.0</v>
      </c>
      <c r="G25" s="378">
        <v>500.0</v>
      </c>
      <c r="I25" s="127" t="s">
        <v>180</v>
      </c>
      <c r="J25" s="378"/>
      <c r="K25" s="378"/>
      <c r="L25" s="372"/>
      <c r="M25" s="247"/>
      <c r="N25" s="27"/>
      <c r="O25" s="27"/>
      <c r="P25" s="27"/>
      <c r="Q25" s="27"/>
      <c r="S25" s="18">
        <v>1500.0</v>
      </c>
    </row>
    <row r="26">
      <c r="B26" s="127" t="s">
        <v>181</v>
      </c>
      <c r="C26" s="128"/>
      <c r="D26" s="378">
        <v>650.0</v>
      </c>
      <c r="E26" s="378">
        <v>150.0</v>
      </c>
      <c r="F26" s="129">
        <v>150.0</v>
      </c>
      <c r="G26" s="378">
        <v>150.0</v>
      </c>
      <c r="I26" s="121" t="s">
        <v>148</v>
      </c>
      <c r="K26" s="27"/>
      <c r="L26" s="123">
        <v>500.0</v>
      </c>
      <c r="M26" s="247"/>
      <c r="N26" s="27"/>
      <c r="O26" s="27"/>
      <c r="P26" s="27"/>
      <c r="Q26" s="27"/>
      <c r="S26" s="18">
        <v>36.0</v>
      </c>
    </row>
    <row r="27">
      <c r="B27" s="121" t="s">
        <v>150</v>
      </c>
      <c r="C27" s="122"/>
      <c r="D27" s="378">
        <v>400.0</v>
      </c>
      <c r="E27" s="378">
        <v>400.0</v>
      </c>
      <c r="F27" s="123">
        <v>400.0</v>
      </c>
      <c r="G27" s="378">
        <v>400.0</v>
      </c>
      <c r="I27" s="121" t="s">
        <v>149</v>
      </c>
      <c r="K27" s="27"/>
      <c r="L27" s="123">
        <v>500.0</v>
      </c>
      <c r="M27" s="247"/>
      <c r="N27" s="27"/>
      <c r="O27" s="27"/>
      <c r="P27" s="27"/>
      <c r="Q27" s="27"/>
    </row>
    <row r="28">
      <c r="B28" s="127" t="s">
        <v>183</v>
      </c>
      <c r="C28" s="128"/>
      <c r="D28" s="378">
        <v>400.0</v>
      </c>
      <c r="E28" s="378">
        <v>400.0</v>
      </c>
      <c r="F28" s="129">
        <v>400.0</v>
      </c>
      <c r="G28" s="378">
        <v>400.0</v>
      </c>
      <c r="I28" s="127" t="s">
        <v>181</v>
      </c>
      <c r="K28" s="27"/>
      <c r="L28" s="129">
        <v>150.0</v>
      </c>
      <c r="M28" s="247"/>
      <c r="N28" s="27"/>
      <c r="O28" s="27"/>
      <c r="P28" s="27"/>
      <c r="Q28" s="27"/>
    </row>
    <row r="29">
      <c r="B29" s="121" t="s">
        <v>152</v>
      </c>
      <c r="C29" s="122"/>
      <c r="D29" s="390"/>
      <c r="E29" s="390"/>
      <c r="F29" s="123"/>
      <c r="G29" s="378"/>
      <c r="I29" s="121" t="s">
        <v>150</v>
      </c>
      <c r="K29" s="378">
        <v>400.0</v>
      </c>
      <c r="L29" s="27"/>
      <c r="M29" s="247"/>
      <c r="N29" s="27"/>
      <c r="O29" s="27"/>
      <c r="P29" s="27"/>
      <c r="Q29" s="27"/>
      <c r="S29" s="12">
        <f>S25-S26</f>
        <v>1464</v>
      </c>
    </row>
    <row r="30">
      <c r="B30" s="121" t="s">
        <v>154</v>
      </c>
      <c r="C30" s="122"/>
      <c r="D30" s="378">
        <v>122.0</v>
      </c>
      <c r="E30" s="378">
        <v>105.46</v>
      </c>
      <c r="F30" s="123">
        <v>105.46</v>
      </c>
      <c r="G30" s="378">
        <v>105.46</v>
      </c>
      <c r="I30" s="127" t="s">
        <v>183</v>
      </c>
      <c r="K30" s="27"/>
      <c r="L30" s="247"/>
      <c r="M30" s="247"/>
      <c r="N30" s="107"/>
      <c r="O30" s="378">
        <v>400.0</v>
      </c>
      <c r="P30" s="27"/>
      <c r="Q30" s="27"/>
      <c r="S30" s="12">
        <f>13+36</f>
        <v>49</v>
      </c>
    </row>
    <row r="31">
      <c r="B31" s="121" t="s">
        <v>155</v>
      </c>
      <c r="C31" s="122"/>
      <c r="D31" s="390"/>
      <c r="E31" s="390"/>
      <c r="F31" s="131"/>
      <c r="G31" s="390"/>
      <c r="I31" s="121" t="s">
        <v>152</v>
      </c>
      <c r="J31" s="378"/>
      <c r="K31" s="378"/>
      <c r="L31" s="383"/>
      <c r="M31" s="372"/>
      <c r="N31" s="27"/>
      <c r="O31" s="27"/>
      <c r="P31" s="27"/>
      <c r="Q31" s="27"/>
    </row>
    <row r="32">
      <c r="B32" s="121" t="s">
        <v>156</v>
      </c>
      <c r="C32" s="122"/>
      <c r="D32" s="378">
        <v>150.0</v>
      </c>
      <c r="E32" s="378">
        <v>150.0</v>
      </c>
      <c r="F32" s="123"/>
      <c r="G32" s="378">
        <v>150.0</v>
      </c>
      <c r="I32" s="121" t="s">
        <v>154</v>
      </c>
      <c r="J32" s="378">
        <v>92.46</v>
      </c>
      <c r="K32" s="378">
        <v>13.0</v>
      </c>
      <c r="L32" s="383"/>
      <c r="M32" s="247"/>
      <c r="N32" s="27"/>
      <c r="O32" s="378"/>
      <c r="P32" s="27"/>
      <c r="Q32" s="27"/>
      <c r="R32" s="32"/>
    </row>
    <row r="33">
      <c r="B33" s="121" t="s">
        <v>157</v>
      </c>
      <c r="C33" s="122"/>
      <c r="D33" s="378">
        <v>50.0</v>
      </c>
      <c r="E33" s="378">
        <v>50.0</v>
      </c>
      <c r="F33" s="123">
        <v>50.0</v>
      </c>
      <c r="G33" s="378">
        <v>50.0</v>
      </c>
      <c r="I33" s="121" t="s">
        <v>155</v>
      </c>
      <c r="J33" s="390"/>
      <c r="K33" s="378"/>
      <c r="L33" s="383"/>
      <c r="M33" s="247"/>
      <c r="N33" s="107"/>
      <c r="O33" s="27"/>
      <c r="P33" s="27"/>
      <c r="Q33" s="378"/>
      <c r="S33" s="18"/>
    </row>
    <row r="34">
      <c r="B34" s="121" t="s">
        <v>158</v>
      </c>
      <c r="C34" s="122"/>
      <c r="D34" s="390"/>
      <c r="E34" s="390"/>
      <c r="F34" s="131"/>
      <c r="G34" s="390"/>
      <c r="I34" s="121" t="s">
        <v>156</v>
      </c>
      <c r="J34" s="378"/>
      <c r="K34" s="378"/>
      <c r="L34" s="247"/>
      <c r="M34" s="247"/>
      <c r="N34" s="107"/>
      <c r="O34" s="27"/>
      <c r="P34" s="27"/>
      <c r="Q34" s="27"/>
      <c r="S34" s="18"/>
    </row>
    <row r="35">
      <c r="B35" s="121" t="s">
        <v>159</v>
      </c>
      <c r="C35" s="122"/>
      <c r="D35" s="378">
        <f t="shared" ref="D35:E35" si="2">400+400+150</f>
        <v>950</v>
      </c>
      <c r="E35" s="378">
        <f t="shared" si="2"/>
        <v>950</v>
      </c>
      <c r="F35" s="123">
        <v>950.0</v>
      </c>
      <c r="G35" s="378">
        <v>950.0</v>
      </c>
      <c r="I35" s="121" t="s">
        <v>157</v>
      </c>
      <c r="K35" s="378"/>
      <c r="L35" s="247"/>
      <c r="M35" s="247"/>
      <c r="N35" s="107"/>
      <c r="O35" s="27"/>
      <c r="P35" s="27"/>
      <c r="Q35" s="381">
        <v>50.0</v>
      </c>
    </row>
    <row r="36">
      <c r="B36" s="121" t="s">
        <v>160</v>
      </c>
      <c r="C36" s="122"/>
      <c r="D36" s="378">
        <v>3000.0</v>
      </c>
      <c r="E36" s="378">
        <v>3000.0</v>
      </c>
      <c r="F36" s="123">
        <v>3000.0</v>
      </c>
      <c r="G36" s="378">
        <v>3000.0</v>
      </c>
      <c r="I36" s="121" t="s">
        <v>158</v>
      </c>
      <c r="J36" s="390"/>
      <c r="K36" s="378"/>
      <c r="L36" s="27"/>
      <c r="M36" s="378"/>
      <c r="N36" s="27"/>
      <c r="O36" s="27"/>
      <c r="P36" s="27"/>
      <c r="Q36" s="27"/>
    </row>
    <row r="37">
      <c r="B37" s="127" t="s">
        <v>184</v>
      </c>
      <c r="C37" s="128"/>
      <c r="D37" s="377">
        <v>1087.8499999999985</v>
      </c>
      <c r="E37" s="378">
        <v>700.0</v>
      </c>
      <c r="F37" s="129">
        <v>700.0</v>
      </c>
      <c r="G37" s="378">
        <v>700.0</v>
      </c>
      <c r="I37" s="121" t="s">
        <v>159</v>
      </c>
      <c r="J37" s="378">
        <v>400.0</v>
      </c>
      <c r="K37" s="378">
        <v>550.0</v>
      </c>
      <c r="L37" s="27"/>
      <c r="M37" s="27"/>
      <c r="N37" s="378"/>
      <c r="O37" s="27"/>
      <c r="P37" s="27"/>
      <c r="Q37" s="27"/>
    </row>
    <row r="38">
      <c r="B38" s="127" t="s">
        <v>3</v>
      </c>
      <c r="C38" s="128"/>
      <c r="D38" s="378">
        <v>500.0</v>
      </c>
      <c r="E38" s="378">
        <v>500.0</v>
      </c>
      <c r="F38" s="129">
        <v>500.0</v>
      </c>
      <c r="G38" s="378">
        <v>500.0</v>
      </c>
      <c r="I38" s="121" t="s">
        <v>160</v>
      </c>
      <c r="J38" s="378">
        <v>1500.0</v>
      </c>
      <c r="K38" s="378">
        <v>1500.0</v>
      </c>
      <c r="L38" s="27"/>
      <c r="M38" s="27"/>
      <c r="N38" s="27"/>
      <c r="O38" s="27"/>
      <c r="P38" s="107"/>
      <c r="Q38" s="27"/>
    </row>
    <row r="39">
      <c r="B39" s="67" t="s">
        <v>161</v>
      </c>
      <c r="C39" s="68"/>
      <c r="D39" s="132">
        <f t="shared" ref="D39:G39" si="3">SUM(D17:D38)*-1</f>
        <v>-12034.7</v>
      </c>
      <c r="E39" s="132">
        <f t="shared" si="3"/>
        <v>-11130.31</v>
      </c>
      <c r="F39" s="132">
        <f t="shared" si="3"/>
        <v>-10985.11</v>
      </c>
      <c r="G39" s="132">
        <f t="shared" si="3"/>
        <v>-8630.31</v>
      </c>
      <c r="I39" s="127" t="s">
        <v>184</v>
      </c>
      <c r="M39" s="378">
        <v>700.0</v>
      </c>
    </row>
    <row r="40">
      <c r="I40" s="127" t="s">
        <v>3</v>
      </c>
      <c r="N40" s="378">
        <v>500.0</v>
      </c>
      <c r="P40" s="378"/>
    </row>
    <row r="41">
      <c r="B41" s="80" t="s">
        <v>162</v>
      </c>
      <c r="C41" s="81"/>
      <c r="D41" s="82">
        <f t="shared" ref="D41:G41" si="4">D14+D39</f>
        <v>1557.38</v>
      </c>
      <c r="E41" s="82">
        <f t="shared" si="4"/>
        <v>2733.61</v>
      </c>
      <c r="F41" s="82">
        <f t="shared" si="4"/>
        <v>3138.81</v>
      </c>
      <c r="G41" s="82">
        <f t="shared" si="4"/>
        <v>12785.19</v>
      </c>
      <c r="N41" s="378">
        <v>1000.0</v>
      </c>
      <c r="P41" s="378">
        <v>2138.81</v>
      </c>
    </row>
    <row r="42">
      <c r="B42" s="83"/>
      <c r="C42" s="83"/>
      <c r="D42" s="84"/>
      <c r="E42" s="84"/>
      <c r="F42" s="84"/>
      <c r="G42" s="84"/>
      <c r="I42" s="7" t="s">
        <v>26</v>
      </c>
      <c r="J42" s="325">
        <f t="shared" ref="J42:Q42" si="5">SUM(J19:J41)</f>
        <v>2197.26</v>
      </c>
      <c r="K42" s="325">
        <f t="shared" si="5"/>
        <v>2663</v>
      </c>
      <c r="L42" s="373">
        <f t="shared" si="5"/>
        <v>1450</v>
      </c>
      <c r="M42" s="325">
        <f t="shared" si="5"/>
        <v>700</v>
      </c>
      <c r="N42" s="325">
        <f t="shared" si="5"/>
        <v>1500</v>
      </c>
      <c r="O42" s="325">
        <f t="shared" si="5"/>
        <v>400</v>
      </c>
      <c r="P42" s="325">
        <f t="shared" si="5"/>
        <v>2138.81</v>
      </c>
      <c r="Q42" s="325">
        <f t="shared" si="5"/>
        <v>50</v>
      </c>
    </row>
    <row r="43">
      <c r="B43" s="85" t="s">
        <v>163</v>
      </c>
      <c r="C43" s="86"/>
      <c r="D43" s="57" t="s">
        <v>123</v>
      </c>
      <c r="E43" s="57" t="s">
        <v>124</v>
      </c>
      <c r="F43" s="57" t="s">
        <v>125</v>
      </c>
      <c r="G43" s="57" t="s">
        <v>126</v>
      </c>
      <c r="I43" s="107" t="s">
        <v>371</v>
      </c>
      <c r="J43" s="391">
        <f>F10-J42</f>
        <v>6204.99</v>
      </c>
      <c r="K43" s="386"/>
      <c r="L43" s="287"/>
    </row>
    <row r="44">
      <c r="B44" s="87" t="s">
        <v>185</v>
      </c>
      <c r="C44" s="88"/>
      <c r="D44" s="89"/>
      <c r="E44" s="89"/>
      <c r="F44" s="89"/>
      <c r="G44" s="134">
        <v>512.38</v>
      </c>
      <c r="I44" s="325" t="s">
        <v>353</v>
      </c>
    </row>
    <row r="45">
      <c r="A45" s="298">
        <v>45020.0</v>
      </c>
      <c r="B45" s="87" t="s">
        <v>58</v>
      </c>
      <c r="C45" s="88"/>
      <c r="D45" s="91"/>
      <c r="E45" s="91"/>
      <c r="F45" s="91"/>
      <c r="G45" s="91"/>
      <c r="I45" s="107"/>
    </row>
    <row r="46">
      <c r="B46" s="87"/>
      <c r="C46" s="88"/>
      <c r="D46" s="91"/>
      <c r="E46" s="91"/>
      <c r="F46" s="91"/>
      <c r="G46" s="91"/>
      <c r="I46" s="107"/>
    </row>
    <row r="47">
      <c r="B47" s="92"/>
      <c r="C47" s="93"/>
      <c r="D47" s="94"/>
      <c r="E47" s="94"/>
      <c r="F47" s="94"/>
      <c r="G47" s="94"/>
      <c r="I47" s="107"/>
      <c r="M47" s="387"/>
      <c r="P47" s="387"/>
    </row>
    <row r="48">
      <c r="B48" s="67" t="s">
        <v>167</v>
      </c>
      <c r="C48" s="95">
        <f>SUM(C44:C47)</f>
        <v>0</v>
      </c>
      <c r="D48" s="78">
        <f t="shared" ref="D48:G48" si="6">SUM(D44:D47)*-1</f>
        <v>0</v>
      </c>
      <c r="E48" s="78">
        <f t="shared" si="6"/>
        <v>0</v>
      </c>
      <c r="F48" s="78">
        <f t="shared" si="6"/>
        <v>0</v>
      </c>
      <c r="G48" s="78">
        <f t="shared" si="6"/>
        <v>-512.38</v>
      </c>
      <c r="I48" s="394" t="s">
        <v>48</v>
      </c>
      <c r="J48" s="395">
        <v>3138.81</v>
      </c>
      <c r="K48" s="389" t="s">
        <v>370</v>
      </c>
      <c r="L48" s="389"/>
    </row>
    <row r="49">
      <c r="B49" s="83"/>
      <c r="C49" s="83"/>
      <c r="D49" s="96"/>
      <c r="E49" s="96"/>
      <c r="F49" s="96"/>
      <c r="G49" s="96"/>
      <c r="I49" s="107"/>
      <c r="J49" s="18" t="s">
        <v>376</v>
      </c>
    </row>
    <row r="50">
      <c r="B50" s="97" t="s">
        <v>168</v>
      </c>
      <c r="C50" s="98"/>
      <c r="D50" s="99">
        <f t="shared" ref="D50:G50" si="7">D41+D48</f>
        <v>1557.38</v>
      </c>
      <c r="E50" s="99">
        <f t="shared" si="7"/>
        <v>2733.61</v>
      </c>
      <c r="F50" s="99">
        <f t="shared" si="7"/>
        <v>3138.81</v>
      </c>
      <c r="G50" s="99">
        <f t="shared" si="7"/>
        <v>12272.81</v>
      </c>
      <c r="I50" s="107"/>
      <c r="J50" s="107"/>
    </row>
    <row r="51">
      <c r="B51" s="83"/>
      <c r="C51" s="83"/>
      <c r="D51" s="96"/>
      <c r="E51" s="96"/>
      <c r="F51" s="96"/>
      <c r="G51" s="96"/>
      <c r="I51" s="107"/>
      <c r="J51" s="18"/>
    </row>
    <row r="52">
      <c r="B52" s="100" t="s">
        <v>169</v>
      </c>
      <c r="C52" s="101"/>
      <c r="D52" s="57" t="s">
        <v>123</v>
      </c>
      <c r="E52" s="57" t="s">
        <v>124</v>
      </c>
      <c r="F52" s="57" t="s">
        <v>125</v>
      </c>
      <c r="G52" s="57" t="s">
        <v>125</v>
      </c>
      <c r="I52" s="107"/>
      <c r="J52" s="18"/>
    </row>
    <row r="53">
      <c r="B53" s="102" t="s">
        <v>170</v>
      </c>
      <c r="C53" s="103"/>
      <c r="D53" s="104"/>
      <c r="E53" s="105">
        <v>0.0</v>
      </c>
      <c r="F53" s="105"/>
      <c r="G53" s="105">
        <f>F55</f>
        <v>3138.81</v>
      </c>
      <c r="I53" s="27"/>
    </row>
    <row r="54">
      <c r="B54" s="102" t="s">
        <v>171</v>
      </c>
      <c r="C54" s="103"/>
      <c r="D54" s="106">
        <f>+D50</f>
        <v>1557.38</v>
      </c>
      <c r="E54" s="106">
        <v>1572.02</v>
      </c>
      <c r="F54" s="106">
        <f t="shared" ref="F54:G54" si="8">+F50</f>
        <v>3138.81</v>
      </c>
      <c r="G54" s="106">
        <f t="shared" si="8"/>
        <v>12272.81</v>
      </c>
      <c r="I54" s="27"/>
    </row>
    <row r="55">
      <c r="B55" s="67" t="s">
        <v>173</v>
      </c>
      <c r="C55" s="68"/>
      <c r="D55" s="95">
        <f t="shared" ref="D55:G55" si="9">SUM(D53:D54)</f>
        <v>1557.38</v>
      </c>
      <c r="E55" s="95">
        <f t="shared" si="9"/>
        <v>1572.02</v>
      </c>
      <c r="F55" s="95">
        <f t="shared" si="9"/>
        <v>3138.81</v>
      </c>
      <c r="G55" s="95">
        <f t="shared" si="9"/>
        <v>15411.62</v>
      </c>
      <c r="I55" s="27"/>
    </row>
    <row r="56">
      <c r="D56" s="362"/>
      <c r="E56" s="362"/>
      <c r="I56" s="27"/>
    </row>
    <row r="57">
      <c r="I57" s="27"/>
    </row>
    <row r="58">
      <c r="I58" s="27"/>
    </row>
    <row r="59">
      <c r="I59" s="27"/>
    </row>
    <row r="60">
      <c r="I60" s="27"/>
    </row>
    <row r="61">
      <c r="I61" s="27"/>
    </row>
    <row r="62">
      <c r="I62" s="27"/>
    </row>
    <row r="63">
      <c r="I63" s="27"/>
    </row>
    <row r="64">
      <c r="I64" s="27"/>
    </row>
    <row r="65">
      <c r="I65" s="27"/>
    </row>
    <row r="66">
      <c r="I66" s="27"/>
    </row>
    <row r="67">
      <c r="I67" s="27"/>
    </row>
    <row r="68">
      <c r="I68" s="27"/>
    </row>
    <row r="69">
      <c r="I69" s="27"/>
    </row>
    <row r="70">
      <c r="I70" s="27"/>
    </row>
    <row r="71">
      <c r="I71" s="27"/>
    </row>
    <row r="72">
      <c r="I72" s="27"/>
    </row>
    <row r="73">
      <c r="I73" s="27"/>
    </row>
    <row r="74">
      <c r="I74" s="27"/>
    </row>
    <row r="75">
      <c r="I75" s="27"/>
    </row>
    <row r="76">
      <c r="I76" s="27"/>
    </row>
    <row r="77">
      <c r="I77" s="27"/>
    </row>
    <row r="78">
      <c r="I78" s="27"/>
    </row>
    <row r="79">
      <c r="I79" s="27"/>
    </row>
    <row r="80">
      <c r="I80" s="27"/>
    </row>
    <row r="81">
      <c r="I81" s="27"/>
    </row>
    <row r="82">
      <c r="I82" s="27"/>
    </row>
    <row r="83">
      <c r="I83" s="27"/>
    </row>
    <row r="84">
      <c r="I84" s="27"/>
    </row>
    <row r="85">
      <c r="I85" s="27"/>
    </row>
    <row r="86">
      <c r="I86" s="27"/>
    </row>
    <row r="87">
      <c r="I87" s="27"/>
    </row>
    <row r="88">
      <c r="I88" s="27"/>
    </row>
    <row r="89">
      <c r="I89" s="27"/>
    </row>
    <row r="90">
      <c r="I90" s="27"/>
    </row>
    <row r="91">
      <c r="I91" s="27"/>
    </row>
    <row r="92">
      <c r="I92" s="27"/>
    </row>
    <row r="93">
      <c r="I93" s="27"/>
    </row>
    <row r="94">
      <c r="I94" s="27"/>
    </row>
    <row r="95">
      <c r="I95" s="27"/>
    </row>
    <row r="96">
      <c r="I96" s="27"/>
    </row>
    <row r="97">
      <c r="I97" s="27"/>
    </row>
    <row r="98">
      <c r="I98" s="27"/>
    </row>
    <row r="99">
      <c r="I99" s="27"/>
    </row>
    <row r="100">
      <c r="I100" s="27"/>
    </row>
    <row r="101">
      <c r="I101" s="27"/>
    </row>
    <row r="102">
      <c r="I102" s="27"/>
    </row>
    <row r="103">
      <c r="I103" s="27"/>
    </row>
    <row r="104">
      <c r="I104" s="27"/>
    </row>
    <row r="105">
      <c r="I105" s="27"/>
    </row>
    <row r="106">
      <c r="I106" s="27"/>
    </row>
    <row r="107">
      <c r="I107" s="27"/>
    </row>
    <row r="108">
      <c r="I108" s="27"/>
    </row>
    <row r="109">
      <c r="I109" s="27"/>
    </row>
    <row r="110">
      <c r="I110" s="27"/>
    </row>
    <row r="111">
      <c r="I111" s="27"/>
    </row>
    <row r="112">
      <c r="I112" s="27"/>
    </row>
    <row r="113">
      <c r="I113" s="27"/>
    </row>
    <row r="114">
      <c r="I114" s="27"/>
    </row>
    <row r="115">
      <c r="I115" s="27"/>
    </row>
    <row r="116">
      <c r="I116" s="27"/>
    </row>
    <row r="117">
      <c r="I117" s="27"/>
    </row>
    <row r="118">
      <c r="I118" s="27"/>
    </row>
    <row r="119">
      <c r="I119" s="27"/>
    </row>
    <row r="120">
      <c r="I120" s="27"/>
    </row>
    <row r="121">
      <c r="I121" s="27"/>
    </row>
    <row r="122">
      <c r="I122" s="27"/>
    </row>
    <row r="123">
      <c r="I123" s="27"/>
    </row>
    <row r="124">
      <c r="I124" s="27"/>
    </row>
    <row r="125">
      <c r="I125" s="27"/>
    </row>
    <row r="126">
      <c r="I126" s="27"/>
    </row>
    <row r="127">
      <c r="I127" s="27"/>
    </row>
    <row r="128">
      <c r="I128" s="27"/>
    </row>
    <row r="129">
      <c r="I129" s="27"/>
    </row>
    <row r="130">
      <c r="I130" s="27"/>
    </row>
    <row r="131">
      <c r="I131" s="27"/>
    </row>
    <row r="132">
      <c r="I132" s="27"/>
    </row>
    <row r="133">
      <c r="I133" s="27"/>
    </row>
    <row r="134">
      <c r="I134" s="27"/>
    </row>
    <row r="135">
      <c r="I135" s="27"/>
    </row>
    <row r="136">
      <c r="I136" s="27"/>
    </row>
    <row r="137">
      <c r="I137" s="27"/>
    </row>
    <row r="138">
      <c r="I138" s="27"/>
    </row>
    <row r="139">
      <c r="I139" s="27"/>
    </row>
    <row r="140">
      <c r="I140" s="27"/>
    </row>
    <row r="141">
      <c r="I141" s="27"/>
    </row>
    <row r="142">
      <c r="I142" s="27"/>
    </row>
    <row r="143">
      <c r="I143" s="27"/>
    </row>
    <row r="144">
      <c r="I144" s="27"/>
    </row>
    <row r="145">
      <c r="I145" s="27"/>
    </row>
    <row r="146">
      <c r="I146" s="27"/>
    </row>
    <row r="147">
      <c r="I147" s="27"/>
    </row>
    <row r="148">
      <c r="I148" s="27"/>
    </row>
    <row r="149">
      <c r="I149" s="27"/>
    </row>
    <row r="150">
      <c r="I150" s="27"/>
    </row>
    <row r="151">
      <c r="I151" s="27"/>
    </row>
    <row r="152">
      <c r="I152" s="27"/>
    </row>
    <row r="153">
      <c r="I153" s="27"/>
    </row>
    <row r="154">
      <c r="I154" s="27"/>
    </row>
    <row r="155">
      <c r="I155" s="27"/>
    </row>
    <row r="156">
      <c r="I156" s="27"/>
    </row>
    <row r="157">
      <c r="I157" s="27"/>
    </row>
    <row r="158">
      <c r="I158" s="27"/>
    </row>
    <row r="159">
      <c r="I159" s="27"/>
    </row>
    <row r="160">
      <c r="I160" s="27"/>
    </row>
    <row r="161">
      <c r="I161" s="27"/>
    </row>
    <row r="162">
      <c r="I162" s="27"/>
    </row>
    <row r="163">
      <c r="I163" s="27"/>
    </row>
    <row r="164">
      <c r="I164" s="27"/>
    </row>
    <row r="165">
      <c r="I165" s="27"/>
    </row>
    <row r="166">
      <c r="I166" s="27"/>
    </row>
    <row r="167">
      <c r="I167" s="27"/>
    </row>
    <row r="168">
      <c r="I168" s="27"/>
    </row>
    <row r="169">
      <c r="I169" s="27"/>
    </row>
    <row r="170">
      <c r="I170" s="27"/>
    </row>
    <row r="171">
      <c r="I171" s="27"/>
    </row>
    <row r="172">
      <c r="I172" s="27"/>
    </row>
    <row r="173">
      <c r="I173" s="27"/>
    </row>
    <row r="174">
      <c r="I174" s="27"/>
    </row>
    <row r="175">
      <c r="I175" s="27"/>
    </row>
    <row r="176">
      <c r="I176" s="27"/>
    </row>
    <row r="177">
      <c r="I177" s="27"/>
    </row>
    <row r="178">
      <c r="I178" s="27"/>
    </row>
    <row r="179">
      <c r="I179" s="27"/>
    </row>
    <row r="180">
      <c r="I180" s="27"/>
    </row>
    <row r="181">
      <c r="I181" s="27"/>
    </row>
    <row r="182">
      <c r="I182" s="27"/>
    </row>
    <row r="183">
      <c r="I183" s="27"/>
    </row>
    <row r="184">
      <c r="I184" s="27"/>
    </row>
    <row r="185">
      <c r="I185" s="27"/>
    </row>
    <row r="186">
      <c r="I186" s="27"/>
    </row>
    <row r="187">
      <c r="I187" s="27"/>
    </row>
    <row r="188">
      <c r="I188" s="27"/>
    </row>
    <row r="189">
      <c r="I189" s="27"/>
    </row>
    <row r="190">
      <c r="I190" s="27"/>
    </row>
    <row r="191">
      <c r="I191" s="27"/>
    </row>
    <row r="192">
      <c r="I192" s="27"/>
    </row>
    <row r="193">
      <c r="I193" s="27"/>
    </row>
    <row r="194">
      <c r="I194" s="27"/>
    </row>
    <row r="195">
      <c r="I195" s="27"/>
    </row>
    <row r="196">
      <c r="I196" s="27"/>
    </row>
    <row r="197">
      <c r="I197" s="27"/>
    </row>
    <row r="198">
      <c r="I198" s="27"/>
    </row>
    <row r="199">
      <c r="I199" s="27"/>
    </row>
    <row r="200">
      <c r="I200" s="27"/>
    </row>
    <row r="201">
      <c r="I201" s="27"/>
    </row>
    <row r="202">
      <c r="I202" s="27"/>
    </row>
    <row r="203">
      <c r="I203" s="27"/>
    </row>
    <row r="204">
      <c r="I204" s="27"/>
    </row>
    <row r="205">
      <c r="I205" s="27"/>
    </row>
    <row r="206">
      <c r="I206" s="27"/>
    </row>
    <row r="207">
      <c r="I207" s="27"/>
    </row>
    <row r="208">
      <c r="I208" s="27"/>
    </row>
    <row r="209">
      <c r="I209" s="27"/>
    </row>
    <row r="210">
      <c r="I210" s="27"/>
    </row>
    <row r="211">
      <c r="I211" s="27"/>
    </row>
    <row r="212">
      <c r="I212" s="27"/>
    </row>
    <row r="213">
      <c r="I213" s="27"/>
    </row>
    <row r="214">
      <c r="I214" s="27"/>
    </row>
    <row r="215">
      <c r="I215" s="27"/>
    </row>
    <row r="216">
      <c r="I216" s="27"/>
    </row>
    <row r="217">
      <c r="I217" s="27"/>
    </row>
    <row r="218">
      <c r="I218" s="27"/>
    </row>
    <row r="219">
      <c r="I219" s="27"/>
    </row>
    <row r="220">
      <c r="I220" s="27"/>
    </row>
    <row r="221">
      <c r="I221" s="27"/>
    </row>
    <row r="222">
      <c r="I222" s="27"/>
    </row>
    <row r="223">
      <c r="I223" s="27"/>
    </row>
    <row r="224">
      <c r="I224" s="27"/>
    </row>
    <row r="225">
      <c r="I225" s="27"/>
    </row>
    <row r="226">
      <c r="I226" s="27"/>
    </row>
    <row r="227">
      <c r="I227" s="27"/>
    </row>
    <row r="228">
      <c r="I228" s="27"/>
    </row>
    <row r="229">
      <c r="I229" s="27"/>
    </row>
    <row r="230">
      <c r="I230" s="27"/>
    </row>
    <row r="231">
      <c r="I231" s="27"/>
    </row>
    <row r="232">
      <c r="I232" s="27"/>
    </row>
    <row r="233">
      <c r="I233" s="27"/>
    </row>
    <row r="234">
      <c r="I234" s="27"/>
    </row>
    <row r="235">
      <c r="I235" s="27"/>
    </row>
    <row r="236">
      <c r="I236" s="27"/>
    </row>
    <row r="237">
      <c r="I237" s="27"/>
    </row>
    <row r="238">
      <c r="I238" s="27"/>
    </row>
    <row r="239">
      <c r="I239" s="27"/>
    </row>
    <row r="240">
      <c r="I240" s="27"/>
    </row>
    <row r="241">
      <c r="I241" s="27"/>
    </row>
    <row r="242">
      <c r="I242" s="27"/>
    </row>
    <row r="243">
      <c r="I243" s="27"/>
    </row>
    <row r="244">
      <c r="I244" s="27"/>
    </row>
    <row r="245">
      <c r="I245" s="27"/>
    </row>
    <row r="246">
      <c r="I246" s="27"/>
    </row>
    <row r="247">
      <c r="I247" s="27"/>
    </row>
    <row r="248">
      <c r="I248" s="27"/>
    </row>
    <row r="249">
      <c r="I249" s="27"/>
    </row>
    <row r="250">
      <c r="I250" s="27"/>
    </row>
    <row r="251">
      <c r="I251" s="27"/>
    </row>
    <row r="252">
      <c r="I252" s="27"/>
    </row>
    <row r="253">
      <c r="I253" s="27"/>
    </row>
    <row r="254">
      <c r="I254" s="27"/>
    </row>
    <row r="255">
      <c r="I255" s="27"/>
    </row>
    <row r="256">
      <c r="I256" s="27"/>
    </row>
    <row r="257">
      <c r="I257" s="27"/>
    </row>
    <row r="258">
      <c r="I258" s="27"/>
    </row>
    <row r="259">
      <c r="I259" s="27"/>
    </row>
    <row r="260">
      <c r="I260" s="27"/>
    </row>
    <row r="261">
      <c r="I261" s="27"/>
    </row>
    <row r="262">
      <c r="I262" s="27"/>
    </row>
    <row r="263">
      <c r="I263" s="27"/>
    </row>
    <row r="264">
      <c r="I264" s="27"/>
    </row>
    <row r="265">
      <c r="I265" s="27"/>
    </row>
    <row r="266">
      <c r="I266" s="27"/>
    </row>
    <row r="267">
      <c r="I267" s="27"/>
    </row>
    <row r="268">
      <c r="I268" s="27"/>
    </row>
    <row r="269">
      <c r="I269" s="27"/>
    </row>
    <row r="270">
      <c r="I270" s="27"/>
    </row>
    <row r="271">
      <c r="I271" s="27"/>
    </row>
    <row r="272">
      <c r="I272" s="27"/>
    </row>
    <row r="273">
      <c r="I273" s="27"/>
    </row>
    <row r="274">
      <c r="I274" s="27"/>
    </row>
    <row r="275">
      <c r="I275" s="27"/>
    </row>
    <row r="276">
      <c r="I276" s="27"/>
    </row>
    <row r="277">
      <c r="I277" s="27"/>
    </row>
    <row r="278">
      <c r="I278" s="27"/>
    </row>
    <row r="279">
      <c r="I279" s="27"/>
    </row>
    <row r="280">
      <c r="I280" s="27"/>
    </row>
    <row r="281">
      <c r="I281" s="27"/>
    </row>
    <row r="282">
      <c r="I282" s="27"/>
    </row>
    <row r="283">
      <c r="I283" s="27"/>
    </row>
    <row r="284">
      <c r="I284" s="27"/>
    </row>
    <row r="285">
      <c r="I285" s="27"/>
    </row>
    <row r="286">
      <c r="I286" s="27"/>
    </row>
    <row r="287">
      <c r="I287" s="27"/>
    </row>
    <row r="288">
      <c r="I288" s="27"/>
    </row>
    <row r="289">
      <c r="I289" s="27"/>
    </row>
    <row r="290">
      <c r="I290" s="27"/>
    </row>
    <row r="291">
      <c r="I291" s="27"/>
    </row>
    <row r="292">
      <c r="I292" s="27"/>
    </row>
    <row r="293">
      <c r="I293" s="27"/>
    </row>
    <row r="294">
      <c r="I294" s="27"/>
    </row>
    <row r="295">
      <c r="I295" s="27"/>
    </row>
    <row r="296">
      <c r="I296" s="27"/>
    </row>
    <row r="297">
      <c r="I297" s="27"/>
    </row>
    <row r="298">
      <c r="I298" s="27"/>
    </row>
    <row r="299">
      <c r="I299" s="27"/>
    </row>
    <row r="300">
      <c r="I300" s="27"/>
    </row>
    <row r="301">
      <c r="I301" s="27"/>
    </row>
    <row r="302">
      <c r="I302" s="27"/>
    </row>
    <row r="303">
      <c r="I303" s="27"/>
    </row>
    <row r="304">
      <c r="I304" s="27"/>
    </row>
    <row r="305">
      <c r="I305" s="27"/>
    </row>
    <row r="306">
      <c r="I306" s="27"/>
    </row>
    <row r="307">
      <c r="I307" s="27"/>
    </row>
    <row r="308">
      <c r="I308" s="27"/>
    </row>
    <row r="309">
      <c r="I309" s="27"/>
    </row>
    <row r="310">
      <c r="I310" s="27"/>
    </row>
    <row r="311">
      <c r="I311" s="27"/>
    </row>
    <row r="312">
      <c r="I312" s="27"/>
    </row>
    <row r="313">
      <c r="I313" s="27"/>
    </row>
    <row r="314">
      <c r="I314" s="27"/>
    </row>
    <row r="315">
      <c r="I315" s="27"/>
    </row>
    <row r="316">
      <c r="I316" s="27"/>
    </row>
    <row r="317">
      <c r="I317" s="27"/>
    </row>
    <row r="318">
      <c r="I318" s="27"/>
    </row>
    <row r="319">
      <c r="I319" s="27"/>
    </row>
    <row r="320">
      <c r="I320" s="27"/>
    </row>
    <row r="321">
      <c r="I321" s="27"/>
    </row>
    <row r="322">
      <c r="I322" s="27"/>
    </row>
    <row r="323">
      <c r="I323" s="27"/>
    </row>
    <row r="324">
      <c r="I324" s="27"/>
    </row>
    <row r="325">
      <c r="I325" s="27"/>
    </row>
    <row r="326">
      <c r="I326" s="27"/>
    </row>
    <row r="327">
      <c r="I327" s="27"/>
    </row>
    <row r="328">
      <c r="I328" s="27"/>
    </row>
    <row r="329">
      <c r="I329" s="27"/>
    </row>
    <row r="330">
      <c r="I330" s="27"/>
    </row>
    <row r="331">
      <c r="I331" s="27"/>
    </row>
    <row r="332">
      <c r="I332" s="27"/>
    </row>
    <row r="333">
      <c r="I333" s="27"/>
    </row>
    <row r="334">
      <c r="I334" s="27"/>
    </row>
    <row r="335">
      <c r="I335" s="27"/>
    </row>
    <row r="336">
      <c r="I336" s="27"/>
    </row>
    <row r="337">
      <c r="I337" s="27"/>
    </row>
    <row r="338">
      <c r="I338" s="27"/>
    </row>
    <row r="339">
      <c r="I339" s="27"/>
    </row>
    <row r="340">
      <c r="I340" s="27"/>
    </row>
    <row r="341">
      <c r="I341" s="27"/>
    </row>
    <row r="342">
      <c r="I342" s="27"/>
    </row>
    <row r="343">
      <c r="I343" s="27"/>
    </row>
    <row r="344">
      <c r="I344" s="27"/>
    </row>
    <row r="345">
      <c r="I345" s="27"/>
    </row>
    <row r="346">
      <c r="I346" s="27"/>
    </row>
    <row r="347">
      <c r="I347" s="27"/>
    </row>
    <row r="348">
      <c r="I348" s="27"/>
    </row>
    <row r="349">
      <c r="I349" s="27"/>
    </row>
    <row r="350">
      <c r="I350" s="27"/>
    </row>
    <row r="351">
      <c r="I351" s="27"/>
    </row>
    <row r="352">
      <c r="I352" s="27"/>
    </row>
    <row r="353">
      <c r="I353" s="27"/>
    </row>
    <row r="354">
      <c r="I354" s="27"/>
    </row>
    <row r="355">
      <c r="I355" s="27"/>
    </row>
    <row r="356">
      <c r="I356" s="27"/>
    </row>
    <row r="357">
      <c r="I357" s="27"/>
    </row>
    <row r="358">
      <c r="I358" s="27"/>
    </row>
    <row r="359">
      <c r="I359" s="27"/>
    </row>
    <row r="360">
      <c r="I360" s="27"/>
    </row>
    <row r="361">
      <c r="I361" s="27"/>
    </row>
    <row r="362">
      <c r="I362" s="27"/>
    </row>
    <row r="363">
      <c r="I363" s="27"/>
    </row>
    <row r="364">
      <c r="I364" s="27"/>
    </row>
    <row r="365">
      <c r="I365" s="27"/>
    </row>
    <row r="366">
      <c r="I366" s="27"/>
    </row>
    <row r="367">
      <c r="I367" s="27"/>
    </row>
    <row r="368">
      <c r="I368" s="27"/>
    </row>
    <row r="369">
      <c r="I369" s="27"/>
    </row>
    <row r="370">
      <c r="I370" s="27"/>
    </row>
    <row r="371">
      <c r="I371" s="27"/>
    </row>
    <row r="372">
      <c r="I372" s="27"/>
    </row>
    <row r="373">
      <c r="I373" s="27"/>
    </row>
    <row r="374">
      <c r="I374" s="27"/>
    </row>
    <row r="375">
      <c r="I375" s="27"/>
    </row>
    <row r="376">
      <c r="I376" s="27"/>
    </row>
    <row r="377">
      <c r="I377" s="27"/>
    </row>
    <row r="378">
      <c r="I378" s="27"/>
    </row>
    <row r="379">
      <c r="I379" s="27"/>
    </row>
    <row r="380">
      <c r="I380" s="27"/>
    </row>
    <row r="381">
      <c r="I381" s="27"/>
    </row>
    <row r="382">
      <c r="I382" s="27"/>
    </row>
    <row r="383">
      <c r="I383" s="27"/>
    </row>
    <row r="384">
      <c r="I384" s="27"/>
    </row>
    <row r="385">
      <c r="I385" s="27"/>
    </row>
    <row r="386">
      <c r="I386" s="27"/>
    </row>
    <row r="387">
      <c r="I387" s="27"/>
    </row>
    <row r="388">
      <c r="I388" s="27"/>
    </row>
    <row r="389">
      <c r="I389" s="27"/>
    </row>
    <row r="390">
      <c r="I390" s="27"/>
    </row>
    <row r="391">
      <c r="I391" s="27"/>
    </row>
    <row r="392">
      <c r="I392" s="27"/>
    </row>
    <row r="393">
      <c r="I393" s="27"/>
    </row>
    <row r="394">
      <c r="I394" s="27"/>
    </row>
    <row r="395">
      <c r="I395" s="27"/>
    </row>
    <row r="396">
      <c r="I396" s="27"/>
    </row>
    <row r="397">
      <c r="I397" s="27"/>
    </row>
    <row r="398">
      <c r="I398" s="27"/>
    </row>
    <row r="399">
      <c r="I399" s="27"/>
    </row>
    <row r="400">
      <c r="I400" s="27"/>
    </row>
    <row r="401">
      <c r="I401" s="27"/>
    </row>
    <row r="402">
      <c r="I402" s="27"/>
    </row>
    <row r="403">
      <c r="I403" s="27"/>
    </row>
    <row r="404">
      <c r="I404" s="27"/>
    </row>
    <row r="405">
      <c r="I405" s="27"/>
    </row>
    <row r="406">
      <c r="I406" s="27"/>
    </row>
    <row r="407">
      <c r="I407" s="27"/>
    </row>
    <row r="408">
      <c r="I408" s="27"/>
    </row>
    <row r="409">
      <c r="I409" s="27"/>
    </row>
    <row r="410">
      <c r="I410" s="27"/>
    </row>
    <row r="411">
      <c r="I411" s="27"/>
    </row>
    <row r="412">
      <c r="I412" s="27"/>
    </row>
    <row r="413">
      <c r="I413" s="27"/>
    </row>
    <row r="414">
      <c r="I414" s="27"/>
    </row>
    <row r="415">
      <c r="I415" s="27"/>
    </row>
    <row r="416">
      <c r="I416" s="27"/>
    </row>
    <row r="417">
      <c r="I417" s="27"/>
    </row>
    <row r="418">
      <c r="I418" s="27"/>
    </row>
    <row r="419">
      <c r="I419" s="27"/>
    </row>
    <row r="420">
      <c r="I420" s="27"/>
    </row>
    <row r="421">
      <c r="I421" s="27"/>
    </row>
    <row r="422">
      <c r="I422" s="27"/>
    </row>
    <row r="423">
      <c r="I423" s="27"/>
    </row>
    <row r="424">
      <c r="I424" s="27"/>
    </row>
    <row r="425">
      <c r="I425" s="27"/>
    </row>
    <row r="426">
      <c r="I426" s="27"/>
    </row>
    <row r="427">
      <c r="I427" s="27"/>
    </row>
    <row r="428">
      <c r="I428" s="27"/>
    </row>
    <row r="429">
      <c r="I429" s="27"/>
    </row>
    <row r="430">
      <c r="I430" s="27"/>
    </row>
    <row r="431">
      <c r="I431" s="27"/>
    </row>
    <row r="432">
      <c r="I432" s="27"/>
    </row>
    <row r="433">
      <c r="I433" s="27"/>
    </row>
    <row r="434">
      <c r="I434" s="27"/>
    </row>
    <row r="435">
      <c r="I435" s="27"/>
    </row>
    <row r="436">
      <c r="I436" s="27"/>
    </row>
    <row r="437">
      <c r="I437" s="27"/>
    </row>
    <row r="438">
      <c r="I438" s="27"/>
    </row>
    <row r="439">
      <c r="I439" s="27"/>
    </row>
    <row r="440">
      <c r="I440" s="27"/>
    </row>
    <row r="441">
      <c r="I441" s="27"/>
    </row>
    <row r="442">
      <c r="I442" s="27"/>
    </row>
    <row r="443">
      <c r="I443" s="27"/>
    </row>
    <row r="444">
      <c r="I444" s="27"/>
    </row>
    <row r="445">
      <c r="I445" s="27"/>
    </row>
    <row r="446">
      <c r="I446" s="27"/>
    </row>
    <row r="447">
      <c r="I447" s="27"/>
    </row>
    <row r="448">
      <c r="I448" s="27"/>
    </row>
    <row r="449">
      <c r="I449" s="27"/>
    </row>
    <row r="450">
      <c r="I450" s="27"/>
    </row>
    <row r="451">
      <c r="I451" s="27"/>
    </row>
    <row r="452">
      <c r="I452" s="27"/>
    </row>
    <row r="453">
      <c r="I453" s="27"/>
    </row>
    <row r="454">
      <c r="I454" s="27"/>
    </row>
    <row r="455">
      <c r="I455" s="27"/>
    </row>
    <row r="456">
      <c r="I456" s="27"/>
    </row>
    <row r="457">
      <c r="I457" s="27"/>
    </row>
    <row r="458">
      <c r="I458" s="27"/>
    </row>
    <row r="459">
      <c r="I459" s="27"/>
    </row>
    <row r="460">
      <c r="I460" s="27"/>
    </row>
    <row r="461">
      <c r="I461" s="27"/>
    </row>
    <row r="462">
      <c r="I462" s="27"/>
    </row>
    <row r="463">
      <c r="I463" s="27"/>
    </row>
    <row r="464">
      <c r="I464" s="27"/>
    </row>
    <row r="465">
      <c r="I465" s="27"/>
    </row>
    <row r="466">
      <c r="I466" s="27"/>
    </row>
    <row r="467">
      <c r="I467" s="27"/>
    </row>
    <row r="468">
      <c r="I468" s="27"/>
    </row>
    <row r="469">
      <c r="I469" s="27"/>
    </row>
    <row r="470">
      <c r="I470" s="27"/>
    </row>
    <row r="471">
      <c r="I471" s="27"/>
    </row>
    <row r="472">
      <c r="I472" s="27"/>
    </row>
    <row r="473">
      <c r="I473" s="27"/>
    </row>
    <row r="474">
      <c r="I474" s="27"/>
    </row>
    <row r="475">
      <c r="I475" s="27"/>
    </row>
    <row r="476">
      <c r="I476" s="27"/>
    </row>
    <row r="477">
      <c r="I477" s="27"/>
    </row>
    <row r="478">
      <c r="I478" s="27"/>
    </row>
    <row r="479">
      <c r="I479" s="27"/>
    </row>
    <row r="480">
      <c r="I480" s="27"/>
    </row>
    <row r="481">
      <c r="I481" s="27"/>
    </row>
    <row r="482">
      <c r="I482" s="27"/>
    </row>
    <row r="483">
      <c r="I483" s="27"/>
    </row>
    <row r="484">
      <c r="I484" s="27"/>
    </row>
    <row r="485">
      <c r="I485" s="27"/>
    </row>
    <row r="486">
      <c r="I486" s="27"/>
    </row>
    <row r="487">
      <c r="I487" s="27"/>
    </row>
    <row r="488">
      <c r="I488" s="27"/>
    </row>
    <row r="489">
      <c r="I489" s="27"/>
    </row>
    <row r="490">
      <c r="I490" s="27"/>
    </row>
    <row r="491">
      <c r="I491" s="27"/>
    </row>
    <row r="492">
      <c r="I492" s="27"/>
    </row>
    <row r="493">
      <c r="I493" s="27"/>
    </row>
    <row r="494">
      <c r="I494" s="27"/>
    </row>
    <row r="495">
      <c r="I495" s="27"/>
    </row>
    <row r="496">
      <c r="I496" s="27"/>
    </row>
    <row r="497">
      <c r="I497" s="27"/>
    </row>
    <row r="498">
      <c r="I498" s="27"/>
    </row>
    <row r="499">
      <c r="I499" s="27"/>
    </row>
    <row r="500">
      <c r="I500" s="27"/>
    </row>
    <row r="501">
      <c r="I501" s="27"/>
    </row>
    <row r="502">
      <c r="I502" s="27"/>
    </row>
    <row r="503">
      <c r="I503" s="27"/>
    </row>
    <row r="504">
      <c r="I504" s="27"/>
    </row>
    <row r="505">
      <c r="I505" s="27"/>
    </row>
    <row r="506">
      <c r="I506" s="27"/>
    </row>
    <row r="507">
      <c r="I507" s="27"/>
    </row>
    <row r="508">
      <c r="I508" s="27"/>
    </row>
    <row r="509">
      <c r="I509" s="27"/>
    </row>
    <row r="510">
      <c r="I510" s="27"/>
    </row>
    <row r="511">
      <c r="I511" s="27"/>
    </row>
    <row r="512">
      <c r="I512" s="27"/>
    </row>
    <row r="513">
      <c r="I513" s="27"/>
    </row>
    <row r="514">
      <c r="I514" s="27"/>
    </row>
    <row r="515">
      <c r="I515" s="27"/>
    </row>
    <row r="516">
      <c r="I516" s="27"/>
    </row>
    <row r="517">
      <c r="I517" s="27"/>
    </row>
    <row r="518">
      <c r="I518" s="27"/>
    </row>
    <row r="519">
      <c r="I519" s="27"/>
    </row>
    <row r="520">
      <c r="I520" s="27"/>
    </row>
    <row r="521">
      <c r="I521" s="27"/>
    </row>
    <row r="522">
      <c r="I522" s="27"/>
    </row>
    <row r="523">
      <c r="I523" s="27"/>
    </row>
    <row r="524">
      <c r="I524" s="27"/>
    </row>
    <row r="525">
      <c r="I525" s="27"/>
    </row>
    <row r="526">
      <c r="I526" s="27"/>
    </row>
    <row r="527">
      <c r="I527" s="27"/>
    </row>
    <row r="528">
      <c r="I528" s="27"/>
    </row>
    <row r="529">
      <c r="I529" s="27"/>
    </row>
    <row r="530">
      <c r="I530" s="27"/>
    </row>
    <row r="531">
      <c r="I531" s="27"/>
    </row>
    <row r="532">
      <c r="I532" s="27"/>
    </row>
    <row r="533">
      <c r="I533" s="27"/>
    </row>
    <row r="534">
      <c r="I534" s="27"/>
    </row>
    <row r="535">
      <c r="I535" s="27"/>
    </row>
    <row r="536">
      <c r="I536" s="27"/>
    </row>
    <row r="537">
      <c r="I537" s="27"/>
    </row>
    <row r="538">
      <c r="I538" s="27"/>
    </row>
    <row r="539">
      <c r="I539" s="27"/>
    </row>
    <row r="540">
      <c r="I540" s="27"/>
    </row>
    <row r="541">
      <c r="I541" s="27"/>
    </row>
    <row r="542">
      <c r="I542" s="27"/>
    </row>
    <row r="543">
      <c r="I543" s="27"/>
    </row>
    <row r="544">
      <c r="I544" s="27"/>
    </row>
    <row r="545">
      <c r="I545" s="27"/>
    </row>
    <row r="546">
      <c r="I546" s="27"/>
    </row>
    <row r="547">
      <c r="I547" s="27"/>
    </row>
    <row r="548">
      <c r="I548" s="27"/>
    </row>
    <row r="549">
      <c r="I549" s="27"/>
    </row>
    <row r="550">
      <c r="I550" s="27"/>
    </row>
    <row r="551">
      <c r="I551" s="27"/>
    </row>
    <row r="552">
      <c r="I552" s="27"/>
    </row>
    <row r="553">
      <c r="I553" s="27"/>
    </row>
    <row r="554">
      <c r="I554" s="27"/>
    </row>
    <row r="555">
      <c r="I555" s="27"/>
    </row>
    <row r="556">
      <c r="I556" s="27"/>
    </row>
    <row r="557">
      <c r="I557" s="27"/>
    </row>
    <row r="558">
      <c r="I558" s="27"/>
    </row>
    <row r="559">
      <c r="I559" s="27"/>
    </row>
    <row r="560">
      <c r="I560" s="27"/>
    </row>
    <row r="561">
      <c r="I561" s="27"/>
    </row>
    <row r="562">
      <c r="I562" s="27"/>
    </row>
    <row r="563">
      <c r="I563" s="27"/>
    </row>
    <row r="564">
      <c r="I564" s="27"/>
    </row>
    <row r="565">
      <c r="I565" s="27"/>
    </row>
    <row r="566">
      <c r="I566" s="27"/>
    </row>
    <row r="567">
      <c r="I567" s="27"/>
    </row>
    <row r="568">
      <c r="I568" s="27"/>
    </row>
    <row r="569">
      <c r="I569" s="27"/>
    </row>
    <row r="570">
      <c r="I570" s="27"/>
    </row>
    <row r="571">
      <c r="I571" s="27"/>
    </row>
    <row r="572">
      <c r="I572" s="27"/>
    </row>
    <row r="573">
      <c r="I573" s="27"/>
    </row>
    <row r="574">
      <c r="I574" s="27"/>
    </row>
    <row r="575">
      <c r="I575" s="27"/>
    </row>
    <row r="576">
      <c r="I576" s="27"/>
    </row>
    <row r="577">
      <c r="I577" s="27"/>
    </row>
    <row r="578">
      <c r="I578" s="27"/>
    </row>
    <row r="579">
      <c r="I579" s="27"/>
    </row>
    <row r="580">
      <c r="I580" s="27"/>
    </row>
    <row r="581">
      <c r="I581" s="27"/>
    </row>
    <row r="582">
      <c r="I582" s="27"/>
    </row>
    <row r="583">
      <c r="I583" s="27"/>
    </row>
    <row r="584">
      <c r="I584" s="27"/>
    </row>
    <row r="585">
      <c r="I585" s="27"/>
    </row>
    <row r="586">
      <c r="I586" s="27"/>
    </row>
    <row r="587">
      <c r="I587" s="27"/>
    </row>
    <row r="588">
      <c r="I588" s="27"/>
    </row>
    <row r="589">
      <c r="I589" s="27"/>
    </row>
    <row r="590">
      <c r="I590" s="27"/>
    </row>
    <row r="591">
      <c r="I591" s="27"/>
    </row>
    <row r="592">
      <c r="I592" s="27"/>
    </row>
    <row r="593">
      <c r="I593" s="27"/>
    </row>
    <row r="594">
      <c r="I594" s="27"/>
    </row>
    <row r="595">
      <c r="I595" s="27"/>
    </row>
    <row r="596">
      <c r="I596" s="27"/>
    </row>
    <row r="597">
      <c r="I597" s="27"/>
    </row>
    <row r="598">
      <c r="I598" s="27"/>
    </row>
    <row r="599">
      <c r="I599" s="27"/>
    </row>
    <row r="600">
      <c r="I600" s="27"/>
    </row>
    <row r="601">
      <c r="I601" s="27"/>
    </row>
    <row r="602">
      <c r="I602" s="27"/>
    </row>
    <row r="603">
      <c r="I603" s="27"/>
    </row>
    <row r="604">
      <c r="I604" s="27"/>
    </row>
    <row r="605">
      <c r="I605" s="27"/>
    </row>
    <row r="606">
      <c r="I606" s="27"/>
    </row>
    <row r="607">
      <c r="I607" s="27"/>
    </row>
    <row r="608">
      <c r="I608" s="27"/>
    </row>
    <row r="609">
      <c r="I609" s="27"/>
    </row>
    <row r="610">
      <c r="I610" s="27"/>
    </row>
    <row r="611">
      <c r="I611" s="27"/>
    </row>
    <row r="612">
      <c r="I612" s="27"/>
    </row>
    <row r="613">
      <c r="I613" s="27"/>
    </row>
    <row r="614">
      <c r="I614" s="27"/>
    </row>
    <row r="615">
      <c r="I615" s="27"/>
    </row>
    <row r="616">
      <c r="I616" s="27"/>
    </row>
    <row r="617">
      <c r="I617" s="27"/>
    </row>
    <row r="618">
      <c r="I618" s="27"/>
    </row>
    <row r="619">
      <c r="I619" s="27"/>
    </row>
    <row r="620">
      <c r="I620" s="27"/>
    </row>
    <row r="621">
      <c r="I621" s="27"/>
    </row>
    <row r="622">
      <c r="I622" s="27"/>
    </row>
    <row r="623">
      <c r="I623" s="27"/>
    </row>
    <row r="624">
      <c r="I624" s="27"/>
    </row>
    <row r="625">
      <c r="I625" s="27"/>
    </row>
    <row r="626">
      <c r="I626" s="27"/>
    </row>
    <row r="627">
      <c r="I627" s="27"/>
    </row>
    <row r="628">
      <c r="I628" s="27"/>
    </row>
    <row r="629">
      <c r="I629" s="27"/>
    </row>
    <row r="630">
      <c r="I630" s="27"/>
    </row>
    <row r="631">
      <c r="I631" s="27"/>
    </row>
    <row r="632">
      <c r="I632" s="27"/>
    </row>
    <row r="633">
      <c r="I633" s="27"/>
    </row>
    <row r="634">
      <c r="I634" s="27"/>
    </row>
    <row r="635">
      <c r="I635" s="27"/>
    </row>
    <row r="636">
      <c r="I636" s="27"/>
    </row>
    <row r="637">
      <c r="I637" s="27"/>
    </row>
    <row r="638">
      <c r="I638" s="27"/>
    </row>
    <row r="639">
      <c r="I639" s="27"/>
    </row>
    <row r="640">
      <c r="I640" s="27"/>
    </row>
    <row r="641">
      <c r="I641" s="27"/>
    </row>
    <row r="642">
      <c r="I642" s="27"/>
    </row>
    <row r="643">
      <c r="I643" s="27"/>
    </row>
    <row r="644">
      <c r="I644" s="27"/>
    </row>
    <row r="645">
      <c r="I645" s="27"/>
    </row>
    <row r="646">
      <c r="I646" s="27"/>
    </row>
    <row r="647">
      <c r="I647" s="27"/>
    </row>
    <row r="648">
      <c r="I648" s="27"/>
    </row>
    <row r="649">
      <c r="I649" s="27"/>
    </row>
    <row r="650">
      <c r="I650" s="27"/>
    </row>
    <row r="651">
      <c r="I651" s="27"/>
    </row>
    <row r="652">
      <c r="I652" s="27"/>
    </row>
    <row r="653">
      <c r="I653" s="27"/>
    </row>
    <row r="654">
      <c r="I654" s="27"/>
    </row>
    <row r="655">
      <c r="I655" s="27"/>
    </row>
    <row r="656">
      <c r="I656" s="27"/>
    </row>
    <row r="657">
      <c r="I657" s="27"/>
    </row>
    <row r="658">
      <c r="I658" s="27"/>
    </row>
    <row r="659">
      <c r="I659" s="27"/>
    </row>
    <row r="660">
      <c r="I660" s="27"/>
    </row>
    <row r="661">
      <c r="I661" s="27"/>
    </row>
    <row r="662">
      <c r="I662" s="27"/>
    </row>
    <row r="663">
      <c r="I663" s="27"/>
    </row>
    <row r="664">
      <c r="I664" s="27"/>
    </row>
    <row r="665">
      <c r="I665" s="27"/>
    </row>
    <row r="666">
      <c r="I666" s="27"/>
    </row>
    <row r="667">
      <c r="I667" s="27"/>
    </row>
    <row r="668">
      <c r="I668" s="27"/>
    </row>
    <row r="669">
      <c r="I669" s="27"/>
    </row>
    <row r="670">
      <c r="I670" s="27"/>
    </row>
    <row r="671">
      <c r="I671" s="27"/>
    </row>
    <row r="672">
      <c r="I672" s="27"/>
    </row>
    <row r="673">
      <c r="I673" s="27"/>
    </row>
    <row r="674">
      <c r="I674" s="27"/>
    </row>
    <row r="675">
      <c r="I675" s="27"/>
    </row>
    <row r="676">
      <c r="I676" s="27"/>
    </row>
    <row r="677">
      <c r="I677" s="27"/>
    </row>
    <row r="678">
      <c r="I678" s="27"/>
    </row>
    <row r="679">
      <c r="I679" s="27"/>
    </row>
    <row r="680">
      <c r="I680" s="27"/>
    </row>
    <row r="681">
      <c r="I681" s="27"/>
    </row>
    <row r="682">
      <c r="I682" s="27"/>
    </row>
    <row r="683">
      <c r="I683" s="27"/>
    </row>
    <row r="684">
      <c r="I684" s="27"/>
    </row>
    <row r="685">
      <c r="I685" s="27"/>
    </row>
    <row r="686">
      <c r="I686" s="27"/>
    </row>
    <row r="687">
      <c r="I687" s="27"/>
    </row>
    <row r="688">
      <c r="I688" s="27"/>
    </row>
    <row r="689">
      <c r="I689" s="27"/>
    </row>
    <row r="690">
      <c r="I690" s="27"/>
    </row>
    <row r="691">
      <c r="I691" s="27"/>
    </row>
    <row r="692">
      <c r="I692" s="27"/>
    </row>
    <row r="693">
      <c r="I693" s="27"/>
    </row>
    <row r="694">
      <c r="I694" s="27"/>
    </row>
    <row r="695">
      <c r="I695" s="27"/>
    </row>
    <row r="696">
      <c r="I696" s="27"/>
    </row>
    <row r="697">
      <c r="I697" s="27"/>
    </row>
    <row r="698">
      <c r="I698" s="27"/>
    </row>
    <row r="699">
      <c r="I699" s="27"/>
    </row>
    <row r="700">
      <c r="I700" s="27"/>
    </row>
    <row r="701">
      <c r="I701" s="27"/>
    </row>
    <row r="702">
      <c r="I702" s="27"/>
    </row>
    <row r="703">
      <c r="I703" s="27"/>
    </row>
    <row r="704">
      <c r="I704" s="27"/>
    </row>
    <row r="705">
      <c r="I705" s="27"/>
    </row>
    <row r="706">
      <c r="I706" s="27"/>
    </row>
    <row r="707">
      <c r="I707" s="27"/>
    </row>
    <row r="708">
      <c r="I708" s="27"/>
    </row>
    <row r="709">
      <c r="I709" s="27"/>
    </row>
    <row r="710">
      <c r="I710" s="27"/>
    </row>
    <row r="711">
      <c r="I711" s="27"/>
    </row>
    <row r="712">
      <c r="I712" s="27"/>
    </row>
    <row r="713">
      <c r="I713" s="27"/>
    </row>
    <row r="714">
      <c r="I714" s="27"/>
    </row>
    <row r="715">
      <c r="I715" s="27"/>
    </row>
    <row r="716">
      <c r="I716" s="27"/>
    </row>
    <row r="717">
      <c r="I717" s="27"/>
    </row>
    <row r="718">
      <c r="I718" s="27"/>
    </row>
    <row r="719">
      <c r="I719" s="27"/>
    </row>
    <row r="720">
      <c r="I720" s="27"/>
    </row>
    <row r="721">
      <c r="I721" s="27"/>
    </row>
    <row r="722">
      <c r="I722" s="27"/>
    </row>
    <row r="723">
      <c r="I723" s="27"/>
    </row>
    <row r="724">
      <c r="I724" s="27"/>
    </row>
    <row r="725">
      <c r="I725" s="27"/>
    </row>
    <row r="726">
      <c r="I726" s="27"/>
    </row>
    <row r="727">
      <c r="I727" s="27"/>
    </row>
    <row r="728">
      <c r="I728" s="27"/>
    </row>
    <row r="729">
      <c r="I729" s="27"/>
    </row>
    <row r="730">
      <c r="I730" s="27"/>
    </row>
    <row r="731">
      <c r="I731" s="27"/>
    </row>
    <row r="732">
      <c r="I732" s="27"/>
    </row>
    <row r="733">
      <c r="I733" s="27"/>
    </row>
    <row r="734">
      <c r="I734" s="27"/>
    </row>
    <row r="735">
      <c r="I735" s="27"/>
    </row>
    <row r="736">
      <c r="I736" s="27"/>
    </row>
    <row r="737">
      <c r="I737" s="27"/>
    </row>
    <row r="738">
      <c r="I738" s="27"/>
    </row>
    <row r="739">
      <c r="I739" s="27"/>
    </row>
    <row r="740">
      <c r="I740" s="27"/>
    </row>
    <row r="741">
      <c r="I741" s="27"/>
    </row>
    <row r="742">
      <c r="I742" s="27"/>
    </row>
    <row r="743">
      <c r="I743" s="27"/>
    </row>
    <row r="744">
      <c r="I744" s="27"/>
    </row>
    <row r="745">
      <c r="I745" s="27"/>
    </row>
    <row r="746">
      <c r="I746" s="27"/>
    </row>
    <row r="747">
      <c r="I747" s="27"/>
    </row>
    <row r="748">
      <c r="I748" s="27"/>
    </row>
    <row r="749">
      <c r="I749" s="27"/>
    </row>
    <row r="750">
      <c r="I750" s="27"/>
    </row>
    <row r="751">
      <c r="I751" s="27"/>
    </row>
    <row r="752">
      <c r="I752" s="27"/>
    </row>
    <row r="753">
      <c r="I753" s="27"/>
    </row>
    <row r="754">
      <c r="I754" s="27"/>
    </row>
    <row r="755">
      <c r="I755" s="27"/>
    </row>
    <row r="756">
      <c r="I756" s="27"/>
    </row>
    <row r="757">
      <c r="I757" s="27"/>
    </row>
    <row r="758">
      <c r="I758" s="27"/>
    </row>
    <row r="759">
      <c r="I759" s="27"/>
    </row>
    <row r="760">
      <c r="I760" s="27"/>
    </row>
    <row r="761">
      <c r="I761" s="27"/>
    </row>
    <row r="762">
      <c r="I762" s="27"/>
    </row>
    <row r="763">
      <c r="I763" s="27"/>
    </row>
    <row r="764">
      <c r="I764" s="27"/>
    </row>
    <row r="765">
      <c r="I765" s="27"/>
    </row>
    <row r="766">
      <c r="I766" s="27"/>
    </row>
    <row r="767">
      <c r="I767" s="27"/>
    </row>
    <row r="768">
      <c r="I768" s="27"/>
    </row>
    <row r="769">
      <c r="I769" s="27"/>
    </row>
    <row r="770">
      <c r="I770" s="27"/>
    </row>
    <row r="771">
      <c r="I771" s="27"/>
    </row>
    <row r="772">
      <c r="I772" s="27"/>
    </row>
    <row r="773">
      <c r="I773" s="27"/>
    </row>
    <row r="774">
      <c r="I774" s="27"/>
    </row>
    <row r="775">
      <c r="I775" s="27"/>
    </row>
    <row r="776">
      <c r="I776" s="27"/>
    </row>
    <row r="777">
      <c r="I777" s="27"/>
    </row>
    <row r="778">
      <c r="I778" s="27"/>
    </row>
    <row r="779">
      <c r="I779" s="27"/>
    </row>
    <row r="780">
      <c r="I780" s="27"/>
    </row>
    <row r="781">
      <c r="I781" s="27"/>
    </row>
    <row r="782">
      <c r="I782" s="27"/>
    </row>
    <row r="783">
      <c r="I783" s="27"/>
    </row>
    <row r="784">
      <c r="I784" s="27"/>
    </row>
    <row r="785">
      <c r="I785" s="27"/>
    </row>
    <row r="786">
      <c r="I786" s="27"/>
    </row>
    <row r="787">
      <c r="I787" s="27"/>
    </row>
    <row r="788">
      <c r="I788" s="27"/>
    </row>
    <row r="789">
      <c r="I789" s="27"/>
    </row>
    <row r="790">
      <c r="I790" s="27"/>
    </row>
    <row r="791">
      <c r="I791" s="27"/>
    </row>
    <row r="792">
      <c r="I792" s="27"/>
    </row>
    <row r="793">
      <c r="I793" s="27"/>
    </row>
    <row r="794">
      <c r="I794" s="27"/>
    </row>
    <row r="795">
      <c r="I795" s="27"/>
    </row>
    <row r="796">
      <c r="I796" s="27"/>
    </row>
    <row r="797">
      <c r="I797" s="27"/>
    </row>
    <row r="798">
      <c r="I798" s="27"/>
    </row>
    <row r="799">
      <c r="I799" s="27"/>
    </row>
    <row r="800">
      <c r="I800" s="27"/>
    </row>
    <row r="801">
      <c r="I801" s="27"/>
    </row>
    <row r="802">
      <c r="I802" s="27"/>
    </row>
    <row r="803">
      <c r="I803" s="27"/>
    </row>
    <row r="804">
      <c r="I804" s="27"/>
    </row>
    <row r="805">
      <c r="I805" s="27"/>
    </row>
    <row r="806">
      <c r="I806" s="27"/>
    </row>
    <row r="807">
      <c r="I807" s="27"/>
    </row>
    <row r="808">
      <c r="I808" s="27"/>
    </row>
    <row r="809">
      <c r="I809" s="27"/>
    </row>
    <row r="810">
      <c r="I810" s="27"/>
    </row>
    <row r="811">
      <c r="I811" s="27"/>
    </row>
    <row r="812">
      <c r="I812" s="27"/>
    </row>
    <row r="813">
      <c r="I813" s="27"/>
    </row>
    <row r="814">
      <c r="I814" s="27"/>
    </row>
    <row r="815">
      <c r="I815" s="27"/>
    </row>
    <row r="816">
      <c r="I816" s="27"/>
    </row>
    <row r="817">
      <c r="I817" s="27"/>
    </row>
    <row r="818">
      <c r="I818" s="27"/>
    </row>
    <row r="819">
      <c r="I819" s="27"/>
    </row>
    <row r="820">
      <c r="I820" s="27"/>
    </row>
    <row r="821">
      <c r="I821" s="27"/>
    </row>
    <row r="822">
      <c r="I822" s="27"/>
    </row>
    <row r="823">
      <c r="I823" s="27"/>
    </row>
    <row r="824">
      <c r="I824" s="27"/>
    </row>
    <row r="825">
      <c r="I825" s="27"/>
    </row>
    <row r="826">
      <c r="I826" s="27"/>
    </row>
    <row r="827">
      <c r="I827" s="27"/>
    </row>
    <row r="828">
      <c r="I828" s="27"/>
    </row>
    <row r="829">
      <c r="I829" s="27"/>
    </row>
    <row r="830">
      <c r="I830" s="27"/>
    </row>
    <row r="831">
      <c r="I831" s="27"/>
    </row>
    <row r="832">
      <c r="I832" s="27"/>
    </row>
    <row r="833">
      <c r="I833" s="27"/>
    </row>
    <row r="834">
      <c r="I834" s="27"/>
    </row>
    <row r="835">
      <c r="I835" s="27"/>
    </row>
    <row r="836">
      <c r="I836" s="27"/>
    </row>
    <row r="837">
      <c r="I837" s="27"/>
    </row>
    <row r="838">
      <c r="I838" s="27"/>
    </row>
    <row r="839">
      <c r="I839" s="27"/>
    </row>
    <row r="840">
      <c r="I840" s="27"/>
    </row>
    <row r="841">
      <c r="I841" s="27"/>
    </row>
    <row r="842">
      <c r="I842" s="27"/>
    </row>
    <row r="843">
      <c r="I843" s="27"/>
    </row>
    <row r="844">
      <c r="I844" s="27"/>
    </row>
    <row r="845">
      <c r="I845" s="27"/>
    </row>
    <row r="846">
      <c r="I846" s="27"/>
    </row>
    <row r="847">
      <c r="I847" s="27"/>
    </row>
    <row r="848">
      <c r="I848" s="27"/>
    </row>
    <row r="849">
      <c r="I849" s="27"/>
    </row>
    <row r="850">
      <c r="I850" s="27"/>
    </row>
    <row r="851">
      <c r="I851" s="27"/>
    </row>
    <row r="852">
      <c r="I852" s="27"/>
    </row>
    <row r="853">
      <c r="I853" s="27"/>
    </row>
    <row r="854">
      <c r="I854" s="27"/>
    </row>
    <row r="855">
      <c r="I855" s="27"/>
    </row>
    <row r="856">
      <c r="I856" s="27"/>
    </row>
    <row r="857">
      <c r="I857" s="27"/>
    </row>
    <row r="858">
      <c r="I858" s="27"/>
    </row>
    <row r="859">
      <c r="I859" s="27"/>
    </row>
    <row r="860">
      <c r="I860" s="27"/>
    </row>
    <row r="861">
      <c r="I861" s="27"/>
    </row>
    <row r="862">
      <c r="I862" s="27"/>
    </row>
    <row r="863">
      <c r="I863" s="27"/>
    </row>
    <row r="864">
      <c r="I864" s="27"/>
    </row>
    <row r="865">
      <c r="I865" s="27"/>
    </row>
    <row r="866">
      <c r="I866" s="27"/>
    </row>
    <row r="867">
      <c r="I867" s="27"/>
    </row>
    <row r="868">
      <c r="I868" s="27"/>
    </row>
    <row r="869">
      <c r="I869" s="27"/>
    </row>
    <row r="870">
      <c r="I870" s="27"/>
    </row>
    <row r="871">
      <c r="I871" s="27"/>
    </row>
    <row r="872">
      <c r="I872" s="27"/>
    </row>
    <row r="873">
      <c r="I873" s="27"/>
    </row>
    <row r="874">
      <c r="I874" s="27"/>
    </row>
    <row r="875">
      <c r="I875" s="27"/>
    </row>
    <row r="876">
      <c r="I876" s="27"/>
    </row>
    <row r="877">
      <c r="I877" s="27"/>
    </row>
    <row r="878">
      <c r="I878" s="27"/>
    </row>
    <row r="879">
      <c r="I879" s="27"/>
    </row>
    <row r="880">
      <c r="I880" s="27"/>
    </row>
    <row r="881">
      <c r="I881" s="27"/>
    </row>
    <row r="882">
      <c r="I882" s="27"/>
    </row>
    <row r="883">
      <c r="I883" s="27"/>
    </row>
    <row r="884">
      <c r="I884" s="27"/>
    </row>
    <row r="885">
      <c r="I885" s="27"/>
    </row>
    <row r="886">
      <c r="I886" s="27"/>
    </row>
    <row r="887">
      <c r="I887" s="27"/>
    </row>
    <row r="888">
      <c r="I888" s="27"/>
    </row>
    <row r="889">
      <c r="I889" s="27"/>
    </row>
    <row r="890">
      <c r="I890" s="27"/>
    </row>
    <row r="891">
      <c r="I891" s="27"/>
    </row>
    <row r="892">
      <c r="I892" s="27"/>
    </row>
    <row r="893">
      <c r="I893" s="27"/>
    </row>
    <row r="894">
      <c r="I894" s="27"/>
    </row>
    <row r="895">
      <c r="I895" s="27"/>
    </row>
    <row r="896">
      <c r="I896" s="27"/>
    </row>
    <row r="897">
      <c r="I897" s="27"/>
    </row>
    <row r="898">
      <c r="I898" s="27"/>
    </row>
    <row r="899">
      <c r="I899" s="27"/>
    </row>
    <row r="900">
      <c r="I900" s="27"/>
    </row>
    <row r="901">
      <c r="I901" s="27"/>
    </row>
    <row r="902">
      <c r="I902" s="27"/>
    </row>
    <row r="903">
      <c r="I903" s="27"/>
    </row>
    <row r="904">
      <c r="I904" s="27"/>
    </row>
    <row r="905">
      <c r="I905" s="27"/>
    </row>
    <row r="906">
      <c r="I906" s="27"/>
    </row>
    <row r="907">
      <c r="I907" s="27"/>
    </row>
    <row r="908">
      <c r="I908" s="27"/>
    </row>
    <row r="909">
      <c r="I909" s="27"/>
    </row>
    <row r="910">
      <c r="I910" s="27"/>
    </row>
    <row r="911">
      <c r="I911" s="27"/>
    </row>
    <row r="912">
      <c r="I912" s="27"/>
    </row>
    <row r="913">
      <c r="I913" s="27"/>
    </row>
    <row r="914">
      <c r="I914" s="27"/>
    </row>
    <row r="915">
      <c r="I915" s="27"/>
    </row>
    <row r="916">
      <c r="I916" s="27"/>
    </row>
    <row r="917">
      <c r="I917" s="27"/>
    </row>
    <row r="918">
      <c r="I918" s="27"/>
    </row>
    <row r="919">
      <c r="I919" s="27"/>
    </row>
    <row r="920">
      <c r="I920" s="27"/>
    </row>
    <row r="921">
      <c r="I921" s="27"/>
    </row>
    <row r="922">
      <c r="I922" s="27"/>
    </row>
    <row r="923">
      <c r="I923" s="27"/>
    </row>
    <row r="924">
      <c r="I924" s="27"/>
    </row>
    <row r="925">
      <c r="I925" s="27"/>
    </row>
    <row r="926">
      <c r="I926" s="27"/>
    </row>
    <row r="927">
      <c r="I927" s="27"/>
    </row>
    <row r="928">
      <c r="I928" s="27"/>
    </row>
    <row r="929">
      <c r="I929" s="27"/>
    </row>
    <row r="930">
      <c r="I930" s="27"/>
    </row>
    <row r="931">
      <c r="I931" s="27"/>
    </row>
    <row r="932">
      <c r="I932" s="27"/>
    </row>
    <row r="933">
      <c r="I933" s="27"/>
    </row>
    <row r="934">
      <c r="I934" s="27"/>
    </row>
    <row r="935">
      <c r="I935" s="27"/>
    </row>
    <row r="936">
      <c r="I936" s="27"/>
    </row>
    <row r="937">
      <c r="I937" s="27"/>
    </row>
    <row r="938">
      <c r="I938" s="27"/>
    </row>
    <row r="939">
      <c r="I939" s="27"/>
    </row>
    <row r="940">
      <c r="I940" s="27"/>
    </row>
    <row r="941">
      <c r="I941" s="27"/>
    </row>
    <row r="942">
      <c r="I942" s="27"/>
    </row>
    <row r="943">
      <c r="I943" s="27"/>
    </row>
    <row r="944">
      <c r="I944" s="27"/>
    </row>
    <row r="945">
      <c r="I945" s="27"/>
    </row>
    <row r="946">
      <c r="I946" s="27"/>
    </row>
    <row r="947">
      <c r="I947" s="27"/>
    </row>
    <row r="948">
      <c r="I948" s="27"/>
    </row>
    <row r="949">
      <c r="I949" s="27"/>
    </row>
    <row r="950">
      <c r="I950" s="27"/>
    </row>
    <row r="951">
      <c r="I951" s="27"/>
    </row>
    <row r="952">
      <c r="I952" s="27"/>
    </row>
    <row r="953">
      <c r="I953" s="27"/>
    </row>
    <row r="954">
      <c r="I954" s="27"/>
    </row>
    <row r="955">
      <c r="I955" s="27"/>
    </row>
    <row r="956">
      <c r="I956" s="27"/>
    </row>
    <row r="957">
      <c r="I957" s="27"/>
    </row>
    <row r="958">
      <c r="I958" s="27"/>
    </row>
    <row r="959">
      <c r="I959" s="27"/>
    </row>
    <row r="960">
      <c r="I960" s="27"/>
    </row>
    <row r="961">
      <c r="I961" s="27"/>
    </row>
    <row r="962">
      <c r="I962" s="27"/>
    </row>
    <row r="963">
      <c r="I963" s="27"/>
    </row>
    <row r="964">
      <c r="I964" s="27"/>
    </row>
    <row r="965">
      <c r="I965" s="27"/>
    </row>
    <row r="966">
      <c r="I966" s="27"/>
    </row>
    <row r="967">
      <c r="I967" s="27"/>
    </row>
    <row r="968">
      <c r="I968" s="27"/>
    </row>
    <row r="969">
      <c r="I969" s="27"/>
    </row>
    <row r="970">
      <c r="I970" s="27"/>
    </row>
    <row r="971">
      <c r="I971" s="27"/>
    </row>
    <row r="972">
      <c r="I972" s="27"/>
    </row>
    <row r="973">
      <c r="I973" s="27"/>
    </row>
    <row r="974">
      <c r="I974" s="27"/>
    </row>
    <row r="975">
      <c r="I975" s="27"/>
    </row>
    <row r="976">
      <c r="I976" s="27"/>
    </row>
    <row r="977">
      <c r="I977" s="27"/>
    </row>
    <row r="978">
      <c r="I978" s="27"/>
    </row>
    <row r="979">
      <c r="I979" s="27"/>
    </row>
    <row r="980">
      <c r="I980" s="27"/>
    </row>
    <row r="981">
      <c r="I981" s="27"/>
    </row>
    <row r="982">
      <c r="I982" s="27"/>
    </row>
    <row r="983">
      <c r="I983" s="27"/>
    </row>
    <row r="984">
      <c r="I984" s="27"/>
    </row>
    <row r="985">
      <c r="I985" s="27"/>
    </row>
    <row r="986">
      <c r="I986" s="27"/>
    </row>
    <row r="987">
      <c r="I987" s="27"/>
    </row>
    <row r="988">
      <c r="I988" s="27"/>
    </row>
    <row r="989">
      <c r="I989" s="27"/>
    </row>
    <row r="990">
      <c r="I990" s="27"/>
    </row>
    <row r="991">
      <c r="I991" s="27"/>
    </row>
    <row r="992">
      <c r="I992" s="27"/>
    </row>
    <row r="993">
      <c r="I993" s="27"/>
    </row>
    <row r="994">
      <c r="I994" s="27"/>
    </row>
    <row r="995">
      <c r="I995" s="27"/>
    </row>
    <row r="996">
      <c r="I996" s="27"/>
    </row>
    <row r="997">
      <c r="I997" s="27"/>
    </row>
    <row r="998">
      <c r="I998" s="27"/>
    </row>
    <row r="999">
      <c r="I999" s="27"/>
    </row>
    <row r="1000">
      <c r="I1000" s="27"/>
    </row>
    <row r="1001">
      <c r="I1001" s="27"/>
    </row>
  </sheetData>
  <conditionalFormatting sqref="D41:E41 F50:G50">
    <cfRule type="cellIs" dxfId="0" priority="1" operator="lessThan">
      <formula>0</formula>
    </cfRule>
  </conditionalFormatting>
  <conditionalFormatting sqref="D50:E50">
    <cfRule type="cellIs" dxfId="0" priority="2" operator="lessThan">
      <formula>0</formula>
    </cfRule>
  </conditionalFormatting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9.38"/>
    <col customWidth="1" min="10" max="10" width="20.63"/>
    <col customWidth="1" min="11" max="11" width="11.25"/>
    <col customWidth="1" min="12" max="12" width="9.25"/>
    <col customWidth="1" min="13" max="14" width="9.5"/>
  </cols>
  <sheetData>
    <row r="1">
      <c r="A1" s="18" t="s">
        <v>346</v>
      </c>
      <c r="B1" s="199" t="s">
        <v>296</v>
      </c>
      <c r="J1" s="107"/>
    </row>
    <row r="2">
      <c r="B2" s="18" t="s">
        <v>240</v>
      </c>
      <c r="C2" s="249">
        <v>13.0</v>
      </c>
      <c r="J2" s="27"/>
    </row>
    <row r="3">
      <c r="B3" s="18" t="s">
        <v>241</v>
      </c>
      <c r="C3" s="249">
        <f>62.92/2</f>
        <v>31.46</v>
      </c>
      <c r="J3" s="27"/>
    </row>
    <row r="4">
      <c r="B4" s="18" t="s">
        <v>242</v>
      </c>
      <c r="C4" s="249">
        <v>13.0</v>
      </c>
      <c r="J4" s="27"/>
      <c r="K4" s="107"/>
      <c r="L4" s="107"/>
      <c r="O4" s="17"/>
    </row>
    <row r="5">
      <c r="B5" s="18" t="s">
        <v>285</v>
      </c>
      <c r="C5" s="249">
        <v>42.0</v>
      </c>
      <c r="J5" s="27"/>
      <c r="K5" s="107"/>
      <c r="L5" s="107"/>
      <c r="O5" s="32"/>
    </row>
    <row r="6">
      <c r="B6" s="18" t="s">
        <v>324</v>
      </c>
      <c r="C6" s="249">
        <v>6.0</v>
      </c>
      <c r="J6" s="301" t="s">
        <v>325</v>
      </c>
      <c r="K6" s="107"/>
      <c r="L6" s="107"/>
      <c r="O6" s="30"/>
    </row>
    <row r="7">
      <c r="C7" s="276">
        <f>SUM(C2:C6)</f>
        <v>105.46</v>
      </c>
      <c r="J7" s="302" t="s">
        <v>119</v>
      </c>
      <c r="K7" s="302" t="s">
        <v>120</v>
      </c>
      <c r="L7" s="27"/>
    </row>
    <row r="8">
      <c r="H8" s="18" t="s">
        <v>366</v>
      </c>
      <c r="J8" s="7" t="s">
        <v>347</v>
      </c>
      <c r="K8" s="7" t="s">
        <v>348</v>
      </c>
      <c r="L8" s="107"/>
    </row>
    <row r="9">
      <c r="B9" s="55" t="s">
        <v>122</v>
      </c>
      <c r="C9" s="56"/>
      <c r="D9" s="254" t="s">
        <v>134</v>
      </c>
      <c r="E9" s="254" t="s">
        <v>123</v>
      </c>
      <c r="F9" s="254" t="s">
        <v>124</v>
      </c>
      <c r="G9" s="253" t="s">
        <v>125</v>
      </c>
      <c r="H9" s="254" t="s">
        <v>126</v>
      </c>
      <c r="J9" s="7" t="s">
        <v>328</v>
      </c>
      <c r="K9" s="7" t="s">
        <v>349</v>
      </c>
      <c r="L9" s="107"/>
      <c r="N9" s="18"/>
      <c r="O9" s="18"/>
    </row>
    <row r="10">
      <c r="B10" s="59" t="s">
        <v>129</v>
      </c>
      <c r="C10" s="60"/>
      <c r="D10" s="113">
        <v>8257.5</v>
      </c>
      <c r="E10" s="113">
        <v>8402.25</v>
      </c>
      <c r="F10" s="113">
        <v>8402.25</v>
      </c>
      <c r="G10" s="113">
        <v>8402.25</v>
      </c>
      <c r="H10" s="113">
        <v>8402.25</v>
      </c>
      <c r="J10" s="7"/>
      <c r="K10" s="7" t="s">
        <v>192</v>
      </c>
      <c r="L10" s="107"/>
      <c r="N10" s="18"/>
    </row>
    <row r="11">
      <c r="B11" s="59" t="s">
        <v>136</v>
      </c>
      <c r="C11" s="60"/>
      <c r="D11" s="114">
        <f>2040+3294.58</f>
        <v>5334.58</v>
      </c>
      <c r="E11" s="114">
        <f>2040+3421.67</f>
        <v>5461.67</v>
      </c>
      <c r="F11" s="114">
        <v>5721.67</v>
      </c>
      <c r="G11" s="114">
        <f>2160+3065.41+512.46</f>
        <v>5737.87</v>
      </c>
      <c r="H11" s="114">
        <v>5721.67</v>
      </c>
      <c r="J11" s="303"/>
      <c r="K11" s="107"/>
      <c r="L11" s="27"/>
      <c r="N11" s="18"/>
    </row>
    <row r="12">
      <c r="B12" s="59" t="s">
        <v>137</v>
      </c>
      <c r="C12" s="60"/>
      <c r="D12" s="313"/>
      <c r="E12" s="114"/>
      <c r="F12" s="114"/>
      <c r="G12" s="114"/>
      <c r="H12" s="114"/>
      <c r="J12" s="363"/>
      <c r="K12" s="107"/>
      <c r="L12" s="107"/>
      <c r="N12" s="18"/>
    </row>
    <row r="13">
      <c r="B13" s="59" t="s">
        <v>138</v>
      </c>
      <c r="C13" s="60"/>
      <c r="D13" s="348"/>
      <c r="E13" s="117"/>
      <c r="F13" s="117"/>
      <c r="G13" s="114"/>
      <c r="H13" s="114"/>
      <c r="J13" s="32"/>
      <c r="K13" s="107"/>
      <c r="L13" s="107"/>
      <c r="N13" s="18"/>
    </row>
    <row r="14">
      <c r="B14" s="67" t="s">
        <v>139</v>
      </c>
      <c r="C14" s="68"/>
      <c r="D14" s="315">
        <f t="shared" ref="D14:H14" si="1">SUM(D10:D13)</f>
        <v>13592.08</v>
      </c>
      <c r="E14" s="315">
        <f t="shared" si="1"/>
        <v>13863.92</v>
      </c>
      <c r="F14" s="119">
        <f t="shared" si="1"/>
        <v>14123.92</v>
      </c>
      <c r="G14" s="119">
        <f t="shared" si="1"/>
        <v>14140.12</v>
      </c>
      <c r="H14" s="119">
        <f t="shared" si="1"/>
        <v>14123.92</v>
      </c>
      <c r="J14" s="248"/>
      <c r="K14" s="107"/>
      <c r="L14" s="107"/>
      <c r="N14" s="18"/>
      <c r="O14" s="12">
        <f>150-54.2</f>
        <v>95.8</v>
      </c>
      <c r="Q14" s="107"/>
    </row>
    <row r="15">
      <c r="D15" s="311"/>
      <c r="E15" s="311"/>
      <c r="J15" s="32"/>
      <c r="K15" s="107"/>
      <c r="N15" s="18"/>
      <c r="Q15" s="27"/>
    </row>
    <row r="16">
      <c r="B16" s="70" t="s">
        <v>140</v>
      </c>
      <c r="C16" s="71"/>
      <c r="D16" s="316" t="s">
        <v>123</v>
      </c>
      <c r="E16" s="316" t="s">
        <v>124</v>
      </c>
      <c r="F16" s="316" t="s">
        <v>125</v>
      </c>
      <c r="G16" s="316" t="s">
        <v>126</v>
      </c>
      <c r="H16" s="316" t="s">
        <v>127</v>
      </c>
      <c r="J16" s="107"/>
      <c r="K16" s="26"/>
      <c r="L16" s="107"/>
      <c r="N16" s="18"/>
    </row>
    <row r="17">
      <c r="B17" s="121" t="s">
        <v>141</v>
      </c>
      <c r="C17" s="122"/>
      <c r="D17" s="378">
        <v>350.0</v>
      </c>
      <c r="E17" s="378">
        <v>350.0</v>
      </c>
      <c r="F17" s="378">
        <v>350.0</v>
      </c>
      <c r="G17" s="123">
        <v>0.0</v>
      </c>
      <c r="H17" s="378">
        <v>350.0</v>
      </c>
      <c r="J17" s="107" t="s">
        <v>331</v>
      </c>
      <c r="K17" s="192"/>
      <c r="N17" s="18"/>
    </row>
    <row r="18">
      <c r="B18" s="121" t="s">
        <v>142</v>
      </c>
      <c r="C18" s="122"/>
      <c r="D18" s="378">
        <v>200.0</v>
      </c>
      <c r="E18" s="378">
        <v>200.0</v>
      </c>
      <c r="F18" s="378">
        <v>200.0</v>
      </c>
      <c r="G18" s="378">
        <v>200.0</v>
      </c>
      <c r="H18" s="378">
        <v>200.0</v>
      </c>
      <c r="J18" s="192"/>
      <c r="K18" s="26" t="s">
        <v>27</v>
      </c>
      <c r="L18" s="26" t="s">
        <v>274</v>
      </c>
      <c r="M18" s="26" t="s">
        <v>351</v>
      </c>
      <c r="N18" s="26" t="s">
        <v>333</v>
      </c>
      <c r="O18" s="26" t="s">
        <v>367</v>
      </c>
      <c r="P18" s="376" t="s">
        <v>368</v>
      </c>
      <c r="Q18" s="26" t="s">
        <v>48</v>
      </c>
      <c r="R18" s="18" t="s">
        <v>369</v>
      </c>
    </row>
    <row r="19">
      <c r="B19" s="121" t="s">
        <v>143</v>
      </c>
      <c r="C19" s="122"/>
      <c r="D19" s="379">
        <v>174.85</v>
      </c>
      <c r="E19" s="379">
        <v>174.85</v>
      </c>
      <c r="F19" s="379">
        <v>174.85</v>
      </c>
      <c r="G19" s="396">
        <f>126.4/2</f>
        <v>63.2</v>
      </c>
      <c r="H19" s="396">
        <v>79.3</v>
      </c>
      <c r="J19" s="121" t="s">
        <v>141</v>
      </c>
      <c r="K19" s="123">
        <v>0.0</v>
      </c>
      <c r="L19" s="27"/>
      <c r="M19" s="123"/>
      <c r="N19" s="247"/>
      <c r="O19" s="27"/>
      <c r="P19" s="27"/>
      <c r="Q19" s="27"/>
      <c r="R19" s="27"/>
    </row>
    <row r="20">
      <c r="B20" s="121" t="s">
        <v>144</v>
      </c>
      <c r="C20" s="122"/>
      <c r="D20" s="378">
        <v>100.0</v>
      </c>
      <c r="E20" s="378">
        <v>100.0</v>
      </c>
      <c r="F20" s="378">
        <v>100.0</v>
      </c>
      <c r="G20" s="378">
        <v>100.0</v>
      </c>
      <c r="H20" s="378">
        <v>100.0</v>
      </c>
      <c r="J20" s="121" t="s">
        <v>142</v>
      </c>
      <c r="L20" s="27"/>
      <c r="M20" s="123">
        <v>200.0</v>
      </c>
      <c r="N20" s="247"/>
      <c r="O20" s="27"/>
      <c r="P20" s="27"/>
      <c r="Q20" s="27"/>
      <c r="R20" s="27"/>
    </row>
    <row r="21">
      <c r="B21" s="121" t="s">
        <v>145</v>
      </c>
      <c r="C21" s="122"/>
      <c r="D21" s="378">
        <v>2500.0</v>
      </c>
      <c r="E21" s="378">
        <v>2500.0</v>
      </c>
      <c r="F21" s="378">
        <v>2500.0</v>
      </c>
      <c r="G21" s="378">
        <v>2500.0</v>
      </c>
      <c r="H21" s="378">
        <v>3000.0</v>
      </c>
      <c r="J21" s="121" t="s">
        <v>143</v>
      </c>
      <c r="L21" s="27"/>
      <c r="M21" s="397">
        <f>126.4/2</f>
        <v>63.2</v>
      </c>
      <c r="N21" s="247"/>
      <c r="O21" s="305"/>
      <c r="P21" s="27"/>
      <c r="Q21" s="27"/>
      <c r="R21" s="27"/>
    </row>
    <row r="22">
      <c r="B22" s="121" t="s">
        <v>146</v>
      </c>
      <c r="C22" s="126" t="s">
        <v>147</v>
      </c>
      <c r="D22" s="378">
        <v>400.0</v>
      </c>
      <c r="E22" s="378">
        <v>400.0</v>
      </c>
      <c r="F22" s="378">
        <v>404.8</v>
      </c>
      <c r="G22" s="378">
        <v>400.0</v>
      </c>
      <c r="H22" s="378">
        <v>400.0</v>
      </c>
      <c r="J22" s="121" t="s">
        <v>144</v>
      </c>
      <c r="K22" s="123">
        <v>50.0</v>
      </c>
      <c r="L22" s="107">
        <v>50.0</v>
      </c>
      <c r="M22" s="123"/>
      <c r="N22" s="247"/>
      <c r="O22" s="27"/>
      <c r="P22" s="27"/>
      <c r="Q22" s="27"/>
      <c r="R22" s="27"/>
    </row>
    <row r="23">
      <c r="B23" s="127" t="s">
        <v>180</v>
      </c>
      <c r="C23" s="128"/>
      <c r="D23" s="378">
        <v>0.0</v>
      </c>
      <c r="E23" s="378">
        <v>0.0</v>
      </c>
      <c r="F23" s="378">
        <v>0.0</v>
      </c>
      <c r="G23" s="123">
        <v>0.0</v>
      </c>
      <c r="H23" s="378">
        <v>0.0</v>
      </c>
      <c r="J23" s="121" t="s">
        <v>145</v>
      </c>
      <c r="L23" s="27"/>
      <c r="M23" s="378"/>
      <c r="N23" s="378">
        <v>2500.0</v>
      </c>
      <c r="O23" s="27"/>
      <c r="P23" s="27"/>
      <c r="Q23" s="27"/>
      <c r="R23" s="27"/>
    </row>
    <row r="24">
      <c r="B24" s="121" t="s">
        <v>148</v>
      </c>
      <c r="C24" s="122"/>
      <c r="D24" s="378">
        <v>500.0</v>
      </c>
      <c r="E24" s="378">
        <v>500.0</v>
      </c>
      <c r="F24" s="378">
        <v>500.0</v>
      </c>
      <c r="G24" s="123">
        <v>500.0</v>
      </c>
      <c r="H24" s="378">
        <v>500.0</v>
      </c>
      <c r="J24" s="121" t="s">
        <v>146</v>
      </c>
      <c r="K24" s="123">
        <v>204.8</v>
      </c>
      <c r="L24" s="123">
        <v>200.0</v>
      </c>
      <c r="M24" s="27"/>
      <c r="N24" s="247"/>
      <c r="O24" s="27"/>
      <c r="P24" s="27"/>
      <c r="Q24" s="27"/>
      <c r="R24" s="27"/>
    </row>
    <row r="25">
      <c r="B25" s="121" t="s">
        <v>149</v>
      </c>
      <c r="C25" s="122"/>
      <c r="D25" s="378">
        <v>500.0</v>
      </c>
      <c r="E25" s="378">
        <v>500.0</v>
      </c>
      <c r="F25" s="378">
        <v>500.0</v>
      </c>
      <c r="G25" s="123">
        <v>500.0</v>
      </c>
      <c r="H25" s="378">
        <v>500.0</v>
      </c>
      <c r="J25" s="127" t="s">
        <v>180</v>
      </c>
      <c r="K25" s="123"/>
      <c r="L25" s="378"/>
      <c r="M25" s="372"/>
      <c r="N25" s="247"/>
      <c r="O25" s="27"/>
      <c r="P25" s="27"/>
      <c r="Q25" s="27"/>
      <c r="R25" s="27"/>
    </row>
    <row r="26">
      <c r="B26" s="127" t="s">
        <v>181</v>
      </c>
      <c r="C26" s="128"/>
      <c r="D26" s="378">
        <v>650.0</v>
      </c>
      <c r="E26" s="378">
        <v>150.0</v>
      </c>
      <c r="F26" s="378">
        <v>150.0</v>
      </c>
      <c r="G26" s="123">
        <v>150.0</v>
      </c>
      <c r="H26" s="378">
        <v>150.0</v>
      </c>
      <c r="J26" s="121" t="s">
        <v>148</v>
      </c>
      <c r="L26" s="27"/>
      <c r="M26" s="123">
        <v>500.0</v>
      </c>
      <c r="N26" s="247"/>
      <c r="P26" s="27"/>
      <c r="Q26" s="27"/>
      <c r="R26" s="27"/>
    </row>
    <row r="27">
      <c r="B27" s="121" t="s">
        <v>150</v>
      </c>
      <c r="C27" s="122"/>
      <c r="D27" s="378">
        <v>400.0</v>
      </c>
      <c r="E27" s="378">
        <v>400.0</v>
      </c>
      <c r="F27" s="378">
        <v>400.0</v>
      </c>
      <c r="G27" s="378">
        <v>400.0</v>
      </c>
      <c r="H27" s="378">
        <v>400.0</v>
      </c>
      <c r="J27" s="121" t="s">
        <v>149</v>
      </c>
      <c r="L27" s="27"/>
      <c r="M27" s="123">
        <v>500.0</v>
      </c>
      <c r="N27" s="247"/>
      <c r="O27" s="27"/>
      <c r="P27" s="27"/>
      <c r="Q27" s="27"/>
      <c r="R27" s="27"/>
    </row>
    <row r="28">
      <c r="B28" s="127" t="s">
        <v>182</v>
      </c>
      <c r="C28" s="128"/>
      <c r="D28" s="378"/>
      <c r="E28" s="378"/>
      <c r="F28" s="378"/>
      <c r="G28" s="123">
        <v>160.0</v>
      </c>
      <c r="H28" s="378">
        <v>160.0</v>
      </c>
      <c r="J28" s="127"/>
      <c r="L28" s="27"/>
      <c r="M28" s="123">
        <v>160.0</v>
      </c>
      <c r="N28" s="247"/>
      <c r="O28" s="27"/>
      <c r="P28" s="27"/>
      <c r="Q28" s="27"/>
      <c r="R28" s="27"/>
    </row>
    <row r="29">
      <c r="B29" s="127" t="s">
        <v>183</v>
      </c>
      <c r="C29" s="128"/>
      <c r="D29" s="378">
        <v>400.0</v>
      </c>
      <c r="E29" s="378">
        <v>400.0</v>
      </c>
      <c r="F29" s="378">
        <v>400.0</v>
      </c>
      <c r="G29" s="123">
        <v>400.0</v>
      </c>
      <c r="H29" s="378">
        <v>400.0</v>
      </c>
      <c r="J29" s="127" t="s">
        <v>181</v>
      </c>
      <c r="L29" s="27"/>
      <c r="M29" s="123">
        <v>150.0</v>
      </c>
      <c r="N29" s="247"/>
      <c r="O29" s="27"/>
      <c r="P29" s="27"/>
      <c r="Q29" s="27"/>
      <c r="R29" s="27"/>
    </row>
    <row r="30">
      <c r="B30" s="121" t="s">
        <v>152</v>
      </c>
      <c r="C30" s="122"/>
      <c r="D30" s="390"/>
      <c r="E30" s="390"/>
      <c r="F30" s="378"/>
      <c r="G30" s="378"/>
      <c r="H30" s="378"/>
      <c r="J30" s="121" t="s">
        <v>150</v>
      </c>
      <c r="L30" s="378">
        <v>400.0</v>
      </c>
      <c r="M30" s="27"/>
      <c r="N30" s="247"/>
      <c r="O30" s="27"/>
      <c r="P30" s="27"/>
      <c r="Q30" s="27"/>
      <c r="R30" s="27"/>
    </row>
    <row r="31">
      <c r="B31" s="121" t="s">
        <v>154</v>
      </c>
      <c r="C31" s="122"/>
      <c r="D31" s="378">
        <v>122.0</v>
      </c>
      <c r="E31" s="378">
        <v>105.46</v>
      </c>
      <c r="F31" s="378">
        <v>105.46</v>
      </c>
      <c r="G31" s="378">
        <v>105.46</v>
      </c>
      <c r="H31" s="378">
        <v>105.46</v>
      </c>
      <c r="J31" s="127" t="s">
        <v>183</v>
      </c>
      <c r="L31" s="27"/>
      <c r="M31" s="247"/>
      <c r="N31" s="247"/>
      <c r="O31" s="107"/>
      <c r="P31" s="378">
        <v>400.0</v>
      </c>
      <c r="Q31" s="27"/>
      <c r="R31" s="27"/>
    </row>
    <row r="32">
      <c r="B32" s="121" t="s">
        <v>155</v>
      </c>
      <c r="C32" s="122"/>
      <c r="D32" s="390"/>
      <c r="E32" s="390"/>
      <c r="F32" s="390"/>
      <c r="G32" s="390"/>
      <c r="H32" s="390"/>
      <c r="J32" s="121" t="s">
        <v>152</v>
      </c>
      <c r="K32" s="123"/>
      <c r="L32" s="378"/>
      <c r="M32" s="383"/>
      <c r="N32" s="372"/>
      <c r="O32" s="27"/>
      <c r="P32" s="27"/>
      <c r="Q32" s="27"/>
      <c r="R32" s="27"/>
    </row>
    <row r="33">
      <c r="B33" s="121" t="s">
        <v>156</v>
      </c>
      <c r="C33" s="122"/>
      <c r="D33" s="378">
        <v>150.0</v>
      </c>
      <c r="E33" s="378">
        <v>150.0</v>
      </c>
      <c r="F33" s="378"/>
      <c r="G33" s="378">
        <v>150.0</v>
      </c>
      <c r="H33" s="378">
        <v>150.0</v>
      </c>
      <c r="J33" s="121" t="s">
        <v>154</v>
      </c>
      <c r="K33" s="123">
        <v>92.46</v>
      </c>
      <c r="L33" s="378">
        <v>13.0</v>
      </c>
      <c r="M33" s="383"/>
      <c r="N33" s="247"/>
      <c r="O33" s="27"/>
      <c r="P33" s="378"/>
      <c r="Q33" s="27"/>
      <c r="R33" s="27"/>
      <c r="S33" s="32"/>
    </row>
    <row r="34">
      <c r="B34" s="121" t="s">
        <v>157</v>
      </c>
      <c r="C34" s="122"/>
      <c r="D34" s="378">
        <v>50.0</v>
      </c>
      <c r="E34" s="378">
        <v>50.0</v>
      </c>
      <c r="F34" s="378">
        <v>50.0</v>
      </c>
      <c r="G34" s="378">
        <v>50.0</v>
      </c>
      <c r="H34" s="378">
        <v>50.0</v>
      </c>
      <c r="J34" s="121" t="s">
        <v>155</v>
      </c>
      <c r="K34" s="131"/>
      <c r="L34" s="378"/>
      <c r="M34" s="383"/>
      <c r="N34" s="247"/>
      <c r="O34" s="107"/>
      <c r="P34" s="27"/>
      <c r="Q34" s="27"/>
      <c r="R34" s="378"/>
      <c r="T34" s="18"/>
    </row>
    <row r="35">
      <c r="B35" s="121" t="s">
        <v>158</v>
      </c>
      <c r="C35" s="122"/>
      <c r="D35" s="390"/>
      <c r="E35" s="390"/>
      <c r="F35" s="390"/>
      <c r="G35" s="390"/>
      <c r="H35" s="390"/>
      <c r="J35" s="121" t="s">
        <v>156</v>
      </c>
      <c r="L35" s="378"/>
      <c r="M35" s="247"/>
      <c r="N35" s="247"/>
      <c r="O35" s="107"/>
      <c r="P35" s="378">
        <v>150.0</v>
      </c>
      <c r="Q35" s="27"/>
      <c r="R35" s="27"/>
      <c r="T35" s="18"/>
    </row>
    <row r="36">
      <c r="B36" s="121" t="s">
        <v>159</v>
      </c>
      <c r="C36" s="122"/>
      <c r="D36" s="378">
        <f t="shared" ref="D36:E36" si="2">400+400+150</f>
        <v>950</v>
      </c>
      <c r="E36" s="378">
        <f t="shared" si="2"/>
        <v>950</v>
      </c>
      <c r="F36" s="378">
        <v>950.0</v>
      </c>
      <c r="G36" s="378">
        <v>950.0</v>
      </c>
      <c r="H36" s="378">
        <v>950.0</v>
      </c>
      <c r="J36" s="121" t="s">
        <v>157</v>
      </c>
      <c r="L36" s="378"/>
      <c r="M36" s="247"/>
      <c r="N36" s="247"/>
      <c r="O36" s="107"/>
      <c r="P36" s="27"/>
      <c r="Q36" s="27"/>
      <c r="R36" s="378">
        <v>50.0</v>
      </c>
    </row>
    <row r="37">
      <c r="B37" s="121" t="s">
        <v>160</v>
      </c>
      <c r="C37" s="122"/>
      <c r="D37" s="378">
        <v>3000.0</v>
      </c>
      <c r="E37" s="378">
        <v>3000.0</v>
      </c>
      <c r="F37" s="378">
        <v>3000.0</v>
      </c>
      <c r="G37" s="378">
        <v>3000.0</v>
      </c>
      <c r="H37" s="378">
        <v>3000.0</v>
      </c>
      <c r="J37" s="121" t="s">
        <v>158</v>
      </c>
      <c r="K37" s="131"/>
      <c r="L37" s="378"/>
      <c r="M37" s="27"/>
      <c r="N37" s="378"/>
      <c r="O37" s="27"/>
      <c r="P37" s="27"/>
      <c r="Q37" s="27"/>
      <c r="R37" s="27"/>
    </row>
    <row r="38">
      <c r="B38" s="127" t="s">
        <v>184</v>
      </c>
      <c r="C38" s="128"/>
      <c r="D38" s="377">
        <v>1087.8499999999985</v>
      </c>
      <c r="E38" s="378">
        <v>700.0</v>
      </c>
      <c r="F38" s="378">
        <v>700.0</v>
      </c>
      <c r="G38" s="378">
        <v>700.0</v>
      </c>
      <c r="H38" s="378">
        <v>700.0</v>
      </c>
      <c r="J38" s="121" t="s">
        <v>159</v>
      </c>
      <c r="K38" s="123">
        <v>400.0</v>
      </c>
      <c r="L38" s="123">
        <v>550.0</v>
      </c>
      <c r="M38" s="27"/>
      <c r="N38" s="27"/>
      <c r="O38" s="378"/>
      <c r="P38" s="27"/>
      <c r="Q38" s="27"/>
      <c r="R38" s="27"/>
    </row>
    <row r="39">
      <c r="B39" s="127" t="s">
        <v>3</v>
      </c>
      <c r="C39" s="128"/>
      <c r="D39" s="378">
        <v>500.0</v>
      </c>
      <c r="E39" s="378">
        <v>500.0</v>
      </c>
      <c r="F39" s="378">
        <v>500.0</v>
      </c>
      <c r="G39" s="378">
        <v>500.0</v>
      </c>
      <c r="H39" s="378">
        <v>500.0</v>
      </c>
      <c r="J39" s="121" t="s">
        <v>160</v>
      </c>
      <c r="K39" s="123">
        <v>1500.0</v>
      </c>
      <c r="L39" s="123">
        <v>1500.0</v>
      </c>
      <c r="M39" s="27"/>
      <c r="N39" s="27"/>
      <c r="O39" s="27"/>
      <c r="P39" s="27"/>
      <c r="Q39" s="107"/>
      <c r="R39" s="27"/>
    </row>
    <row r="40">
      <c r="B40" s="67" t="s">
        <v>161</v>
      </c>
      <c r="C40" s="68"/>
      <c r="D40" s="132">
        <f t="shared" ref="D40:H40" si="3">SUM(D17:D39)*-1</f>
        <v>-12034.7</v>
      </c>
      <c r="E40" s="132">
        <f t="shared" si="3"/>
        <v>-11130.31</v>
      </c>
      <c r="F40" s="132">
        <f t="shared" si="3"/>
        <v>-10985.11</v>
      </c>
      <c r="G40" s="132">
        <f t="shared" si="3"/>
        <v>-10828.66</v>
      </c>
      <c r="H40" s="132">
        <f t="shared" si="3"/>
        <v>-11694.76</v>
      </c>
      <c r="J40" s="127" t="s">
        <v>184</v>
      </c>
      <c r="N40" s="378">
        <v>700.0</v>
      </c>
    </row>
    <row r="41">
      <c r="J41" s="127" t="s">
        <v>3</v>
      </c>
      <c r="O41" s="378">
        <v>500.0</v>
      </c>
      <c r="Q41" s="27"/>
    </row>
    <row r="42">
      <c r="B42" s="80" t="s">
        <v>162</v>
      </c>
      <c r="C42" s="81"/>
      <c r="D42" s="82">
        <f t="shared" ref="D42:H42" si="4">D14+D40</f>
        <v>1557.38</v>
      </c>
      <c r="E42" s="82">
        <f t="shared" si="4"/>
        <v>2733.61</v>
      </c>
      <c r="F42" s="82">
        <f t="shared" si="4"/>
        <v>3138.81</v>
      </c>
      <c r="G42" s="82">
        <f t="shared" si="4"/>
        <v>3311.46</v>
      </c>
      <c r="H42" s="82">
        <f t="shared" si="4"/>
        <v>2429.16</v>
      </c>
      <c r="O42" s="378"/>
      <c r="Q42" s="378">
        <f>4379.61-M43</f>
        <v>2806.41</v>
      </c>
    </row>
    <row r="43">
      <c r="B43" s="83"/>
      <c r="C43" s="83"/>
      <c r="D43" s="84"/>
      <c r="E43" s="84"/>
      <c r="F43" s="84"/>
      <c r="G43" s="84"/>
      <c r="H43" s="84"/>
      <c r="J43" s="7" t="s">
        <v>26</v>
      </c>
      <c r="K43" s="373">
        <f t="shared" ref="K43:R43" si="5">SUM(K19:K42)</f>
        <v>2247.26</v>
      </c>
      <c r="L43" s="325">
        <f t="shared" si="5"/>
        <v>2713</v>
      </c>
      <c r="M43" s="373">
        <f t="shared" si="5"/>
        <v>1573.2</v>
      </c>
      <c r="N43" s="325">
        <f t="shared" si="5"/>
        <v>3200</v>
      </c>
      <c r="O43" s="325">
        <f t="shared" si="5"/>
        <v>500</v>
      </c>
      <c r="P43" s="325">
        <f t="shared" si="5"/>
        <v>550</v>
      </c>
      <c r="Q43" s="325">
        <f t="shared" si="5"/>
        <v>2806.41</v>
      </c>
      <c r="R43" s="325">
        <f t="shared" si="5"/>
        <v>50</v>
      </c>
    </row>
    <row r="44">
      <c r="B44" s="85" t="s">
        <v>163</v>
      </c>
      <c r="C44" s="86"/>
      <c r="D44" s="57" t="s">
        <v>123</v>
      </c>
      <c r="E44" s="57" t="s">
        <v>124</v>
      </c>
      <c r="F44" s="57" t="s">
        <v>125</v>
      </c>
      <c r="G44" s="57" t="s">
        <v>126</v>
      </c>
      <c r="H44" s="57" t="s">
        <v>126</v>
      </c>
      <c r="J44" s="107" t="s">
        <v>371</v>
      </c>
      <c r="K44" s="391">
        <f>F10-K43</f>
        <v>6154.99</v>
      </c>
      <c r="L44" s="386"/>
      <c r="M44" s="287"/>
    </row>
    <row r="45">
      <c r="B45" s="87" t="s">
        <v>185</v>
      </c>
      <c r="C45" s="88"/>
      <c r="D45" s="89"/>
      <c r="E45" s="89"/>
      <c r="F45" s="89"/>
      <c r="G45" s="134">
        <v>512.46</v>
      </c>
      <c r="H45" s="134">
        <v>512.46</v>
      </c>
      <c r="J45" s="325" t="s">
        <v>353</v>
      </c>
      <c r="L45" s="12">
        <f>3065.41-L43</f>
        <v>352.41</v>
      </c>
    </row>
    <row r="46">
      <c r="A46" s="298">
        <v>45020.0</v>
      </c>
      <c r="B46" s="87" t="s">
        <v>58</v>
      </c>
      <c r="C46" s="88"/>
      <c r="D46" s="91"/>
      <c r="E46" s="91"/>
      <c r="F46" s="91"/>
      <c r="G46" s="91"/>
      <c r="H46" s="91"/>
      <c r="J46" s="107"/>
    </row>
    <row r="47">
      <c r="B47" s="87"/>
      <c r="C47" s="88"/>
      <c r="D47" s="91"/>
      <c r="E47" s="91"/>
      <c r="F47" s="91"/>
      <c r="G47" s="91"/>
      <c r="H47" s="91"/>
      <c r="J47" s="107"/>
    </row>
    <row r="48">
      <c r="B48" s="92"/>
      <c r="C48" s="93"/>
      <c r="D48" s="94"/>
      <c r="E48" s="94"/>
      <c r="F48" s="94"/>
      <c r="G48" s="94"/>
      <c r="H48" s="94"/>
      <c r="J48" s="107"/>
      <c r="N48" s="387"/>
      <c r="Q48" s="387"/>
    </row>
    <row r="49">
      <c r="B49" s="67" t="s">
        <v>167</v>
      </c>
      <c r="C49" s="95">
        <f>SUM(C45:C48)</f>
        <v>0</v>
      </c>
      <c r="D49" s="78">
        <f t="shared" ref="D49:H49" si="6">SUM(D45:D48)*-1</f>
        <v>0</v>
      </c>
      <c r="E49" s="78">
        <f t="shared" si="6"/>
        <v>0</v>
      </c>
      <c r="F49" s="78">
        <f t="shared" si="6"/>
        <v>0</v>
      </c>
      <c r="G49" s="78">
        <f t="shared" si="6"/>
        <v>-512.46</v>
      </c>
      <c r="H49" s="78">
        <f t="shared" si="6"/>
        <v>-512.46</v>
      </c>
      <c r="J49" s="394" t="s">
        <v>48</v>
      </c>
      <c r="K49" s="395"/>
      <c r="L49" s="389" t="s">
        <v>370</v>
      </c>
      <c r="M49" s="389"/>
    </row>
    <row r="50">
      <c r="B50" s="83"/>
      <c r="C50" s="83"/>
      <c r="D50" s="96"/>
      <c r="E50" s="96"/>
      <c r="F50" s="96"/>
      <c r="G50" s="96"/>
      <c r="H50" s="96"/>
      <c r="J50" s="107"/>
    </row>
    <row r="51">
      <c r="B51" s="97" t="s">
        <v>168</v>
      </c>
      <c r="C51" s="98"/>
      <c r="D51" s="99">
        <f t="shared" ref="D51:H51" si="7">D42+D49</f>
        <v>1557.38</v>
      </c>
      <c r="E51" s="99">
        <f t="shared" si="7"/>
        <v>2733.61</v>
      </c>
      <c r="F51" s="99">
        <f t="shared" si="7"/>
        <v>3138.81</v>
      </c>
      <c r="G51" s="99">
        <f t="shared" si="7"/>
        <v>2799</v>
      </c>
      <c r="H51" s="99">
        <f t="shared" si="7"/>
        <v>1916.7</v>
      </c>
      <c r="J51" s="107"/>
      <c r="K51" s="107"/>
    </row>
    <row r="52">
      <c r="B52" s="83"/>
      <c r="C52" s="83"/>
      <c r="D52" s="96"/>
      <c r="E52" s="96"/>
      <c r="F52" s="96"/>
      <c r="G52" s="96"/>
      <c r="H52" s="96"/>
      <c r="J52" s="107"/>
      <c r="K52" s="18"/>
    </row>
    <row r="53">
      <c r="B53" s="100" t="s">
        <v>169</v>
      </c>
      <c r="C53" s="101"/>
      <c r="D53" s="57" t="s">
        <v>123</v>
      </c>
      <c r="E53" s="57" t="s">
        <v>124</v>
      </c>
      <c r="F53" s="57" t="s">
        <v>125</v>
      </c>
      <c r="G53" s="57" t="s">
        <v>125</v>
      </c>
      <c r="H53" s="57" t="s">
        <v>125</v>
      </c>
      <c r="J53" s="107"/>
      <c r="K53" s="18"/>
    </row>
    <row r="54">
      <c r="B54" s="102" t="s">
        <v>170</v>
      </c>
      <c r="C54" s="103"/>
      <c r="D54" s="104"/>
      <c r="E54" s="105">
        <v>0.0</v>
      </c>
      <c r="F54" s="105"/>
      <c r="G54" s="105"/>
      <c r="H54" s="105">
        <f>G56</f>
        <v>2799</v>
      </c>
      <c r="J54" s="27"/>
    </row>
    <row r="55">
      <c r="B55" s="102" t="s">
        <v>171</v>
      </c>
      <c r="C55" s="103"/>
      <c r="D55" s="106">
        <f>+D51</f>
        <v>1557.38</v>
      </c>
      <c r="E55" s="106">
        <v>1572.02</v>
      </c>
      <c r="F55" s="106">
        <f t="shared" ref="F55:H55" si="8">+F51</f>
        <v>3138.81</v>
      </c>
      <c r="G55" s="106">
        <f t="shared" si="8"/>
        <v>2799</v>
      </c>
      <c r="H55" s="106">
        <f t="shared" si="8"/>
        <v>1916.7</v>
      </c>
      <c r="J55" s="27"/>
    </row>
    <row r="56">
      <c r="B56" s="67" t="s">
        <v>173</v>
      </c>
      <c r="C56" s="68"/>
      <c r="D56" s="95">
        <f t="shared" ref="D56:H56" si="9">SUM(D54:D55)</f>
        <v>1557.38</v>
      </c>
      <c r="E56" s="95">
        <f t="shared" si="9"/>
        <v>1572.02</v>
      </c>
      <c r="F56" s="95">
        <f t="shared" si="9"/>
        <v>3138.81</v>
      </c>
      <c r="G56" s="95">
        <f t="shared" si="9"/>
        <v>2799</v>
      </c>
      <c r="H56" s="95">
        <f t="shared" si="9"/>
        <v>4715.7</v>
      </c>
      <c r="J56" s="27"/>
    </row>
    <row r="57">
      <c r="D57" s="362"/>
      <c r="E57" s="362"/>
      <c r="J57" s="27"/>
    </row>
    <row r="58">
      <c r="J58" s="27"/>
    </row>
    <row r="59">
      <c r="J59" s="27"/>
    </row>
    <row r="60">
      <c r="J60" s="27"/>
    </row>
    <row r="61">
      <c r="J61" s="27"/>
    </row>
    <row r="62">
      <c r="J62" s="27"/>
    </row>
    <row r="63">
      <c r="J63" s="27"/>
    </row>
    <row r="64">
      <c r="J64" s="27"/>
    </row>
    <row r="65">
      <c r="J65" s="27"/>
    </row>
    <row r="66">
      <c r="J66" s="27"/>
    </row>
    <row r="67">
      <c r="J67" s="27"/>
    </row>
    <row r="68">
      <c r="J68" s="27"/>
    </row>
    <row r="69">
      <c r="J69" s="27"/>
    </row>
    <row r="70">
      <c r="J70" s="27"/>
    </row>
    <row r="71">
      <c r="J71" s="27"/>
    </row>
    <row r="72">
      <c r="J72" s="27"/>
    </row>
    <row r="73">
      <c r="J73" s="27"/>
    </row>
    <row r="74">
      <c r="J74" s="27"/>
    </row>
    <row r="75">
      <c r="J75" s="27"/>
    </row>
    <row r="76">
      <c r="J76" s="27"/>
    </row>
    <row r="77">
      <c r="J77" s="27"/>
    </row>
    <row r="78">
      <c r="J78" s="27"/>
    </row>
    <row r="79">
      <c r="J79" s="27"/>
    </row>
    <row r="80">
      <c r="J80" s="27"/>
    </row>
    <row r="81">
      <c r="J81" s="27"/>
    </row>
    <row r="82">
      <c r="J82" s="27"/>
    </row>
    <row r="83">
      <c r="J83" s="27"/>
    </row>
    <row r="84">
      <c r="J84" s="27"/>
    </row>
    <row r="85">
      <c r="J85" s="27"/>
    </row>
    <row r="86">
      <c r="J86" s="27"/>
    </row>
    <row r="87">
      <c r="J87" s="27"/>
    </row>
    <row r="88">
      <c r="J88" s="27"/>
    </row>
    <row r="89">
      <c r="J89" s="27"/>
    </row>
    <row r="90">
      <c r="J90" s="27"/>
    </row>
    <row r="91">
      <c r="J91" s="27"/>
    </row>
    <row r="92">
      <c r="J92" s="27"/>
    </row>
    <row r="93">
      <c r="J93" s="27"/>
    </row>
    <row r="94">
      <c r="J94" s="27"/>
    </row>
    <row r="95">
      <c r="J95" s="27"/>
    </row>
    <row r="96">
      <c r="J96" s="27"/>
    </row>
    <row r="97">
      <c r="J97" s="27"/>
    </row>
    <row r="98">
      <c r="J98" s="27"/>
    </row>
    <row r="99">
      <c r="J99" s="27"/>
    </row>
    <row r="100">
      <c r="J100" s="27"/>
    </row>
    <row r="101">
      <c r="J101" s="27"/>
    </row>
    <row r="102">
      <c r="J102" s="27"/>
    </row>
    <row r="103">
      <c r="J103" s="27"/>
    </row>
    <row r="104">
      <c r="J104" s="27"/>
    </row>
    <row r="105">
      <c r="J105" s="27"/>
    </row>
    <row r="106">
      <c r="J106" s="27"/>
    </row>
    <row r="107">
      <c r="J107" s="27"/>
    </row>
    <row r="108">
      <c r="J108" s="27"/>
    </row>
    <row r="109">
      <c r="J109" s="27"/>
    </row>
    <row r="110">
      <c r="J110" s="27"/>
    </row>
    <row r="111">
      <c r="J111" s="27"/>
    </row>
    <row r="112">
      <c r="J112" s="27"/>
    </row>
    <row r="113">
      <c r="J113" s="27"/>
    </row>
    <row r="114">
      <c r="J114" s="27"/>
    </row>
    <row r="115">
      <c r="J115" s="27"/>
    </row>
    <row r="116">
      <c r="J116" s="27"/>
    </row>
    <row r="117">
      <c r="J117" s="27"/>
    </row>
    <row r="118">
      <c r="J118" s="27"/>
    </row>
    <row r="119">
      <c r="J119" s="27"/>
    </row>
    <row r="120">
      <c r="J120" s="27"/>
    </row>
    <row r="121">
      <c r="J121" s="27"/>
    </row>
    <row r="122">
      <c r="J122" s="27"/>
    </row>
    <row r="123">
      <c r="J123" s="27"/>
    </row>
    <row r="124">
      <c r="J124" s="27"/>
    </row>
    <row r="125">
      <c r="J125" s="27"/>
    </row>
    <row r="126">
      <c r="J126" s="27"/>
    </row>
    <row r="127">
      <c r="J127" s="27"/>
    </row>
    <row r="128">
      <c r="J128" s="27"/>
    </row>
    <row r="129">
      <c r="J129" s="27"/>
    </row>
    <row r="130">
      <c r="J130" s="27"/>
    </row>
    <row r="131">
      <c r="J131" s="27"/>
    </row>
    <row r="132">
      <c r="J132" s="27"/>
    </row>
    <row r="133">
      <c r="J133" s="27"/>
    </row>
    <row r="134">
      <c r="J134" s="27"/>
    </row>
    <row r="135">
      <c r="J135" s="27"/>
    </row>
    <row r="136">
      <c r="J136" s="27"/>
    </row>
    <row r="137">
      <c r="J137" s="27"/>
    </row>
    <row r="138">
      <c r="J138" s="27"/>
    </row>
    <row r="139">
      <c r="J139" s="27"/>
    </row>
    <row r="140">
      <c r="J140" s="27"/>
    </row>
    <row r="141">
      <c r="J141" s="27"/>
    </row>
    <row r="142">
      <c r="J142" s="27"/>
    </row>
    <row r="143">
      <c r="J143" s="27"/>
    </row>
    <row r="144">
      <c r="J144" s="27"/>
    </row>
    <row r="145">
      <c r="J145" s="27"/>
    </row>
    <row r="146">
      <c r="J146" s="27"/>
    </row>
    <row r="147">
      <c r="J147" s="27"/>
    </row>
    <row r="148">
      <c r="J148" s="27"/>
    </row>
    <row r="149">
      <c r="J149" s="27"/>
    </row>
    <row r="150">
      <c r="J150" s="27"/>
    </row>
    <row r="151">
      <c r="J151" s="27"/>
    </row>
    <row r="152">
      <c r="J152" s="27"/>
    </row>
    <row r="153">
      <c r="J153" s="27"/>
    </row>
    <row r="154">
      <c r="J154" s="27"/>
    </row>
    <row r="155">
      <c r="J155" s="27"/>
    </row>
    <row r="156">
      <c r="J156" s="27"/>
    </row>
    <row r="157">
      <c r="J157" s="27"/>
    </row>
    <row r="158">
      <c r="J158" s="27"/>
    </row>
    <row r="159">
      <c r="J159" s="27"/>
    </row>
    <row r="160">
      <c r="J160" s="27"/>
    </row>
    <row r="161">
      <c r="J161" s="27"/>
    </row>
    <row r="162">
      <c r="J162" s="27"/>
    </row>
    <row r="163">
      <c r="J163" s="27"/>
    </row>
    <row r="164">
      <c r="J164" s="27"/>
    </row>
    <row r="165">
      <c r="J165" s="27"/>
    </row>
    <row r="166">
      <c r="J166" s="27"/>
    </row>
    <row r="167">
      <c r="J167" s="27"/>
    </row>
    <row r="168">
      <c r="J168" s="27"/>
    </row>
    <row r="169">
      <c r="J169" s="27"/>
    </row>
    <row r="170">
      <c r="J170" s="27"/>
    </row>
    <row r="171">
      <c r="J171" s="27"/>
    </row>
    <row r="172">
      <c r="J172" s="27"/>
    </row>
    <row r="173">
      <c r="J173" s="27"/>
    </row>
    <row r="174">
      <c r="J174" s="27"/>
    </row>
    <row r="175">
      <c r="J175" s="27"/>
    </row>
    <row r="176">
      <c r="J176" s="27"/>
    </row>
    <row r="177">
      <c r="J177" s="27"/>
    </row>
    <row r="178">
      <c r="J178" s="27"/>
    </row>
    <row r="179">
      <c r="J179" s="27"/>
    </row>
    <row r="180">
      <c r="J180" s="27"/>
    </row>
    <row r="181">
      <c r="J181" s="27"/>
    </row>
    <row r="182">
      <c r="J182" s="27"/>
    </row>
    <row r="183">
      <c r="J183" s="27"/>
    </row>
    <row r="184">
      <c r="J184" s="27"/>
    </row>
    <row r="185">
      <c r="J185" s="27"/>
    </row>
    <row r="186">
      <c r="J186" s="27"/>
    </row>
    <row r="187">
      <c r="J187" s="27"/>
    </row>
    <row r="188">
      <c r="J188" s="27"/>
    </row>
    <row r="189">
      <c r="J189" s="27"/>
    </row>
    <row r="190">
      <c r="J190" s="27"/>
    </row>
    <row r="191">
      <c r="J191" s="27"/>
    </row>
    <row r="192">
      <c r="J192" s="27"/>
    </row>
    <row r="193">
      <c r="J193" s="27"/>
    </row>
    <row r="194">
      <c r="J194" s="27"/>
    </row>
    <row r="195">
      <c r="J195" s="27"/>
    </row>
    <row r="196">
      <c r="J196" s="27"/>
    </row>
    <row r="197">
      <c r="J197" s="27"/>
    </row>
    <row r="198">
      <c r="J198" s="27"/>
    </row>
    <row r="199">
      <c r="J199" s="27"/>
    </row>
    <row r="200">
      <c r="J200" s="27"/>
    </row>
    <row r="201">
      <c r="J201" s="27"/>
    </row>
    <row r="202">
      <c r="J202" s="27"/>
    </row>
    <row r="203">
      <c r="J203" s="27"/>
    </row>
    <row r="204">
      <c r="J204" s="27"/>
    </row>
    <row r="205">
      <c r="J205" s="27"/>
    </row>
    <row r="206">
      <c r="J206" s="27"/>
    </row>
    <row r="207">
      <c r="J207" s="27"/>
    </row>
    <row r="208">
      <c r="J208" s="27"/>
    </row>
    <row r="209">
      <c r="J209" s="27"/>
    </row>
    <row r="210">
      <c r="J210" s="27"/>
    </row>
    <row r="211">
      <c r="J211" s="27"/>
    </row>
    <row r="212">
      <c r="J212" s="27"/>
    </row>
    <row r="213">
      <c r="J213" s="27"/>
    </row>
    <row r="214">
      <c r="J214" s="27"/>
    </row>
    <row r="215">
      <c r="J215" s="27"/>
    </row>
    <row r="216">
      <c r="J216" s="27"/>
    </row>
    <row r="217">
      <c r="J217" s="27"/>
    </row>
    <row r="218">
      <c r="J218" s="27"/>
    </row>
    <row r="219">
      <c r="J219" s="27"/>
    </row>
    <row r="220">
      <c r="J220" s="27"/>
    </row>
    <row r="221">
      <c r="J221" s="27"/>
    </row>
    <row r="222">
      <c r="J222" s="27"/>
    </row>
    <row r="223">
      <c r="J223" s="27"/>
    </row>
    <row r="224">
      <c r="J224" s="27"/>
    </row>
    <row r="225">
      <c r="J225" s="27"/>
    </row>
    <row r="226">
      <c r="J226" s="27"/>
    </row>
    <row r="227">
      <c r="J227" s="27"/>
    </row>
    <row r="228">
      <c r="J228" s="27"/>
    </row>
    <row r="229">
      <c r="J229" s="27"/>
    </row>
    <row r="230">
      <c r="J230" s="27"/>
    </row>
    <row r="231">
      <c r="J231" s="27"/>
    </row>
    <row r="232">
      <c r="J232" s="27"/>
    </row>
    <row r="233">
      <c r="J233" s="27"/>
    </row>
    <row r="234">
      <c r="J234" s="27"/>
    </row>
    <row r="235">
      <c r="J235" s="27"/>
    </row>
    <row r="236">
      <c r="J236" s="27"/>
    </row>
    <row r="237">
      <c r="J237" s="27"/>
    </row>
    <row r="238">
      <c r="J238" s="27"/>
    </row>
    <row r="239">
      <c r="J239" s="27"/>
    </row>
    <row r="240">
      <c r="J240" s="27"/>
    </row>
    <row r="241">
      <c r="J241" s="27"/>
    </row>
    <row r="242">
      <c r="J242" s="27"/>
    </row>
    <row r="243">
      <c r="J243" s="27"/>
    </row>
    <row r="244">
      <c r="J244" s="27"/>
    </row>
    <row r="245">
      <c r="J245" s="27"/>
    </row>
    <row r="246">
      <c r="J246" s="27"/>
    </row>
    <row r="247">
      <c r="J247" s="27"/>
    </row>
    <row r="248">
      <c r="J248" s="27"/>
    </row>
    <row r="249">
      <c r="J249" s="27"/>
    </row>
    <row r="250">
      <c r="J250" s="27"/>
    </row>
    <row r="251">
      <c r="J251" s="27"/>
    </row>
    <row r="252">
      <c r="J252" s="27"/>
    </row>
    <row r="253">
      <c r="J253" s="27"/>
    </row>
    <row r="254">
      <c r="J254" s="27"/>
    </row>
    <row r="255">
      <c r="J255" s="27"/>
    </row>
    <row r="256">
      <c r="J256" s="27"/>
    </row>
    <row r="257">
      <c r="J257" s="27"/>
    </row>
    <row r="258">
      <c r="J258" s="27"/>
    </row>
    <row r="259">
      <c r="J259" s="27"/>
    </row>
    <row r="260">
      <c r="J260" s="27"/>
    </row>
    <row r="261">
      <c r="J261" s="27"/>
    </row>
    <row r="262">
      <c r="J262" s="27"/>
    </row>
    <row r="263">
      <c r="J263" s="27"/>
    </row>
    <row r="264">
      <c r="J264" s="27"/>
    </row>
    <row r="265">
      <c r="J265" s="27"/>
    </row>
    <row r="266">
      <c r="J266" s="27"/>
    </row>
    <row r="267">
      <c r="J267" s="27"/>
    </row>
    <row r="268">
      <c r="J268" s="27"/>
    </row>
    <row r="269">
      <c r="J269" s="27"/>
    </row>
    <row r="270">
      <c r="J270" s="27"/>
    </row>
    <row r="271">
      <c r="J271" s="27"/>
    </row>
    <row r="272">
      <c r="J272" s="27"/>
    </row>
    <row r="273">
      <c r="J273" s="27"/>
    </row>
    <row r="274">
      <c r="J274" s="27"/>
    </row>
    <row r="275">
      <c r="J275" s="27"/>
    </row>
    <row r="276">
      <c r="J276" s="27"/>
    </row>
    <row r="277">
      <c r="J277" s="27"/>
    </row>
    <row r="278">
      <c r="J278" s="27"/>
    </row>
    <row r="279">
      <c r="J279" s="27"/>
    </row>
    <row r="280">
      <c r="J280" s="27"/>
    </row>
    <row r="281">
      <c r="J281" s="27"/>
    </row>
    <row r="282">
      <c r="J282" s="27"/>
    </row>
    <row r="283">
      <c r="J283" s="27"/>
    </row>
    <row r="284">
      <c r="J284" s="27"/>
    </row>
    <row r="285">
      <c r="J285" s="27"/>
    </row>
    <row r="286">
      <c r="J286" s="27"/>
    </row>
    <row r="287">
      <c r="J287" s="27"/>
    </row>
    <row r="288">
      <c r="J288" s="27"/>
    </row>
    <row r="289">
      <c r="J289" s="27"/>
    </row>
    <row r="290">
      <c r="J290" s="27"/>
    </row>
    <row r="291">
      <c r="J291" s="27"/>
    </row>
    <row r="292">
      <c r="J292" s="27"/>
    </row>
    <row r="293">
      <c r="J293" s="27"/>
    </row>
    <row r="294">
      <c r="J294" s="27"/>
    </row>
    <row r="295">
      <c r="J295" s="27"/>
    </row>
    <row r="296">
      <c r="J296" s="27"/>
    </row>
    <row r="297">
      <c r="J297" s="27"/>
    </row>
    <row r="298">
      <c r="J298" s="27"/>
    </row>
    <row r="299">
      <c r="J299" s="27"/>
    </row>
    <row r="300">
      <c r="J300" s="27"/>
    </row>
    <row r="301">
      <c r="J301" s="27"/>
    </row>
    <row r="302">
      <c r="J302" s="27"/>
    </row>
    <row r="303">
      <c r="J303" s="27"/>
    </row>
    <row r="304">
      <c r="J304" s="27"/>
    </row>
    <row r="305">
      <c r="J305" s="27"/>
    </row>
    <row r="306">
      <c r="J306" s="27"/>
    </row>
    <row r="307">
      <c r="J307" s="27"/>
    </row>
    <row r="308">
      <c r="J308" s="27"/>
    </row>
    <row r="309">
      <c r="J309" s="27"/>
    </row>
    <row r="310">
      <c r="J310" s="27"/>
    </row>
    <row r="311">
      <c r="J311" s="27"/>
    </row>
    <row r="312">
      <c r="J312" s="27"/>
    </row>
    <row r="313">
      <c r="J313" s="27"/>
    </row>
    <row r="314">
      <c r="J314" s="27"/>
    </row>
    <row r="315">
      <c r="J315" s="27"/>
    </row>
    <row r="316">
      <c r="J316" s="27"/>
    </row>
    <row r="317">
      <c r="J317" s="27"/>
    </row>
    <row r="318">
      <c r="J318" s="27"/>
    </row>
    <row r="319">
      <c r="J319" s="27"/>
    </row>
    <row r="320">
      <c r="J320" s="27"/>
    </row>
    <row r="321">
      <c r="J321" s="27"/>
    </row>
    <row r="322">
      <c r="J322" s="27"/>
    </row>
    <row r="323">
      <c r="J323" s="27"/>
    </row>
    <row r="324">
      <c r="J324" s="27"/>
    </row>
    <row r="325">
      <c r="J325" s="27"/>
    </row>
    <row r="326">
      <c r="J326" s="27"/>
    </row>
    <row r="327">
      <c r="J327" s="27"/>
    </row>
    <row r="328">
      <c r="J328" s="27"/>
    </row>
    <row r="329">
      <c r="J329" s="27"/>
    </row>
    <row r="330">
      <c r="J330" s="27"/>
    </row>
    <row r="331">
      <c r="J331" s="27"/>
    </row>
    <row r="332">
      <c r="J332" s="27"/>
    </row>
    <row r="333">
      <c r="J333" s="27"/>
    </row>
    <row r="334">
      <c r="J334" s="27"/>
    </row>
    <row r="335">
      <c r="J335" s="27"/>
    </row>
    <row r="336">
      <c r="J336" s="27"/>
    </row>
    <row r="337">
      <c r="J337" s="27"/>
    </row>
    <row r="338">
      <c r="J338" s="27"/>
    </row>
    <row r="339">
      <c r="J339" s="27"/>
    </row>
    <row r="340">
      <c r="J340" s="27"/>
    </row>
    <row r="341">
      <c r="J341" s="27"/>
    </row>
    <row r="342">
      <c r="J342" s="27"/>
    </row>
    <row r="343">
      <c r="J343" s="27"/>
    </row>
    <row r="344">
      <c r="J344" s="27"/>
    </row>
    <row r="345">
      <c r="J345" s="27"/>
    </row>
    <row r="346">
      <c r="J346" s="27"/>
    </row>
    <row r="347">
      <c r="J347" s="27"/>
    </row>
    <row r="348">
      <c r="J348" s="27"/>
    </row>
    <row r="349">
      <c r="J349" s="27"/>
    </row>
    <row r="350">
      <c r="J350" s="27"/>
    </row>
    <row r="351">
      <c r="J351" s="27"/>
    </row>
    <row r="352">
      <c r="J352" s="27"/>
    </row>
    <row r="353">
      <c r="J353" s="27"/>
    </row>
    <row r="354">
      <c r="J354" s="27"/>
    </row>
    <row r="355">
      <c r="J355" s="27"/>
    </row>
    <row r="356">
      <c r="J356" s="27"/>
    </row>
    <row r="357">
      <c r="J357" s="27"/>
    </row>
    <row r="358">
      <c r="J358" s="27"/>
    </row>
    <row r="359">
      <c r="J359" s="27"/>
    </row>
    <row r="360">
      <c r="J360" s="27"/>
    </row>
    <row r="361">
      <c r="J361" s="27"/>
    </row>
    <row r="362">
      <c r="J362" s="27"/>
    </row>
    <row r="363">
      <c r="J363" s="27"/>
    </row>
    <row r="364">
      <c r="J364" s="27"/>
    </row>
    <row r="365">
      <c r="J365" s="27"/>
    </row>
    <row r="366">
      <c r="J366" s="27"/>
    </row>
    <row r="367">
      <c r="J367" s="27"/>
    </row>
    <row r="368">
      <c r="J368" s="27"/>
    </row>
    <row r="369">
      <c r="J369" s="27"/>
    </row>
    <row r="370">
      <c r="J370" s="27"/>
    </row>
    <row r="371">
      <c r="J371" s="27"/>
    </row>
    <row r="372">
      <c r="J372" s="27"/>
    </row>
    <row r="373">
      <c r="J373" s="27"/>
    </row>
    <row r="374">
      <c r="J374" s="27"/>
    </row>
    <row r="375">
      <c r="J375" s="27"/>
    </row>
    <row r="376">
      <c r="J376" s="27"/>
    </row>
    <row r="377">
      <c r="J377" s="27"/>
    </row>
    <row r="378">
      <c r="J378" s="27"/>
    </row>
    <row r="379">
      <c r="J379" s="27"/>
    </row>
    <row r="380">
      <c r="J380" s="27"/>
    </row>
    <row r="381">
      <c r="J381" s="27"/>
    </row>
    <row r="382">
      <c r="J382" s="27"/>
    </row>
    <row r="383">
      <c r="J383" s="27"/>
    </row>
    <row r="384">
      <c r="J384" s="27"/>
    </row>
    <row r="385">
      <c r="J385" s="27"/>
    </row>
    <row r="386">
      <c r="J386" s="27"/>
    </row>
    <row r="387">
      <c r="J387" s="27"/>
    </row>
    <row r="388">
      <c r="J388" s="27"/>
    </row>
    <row r="389">
      <c r="J389" s="27"/>
    </row>
    <row r="390">
      <c r="J390" s="27"/>
    </row>
    <row r="391">
      <c r="J391" s="27"/>
    </row>
    <row r="392">
      <c r="J392" s="27"/>
    </row>
    <row r="393">
      <c r="J393" s="27"/>
    </row>
    <row r="394">
      <c r="J394" s="27"/>
    </row>
    <row r="395">
      <c r="J395" s="27"/>
    </row>
    <row r="396">
      <c r="J396" s="27"/>
    </row>
    <row r="397">
      <c r="J397" s="27"/>
    </row>
    <row r="398">
      <c r="J398" s="27"/>
    </row>
    <row r="399">
      <c r="J399" s="27"/>
    </row>
    <row r="400">
      <c r="J400" s="27"/>
    </row>
    <row r="401">
      <c r="J401" s="27"/>
    </row>
    <row r="402">
      <c r="J402" s="27"/>
    </row>
    <row r="403">
      <c r="J403" s="27"/>
    </row>
    <row r="404">
      <c r="J404" s="27"/>
    </row>
    <row r="405">
      <c r="J405" s="27"/>
    </row>
    <row r="406">
      <c r="J406" s="27"/>
    </row>
    <row r="407">
      <c r="J407" s="27"/>
    </row>
    <row r="408">
      <c r="J408" s="27"/>
    </row>
    <row r="409">
      <c r="J409" s="27"/>
    </row>
    <row r="410">
      <c r="J410" s="27"/>
    </row>
    <row r="411">
      <c r="J411" s="27"/>
    </row>
    <row r="412">
      <c r="J412" s="27"/>
    </row>
    <row r="413">
      <c r="J413" s="27"/>
    </row>
    <row r="414">
      <c r="J414" s="27"/>
    </row>
    <row r="415">
      <c r="J415" s="27"/>
    </row>
    <row r="416">
      <c r="J416" s="27"/>
    </row>
    <row r="417">
      <c r="J417" s="27"/>
    </row>
    <row r="418">
      <c r="J418" s="27"/>
    </row>
    <row r="419">
      <c r="J419" s="27"/>
    </row>
    <row r="420">
      <c r="J420" s="27"/>
    </row>
    <row r="421">
      <c r="J421" s="27"/>
    </row>
    <row r="422">
      <c r="J422" s="27"/>
    </row>
    <row r="423">
      <c r="J423" s="27"/>
    </row>
    <row r="424">
      <c r="J424" s="27"/>
    </row>
    <row r="425">
      <c r="J425" s="27"/>
    </row>
    <row r="426">
      <c r="J426" s="27"/>
    </row>
    <row r="427">
      <c r="J427" s="27"/>
    </row>
    <row r="428">
      <c r="J428" s="27"/>
    </row>
    <row r="429">
      <c r="J429" s="27"/>
    </row>
    <row r="430">
      <c r="J430" s="27"/>
    </row>
    <row r="431">
      <c r="J431" s="27"/>
    </row>
    <row r="432">
      <c r="J432" s="27"/>
    </row>
    <row r="433">
      <c r="J433" s="27"/>
    </row>
    <row r="434">
      <c r="J434" s="27"/>
    </row>
    <row r="435">
      <c r="J435" s="27"/>
    </row>
    <row r="436">
      <c r="J436" s="27"/>
    </row>
    <row r="437">
      <c r="J437" s="27"/>
    </row>
    <row r="438">
      <c r="J438" s="27"/>
    </row>
    <row r="439">
      <c r="J439" s="27"/>
    </row>
    <row r="440">
      <c r="J440" s="27"/>
    </row>
    <row r="441">
      <c r="J441" s="27"/>
    </row>
    <row r="442">
      <c r="J442" s="27"/>
    </row>
    <row r="443">
      <c r="J443" s="27"/>
    </row>
    <row r="444">
      <c r="J444" s="27"/>
    </row>
    <row r="445">
      <c r="J445" s="27"/>
    </row>
    <row r="446">
      <c r="J446" s="27"/>
    </row>
    <row r="447">
      <c r="J447" s="27"/>
    </row>
    <row r="448">
      <c r="J448" s="27"/>
    </row>
    <row r="449">
      <c r="J449" s="27"/>
    </row>
    <row r="450">
      <c r="J450" s="27"/>
    </row>
    <row r="451">
      <c r="J451" s="27"/>
    </row>
    <row r="452">
      <c r="J452" s="27"/>
    </row>
    <row r="453">
      <c r="J453" s="27"/>
    </row>
    <row r="454">
      <c r="J454" s="27"/>
    </row>
    <row r="455">
      <c r="J455" s="27"/>
    </row>
    <row r="456">
      <c r="J456" s="27"/>
    </row>
    <row r="457">
      <c r="J457" s="27"/>
    </row>
    <row r="458">
      <c r="J458" s="27"/>
    </row>
    <row r="459">
      <c r="J459" s="27"/>
    </row>
    <row r="460">
      <c r="J460" s="27"/>
    </row>
    <row r="461">
      <c r="J461" s="27"/>
    </row>
    <row r="462">
      <c r="J462" s="27"/>
    </row>
    <row r="463">
      <c r="J463" s="27"/>
    </row>
    <row r="464">
      <c r="J464" s="27"/>
    </row>
    <row r="465">
      <c r="J465" s="27"/>
    </row>
    <row r="466">
      <c r="J466" s="27"/>
    </row>
    <row r="467">
      <c r="J467" s="27"/>
    </row>
    <row r="468">
      <c r="J468" s="27"/>
    </row>
    <row r="469">
      <c r="J469" s="27"/>
    </row>
    <row r="470">
      <c r="J470" s="27"/>
    </row>
    <row r="471">
      <c r="J471" s="27"/>
    </row>
    <row r="472">
      <c r="J472" s="27"/>
    </row>
    <row r="473">
      <c r="J473" s="27"/>
    </row>
    <row r="474">
      <c r="J474" s="27"/>
    </row>
    <row r="475">
      <c r="J475" s="27"/>
    </row>
    <row r="476">
      <c r="J476" s="27"/>
    </row>
    <row r="477">
      <c r="J477" s="27"/>
    </row>
    <row r="478">
      <c r="J478" s="27"/>
    </row>
    <row r="479">
      <c r="J479" s="27"/>
    </row>
    <row r="480">
      <c r="J480" s="27"/>
    </row>
    <row r="481">
      <c r="J481" s="27"/>
    </row>
    <row r="482">
      <c r="J482" s="27"/>
    </row>
    <row r="483">
      <c r="J483" s="27"/>
    </row>
    <row r="484">
      <c r="J484" s="27"/>
    </row>
    <row r="485">
      <c r="J485" s="27"/>
    </row>
    <row r="486">
      <c r="J486" s="27"/>
    </row>
    <row r="487">
      <c r="J487" s="27"/>
    </row>
    <row r="488">
      <c r="J488" s="27"/>
    </row>
    <row r="489">
      <c r="J489" s="27"/>
    </row>
    <row r="490">
      <c r="J490" s="27"/>
    </row>
    <row r="491">
      <c r="J491" s="27"/>
    </row>
    <row r="492">
      <c r="J492" s="27"/>
    </row>
    <row r="493">
      <c r="J493" s="27"/>
    </row>
    <row r="494">
      <c r="J494" s="27"/>
    </row>
    <row r="495">
      <c r="J495" s="27"/>
    </row>
    <row r="496">
      <c r="J496" s="27"/>
    </row>
    <row r="497">
      <c r="J497" s="27"/>
    </row>
    <row r="498">
      <c r="J498" s="27"/>
    </row>
    <row r="499">
      <c r="J499" s="27"/>
    </row>
    <row r="500">
      <c r="J500" s="27"/>
    </row>
    <row r="501">
      <c r="J501" s="27"/>
    </row>
    <row r="502">
      <c r="J502" s="27"/>
    </row>
    <row r="503">
      <c r="J503" s="27"/>
    </row>
    <row r="504">
      <c r="J504" s="27"/>
    </row>
    <row r="505">
      <c r="J505" s="27"/>
    </row>
    <row r="506">
      <c r="J506" s="27"/>
    </row>
    <row r="507">
      <c r="J507" s="27"/>
    </row>
    <row r="508">
      <c r="J508" s="27"/>
    </row>
    <row r="509">
      <c r="J509" s="27"/>
    </row>
    <row r="510">
      <c r="J510" s="27"/>
    </row>
    <row r="511">
      <c r="J511" s="27"/>
    </row>
    <row r="512">
      <c r="J512" s="27"/>
    </row>
    <row r="513">
      <c r="J513" s="27"/>
    </row>
    <row r="514">
      <c r="J514" s="27"/>
    </row>
    <row r="515">
      <c r="J515" s="27"/>
    </row>
    <row r="516">
      <c r="J516" s="27"/>
    </row>
    <row r="517">
      <c r="J517" s="27"/>
    </row>
    <row r="518">
      <c r="J518" s="27"/>
    </row>
    <row r="519">
      <c r="J519" s="27"/>
    </row>
    <row r="520">
      <c r="J520" s="27"/>
    </row>
    <row r="521">
      <c r="J521" s="27"/>
    </row>
    <row r="522">
      <c r="J522" s="27"/>
    </row>
    <row r="523">
      <c r="J523" s="27"/>
    </row>
    <row r="524">
      <c r="J524" s="27"/>
    </row>
    <row r="525">
      <c r="J525" s="27"/>
    </row>
    <row r="526">
      <c r="J526" s="27"/>
    </row>
    <row r="527">
      <c r="J527" s="27"/>
    </row>
    <row r="528">
      <c r="J528" s="27"/>
    </row>
    <row r="529">
      <c r="J529" s="27"/>
    </row>
    <row r="530">
      <c r="J530" s="27"/>
    </row>
    <row r="531">
      <c r="J531" s="27"/>
    </row>
    <row r="532">
      <c r="J532" s="27"/>
    </row>
    <row r="533">
      <c r="J533" s="27"/>
    </row>
    <row r="534">
      <c r="J534" s="27"/>
    </row>
    <row r="535">
      <c r="J535" s="27"/>
    </row>
    <row r="536">
      <c r="J536" s="27"/>
    </row>
    <row r="537">
      <c r="J537" s="27"/>
    </row>
    <row r="538">
      <c r="J538" s="27"/>
    </row>
    <row r="539">
      <c r="J539" s="27"/>
    </row>
    <row r="540">
      <c r="J540" s="27"/>
    </row>
    <row r="541">
      <c r="J541" s="27"/>
    </row>
    <row r="542">
      <c r="J542" s="27"/>
    </row>
    <row r="543">
      <c r="J543" s="27"/>
    </row>
    <row r="544">
      <c r="J544" s="27"/>
    </row>
    <row r="545">
      <c r="J545" s="27"/>
    </row>
    <row r="546">
      <c r="J546" s="27"/>
    </row>
    <row r="547">
      <c r="J547" s="27"/>
    </row>
    <row r="548">
      <c r="J548" s="27"/>
    </row>
    <row r="549">
      <c r="J549" s="27"/>
    </row>
    <row r="550">
      <c r="J550" s="27"/>
    </row>
    <row r="551">
      <c r="J551" s="27"/>
    </row>
    <row r="552">
      <c r="J552" s="27"/>
    </row>
    <row r="553">
      <c r="J553" s="27"/>
    </row>
    <row r="554">
      <c r="J554" s="27"/>
    </row>
    <row r="555">
      <c r="J555" s="27"/>
    </row>
    <row r="556">
      <c r="J556" s="27"/>
    </row>
    <row r="557">
      <c r="J557" s="27"/>
    </row>
    <row r="558">
      <c r="J558" s="27"/>
    </row>
    <row r="559">
      <c r="J559" s="27"/>
    </row>
    <row r="560">
      <c r="J560" s="27"/>
    </row>
    <row r="561">
      <c r="J561" s="27"/>
    </row>
    <row r="562">
      <c r="J562" s="27"/>
    </row>
    <row r="563">
      <c r="J563" s="27"/>
    </row>
    <row r="564">
      <c r="J564" s="27"/>
    </row>
    <row r="565">
      <c r="J565" s="27"/>
    </row>
    <row r="566">
      <c r="J566" s="27"/>
    </row>
    <row r="567">
      <c r="J567" s="27"/>
    </row>
    <row r="568">
      <c r="J568" s="27"/>
    </row>
    <row r="569">
      <c r="J569" s="27"/>
    </row>
    <row r="570">
      <c r="J570" s="27"/>
    </row>
    <row r="571">
      <c r="J571" s="27"/>
    </row>
    <row r="572">
      <c r="J572" s="27"/>
    </row>
    <row r="573">
      <c r="J573" s="27"/>
    </row>
    <row r="574">
      <c r="J574" s="27"/>
    </row>
    <row r="575">
      <c r="J575" s="27"/>
    </row>
    <row r="576">
      <c r="J576" s="27"/>
    </row>
    <row r="577">
      <c r="J577" s="27"/>
    </row>
    <row r="578">
      <c r="J578" s="27"/>
    </row>
    <row r="579">
      <c r="J579" s="27"/>
    </row>
    <row r="580">
      <c r="J580" s="27"/>
    </row>
    <row r="581">
      <c r="J581" s="27"/>
    </row>
    <row r="582">
      <c r="J582" s="27"/>
    </row>
    <row r="583">
      <c r="J583" s="27"/>
    </row>
    <row r="584">
      <c r="J584" s="27"/>
    </row>
    <row r="585">
      <c r="J585" s="27"/>
    </row>
    <row r="586">
      <c r="J586" s="27"/>
    </row>
    <row r="587">
      <c r="J587" s="27"/>
    </row>
    <row r="588">
      <c r="J588" s="27"/>
    </row>
    <row r="589">
      <c r="J589" s="27"/>
    </row>
    <row r="590">
      <c r="J590" s="27"/>
    </row>
    <row r="591">
      <c r="J591" s="27"/>
    </row>
    <row r="592">
      <c r="J592" s="27"/>
    </row>
    <row r="593">
      <c r="J593" s="27"/>
    </row>
    <row r="594">
      <c r="J594" s="27"/>
    </row>
    <row r="595">
      <c r="J595" s="27"/>
    </row>
    <row r="596">
      <c r="J596" s="27"/>
    </row>
    <row r="597">
      <c r="J597" s="27"/>
    </row>
    <row r="598">
      <c r="J598" s="27"/>
    </row>
    <row r="599">
      <c r="J599" s="27"/>
    </row>
    <row r="600">
      <c r="J600" s="27"/>
    </row>
    <row r="601">
      <c r="J601" s="27"/>
    </row>
    <row r="602">
      <c r="J602" s="27"/>
    </row>
    <row r="603">
      <c r="J603" s="27"/>
    </row>
    <row r="604">
      <c r="J604" s="27"/>
    </row>
    <row r="605">
      <c r="J605" s="27"/>
    </row>
    <row r="606">
      <c r="J606" s="27"/>
    </row>
    <row r="607">
      <c r="J607" s="27"/>
    </row>
    <row r="608">
      <c r="J608" s="27"/>
    </row>
    <row r="609">
      <c r="J609" s="27"/>
    </row>
    <row r="610">
      <c r="J610" s="27"/>
    </row>
    <row r="611">
      <c r="J611" s="27"/>
    </row>
    <row r="612">
      <c r="J612" s="27"/>
    </row>
    <row r="613">
      <c r="J613" s="27"/>
    </row>
    <row r="614">
      <c r="J614" s="27"/>
    </row>
    <row r="615">
      <c r="J615" s="27"/>
    </row>
    <row r="616">
      <c r="J616" s="27"/>
    </row>
    <row r="617">
      <c r="J617" s="27"/>
    </row>
    <row r="618">
      <c r="J618" s="27"/>
    </row>
    <row r="619">
      <c r="J619" s="27"/>
    </row>
    <row r="620">
      <c r="J620" s="27"/>
    </row>
    <row r="621">
      <c r="J621" s="27"/>
    </row>
    <row r="622">
      <c r="J622" s="27"/>
    </row>
    <row r="623">
      <c r="J623" s="27"/>
    </row>
    <row r="624">
      <c r="J624" s="27"/>
    </row>
    <row r="625">
      <c r="J625" s="27"/>
    </row>
    <row r="626">
      <c r="J626" s="27"/>
    </row>
    <row r="627">
      <c r="J627" s="27"/>
    </row>
    <row r="628">
      <c r="J628" s="27"/>
    </row>
    <row r="629">
      <c r="J629" s="27"/>
    </row>
    <row r="630">
      <c r="J630" s="27"/>
    </row>
    <row r="631">
      <c r="J631" s="27"/>
    </row>
    <row r="632">
      <c r="J632" s="27"/>
    </row>
    <row r="633">
      <c r="J633" s="27"/>
    </row>
    <row r="634">
      <c r="J634" s="27"/>
    </row>
    <row r="635">
      <c r="J635" s="27"/>
    </row>
    <row r="636">
      <c r="J636" s="27"/>
    </row>
    <row r="637">
      <c r="J637" s="27"/>
    </row>
    <row r="638">
      <c r="J638" s="27"/>
    </row>
    <row r="639">
      <c r="J639" s="27"/>
    </row>
    <row r="640">
      <c r="J640" s="27"/>
    </row>
    <row r="641">
      <c r="J641" s="27"/>
    </row>
    <row r="642">
      <c r="J642" s="27"/>
    </row>
    <row r="643">
      <c r="J643" s="27"/>
    </row>
    <row r="644">
      <c r="J644" s="27"/>
    </row>
    <row r="645">
      <c r="J645" s="27"/>
    </row>
    <row r="646">
      <c r="J646" s="27"/>
    </row>
    <row r="647">
      <c r="J647" s="27"/>
    </row>
    <row r="648">
      <c r="J648" s="27"/>
    </row>
    <row r="649">
      <c r="J649" s="27"/>
    </row>
    <row r="650">
      <c r="J650" s="27"/>
    </row>
    <row r="651">
      <c r="J651" s="27"/>
    </row>
    <row r="652">
      <c r="J652" s="27"/>
    </row>
    <row r="653">
      <c r="J653" s="27"/>
    </row>
    <row r="654">
      <c r="J654" s="27"/>
    </row>
    <row r="655">
      <c r="J655" s="27"/>
    </row>
    <row r="656">
      <c r="J656" s="27"/>
    </row>
    <row r="657">
      <c r="J657" s="27"/>
    </row>
    <row r="658">
      <c r="J658" s="27"/>
    </row>
    <row r="659">
      <c r="J659" s="27"/>
    </row>
    <row r="660">
      <c r="J660" s="27"/>
    </row>
    <row r="661">
      <c r="J661" s="27"/>
    </row>
    <row r="662">
      <c r="J662" s="27"/>
    </row>
    <row r="663">
      <c r="J663" s="27"/>
    </row>
    <row r="664">
      <c r="J664" s="27"/>
    </row>
    <row r="665">
      <c r="J665" s="27"/>
    </row>
    <row r="666">
      <c r="J666" s="27"/>
    </row>
    <row r="667">
      <c r="J667" s="27"/>
    </row>
    <row r="668">
      <c r="J668" s="27"/>
    </row>
    <row r="669">
      <c r="J669" s="27"/>
    </row>
    <row r="670">
      <c r="J670" s="27"/>
    </row>
    <row r="671">
      <c r="J671" s="27"/>
    </row>
    <row r="672">
      <c r="J672" s="27"/>
    </row>
    <row r="673">
      <c r="J673" s="27"/>
    </row>
    <row r="674">
      <c r="J674" s="27"/>
    </row>
    <row r="675">
      <c r="J675" s="27"/>
    </row>
    <row r="676">
      <c r="J676" s="27"/>
    </row>
    <row r="677">
      <c r="J677" s="27"/>
    </row>
    <row r="678">
      <c r="J678" s="27"/>
    </row>
    <row r="679">
      <c r="J679" s="27"/>
    </row>
    <row r="680">
      <c r="J680" s="27"/>
    </row>
    <row r="681">
      <c r="J681" s="27"/>
    </row>
    <row r="682">
      <c r="J682" s="27"/>
    </row>
    <row r="683">
      <c r="J683" s="27"/>
    </row>
    <row r="684">
      <c r="J684" s="27"/>
    </row>
    <row r="685">
      <c r="J685" s="27"/>
    </row>
    <row r="686">
      <c r="J686" s="27"/>
    </row>
    <row r="687">
      <c r="J687" s="27"/>
    </row>
    <row r="688">
      <c r="J688" s="27"/>
    </row>
    <row r="689">
      <c r="J689" s="27"/>
    </row>
    <row r="690">
      <c r="J690" s="27"/>
    </row>
    <row r="691">
      <c r="J691" s="27"/>
    </row>
    <row r="692">
      <c r="J692" s="27"/>
    </row>
    <row r="693">
      <c r="J693" s="27"/>
    </row>
    <row r="694">
      <c r="J694" s="27"/>
    </row>
    <row r="695">
      <c r="J695" s="27"/>
    </row>
    <row r="696">
      <c r="J696" s="27"/>
    </row>
    <row r="697">
      <c r="J697" s="27"/>
    </row>
    <row r="698">
      <c r="J698" s="27"/>
    </row>
    <row r="699">
      <c r="J699" s="27"/>
    </row>
    <row r="700">
      <c r="J700" s="27"/>
    </row>
    <row r="701">
      <c r="J701" s="27"/>
    </row>
    <row r="702">
      <c r="J702" s="27"/>
    </row>
    <row r="703">
      <c r="J703" s="27"/>
    </row>
    <row r="704">
      <c r="J704" s="27"/>
    </row>
    <row r="705">
      <c r="J705" s="27"/>
    </row>
    <row r="706">
      <c r="J706" s="27"/>
    </row>
    <row r="707">
      <c r="J707" s="27"/>
    </row>
    <row r="708">
      <c r="J708" s="27"/>
    </row>
    <row r="709">
      <c r="J709" s="27"/>
    </row>
    <row r="710">
      <c r="J710" s="27"/>
    </row>
    <row r="711">
      <c r="J711" s="27"/>
    </row>
    <row r="712">
      <c r="J712" s="27"/>
    </row>
    <row r="713">
      <c r="J713" s="27"/>
    </row>
    <row r="714">
      <c r="J714" s="27"/>
    </row>
    <row r="715">
      <c r="J715" s="27"/>
    </row>
    <row r="716">
      <c r="J716" s="27"/>
    </row>
    <row r="717">
      <c r="J717" s="27"/>
    </row>
    <row r="718">
      <c r="J718" s="27"/>
    </row>
    <row r="719">
      <c r="J719" s="27"/>
    </row>
    <row r="720">
      <c r="J720" s="27"/>
    </row>
    <row r="721">
      <c r="J721" s="27"/>
    </row>
    <row r="722">
      <c r="J722" s="27"/>
    </row>
    <row r="723">
      <c r="J723" s="27"/>
    </row>
    <row r="724">
      <c r="J724" s="27"/>
    </row>
    <row r="725">
      <c r="J725" s="27"/>
    </row>
    <row r="726">
      <c r="J726" s="27"/>
    </row>
    <row r="727">
      <c r="J727" s="27"/>
    </row>
    <row r="728">
      <c r="J728" s="27"/>
    </row>
    <row r="729">
      <c r="J729" s="27"/>
    </row>
    <row r="730">
      <c r="J730" s="27"/>
    </row>
    <row r="731">
      <c r="J731" s="27"/>
    </row>
    <row r="732">
      <c r="J732" s="27"/>
    </row>
    <row r="733">
      <c r="J733" s="27"/>
    </row>
    <row r="734">
      <c r="J734" s="27"/>
    </row>
    <row r="735">
      <c r="J735" s="27"/>
    </row>
    <row r="736">
      <c r="J736" s="27"/>
    </row>
    <row r="737">
      <c r="J737" s="27"/>
    </row>
    <row r="738">
      <c r="J738" s="27"/>
    </row>
    <row r="739">
      <c r="J739" s="27"/>
    </row>
    <row r="740">
      <c r="J740" s="27"/>
    </row>
    <row r="741">
      <c r="J741" s="27"/>
    </row>
    <row r="742">
      <c r="J742" s="27"/>
    </row>
    <row r="743">
      <c r="J743" s="27"/>
    </row>
    <row r="744">
      <c r="J744" s="27"/>
    </row>
    <row r="745">
      <c r="J745" s="27"/>
    </row>
    <row r="746">
      <c r="J746" s="27"/>
    </row>
    <row r="747">
      <c r="J747" s="27"/>
    </row>
    <row r="748">
      <c r="J748" s="27"/>
    </row>
    <row r="749">
      <c r="J749" s="27"/>
    </row>
    <row r="750">
      <c r="J750" s="27"/>
    </row>
    <row r="751">
      <c r="J751" s="27"/>
    </row>
    <row r="752">
      <c r="J752" s="27"/>
    </row>
    <row r="753">
      <c r="J753" s="27"/>
    </row>
    <row r="754">
      <c r="J754" s="27"/>
    </row>
    <row r="755">
      <c r="J755" s="27"/>
    </row>
    <row r="756">
      <c r="J756" s="27"/>
    </row>
    <row r="757">
      <c r="J757" s="27"/>
    </row>
    <row r="758">
      <c r="J758" s="27"/>
    </row>
    <row r="759">
      <c r="J759" s="27"/>
    </row>
    <row r="760">
      <c r="J760" s="27"/>
    </row>
    <row r="761">
      <c r="J761" s="27"/>
    </row>
    <row r="762">
      <c r="J762" s="27"/>
    </row>
    <row r="763">
      <c r="J763" s="27"/>
    </row>
    <row r="764">
      <c r="J764" s="27"/>
    </row>
    <row r="765">
      <c r="J765" s="27"/>
    </row>
    <row r="766">
      <c r="J766" s="27"/>
    </row>
    <row r="767">
      <c r="J767" s="27"/>
    </row>
    <row r="768">
      <c r="J768" s="27"/>
    </row>
    <row r="769">
      <c r="J769" s="27"/>
    </row>
    <row r="770">
      <c r="J770" s="27"/>
    </row>
    <row r="771">
      <c r="J771" s="27"/>
    </row>
    <row r="772">
      <c r="J772" s="27"/>
    </row>
    <row r="773">
      <c r="J773" s="27"/>
    </row>
    <row r="774">
      <c r="J774" s="27"/>
    </row>
    <row r="775">
      <c r="J775" s="27"/>
    </row>
    <row r="776">
      <c r="J776" s="27"/>
    </row>
    <row r="777">
      <c r="J777" s="27"/>
    </row>
    <row r="778">
      <c r="J778" s="27"/>
    </row>
    <row r="779">
      <c r="J779" s="27"/>
    </row>
    <row r="780">
      <c r="J780" s="27"/>
    </row>
    <row r="781">
      <c r="J781" s="27"/>
    </row>
    <row r="782">
      <c r="J782" s="27"/>
    </row>
    <row r="783">
      <c r="J783" s="27"/>
    </row>
    <row r="784">
      <c r="J784" s="27"/>
    </row>
    <row r="785">
      <c r="J785" s="27"/>
    </row>
    <row r="786">
      <c r="J786" s="27"/>
    </row>
    <row r="787">
      <c r="J787" s="27"/>
    </row>
    <row r="788">
      <c r="J788" s="27"/>
    </row>
    <row r="789">
      <c r="J789" s="27"/>
    </row>
    <row r="790">
      <c r="J790" s="27"/>
    </row>
    <row r="791">
      <c r="J791" s="27"/>
    </row>
    <row r="792">
      <c r="J792" s="27"/>
    </row>
    <row r="793">
      <c r="J793" s="27"/>
    </row>
    <row r="794">
      <c r="J794" s="27"/>
    </row>
    <row r="795">
      <c r="J795" s="27"/>
    </row>
    <row r="796">
      <c r="J796" s="27"/>
    </row>
    <row r="797">
      <c r="J797" s="27"/>
    </row>
    <row r="798">
      <c r="J798" s="27"/>
    </row>
    <row r="799">
      <c r="J799" s="27"/>
    </row>
    <row r="800">
      <c r="J800" s="27"/>
    </row>
    <row r="801">
      <c r="J801" s="27"/>
    </row>
    <row r="802">
      <c r="J802" s="27"/>
    </row>
    <row r="803">
      <c r="J803" s="27"/>
    </row>
    <row r="804">
      <c r="J804" s="27"/>
    </row>
    <row r="805">
      <c r="J805" s="27"/>
    </row>
    <row r="806">
      <c r="J806" s="27"/>
    </row>
    <row r="807">
      <c r="J807" s="27"/>
    </row>
    <row r="808">
      <c r="J808" s="27"/>
    </row>
    <row r="809">
      <c r="J809" s="27"/>
    </row>
    <row r="810">
      <c r="J810" s="27"/>
    </row>
    <row r="811">
      <c r="J811" s="27"/>
    </row>
    <row r="812">
      <c r="J812" s="27"/>
    </row>
    <row r="813">
      <c r="J813" s="27"/>
    </row>
    <row r="814">
      <c r="J814" s="27"/>
    </row>
    <row r="815">
      <c r="J815" s="27"/>
    </row>
    <row r="816">
      <c r="J816" s="27"/>
    </row>
    <row r="817">
      <c r="J817" s="27"/>
    </row>
    <row r="818">
      <c r="J818" s="27"/>
    </row>
    <row r="819">
      <c r="J819" s="27"/>
    </row>
    <row r="820">
      <c r="J820" s="27"/>
    </row>
    <row r="821">
      <c r="J821" s="27"/>
    </row>
    <row r="822">
      <c r="J822" s="27"/>
    </row>
    <row r="823">
      <c r="J823" s="27"/>
    </row>
    <row r="824">
      <c r="J824" s="27"/>
    </row>
    <row r="825">
      <c r="J825" s="27"/>
    </row>
    <row r="826">
      <c r="J826" s="27"/>
    </row>
    <row r="827">
      <c r="J827" s="27"/>
    </row>
    <row r="828">
      <c r="J828" s="27"/>
    </row>
    <row r="829">
      <c r="J829" s="27"/>
    </row>
    <row r="830">
      <c r="J830" s="27"/>
    </row>
    <row r="831">
      <c r="J831" s="27"/>
    </row>
    <row r="832">
      <c r="J832" s="27"/>
    </row>
    <row r="833">
      <c r="J833" s="27"/>
    </row>
    <row r="834">
      <c r="J834" s="27"/>
    </row>
    <row r="835">
      <c r="J835" s="27"/>
    </row>
    <row r="836">
      <c r="J836" s="27"/>
    </row>
    <row r="837">
      <c r="J837" s="27"/>
    </row>
    <row r="838">
      <c r="J838" s="27"/>
    </row>
    <row r="839">
      <c r="J839" s="27"/>
    </row>
    <row r="840">
      <c r="J840" s="27"/>
    </row>
    <row r="841">
      <c r="J841" s="27"/>
    </row>
    <row r="842">
      <c r="J842" s="27"/>
    </row>
    <row r="843">
      <c r="J843" s="27"/>
    </row>
    <row r="844">
      <c r="J844" s="27"/>
    </row>
    <row r="845">
      <c r="J845" s="27"/>
    </row>
    <row r="846">
      <c r="J846" s="27"/>
    </row>
    <row r="847">
      <c r="J847" s="27"/>
    </row>
    <row r="848">
      <c r="J848" s="27"/>
    </row>
    <row r="849">
      <c r="J849" s="27"/>
    </row>
    <row r="850">
      <c r="J850" s="27"/>
    </row>
    <row r="851">
      <c r="J851" s="27"/>
    </row>
    <row r="852">
      <c r="J852" s="27"/>
    </row>
    <row r="853">
      <c r="J853" s="27"/>
    </row>
    <row r="854">
      <c r="J854" s="27"/>
    </row>
    <row r="855">
      <c r="J855" s="27"/>
    </row>
    <row r="856">
      <c r="J856" s="27"/>
    </row>
    <row r="857">
      <c r="J857" s="27"/>
    </row>
    <row r="858">
      <c r="J858" s="27"/>
    </row>
    <row r="859">
      <c r="J859" s="27"/>
    </row>
    <row r="860">
      <c r="J860" s="27"/>
    </row>
    <row r="861">
      <c r="J861" s="27"/>
    </row>
    <row r="862">
      <c r="J862" s="27"/>
    </row>
    <row r="863">
      <c r="J863" s="27"/>
    </row>
    <row r="864">
      <c r="J864" s="27"/>
    </row>
    <row r="865">
      <c r="J865" s="27"/>
    </row>
    <row r="866">
      <c r="J866" s="27"/>
    </row>
    <row r="867">
      <c r="J867" s="27"/>
    </row>
    <row r="868">
      <c r="J868" s="27"/>
    </row>
    <row r="869">
      <c r="J869" s="27"/>
    </row>
    <row r="870">
      <c r="J870" s="27"/>
    </row>
    <row r="871">
      <c r="J871" s="27"/>
    </row>
    <row r="872">
      <c r="J872" s="27"/>
    </row>
    <row r="873">
      <c r="J873" s="27"/>
    </row>
    <row r="874">
      <c r="J874" s="27"/>
    </row>
    <row r="875">
      <c r="J875" s="27"/>
    </row>
    <row r="876">
      <c r="J876" s="27"/>
    </row>
    <row r="877">
      <c r="J877" s="27"/>
    </row>
    <row r="878">
      <c r="J878" s="27"/>
    </row>
    <row r="879">
      <c r="J879" s="27"/>
    </row>
    <row r="880">
      <c r="J880" s="27"/>
    </row>
    <row r="881">
      <c r="J881" s="27"/>
    </row>
    <row r="882">
      <c r="J882" s="27"/>
    </row>
    <row r="883">
      <c r="J883" s="27"/>
    </row>
    <row r="884">
      <c r="J884" s="27"/>
    </row>
    <row r="885">
      <c r="J885" s="27"/>
    </row>
    <row r="886">
      <c r="J886" s="27"/>
    </row>
    <row r="887">
      <c r="J887" s="27"/>
    </row>
    <row r="888">
      <c r="J888" s="27"/>
    </row>
    <row r="889">
      <c r="J889" s="27"/>
    </row>
    <row r="890">
      <c r="J890" s="27"/>
    </row>
    <row r="891">
      <c r="J891" s="27"/>
    </row>
    <row r="892">
      <c r="J892" s="27"/>
    </row>
    <row r="893">
      <c r="J893" s="27"/>
    </row>
    <row r="894">
      <c r="J894" s="27"/>
    </row>
    <row r="895">
      <c r="J895" s="27"/>
    </row>
    <row r="896">
      <c r="J896" s="27"/>
    </row>
    <row r="897">
      <c r="J897" s="27"/>
    </row>
    <row r="898">
      <c r="J898" s="27"/>
    </row>
    <row r="899">
      <c r="J899" s="27"/>
    </row>
    <row r="900">
      <c r="J900" s="27"/>
    </row>
    <row r="901">
      <c r="J901" s="27"/>
    </row>
    <row r="902">
      <c r="J902" s="27"/>
    </row>
    <row r="903">
      <c r="J903" s="27"/>
    </row>
    <row r="904">
      <c r="J904" s="27"/>
    </row>
    <row r="905">
      <c r="J905" s="27"/>
    </row>
    <row r="906">
      <c r="J906" s="27"/>
    </row>
    <row r="907">
      <c r="J907" s="27"/>
    </row>
    <row r="908">
      <c r="J908" s="27"/>
    </row>
    <row r="909">
      <c r="J909" s="27"/>
    </row>
    <row r="910">
      <c r="J910" s="27"/>
    </row>
    <row r="911">
      <c r="J911" s="27"/>
    </row>
    <row r="912">
      <c r="J912" s="27"/>
    </row>
    <row r="913">
      <c r="J913" s="27"/>
    </row>
    <row r="914">
      <c r="J914" s="27"/>
    </row>
    <row r="915">
      <c r="J915" s="27"/>
    </row>
    <row r="916">
      <c r="J916" s="27"/>
    </row>
    <row r="917">
      <c r="J917" s="27"/>
    </row>
    <row r="918">
      <c r="J918" s="27"/>
    </row>
    <row r="919">
      <c r="J919" s="27"/>
    </row>
    <row r="920">
      <c r="J920" s="27"/>
    </row>
    <row r="921">
      <c r="J921" s="27"/>
    </row>
    <row r="922">
      <c r="J922" s="27"/>
    </row>
    <row r="923">
      <c r="J923" s="27"/>
    </row>
    <row r="924">
      <c r="J924" s="27"/>
    </row>
    <row r="925">
      <c r="J925" s="27"/>
    </row>
    <row r="926">
      <c r="J926" s="27"/>
    </row>
    <row r="927">
      <c r="J927" s="27"/>
    </row>
    <row r="928">
      <c r="J928" s="27"/>
    </row>
    <row r="929">
      <c r="J929" s="27"/>
    </row>
    <row r="930">
      <c r="J930" s="27"/>
    </row>
    <row r="931">
      <c r="J931" s="27"/>
    </row>
    <row r="932">
      <c r="J932" s="27"/>
    </row>
    <row r="933">
      <c r="J933" s="27"/>
    </row>
    <row r="934">
      <c r="J934" s="27"/>
    </row>
    <row r="935">
      <c r="J935" s="27"/>
    </row>
    <row r="936">
      <c r="J936" s="27"/>
    </row>
    <row r="937">
      <c r="J937" s="27"/>
    </row>
    <row r="938">
      <c r="J938" s="27"/>
    </row>
    <row r="939">
      <c r="J939" s="27"/>
    </row>
    <row r="940">
      <c r="J940" s="27"/>
    </row>
    <row r="941">
      <c r="J941" s="27"/>
    </row>
    <row r="942">
      <c r="J942" s="27"/>
    </row>
    <row r="943">
      <c r="J943" s="27"/>
    </row>
    <row r="944">
      <c r="J944" s="27"/>
    </row>
    <row r="945">
      <c r="J945" s="27"/>
    </row>
    <row r="946">
      <c r="J946" s="27"/>
    </row>
    <row r="947">
      <c r="J947" s="27"/>
    </row>
    <row r="948">
      <c r="J948" s="27"/>
    </row>
    <row r="949">
      <c r="J949" s="27"/>
    </row>
    <row r="950">
      <c r="J950" s="27"/>
    </row>
    <row r="951">
      <c r="J951" s="27"/>
    </row>
    <row r="952">
      <c r="J952" s="27"/>
    </row>
    <row r="953">
      <c r="J953" s="27"/>
    </row>
    <row r="954">
      <c r="J954" s="27"/>
    </row>
    <row r="955">
      <c r="J955" s="27"/>
    </row>
    <row r="956">
      <c r="J956" s="27"/>
    </row>
    <row r="957">
      <c r="J957" s="27"/>
    </row>
    <row r="958">
      <c r="J958" s="27"/>
    </row>
    <row r="959">
      <c r="J959" s="27"/>
    </row>
    <row r="960">
      <c r="J960" s="27"/>
    </row>
    <row r="961">
      <c r="J961" s="27"/>
    </row>
    <row r="962">
      <c r="J962" s="27"/>
    </row>
    <row r="963">
      <c r="J963" s="27"/>
    </row>
    <row r="964">
      <c r="J964" s="27"/>
    </row>
    <row r="965">
      <c r="J965" s="27"/>
    </row>
    <row r="966">
      <c r="J966" s="27"/>
    </row>
    <row r="967">
      <c r="J967" s="27"/>
    </row>
    <row r="968">
      <c r="J968" s="27"/>
    </row>
    <row r="969">
      <c r="J969" s="27"/>
    </row>
    <row r="970">
      <c r="J970" s="27"/>
    </row>
    <row r="971">
      <c r="J971" s="27"/>
    </row>
    <row r="972">
      <c r="J972" s="27"/>
    </row>
    <row r="973">
      <c r="J973" s="27"/>
    </row>
    <row r="974">
      <c r="J974" s="27"/>
    </row>
    <row r="975">
      <c r="J975" s="27"/>
    </row>
    <row r="976">
      <c r="J976" s="27"/>
    </row>
    <row r="977">
      <c r="J977" s="27"/>
    </row>
    <row r="978">
      <c r="J978" s="27"/>
    </row>
    <row r="979">
      <c r="J979" s="27"/>
    </row>
    <row r="980">
      <c r="J980" s="27"/>
    </row>
    <row r="981">
      <c r="J981" s="27"/>
    </row>
    <row r="982">
      <c r="J982" s="27"/>
    </row>
    <row r="983">
      <c r="J983" s="27"/>
    </row>
    <row r="984">
      <c r="J984" s="27"/>
    </row>
    <row r="985">
      <c r="J985" s="27"/>
    </row>
    <row r="986">
      <c r="J986" s="27"/>
    </row>
    <row r="987">
      <c r="J987" s="27"/>
    </row>
    <row r="988">
      <c r="J988" s="27"/>
    </row>
    <row r="989">
      <c r="J989" s="27"/>
    </row>
    <row r="990">
      <c r="J990" s="27"/>
    </row>
    <row r="991">
      <c r="J991" s="27"/>
    </row>
    <row r="992">
      <c r="J992" s="27"/>
    </row>
    <row r="993">
      <c r="J993" s="27"/>
    </row>
    <row r="994">
      <c r="J994" s="27"/>
    </row>
    <row r="995">
      <c r="J995" s="27"/>
    </row>
    <row r="996">
      <c r="J996" s="27"/>
    </row>
    <row r="997">
      <c r="J997" s="27"/>
    </row>
    <row r="998">
      <c r="J998" s="27"/>
    </row>
    <row r="999">
      <c r="J999" s="27"/>
    </row>
    <row r="1000">
      <c r="J1000" s="27"/>
    </row>
    <row r="1001">
      <c r="J1001" s="27"/>
    </row>
    <row r="1002">
      <c r="J1002" s="27"/>
    </row>
  </sheetData>
  <conditionalFormatting sqref="D42:E42 F51:H51">
    <cfRule type="cellIs" dxfId="0" priority="1" operator="lessThan">
      <formula>0</formula>
    </cfRule>
  </conditionalFormatting>
  <conditionalFormatting sqref="D51:E51">
    <cfRule type="cellIs" dxfId="0" priority="2" operator="lessThan">
      <formula>0</formula>
    </cfRule>
  </conditionalFormatting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9.38"/>
    <col customWidth="1" min="11" max="11" width="20.63"/>
    <col customWidth="1" min="12" max="12" width="11.25"/>
    <col customWidth="1" min="13" max="13" width="9.25"/>
    <col customWidth="1" min="14" max="15" width="9.5"/>
  </cols>
  <sheetData>
    <row r="1">
      <c r="A1" s="18" t="s">
        <v>346</v>
      </c>
      <c r="B1" s="199" t="s">
        <v>296</v>
      </c>
      <c r="K1" s="107"/>
    </row>
    <row r="2">
      <c r="B2" s="18" t="s">
        <v>240</v>
      </c>
      <c r="C2" s="249">
        <v>13.0</v>
      </c>
      <c r="K2" s="27"/>
    </row>
    <row r="3">
      <c r="B3" s="18" t="s">
        <v>241</v>
      </c>
      <c r="C3" s="249">
        <f>62.92/2</f>
        <v>31.46</v>
      </c>
      <c r="K3" s="27"/>
    </row>
    <row r="4">
      <c r="B4" s="18" t="s">
        <v>242</v>
      </c>
      <c r="C4" s="249">
        <v>13.0</v>
      </c>
      <c r="K4" s="27"/>
      <c r="L4" s="107"/>
      <c r="M4" s="107"/>
      <c r="P4" s="17"/>
    </row>
    <row r="5">
      <c r="B5" s="18" t="s">
        <v>285</v>
      </c>
      <c r="C5" s="249">
        <v>42.0</v>
      </c>
      <c r="K5" s="27"/>
      <c r="L5" s="107"/>
      <c r="M5" s="107"/>
      <c r="P5" s="32"/>
    </row>
    <row r="6">
      <c r="B6" s="18" t="s">
        <v>324</v>
      </c>
      <c r="C6" s="249">
        <v>6.0</v>
      </c>
      <c r="K6" s="301" t="s">
        <v>325</v>
      </c>
      <c r="L6" s="107"/>
      <c r="M6" s="107"/>
      <c r="P6" s="30"/>
    </row>
    <row r="7">
      <c r="C7" s="276">
        <f>SUM(C2:C6)</f>
        <v>105.46</v>
      </c>
      <c r="K7" s="302" t="s">
        <v>119</v>
      </c>
      <c r="L7" s="302" t="s">
        <v>120</v>
      </c>
      <c r="M7" s="27"/>
    </row>
    <row r="8">
      <c r="I8" s="18" t="s">
        <v>366</v>
      </c>
      <c r="K8" s="7" t="s">
        <v>347</v>
      </c>
      <c r="L8" s="7" t="s">
        <v>348</v>
      </c>
      <c r="M8" s="107"/>
    </row>
    <row r="9">
      <c r="B9" s="55" t="s">
        <v>122</v>
      </c>
      <c r="C9" s="56"/>
      <c r="D9" s="254" t="s">
        <v>134</v>
      </c>
      <c r="E9" s="254" t="s">
        <v>123</v>
      </c>
      <c r="F9" s="254" t="s">
        <v>124</v>
      </c>
      <c r="G9" s="254" t="s">
        <v>125</v>
      </c>
      <c r="H9" s="253" t="s">
        <v>126</v>
      </c>
      <c r="I9" s="254" t="s">
        <v>127</v>
      </c>
      <c r="K9" s="7" t="s">
        <v>328</v>
      </c>
      <c r="L9" s="7" t="s">
        <v>349</v>
      </c>
      <c r="M9" s="107"/>
      <c r="O9" s="18"/>
      <c r="P9" s="18"/>
    </row>
    <row r="10">
      <c r="B10" s="59" t="s">
        <v>129</v>
      </c>
      <c r="C10" s="60"/>
      <c r="D10" s="113">
        <v>8257.5</v>
      </c>
      <c r="E10" s="113">
        <v>8402.25</v>
      </c>
      <c r="F10" s="113">
        <v>8402.25</v>
      </c>
      <c r="G10" s="113">
        <v>8402.25</v>
      </c>
      <c r="H10" s="113">
        <v>8402.26</v>
      </c>
      <c r="I10" s="113">
        <v>8402.25</v>
      </c>
      <c r="K10" s="7"/>
      <c r="L10" s="7" t="s">
        <v>192</v>
      </c>
      <c r="M10" s="107"/>
      <c r="O10" s="18"/>
    </row>
    <row r="11">
      <c r="B11" s="59" t="s">
        <v>136</v>
      </c>
      <c r="C11" s="60"/>
      <c r="D11" s="114">
        <f>2040+3294.58</f>
        <v>5334.58</v>
      </c>
      <c r="E11" s="114">
        <f>2040+3421.67</f>
        <v>5461.67</v>
      </c>
      <c r="F11" s="114">
        <v>5721.67</v>
      </c>
      <c r="G11" s="114">
        <f>2160+3065.41+512.46</f>
        <v>5737.87</v>
      </c>
      <c r="H11" s="114">
        <f>2160+3077.41+512.46</f>
        <v>5749.87</v>
      </c>
      <c r="I11" s="114">
        <v>5721.67</v>
      </c>
      <c r="K11" s="303"/>
      <c r="L11" s="107"/>
      <c r="M11" s="27"/>
      <c r="O11" s="18"/>
    </row>
    <row r="12">
      <c r="B12" s="59" t="s">
        <v>137</v>
      </c>
      <c r="C12" s="60"/>
      <c r="D12" s="313"/>
      <c r="E12" s="114"/>
      <c r="F12" s="114"/>
      <c r="G12" s="114"/>
      <c r="H12" s="114"/>
      <c r="I12" s="114"/>
      <c r="K12" s="363"/>
      <c r="L12" s="107"/>
      <c r="M12" s="107"/>
      <c r="O12" s="18"/>
    </row>
    <row r="13">
      <c r="B13" s="59" t="s">
        <v>138</v>
      </c>
      <c r="C13" s="60"/>
      <c r="D13" s="348"/>
      <c r="E13" s="117"/>
      <c r="F13" s="117"/>
      <c r="G13" s="114"/>
      <c r="H13" s="114"/>
      <c r="I13" s="114"/>
      <c r="K13" s="32"/>
      <c r="L13" s="107"/>
      <c r="M13" s="107"/>
      <c r="O13" s="18"/>
    </row>
    <row r="14">
      <c r="B14" s="67" t="s">
        <v>139</v>
      </c>
      <c r="C14" s="68"/>
      <c r="D14" s="315">
        <f t="shared" ref="D14:I14" si="1">SUM(D10:D13)</f>
        <v>13592.08</v>
      </c>
      <c r="E14" s="315">
        <f t="shared" si="1"/>
        <v>13863.92</v>
      </c>
      <c r="F14" s="119">
        <f t="shared" si="1"/>
        <v>14123.92</v>
      </c>
      <c r="G14" s="119">
        <f t="shared" si="1"/>
        <v>14140.12</v>
      </c>
      <c r="H14" s="119">
        <f t="shared" si="1"/>
        <v>14152.13</v>
      </c>
      <c r="I14" s="119">
        <f t="shared" si="1"/>
        <v>14123.92</v>
      </c>
      <c r="K14" s="248"/>
      <c r="L14" s="107"/>
      <c r="M14" s="107"/>
      <c r="O14" s="18"/>
      <c r="P14" s="12">
        <f>150-54.2</f>
        <v>95.8</v>
      </c>
      <c r="R14" s="107"/>
    </row>
    <row r="15">
      <c r="D15" s="311"/>
      <c r="E15" s="311"/>
      <c r="K15" s="32"/>
      <c r="L15" s="107"/>
      <c r="O15" s="18"/>
      <c r="R15" s="27"/>
    </row>
    <row r="16">
      <c r="B16" s="70" t="s">
        <v>140</v>
      </c>
      <c r="C16" s="71"/>
      <c r="D16" s="316" t="s">
        <v>123</v>
      </c>
      <c r="E16" s="316" t="s">
        <v>124</v>
      </c>
      <c r="F16" s="316" t="s">
        <v>125</v>
      </c>
      <c r="G16" s="316" t="s">
        <v>126</v>
      </c>
      <c r="H16" s="316" t="s">
        <v>127</v>
      </c>
      <c r="I16" s="58" t="s">
        <v>128</v>
      </c>
      <c r="K16" s="107"/>
      <c r="L16" s="26"/>
      <c r="M16" s="107"/>
      <c r="O16" s="18"/>
    </row>
    <row r="17">
      <c r="B17" s="121" t="s">
        <v>141</v>
      </c>
      <c r="C17" s="122"/>
      <c r="D17" s="378">
        <v>350.0</v>
      </c>
      <c r="E17" s="378">
        <v>350.0</v>
      </c>
      <c r="F17" s="378">
        <v>350.0</v>
      </c>
      <c r="G17" s="378">
        <v>0.0</v>
      </c>
      <c r="H17" s="123">
        <v>350.0</v>
      </c>
      <c r="I17" s="378">
        <f t="shared" ref="I17:I18" si="2">H17</f>
        <v>350</v>
      </c>
      <c r="K17" s="107" t="s">
        <v>331</v>
      </c>
      <c r="L17" s="192"/>
      <c r="O17" s="18"/>
    </row>
    <row r="18">
      <c r="B18" s="121" t="s">
        <v>142</v>
      </c>
      <c r="C18" s="122"/>
      <c r="D18" s="378">
        <v>200.0</v>
      </c>
      <c r="E18" s="378">
        <v>200.0</v>
      </c>
      <c r="F18" s="378">
        <v>200.0</v>
      </c>
      <c r="G18" s="378">
        <v>200.0</v>
      </c>
      <c r="H18" s="123">
        <v>200.0</v>
      </c>
      <c r="I18" s="378">
        <f t="shared" si="2"/>
        <v>200</v>
      </c>
      <c r="K18" s="192"/>
      <c r="L18" s="26" t="s">
        <v>27</v>
      </c>
      <c r="M18" s="26" t="s">
        <v>274</v>
      </c>
      <c r="N18" s="26" t="s">
        <v>351</v>
      </c>
      <c r="O18" s="26" t="s">
        <v>333</v>
      </c>
      <c r="P18" s="26" t="s">
        <v>367</v>
      </c>
      <c r="Q18" s="376" t="s">
        <v>368</v>
      </c>
      <c r="R18" s="26" t="s">
        <v>48</v>
      </c>
      <c r="S18" s="18" t="s">
        <v>369</v>
      </c>
    </row>
    <row r="19">
      <c r="B19" s="121" t="s">
        <v>143</v>
      </c>
      <c r="C19" s="122"/>
      <c r="D19" s="379">
        <v>174.85</v>
      </c>
      <c r="E19" s="379">
        <v>174.85</v>
      </c>
      <c r="F19" s="379">
        <v>174.85</v>
      </c>
      <c r="G19" s="396">
        <f>126.4/2</f>
        <v>63.2</v>
      </c>
      <c r="H19" s="397">
        <v>79.3</v>
      </c>
      <c r="I19" s="379">
        <v>174.85</v>
      </c>
      <c r="K19" s="121" t="s">
        <v>141</v>
      </c>
      <c r="M19" s="27"/>
      <c r="N19" s="123">
        <v>350.0</v>
      </c>
      <c r="O19" s="247"/>
      <c r="P19" s="27"/>
      <c r="Q19" s="27"/>
      <c r="R19" s="27"/>
      <c r="S19" s="27"/>
    </row>
    <row r="20">
      <c r="B20" s="121" t="s">
        <v>144</v>
      </c>
      <c r="C20" s="122"/>
      <c r="D20" s="378">
        <v>100.0</v>
      </c>
      <c r="E20" s="378">
        <v>100.0</v>
      </c>
      <c r="F20" s="378">
        <v>100.0</v>
      </c>
      <c r="G20" s="378">
        <v>100.0</v>
      </c>
      <c r="H20" s="123">
        <v>100.0</v>
      </c>
      <c r="I20" s="378">
        <f t="shared" ref="I20:I21" si="3">H20</f>
        <v>100</v>
      </c>
      <c r="K20" s="121" t="s">
        <v>142</v>
      </c>
      <c r="M20" s="27"/>
      <c r="N20" s="123"/>
      <c r="O20" s="247"/>
      <c r="P20" s="27"/>
      <c r="Q20" s="27"/>
      <c r="R20" s="27"/>
      <c r="S20" s="27"/>
    </row>
    <row r="21">
      <c r="B21" s="121" t="s">
        <v>145</v>
      </c>
      <c r="C21" s="122"/>
      <c r="D21" s="378">
        <v>2500.0</v>
      </c>
      <c r="E21" s="378">
        <v>2500.0</v>
      </c>
      <c r="F21" s="378">
        <v>2500.0</v>
      </c>
      <c r="G21" s="378">
        <v>2500.0</v>
      </c>
      <c r="H21" s="123">
        <v>3000.0</v>
      </c>
      <c r="I21" s="378">
        <f t="shared" si="3"/>
        <v>3000</v>
      </c>
      <c r="K21" s="121" t="s">
        <v>143</v>
      </c>
      <c r="M21" s="27"/>
      <c r="N21" s="397"/>
      <c r="O21" s="247"/>
      <c r="P21" s="305"/>
      <c r="Q21" s="27"/>
      <c r="R21" s="27"/>
      <c r="S21" s="27"/>
    </row>
    <row r="22">
      <c r="B22" s="121" t="s">
        <v>146</v>
      </c>
      <c r="C22" s="126" t="s">
        <v>147</v>
      </c>
      <c r="D22" s="378">
        <v>400.0</v>
      </c>
      <c r="E22" s="378">
        <v>400.0</v>
      </c>
      <c r="F22" s="378">
        <v>404.8</v>
      </c>
      <c r="G22" s="378">
        <v>400.0</v>
      </c>
      <c r="H22" s="123">
        <v>404.8</v>
      </c>
      <c r="I22" s="378">
        <v>404.8</v>
      </c>
      <c r="K22" s="121" t="s">
        <v>144</v>
      </c>
      <c r="M22" s="107"/>
      <c r="N22" s="123">
        <v>100.0</v>
      </c>
      <c r="O22" s="247"/>
      <c r="P22" s="27"/>
      <c r="Q22" s="27"/>
      <c r="R22" s="27"/>
      <c r="S22" s="27"/>
      <c r="T22" s="28"/>
    </row>
    <row r="23">
      <c r="B23" s="127" t="s">
        <v>180</v>
      </c>
      <c r="C23" s="128"/>
      <c r="D23" s="378">
        <v>0.0</v>
      </c>
      <c r="E23" s="378">
        <v>0.0</v>
      </c>
      <c r="F23" s="378">
        <v>0.0</v>
      </c>
      <c r="G23" s="378">
        <v>0.0</v>
      </c>
      <c r="H23" s="123">
        <v>0.0</v>
      </c>
      <c r="I23" s="378">
        <v>0.0</v>
      </c>
      <c r="K23" s="121" t="s">
        <v>145</v>
      </c>
      <c r="M23" s="27"/>
      <c r="N23" s="123"/>
      <c r="O23" s="378"/>
      <c r="P23" s="27"/>
      <c r="Q23" s="27"/>
      <c r="R23" s="27"/>
      <c r="S23" s="27"/>
    </row>
    <row r="24">
      <c r="B24" s="121" t="s">
        <v>148</v>
      </c>
      <c r="C24" s="122"/>
      <c r="D24" s="378">
        <v>500.0</v>
      </c>
      <c r="E24" s="378">
        <v>500.0</v>
      </c>
      <c r="F24" s="378">
        <v>500.0</v>
      </c>
      <c r="G24" s="378">
        <v>500.0</v>
      </c>
      <c r="H24" s="123">
        <v>600.0</v>
      </c>
      <c r="I24" s="378">
        <v>500.0</v>
      </c>
      <c r="K24" s="121" t="s">
        <v>146</v>
      </c>
      <c r="L24" s="123">
        <v>204.8</v>
      </c>
      <c r="M24" s="123">
        <v>200.0</v>
      </c>
      <c r="N24" s="27"/>
      <c r="O24" s="247"/>
      <c r="P24" s="27"/>
      <c r="Q24" s="27"/>
      <c r="R24" s="27"/>
      <c r="S24" s="27"/>
    </row>
    <row r="25">
      <c r="B25" s="121" t="s">
        <v>149</v>
      </c>
      <c r="C25" s="122"/>
      <c r="D25" s="378">
        <v>500.0</v>
      </c>
      <c r="E25" s="378">
        <v>500.0</v>
      </c>
      <c r="F25" s="378">
        <v>500.0</v>
      </c>
      <c r="G25" s="378">
        <v>500.0</v>
      </c>
      <c r="H25" s="123">
        <v>500.0</v>
      </c>
      <c r="I25" s="378">
        <f>H25</f>
        <v>500</v>
      </c>
      <c r="K25" s="127" t="s">
        <v>180</v>
      </c>
      <c r="L25" s="123">
        <v>0.0</v>
      </c>
      <c r="M25" s="378"/>
      <c r="N25" s="372"/>
      <c r="O25" s="247"/>
      <c r="P25" s="27"/>
      <c r="Q25" s="27"/>
      <c r="R25" s="27"/>
      <c r="S25" s="27"/>
    </row>
    <row r="26">
      <c r="B26" s="127" t="s">
        <v>181</v>
      </c>
      <c r="C26" s="128"/>
      <c r="D26" s="378">
        <v>650.0</v>
      </c>
      <c r="E26" s="378">
        <v>150.0</v>
      </c>
      <c r="F26" s="378">
        <v>150.0</v>
      </c>
      <c r="G26" s="378">
        <v>150.0</v>
      </c>
      <c r="H26" s="123">
        <v>150.0</v>
      </c>
      <c r="I26" s="378">
        <v>150.0</v>
      </c>
      <c r="K26" s="121" t="s">
        <v>148</v>
      </c>
      <c r="M26" s="27"/>
      <c r="N26" s="123"/>
      <c r="O26" s="247"/>
      <c r="Q26" s="27"/>
      <c r="R26" s="27"/>
      <c r="S26" s="27"/>
    </row>
    <row r="27">
      <c r="B27" s="121" t="s">
        <v>150</v>
      </c>
      <c r="C27" s="122"/>
      <c r="D27" s="378">
        <v>400.0</v>
      </c>
      <c r="E27" s="378">
        <v>400.0</v>
      </c>
      <c r="F27" s="378">
        <v>400.0</v>
      </c>
      <c r="G27" s="378">
        <v>400.0</v>
      </c>
      <c r="H27" s="123">
        <v>400.0</v>
      </c>
      <c r="I27" s="378">
        <f>H27</f>
        <v>400</v>
      </c>
      <c r="K27" s="121" t="s">
        <v>149</v>
      </c>
      <c r="M27" s="27"/>
      <c r="N27" s="123"/>
      <c r="O27" s="247"/>
      <c r="P27" s="27"/>
      <c r="Q27" s="27"/>
      <c r="R27" s="27"/>
      <c r="S27" s="27"/>
    </row>
    <row r="28">
      <c r="B28" s="127" t="s">
        <v>182</v>
      </c>
      <c r="C28" s="128"/>
      <c r="D28" s="378"/>
      <c r="E28" s="378"/>
      <c r="F28" s="378"/>
      <c r="G28" s="378">
        <v>160.0</v>
      </c>
      <c r="H28" s="123">
        <v>160.0</v>
      </c>
      <c r="I28" s="378">
        <v>160.0</v>
      </c>
      <c r="K28" s="127" t="s">
        <v>181</v>
      </c>
      <c r="M28" s="27"/>
      <c r="N28" s="123">
        <v>150.0</v>
      </c>
      <c r="O28" s="247"/>
      <c r="P28" s="27"/>
      <c r="Q28" s="27"/>
      <c r="R28" s="27"/>
      <c r="S28" s="27"/>
    </row>
    <row r="29">
      <c r="B29" s="127" t="s">
        <v>183</v>
      </c>
      <c r="C29" s="128"/>
      <c r="D29" s="378">
        <v>400.0</v>
      </c>
      <c r="E29" s="378">
        <v>400.0</v>
      </c>
      <c r="F29" s="378">
        <v>400.0</v>
      </c>
      <c r="G29" s="378">
        <v>400.0</v>
      </c>
      <c r="H29" s="123">
        <v>400.0</v>
      </c>
      <c r="I29" s="378">
        <v>400.0</v>
      </c>
      <c r="K29" s="121" t="s">
        <v>150</v>
      </c>
      <c r="M29" s="123">
        <v>400.0</v>
      </c>
      <c r="N29" s="123"/>
      <c r="O29" s="247"/>
      <c r="P29" s="27"/>
      <c r="Q29" s="27"/>
      <c r="R29" s="27"/>
      <c r="S29" s="27"/>
    </row>
    <row r="30">
      <c r="B30" s="121" t="s">
        <v>152</v>
      </c>
      <c r="C30" s="122"/>
      <c r="D30" s="390"/>
      <c r="E30" s="390"/>
      <c r="F30" s="378"/>
      <c r="G30" s="378"/>
      <c r="H30" s="123"/>
      <c r="I30" s="390"/>
      <c r="K30" s="127" t="s">
        <v>182</v>
      </c>
      <c r="M30" s="378"/>
      <c r="N30" s="27"/>
      <c r="O30" s="247"/>
      <c r="P30" s="27"/>
      <c r="Q30" s="27"/>
      <c r="R30" s="27"/>
      <c r="S30" s="378">
        <v>160.0</v>
      </c>
    </row>
    <row r="31">
      <c r="B31" s="121" t="s">
        <v>154</v>
      </c>
      <c r="C31" s="122"/>
      <c r="D31" s="378">
        <v>122.0</v>
      </c>
      <c r="E31" s="378">
        <v>105.46</v>
      </c>
      <c r="F31" s="378">
        <v>105.46</v>
      </c>
      <c r="G31" s="378">
        <v>105.46</v>
      </c>
      <c r="H31" s="123">
        <v>105.46</v>
      </c>
      <c r="I31" s="378">
        <v>136.92</v>
      </c>
      <c r="K31" s="127" t="s">
        <v>183</v>
      </c>
      <c r="M31" s="27"/>
      <c r="N31" s="247"/>
      <c r="O31" s="247"/>
      <c r="P31" s="107"/>
      <c r="Q31" s="378">
        <v>400.0</v>
      </c>
      <c r="R31" s="27"/>
      <c r="S31" s="27"/>
    </row>
    <row r="32">
      <c r="B32" s="121" t="s">
        <v>155</v>
      </c>
      <c r="C32" s="122"/>
      <c r="D32" s="390"/>
      <c r="E32" s="390"/>
      <c r="F32" s="390"/>
      <c r="G32" s="390"/>
      <c r="H32" s="131"/>
      <c r="I32" s="378" t="str">
        <f>H32</f>
        <v/>
      </c>
      <c r="K32" s="121" t="s">
        <v>152</v>
      </c>
      <c r="L32" s="123"/>
      <c r="M32" s="123"/>
      <c r="N32" s="383"/>
      <c r="O32" s="372"/>
      <c r="P32" s="27"/>
      <c r="Q32" s="27"/>
      <c r="R32" s="27"/>
      <c r="S32" s="27"/>
    </row>
    <row r="33">
      <c r="B33" s="121" t="s">
        <v>156</v>
      </c>
      <c r="C33" s="122"/>
      <c r="D33" s="378">
        <v>150.0</v>
      </c>
      <c r="E33" s="378">
        <v>150.0</v>
      </c>
      <c r="F33" s="378"/>
      <c r="G33" s="378">
        <v>150.0</v>
      </c>
      <c r="H33" s="123">
        <f>400+400+150</f>
        <v>950</v>
      </c>
      <c r="I33" s="378">
        <v>800.0</v>
      </c>
      <c r="K33" s="121" t="s">
        <v>154</v>
      </c>
      <c r="L33" s="123">
        <v>92.46</v>
      </c>
      <c r="M33" s="123">
        <v>13.0</v>
      </c>
      <c r="N33" s="383"/>
      <c r="O33" s="247"/>
      <c r="P33" s="27"/>
      <c r="Q33" s="378"/>
      <c r="R33" s="27"/>
      <c r="S33" s="27"/>
      <c r="T33" s="32"/>
    </row>
    <row r="34">
      <c r="B34" s="121" t="s">
        <v>157</v>
      </c>
      <c r="C34" s="122"/>
      <c r="D34" s="378">
        <v>50.0</v>
      </c>
      <c r="E34" s="378">
        <v>50.0</v>
      </c>
      <c r="F34" s="378">
        <v>50.0</v>
      </c>
      <c r="G34" s="378">
        <v>50.0</v>
      </c>
      <c r="H34" s="123">
        <f t="shared" ref="H34:I34" si="4">G34</f>
        <v>50</v>
      </c>
      <c r="I34" s="378">
        <f t="shared" si="4"/>
        <v>50</v>
      </c>
      <c r="K34" s="121" t="s">
        <v>155</v>
      </c>
      <c r="L34" s="131"/>
      <c r="M34" s="123"/>
      <c r="N34" s="383"/>
      <c r="O34" s="247"/>
      <c r="P34" s="107"/>
      <c r="Q34" s="27"/>
      <c r="R34" s="27"/>
      <c r="S34" s="378"/>
      <c r="U34" s="18"/>
    </row>
    <row r="35">
      <c r="B35" s="121" t="s">
        <v>158</v>
      </c>
      <c r="C35" s="122"/>
      <c r="D35" s="390"/>
      <c r="E35" s="390"/>
      <c r="F35" s="390"/>
      <c r="G35" s="390"/>
      <c r="H35" s="123" t="str">
        <f t="shared" ref="H35:I35" si="5">G35</f>
        <v/>
      </c>
      <c r="I35" s="378" t="str">
        <f t="shared" si="5"/>
        <v/>
      </c>
      <c r="K35" s="121" t="s">
        <v>156</v>
      </c>
      <c r="M35" s="123">
        <v>400.0</v>
      </c>
      <c r="N35" s="247"/>
      <c r="O35" s="247"/>
      <c r="P35" s="107"/>
      <c r="Q35" s="378">
        <v>550.0</v>
      </c>
      <c r="R35" s="27"/>
      <c r="S35" s="27"/>
      <c r="U35" s="18"/>
    </row>
    <row r="36">
      <c r="B36" s="121" t="s">
        <v>159</v>
      </c>
      <c r="C36" s="122"/>
      <c r="D36" s="378">
        <f t="shared" ref="D36:E36" si="6">400+400+150</f>
        <v>950</v>
      </c>
      <c r="E36" s="378">
        <f t="shared" si="6"/>
        <v>950</v>
      </c>
      <c r="F36" s="378">
        <v>950.0</v>
      </c>
      <c r="G36" s="378">
        <v>950.0</v>
      </c>
      <c r="H36" s="123">
        <f t="shared" ref="H36:I36" si="7">400+400+150</f>
        <v>950</v>
      </c>
      <c r="I36" s="378">
        <f t="shared" si="7"/>
        <v>950</v>
      </c>
      <c r="K36" s="121" t="s">
        <v>157</v>
      </c>
      <c r="M36" s="378"/>
      <c r="N36" s="247"/>
      <c r="O36" s="247"/>
      <c r="P36" s="107"/>
      <c r="Q36" s="27"/>
      <c r="R36" s="27"/>
      <c r="S36" s="378">
        <v>50.0</v>
      </c>
    </row>
    <row r="37">
      <c r="B37" s="121" t="s">
        <v>160</v>
      </c>
      <c r="C37" s="122"/>
      <c r="D37" s="378">
        <v>3000.0</v>
      </c>
      <c r="E37" s="378">
        <v>3000.0</v>
      </c>
      <c r="F37" s="378">
        <v>3000.0</v>
      </c>
      <c r="G37" s="378">
        <v>3000.0</v>
      </c>
      <c r="H37" s="123">
        <f t="shared" ref="H37:I37" si="8">G37</f>
        <v>3000</v>
      </c>
      <c r="I37" s="378">
        <f t="shared" si="8"/>
        <v>3000</v>
      </c>
      <c r="K37" s="121" t="s">
        <v>158</v>
      </c>
      <c r="L37" s="123"/>
      <c r="M37" s="378"/>
      <c r="N37" s="27"/>
      <c r="O37" s="378"/>
      <c r="P37" s="27"/>
      <c r="Q37" s="27"/>
      <c r="R37" s="27"/>
      <c r="S37" s="27"/>
    </row>
    <row r="38">
      <c r="B38" s="127" t="s">
        <v>184</v>
      </c>
      <c r="C38" s="128"/>
      <c r="D38" s="377">
        <v>1087.8499999999985</v>
      </c>
      <c r="E38" s="378">
        <v>700.0</v>
      </c>
      <c r="F38" s="378">
        <v>700.0</v>
      </c>
      <c r="G38" s="378">
        <v>700.0</v>
      </c>
      <c r="H38" s="129">
        <v>700.0</v>
      </c>
      <c r="I38" s="378">
        <v>700.0</v>
      </c>
      <c r="K38" s="121" t="s">
        <v>159</v>
      </c>
      <c r="L38" s="123">
        <v>400.0</v>
      </c>
      <c r="M38" s="123">
        <v>550.0</v>
      </c>
      <c r="N38" s="27"/>
      <c r="O38" s="27"/>
      <c r="P38" s="378"/>
      <c r="Q38" s="27"/>
      <c r="R38" s="27"/>
      <c r="S38" s="27"/>
    </row>
    <row r="39">
      <c r="B39" s="127" t="s">
        <v>3</v>
      </c>
      <c r="C39" s="128"/>
      <c r="D39" s="378">
        <v>500.0</v>
      </c>
      <c r="E39" s="378">
        <v>500.0</v>
      </c>
      <c r="F39" s="378">
        <v>500.0</v>
      </c>
      <c r="G39" s="378">
        <v>500.0</v>
      </c>
      <c r="H39" s="129">
        <v>500.0</v>
      </c>
      <c r="I39" s="378">
        <v>500.0</v>
      </c>
      <c r="K39" s="121" t="s">
        <v>160</v>
      </c>
      <c r="L39" s="123">
        <v>1500.0</v>
      </c>
      <c r="M39" s="123">
        <v>1500.0</v>
      </c>
      <c r="N39" s="27"/>
      <c r="O39" s="27"/>
      <c r="P39" s="27"/>
      <c r="Q39" s="27"/>
      <c r="R39" s="107"/>
      <c r="S39" s="27"/>
    </row>
    <row r="40">
      <c r="B40" s="67" t="s">
        <v>161</v>
      </c>
      <c r="C40" s="68"/>
      <c r="D40" s="132">
        <f t="shared" ref="D40:I40" si="9">SUM(D17:D39)*-1</f>
        <v>-12034.7</v>
      </c>
      <c r="E40" s="132">
        <f t="shared" si="9"/>
        <v>-11130.31</v>
      </c>
      <c r="F40" s="132">
        <f t="shared" si="9"/>
        <v>-10985.11</v>
      </c>
      <c r="G40" s="132">
        <f t="shared" si="9"/>
        <v>-10828.66</v>
      </c>
      <c r="H40" s="132">
        <f t="shared" si="9"/>
        <v>-12599.56</v>
      </c>
      <c r="I40" s="132">
        <f t="shared" si="9"/>
        <v>-12476.57</v>
      </c>
      <c r="K40" s="127" t="s">
        <v>184</v>
      </c>
      <c r="O40" s="378">
        <v>700.0</v>
      </c>
    </row>
    <row r="41">
      <c r="K41" s="127" t="s">
        <v>3</v>
      </c>
      <c r="P41" s="378">
        <v>500.0</v>
      </c>
      <c r="R41" s="27"/>
    </row>
    <row r="42">
      <c r="B42" s="80" t="s">
        <v>162</v>
      </c>
      <c r="C42" s="81"/>
      <c r="D42" s="82">
        <f t="shared" ref="D42:I42" si="10">D14+D40</f>
        <v>1557.38</v>
      </c>
      <c r="E42" s="82">
        <f t="shared" si="10"/>
        <v>2733.61</v>
      </c>
      <c r="F42" s="82">
        <f t="shared" si="10"/>
        <v>3138.81</v>
      </c>
      <c r="G42" s="82">
        <f t="shared" si="10"/>
        <v>3311.46</v>
      </c>
      <c r="H42" s="82">
        <f t="shared" si="10"/>
        <v>1552.57</v>
      </c>
      <c r="I42" s="82">
        <f t="shared" si="10"/>
        <v>1647.35</v>
      </c>
      <c r="P42" s="378"/>
      <c r="R42" s="279">
        <v>1040.11</v>
      </c>
    </row>
    <row r="43">
      <c r="B43" s="83"/>
      <c r="C43" s="83"/>
      <c r="D43" s="84"/>
      <c r="E43" s="84"/>
      <c r="F43" s="84"/>
      <c r="G43" s="84"/>
      <c r="H43" s="84"/>
      <c r="I43" s="84"/>
      <c r="K43" s="7" t="s">
        <v>26</v>
      </c>
      <c r="L43" s="325">
        <f t="shared" ref="L43:S43" si="11">SUM(L19:L42)</f>
        <v>2197.26</v>
      </c>
      <c r="M43" s="325">
        <f t="shared" si="11"/>
        <v>3063</v>
      </c>
      <c r="N43" s="373">
        <f t="shared" si="11"/>
        <v>600</v>
      </c>
      <c r="O43" s="325">
        <f t="shared" si="11"/>
        <v>700</v>
      </c>
      <c r="P43" s="325">
        <f t="shared" si="11"/>
        <v>500</v>
      </c>
      <c r="Q43" s="325">
        <f t="shared" si="11"/>
        <v>950</v>
      </c>
      <c r="R43" s="325">
        <f t="shared" si="11"/>
        <v>1040.11</v>
      </c>
      <c r="S43" s="325">
        <f t="shared" si="11"/>
        <v>210</v>
      </c>
    </row>
    <row r="44">
      <c r="B44" s="85" t="s">
        <v>163</v>
      </c>
      <c r="C44" s="86"/>
      <c r="D44" s="57" t="s">
        <v>123</v>
      </c>
      <c r="E44" s="57" t="s">
        <v>124</v>
      </c>
      <c r="F44" s="57" t="s">
        <v>125</v>
      </c>
      <c r="G44" s="57" t="s">
        <v>126</v>
      </c>
      <c r="H44" s="57" t="s">
        <v>126</v>
      </c>
      <c r="I44" s="57" t="s">
        <v>128</v>
      </c>
      <c r="K44" s="107" t="s">
        <v>371</v>
      </c>
      <c r="L44" s="391">
        <f>H10-L43</f>
        <v>6205</v>
      </c>
      <c r="M44" s="386">
        <f>P45-M43</f>
        <v>14.41</v>
      </c>
      <c r="N44" s="287"/>
    </row>
    <row r="45">
      <c r="B45" s="87" t="s">
        <v>185</v>
      </c>
      <c r="C45" s="88"/>
      <c r="D45" s="89"/>
      <c r="E45" s="89"/>
      <c r="F45" s="89"/>
      <c r="G45" s="134">
        <v>512.46</v>
      </c>
      <c r="H45" s="134">
        <v>512.46</v>
      </c>
      <c r="I45" s="134">
        <v>512.46</v>
      </c>
      <c r="K45" s="325" t="s">
        <v>353</v>
      </c>
      <c r="P45" s="18">
        <v>3077.41</v>
      </c>
      <c r="Q45" s="18">
        <v>2160.0</v>
      </c>
    </row>
    <row r="46">
      <c r="A46" s="298">
        <v>45020.0</v>
      </c>
      <c r="B46" s="87" t="s">
        <v>58</v>
      </c>
      <c r="C46" s="88"/>
      <c r="D46" s="91"/>
      <c r="E46" s="91"/>
      <c r="F46" s="91"/>
      <c r="G46" s="91"/>
      <c r="H46" s="91"/>
      <c r="I46" s="135"/>
      <c r="K46" s="107"/>
      <c r="Q46" s="393">
        <f>Q45-O40</f>
        <v>1460</v>
      </c>
    </row>
    <row r="47">
      <c r="B47" s="87"/>
      <c r="C47" s="88"/>
      <c r="D47" s="91"/>
      <c r="E47" s="91"/>
      <c r="F47" s="91"/>
      <c r="G47" s="91"/>
      <c r="H47" s="91"/>
      <c r="I47" s="91"/>
      <c r="K47" s="107"/>
      <c r="L47" s="28">
        <f>L44+1628.35</f>
        <v>7833.35</v>
      </c>
    </row>
    <row r="48">
      <c r="B48" s="92"/>
      <c r="C48" s="93"/>
      <c r="D48" s="94"/>
      <c r="E48" s="94"/>
      <c r="F48" s="94"/>
      <c r="G48" s="94"/>
      <c r="H48" s="94"/>
      <c r="I48" s="94"/>
      <c r="K48" s="107"/>
      <c r="O48" s="387"/>
      <c r="R48" s="387"/>
    </row>
    <row r="49">
      <c r="B49" s="67" t="s">
        <v>167</v>
      </c>
      <c r="C49" s="95">
        <f>SUM(C45:C48)</f>
        <v>0</v>
      </c>
      <c r="D49" s="78">
        <f t="shared" ref="D49:I49" si="12">SUM(D45:D48)*-1</f>
        <v>0</v>
      </c>
      <c r="E49" s="78">
        <f t="shared" si="12"/>
        <v>0</v>
      </c>
      <c r="F49" s="78">
        <f t="shared" si="12"/>
        <v>0</v>
      </c>
      <c r="G49" s="78">
        <f t="shared" si="12"/>
        <v>-512.46</v>
      </c>
      <c r="H49" s="78">
        <f t="shared" si="12"/>
        <v>-512.46</v>
      </c>
      <c r="I49" s="78">
        <f t="shared" si="12"/>
        <v>-512.46</v>
      </c>
      <c r="K49" s="394" t="s">
        <v>48</v>
      </c>
      <c r="L49" s="395"/>
      <c r="M49" s="389" t="s">
        <v>370</v>
      </c>
      <c r="N49" s="389"/>
    </row>
    <row r="50">
      <c r="B50" s="83"/>
      <c r="C50" s="83"/>
      <c r="D50" s="96"/>
      <c r="E50" s="96"/>
      <c r="F50" s="96"/>
      <c r="G50" s="96"/>
      <c r="H50" s="96"/>
      <c r="I50" s="96"/>
      <c r="K50" s="107"/>
    </row>
    <row r="51">
      <c r="B51" s="97" t="s">
        <v>168</v>
      </c>
      <c r="C51" s="98"/>
      <c r="D51" s="99">
        <f t="shared" ref="D51:I51" si="13">D42+D49</f>
        <v>1557.38</v>
      </c>
      <c r="E51" s="99">
        <f t="shared" si="13"/>
        <v>2733.61</v>
      </c>
      <c r="F51" s="99">
        <f t="shared" si="13"/>
        <v>3138.81</v>
      </c>
      <c r="G51" s="99">
        <f t="shared" si="13"/>
        <v>2799</v>
      </c>
      <c r="H51" s="99">
        <f t="shared" si="13"/>
        <v>1040.11</v>
      </c>
      <c r="I51" s="99">
        <f t="shared" si="13"/>
        <v>1134.89</v>
      </c>
      <c r="K51" s="107"/>
      <c r="L51" s="107"/>
    </row>
    <row r="52">
      <c r="B52" s="83"/>
      <c r="C52" s="83"/>
      <c r="D52" s="96"/>
      <c r="E52" s="96"/>
      <c r="F52" s="96"/>
      <c r="G52" s="96"/>
      <c r="H52" s="96"/>
      <c r="I52" s="96"/>
      <c r="K52" s="107"/>
      <c r="L52" s="18"/>
    </row>
    <row r="53">
      <c r="B53" s="100" t="s">
        <v>169</v>
      </c>
      <c r="C53" s="101"/>
      <c r="D53" s="57" t="s">
        <v>123</v>
      </c>
      <c r="E53" s="57" t="s">
        <v>124</v>
      </c>
      <c r="F53" s="57" t="s">
        <v>125</v>
      </c>
      <c r="G53" s="57" t="s">
        <v>125</v>
      </c>
      <c r="H53" s="57" t="s">
        <v>125</v>
      </c>
      <c r="I53" s="57" t="s">
        <v>128</v>
      </c>
      <c r="K53" s="107"/>
      <c r="L53" s="18"/>
    </row>
    <row r="54">
      <c r="B54" s="102" t="s">
        <v>170</v>
      </c>
      <c r="C54" s="103"/>
      <c r="D54" s="104"/>
      <c r="E54" s="105">
        <v>0.0</v>
      </c>
      <c r="F54" s="105"/>
      <c r="G54" s="105"/>
      <c r="H54" s="105"/>
      <c r="I54" s="105">
        <f>H56</f>
        <v>1040.11</v>
      </c>
      <c r="K54" s="27"/>
    </row>
    <row r="55">
      <c r="B55" s="102" t="s">
        <v>171</v>
      </c>
      <c r="C55" s="103"/>
      <c r="D55" s="106">
        <f>+D51</f>
        <v>1557.38</v>
      </c>
      <c r="E55" s="106">
        <v>1572.02</v>
      </c>
      <c r="F55" s="106">
        <f t="shared" ref="F55:I55" si="14">+F51</f>
        <v>3138.81</v>
      </c>
      <c r="G55" s="106">
        <f t="shared" si="14"/>
        <v>2799</v>
      </c>
      <c r="H55" s="106">
        <f t="shared" si="14"/>
        <v>1040.11</v>
      </c>
      <c r="I55" s="106">
        <f t="shared" si="14"/>
        <v>1134.89</v>
      </c>
      <c r="K55" s="27"/>
    </row>
    <row r="56">
      <c r="B56" s="67" t="s">
        <v>173</v>
      </c>
      <c r="C56" s="68"/>
      <c r="D56" s="95">
        <f t="shared" ref="D56:I56" si="15">SUM(D54:D55)</f>
        <v>1557.38</v>
      </c>
      <c r="E56" s="95">
        <f t="shared" si="15"/>
        <v>1572.02</v>
      </c>
      <c r="F56" s="95">
        <f t="shared" si="15"/>
        <v>3138.81</v>
      </c>
      <c r="G56" s="95">
        <f t="shared" si="15"/>
        <v>2799</v>
      </c>
      <c r="H56" s="95">
        <f t="shared" si="15"/>
        <v>1040.11</v>
      </c>
      <c r="I56" s="95">
        <f t="shared" si="15"/>
        <v>2175</v>
      </c>
      <c r="K56" s="27"/>
    </row>
    <row r="57">
      <c r="D57" s="362"/>
      <c r="E57" s="362"/>
      <c r="K57" s="27"/>
    </row>
    <row r="58">
      <c r="K58" s="27"/>
    </row>
    <row r="59">
      <c r="K59" s="27"/>
    </row>
    <row r="60">
      <c r="K60" s="27"/>
    </row>
    <row r="61">
      <c r="K61" s="27"/>
    </row>
    <row r="62">
      <c r="K62" s="27"/>
    </row>
    <row r="63">
      <c r="K63" s="27"/>
    </row>
    <row r="64">
      <c r="K64" s="27"/>
    </row>
    <row r="65">
      <c r="K65" s="27"/>
    </row>
    <row r="66">
      <c r="K66" s="27"/>
    </row>
    <row r="67">
      <c r="K67" s="27"/>
    </row>
    <row r="68">
      <c r="K68" s="27"/>
    </row>
    <row r="69">
      <c r="K69" s="27"/>
    </row>
    <row r="70">
      <c r="K70" s="27"/>
    </row>
    <row r="71">
      <c r="K71" s="27"/>
    </row>
    <row r="72">
      <c r="K72" s="27"/>
    </row>
    <row r="73">
      <c r="K73" s="27"/>
    </row>
    <row r="74">
      <c r="K74" s="27"/>
    </row>
    <row r="75">
      <c r="K75" s="27"/>
    </row>
    <row r="76">
      <c r="K76" s="27"/>
    </row>
    <row r="77">
      <c r="K77" s="27"/>
    </row>
    <row r="78">
      <c r="K78" s="27"/>
    </row>
    <row r="79">
      <c r="K79" s="27"/>
    </row>
    <row r="80">
      <c r="K80" s="27"/>
    </row>
    <row r="81">
      <c r="K81" s="27"/>
    </row>
    <row r="82">
      <c r="K82" s="27"/>
    </row>
    <row r="83">
      <c r="K83" s="27"/>
    </row>
    <row r="84">
      <c r="K84" s="27"/>
    </row>
    <row r="85">
      <c r="K85" s="27"/>
    </row>
    <row r="86">
      <c r="K86" s="27"/>
    </row>
    <row r="87">
      <c r="K87" s="27"/>
    </row>
    <row r="88">
      <c r="K88" s="27"/>
    </row>
    <row r="89">
      <c r="K89" s="27"/>
    </row>
    <row r="90">
      <c r="K90" s="27"/>
    </row>
    <row r="91">
      <c r="K91" s="27"/>
    </row>
    <row r="92">
      <c r="K92" s="27"/>
    </row>
    <row r="93">
      <c r="K93" s="27"/>
    </row>
    <row r="94">
      <c r="K94" s="27"/>
    </row>
    <row r="95">
      <c r="K95" s="27"/>
    </row>
    <row r="96">
      <c r="K96" s="27"/>
    </row>
    <row r="97">
      <c r="K97" s="27"/>
    </row>
    <row r="98">
      <c r="K98" s="27"/>
    </row>
    <row r="99">
      <c r="K99" s="27"/>
    </row>
    <row r="100">
      <c r="K100" s="27"/>
    </row>
    <row r="101">
      <c r="K101" s="27"/>
    </row>
    <row r="102">
      <c r="K102" s="27"/>
    </row>
    <row r="103">
      <c r="K103" s="27"/>
    </row>
    <row r="104">
      <c r="K104" s="27"/>
    </row>
    <row r="105">
      <c r="K105" s="27"/>
    </row>
    <row r="106">
      <c r="K106" s="27"/>
    </row>
    <row r="107">
      <c r="K107" s="27"/>
    </row>
    <row r="108">
      <c r="K108" s="27"/>
    </row>
    <row r="109">
      <c r="K109" s="27"/>
    </row>
    <row r="110">
      <c r="K110" s="27"/>
    </row>
    <row r="111">
      <c r="K111" s="27"/>
    </row>
    <row r="112">
      <c r="K112" s="27"/>
    </row>
    <row r="113">
      <c r="K113" s="27"/>
    </row>
    <row r="114">
      <c r="K114" s="27"/>
    </row>
    <row r="115">
      <c r="K115" s="27"/>
    </row>
    <row r="116">
      <c r="K116" s="27"/>
    </row>
    <row r="117">
      <c r="K117" s="27"/>
    </row>
    <row r="118">
      <c r="K118" s="27"/>
    </row>
    <row r="119">
      <c r="K119" s="27"/>
    </row>
    <row r="120">
      <c r="K120" s="27"/>
    </row>
    <row r="121">
      <c r="K121" s="27"/>
    </row>
    <row r="122">
      <c r="K122" s="27"/>
    </row>
    <row r="123">
      <c r="K123" s="27"/>
    </row>
    <row r="124">
      <c r="K124" s="27"/>
    </row>
    <row r="125">
      <c r="K125" s="27"/>
    </row>
    <row r="126">
      <c r="K126" s="27"/>
    </row>
    <row r="127">
      <c r="K127" s="27"/>
    </row>
    <row r="128">
      <c r="K128" s="27"/>
    </row>
    <row r="129">
      <c r="K129" s="27"/>
    </row>
    <row r="130">
      <c r="K130" s="27"/>
    </row>
    <row r="131">
      <c r="K131" s="27"/>
    </row>
    <row r="132">
      <c r="K132" s="27"/>
    </row>
    <row r="133">
      <c r="K133" s="27"/>
    </row>
    <row r="134">
      <c r="K134" s="27"/>
    </row>
    <row r="135">
      <c r="K135" s="27"/>
    </row>
    <row r="136">
      <c r="K136" s="27"/>
    </row>
    <row r="137">
      <c r="K137" s="27"/>
    </row>
    <row r="138">
      <c r="K138" s="27"/>
    </row>
    <row r="139">
      <c r="K139" s="27"/>
    </row>
    <row r="140">
      <c r="K140" s="27"/>
    </row>
    <row r="141">
      <c r="K141" s="27"/>
    </row>
    <row r="142">
      <c r="K142" s="27"/>
    </row>
    <row r="143">
      <c r="K143" s="27"/>
    </row>
    <row r="144">
      <c r="K144" s="27"/>
    </row>
    <row r="145">
      <c r="K145" s="27"/>
    </row>
    <row r="146">
      <c r="K146" s="27"/>
    </row>
    <row r="147">
      <c r="K147" s="27"/>
    </row>
    <row r="148">
      <c r="K148" s="27"/>
    </row>
    <row r="149">
      <c r="K149" s="27"/>
    </row>
    <row r="150">
      <c r="K150" s="27"/>
    </row>
    <row r="151">
      <c r="K151" s="27"/>
    </row>
    <row r="152">
      <c r="K152" s="27"/>
    </row>
    <row r="153">
      <c r="K153" s="27"/>
    </row>
    <row r="154">
      <c r="K154" s="27"/>
    </row>
    <row r="155">
      <c r="K155" s="27"/>
    </row>
    <row r="156">
      <c r="K156" s="27"/>
    </row>
    <row r="157">
      <c r="K157" s="27"/>
    </row>
    <row r="158">
      <c r="K158" s="27"/>
    </row>
    <row r="159">
      <c r="K159" s="27"/>
    </row>
    <row r="160">
      <c r="K160" s="27"/>
    </row>
    <row r="161">
      <c r="K161" s="27"/>
    </row>
    <row r="162">
      <c r="K162" s="27"/>
    </row>
    <row r="163">
      <c r="K163" s="27"/>
    </row>
    <row r="164">
      <c r="K164" s="27"/>
    </row>
    <row r="165">
      <c r="K165" s="27"/>
    </row>
    <row r="166">
      <c r="K166" s="27"/>
    </row>
    <row r="167">
      <c r="K167" s="27"/>
    </row>
    <row r="168">
      <c r="K168" s="27"/>
    </row>
    <row r="169">
      <c r="K169" s="27"/>
    </row>
    <row r="170">
      <c r="K170" s="27"/>
    </row>
    <row r="171">
      <c r="K171" s="27"/>
    </row>
    <row r="172">
      <c r="K172" s="27"/>
    </row>
    <row r="173">
      <c r="K173" s="27"/>
    </row>
    <row r="174">
      <c r="K174" s="27"/>
    </row>
    <row r="175">
      <c r="K175" s="27"/>
    </row>
    <row r="176">
      <c r="K176" s="27"/>
    </row>
    <row r="177">
      <c r="K177" s="27"/>
    </row>
    <row r="178">
      <c r="K178" s="27"/>
    </row>
    <row r="179">
      <c r="K179" s="27"/>
    </row>
    <row r="180">
      <c r="K180" s="27"/>
    </row>
    <row r="181">
      <c r="K181" s="27"/>
    </row>
    <row r="182">
      <c r="K182" s="27"/>
    </row>
    <row r="183">
      <c r="K183" s="27"/>
    </row>
    <row r="184">
      <c r="K184" s="27"/>
    </row>
    <row r="185">
      <c r="K185" s="27"/>
    </row>
    <row r="186">
      <c r="K186" s="27"/>
    </row>
    <row r="187">
      <c r="K187" s="27"/>
    </row>
    <row r="188">
      <c r="K188" s="27"/>
    </row>
    <row r="189">
      <c r="K189" s="27"/>
    </row>
    <row r="190">
      <c r="K190" s="27"/>
    </row>
    <row r="191">
      <c r="K191" s="27"/>
    </row>
    <row r="192">
      <c r="K192" s="27"/>
    </row>
    <row r="193">
      <c r="K193" s="27"/>
    </row>
    <row r="194">
      <c r="K194" s="27"/>
    </row>
    <row r="195">
      <c r="K195" s="27"/>
    </row>
    <row r="196">
      <c r="K196" s="27"/>
    </row>
    <row r="197">
      <c r="K197" s="27"/>
    </row>
    <row r="198">
      <c r="K198" s="27"/>
    </row>
    <row r="199">
      <c r="K199" s="27"/>
    </row>
    <row r="200">
      <c r="K200" s="27"/>
    </row>
    <row r="201">
      <c r="K201" s="27"/>
    </row>
    <row r="202">
      <c r="K202" s="27"/>
    </row>
    <row r="203">
      <c r="K203" s="27"/>
    </row>
    <row r="204">
      <c r="K204" s="27"/>
    </row>
    <row r="205">
      <c r="K205" s="27"/>
    </row>
    <row r="206">
      <c r="K206" s="27"/>
    </row>
    <row r="207">
      <c r="K207" s="27"/>
    </row>
    <row r="208">
      <c r="K208" s="27"/>
    </row>
    <row r="209">
      <c r="K209" s="27"/>
    </row>
    <row r="210">
      <c r="K210" s="27"/>
    </row>
    <row r="211">
      <c r="K211" s="27"/>
    </row>
    <row r="212">
      <c r="K212" s="27"/>
    </row>
    <row r="213">
      <c r="K213" s="27"/>
    </row>
    <row r="214">
      <c r="K214" s="27"/>
    </row>
    <row r="215">
      <c r="K215" s="27"/>
    </row>
    <row r="216">
      <c r="K216" s="27"/>
    </row>
    <row r="217">
      <c r="K217" s="27"/>
    </row>
    <row r="218">
      <c r="K218" s="27"/>
    </row>
    <row r="219">
      <c r="K219" s="27"/>
    </row>
    <row r="220">
      <c r="K220" s="27"/>
    </row>
    <row r="221">
      <c r="K221" s="27"/>
    </row>
    <row r="222">
      <c r="K222" s="27"/>
    </row>
    <row r="223">
      <c r="K223" s="27"/>
    </row>
    <row r="224">
      <c r="K224" s="27"/>
    </row>
    <row r="225">
      <c r="K225" s="27"/>
    </row>
    <row r="226">
      <c r="K226" s="27"/>
    </row>
    <row r="227">
      <c r="K227" s="27"/>
    </row>
    <row r="228">
      <c r="K228" s="27"/>
    </row>
    <row r="229">
      <c r="K229" s="27"/>
    </row>
    <row r="230">
      <c r="K230" s="27"/>
    </row>
    <row r="231">
      <c r="K231" s="27"/>
    </row>
    <row r="232">
      <c r="K232" s="27"/>
    </row>
    <row r="233">
      <c r="K233" s="27"/>
    </row>
    <row r="234">
      <c r="K234" s="27"/>
    </row>
    <row r="235">
      <c r="K235" s="27"/>
    </row>
    <row r="236">
      <c r="K236" s="27"/>
    </row>
    <row r="237">
      <c r="K237" s="27"/>
    </row>
    <row r="238">
      <c r="K238" s="27"/>
    </row>
    <row r="239">
      <c r="K239" s="27"/>
    </row>
    <row r="240">
      <c r="K240" s="27"/>
    </row>
    <row r="241">
      <c r="K241" s="27"/>
    </row>
    <row r="242">
      <c r="K242" s="27"/>
    </row>
    <row r="243">
      <c r="K243" s="27"/>
    </row>
    <row r="244">
      <c r="K244" s="27"/>
    </row>
    <row r="245">
      <c r="K245" s="27"/>
    </row>
    <row r="246">
      <c r="K246" s="27"/>
    </row>
    <row r="247">
      <c r="K247" s="27"/>
    </row>
    <row r="248">
      <c r="K248" s="27"/>
    </row>
    <row r="249">
      <c r="K249" s="27"/>
    </row>
    <row r="250">
      <c r="K250" s="27"/>
    </row>
    <row r="251">
      <c r="K251" s="27"/>
    </row>
    <row r="252">
      <c r="K252" s="27"/>
    </row>
    <row r="253">
      <c r="K253" s="27"/>
    </row>
    <row r="254">
      <c r="K254" s="27"/>
    </row>
    <row r="255">
      <c r="K255" s="27"/>
    </row>
    <row r="256">
      <c r="K256" s="27"/>
    </row>
    <row r="257">
      <c r="K257" s="27"/>
    </row>
    <row r="258">
      <c r="K258" s="27"/>
    </row>
    <row r="259">
      <c r="K259" s="27"/>
    </row>
    <row r="260">
      <c r="K260" s="27"/>
    </row>
    <row r="261">
      <c r="K261" s="27"/>
    </row>
    <row r="262">
      <c r="K262" s="27"/>
    </row>
    <row r="263">
      <c r="K263" s="27"/>
    </row>
    <row r="264">
      <c r="K264" s="27"/>
    </row>
    <row r="265">
      <c r="K265" s="27"/>
    </row>
    <row r="266">
      <c r="K266" s="27"/>
    </row>
    <row r="267">
      <c r="K267" s="27"/>
    </row>
    <row r="268">
      <c r="K268" s="27"/>
    </row>
    <row r="269">
      <c r="K269" s="27"/>
    </row>
    <row r="270">
      <c r="K270" s="27"/>
    </row>
    <row r="271">
      <c r="K271" s="27"/>
    </row>
    <row r="272">
      <c r="K272" s="27"/>
    </row>
    <row r="273">
      <c r="K273" s="27"/>
    </row>
    <row r="274">
      <c r="K274" s="27"/>
    </row>
    <row r="275">
      <c r="K275" s="27"/>
    </row>
    <row r="276">
      <c r="K276" s="27"/>
    </row>
    <row r="277">
      <c r="K277" s="27"/>
    </row>
    <row r="278">
      <c r="K278" s="27"/>
    </row>
    <row r="279">
      <c r="K279" s="27"/>
    </row>
    <row r="280">
      <c r="K280" s="27"/>
    </row>
    <row r="281">
      <c r="K281" s="27"/>
    </row>
    <row r="282">
      <c r="K282" s="27"/>
    </row>
    <row r="283">
      <c r="K283" s="27"/>
    </row>
    <row r="284">
      <c r="K284" s="27"/>
    </row>
    <row r="285">
      <c r="K285" s="27"/>
    </row>
    <row r="286">
      <c r="K286" s="27"/>
    </row>
    <row r="287">
      <c r="K287" s="27"/>
    </row>
    <row r="288">
      <c r="K288" s="27"/>
    </row>
    <row r="289">
      <c r="K289" s="27"/>
    </row>
    <row r="290">
      <c r="K290" s="27"/>
    </row>
    <row r="291">
      <c r="K291" s="27"/>
    </row>
    <row r="292">
      <c r="K292" s="27"/>
    </row>
    <row r="293">
      <c r="K293" s="27"/>
    </row>
    <row r="294">
      <c r="K294" s="27"/>
    </row>
    <row r="295">
      <c r="K295" s="27"/>
    </row>
    <row r="296">
      <c r="K296" s="27"/>
    </row>
    <row r="297">
      <c r="K297" s="27"/>
    </row>
    <row r="298">
      <c r="K298" s="27"/>
    </row>
    <row r="299">
      <c r="K299" s="27"/>
    </row>
    <row r="300">
      <c r="K300" s="27"/>
    </row>
    <row r="301">
      <c r="K301" s="27"/>
    </row>
    <row r="302">
      <c r="K302" s="27"/>
    </row>
    <row r="303">
      <c r="K303" s="27"/>
    </row>
    <row r="304">
      <c r="K304" s="27"/>
    </row>
    <row r="305">
      <c r="K305" s="27"/>
    </row>
    <row r="306">
      <c r="K306" s="27"/>
    </row>
    <row r="307">
      <c r="K307" s="27"/>
    </row>
    <row r="308">
      <c r="K308" s="27"/>
    </row>
    <row r="309">
      <c r="K309" s="27"/>
    </row>
    <row r="310">
      <c r="K310" s="27"/>
    </row>
    <row r="311">
      <c r="K311" s="27"/>
    </row>
    <row r="312">
      <c r="K312" s="27"/>
    </row>
    <row r="313">
      <c r="K313" s="27"/>
    </row>
    <row r="314">
      <c r="K314" s="27"/>
    </row>
    <row r="315">
      <c r="K315" s="27"/>
    </row>
    <row r="316">
      <c r="K316" s="27"/>
    </row>
    <row r="317">
      <c r="K317" s="27"/>
    </row>
    <row r="318">
      <c r="K318" s="27"/>
    </row>
    <row r="319">
      <c r="K319" s="27"/>
    </row>
    <row r="320">
      <c r="K320" s="27"/>
    </row>
    <row r="321">
      <c r="K321" s="27"/>
    </row>
    <row r="322">
      <c r="K322" s="27"/>
    </row>
    <row r="323">
      <c r="K323" s="27"/>
    </row>
    <row r="324">
      <c r="K324" s="27"/>
    </row>
    <row r="325">
      <c r="K325" s="27"/>
    </row>
    <row r="326">
      <c r="K326" s="27"/>
    </row>
    <row r="327">
      <c r="K327" s="27"/>
    </row>
    <row r="328">
      <c r="K328" s="27"/>
    </row>
    <row r="329">
      <c r="K329" s="27"/>
    </row>
    <row r="330">
      <c r="K330" s="27"/>
    </row>
    <row r="331">
      <c r="K331" s="27"/>
    </row>
    <row r="332">
      <c r="K332" s="27"/>
    </row>
    <row r="333">
      <c r="K333" s="27"/>
    </row>
    <row r="334">
      <c r="K334" s="27"/>
    </row>
    <row r="335">
      <c r="K335" s="27"/>
    </row>
    <row r="336">
      <c r="K336" s="27"/>
    </row>
    <row r="337">
      <c r="K337" s="27"/>
    </row>
    <row r="338">
      <c r="K338" s="27"/>
    </row>
    <row r="339">
      <c r="K339" s="27"/>
    </row>
    <row r="340">
      <c r="K340" s="27"/>
    </row>
    <row r="341">
      <c r="K341" s="27"/>
    </row>
    <row r="342">
      <c r="K342" s="27"/>
    </row>
    <row r="343">
      <c r="K343" s="27"/>
    </row>
    <row r="344">
      <c r="K344" s="27"/>
    </row>
    <row r="345">
      <c r="K345" s="27"/>
    </row>
    <row r="346">
      <c r="K346" s="27"/>
    </row>
    <row r="347">
      <c r="K347" s="27"/>
    </row>
    <row r="348">
      <c r="K348" s="27"/>
    </row>
    <row r="349">
      <c r="K349" s="27"/>
    </row>
    <row r="350">
      <c r="K350" s="27"/>
    </row>
    <row r="351">
      <c r="K351" s="27"/>
    </row>
    <row r="352">
      <c r="K352" s="27"/>
    </row>
    <row r="353">
      <c r="K353" s="27"/>
    </row>
    <row r="354">
      <c r="K354" s="27"/>
    </row>
    <row r="355">
      <c r="K355" s="27"/>
    </row>
    <row r="356">
      <c r="K356" s="27"/>
    </row>
    <row r="357">
      <c r="K357" s="27"/>
    </row>
    <row r="358">
      <c r="K358" s="27"/>
    </row>
    <row r="359">
      <c r="K359" s="27"/>
    </row>
    <row r="360">
      <c r="K360" s="27"/>
    </row>
    <row r="361">
      <c r="K361" s="27"/>
    </row>
    <row r="362">
      <c r="K362" s="27"/>
    </row>
    <row r="363">
      <c r="K363" s="27"/>
    </row>
    <row r="364">
      <c r="K364" s="27"/>
    </row>
    <row r="365">
      <c r="K365" s="27"/>
    </row>
    <row r="366">
      <c r="K366" s="27"/>
    </row>
    <row r="367">
      <c r="K367" s="27"/>
    </row>
    <row r="368">
      <c r="K368" s="27"/>
    </row>
    <row r="369">
      <c r="K369" s="27"/>
    </row>
    <row r="370">
      <c r="K370" s="27"/>
    </row>
    <row r="371">
      <c r="K371" s="27"/>
    </row>
    <row r="372">
      <c r="K372" s="27"/>
    </row>
    <row r="373">
      <c r="K373" s="27"/>
    </row>
    <row r="374">
      <c r="K374" s="27"/>
    </row>
    <row r="375">
      <c r="K375" s="27"/>
    </row>
    <row r="376">
      <c r="K376" s="27"/>
    </row>
    <row r="377">
      <c r="K377" s="27"/>
    </row>
    <row r="378">
      <c r="K378" s="27"/>
    </row>
    <row r="379">
      <c r="K379" s="27"/>
    </row>
    <row r="380">
      <c r="K380" s="27"/>
    </row>
    <row r="381">
      <c r="K381" s="27"/>
    </row>
    <row r="382">
      <c r="K382" s="27"/>
    </row>
    <row r="383">
      <c r="K383" s="27"/>
    </row>
    <row r="384">
      <c r="K384" s="27"/>
    </row>
    <row r="385">
      <c r="K385" s="27"/>
    </row>
    <row r="386">
      <c r="K386" s="27"/>
    </row>
    <row r="387">
      <c r="K387" s="27"/>
    </row>
    <row r="388">
      <c r="K388" s="27"/>
    </row>
    <row r="389">
      <c r="K389" s="27"/>
    </row>
    <row r="390">
      <c r="K390" s="27"/>
    </row>
    <row r="391">
      <c r="K391" s="27"/>
    </row>
    <row r="392">
      <c r="K392" s="27"/>
    </row>
    <row r="393">
      <c r="K393" s="27"/>
    </row>
    <row r="394">
      <c r="K394" s="27"/>
    </row>
    <row r="395">
      <c r="K395" s="27"/>
    </row>
    <row r="396">
      <c r="K396" s="27"/>
    </row>
    <row r="397">
      <c r="K397" s="27"/>
    </row>
    <row r="398">
      <c r="K398" s="27"/>
    </row>
    <row r="399">
      <c r="K399" s="27"/>
    </row>
    <row r="400">
      <c r="K400" s="27"/>
    </row>
    <row r="401">
      <c r="K401" s="27"/>
    </row>
    <row r="402">
      <c r="K402" s="27"/>
    </row>
    <row r="403">
      <c r="K403" s="27"/>
    </row>
    <row r="404">
      <c r="K404" s="27"/>
    </row>
    <row r="405">
      <c r="K405" s="27"/>
    </row>
    <row r="406">
      <c r="K406" s="27"/>
    </row>
    <row r="407">
      <c r="K407" s="27"/>
    </row>
    <row r="408">
      <c r="K408" s="27"/>
    </row>
    <row r="409">
      <c r="K409" s="27"/>
    </row>
    <row r="410">
      <c r="K410" s="27"/>
    </row>
    <row r="411">
      <c r="K411" s="27"/>
    </row>
    <row r="412">
      <c r="K412" s="27"/>
    </row>
    <row r="413">
      <c r="K413" s="27"/>
    </row>
    <row r="414">
      <c r="K414" s="27"/>
    </row>
    <row r="415">
      <c r="K415" s="27"/>
    </row>
    <row r="416">
      <c r="K416" s="27"/>
    </row>
    <row r="417">
      <c r="K417" s="27"/>
    </row>
    <row r="418">
      <c r="K418" s="27"/>
    </row>
    <row r="419">
      <c r="K419" s="27"/>
    </row>
    <row r="420">
      <c r="K420" s="27"/>
    </row>
    <row r="421">
      <c r="K421" s="27"/>
    </row>
    <row r="422">
      <c r="K422" s="27"/>
    </row>
    <row r="423">
      <c r="K423" s="27"/>
    </row>
    <row r="424">
      <c r="K424" s="27"/>
    </row>
    <row r="425">
      <c r="K425" s="27"/>
    </row>
    <row r="426">
      <c r="K426" s="27"/>
    </row>
    <row r="427">
      <c r="K427" s="27"/>
    </row>
    <row r="428">
      <c r="K428" s="27"/>
    </row>
    <row r="429">
      <c r="K429" s="27"/>
    </row>
    <row r="430">
      <c r="K430" s="27"/>
    </row>
    <row r="431">
      <c r="K431" s="27"/>
    </row>
    <row r="432">
      <c r="K432" s="27"/>
    </row>
    <row r="433">
      <c r="K433" s="27"/>
    </row>
    <row r="434">
      <c r="K434" s="27"/>
    </row>
    <row r="435">
      <c r="K435" s="27"/>
    </row>
    <row r="436">
      <c r="K436" s="27"/>
    </row>
    <row r="437">
      <c r="K437" s="27"/>
    </row>
    <row r="438">
      <c r="K438" s="27"/>
    </row>
    <row r="439">
      <c r="K439" s="27"/>
    </row>
    <row r="440">
      <c r="K440" s="27"/>
    </row>
    <row r="441">
      <c r="K441" s="27"/>
    </row>
    <row r="442">
      <c r="K442" s="27"/>
    </row>
    <row r="443">
      <c r="K443" s="27"/>
    </row>
    <row r="444">
      <c r="K444" s="27"/>
    </row>
    <row r="445">
      <c r="K445" s="27"/>
    </row>
    <row r="446">
      <c r="K446" s="27"/>
    </row>
    <row r="447">
      <c r="K447" s="27"/>
    </row>
    <row r="448">
      <c r="K448" s="27"/>
    </row>
    <row r="449">
      <c r="K449" s="27"/>
    </row>
    <row r="450">
      <c r="K450" s="27"/>
    </row>
    <row r="451">
      <c r="K451" s="27"/>
    </row>
    <row r="452">
      <c r="K452" s="27"/>
    </row>
    <row r="453">
      <c r="K453" s="27"/>
    </row>
    <row r="454">
      <c r="K454" s="27"/>
    </row>
    <row r="455">
      <c r="K455" s="27"/>
    </row>
    <row r="456">
      <c r="K456" s="27"/>
    </row>
    <row r="457">
      <c r="K457" s="27"/>
    </row>
    <row r="458">
      <c r="K458" s="27"/>
    </row>
    <row r="459">
      <c r="K459" s="27"/>
    </row>
    <row r="460">
      <c r="K460" s="27"/>
    </row>
    <row r="461">
      <c r="K461" s="27"/>
    </row>
    <row r="462">
      <c r="K462" s="27"/>
    </row>
    <row r="463">
      <c r="K463" s="27"/>
    </row>
    <row r="464">
      <c r="K464" s="27"/>
    </row>
    <row r="465">
      <c r="K465" s="27"/>
    </row>
    <row r="466">
      <c r="K466" s="27"/>
    </row>
    <row r="467">
      <c r="K467" s="27"/>
    </row>
    <row r="468">
      <c r="K468" s="27"/>
    </row>
    <row r="469">
      <c r="K469" s="27"/>
    </row>
    <row r="470">
      <c r="K470" s="27"/>
    </row>
    <row r="471">
      <c r="K471" s="27"/>
    </row>
    <row r="472">
      <c r="K472" s="27"/>
    </row>
    <row r="473">
      <c r="K473" s="27"/>
    </row>
    <row r="474">
      <c r="K474" s="27"/>
    </row>
    <row r="475">
      <c r="K475" s="27"/>
    </row>
    <row r="476">
      <c r="K476" s="27"/>
    </row>
    <row r="477">
      <c r="K477" s="27"/>
    </row>
    <row r="478">
      <c r="K478" s="27"/>
    </row>
    <row r="479">
      <c r="K479" s="27"/>
    </row>
    <row r="480">
      <c r="K480" s="27"/>
    </row>
    <row r="481">
      <c r="K481" s="27"/>
    </row>
    <row r="482">
      <c r="K482" s="27"/>
    </row>
    <row r="483">
      <c r="K483" s="27"/>
    </row>
    <row r="484">
      <c r="K484" s="27"/>
    </row>
    <row r="485">
      <c r="K485" s="27"/>
    </row>
    <row r="486">
      <c r="K486" s="27"/>
    </row>
    <row r="487">
      <c r="K487" s="27"/>
    </row>
    <row r="488">
      <c r="K488" s="27"/>
    </row>
    <row r="489">
      <c r="K489" s="27"/>
    </row>
    <row r="490">
      <c r="K490" s="27"/>
    </row>
    <row r="491">
      <c r="K491" s="27"/>
    </row>
    <row r="492">
      <c r="K492" s="27"/>
    </row>
    <row r="493">
      <c r="K493" s="27"/>
    </row>
    <row r="494">
      <c r="K494" s="27"/>
    </row>
    <row r="495">
      <c r="K495" s="27"/>
    </row>
    <row r="496">
      <c r="K496" s="27"/>
    </row>
    <row r="497">
      <c r="K497" s="27"/>
    </row>
    <row r="498">
      <c r="K498" s="27"/>
    </row>
    <row r="499">
      <c r="K499" s="27"/>
    </row>
    <row r="500">
      <c r="K500" s="27"/>
    </row>
    <row r="501">
      <c r="K501" s="27"/>
    </row>
    <row r="502">
      <c r="K502" s="27"/>
    </row>
    <row r="503">
      <c r="K503" s="27"/>
    </row>
    <row r="504">
      <c r="K504" s="27"/>
    </row>
    <row r="505">
      <c r="K505" s="27"/>
    </row>
    <row r="506">
      <c r="K506" s="27"/>
    </row>
    <row r="507">
      <c r="K507" s="27"/>
    </row>
    <row r="508">
      <c r="K508" s="27"/>
    </row>
    <row r="509">
      <c r="K509" s="27"/>
    </row>
    <row r="510">
      <c r="K510" s="27"/>
    </row>
    <row r="511">
      <c r="K511" s="27"/>
    </row>
    <row r="512">
      <c r="K512" s="27"/>
    </row>
    <row r="513">
      <c r="K513" s="27"/>
    </row>
    <row r="514">
      <c r="K514" s="27"/>
    </row>
    <row r="515">
      <c r="K515" s="27"/>
    </row>
    <row r="516">
      <c r="K516" s="27"/>
    </row>
    <row r="517">
      <c r="K517" s="27"/>
    </row>
    <row r="518">
      <c r="K518" s="27"/>
    </row>
    <row r="519">
      <c r="K519" s="27"/>
    </row>
    <row r="520">
      <c r="K520" s="27"/>
    </row>
    <row r="521">
      <c r="K521" s="27"/>
    </row>
    <row r="522">
      <c r="K522" s="27"/>
    </row>
    <row r="523">
      <c r="K523" s="27"/>
    </row>
    <row r="524">
      <c r="K524" s="27"/>
    </row>
    <row r="525">
      <c r="K525" s="27"/>
    </row>
    <row r="526">
      <c r="K526" s="27"/>
    </row>
    <row r="527">
      <c r="K527" s="27"/>
    </row>
    <row r="528">
      <c r="K528" s="27"/>
    </row>
    <row r="529">
      <c r="K529" s="27"/>
    </row>
    <row r="530">
      <c r="K530" s="27"/>
    </row>
    <row r="531">
      <c r="K531" s="27"/>
    </row>
    <row r="532">
      <c r="K532" s="27"/>
    </row>
    <row r="533">
      <c r="K533" s="27"/>
    </row>
    <row r="534">
      <c r="K534" s="27"/>
    </row>
    <row r="535">
      <c r="K535" s="27"/>
    </row>
    <row r="536">
      <c r="K536" s="27"/>
    </row>
    <row r="537">
      <c r="K537" s="27"/>
    </row>
    <row r="538">
      <c r="K538" s="27"/>
    </row>
    <row r="539">
      <c r="K539" s="27"/>
    </row>
    <row r="540">
      <c r="K540" s="27"/>
    </row>
    <row r="541">
      <c r="K541" s="27"/>
    </row>
    <row r="542">
      <c r="K542" s="27"/>
    </row>
    <row r="543">
      <c r="K543" s="27"/>
    </row>
    <row r="544">
      <c r="K544" s="27"/>
    </row>
    <row r="545">
      <c r="K545" s="27"/>
    </row>
    <row r="546">
      <c r="K546" s="27"/>
    </row>
    <row r="547">
      <c r="K547" s="27"/>
    </row>
    <row r="548">
      <c r="K548" s="27"/>
    </row>
    <row r="549">
      <c r="K549" s="27"/>
    </row>
    <row r="550">
      <c r="K550" s="27"/>
    </row>
    <row r="551">
      <c r="K551" s="27"/>
    </row>
    <row r="552">
      <c r="K552" s="27"/>
    </row>
    <row r="553">
      <c r="K553" s="27"/>
    </row>
    <row r="554">
      <c r="K554" s="27"/>
    </row>
    <row r="555">
      <c r="K555" s="27"/>
    </row>
    <row r="556">
      <c r="K556" s="27"/>
    </row>
    <row r="557">
      <c r="K557" s="27"/>
    </row>
    <row r="558">
      <c r="K558" s="27"/>
    </row>
    <row r="559">
      <c r="K559" s="27"/>
    </row>
    <row r="560">
      <c r="K560" s="27"/>
    </row>
    <row r="561">
      <c r="K561" s="27"/>
    </row>
    <row r="562">
      <c r="K562" s="27"/>
    </row>
    <row r="563">
      <c r="K563" s="27"/>
    </row>
    <row r="564">
      <c r="K564" s="27"/>
    </row>
    <row r="565">
      <c r="K565" s="27"/>
    </row>
    <row r="566">
      <c r="K566" s="27"/>
    </row>
    <row r="567">
      <c r="K567" s="27"/>
    </row>
    <row r="568">
      <c r="K568" s="27"/>
    </row>
    <row r="569">
      <c r="K569" s="27"/>
    </row>
    <row r="570">
      <c r="K570" s="27"/>
    </row>
    <row r="571">
      <c r="K571" s="27"/>
    </row>
    <row r="572">
      <c r="K572" s="27"/>
    </row>
    <row r="573">
      <c r="K573" s="27"/>
    </row>
    <row r="574">
      <c r="K574" s="27"/>
    </row>
    <row r="575">
      <c r="K575" s="27"/>
    </row>
    <row r="576">
      <c r="K576" s="27"/>
    </row>
    <row r="577">
      <c r="K577" s="27"/>
    </row>
    <row r="578">
      <c r="K578" s="27"/>
    </row>
    <row r="579">
      <c r="K579" s="27"/>
    </row>
    <row r="580">
      <c r="K580" s="27"/>
    </row>
    <row r="581">
      <c r="K581" s="27"/>
    </row>
    <row r="582">
      <c r="K582" s="27"/>
    </row>
    <row r="583">
      <c r="K583" s="27"/>
    </row>
    <row r="584">
      <c r="K584" s="27"/>
    </row>
    <row r="585">
      <c r="K585" s="27"/>
    </row>
    <row r="586">
      <c r="K586" s="27"/>
    </row>
    <row r="587">
      <c r="K587" s="27"/>
    </row>
    <row r="588">
      <c r="K588" s="27"/>
    </row>
    <row r="589">
      <c r="K589" s="27"/>
    </row>
    <row r="590">
      <c r="K590" s="27"/>
    </row>
    <row r="591">
      <c r="K591" s="27"/>
    </row>
    <row r="592">
      <c r="K592" s="27"/>
    </row>
    <row r="593">
      <c r="K593" s="27"/>
    </row>
    <row r="594">
      <c r="K594" s="27"/>
    </row>
    <row r="595">
      <c r="K595" s="27"/>
    </row>
    <row r="596">
      <c r="K596" s="27"/>
    </row>
    <row r="597">
      <c r="K597" s="27"/>
    </row>
    <row r="598">
      <c r="K598" s="27"/>
    </row>
    <row r="599">
      <c r="K599" s="27"/>
    </row>
    <row r="600">
      <c r="K600" s="27"/>
    </row>
    <row r="601">
      <c r="K601" s="27"/>
    </row>
    <row r="602">
      <c r="K602" s="27"/>
    </row>
    <row r="603">
      <c r="K603" s="27"/>
    </row>
    <row r="604">
      <c r="K604" s="27"/>
    </row>
    <row r="605">
      <c r="K605" s="27"/>
    </row>
    <row r="606">
      <c r="K606" s="27"/>
    </row>
    <row r="607">
      <c r="K607" s="27"/>
    </row>
    <row r="608">
      <c r="K608" s="27"/>
    </row>
    <row r="609">
      <c r="K609" s="27"/>
    </row>
    <row r="610">
      <c r="K610" s="27"/>
    </row>
    <row r="611">
      <c r="K611" s="27"/>
    </row>
    <row r="612">
      <c r="K612" s="27"/>
    </row>
    <row r="613">
      <c r="K613" s="27"/>
    </row>
    <row r="614">
      <c r="K614" s="27"/>
    </row>
    <row r="615">
      <c r="K615" s="27"/>
    </row>
    <row r="616">
      <c r="K616" s="27"/>
    </row>
    <row r="617">
      <c r="K617" s="27"/>
    </row>
    <row r="618">
      <c r="K618" s="27"/>
    </row>
    <row r="619">
      <c r="K619" s="27"/>
    </row>
    <row r="620">
      <c r="K620" s="27"/>
    </row>
    <row r="621">
      <c r="K621" s="27"/>
    </row>
    <row r="622">
      <c r="K622" s="27"/>
    </row>
    <row r="623">
      <c r="K623" s="27"/>
    </row>
    <row r="624">
      <c r="K624" s="27"/>
    </row>
    <row r="625">
      <c r="K625" s="27"/>
    </row>
    <row r="626">
      <c r="K626" s="27"/>
    </row>
    <row r="627">
      <c r="K627" s="27"/>
    </row>
    <row r="628">
      <c r="K628" s="27"/>
    </row>
    <row r="629">
      <c r="K629" s="27"/>
    </row>
    <row r="630">
      <c r="K630" s="27"/>
    </row>
    <row r="631">
      <c r="K631" s="27"/>
    </row>
    <row r="632">
      <c r="K632" s="27"/>
    </row>
    <row r="633">
      <c r="K633" s="27"/>
    </row>
    <row r="634">
      <c r="K634" s="27"/>
    </row>
    <row r="635">
      <c r="K635" s="27"/>
    </row>
    <row r="636">
      <c r="K636" s="27"/>
    </row>
    <row r="637">
      <c r="K637" s="27"/>
    </row>
    <row r="638">
      <c r="K638" s="27"/>
    </row>
    <row r="639">
      <c r="K639" s="27"/>
    </row>
    <row r="640">
      <c r="K640" s="27"/>
    </row>
    <row r="641">
      <c r="K641" s="27"/>
    </row>
    <row r="642">
      <c r="K642" s="27"/>
    </row>
    <row r="643">
      <c r="K643" s="27"/>
    </row>
    <row r="644">
      <c r="K644" s="27"/>
    </row>
    <row r="645">
      <c r="K645" s="27"/>
    </row>
    <row r="646">
      <c r="K646" s="27"/>
    </row>
    <row r="647">
      <c r="K647" s="27"/>
    </row>
    <row r="648">
      <c r="K648" s="27"/>
    </row>
    <row r="649">
      <c r="K649" s="27"/>
    </row>
    <row r="650">
      <c r="K650" s="27"/>
    </row>
    <row r="651">
      <c r="K651" s="27"/>
    </row>
    <row r="652">
      <c r="K652" s="27"/>
    </row>
    <row r="653">
      <c r="K653" s="27"/>
    </row>
    <row r="654">
      <c r="K654" s="27"/>
    </row>
    <row r="655">
      <c r="K655" s="27"/>
    </row>
    <row r="656">
      <c r="K656" s="27"/>
    </row>
    <row r="657">
      <c r="K657" s="27"/>
    </row>
    <row r="658">
      <c r="K658" s="27"/>
    </row>
    <row r="659">
      <c r="K659" s="27"/>
    </row>
    <row r="660">
      <c r="K660" s="27"/>
    </row>
    <row r="661">
      <c r="K661" s="27"/>
    </row>
    <row r="662">
      <c r="K662" s="27"/>
    </row>
    <row r="663">
      <c r="K663" s="27"/>
    </row>
    <row r="664">
      <c r="K664" s="27"/>
    </row>
    <row r="665">
      <c r="K665" s="27"/>
    </row>
    <row r="666">
      <c r="K666" s="27"/>
    </row>
    <row r="667">
      <c r="K667" s="27"/>
    </row>
    <row r="668">
      <c r="K668" s="27"/>
    </row>
    <row r="669">
      <c r="K669" s="27"/>
    </row>
    <row r="670">
      <c r="K670" s="27"/>
    </row>
    <row r="671">
      <c r="K671" s="27"/>
    </row>
    <row r="672">
      <c r="K672" s="27"/>
    </row>
    <row r="673">
      <c r="K673" s="27"/>
    </row>
    <row r="674">
      <c r="K674" s="27"/>
    </row>
    <row r="675">
      <c r="K675" s="27"/>
    </row>
    <row r="676">
      <c r="K676" s="27"/>
    </row>
    <row r="677">
      <c r="K677" s="27"/>
    </row>
    <row r="678">
      <c r="K678" s="27"/>
    </row>
    <row r="679">
      <c r="K679" s="27"/>
    </row>
    <row r="680">
      <c r="K680" s="27"/>
    </row>
    <row r="681">
      <c r="K681" s="27"/>
    </row>
    <row r="682">
      <c r="K682" s="27"/>
    </row>
    <row r="683">
      <c r="K683" s="27"/>
    </row>
    <row r="684">
      <c r="K684" s="27"/>
    </row>
    <row r="685">
      <c r="K685" s="27"/>
    </row>
    <row r="686">
      <c r="K686" s="27"/>
    </row>
    <row r="687">
      <c r="K687" s="27"/>
    </row>
    <row r="688">
      <c r="K688" s="27"/>
    </row>
    <row r="689">
      <c r="K689" s="27"/>
    </row>
    <row r="690">
      <c r="K690" s="27"/>
    </row>
    <row r="691">
      <c r="K691" s="27"/>
    </row>
    <row r="692">
      <c r="K692" s="27"/>
    </row>
    <row r="693">
      <c r="K693" s="27"/>
    </row>
    <row r="694">
      <c r="K694" s="27"/>
    </row>
    <row r="695">
      <c r="K695" s="27"/>
    </row>
    <row r="696">
      <c r="K696" s="27"/>
    </row>
    <row r="697">
      <c r="K697" s="27"/>
    </row>
    <row r="698">
      <c r="K698" s="27"/>
    </row>
    <row r="699">
      <c r="K699" s="27"/>
    </row>
    <row r="700">
      <c r="K700" s="27"/>
    </row>
    <row r="701">
      <c r="K701" s="27"/>
    </row>
    <row r="702">
      <c r="K702" s="27"/>
    </row>
    <row r="703">
      <c r="K703" s="27"/>
    </row>
    <row r="704">
      <c r="K704" s="27"/>
    </row>
    <row r="705">
      <c r="K705" s="27"/>
    </row>
    <row r="706">
      <c r="K706" s="27"/>
    </row>
    <row r="707">
      <c r="K707" s="27"/>
    </row>
    <row r="708">
      <c r="K708" s="27"/>
    </row>
    <row r="709">
      <c r="K709" s="27"/>
    </row>
    <row r="710">
      <c r="K710" s="27"/>
    </row>
    <row r="711">
      <c r="K711" s="27"/>
    </row>
    <row r="712">
      <c r="K712" s="27"/>
    </row>
    <row r="713">
      <c r="K713" s="27"/>
    </row>
    <row r="714">
      <c r="K714" s="27"/>
    </row>
    <row r="715">
      <c r="K715" s="27"/>
    </row>
    <row r="716">
      <c r="K716" s="27"/>
    </row>
    <row r="717">
      <c r="K717" s="27"/>
    </row>
    <row r="718">
      <c r="K718" s="27"/>
    </row>
    <row r="719">
      <c r="K719" s="27"/>
    </row>
    <row r="720">
      <c r="K720" s="27"/>
    </row>
    <row r="721">
      <c r="K721" s="27"/>
    </row>
    <row r="722">
      <c r="K722" s="27"/>
    </row>
    <row r="723">
      <c r="K723" s="27"/>
    </row>
    <row r="724">
      <c r="K724" s="27"/>
    </row>
    <row r="725">
      <c r="K725" s="27"/>
    </row>
    <row r="726">
      <c r="K726" s="27"/>
    </row>
    <row r="727">
      <c r="K727" s="27"/>
    </row>
    <row r="728">
      <c r="K728" s="27"/>
    </row>
    <row r="729">
      <c r="K729" s="27"/>
    </row>
    <row r="730">
      <c r="K730" s="27"/>
    </row>
    <row r="731">
      <c r="K731" s="27"/>
    </row>
    <row r="732">
      <c r="K732" s="27"/>
    </row>
    <row r="733">
      <c r="K733" s="27"/>
    </row>
    <row r="734">
      <c r="K734" s="27"/>
    </row>
    <row r="735">
      <c r="K735" s="27"/>
    </row>
    <row r="736">
      <c r="K736" s="27"/>
    </row>
    <row r="737">
      <c r="K737" s="27"/>
    </row>
    <row r="738">
      <c r="K738" s="27"/>
    </row>
    <row r="739">
      <c r="K739" s="27"/>
    </row>
    <row r="740">
      <c r="K740" s="27"/>
    </row>
    <row r="741">
      <c r="K741" s="27"/>
    </row>
    <row r="742">
      <c r="K742" s="27"/>
    </row>
    <row r="743">
      <c r="K743" s="27"/>
    </row>
    <row r="744">
      <c r="K744" s="27"/>
    </row>
    <row r="745">
      <c r="K745" s="27"/>
    </row>
    <row r="746">
      <c r="K746" s="27"/>
    </row>
    <row r="747">
      <c r="K747" s="27"/>
    </row>
    <row r="748">
      <c r="K748" s="27"/>
    </row>
    <row r="749">
      <c r="K749" s="27"/>
    </row>
    <row r="750">
      <c r="K750" s="27"/>
    </row>
    <row r="751">
      <c r="K751" s="27"/>
    </row>
    <row r="752">
      <c r="K752" s="27"/>
    </row>
    <row r="753">
      <c r="K753" s="27"/>
    </row>
    <row r="754">
      <c r="K754" s="27"/>
    </row>
    <row r="755">
      <c r="K755" s="27"/>
    </row>
    <row r="756">
      <c r="K756" s="27"/>
    </row>
    <row r="757">
      <c r="K757" s="27"/>
    </row>
    <row r="758">
      <c r="K758" s="27"/>
    </row>
    <row r="759">
      <c r="K759" s="27"/>
    </row>
    <row r="760">
      <c r="K760" s="27"/>
    </row>
    <row r="761">
      <c r="K761" s="27"/>
    </row>
    <row r="762">
      <c r="K762" s="27"/>
    </row>
    <row r="763">
      <c r="K763" s="27"/>
    </row>
    <row r="764">
      <c r="K764" s="27"/>
    </row>
    <row r="765">
      <c r="K765" s="27"/>
    </row>
    <row r="766">
      <c r="K766" s="27"/>
    </row>
    <row r="767">
      <c r="K767" s="27"/>
    </row>
    <row r="768">
      <c r="K768" s="27"/>
    </row>
    <row r="769">
      <c r="K769" s="27"/>
    </row>
    <row r="770">
      <c r="K770" s="27"/>
    </row>
    <row r="771">
      <c r="K771" s="27"/>
    </row>
    <row r="772">
      <c r="K772" s="27"/>
    </row>
    <row r="773">
      <c r="K773" s="27"/>
    </row>
    <row r="774">
      <c r="K774" s="27"/>
    </row>
    <row r="775">
      <c r="K775" s="27"/>
    </row>
    <row r="776">
      <c r="K776" s="27"/>
    </row>
    <row r="777">
      <c r="K777" s="27"/>
    </row>
    <row r="778">
      <c r="K778" s="27"/>
    </row>
    <row r="779">
      <c r="K779" s="27"/>
    </row>
    <row r="780">
      <c r="K780" s="27"/>
    </row>
    <row r="781">
      <c r="K781" s="27"/>
    </row>
    <row r="782">
      <c r="K782" s="27"/>
    </row>
    <row r="783">
      <c r="K783" s="27"/>
    </row>
    <row r="784">
      <c r="K784" s="27"/>
    </row>
    <row r="785">
      <c r="K785" s="27"/>
    </row>
    <row r="786">
      <c r="K786" s="27"/>
    </row>
    <row r="787">
      <c r="K787" s="27"/>
    </row>
    <row r="788">
      <c r="K788" s="27"/>
    </row>
    <row r="789">
      <c r="K789" s="27"/>
    </row>
    <row r="790">
      <c r="K790" s="27"/>
    </row>
    <row r="791">
      <c r="K791" s="27"/>
    </row>
    <row r="792">
      <c r="K792" s="27"/>
    </row>
    <row r="793">
      <c r="K793" s="27"/>
    </row>
    <row r="794">
      <c r="K794" s="27"/>
    </row>
    <row r="795">
      <c r="K795" s="27"/>
    </row>
    <row r="796">
      <c r="K796" s="27"/>
    </row>
    <row r="797">
      <c r="K797" s="27"/>
    </row>
    <row r="798">
      <c r="K798" s="27"/>
    </row>
    <row r="799">
      <c r="K799" s="27"/>
    </row>
    <row r="800">
      <c r="K800" s="27"/>
    </row>
    <row r="801">
      <c r="K801" s="27"/>
    </row>
    <row r="802">
      <c r="K802" s="27"/>
    </row>
    <row r="803">
      <c r="K803" s="27"/>
    </row>
    <row r="804">
      <c r="K804" s="27"/>
    </row>
    <row r="805">
      <c r="K805" s="27"/>
    </row>
    <row r="806">
      <c r="K806" s="27"/>
    </row>
    <row r="807">
      <c r="K807" s="27"/>
    </row>
    <row r="808">
      <c r="K808" s="27"/>
    </row>
    <row r="809">
      <c r="K809" s="27"/>
    </row>
    <row r="810">
      <c r="K810" s="27"/>
    </row>
    <row r="811">
      <c r="K811" s="27"/>
    </row>
    <row r="812">
      <c r="K812" s="27"/>
    </row>
    <row r="813">
      <c r="K813" s="27"/>
    </row>
    <row r="814">
      <c r="K814" s="27"/>
    </row>
    <row r="815">
      <c r="K815" s="27"/>
    </row>
    <row r="816">
      <c r="K816" s="27"/>
    </row>
    <row r="817">
      <c r="K817" s="27"/>
    </row>
    <row r="818">
      <c r="K818" s="27"/>
    </row>
    <row r="819">
      <c r="K819" s="27"/>
    </row>
    <row r="820">
      <c r="K820" s="27"/>
    </row>
    <row r="821">
      <c r="K821" s="27"/>
    </row>
    <row r="822">
      <c r="K822" s="27"/>
    </row>
    <row r="823">
      <c r="K823" s="27"/>
    </row>
    <row r="824">
      <c r="K824" s="27"/>
    </row>
    <row r="825">
      <c r="K825" s="27"/>
    </row>
    <row r="826">
      <c r="K826" s="27"/>
    </row>
    <row r="827">
      <c r="K827" s="27"/>
    </row>
    <row r="828">
      <c r="K828" s="27"/>
    </row>
    <row r="829">
      <c r="K829" s="27"/>
    </row>
    <row r="830">
      <c r="K830" s="27"/>
    </row>
    <row r="831">
      <c r="K831" s="27"/>
    </row>
    <row r="832">
      <c r="K832" s="27"/>
    </row>
    <row r="833">
      <c r="K833" s="27"/>
    </row>
    <row r="834">
      <c r="K834" s="27"/>
    </row>
    <row r="835">
      <c r="K835" s="27"/>
    </row>
    <row r="836">
      <c r="K836" s="27"/>
    </row>
    <row r="837">
      <c r="K837" s="27"/>
    </row>
    <row r="838">
      <c r="K838" s="27"/>
    </row>
    <row r="839">
      <c r="K839" s="27"/>
    </row>
    <row r="840">
      <c r="K840" s="27"/>
    </row>
    <row r="841">
      <c r="K841" s="27"/>
    </row>
    <row r="842">
      <c r="K842" s="27"/>
    </row>
    <row r="843">
      <c r="K843" s="27"/>
    </row>
    <row r="844">
      <c r="K844" s="27"/>
    </row>
    <row r="845">
      <c r="K845" s="27"/>
    </row>
    <row r="846">
      <c r="K846" s="27"/>
    </row>
    <row r="847">
      <c r="K847" s="27"/>
    </row>
    <row r="848">
      <c r="K848" s="27"/>
    </row>
    <row r="849">
      <c r="K849" s="27"/>
    </row>
    <row r="850">
      <c r="K850" s="27"/>
    </row>
    <row r="851">
      <c r="K851" s="27"/>
    </row>
    <row r="852">
      <c r="K852" s="27"/>
    </row>
    <row r="853">
      <c r="K853" s="27"/>
    </row>
    <row r="854">
      <c r="K854" s="27"/>
    </row>
    <row r="855">
      <c r="K855" s="27"/>
    </row>
    <row r="856">
      <c r="K856" s="27"/>
    </row>
    <row r="857">
      <c r="K857" s="27"/>
    </row>
    <row r="858">
      <c r="K858" s="27"/>
    </row>
    <row r="859">
      <c r="K859" s="27"/>
    </row>
    <row r="860">
      <c r="K860" s="27"/>
    </row>
    <row r="861">
      <c r="K861" s="27"/>
    </row>
    <row r="862">
      <c r="K862" s="27"/>
    </row>
    <row r="863">
      <c r="K863" s="27"/>
    </row>
    <row r="864">
      <c r="K864" s="27"/>
    </row>
    <row r="865">
      <c r="K865" s="27"/>
    </row>
    <row r="866">
      <c r="K866" s="27"/>
    </row>
    <row r="867">
      <c r="K867" s="27"/>
    </row>
    <row r="868">
      <c r="K868" s="27"/>
    </row>
    <row r="869">
      <c r="K869" s="27"/>
    </row>
    <row r="870">
      <c r="K870" s="27"/>
    </row>
    <row r="871">
      <c r="K871" s="27"/>
    </row>
    <row r="872">
      <c r="K872" s="27"/>
    </row>
    <row r="873">
      <c r="K873" s="27"/>
    </row>
    <row r="874">
      <c r="K874" s="27"/>
    </row>
    <row r="875">
      <c r="K875" s="27"/>
    </row>
    <row r="876">
      <c r="K876" s="27"/>
    </row>
    <row r="877">
      <c r="K877" s="27"/>
    </row>
    <row r="878">
      <c r="K878" s="27"/>
    </row>
    <row r="879">
      <c r="K879" s="27"/>
    </row>
    <row r="880">
      <c r="K880" s="27"/>
    </row>
    <row r="881">
      <c r="K881" s="27"/>
    </row>
    <row r="882">
      <c r="K882" s="27"/>
    </row>
    <row r="883">
      <c r="K883" s="27"/>
    </row>
    <row r="884">
      <c r="K884" s="27"/>
    </row>
    <row r="885">
      <c r="K885" s="27"/>
    </row>
    <row r="886">
      <c r="K886" s="27"/>
    </row>
    <row r="887">
      <c r="K887" s="27"/>
    </row>
    <row r="888">
      <c r="K888" s="27"/>
    </row>
    <row r="889">
      <c r="K889" s="27"/>
    </row>
    <row r="890">
      <c r="K890" s="27"/>
    </row>
    <row r="891">
      <c r="K891" s="27"/>
    </row>
    <row r="892">
      <c r="K892" s="27"/>
    </row>
    <row r="893">
      <c r="K893" s="27"/>
    </row>
    <row r="894">
      <c r="K894" s="27"/>
    </row>
    <row r="895">
      <c r="K895" s="27"/>
    </row>
    <row r="896">
      <c r="K896" s="27"/>
    </row>
    <row r="897">
      <c r="K897" s="27"/>
    </row>
    <row r="898">
      <c r="K898" s="27"/>
    </row>
    <row r="899">
      <c r="K899" s="27"/>
    </row>
    <row r="900">
      <c r="K900" s="27"/>
    </row>
    <row r="901">
      <c r="K901" s="27"/>
    </row>
    <row r="902">
      <c r="K902" s="27"/>
    </row>
    <row r="903">
      <c r="K903" s="27"/>
    </row>
    <row r="904">
      <c r="K904" s="27"/>
    </row>
    <row r="905">
      <c r="K905" s="27"/>
    </row>
    <row r="906">
      <c r="K906" s="27"/>
    </row>
    <row r="907">
      <c r="K907" s="27"/>
    </row>
    <row r="908">
      <c r="K908" s="27"/>
    </row>
    <row r="909">
      <c r="K909" s="27"/>
    </row>
    <row r="910">
      <c r="K910" s="27"/>
    </row>
    <row r="911">
      <c r="K911" s="27"/>
    </row>
    <row r="912">
      <c r="K912" s="27"/>
    </row>
    <row r="913">
      <c r="K913" s="27"/>
    </row>
    <row r="914">
      <c r="K914" s="27"/>
    </row>
    <row r="915">
      <c r="K915" s="27"/>
    </row>
    <row r="916">
      <c r="K916" s="27"/>
    </row>
    <row r="917">
      <c r="K917" s="27"/>
    </row>
    <row r="918">
      <c r="K918" s="27"/>
    </row>
    <row r="919">
      <c r="K919" s="27"/>
    </row>
    <row r="920">
      <c r="K920" s="27"/>
    </row>
    <row r="921">
      <c r="K921" s="27"/>
    </row>
    <row r="922">
      <c r="K922" s="27"/>
    </row>
    <row r="923">
      <c r="K923" s="27"/>
    </row>
    <row r="924">
      <c r="K924" s="27"/>
    </row>
    <row r="925">
      <c r="K925" s="27"/>
    </row>
    <row r="926">
      <c r="K926" s="27"/>
    </row>
    <row r="927">
      <c r="K927" s="27"/>
    </row>
    <row r="928">
      <c r="K928" s="27"/>
    </row>
    <row r="929">
      <c r="K929" s="27"/>
    </row>
    <row r="930">
      <c r="K930" s="27"/>
    </row>
    <row r="931">
      <c r="K931" s="27"/>
    </row>
    <row r="932">
      <c r="K932" s="27"/>
    </row>
    <row r="933">
      <c r="K933" s="27"/>
    </row>
    <row r="934">
      <c r="K934" s="27"/>
    </row>
    <row r="935">
      <c r="K935" s="27"/>
    </row>
    <row r="936">
      <c r="K936" s="27"/>
    </row>
    <row r="937">
      <c r="K937" s="27"/>
    </row>
    <row r="938">
      <c r="K938" s="27"/>
    </row>
    <row r="939">
      <c r="K939" s="27"/>
    </row>
    <row r="940">
      <c r="K940" s="27"/>
    </row>
    <row r="941">
      <c r="K941" s="27"/>
    </row>
    <row r="942">
      <c r="K942" s="27"/>
    </row>
    <row r="943">
      <c r="K943" s="27"/>
    </row>
    <row r="944">
      <c r="K944" s="27"/>
    </row>
    <row r="945">
      <c r="K945" s="27"/>
    </row>
    <row r="946">
      <c r="K946" s="27"/>
    </row>
    <row r="947">
      <c r="K947" s="27"/>
    </row>
    <row r="948">
      <c r="K948" s="27"/>
    </row>
    <row r="949">
      <c r="K949" s="27"/>
    </row>
    <row r="950">
      <c r="K950" s="27"/>
    </row>
    <row r="951">
      <c r="K951" s="27"/>
    </row>
    <row r="952">
      <c r="K952" s="27"/>
    </row>
    <row r="953">
      <c r="K953" s="27"/>
    </row>
    <row r="954">
      <c r="K954" s="27"/>
    </row>
    <row r="955">
      <c r="K955" s="27"/>
    </row>
    <row r="956">
      <c r="K956" s="27"/>
    </row>
    <row r="957">
      <c r="K957" s="27"/>
    </row>
    <row r="958">
      <c r="K958" s="27"/>
    </row>
    <row r="959">
      <c r="K959" s="27"/>
    </row>
    <row r="960">
      <c r="K960" s="27"/>
    </row>
    <row r="961">
      <c r="K961" s="27"/>
    </row>
    <row r="962">
      <c r="K962" s="27"/>
    </row>
    <row r="963">
      <c r="K963" s="27"/>
    </row>
    <row r="964">
      <c r="K964" s="27"/>
    </row>
    <row r="965">
      <c r="K965" s="27"/>
    </row>
    <row r="966">
      <c r="K966" s="27"/>
    </row>
    <row r="967">
      <c r="K967" s="27"/>
    </row>
    <row r="968">
      <c r="K968" s="27"/>
    </row>
    <row r="969">
      <c r="K969" s="27"/>
    </row>
    <row r="970">
      <c r="K970" s="27"/>
    </row>
    <row r="971">
      <c r="K971" s="27"/>
    </row>
    <row r="972">
      <c r="K972" s="27"/>
    </row>
    <row r="973">
      <c r="K973" s="27"/>
    </row>
    <row r="974">
      <c r="K974" s="27"/>
    </row>
    <row r="975">
      <c r="K975" s="27"/>
    </row>
    <row r="976">
      <c r="K976" s="27"/>
    </row>
    <row r="977">
      <c r="K977" s="27"/>
    </row>
    <row r="978">
      <c r="K978" s="27"/>
    </row>
    <row r="979">
      <c r="K979" s="27"/>
    </row>
    <row r="980">
      <c r="K980" s="27"/>
    </row>
    <row r="981">
      <c r="K981" s="27"/>
    </row>
    <row r="982">
      <c r="K982" s="27"/>
    </row>
    <row r="983">
      <c r="K983" s="27"/>
    </row>
    <row r="984">
      <c r="K984" s="27"/>
    </row>
    <row r="985">
      <c r="K985" s="27"/>
    </row>
    <row r="986">
      <c r="K986" s="27"/>
    </row>
    <row r="987">
      <c r="K987" s="27"/>
    </row>
    <row r="988">
      <c r="K988" s="27"/>
    </row>
    <row r="989">
      <c r="K989" s="27"/>
    </row>
    <row r="990">
      <c r="K990" s="27"/>
    </row>
    <row r="991">
      <c r="K991" s="27"/>
    </row>
    <row r="992">
      <c r="K992" s="27"/>
    </row>
    <row r="993">
      <c r="K993" s="27"/>
    </row>
    <row r="994">
      <c r="K994" s="27"/>
    </row>
    <row r="995">
      <c r="K995" s="27"/>
    </row>
    <row r="996">
      <c r="K996" s="27"/>
    </row>
    <row r="997">
      <c r="K997" s="27"/>
    </row>
    <row r="998">
      <c r="K998" s="27"/>
    </row>
    <row r="999">
      <c r="K999" s="27"/>
    </row>
    <row r="1000">
      <c r="K1000" s="27"/>
    </row>
    <row r="1001">
      <c r="K1001" s="27"/>
    </row>
    <row r="1002">
      <c r="K1002" s="27"/>
    </row>
  </sheetData>
  <conditionalFormatting sqref="D42:E42 F51:I51">
    <cfRule type="cellIs" dxfId="0" priority="1" operator="lessThan">
      <formula>0</formula>
    </cfRule>
  </conditionalFormatting>
  <conditionalFormatting sqref="D51:E51">
    <cfRule type="cellIs" dxfId="0" priority="2" operator="lessThan">
      <formula>0</formula>
    </cfRule>
  </conditionalFormatting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9.38"/>
    <col customWidth="1" min="12" max="12" width="20.63"/>
    <col customWidth="1" min="13" max="13" width="11.25"/>
    <col customWidth="1" min="14" max="14" width="9.25"/>
    <col customWidth="1" min="15" max="16" width="9.5"/>
  </cols>
  <sheetData>
    <row r="1">
      <c r="A1" s="18" t="s">
        <v>346</v>
      </c>
      <c r="B1" s="199" t="s">
        <v>296</v>
      </c>
      <c r="L1" s="107"/>
    </row>
    <row r="2">
      <c r="B2" s="18" t="s">
        <v>240</v>
      </c>
      <c r="C2" s="249">
        <v>13.0</v>
      </c>
      <c r="L2" s="27"/>
    </row>
    <row r="3">
      <c r="B3" s="18" t="s">
        <v>241</v>
      </c>
      <c r="C3" s="249">
        <f>62.92</f>
        <v>62.92</v>
      </c>
      <c r="L3" s="27"/>
      <c r="Q3" s="114">
        <f>4166.67+6417.54</f>
        <v>10584.21</v>
      </c>
    </row>
    <row r="4">
      <c r="B4" s="18" t="s">
        <v>377</v>
      </c>
      <c r="D4" s="249">
        <v>19.9</v>
      </c>
      <c r="L4" s="27"/>
      <c r="M4" s="107"/>
      <c r="N4" s="107"/>
      <c r="Q4" s="17"/>
    </row>
    <row r="5">
      <c r="B5" s="18" t="s">
        <v>378</v>
      </c>
      <c r="D5" s="249">
        <v>29.9</v>
      </c>
      <c r="L5" s="27"/>
      <c r="M5" s="107"/>
      <c r="N5" s="107"/>
      <c r="Q5" s="17"/>
    </row>
    <row r="6">
      <c r="B6" s="18" t="s">
        <v>242</v>
      </c>
      <c r="C6" s="249">
        <v>13.0</v>
      </c>
      <c r="L6" s="27"/>
      <c r="M6" s="107"/>
      <c r="N6" s="107"/>
      <c r="Q6" s="17"/>
    </row>
    <row r="7">
      <c r="B7" s="18" t="s">
        <v>285</v>
      </c>
      <c r="C7" s="249">
        <v>42.0</v>
      </c>
      <c r="L7" s="27"/>
      <c r="M7" s="107"/>
      <c r="N7" s="107"/>
      <c r="Q7" s="32"/>
    </row>
    <row r="8">
      <c r="B8" s="18" t="s">
        <v>324</v>
      </c>
      <c r="C8" s="249">
        <v>6.0</v>
      </c>
      <c r="L8" s="301" t="s">
        <v>325</v>
      </c>
      <c r="M8" s="107"/>
      <c r="N8" s="107"/>
      <c r="Q8" s="30"/>
    </row>
    <row r="9">
      <c r="C9" s="276">
        <f>SUM(C2:C8)</f>
        <v>136.92</v>
      </c>
      <c r="L9" s="302" t="s">
        <v>119</v>
      </c>
      <c r="M9" s="302" t="s">
        <v>120</v>
      </c>
      <c r="N9" s="27"/>
    </row>
    <row r="10">
      <c r="J10" s="18" t="s">
        <v>366</v>
      </c>
      <c r="L10" s="7" t="s">
        <v>347</v>
      </c>
      <c r="M10" s="7" t="s">
        <v>348</v>
      </c>
      <c r="N10" s="107"/>
    </row>
    <row r="11">
      <c r="B11" s="55" t="s">
        <v>122</v>
      </c>
      <c r="C11" s="56"/>
      <c r="D11" s="254" t="s">
        <v>134</v>
      </c>
      <c r="E11" s="254" t="s">
        <v>123</v>
      </c>
      <c r="F11" s="254" t="s">
        <v>124</v>
      </c>
      <c r="G11" s="254" t="s">
        <v>125</v>
      </c>
      <c r="H11" s="254" t="s">
        <v>126</v>
      </c>
      <c r="I11" s="253" t="s">
        <v>127</v>
      </c>
      <c r="J11" s="254" t="s">
        <v>128</v>
      </c>
      <c r="L11" s="7" t="s">
        <v>328</v>
      </c>
      <c r="M11" s="7" t="s">
        <v>349</v>
      </c>
      <c r="N11" s="107"/>
      <c r="P11" s="18"/>
      <c r="Q11" s="18"/>
    </row>
    <row r="12">
      <c r="B12" s="59" t="s">
        <v>129</v>
      </c>
      <c r="C12" s="60"/>
      <c r="D12" s="113">
        <v>8257.5</v>
      </c>
      <c r="E12" s="113">
        <v>8402.25</v>
      </c>
      <c r="F12" s="113">
        <v>8402.25</v>
      </c>
      <c r="G12" s="113">
        <v>8402.25</v>
      </c>
      <c r="H12" s="113">
        <v>8402.26</v>
      </c>
      <c r="I12" s="113">
        <v>8402.25</v>
      </c>
      <c r="J12" s="113">
        <v>8324.69</v>
      </c>
      <c r="L12" s="7"/>
      <c r="M12" s="7" t="s">
        <v>192</v>
      </c>
      <c r="N12" s="107"/>
      <c r="P12" s="18"/>
    </row>
    <row r="13">
      <c r="B13" s="59" t="s">
        <v>136</v>
      </c>
      <c r="C13" s="60"/>
      <c r="D13" s="114">
        <f>2040+3294.58</f>
        <v>5334.58</v>
      </c>
      <c r="E13" s="114">
        <f>2040+3421.67</f>
        <v>5461.67</v>
      </c>
      <c r="F13" s="114">
        <v>5721.67</v>
      </c>
      <c r="G13" s="114">
        <f>2160+3065.41+512.46</f>
        <v>5737.87</v>
      </c>
      <c r="H13" s="114">
        <f>2160+3077.41+512.46</f>
        <v>5749.87</v>
      </c>
      <c r="I13" s="114">
        <f>2160+3089.41+512.46</f>
        <v>5761.87</v>
      </c>
      <c r="J13" s="114">
        <v>5721.67</v>
      </c>
      <c r="L13" s="303"/>
      <c r="M13" s="107"/>
      <c r="N13" s="27"/>
      <c r="P13" s="18"/>
    </row>
    <row r="14">
      <c r="B14" s="59" t="s">
        <v>137</v>
      </c>
      <c r="C14" s="60"/>
      <c r="D14" s="313"/>
      <c r="E14" s="114"/>
      <c r="F14" s="114"/>
      <c r="G14" s="114"/>
      <c r="H14" s="114"/>
      <c r="I14" s="114"/>
      <c r="J14" s="114"/>
      <c r="L14" s="363"/>
      <c r="M14" s="107"/>
      <c r="N14" s="107"/>
      <c r="P14" s="18"/>
    </row>
    <row r="15">
      <c r="B15" s="59" t="s">
        <v>138</v>
      </c>
      <c r="C15" s="60"/>
      <c r="D15" s="348"/>
      <c r="E15" s="117"/>
      <c r="F15" s="117"/>
      <c r="G15" s="114"/>
      <c r="H15" s="114"/>
      <c r="I15" s="114">
        <f>4166.67+6417.54</f>
        <v>10584.21</v>
      </c>
      <c r="J15" s="118"/>
      <c r="L15" s="32"/>
      <c r="M15" s="107"/>
      <c r="N15" s="107"/>
      <c r="P15" s="18"/>
    </row>
    <row r="16">
      <c r="B16" s="67" t="s">
        <v>139</v>
      </c>
      <c r="C16" s="68"/>
      <c r="D16" s="315">
        <f t="shared" ref="D16:J16" si="1">SUM(D12:D15)</f>
        <v>13592.08</v>
      </c>
      <c r="E16" s="315">
        <f t="shared" si="1"/>
        <v>13863.92</v>
      </c>
      <c r="F16" s="119">
        <f t="shared" si="1"/>
        <v>14123.92</v>
      </c>
      <c r="G16" s="119">
        <f t="shared" si="1"/>
        <v>14140.12</v>
      </c>
      <c r="H16" s="119">
        <f t="shared" si="1"/>
        <v>14152.13</v>
      </c>
      <c r="I16" s="119">
        <f t="shared" si="1"/>
        <v>24748.33</v>
      </c>
      <c r="J16" s="119">
        <f t="shared" si="1"/>
        <v>14046.36</v>
      </c>
      <c r="L16" s="248"/>
      <c r="M16" s="107"/>
      <c r="N16" s="107"/>
      <c r="P16" s="18"/>
      <c r="Q16" s="12">
        <f>150-54.2</f>
        <v>95.8</v>
      </c>
      <c r="S16" s="107"/>
    </row>
    <row r="17">
      <c r="D17" s="311"/>
      <c r="E17" s="311"/>
      <c r="L17" s="32"/>
      <c r="M17" s="107"/>
      <c r="P17" s="18"/>
      <c r="S17" s="27"/>
    </row>
    <row r="18">
      <c r="B18" s="70" t="s">
        <v>140</v>
      </c>
      <c r="C18" s="71"/>
      <c r="D18" s="316" t="s">
        <v>123</v>
      </c>
      <c r="E18" s="316" t="s">
        <v>124</v>
      </c>
      <c r="F18" s="316" t="s">
        <v>125</v>
      </c>
      <c r="G18" s="316" t="s">
        <v>126</v>
      </c>
      <c r="H18" s="316" t="s">
        <v>127</v>
      </c>
      <c r="I18" s="58" t="s">
        <v>128</v>
      </c>
      <c r="J18" s="58" t="s">
        <v>129</v>
      </c>
      <c r="L18" s="107"/>
      <c r="M18" s="26"/>
      <c r="N18" s="107"/>
      <c r="P18" s="18"/>
    </row>
    <row r="19">
      <c r="B19" s="121" t="s">
        <v>141</v>
      </c>
      <c r="C19" s="122"/>
      <c r="D19" s="378">
        <v>350.0</v>
      </c>
      <c r="E19" s="378">
        <v>350.0</v>
      </c>
      <c r="F19" s="378">
        <v>350.0</v>
      </c>
      <c r="G19" s="378">
        <v>0.0</v>
      </c>
      <c r="H19" s="378">
        <v>350.0</v>
      </c>
      <c r="I19" s="378">
        <v>370.0</v>
      </c>
      <c r="J19" s="378">
        <f t="shared" ref="J19:J20" si="2">I19</f>
        <v>370</v>
      </c>
      <c r="L19" s="107" t="s">
        <v>331</v>
      </c>
      <c r="M19" s="192"/>
      <c r="P19" s="18"/>
    </row>
    <row r="20">
      <c r="B20" s="121" t="s">
        <v>142</v>
      </c>
      <c r="C20" s="122"/>
      <c r="D20" s="378">
        <v>200.0</v>
      </c>
      <c r="E20" s="378">
        <v>200.0</v>
      </c>
      <c r="F20" s="378">
        <v>200.0</v>
      </c>
      <c r="G20" s="378">
        <v>200.0</v>
      </c>
      <c r="H20" s="378">
        <v>200.0</v>
      </c>
      <c r="I20" s="378">
        <v>213.2</v>
      </c>
      <c r="J20" s="378">
        <f t="shared" si="2"/>
        <v>213.2</v>
      </c>
      <c r="L20" s="192"/>
      <c r="M20" s="26" t="s">
        <v>27</v>
      </c>
      <c r="N20" s="26" t="s">
        <v>274</v>
      </c>
      <c r="O20" s="26" t="s">
        <v>351</v>
      </c>
      <c r="P20" s="26" t="s">
        <v>333</v>
      </c>
      <c r="Q20" s="26" t="s">
        <v>367</v>
      </c>
      <c r="R20" s="376" t="s">
        <v>368</v>
      </c>
      <c r="S20" s="26" t="s">
        <v>48</v>
      </c>
      <c r="T20" s="18" t="s">
        <v>369</v>
      </c>
    </row>
    <row r="21">
      <c r="B21" s="121" t="s">
        <v>143</v>
      </c>
      <c r="C21" s="122"/>
      <c r="D21" s="379">
        <v>174.85</v>
      </c>
      <c r="E21" s="379">
        <v>174.85</v>
      </c>
      <c r="F21" s="379">
        <v>174.85</v>
      </c>
      <c r="G21" s="396">
        <v>79.3</v>
      </c>
      <c r="H21" s="396">
        <v>69.9</v>
      </c>
      <c r="I21" s="396">
        <v>139.9</v>
      </c>
      <c r="J21" s="379">
        <v>174.85</v>
      </c>
      <c r="L21" s="121" t="s">
        <v>141</v>
      </c>
      <c r="M21" s="398"/>
      <c r="N21" s="399"/>
      <c r="O21" s="400">
        <v>370.0</v>
      </c>
      <c r="P21" s="401"/>
      <c r="Q21" s="399"/>
      <c r="R21" s="399"/>
      <c r="S21" s="399"/>
      <c r="T21" s="399"/>
    </row>
    <row r="22">
      <c r="B22" s="121" t="s">
        <v>144</v>
      </c>
      <c r="C22" s="122"/>
      <c r="D22" s="378">
        <v>100.0</v>
      </c>
      <c r="E22" s="378">
        <v>100.0</v>
      </c>
      <c r="F22" s="378">
        <v>100.0</v>
      </c>
      <c r="G22" s="378">
        <v>100.0</v>
      </c>
      <c r="H22" s="378">
        <v>100.0</v>
      </c>
      <c r="I22" s="123">
        <f t="shared" ref="I22:J22" si="3">H22</f>
        <v>100</v>
      </c>
      <c r="J22" s="378">
        <f t="shared" si="3"/>
        <v>100</v>
      </c>
      <c r="L22" s="121" t="s">
        <v>142</v>
      </c>
      <c r="M22" s="398"/>
      <c r="N22" s="399"/>
      <c r="O22" s="400">
        <v>200.0</v>
      </c>
      <c r="P22" s="401"/>
      <c r="Q22" s="399"/>
      <c r="R22" s="399"/>
      <c r="S22" s="399"/>
      <c r="T22" s="399"/>
    </row>
    <row r="23">
      <c r="B23" s="121" t="s">
        <v>145</v>
      </c>
      <c r="C23" s="122"/>
      <c r="D23" s="378">
        <v>2500.0</v>
      </c>
      <c r="E23" s="378">
        <v>2500.0</v>
      </c>
      <c r="F23" s="378">
        <v>2500.0</v>
      </c>
      <c r="G23" s="378">
        <v>2500.0</v>
      </c>
      <c r="H23" s="378">
        <v>3000.0</v>
      </c>
      <c r="I23" s="378">
        <f t="shared" ref="I23:J23" si="4">H23</f>
        <v>3000</v>
      </c>
      <c r="J23" s="378">
        <f t="shared" si="4"/>
        <v>3000</v>
      </c>
      <c r="L23" s="121" t="s">
        <v>143</v>
      </c>
      <c r="M23" s="398"/>
      <c r="N23" s="399"/>
      <c r="O23" s="400">
        <v>70.0</v>
      </c>
      <c r="P23" s="401"/>
      <c r="Q23" s="402"/>
      <c r="R23" s="399"/>
      <c r="S23" s="399"/>
      <c r="T23" s="399"/>
    </row>
    <row r="24">
      <c r="B24" s="121" t="s">
        <v>146</v>
      </c>
      <c r="C24" s="126" t="s">
        <v>147</v>
      </c>
      <c r="D24" s="378">
        <v>400.0</v>
      </c>
      <c r="E24" s="378">
        <v>400.0</v>
      </c>
      <c r="F24" s="378">
        <v>404.8</v>
      </c>
      <c r="G24" s="378">
        <v>400.0</v>
      </c>
      <c r="H24" s="378">
        <v>404.8</v>
      </c>
      <c r="I24" s="378">
        <v>404.8</v>
      </c>
      <c r="J24" s="378">
        <v>400.0</v>
      </c>
      <c r="L24" s="121" t="s">
        <v>144</v>
      </c>
      <c r="M24" s="398"/>
      <c r="N24" s="301"/>
      <c r="O24" s="400">
        <v>100.0</v>
      </c>
      <c r="P24" s="401"/>
      <c r="Q24" s="399"/>
      <c r="R24" s="399"/>
      <c r="S24" s="399"/>
      <c r="T24" s="399"/>
      <c r="U24" s="28"/>
    </row>
    <row r="25">
      <c r="B25" s="127" t="s">
        <v>180</v>
      </c>
      <c r="C25" s="128"/>
      <c r="D25" s="378">
        <v>0.0</v>
      </c>
      <c r="E25" s="378">
        <v>0.0</v>
      </c>
      <c r="F25" s="378">
        <v>0.0</v>
      </c>
      <c r="G25" s="378">
        <v>0.0</v>
      </c>
      <c r="H25" s="378">
        <v>0.0</v>
      </c>
      <c r="I25" s="378">
        <v>0.0</v>
      </c>
      <c r="J25" s="378">
        <v>0.0</v>
      </c>
      <c r="L25" s="121" t="s">
        <v>145</v>
      </c>
      <c r="M25" s="400">
        <v>3000.0</v>
      </c>
      <c r="N25" s="399"/>
      <c r="O25" s="398"/>
      <c r="P25" s="123"/>
      <c r="Q25" s="399"/>
      <c r="R25" s="399"/>
      <c r="S25" s="399"/>
      <c r="T25" s="399"/>
    </row>
    <row r="26">
      <c r="B26" s="121" t="s">
        <v>148</v>
      </c>
      <c r="C26" s="122"/>
      <c r="D26" s="378">
        <v>500.0</v>
      </c>
      <c r="E26" s="378">
        <v>500.0</v>
      </c>
      <c r="F26" s="378">
        <v>500.0</v>
      </c>
      <c r="G26" s="378">
        <v>500.0</v>
      </c>
      <c r="H26" s="378">
        <v>600.0</v>
      </c>
      <c r="I26" s="378">
        <v>500.0</v>
      </c>
      <c r="J26" s="378">
        <f>I26</f>
        <v>500</v>
      </c>
      <c r="L26" s="121" t="s">
        <v>146</v>
      </c>
      <c r="M26" s="123">
        <v>204.8</v>
      </c>
      <c r="N26" s="123">
        <v>200.0</v>
      </c>
      <c r="O26" s="399"/>
      <c r="P26" s="401"/>
      <c r="Q26" s="399"/>
      <c r="R26" s="399"/>
      <c r="S26" s="399"/>
      <c r="T26" s="399"/>
    </row>
    <row r="27">
      <c r="B27" s="121" t="s">
        <v>149</v>
      </c>
      <c r="C27" s="122"/>
      <c r="D27" s="378">
        <v>500.0</v>
      </c>
      <c r="E27" s="378">
        <v>500.0</v>
      </c>
      <c r="F27" s="378">
        <v>500.0</v>
      </c>
      <c r="G27" s="378">
        <v>500.0</v>
      </c>
      <c r="H27" s="378">
        <v>500.0</v>
      </c>
      <c r="I27" s="378">
        <f t="shared" ref="I27:J27" si="5">H27</f>
        <v>500</v>
      </c>
      <c r="J27" s="378">
        <f t="shared" si="5"/>
        <v>500</v>
      </c>
      <c r="L27" s="127" t="s">
        <v>180</v>
      </c>
      <c r="M27" s="123">
        <v>0.0</v>
      </c>
      <c r="N27" s="123"/>
      <c r="O27" s="403"/>
      <c r="P27" s="401"/>
      <c r="Q27" s="399"/>
      <c r="R27" s="399"/>
      <c r="S27" s="399"/>
      <c r="T27" s="399"/>
    </row>
    <row r="28">
      <c r="B28" s="127" t="s">
        <v>181</v>
      </c>
      <c r="C28" s="128"/>
      <c r="D28" s="378">
        <v>650.0</v>
      </c>
      <c r="E28" s="378">
        <v>150.0</v>
      </c>
      <c r="F28" s="378">
        <v>150.0</v>
      </c>
      <c r="G28" s="378">
        <v>150.0</v>
      </c>
      <c r="H28" s="378">
        <v>150.0</v>
      </c>
      <c r="I28" s="123">
        <v>150.0</v>
      </c>
      <c r="J28" s="378">
        <v>150.0</v>
      </c>
      <c r="L28" s="121" t="s">
        <v>148</v>
      </c>
      <c r="M28" s="398"/>
      <c r="N28" s="399"/>
      <c r="O28" s="400">
        <v>500.0</v>
      </c>
      <c r="P28" s="401"/>
      <c r="Q28" s="398"/>
      <c r="R28" s="399"/>
      <c r="S28" s="399"/>
      <c r="T28" s="399"/>
    </row>
    <row r="29">
      <c r="B29" s="121" t="s">
        <v>150</v>
      </c>
      <c r="C29" s="122"/>
      <c r="D29" s="378">
        <v>400.0</v>
      </c>
      <c r="E29" s="378">
        <v>400.0</v>
      </c>
      <c r="F29" s="378">
        <v>400.0</v>
      </c>
      <c r="G29" s="378">
        <v>400.0</v>
      </c>
      <c r="H29" s="378">
        <v>400.0</v>
      </c>
      <c r="I29" s="378">
        <f t="shared" ref="I29:J29" si="6">H29</f>
        <v>400</v>
      </c>
      <c r="J29" s="378">
        <f t="shared" si="6"/>
        <v>400</v>
      </c>
      <c r="L29" s="121" t="s">
        <v>149</v>
      </c>
      <c r="M29" s="301">
        <v>397.4</v>
      </c>
      <c r="N29" s="399"/>
      <c r="O29" s="400">
        <f>500-397.4</f>
        <v>102.6</v>
      </c>
      <c r="P29" s="401"/>
      <c r="Q29" s="399"/>
      <c r="R29" s="399"/>
      <c r="S29" s="399"/>
      <c r="T29" s="399"/>
    </row>
    <row r="30">
      <c r="B30" s="127" t="s">
        <v>182</v>
      </c>
      <c r="C30" s="128"/>
      <c r="D30" s="378"/>
      <c r="E30" s="378"/>
      <c r="F30" s="378"/>
      <c r="G30" s="378">
        <v>160.0</v>
      </c>
      <c r="H30" s="378">
        <v>160.0</v>
      </c>
      <c r="I30" s="378">
        <v>180.0</v>
      </c>
      <c r="J30" s="378">
        <v>160.0</v>
      </c>
      <c r="L30" s="127" t="s">
        <v>181</v>
      </c>
      <c r="M30" s="398"/>
      <c r="N30" s="399"/>
      <c r="O30" s="400">
        <v>150.0</v>
      </c>
      <c r="P30" s="401"/>
      <c r="Q30" s="399"/>
      <c r="R30" s="399"/>
      <c r="S30" s="399"/>
      <c r="T30" s="399"/>
    </row>
    <row r="31">
      <c r="B31" s="127" t="s">
        <v>183</v>
      </c>
      <c r="C31" s="128"/>
      <c r="D31" s="378">
        <v>400.0</v>
      </c>
      <c r="E31" s="378">
        <v>400.0</v>
      </c>
      <c r="F31" s="378">
        <v>400.0</v>
      </c>
      <c r="G31" s="378">
        <v>400.0</v>
      </c>
      <c r="H31" s="378">
        <v>400.0</v>
      </c>
      <c r="I31" s="378">
        <v>400.0</v>
      </c>
      <c r="J31" s="378">
        <v>400.0</v>
      </c>
      <c r="L31" s="121" t="s">
        <v>150</v>
      </c>
      <c r="M31" s="398"/>
      <c r="N31" s="400">
        <v>400.0</v>
      </c>
      <c r="O31" s="123"/>
      <c r="P31" s="401"/>
      <c r="Q31" s="399"/>
      <c r="R31" s="399"/>
      <c r="S31" s="399"/>
      <c r="T31" s="399"/>
    </row>
    <row r="32">
      <c r="B32" s="121" t="s">
        <v>152</v>
      </c>
      <c r="C32" s="122"/>
      <c r="D32" s="390"/>
      <c r="E32" s="390"/>
      <c r="F32" s="378"/>
      <c r="G32" s="378"/>
      <c r="H32" s="378"/>
      <c r="I32" s="131"/>
      <c r="J32" s="390"/>
      <c r="L32" s="127" t="s">
        <v>182</v>
      </c>
      <c r="M32" s="398"/>
      <c r="N32" s="123"/>
      <c r="O32" s="399"/>
      <c r="P32" s="401"/>
      <c r="Q32" s="399"/>
      <c r="R32" s="404">
        <v>180.0</v>
      </c>
      <c r="S32" s="399"/>
      <c r="T32" s="123"/>
    </row>
    <row r="33">
      <c r="B33" s="121" t="s">
        <v>154</v>
      </c>
      <c r="C33" s="122"/>
      <c r="D33" s="378">
        <v>122.0</v>
      </c>
      <c r="E33" s="378">
        <v>105.46</v>
      </c>
      <c r="F33" s="378">
        <v>105.46</v>
      </c>
      <c r="G33" s="378">
        <v>105.46</v>
      </c>
      <c r="H33" s="378">
        <v>105.46</v>
      </c>
      <c r="I33" s="123">
        <v>136.92</v>
      </c>
      <c r="J33" s="378">
        <v>136.92</v>
      </c>
      <c r="L33" s="127" t="s">
        <v>183</v>
      </c>
      <c r="M33" s="398"/>
      <c r="N33" s="399"/>
      <c r="O33" s="401"/>
      <c r="P33" s="401"/>
      <c r="Q33" s="301"/>
      <c r="R33" s="404">
        <v>400.0</v>
      </c>
      <c r="S33" s="399"/>
      <c r="T33" s="399"/>
    </row>
    <row r="34">
      <c r="B34" s="121" t="s">
        <v>155</v>
      </c>
      <c r="C34" s="122"/>
      <c r="D34" s="390"/>
      <c r="E34" s="390"/>
      <c r="F34" s="390"/>
      <c r="G34" s="390"/>
      <c r="H34" s="390"/>
      <c r="I34" s="123" t="str">
        <f t="shared" ref="I34:J34" si="7">H34</f>
        <v/>
      </c>
      <c r="J34" s="378" t="str">
        <f t="shared" si="7"/>
        <v/>
      </c>
      <c r="L34" s="121" t="s">
        <v>152</v>
      </c>
      <c r="M34" s="131"/>
      <c r="N34" s="123"/>
      <c r="O34" s="405"/>
      <c r="P34" s="403"/>
      <c r="Q34" s="399"/>
      <c r="R34" s="27"/>
      <c r="S34" s="399"/>
      <c r="T34" s="399"/>
    </row>
    <row r="35">
      <c r="B35" s="121" t="s">
        <v>156</v>
      </c>
      <c r="C35" s="122"/>
      <c r="D35" s="378">
        <v>150.0</v>
      </c>
      <c r="E35" s="378">
        <v>150.0</v>
      </c>
      <c r="F35" s="378"/>
      <c r="G35" s="378">
        <v>150.0</v>
      </c>
      <c r="H35" s="378">
        <f>400+400+150</f>
        <v>950</v>
      </c>
      <c r="I35" s="123">
        <v>800.0</v>
      </c>
      <c r="J35" s="378">
        <v>800.0</v>
      </c>
      <c r="L35" s="121" t="s">
        <v>154</v>
      </c>
      <c r="M35" s="123">
        <f>136.92-13</f>
        <v>123.92</v>
      </c>
      <c r="N35" s="123">
        <v>13.0</v>
      </c>
      <c r="O35" s="405"/>
      <c r="P35" s="401"/>
      <c r="Q35" s="399"/>
      <c r="R35" s="378"/>
      <c r="S35" s="399"/>
      <c r="T35" s="399"/>
      <c r="U35" s="32"/>
    </row>
    <row r="36">
      <c r="B36" s="121" t="s">
        <v>157</v>
      </c>
      <c r="C36" s="122"/>
      <c r="D36" s="378">
        <v>50.0</v>
      </c>
      <c r="E36" s="378">
        <v>50.0</v>
      </c>
      <c r="F36" s="378">
        <v>50.0</v>
      </c>
      <c r="G36" s="378">
        <v>50.0</v>
      </c>
      <c r="H36" s="378">
        <f t="shared" ref="H36:J36" si="8">G36</f>
        <v>50</v>
      </c>
      <c r="I36" s="123">
        <f t="shared" si="8"/>
        <v>50</v>
      </c>
      <c r="J36" s="378">
        <f t="shared" si="8"/>
        <v>50</v>
      </c>
      <c r="L36" s="121" t="s">
        <v>155</v>
      </c>
      <c r="M36" s="123"/>
      <c r="N36" s="123"/>
      <c r="O36" s="405"/>
      <c r="P36" s="401"/>
      <c r="Q36" s="301"/>
      <c r="R36" s="27"/>
      <c r="S36" s="399"/>
      <c r="T36" s="123"/>
      <c r="V36" s="18"/>
    </row>
    <row r="37">
      <c r="B37" s="121" t="s">
        <v>158</v>
      </c>
      <c r="C37" s="122"/>
      <c r="D37" s="390"/>
      <c r="E37" s="390"/>
      <c r="F37" s="390"/>
      <c r="G37" s="390"/>
      <c r="H37" s="378" t="str">
        <f t="shared" ref="H37:J37" si="9">G37</f>
        <v/>
      </c>
      <c r="I37" s="123" t="str">
        <f t="shared" si="9"/>
        <v/>
      </c>
      <c r="J37" s="378" t="str">
        <f t="shared" si="9"/>
        <v/>
      </c>
      <c r="L37" s="121" t="s">
        <v>156</v>
      </c>
      <c r="M37" s="400">
        <v>400.0</v>
      </c>
      <c r="N37" s="123"/>
      <c r="O37" s="401"/>
      <c r="P37" s="401"/>
      <c r="Q37" s="301"/>
      <c r="R37" s="378">
        <v>400.0</v>
      </c>
      <c r="S37" s="399"/>
      <c r="T37" s="399"/>
      <c r="V37" s="18"/>
    </row>
    <row r="38">
      <c r="B38" s="121" t="s">
        <v>159</v>
      </c>
      <c r="C38" s="122"/>
      <c r="D38" s="378">
        <f t="shared" ref="D38:E38" si="10">400+400+150</f>
        <v>950</v>
      </c>
      <c r="E38" s="378">
        <f t="shared" si="10"/>
        <v>950</v>
      </c>
      <c r="F38" s="378">
        <v>950.0</v>
      </c>
      <c r="G38" s="378">
        <v>950.0</v>
      </c>
      <c r="H38" s="378">
        <f t="shared" ref="H38:J38" si="11">400+400+150</f>
        <v>950</v>
      </c>
      <c r="I38" s="123">
        <f t="shared" si="11"/>
        <v>950</v>
      </c>
      <c r="J38" s="378">
        <f t="shared" si="11"/>
        <v>950</v>
      </c>
      <c r="L38" s="121" t="s">
        <v>157</v>
      </c>
      <c r="M38" s="398"/>
      <c r="N38" s="123"/>
      <c r="O38" s="401"/>
      <c r="P38" s="401"/>
      <c r="Q38" s="301"/>
      <c r="R38" s="399"/>
      <c r="S38" s="399"/>
      <c r="T38" s="404">
        <v>50.0</v>
      </c>
    </row>
    <row r="39">
      <c r="B39" s="121" t="s">
        <v>160</v>
      </c>
      <c r="C39" s="122"/>
      <c r="D39" s="378">
        <v>3000.0</v>
      </c>
      <c r="E39" s="378">
        <v>3000.0</v>
      </c>
      <c r="F39" s="378">
        <v>3000.0</v>
      </c>
      <c r="G39" s="378">
        <v>3000.0</v>
      </c>
      <c r="H39" s="378">
        <f t="shared" ref="H39:J39" si="12">G39</f>
        <v>3000</v>
      </c>
      <c r="I39" s="123">
        <f t="shared" si="12"/>
        <v>3000</v>
      </c>
      <c r="J39" s="378">
        <f t="shared" si="12"/>
        <v>3000</v>
      </c>
      <c r="L39" s="121" t="s">
        <v>158</v>
      </c>
      <c r="M39" s="123"/>
      <c r="N39" s="123"/>
      <c r="O39" s="399"/>
      <c r="P39" s="123"/>
      <c r="Q39" s="399"/>
      <c r="R39" s="399"/>
      <c r="S39" s="399"/>
      <c r="T39" s="399"/>
    </row>
    <row r="40">
      <c r="B40" s="127" t="s">
        <v>184</v>
      </c>
      <c r="C40" s="128"/>
      <c r="D40" s="377">
        <v>1087.8499999999985</v>
      </c>
      <c r="E40" s="378">
        <v>700.0</v>
      </c>
      <c r="F40" s="378">
        <v>700.0</v>
      </c>
      <c r="G40" s="378">
        <v>700.0</v>
      </c>
      <c r="H40" s="378">
        <v>700.0</v>
      </c>
      <c r="I40" s="123">
        <v>700.0</v>
      </c>
      <c r="J40" s="378">
        <v>700.0</v>
      </c>
      <c r="L40" s="121" t="s">
        <v>159</v>
      </c>
      <c r="M40" s="123">
        <v>400.0</v>
      </c>
      <c r="N40" s="378">
        <v>550.0</v>
      </c>
      <c r="O40" s="399"/>
      <c r="P40" s="399"/>
      <c r="Q40" s="123"/>
      <c r="R40" s="399"/>
      <c r="S40" s="399"/>
      <c r="T40" s="399"/>
    </row>
    <row r="41">
      <c r="B41" s="127" t="s">
        <v>3</v>
      </c>
      <c r="C41" s="128"/>
      <c r="D41" s="378">
        <v>500.0</v>
      </c>
      <c r="E41" s="378">
        <v>500.0</v>
      </c>
      <c r="F41" s="378">
        <v>500.0</v>
      </c>
      <c r="G41" s="378">
        <v>500.0</v>
      </c>
      <c r="H41" s="378">
        <v>500.0</v>
      </c>
      <c r="I41" s="123">
        <v>500.0</v>
      </c>
      <c r="J41" s="378">
        <v>500.0</v>
      </c>
      <c r="L41" s="121" t="s">
        <v>160</v>
      </c>
      <c r="M41" s="123">
        <v>1500.0</v>
      </c>
      <c r="N41" s="123">
        <v>1500.0</v>
      </c>
      <c r="O41" s="399"/>
      <c r="P41" s="399"/>
      <c r="Q41" s="399"/>
      <c r="R41" s="399"/>
      <c r="S41" s="301"/>
      <c r="T41" s="399"/>
    </row>
    <row r="42">
      <c r="B42" s="67" t="s">
        <v>161</v>
      </c>
      <c r="C42" s="68"/>
      <c r="D42" s="132">
        <f t="shared" ref="D42:J42" si="13">SUM(D19:D41)*-1</f>
        <v>-12034.7</v>
      </c>
      <c r="E42" s="132">
        <f t="shared" si="13"/>
        <v>-11130.31</v>
      </c>
      <c r="F42" s="132">
        <f t="shared" si="13"/>
        <v>-10985.11</v>
      </c>
      <c r="G42" s="132">
        <f t="shared" si="13"/>
        <v>-10844.76</v>
      </c>
      <c r="H42" s="132">
        <f t="shared" si="13"/>
        <v>-12590.16</v>
      </c>
      <c r="I42" s="132">
        <f t="shared" si="13"/>
        <v>-12494.82</v>
      </c>
      <c r="J42" s="132">
        <f t="shared" si="13"/>
        <v>-12504.97</v>
      </c>
      <c r="L42" s="127" t="s">
        <v>184</v>
      </c>
      <c r="M42" s="398"/>
      <c r="N42" s="398"/>
      <c r="O42" s="398"/>
      <c r="P42" s="404">
        <v>700.0</v>
      </c>
      <c r="Q42" s="398"/>
      <c r="R42" s="398"/>
      <c r="S42" s="398"/>
      <c r="T42" s="398"/>
    </row>
    <row r="43">
      <c r="L43" s="127" t="s">
        <v>3</v>
      </c>
      <c r="M43" s="398"/>
      <c r="N43" s="398"/>
      <c r="O43" s="398"/>
      <c r="P43" s="398"/>
      <c r="Q43" s="404">
        <v>500.0</v>
      </c>
      <c r="R43" s="398"/>
      <c r="S43" s="399"/>
      <c r="T43" s="398"/>
    </row>
    <row r="44">
      <c r="B44" s="80" t="s">
        <v>162</v>
      </c>
      <c r="C44" s="81"/>
      <c r="D44" s="82">
        <f t="shared" ref="D44:J44" si="14">D16+D42</f>
        <v>1557.38</v>
      </c>
      <c r="E44" s="82">
        <f t="shared" si="14"/>
        <v>2733.61</v>
      </c>
      <c r="F44" s="82">
        <f t="shared" si="14"/>
        <v>3138.81</v>
      </c>
      <c r="G44" s="82">
        <f t="shared" si="14"/>
        <v>3295.36</v>
      </c>
      <c r="H44" s="82">
        <f t="shared" si="14"/>
        <v>1561.97</v>
      </c>
      <c r="I44" s="82">
        <f t="shared" si="14"/>
        <v>12253.51</v>
      </c>
      <c r="J44" s="82">
        <f t="shared" si="14"/>
        <v>1541.39</v>
      </c>
      <c r="L44" s="18" t="s">
        <v>317</v>
      </c>
      <c r="M44" s="301">
        <v>1000.0</v>
      </c>
      <c r="N44" s="301">
        <v>1000.0</v>
      </c>
      <c r="O44" s="398"/>
      <c r="P44" s="398"/>
      <c r="Q44" s="123"/>
      <c r="R44" s="398"/>
      <c r="S44" s="124"/>
      <c r="T44" s="398"/>
    </row>
    <row r="45">
      <c r="B45" s="83"/>
      <c r="C45" s="83"/>
      <c r="D45" s="84"/>
      <c r="E45" s="84"/>
      <c r="F45" s="84"/>
      <c r="G45" s="84"/>
      <c r="H45" s="84"/>
      <c r="I45" s="84"/>
      <c r="J45" s="84"/>
      <c r="L45" s="7" t="s">
        <v>26</v>
      </c>
      <c r="M45" s="325">
        <f t="shared" ref="M45:T45" si="15">SUM(M21:M44)</f>
        <v>7026.12</v>
      </c>
      <c r="N45" s="325">
        <f t="shared" si="15"/>
        <v>3663</v>
      </c>
      <c r="O45" s="373">
        <f t="shared" si="15"/>
        <v>1492.6</v>
      </c>
      <c r="P45" s="325">
        <f t="shared" si="15"/>
        <v>700</v>
      </c>
      <c r="Q45" s="325">
        <f t="shared" si="15"/>
        <v>500</v>
      </c>
      <c r="R45" s="325">
        <f t="shared" si="15"/>
        <v>980</v>
      </c>
      <c r="S45" s="325">
        <f t="shared" si="15"/>
        <v>0</v>
      </c>
      <c r="T45" s="325">
        <f t="shared" si="15"/>
        <v>50</v>
      </c>
    </row>
    <row r="46">
      <c r="B46" s="85" t="s">
        <v>163</v>
      </c>
      <c r="C46" s="86"/>
      <c r="D46" s="57" t="s">
        <v>123</v>
      </c>
      <c r="E46" s="57" t="s">
        <v>124</v>
      </c>
      <c r="F46" s="57" t="s">
        <v>125</v>
      </c>
      <c r="G46" s="57" t="s">
        <v>126</v>
      </c>
      <c r="H46" s="57" t="s">
        <v>126</v>
      </c>
      <c r="I46" s="57" t="s">
        <v>128</v>
      </c>
      <c r="J46" s="57" t="s">
        <v>128</v>
      </c>
      <c r="L46" s="107" t="s">
        <v>371</v>
      </c>
      <c r="M46" s="391">
        <f>(I12+6417.54)-M45</f>
        <v>7793.67</v>
      </c>
      <c r="N46" s="386"/>
      <c r="O46" s="287"/>
    </row>
    <row r="47">
      <c r="B47" s="87" t="s">
        <v>185</v>
      </c>
      <c r="C47" s="88"/>
      <c r="D47" s="89"/>
      <c r="E47" s="89"/>
      <c r="F47" s="89"/>
      <c r="G47" s="134">
        <v>512.46</v>
      </c>
      <c r="H47" s="134">
        <v>512.46</v>
      </c>
      <c r="I47" s="134">
        <v>512.46</v>
      </c>
      <c r="J47" s="134">
        <v>512.38</v>
      </c>
      <c r="L47" s="325" t="s">
        <v>353</v>
      </c>
      <c r="O47" s="404">
        <f>2732.29-O45</f>
        <v>1239.69</v>
      </c>
      <c r="Q47" s="12">
        <f>2160-700</f>
        <v>1460</v>
      </c>
    </row>
    <row r="48">
      <c r="A48" s="298">
        <v>45020.0</v>
      </c>
      <c r="B48" s="87" t="s">
        <v>58</v>
      </c>
      <c r="C48" s="88"/>
      <c r="D48" s="91"/>
      <c r="E48" s="91"/>
      <c r="F48" s="91"/>
      <c r="G48" s="91"/>
      <c r="H48" s="91"/>
      <c r="I48" s="135"/>
      <c r="J48" s="135">
        <v>1000.0</v>
      </c>
      <c r="L48" s="107"/>
    </row>
    <row r="49">
      <c r="B49" s="87"/>
      <c r="C49" s="88"/>
      <c r="D49" s="91"/>
      <c r="E49" s="91"/>
      <c r="F49" s="91"/>
      <c r="G49" s="91"/>
      <c r="H49" s="91"/>
      <c r="I49" s="91"/>
      <c r="J49" s="91"/>
      <c r="L49" s="107"/>
    </row>
    <row r="50">
      <c r="B50" s="92"/>
      <c r="C50" s="93"/>
      <c r="D50" s="94"/>
      <c r="E50" s="94"/>
      <c r="F50" s="94"/>
      <c r="G50" s="94"/>
      <c r="H50" s="94"/>
      <c r="I50" s="94"/>
      <c r="J50" s="94"/>
      <c r="L50" s="107"/>
      <c r="P50" s="387"/>
      <c r="S50" s="387"/>
    </row>
    <row r="51">
      <c r="B51" s="67" t="s">
        <v>167</v>
      </c>
      <c r="C51" s="95">
        <f>SUM(C47:C50)</f>
        <v>0</v>
      </c>
      <c r="D51" s="78">
        <f t="shared" ref="D51:J51" si="16">SUM(D47:D50)*-1</f>
        <v>0</v>
      </c>
      <c r="E51" s="78">
        <f t="shared" si="16"/>
        <v>0</v>
      </c>
      <c r="F51" s="78">
        <f t="shared" si="16"/>
        <v>0</v>
      </c>
      <c r="G51" s="78">
        <f t="shared" si="16"/>
        <v>-512.46</v>
      </c>
      <c r="H51" s="78">
        <f t="shared" si="16"/>
        <v>-512.46</v>
      </c>
      <c r="I51" s="78">
        <f t="shared" si="16"/>
        <v>-512.46</v>
      </c>
      <c r="J51" s="78">
        <f t="shared" si="16"/>
        <v>-1512.38</v>
      </c>
      <c r="L51" s="394" t="s">
        <v>48</v>
      </c>
      <c r="M51" s="395"/>
      <c r="N51" s="389" t="s">
        <v>370</v>
      </c>
      <c r="O51" s="389"/>
    </row>
    <row r="52">
      <c r="B52" s="83"/>
      <c r="C52" s="83"/>
      <c r="D52" s="96"/>
      <c r="E52" s="96"/>
      <c r="F52" s="96"/>
      <c r="G52" s="96"/>
      <c r="H52" s="96"/>
      <c r="I52" s="96"/>
      <c r="J52" s="96"/>
      <c r="L52" s="107"/>
    </row>
    <row r="53">
      <c r="B53" s="97" t="s">
        <v>168</v>
      </c>
      <c r="C53" s="98"/>
      <c r="D53" s="99">
        <f t="shared" ref="D53:J53" si="17">D44+D51</f>
        <v>1557.38</v>
      </c>
      <c r="E53" s="99">
        <f t="shared" si="17"/>
        <v>2733.61</v>
      </c>
      <c r="F53" s="99">
        <f t="shared" si="17"/>
        <v>3138.81</v>
      </c>
      <c r="G53" s="99">
        <f t="shared" si="17"/>
        <v>2782.9</v>
      </c>
      <c r="H53" s="99">
        <f t="shared" si="17"/>
        <v>1049.51</v>
      </c>
      <c r="I53" s="99">
        <f t="shared" si="17"/>
        <v>11741.05</v>
      </c>
      <c r="J53" s="99">
        <f t="shared" si="17"/>
        <v>29.01</v>
      </c>
      <c r="L53" s="107"/>
      <c r="M53" s="107"/>
    </row>
    <row r="54">
      <c r="B54" s="83"/>
      <c r="C54" s="83"/>
      <c r="D54" s="96"/>
      <c r="E54" s="96"/>
      <c r="F54" s="96"/>
      <c r="G54" s="96"/>
      <c r="H54" s="96"/>
      <c r="I54" s="96"/>
      <c r="J54" s="96"/>
      <c r="L54" s="107"/>
      <c r="M54" s="18"/>
    </row>
    <row r="55">
      <c r="B55" s="100" t="s">
        <v>169</v>
      </c>
      <c r="C55" s="101"/>
      <c r="D55" s="57" t="s">
        <v>123</v>
      </c>
      <c r="E55" s="57" t="s">
        <v>124</v>
      </c>
      <c r="F55" s="57" t="s">
        <v>125</v>
      </c>
      <c r="G55" s="57" t="s">
        <v>125</v>
      </c>
      <c r="H55" s="57" t="s">
        <v>125</v>
      </c>
      <c r="I55" s="57" t="s">
        <v>128</v>
      </c>
      <c r="J55" s="57" t="s">
        <v>128</v>
      </c>
      <c r="L55" s="107"/>
      <c r="M55" s="18"/>
    </row>
    <row r="56">
      <c r="B56" s="102" t="s">
        <v>170</v>
      </c>
      <c r="C56" s="103"/>
      <c r="D56" s="104"/>
      <c r="E56" s="105">
        <v>0.0</v>
      </c>
      <c r="F56" s="105"/>
      <c r="G56" s="105"/>
      <c r="H56" s="105"/>
      <c r="I56" s="105"/>
      <c r="J56" s="105">
        <f>I58</f>
        <v>11741.05</v>
      </c>
      <c r="L56" s="27"/>
    </row>
    <row r="57">
      <c r="B57" s="102" t="s">
        <v>171</v>
      </c>
      <c r="C57" s="103"/>
      <c r="D57" s="106">
        <f>+D53</f>
        <v>1557.38</v>
      </c>
      <c r="E57" s="106">
        <v>1572.02</v>
      </c>
      <c r="F57" s="106">
        <f t="shared" ref="F57:J57" si="18">+F53</f>
        <v>3138.81</v>
      </c>
      <c r="G57" s="106">
        <f t="shared" si="18"/>
        <v>2782.9</v>
      </c>
      <c r="H57" s="106">
        <f t="shared" si="18"/>
        <v>1049.51</v>
      </c>
      <c r="I57" s="106">
        <f t="shared" si="18"/>
        <v>11741.05</v>
      </c>
      <c r="J57" s="106">
        <f t="shared" si="18"/>
        <v>29.01</v>
      </c>
      <c r="L57" s="27"/>
    </row>
    <row r="58">
      <c r="B58" s="67" t="s">
        <v>173</v>
      </c>
      <c r="C58" s="68"/>
      <c r="D58" s="95">
        <f t="shared" ref="D58:J58" si="19">SUM(D56:D57)</f>
        <v>1557.38</v>
      </c>
      <c r="E58" s="95">
        <f t="shared" si="19"/>
        <v>1572.02</v>
      </c>
      <c r="F58" s="95">
        <f t="shared" si="19"/>
        <v>3138.81</v>
      </c>
      <c r="G58" s="95">
        <f t="shared" si="19"/>
        <v>2782.9</v>
      </c>
      <c r="H58" s="95">
        <f t="shared" si="19"/>
        <v>1049.51</v>
      </c>
      <c r="I58" s="95">
        <f t="shared" si="19"/>
        <v>11741.05</v>
      </c>
      <c r="J58" s="95">
        <f t="shared" si="19"/>
        <v>11770.06</v>
      </c>
      <c r="L58" s="27"/>
    </row>
    <row r="59">
      <c r="D59" s="362"/>
      <c r="E59" s="362"/>
      <c r="L59" s="27"/>
    </row>
    <row r="60">
      <c r="I60" s="18">
        <v>1239.94</v>
      </c>
      <c r="L60" s="27"/>
    </row>
    <row r="61">
      <c r="L61" s="27"/>
    </row>
    <row r="62">
      <c r="L62" s="27"/>
    </row>
    <row r="63">
      <c r="L63" s="27"/>
    </row>
    <row r="64">
      <c r="L64" s="27"/>
    </row>
    <row r="65">
      <c r="L65" s="27"/>
    </row>
    <row r="66">
      <c r="L66" s="27"/>
    </row>
    <row r="67">
      <c r="L67" s="27"/>
    </row>
    <row r="68">
      <c r="L68" s="27"/>
    </row>
    <row r="69">
      <c r="L69" s="27"/>
    </row>
    <row r="70">
      <c r="L70" s="27"/>
    </row>
    <row r="71">
      <c r="L71" s="27"/>
    </row>
    <row r="72">
      <c r="L72" s="27"/>
    </row>
    <row r="73">
      <c r="L73" s="27"/>
    </row>
    <row r="74">
      <c r="L74" s="27"/>
    </row>
    <row r="75">
      <c r="L75" s="27"/>
    </row>
    <row r="76">
      <c r="L76" s="27"/>
    </row>
    <row r="77">
      <c r="L77" s="27"/>
    </row>
    <row r="78">
      <c r="L78" s="27"/>
    </row>
    <row r="79">
      <c r="L79" s="27"/>
    </row>
    <row r="80">
      <c r="L80" s="27"/>
    </row>
    <row r="81">
      <c r="L81" s="27"/>
    </row>
    <row r="82">
      <c r="L82" s="27"/>
    </row>
    <row r="83">
      <c r="L83" s="27"/>
    </row>
    <row r="84">
      <c r="L84" s="27"/>
    </row>
    <row r="85">
      <c r="L85" s="27"/>
    </row>
    <row r="86">
      <c r="L86" s="27"/>
    </row>
    <row r="87">
      <c r="L87" s="27"/>
    </row>
    <row r="88">
      <c r="L88" s="27"/>
    </row>
    <row r="89">
      <c r="L89" s="27"/>
    </row>
    <row r="90">
      <c r="L90" s="27"/>
    </row>
    <row r="91">
      <c r="L91" s="27"/>
    </row>
    <row r="92">
      <c r="L92" s="27"/>
    </row>
    <row r="93">
      <c r="L93" s="27"/>
    </row>
    <row r="94">
      <c r="L94" s="27"/>
    </row>
    <row r="95">
      <c r="L95" s="27"/>
    </row>
    <row r="96">
      <c r="L96" s="27"/>
    </row>
    <row r="97">
      <c r="L97" s="27"/>
    </row>
    <row r="98">
      <c r="L98" s="27"/>
    </row>
    <row r="99">
      <c r="L99" s="27"/>
    </row>
    <row r="100">
      <c r="L100" s="27"/>
    </row>
    <row r="101">
      <c r="L101" s="27"/>
    </row>
    <row r="102">
      <c r="L102" s="27"/>
    </row>
    <row r="103">
      <c r="L103" s="27"/>
    </row>
    <row r="104">
      <c r="L104" s="27"/>
    </row>
    <row r="105">
      <c r="L105" s="27"/>
    </row>
    <row r="106">
      <c r="L106" s="27"/>
    </row>
    <row r="107">
      <c r="L107" s="27"/>
    </row>
    <row r="108">
      <c r="L108" s="27"/>
    </row>
    <row r="109">
      <c r="L109" s="27"/>
    </row>
    <row r="110">
      <c r="L110" s="27"/>
    </row>
    <row r="111">
      <c r="L111" s="27"/>
    </row>
    <row r="112">
      <c r="L112" s="27"/>
    </row>
    <row r="113">
      <c r="L113" s="27"/>
    </row>
    <row r="114">
      <c r="L114" s="27"/>
    </row>
    <row r="115">
      <c r="L115" s="27"/>
    </row>
    <row r="116">
      <c r="L116" s="27"/>
    </row>
    <row r="117">
      <c r="L117" s="27"/>
    </row>
    <row r="118">
      <c r="L118" s="27"/>
    </row>
    <row r="119">
      <c r="L119" s="27"/>
    </row>
    <row r="120">
      <c r="L120" s="27"/>
    </row>
    <row r="121">
      <c r="L121" s="27"/>
    </row>
    <row r="122">
      <c r="L122" s="27"/>
    </row>
    <row r="123">
      <c r="L123" s="27"/>
    </row>
    <row r="124">
      <c r="L124" s="27"/>
    </row>
    <row r="125">
      <c r="L125" s="27"/>
    </row>
    <row r="126">
      <c r="L126" s="27"/>
    </row>
    <row r="127">
      <c r="L127" s="27"/>
    </row>
    <row r="128">
      <c r="L128" s="27"/>
    </row>
    <row r="129">
      <c r="L129" s="27"/>
    </row>
    <row r="130">
      <c r="L130" s="27"/>
    </row>
    <row r="131">
      <c r="L131" s="27"/>
    </row>
    <row r="132">
      <c r="L132" s="27"/>
    </row>
    <row r="133">
      <c r="L133" s="27"/>
    </row>
    <row r="134">
      <c r="L134" s="27"/>
    </row>
    <row r="135">
      <c r="L135" s="27"/>
    </row>
    <row r="136">
      <c r="L136" s="27"/>
    </row>
    <row r="137">
      <c r="L137" s="27"/>
    </row>
    <row r="138">
      <c r="L138" s="27"/>
    </row>
    <row r="139">
      <c r="L139" s="27"/>
    </row>
    <row r="140">
      <c r="L140" s="27"/>
    </row>
    <row r="141">
      <c r="L141" s="27"/>
    </row>
    <row r="142">
      <c r="L142" s="27"/>
    </row>
    <row r="143">
      <c r="L143" s="27"/>
    </row>
    <row r="144">
      <c r="L144" s="27"/>
    </row>
    <row r="145">
      <c r="L145" s="27"/>
    </row>
    <row r="146">
      <c r="L146" s="27"/>
    </row>
    <row r="147">
      <c r="L147" s="27"/>
    </row>
    <row r="148">
      <c r="L148" s="27"/>
    </row>
    <row r="149">
      <c r="L149" s="27"/>
    </row>
    <row r="150">
      <c r="L150" s="27"/>
    </row>
    <row r="151">
      <c r="L151" s="27"/>
    </row>
    <row r="152">
      <c r="L152" s="27"/>
    </row>
    <row r="153">
      <c r="L153" s="27"/>
    </row>
    <row r="154">
      <c r="L154" s="27"/>
    </row>
    <row r="155">
      <c r="L155" s="27"/>
    </row>
    <row r="156">
      <c r="L156" s="27"/>
    </row>
    <row r="157">
      <c r="L157" s="27"/>
    </row>
    <row r="158">
      <c r="L158" s="27"/>
    </row>
    <row r="159">
      <c r="L159" s="27"/>
    </row>
    <row r="160">
      <c r="L160" s="27"/>
    </row>
    <row r="161">
      <c r="L161" s="27"/>
    </row>
    <row r="162">
      <c r="L162" s="27"/>
    </row>
    <row r="163">
      <c r="L163" s="27"/>
    </row>
    <row r="164">
      <c r="L164" s="27"/>
    </row>
    <row r="165">
      <c r="L165" s="27"/>
    </row>
    <row r="166">
      <c r="L166" s="27"/>
    </row>
    <row r="167">
      <c r="L167" s="27"/>
    </row>
    <row r="168">
      <c r="L168" s="27"/>
    </row>
    <row r="169">
      <c r="L169" s="27"/>
    </row>
    <row r="170">
      <c r="L170" s="27"/>
    </row>
    <row r="171">
      <c r="L171" s="27"/>
    </row>
    <row r="172">
      <c r="L172" s="27"/>
    </row>
    <row r="173">
      <c r="L173" s="27"/>
    </row>
    <row r="174">
      <c r="L174" s="27"/>
    </row>
    <row r="175">
      <c r="L175" s="27"/>
    </row>
    <row r="176">
      <c r="L176" s="27"/>
    </row>
    <row r="177">
      <c r="L177" s="27"/>
    </row>
    <row r="178">
      <c r="L178" s="27"/>
    </row>
    <row r="179">
      <c r="L179" s="27"/>
    </row>
    <row r="180">
      <c r="L180" s="27"/>
    </row>
    <row r="181">
      <c r="L181" s="27"/>
    </row>
    <row r="182">
      <c r="L182" s="27"/>
    </row>
    <row r="183">
      <c r="L183" s="27"/>
    </row>
    <row r="184">
      <c r="L184" s="27"/>
    </row>
    <row r="185">
      <c r="L185" s="27"/>
    </row>
    <row r="186">
      <c r="L186" s="27"/>
    </row>
    <row r="187">
      <c r="L187" s="27"/>
    </row>
    <row r="188">
      <c r="L188" s="27"/>
    </row>
    <row r="189">
      <c r="L189" s="27"/>
    </row>
    <row r="190">
      <c r="L190" s="27"/>
    </row>
    <row r="191">
      <c r="L191" s="27"/>
    </row>
    <row r="192">
      <c r="L192" s="27"/>
    </row>
    <row r="193">
      <c r="L193" s="27"/>
    </row>
    <row r="194">
      <c r="L194" s="27"/>
    </row>
    <row r="195">
      <c r="L195" s="27"/>
    </row>
    <row r="196">
      <c r="L196" s="27"/>
    </row>
    <row r="197">
      <c r="L197" s="27"/>
    </row>
    <row r="198">
      <c r="L198" s="27"/>
    </row>
    <row r="199">
      <c r="L199" s="27"/>
    </row>
    <row r="200">
      <c r="L200" s="27"/>
    </row>
    <row r="201">
      <c r="L201" s="27"/>
    </row>
    <row r="202">
      <c r="L202" s="27"/>
    </row>
    <row r="203">
      <c r="L203" s="27"/>
    </row>
    <row r="204">
      <c r="L204" s="27"/>
    </row>
    <row r="205">
      <c r="L205" s="27"/>
    </row>
    <row r="206">
      <c r="L206" s="27"/>
    </row>
    <row r="207">
      <c r="L207" s="27"/>
    </row>
    <row r="208">
      <c r="L208" s="27"/>
    </row>
    <row r="209">
      <c r="L209" s="27"/>
    </row>
    <row r="210">
      <c r="L210" s="27"/>
    </row>
    <row r="211">
      <c r="L211" s="27"/>
    </row>
    <row r="212">
      <c r="L212" s="27"/>
    </row>
    <row r="213">
      <c r="L213" s="27"/>
    </row>
    <row r="214">
      <c r="L214" s="27"/>
    </row>
    <row r="215">
      <c r="L215" s="27"/>
    </row>
    <row r="216">
      <c r="L216" s="27"/>
    </row>
    <row r="217">
      <c r="L217" s="27"/>
    </row>
    <row r="218">
      <c r="L218" s="27"/>
    </row>
    <row r="219">
      <c r="L219" s="27"/>
    </row>
    <row r="220">
      <c r="L220" s="27"/>
    </row>
    <row r="221">
      <c r="L221" s="27"/>
    </row>
    <row r="222">
      <c r="L222" s="27"/>
    </row>
    <row r="223">
      <c r="L223" s="27"/>
    </row>
    <row r="224">
      <c r="L224" s="27"/>
    </row>
    <row r="225">
      <c r="L225" s="27"/>
    </row>
    <row r="226">
      <c r="L226" s="27"/>
    </row>
    <row r="227">
      <c r="L227" s="27"/>
    </row>
    <row r="228">
      <c r="L228" s="27"/>
    </row>
    <row r="229">
      <c r="L229" s="27"/>
    </row>
    <row r="230">
      <c r="L230" s="27"/>
    </row>
    <row r="231">
      <c r="L231" s="27"/>
    </row>
    <row r="232">
      <c r="L232" s="27"/>
    </row>
    <row r="233">
      <c r="L233" s="27"/>
    </row>
    <row r="234">
      <c r="L234" s="27"/>
    </row>
    <row r="235">
      <c r="L235" s="27"/>
    </row>
    <row r="236">
      <c r="L236" s="27"/>
    </row>
    <row r="237">
      <c r="L237" s="27"/>
    </row>
    <row r="238">
      <c r="L238" s="27"/>
    </row>
    <row r="239">
      <c r="L239" s="27"/>
    </row>
    <row r="240">
      <c r="L240" s="27"/>
    </row>
    <row r="241">
      <c r="L241" s="27"/>
    </row>
    <row r="242">
      <c r="L242" s="27"/>
    </row>
    <row r="243">
      <c r="L243" s="27"/>
    </row>
    <row r="244">
      <c r="L244" s="27"/>
    </row>
    <row r="245">
      <c r="L245" s="27"/>
    </row>
    <row r="246">
      <c r="L246" s="27"/>
    </row>
    <row r="247">
      <c r="L247" s="27"/>
    </row>
    <row r="248">
      <c r="L248" s="27"/>
    </row>
    <row r="249">
      <c r="L249" s="27"/>
    </row>
    <row r="250">
      <c r="L250" s="27"/>
    </row>
    <row r="251">
      <c r="L251" s="27"/>
    </row>
    <row r="252">
      <c r="L252" s="27"/>
    </row>
    <row r="253">
      <c r="L253" s="27"/>
    </row>
    <row r="254">
      <c r="L254" s="27"/>
    </row>
    <row r="255">
      <c r="L255" s="27"/>
    </row>
    <row r="256">
      <c r="L256" s="27"/>
    </row>
    <row r="257">
      <c r="L257" s="27"/>
    </row>
    <row r="258">
      <c r="L258" s="27"/>
    </row>
    <row r="259">
      <c r="L259" s="27"/>
    </row>
    <row r="260">
      <c r="L260" s="27"/>
    </row>
    <row r="261">
      <c r="L261" s="27"/>
    </row>
    <row r="262">
      <c r="L262" s="27"/>
    </row>
    <row r="263">
      <c r="L263" s="27"/>
    </row>
    <row r="264">
      <c r="L264" s="27"/>
    </row>
    <row r="265">
      <c r="L265" s="27"/>
    </row>
    <row r="266">
      <c r="L266" s="27"/>
    </row>
    <row r="267">
      <c r="L267" s="27"/>
    </row>
    <row r="268">
      <c r="L268" s="27"/>
    </row>
    <row r="269">
      <c r="L269" s="27"/>
    </row>
    <row r="270">
      <c r="L270" s="27"/>
    </row>
    <row r="271">
      <c r="L271" s="27"/>
    </row>
    <row r="272">
      <c r="L272" s="27"/>
    </row>
    <row r="273">
      <c r="L273" s="27"/>
    </row>
    <row r="274">
      <c r="L274" s="27"/>
    </row>
    <row r="275">
      <c r="L275" s="27"/>
    </row>
    <row r="276">
      <c r="L276" s="27"/>
    </row>
    <row r="277">
      <c r="L277" s="27"/>
    </row>
    <row r="278">
      <c r="L278" s="27"/>
    </row>
    <row r="279">
      <c r="L279" s="27"/>
    </row>
    <row r="280">
      <c r="L280" s="27"/>
    </row>
    <row r="281">
      <c r="L281" s="27"/>
    </row>
    <row r="282">
      <c r="L282" s="27"/>
    </row>
    <row r="283">
      <c r="L283" s="27"/>
    </row>
    <row r="284">
      <c r="L284" s="27"/>
    </row>
    <row r="285">
      <c r="L285" s="27"/>
    </row>
    <row r="286">
      <c r="L286" s="27"/>
    </row>
    <row r="287">
      <c r="L287" s="27"/>
    </row>
    <row r="288">
      <c r="L288" s="27"/>
    </row>
    <row r="289">
      <c r="L289" s="27"/>
    </row>
    <row r="290">
      <c r="L290" s="27"/>
    </row>
    <row r="291">
      <c r="L291" s="27"/>
    </row>
    <row r="292">
      <c r="L292" s="27"/>
    </row>
    <row r="293">
      <c r="L293" s="27"/>
    </row>
    <row r="294">
      <c r="L294" s="27"/>
    </row>
    <row r="295">
      <c r="L295" s="27"/>
    </row>
    <row r="296">
      <c r="L296" s="27"/>
    </row>
    <row r="297">
      <c r="L297" s="27"/>
    </row>
    <row r="298">
      <c r="L298" s="27"/>
    </row>
    <row r="299">
      <c r="L299" s="27"/>
    </row>
    <row r="300">
      <c r="L300" s="27"/>
    </row>
    <row r="301">
      <c r="L301" s="27"/>
    </row>
    <row r="302">
      <c r="L302" s="27"/>
    </row>
    <row r="303">
      <c r="L303" s="27"/>
    </row>
    <row r="304">
      <c r="L304" s="27"/>
    </row>
    <row r="305">
      <c r="L305" s="27"/>
    </row>
    <row r="306">
      <c r="L306" s="27"/>
    </row>
    <row r="307">
      <c r="L307" s="27"/>
    </row>
    <row r="308">
      <c r="L308" s="27"/>
    </row>
    <row r="309">
      <c r="L309" s="27"/>
    </row>
    <row r="310">
      <c r="L310" s="27"/>
    </row>
    <row r="311">
      <c r="L311" s="27"/>
    </row>
    <row r="312">
      <c r="L312" s="27"/>
    </row>
    <row r="313">
      <c r="L313" s="27"/>
    </row>
    <row r="314">
      <c r="L314" s="27"/>
    </row>
    <row r="315">
      <c r="L315" s="27"/>
    </row>
    <row r="316">
      <c r="L316" s="27"/>
    </row>
    <row r="317">
      <c r="L317" s="27"/>
    </row>
    <row r="318">
      <c r="L318" s="27"/>
    </row>
    <row r="319">
      <c r="L319" s="27"/>
    </row>
    <row r="320">
      <c r="L320" s="27"/>
    </row>
    <row r="321">
      <c r="L321" s="27"/>
    </row>
    <row r="322">
      <c r="L322" s="27"/>
    </row>
    <row r="323">
      <c r="L323" s="27"/>
    </row>
    <row r="324">
      <c r="L324" s="27"/>
    </row>
    <row r="325">
      <c r="L325" s="27"/>
    </row>
    <row r="326">
      <c r="L326" s="27"/>
    </row>
    <row r="327">
      <c r="L327" s="27"/>
    </row>
    <row r="328">
      <c r="L328" s="27"/>
    </row>
    <row r="329">
      <c r="L329" s="27"/>
    </row>
    <row r="330">
      <c r="L330" s="27"/>
    </row>
    <row r="331">
      <c r="L331" s="27"/>
    </row>
    <row r="332">
      <c r="L332" s="27"/>
    </row>
    <row r="333">
      <c r="L333" s="27"/>
    </row>
    <row r="334">
      <c r="L334" s="27"/>
    </row>
    <row r="335">
      <c r="L335" s="27"/>
    </row>
    <row r="336">
      <c r="L336" s="27"/>
    </row>
    <row r="337">
      <c r="L337" s="27"/>
    </row>
    <row r="338">
      <c r="L338" s="27"/>
    </row>
    <row r="339">
      <c r="L339" s="27"/>
    </row>
    <row r="340">
      <c r="L340" s="27"/>
    </row>
    <row r="341">
      <c r="L341" s="27"/>
    </row>
    <row r="342">
      <c r="L342" s="27"/>
    </row>
    <row r="343">
      <c r="L343" s="27"/>
    </row>
    <row r="344">
      <c r="L344" s="27"/>
    </row>
    <row r="345">
      <c r="L345" s="27"/>
    </row>
    <row r="346">
      <c r="L346" s="27"/>
    </row>
    <row r="347">
      <c r="L347" s="27"/>
    </row>
    <row r="348">
      <c r="L348" s="27"/>
    </row>
    <row r="349">
      <c r="L349" s="27"/>
    </row>
    <row r="350">
      <c r="L350" s="27"/>
    </row>
    <row r="351">
      <c r="L351" s="27"/>
    </row>
    <row r="352">
      <c r="L352" s="27"/>
    </row>
    <row r="353">
      <c r="L353" s="27"/>
    </row>
    <row r="354">
      <c r="L354" s="27"/>
    </row>
    <row r="355">
      <c r="L355" s="27"/>
    </row>
    <row r="356">
      <c r="L356" s="27"/>
    </row>
    <row r="357">
      <c r="L357" s="27"/>
    </row>
    <row r="358">
      <c r="L358" s="27"/>
    </row>
    <row r="359">
      <c r="L359" s="27"/>
    </row>
    <row r="360">
      <c r="L360" s="27"/>
    </row>
    <row r="361">
      <c r="L361" s="27"/>
    </row>
    <row r="362">
      <c r="L362" s="27"/>
    </row>
    <row r="363">
      <c r="L363" s="27"/>
    </row>
    <row r="364">
      <c r="L364" s="27"/>
    </row>
    <row r="365">
      <c r="L365" s="27"/>
    </row>
    <row r="366">
      <c r="L366" s="27"/>
    </row>
    <row r="367">
      <c r="L367" s="27"/>
    </row>
    <row r="368">
      <c r="L368" s="27"/>
    </row>
    <row r="369">
      <c r="L369" s="27"/>
    </row>
    <row r="370">
      <c r="L370" s="27"/>
    </row>
    <row r="371">
      <c r="L371" s="27"/>
    </row>
    <row r="372">
      <c r="L372" s="27"/>
    </row>
    <row r="373">
      <c r="L373" s="27"/>
    </row>
    <row r="374">
      <c r="L374" s="27"/>
    </row>
    <row r="375">
      <c r="L375" s="27"/>
    </row>
    <row r="376">
      <c r="L376" s="27"/>
    </row>
    <row r="377">
      <c r="L377" s="27"/>
    </row>
    <row r="378">
      <c r="L378" s="27"/>
    </row>
    <row r="379">
      <c r="L379" s="27"/>
    </row>
    <row r="380">
      <c r="L380" s="27"/>
    </row>
    <row r="381">
      <c r="L381" s="27"/>
    </row>
    <row r="382">
      <c r="L382" s="27"/>
    </row>
    <row r="383">
      <c r="L383" s="27"/>
    </row>
    <row r="384">
      <c r="L384" s="27"/>
    </row>
    <row r="385">
      <c r="L385" s="27"/>
    </row>
    <row r="386">
      <c r="L386" s="27"/>
    </row>
    <row r="387">
      <c r="L387" s="27"/>
    </row>
    <row r="388">
      <c r="L388" s="27"/>
    </row>
    <row r="389">
      <c r="L389" s="27"/>
    </row>
    <row r="390">
      <c r="L390" s="27"/>
    </row>
    <row r="391">
      <c r="L391" s="27"/>
    </row>
    <row r="392">
      <c r="L392" s="27"/>
    </row>
    <row r="393">
      <c r="L393" s="27"/>
    </row>
    <row r="394">
      <c r="L394" s="27"/>
    </row>
    <row r="395">
      <c r="L395" s="27"/>
    </row>
    <row r="396">
      <c r="L396" s="27"/>
    </row>
    <row r="397">
      <c r="L397" s="27"/>
    </row>
    <row r="398">
      <c r="L398" s="27"/>
    </row>
    <row r="399">
      <c r="L399" s="27"/>
    </row>
    <row r="400">
      <c r="L400" s="27"/>
    </row>
    <row r="401">
      <c r="L401" s="27"/>
    </row>
    <row r="402">
      <c r="L402" s="27"/>
    </row>
    <row r="403">
      <c r="L403" s="27"/>
    </row>
    <row r="404">
      <c r="L404" s="27"/>
    </row>
    <row r="405">
      <c r="L405" s="27"/>
    </row>
    <row r="406">
      <c r="L406" s="27"/>
    </row>
    <row r="407">
      <c r="L407" s="27"/>
    </row>
    <row r="408">
      <c r="L408" s="27"/>
    </row>
    <row r="409">
      <c r="L409" s="27"/>
    </row>
    <row r="410">
      <c r="L410" s="27"/>
    </row>
    <row r="411">
      <c r="L411" s="27"/>
    </row>
    <row r="412">
      <c r="L412" s="27"/>
    </row>
    <row r="413">
      <c r="L413" s="27"/>
    </row>
    <row r="414">
      <c r="L414" s="27"/>
    </row>
    <row r="415">
      <c r="L415" s="27"/>
    </row>
    <row r="416">
      <c r="L416" s="27"/>
    </row>
    <row r="417">
      <c r="L417" s="27"/>
    </row>
    <row r="418">
      <c r="L418" s="27"/>
    </row>
    <row r="419">
      <c r="L419" s="27"/>
    </row>
    <row r="420">
      <c r="L420" s="27"/>
    </row>
    <row r="421">
      <c r="L421" s="27"/>
    </row>
    <row r="422">
      <c r="L422" s="27"/>
    </row>
    <row r="423">
      <c r="L423" s="27"/>
    </row>
    <row r="424">
      <c r="L424" s="27"/>
    </row>
    <row r="425">
      <c r="L425" s="27"/>
    </row>
    <row r="426">
      <c r="L426" s="27"/>
    </row>
    <row r="427">
      <c r="L427" s="27"/>
    </row>
    <row r="428">
      <c r="L428" s="27"/>
    </row>
    <row r="429">
      <c r="L429" s="27"/>
    </row>
    <row r="430">
      <c r="L430" s="27"/>
    </row>
    <row r="431">
      <c r="L431" s="27"/>
    </row>
    <row r="432">
      <c r="L432" s="27"/>
    </row>
    <row r="433">
      <c r="L433" s="27"/>
    </row>
    <row r="434">
      <c r="L434" s="27"/>
    </row>
    <row r="435">
      <c r="L435" s="27"/>
    </row>
    <row r="436">
      <c r="L436" s="27"/>
    </row>
    <row r="437">
      <c r="L437" s="27"/>
    </row>
    <row r="438">
      <c r="L438" s="27"/>
    </row>
    <row r="439">
      <c r="L439" s="27"/>
    </row>
    <row r="440">
      <c r="L440" s="27"/>
    </row>
    <row r="441">
      <c r="L441" s="27"/>
    </row>
    <row r="442">
      <c r="L442" s="27"/>
    </row>
    <row r="443">
      <c r="L443" s="27"/>
    </row>
    <row r="444">
      <c r="L444" s="27"/>
    </row>
    <row r="445">
      <c r="L445" s="27"/>
    </row>
    <row r="446">
      <c r="L446" s="27"/>
    </row>
    <row r="447">
      <c r="L447" s="27"/>
    </row>
    <row r="448">
      <c r="L448" s="27"/>
    </row>
    <row r="449">
      <c r="L449" s="27"/>
    </row>
    <row r="450">
      <c r="L450" s="27"/>
    </row>
    <row r="451">
      <c r="L451" s="27"/>
    </row>
    <row r="452">
      <c r="L452" s="27"/>
    </row>
    <row r="453">
      <c r="L453" s="27"/>
    </row>
    <row r="454">
      <c r="L454" s="27"/>
    </row>
    <row r="455">
      <c r="L455" s="27"/>
    </row>
    <row r="456">
      <c r="L456" s="27"/>
    </row>
    <row r="457">
      <c r="L457" s="27"/>
    </row>
    <row r="458">
      <c r="L458" s="27"/>
    </row>
    <row r="459">
      <c r="L459" s="27"/>
    </row>
    <row r="460">
      <c r="L460" s="27"/>
    </row>
    <row r="461">
      <c r="L461" s="27"/>
    </row>
    <row r="462">
      <c r="L462" s="27"/>
    </row>
    <row r="463">
      <c r="L463" s="27"/>
    </row>
    <row r="464">
      <c r="L464" s="27"/>
    </row>
    <row r="465">
      <c r="L465" s="27"/>
    </row>
    <row r="466">
      <c r="L466" s="27"/>
    </row>
    <row r="467">
      <c r="L467" s="27"/>
    </row>
    <row r="468">
      <c r="L468" s="27"/>
    </row>
    <row r="469">
      <c r="L469" s="27"/>
    </row>
    <row r="470">
      <c r="L470" s="27"/>
    </row>
    <row r="471">
      <c r="L471" s="27"/>
    </row>
    <row r="472">
      <c r="L472" s="27"/>
    </row>
    <row r="473">
      <c r="L473" s="27"/>
    </row>
    <row r="474">
      <c r="L474" s="27"/>
    </row>
    <row r="475">
      <c r="L475" s="27"/>
    </row>
    <row r="476">
      <c r="L476" s="27"/>
    </row>
    <row r="477">
      <c r="L477" s="27"/>
    </row>
    <row r="478">
      <c r="L478" s="27"/>
    </row>
    <row r="479">
      <c r="L479" s="27"/>
    </row>
    <row r="480">
      <c r="L480" s="27"/>
    </row>
    <row r="481">
      <c r="L481" s="27"/>
    </row>
    <row r="482">
      <c r="L482" s="27"/>
    </row>
    <row r="483">
      <c r="L483" s="27"/>
    </row>
    <row r="484">
      <c r="L484" s="27"/>
    </row>
    <row r="485">
      <c r="L485" s="27"/>
    </row>
    <row r="486">
      <c r="L486" s="27"/>
    </row>
    <row r="487">
      <c r="L487" s="27"/>
    </row>
    <row r="488">
      <c r="L488" s="27"/>
    </row>
    <row r="489">
      <c r="L489" s="27"/>
    </row>
    <row r="490">
      <c r="L490" s="27"/>
    </row>
    <row r="491">
      <c r="L491" s="27"/>
    </row>
    <row r="492">
      <c r="L492" s="27"/>
    </row>
    <row r="493">
      <c r="L493" s="27"/>
    </row>
    <row r="494">
      <c r="L494" s="27"/>
    </row>
    <row r="495">
      <c r="L495" s="27"/>
    </row>
    <row r="496">
      <c r="L496" s="27"/>
    </row>
    <row r="497">
      <c r="L497" s="27"/>
    </row>
    <row r="498">
      <c r="L498" s="27"/>
    </row>
    <row r="499">
      <c r="L499" s="27"/>
    </row>
    <row r="500">
      <c r="L500" s="27"/>
    </row>
    <row r="501">
      <c r="L501" s="27"/>
    </row>
    <row r="502">
      <c r="L502" s="27"/>
    </row>
    <row r="503">
      <c r="L503" s="27"/>
    </row>
    <row r="504">
      <c r="L504" s="27"/>
    </row>
    <row r="505">
      <c r="L505" s="27"/>
    </row>
    <row r="506">
      <c r="L506" s="27"/>
    </row>
    <row r="507">
      <c r="L507" s="27"/>
    </row>
    <row r="508">
      <c r="L508" s="27"/>
    </row>
    <row r="509">
      <c r="L509" s="27"/>
    </row>
    <row r="510">
      <c r="L510" s="27"/>
    </row>
    <row r="511">
      <c r="L511" s="27"/>
    </row>
    <row r="512">
      <c r="L512" s="27"/>
    </row>
    <row r="513">
      <c r="L513" s="27"/>
    </row>
    <row r="514">
      <c r="L514" s="27"/>
    </row>
    <row r="515">
      <c r="L515" s="27"/>
    </row>
    <row r="516">
      <c r="L516" s="27"/>
    </row>
    <row r="517">
      <c r="L517" s="27"/>
    </row>
    <row r="518">
      <c r="L518" s="27"/>
    </row>
    <row r="519">
      <c r="L519" s="27"/>
    </row>
    <row r="520">
      <c r="L520" s="27"/>
    </row>
    <row r="521">
      <c r="L521" s="27"/>
    </row>
    <row r="522">
      <c r="L522" s="27"/>
    </row>
    <row r="523">
      <c r="L523" s="27"/>
    </row>
    <row r="524">
      <c r="L524" s="27"/>
    </row>
    <row r="525">
      <c r="L525" s="27"/>
    </row>
    <row r="526">
      <c r="L526" s="27"/>
    </row>
    <row r="527">
      <c r="L527" s="27"/>
    </row>
    <row r="528">
      <c r="L528" s="27"/>
    </row>
    <row r="529">
      <c r="L529" s="27"/>
    </row>
    <row r="530">
      <c r="L530" s="27"/>
    </row>
    <row r="531">
      <c r="L531" s="27"/>
    </row>
    <row r="532">
      <c r="L532" s="27"/>
    </row>
    <row r="533">
      <c r="L533" s="27"/>
    </row>
    <row r="534">
      <c r="L534" s="27"/>
    </row>
    <row r="535">
      <c r="L535" s="27"/>
    </row>
    <row r="536">
      <c r="L536" s="27"/>
    </row>
    <row r="537">
      <c r="L537" s="27"/>
    </row>
    <row r="538">
      <c r="L538" s="27"/>
    </row>
    <row r="539">
      <c r="L539" s="27"/>
    </row>
    <row r="540">
      <c r="L540" s="27"/>
    </row>
    <row r="541">
      <c r="L541" s="27"/>
    </row>
    <row r="542">
      <c r="L542" s="27"/>
    </row>
    <row r="543">
      <c r="L543" s="27"/>
    </row>
    <row r="544">
      <c r="L544" s="27"/>
    </row>
    <row r="545">
      <c r="L545" s="27"/>
    </row>
    <row r="546">
      <c r="L546" s="27"/>
    </row>
    <row r="547">
      <c r="L547" s="27"/>
    </row>
    <row r="548">
      <c r="L548" s="27"/>
    </row>
    <row r="549">
      <c r="L549" s="27"/>
    </row>
    <row r="550">
      <c r="L550" s="27"/>
    </row>
    <row r="551">
      <c r="L551" s="27"/>
    </row>
    <row r="552">
      <c r="L552" s="27"/>
    </row>
    <row r="553">
      <c r="L553" s="27"/>
    </row>
    <row r="554">
      <c r="L554" s="27"/>
    </row>
    <row r="555">
      <c r="L555" s="27"/>
    </row>
    <row r="556">
      <c r="L556" s="27"/>
    </row>
    <row r="557">
      <c r="L557" s="27"/>
    </row>
    <row r="558">
      <c r="L558" s="27"/>
    </row>
    <row r="559">
      <c r="L559" s="27"/>
    </row>
    <row r="560">
      <c r="L560" s="27"/>
    </row>
    <row r="561">
      <c r="L561" s="27"/>
    </row>
    <row r="562">
      <c r="L562" s="27"/>
    </row>
    <row r="563">
      <c r="L563" s="27"/>
    </row>
    <row r="564">
      <c r="L564" s="27"/>
    </row>
    <row r="565">
      <c r="L565" s="27"/>
    </row>
    <row r="566">
      <c r="L566" s="27"/>
    </row>
    <row r="567">
      <c r="L567" s="27"/>
    </row>
    <row r="568">
      <c r="L568" s="27"/>
    </row>
    <row r="569">
      <c r="L569" s="27"/>
    </row>
    <row r="570">
      <c r="L570" s="27"/>
    </row>
    <row r="571">
      <c r="L571" s="27"/>
    </row>
    <row r="572">
      <c r="L572" s="27"/>
    </row>
    <row r="573">
      <c r="L573" s="27"/>
    </row>
    <row r="574">
      <c r="L574" s="27"/>
    </row>
    <row r="575">
      <c r="L575" s="27"/>
    </row>
    <row r="576">
      <c r="L576" s="27"/>
    </row>
    <row r="577">
      <c r="L577" s="27"/>
    </row>
    <row r="578">
      <c r="L578" s="27"/>
    </row>
    <row r="579">
      <c r="L579" s="27"/>
    </row>
    <row r="580">
      <c r="L580" s="27"/>
    </row>
    <row r="581">
      <c r="L581" s="27"/>
    </row>
    <row r="582">
      <c r="L582" s="27"/>
    </row>
    <row r="583">
      <c r="L583" s="27"/>
    </row>
    <row r="584">
      <c r="L584" s="27"/>
    </row>
    <row r="585">
      <c r="L585" s="27"/>
    </row>
    <row r="586">
      <c r="L586" s="27"/>
    </row>
    <row r="587">
      <c r="L587" s="27"/>
    </row>
    <row r="588">
      <c r="L588" s="27"/>
    </row>
    <row r="589">
      <c r="L589" s="27"/>
    </row>
    <row r="590">
      <c r="L590" s="27"/>
    </row>
    <row r="591">
      <c r="L591" s="27"/>
    </row>
    <row r="592">
      <c r="L592" s="27"/>
    </row>
    <row r="593">
      <c r="L593" s="27"/>
    </row>
    <row r="594">
      <c r="L594" s="27"/>
    </row>
    <row r="595">
      <c r="L595" s="27"/>
    </row>
    <row r="596">
      <c r="L596" s="27"/>
    </row>
    <row r="597">
      <c r="L597" s="27"/>
    </row>
    <row r="598">
      <c r="L598" s="27"/>
    </row>
    <row r="599">
      <c r="L599" s="27"/>
    </row>
    <row r="600">
      <c r="L600" s="27"/>
    </row>
    <row r="601">
      <c r="L601" s="27"/>
    </row>
    <row r="602">
      <c r="L602" s="27"/>
    </row>
    <row r="603">
      <c r="L603" s="27"/>
    </row>
    <row r="604">
      <c r="L604" s="27"/>
    </row>
    <row r="605">
      <c r="L605" s="27"/>
    </row>
    <row r="606">
      <c r="L606" s="27"/>
    </row>
    <row r="607">
      <c r="L607" s="27"/>
    </row>
    <row r="608">
      <c r="L608" s="27"/>
    </row>
    <row r="609">
      <c r="L609" s="27"/>
    </row>
    <row r="610">
      <c r="L610" s="27"/>
    </row>
    <row r="611">
      <c r="L611" s="27"/>
    </row>
    <row r="612">
      <c r="L612" s="27"/>
    </row>
    <row r="613">
      <c r="L613" s="27"/>
    </row>
    <row r="614">
      <c r="L614" s="27"/>
    </row>
    <row r="615">
      <c r="L615" s="27"/>
    </row>
    <row r="616">
      <c r="L616" s="27"/>
    </row>
    <row r="617">
      <c r="L617" s="27"/>
    </row>
    <row r="618">
      <c r="L618" s="27"/>
    </row>
    <row r="619">
      <c r="L619" s="27"/>
    </row>
    <row r="620">
      <c r="L620" s="27"/>
    </row>
    <row r="621">
      <c r="L621" s="27"/>
    </row>
    <row r="622">
      <c r="L622" s="27"/>
    </row>
    <row r="623">
      <c r="L623" s="27"/>
    </row>
    <row r="624">
      <c r="L624" s="27"/>
    </row>
    <row r="625">
      <c r="L625" s="27"/>
    </row>
    <row r="626">
      <c r="L626" s="27"/>
    </row>
    <row r="627">
      <c r="L627" s="27"/>
    </row>
    <row r="628">
      <c r="L628" s="27"/>
    </row>
    <row r="629">
      <c r="L629" s="27"/>
    </row>
    <row r="630">
      <c r="L630" s="27"/>
    </row>
    <row r="631">
      <c r="L631" s="27"/>
    </row>
    <row r="632">
      <c r="L632" s="27"/>
    </row>
    <row r="633">
      <c r="L633" s="27"/>
    </row>
    <row r="634">
      <c r="L634" s="27"/>
    </row>
    <row r="635">
      <c r="L635" s="27"/>
    </row>
    <row r="636">
      <c r="L636" s="27"/>
    </row>
    <row r="637">
      <c r="L637" s="27"/>
    </row>
    <row r="638">
      <c r="L638" s="27"/>
    </row>
    <row r="639">
      <c r="L639" s="27"/>
    </row>
    <row r="640">
      <c r="L640" s="27"/>
    </row>
    <row r="641">
      <c r="L641" s="27"/>
    </row>
    <row r="642">
      <c r="L642" s="27"/>
    </row>
    <row r="643">
      <c r="L643" s="27"/>
    </row>
    <row r="644">
      <c r="L644" s="27"/>
    </row>
    <row r="645">
      <c r="L645" s="27"/>
    </row>
    <row r="646">
      <c r="L646" s="27"/>
    </row>
    <row r="647">
      <c r="L647" s="27"/>
    </row>
    <row r="648">
      <c r="L648" s="27"/>
    </row>
    <row r="649">
      <c r="L649" s="27"/>
    </row>
    <row r="650">
      <c r="L650" s="27"/>
    </row>
    <row r="651">
      <c r="L651" s="27"/>
    </row>
    <row r="652">
      <c r="L652" s="27"/>
    </row>
    <row r="653">
      <c r="L653" s="27"/>
    </row>
    <row r="654">
      <c r="L654" s="27"/>
    </row>
    <row r="655">
      <c r="L655" s="27"/>
    </row>
    <row r="656">
      <c r="L656" s="27"/>
    </row>
    <row r="657">
      <c r="L657" s="27"/>
    </row>
    <row r="658">
      <c r="L658" s="27"/>
    </row>
    <row r="659">
      <c r="L659" s="27"/>
    </row>
    <row r="660">
      <c r="L660" s="27"/>
    </row>
    <row r="661">
      <c r="L661" s="27"/>
    </row>
    <row r="662">
      <c r="L662" s="27"/>
    </row>
    <row r="663">
      <c r="L663" s="27"/>
    </row>
    <row r="664">
      <c r="L664" s="27"/>
    </row>
    <row r="665">
      <c r="L665" s="27"/>
    </row>
    <row r="666">
      <c r="L666" s="27"/>
    </row>
    <row r="667">
      <c r="L667" s="27"/>
    </row>
    <row r="668">
      <c r="L668" s="27"/>
    </row>
    <row r="669">
      <c r="L669" s="27"/>
    </row>
    <row r="670">
      <c r="L670" s="27"/>
    </row>
    <row r="671">
      <c r="L671" s="27"/>
    </row>
    <row r="672">
      <c r="L672" s="27"/>
    </row>
    <row r="673">
      <c r="L673" s="27"/>
    </row>
    <row r="674">
      <c r="L674" s="27"/>
    </row>
    <row r="675">
      <c r="L675" s="27"/>
    </row>
    <row r="676">
      <c r="L676" s="27"/>
    </row>
    <row r="677">
      <c r="L677" s="27"/>
    </row>
    <row r="678">
      <c r="L678" s="27"/>
    </row>
    <row r="679">
      <c r="L679" s="27"/>
    </row>
    <row r="680">
      <c r="L680" s="27"/>
    </row>
    <row r="681">
      <c r="L681" s="27"/>
    </row>
    <row r="682">
      <c r="L682" s="27"/>
    </row>
    <row r="683">
      <c r="L683" s="27"/>
    </row>
    <row r="684">
      <c r="L684" s="27"/>
    </row>
    <row r="685">
      <c r="L685" s="27"/>
    </row>
    <row r="686">
      <c r="L686" s="27"/>
    </row>
    <row r="687">
      <c r="L687" s="27"/>
    </row>
    <row r="688">
      <c r="L688" s="27"/>
    </row>
    <row r="689">
      <c r="L689" s="27"/>
    </row>
    <row r="690">
      <c r="L690" s="27"/>
    </row>
    <row r="691">
      <c r="L691" s="27"/>
    </row>
    <row r="692">
      <c r="L692" s="27"/>
    </row>
    <row r="693">
      <c r="L693" s="27"/>
    </row>
    <row r="694">
      <c r="L694" s="27"/>
    </row>
    <row r="695">
      <c r="L695" s="27"/>
    </row>
    <row r="696">
      <c r="L696" s="27"/>
    </row>
    <row r="697">
      <c r="L697" s="27"/>
    </row>
    <row r="698">
      <c r="L698" s="27"/>
    </row>
    <row r="699">
      <c r="L699" s="27"/>
    </row>
    <row r="700">
      <c r="L700" s="27"/>
    </row>
    <row r="701">
      <c r="L701" s="27"/>
    </row>
    <row r="702">
      <c r="L702" s="27"/>
    </row>
    <row r="703">
      <c r="L703" s="27"/>
    </row>
    <row r="704">
      <c r="L704" s="27"/>
    </row>
    <row r="705">
      <c r="L705" s="27"/>
    </row>
    <row r="706">
      <c r="L706" s="27"/>
    </row>
    <row r="707">
      <c r="L707" s="27"/>
    </row>
    <row r="708">
      <c r="L708" s="27"/>
    </row>
    <row r="709">
      <c r="L709" s="27"/>
    </row>
    <row r="710">
      <c r="L710" s="27"/>
    </row>
    <row r="711">
      <c r="L711" s="27"/>
    </row>
    <row r="712">
      <c r="L712" s="27"/>
    </row>
    <row r="713">
      <c r="L713" s="27"/>
    </row>
    <row r="714">
      <c r="L714" s="27"/>
    </row>
    <row r="715">
      <c r="L715" s="27"/>
    </row>
    <row r="716">
      <c r="L716" s="27"/>
    </row>
    <row r="717">
      <c r="L717" s="27"/>
    </row>
    <row r="718">
      <c r="L718" s="27"/>
    </row>
    <row r="719">
      <c r="L719" s="27"/>
    </row>
    <row r="720">
      <c r="L720" s="27"/>
    </row>
    <row r="721">
      <c r="L721" s="27"/>
    </row>
    <row r="722">
      <c r="L722" s="27"/>
    </row>
    <row r="723">
      <c r="L723" s="27"/>
    </row>
    <row r="724">
      <c r="L724" s="27"/>
    </row>
    <row r="725">
      <c r="L725" s="27"/>
    </row>
    <row r="726">
      <c r="L726" s="27"/>
    </row>
    <row r="727">
      <c r="L727" s="27"/>
    </row>
    <row r="728">
      <c r="L728" s="27"/>
    </row>
    <row r="729">
      <c r="L729" s="27"/>
    </row>
    <row r="730">
      <c r="L730" s="27"/>
    </row>
    <row r="731">
      <c r="L731" s="27"/>
    </row>
    <row r="732">
      <c r="L732" s="27"/>
    </row>
    <row r="733">
      <c r="L733" s="27"/>
    </row>
    <row r="734">
      <c r="L734" s="27"/>
    </row>
    <row r="735">
      <c r="L735" s="27"/>
    </row>
    <row r="736">
      <c r="L736" s="27"/>
    </row>
    <row r="737">
      <c r="L737" s="27"/>
    </row>
    <row r="738">
      <c r="L738" s="27"/>
    </row>
    <row r="739">
      <c r="L739" s="27"/>
    </row>
    <row r="740">
      <c r="L740" s="27"/>
    </row>
    <row r="741">
      <c r="L741" s="27"/>
    </row>
    <row r="742">
      <c r="L742" s="27"/>
    </row>
    <row r="743">
      <c r="L743" s="27"/>
    </row>
    <row r="744">
      <c r="L744" s="27"/>
    </row>
    <row r="745">
      <c r="L745" s="27"/>
    </row>
    <row r="746">
      <c r="L746" s="27"/>
    </row>
    <row r="747">
      <c r="L747" s="27"/>
    </row>
    <row r="748">
      <c r="L748" s="27"/>
    </row>
    <row r="749">
      <c r="L749" s="27"/>
    </row>
    <row r="750">
      <c r="L750" s="27"/>
    </row>
    <row r="751">
      <c r="L751" s="27"/>
    </row>
    <row r="752">
      <c r="L752" s="27"/>
    </row>
    <row r="753">
      <c r="L753" s="27"/>
    </row>
    <row r="754">
      <c r="L754" s="27"/>
    </row>
    <row r="755">
      <c r="L755" s="27"/>
    </row>
    <row r="756">
      <c r="L756" s="27"/>
    </row>
    <row r="757">
      <c r="L757" s="27"/>
    </row>
    <row r="758">
      <c r="L758" s="27"/>
    </row>
    <row r="759">
      <c r="L759" s="27"/>
    </row>
    <row r="760">
      <c r="L760" s="27"/>
    </row>
    <row r="761">
      <c r="L761" s="27"/>
    </row>
    <row r="762">
      <c r="L762" s="27"/>
    </row>
    <row r="763">
      <c r="L763" s="27"/>
    </row>
    <row r="764">
      <c r="L764" s="27"/>
    </row>
    <row r="765">
      <c r="L765" s="27"/>
    </row>
    <row r="766">
      <c r="L766" s="27"/>
    </row>
    <row r="767">
      <c r="L767" s="27"/>
    </row>
    <row r="768">
      <c r="L768" s="27"/>
    </row>
    <row r="769">
      <c r="L769" s="27"/>
    </row>
    <row r="770">
      <c r="L770" s="27"/>
    </row>
    <row r="771">
      <c r="L771" s="27"/>
    </row>
    <row r="772">
      <c r="L772" s="27"/>
    </row>
    <row r="773">
      <c r="L773" s="27"/>
    </row>
    <row r="774">
      <c r="L774" s="27"/>
    </row>
    <row r="775">
      <c r="L775" s="27"/>
    </row>
    <row r="776">
      <c r="L776" s="27"/>
    </row>
    <row r="777">
      <c r="L777" s="27"/>
    </row>
    <row r="778">
      <c r="L778" s="27"/>
    </row>
    <row r="779">
      <c r="L779" s="27"/>
    </row>
    <row r="780">
      <c r="L780" s="27"/>
    </row>
    <row r="781">
      <c r="L781" s="27"/>
    </row>
    <row r="782">
      <c r="L782" s="27"/>
    </row>
    <row r="783">
      <c r="L783" s="27"/>
    </row>
    <row r="784">
      <c r="L784" s="27"/>
    </row>
    <row r="785">
      <c r="L785" s="27"/>
    </row>
    <row r="786">
      <c r="L786" s="27"/>
    </row>
    <row r="787">
      <c r="L787" s="27"/>
    </row>
    <row r="788">
      <c r="L788" s="27"/>
    </row>
    <row r="789">
      <c r="L789" s="27"/>
    </row>
    <row r="790">
      <c r="L790" s="27"/>
    </row>
    <row r="791">
      <c r="L791" s="27"/>
    </row>
    <row r="792">
      <c r="L792" s="27"/>
    </row>
    <row r="793">
      <c r="L793" s="27"/>
    </row>
    <row r="794">
      <c r="L794" s="27"/>
    </row>
    <row r="795">
      <c r="L795" s="27"/>
    </row>
    <row r="796">
      <c r="L796" s="27"/>
    </row>
    <row r="797">
      <c r="L797" s="27"/>
    </row>
    <row r="798">
      <c r="L798" s="27"/>
    </row>
    <row r="799">
      <c r="L799" s="27"/>
    </row>
    <row r="800">
      <c r="L800" s="27"/>
    </row>
    <row r="801">
      <c r="L801" s="27"/>
    </row>
    <row r="802">
      <c r="L802" s="27"/>
    </row>
    <row r="803">
      <c r="L803" s="27"/>
    </row>
    <row r="804">
      <c r="L804" s="27"/>
    </row>
    <row r="805">
      <c r="L805" s="27"/>
    </row>
    <row r="806">
      <c r="L806" s="27"/>
    </row>
    <row r="807">
      <c r="L807" s="27"/>
    </row>
    <row r="808">
      <c r="L808" s="27"/>
    </row>
    <row r="809">
      <c r="L809" s="27"/>
    </row>
    <row r="810">
      <c r="L810" s="27"/>
    </row>
    <row r="811">
      <c r="L811" s="27"/>
    </row>
    <row r="812">
      <c r="L812" s="27"/>
    </row>
    <row r="813">
      <c r="L813" s="27"/>
    </row>
    <row r="814">
      <c r="L814" s="27"/>
    </row>
    <row r="815">
      <c r="L815" s="27"/>
    </row>
    <row r="816">
      <c r="L816" s="27"/>
    </row>
    <row r="817">
      <c r="L817" s="27"/>
    </row>
    <row r="818">
      <c r="L818" s="27"/>
    </row>
    <row r="819">
      <c r="L819" s="27"/>
    </row>
    <row r="820">
      <c r="L820" s="27"/>
    </row>
    <row r="821">
      <c r="L821" s="27"/>
    </row>
    <row r="822">
      <c r="L822" s="27"/>
    </row>
    <row r="823">
      <c r="L823" s="27"/>
    </row>
    <row r="824">
      <c r="L824" s="27"/>
    </row>
    <row r="825">
      <c r="L825" s="27"/>
    </row>
    <row r="826">
      <c r="L826" s="27"/>
    </row>
    <row r="827">
      <c r="L827" s="27"/>
    </row>
    <row r="828">
      <c r="L828" s="27"/>
    </row>
    <row r="829">
      <c r="L829" s="27"/>
    </row>
    <row r="830">
      <c r="L830" s="27"/>
    </row>
    <row r="831">
      <c r="L831" s="27"/>
    </row>
    <row r="832">
      <c r="L832" s="27"/>
    </row>
    <row r="833">
      <c r="L833" s="27"/>
    </row>
    <row r="834">
      <c r="L834" s="27"/>
    </row>
    <row r="835">
      <c r="L835" s="27"/>
    </row>
    <row r="836">
      <c r="L836" s="27"/>
    </row>
    <row r="837">
      <c r="L837" s="27"/>
    </row>
    <row r="838">
      <c r="L838" s="27"/>
    </row>
    <row r="839">
      <c r="L839" s="27"/>
    </row>
    <row r="840">
      <c r="L840" s="27"/>
    </row>
    <row r="841">
      <c r="L841" s="27"/>
    </row>
    <row r="842">
      <c r="L842" s="27"/>
    </row>
    <row r="843">
      <c r="L843" s="27"/>
    </row>
    <row r="844">
      <c r="L844" s="27"/>
    </row>
    <row r="845">
      <c r="L845" s="27"/>
    </row>
    <row r="846">
      <c r="L846" s="27"/>
    </row>
    <row r="847">
      <c r="L847" s="27"/>
    </row>
    <row r="848">
      <c r="L848" s="27"/>
    </row>
    <row r="849">
      <c r="L849" s="27"/>
    </row>
    <row r="850">
      <c r="L850" s="27"/>
    </row>
    <row r="851">
      <c r="L851" s="27"/>
    </row>
    <row r="852">
      <c r="L852" s="27"/>
    </row>
    <row r="853">
      <c r="L853" s="27"/>
    </row>
    <row r="854">
      <c r="L854" s="27"/>
    </row>
    <row r="855">
      <c r="L855" s="27"/>
    </row>
    <row r="856">
      <c r="L856" s="27"/>
    </row>
    <row r="857">
      <c r="L857" s="27"/>
    </row>
    <row r="858">
      <c r="L858" s="27"/>
    </row>
    <row r="859">
      <c r="L859" s="27"/>
    </row>
    <row r="860">
      <c r="L860" s="27"/>
    </row>
    <row r="861">
      <c r="L861" s="27"/>
    </row>
    <row r="862">
      <c r="L862" s="27"/>
    </row>
    <row r="863">
      <c r="L863" s="27"/>
    </row>
    <row r="864">
      <c r="L864" s="27"/>
    </row>
    <row r="865">
      <c r="L865" s="27"/>
    </row>
    <row r="866">
      <c r="L866" s="27"/>
    </row>
    <row r="867">
      <c r="L867" s="27"/>
    </row>
    <row r="868">
      <c r="L868" s="27"/>
    </row>
    <row r="869">
      <c r="L869" s="27"/>
    </row>
    <row r="870">
      <c r="L870" s="27"/>
    </row>
    <row r="871">
      <c r="L871" s="27"/>
    </row>
    <row r="872">
      <c r="L872" s="27"/>
    </row>
    <row r="873">
      <c r="L873" s="27"/>
    </row>
    <row r="874">
      <c r="L874" s="27"/>
    </row>
    <row r="875">
      <c r="L875" s="27"/>
    </row>
    <row r="876">
      <c r="L876" s="27"/>
    </row>
    <row r="877">
      <c r="L877" s="27"/>
    </row>
    <row r="878">
      <c r="L878" s="27"/>
    </row>
    <row r="879">
      <c r="L879" s="27"/>
    </row>
    <row r="880">
      <c r="L880" s="27"/>
    </row>
    <row r="881">
      <c r="L881" s="27"/>
    </row>
    <row r="882">
      <c r="L882" s="27"/>
    </row>
    <row r="883">
      <c r="L883" s="27"/>
    </row>
    <row r="884">
      <c r="L884" s="27"/>
    </row>
    <row r="885">
      <c r="L885" s="27"/>
    </row>
    <row r="886">
      <c r="L886" s="27"/>
    </row>
    <row r="887">
      <c r="L887" s="27"/>
    </row>
    <row r="888">
      <c r="L888" s="27"/>
    </row>
    <row r="889">
      <c r="L889" s="27"/>
    </row>
    <row r="890">
      <c r="L890" s="27"/>
    </row>
    <row r="891">
      <c r="L891" s="27"/>
    </row>
    <row r="892">
      <c r="L892" s="27"/>
    </row>
    <row r="893">
      <c r="L893" s="27"/>
    </row>
    <row r="894">
      <c r="L894" s="27"/>
    </row>
    <row r="895">
      <c r="L895" s="27"/>
    </row>
    <row r="896">
      <c r="L896" s="27"/>
    </row>
    <row r="897">
      <c r="L897" s="27"/>
    </row>
    <row r="898">
      <c r="L898" s="27"/>
    </row>
    <row r="899">
      <c r="L899" s="27"/>
    </row>
    <row r="900">
      <c r="L900" s="27"/>
    </row>
    <row r="901">
      <c r="L901" s="27"/>
    </row>
    <row r="902">
      <c r="L902" s="27"/>
    </row>
    <row r="903">
      <c r="L903" s="27"/>
    </row>
    <row r="904">
      <c r="L904" s="27"/>
    </row>
    <row r="905">
      <c r="L905" s="27"/>
    </row>
    <row r="906">
      <c r="L906" s="27"/>
    </row>
    <row r="907">
      <c r="L907" s="27"/>
    </row>
    <row r="908">
      <c r="L908" s="27"/>
    </row>
    <row r="909">
      <c r="L909" s="27"/>
    </row>
    <row r="910">
      <c r="L910" s="27"/>
    </row>
    <row r="911">
      <c r="L911" s="27"/>
    </row>
    <row r="912">
      <c r="L912" s="27"/>
    </row>
    <row r="913">
      <c r="L913" s="27"/>
    </row>
    <row r="914">
      <c r="L914" s="27"/>
    </row>
    <row r="915">
      <c r="L915" s="27"/>
    </row>
    <row r="916">
      <c r="L916" s="27"/>
    </row>
    <row r="917">
      <c r="L917" s="27"/>
    </row>
    <row r="918">
      <c r="L918" s="27"/>
    </row>
    <row r="919">
      <c r="L919" s="27"/>
    </row>
    <row r="920">
      <c r="L920" s="27"/>
    </row>
    <row r="921">
      <c r="L921" s="27"/>
    </row>
    <row r="922">
      <c r="L922" s="27"/>
    </row>
    <row r="923">
      <c r="L923" s="27"/>
    </row>
    <row r="924">
      <c r="L924" s="27"/>
    </row>
    <row r="925">
      <c r="L925" s="27"/>
    </row>
    <row r="926">
      <c r="L926" s="27"/>
    </row>
    <row r="927">
      <c r="L927" s="27"/>
    </row>
    <row r="928">
      <c r="L928" s="27"/>
    </row>
    <row r="929">
      <c r="L929" s="27"/>
    </row>
    <row r="930">
      <c r="L930" s="27"/>
    </row>
    <row r="931">
      <c r="L931" s="27"/>
    </row>
    <row r="932">
      <c r="L932" s="27"/>
    </row>
    <row r="933">
      <c r="L933" s="27"/>
    </row>
    <row r="934">
      <c r="L934" s="27"/>
    </row>
    <row r="935">
      <c r="L935" s="27"/>
    </row>
    <row r="936">
      <c r="L936" s="27"/>
    </row>
    <row r="937">
      <c r="L937" s="27"/>
    </row>
    <row r="938">
      <c r="L938" s="27"/>
    </row>
    <row r="939">
      <c r="L939" s="27"/>
    </row>
    <row r="940">
      <c r="L940" s="27"/>
    </row>
    <row r="941">
      <c r="L941" s="27"/>
    </row>
    <row r="942">
      <c r="L942" s="27"/>
    </row>
    <row r="943">
      <c r="L943" s="27"/>
    </row>
    <row r="944">
      <c r="L944" s="27"/>
    </row>
    <row r="945">
      <c r="L945" s="27"/>
    </row>
    <row r="946">
      <c r="L946" s="27"/>
    </row>
    <row r="947">
      <c r="L947" s="27"/>
    </row>
    <row r="948">
      <c r="L948" s="27"/>
    </row>
    <row r="949">
      <c r="L949" s="27"/>
    </row>
    <row r="950">
      <c r="L950" s="27"/>
    </row>
    <row r="951">
      <c r="L951" s="27"/>
    </row>
    <row r="952">
      <c r="L952" s="27"/>
    </row>
    <row r="953">
      <c r="L953" s="27"/>
    </row>
    <row r="954">
      <c r="L954" s="27"/>
    </row>
    <row r="955">
      <c r="L955" s="27"/>
    </row>
    <row r="956">
      <c r="L956" s="27"/>
    </row>
    <row r="957">
      <c r="L957" s="27"/>
    </row>
    <row r="958">
      <c r="L958" s="27"/>
    </row>
    <row r="959">
      <c r="L959" s="27"/>
    </row>
    <row r="960">
      <c r="L960" s="27"/>
    </row>
    <row r="961">
      <c r="L961" s="27"/>
    </row>
    <row r="962">
      <c r="L962" s="27"/>
    </row>
    <row r="963">
      <c r="L963" s="27"/>
    </row>
    <row r="964">
      <c r="L964" s="27"/>
    </row>
    <row r="965">
      <c r="L965" s="27"/>
    </row>
    <row r="966">
      <c r="L966" s="27"/>
    </row>
    <row r="967">
      <c r="L967" s="27"/>
    </row>
    <row r="968">
      <c r="L968" s="27"/>
    </row>
    <row r="969">
      <c r="L969" s="27"/>
    </row>
    <row r="970">
      <c r="L970" s="27"/>
    </row>
    <row r="971">
      <c r="L971" s="27"/>
    </row>
    <row r="972">
      <c r="L972" s="27"/>
    </row>
    <row r="973">
      <c r="L973" s="27"/>
    </row>
    <row r="974">
      <c r="L974" s="27"/>
    </row>
    <row r="975">
      <c r="L975" s="27"/>
    </row>
    <row r="976">
      <c r="L976" s="27"/>
    </row>
    <row r="977">
      <c r="L977" s="27"/>
    </row>
    <row r="978">
      <c r="L978" s="27"/>
    </row>
    <row r="979">
      <c r="L979" s="27"/>
    </row>
    <row r="980">
      <c r="L980" s="27"/>
    </row>
    <row r="981">
      <c r="L981" s="27"/>
    </row>
    <row r="982">
      <c r="L982" s="27"/>
    </row>
    <row r="983">
      <c r="L983" s="27"/>
    </row>
    <row r="984">
      <c r="L984" s="27"/>
    </row>
    <row r="985">
      <c r="L985" s="27"/>
    </row>
    <row r="986">
      <c r="L986" s="27"/>
    </row>
    <row r="987">
      <c r="L987" s="27"/>
    </row>
    <row r="988">
      <c r="L988" s="27"/>
    </row>
    <row r="989">
      <c r="L989" s="27"/>
    </row>
    <row r="990">
      <c r="L990" s="27"/>
    </row>
    <row r="991">
      <c r="L991" s="27"/>
    </row>
    <row r="992">
      <c r="L992" s="27"/>
    </row>
    <row r="993">
      <c r="L993" s="27"/>
    </row>
    <row r="994">
      <c r="L994" s="27"/>
    </row>
    <row r="995">
      <c r="L995" s="27"/>
    </row>
    <row r="996">
      <c r="L996" s="27"/>
    </row>
    <row r="997">
      <c r="L997" s="27"/>
    </row>
    <row r="998">
      <c r="L998" s="27"/>
    </row>
    <row r="999">
      <c r="L999" s="27"/>
    </row>
    <row r="1000">
      <c r="L1000" s="27"/>
    </row>
    <row r="1001">
      <c r="L1001" s="27"/>
    </row>
    <row r="1002">
      <c r="L1002" s="27"/>
    </row>
    <row r="1003">
      <c r="L1003" s="27"/>
    </row>
    <row r="1004">
      <c r="L1004" s="27"/>
    </row>
  </sheetData>
  <conditionalFormatting sqref="D44:E44 F53:J53">
    <cfRule type="cellIs" dxfId="0" priority="1" operator="lessThan">
      <formula>0</formula>
    </cfRule>
  </conditionalFormatting>
  <conditionalFormatting sqref="D53:E53">
    <cfRule type="cellIs" dxfId="0" priority="2" operator="lessThan">
      <formula>0</formula>
    </cfRule>
  </conditionalFormatting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9.38"/>
    <col customWidth="1" min="14" max="14" width="20.63"/>
    <col customWidth="1" min="15" max="15" width="11.25"/>
    <col customWidth="1" min="16" max="16" width="9.25"/>
    <col customWidth="1" min="17" max="18" width="9.5"/>
  </cols>
  <sheetData>
    <row r="1">
      <c r="A1" s="18" t="s">
        <v>346</v>
      </c>
      <c r="B1" s="199" t="s">
        <v>296</v>
      </c>
      <c r="N1" s="107"/>
    </row>
    <row r="2">
      <c r="B2" s="18" t="s">
        <v>240</v>
      </c>
      <c r="C2" s="249">
        <v>13.0</v>
      </c>
      <c r="N2" s="27"/>
    </row>
    <row r="3">
      <c r="B3" s="18" t="s">
        <v>241</v>
      </c>
      <c r="C3" s="249">
        <f>62.92</f>
        <v>62.92</v>
      </c>
      <c r="N3" s="27"/>
      <c r="S3" s="114">
        <f>4166.67+6417.54</f>
        <v>10584.21</v>
      </c>
    </row>
    <row r="4">
      <c r="B4" s="18" t="s">
        <v>377</v>
      </c>
      <c r="D4" s="249">
        <v>19.9</v>
      </c>
      <c r="N4" s="27"/>
      <c r="O4" s="107"/>
      <c r="P4" s="107"/>
      <c r="S4" s="17"/>
    </row>
    <row r="5">
      <c r="B5" s="18" t="s">
        <v>378</v>
      </c>
      <c r="D5" s="249">
        <v>29.9</v>
      </c>
      <c r="N5" s="27"/>
      <c r="O5" s="107"/>
      <c r="P5" s="107"/>
      <c r="S5" s="17"/>
    </row>
    <row r="6">
      <c r="B6" s="18" t="s">
        <v>242</v>
      </c>
      <c r="C6" s="249">
        <v>13.0</v>
      </c>
      <c r="N6" s="27"/>
      <c r="O6" s="107"/>
      <c r="P6" s="107"/>
      <c r="S6" s="17"/>
    </row>
    <row r="7">
      <c r="B7" s="18" t="s">
        <v>285</v>
      </c>
      <c r="C7" s="249">
        <v>42.0</v>
      </c>
      <c r="N7" s="27"/>
      <c r="O7" s="107"/>
      <c r="P7" s="107"/>
      <c r="S7" s="32"/>
    </row>
    <row r="8">
      <c r="B8" s="18" t="s">
        <v>324</v>
      </c>
      <c r="C8" s="249">
        <v>6.0</v>
      </c>
      <c r="N8" s="301" t="s">
        <v>325</v>
      </c>
      <c r="O8" s="107"/>
      <c r="P8" s="107"/>
      <c r="S8" s="30"/>
    </row>
    <row r="9">
      <c r="C9" s="276">
        <f>SUM(C2:C8)</f>
        <v>136.92</v>
      </c>
      <c r="N9" s="302" t="s">
        <v>119</v>
      </c>
      <c r="O9" s="302" t="s">
        <v>120</v>
      </c>
      <c r="P9" s="27"/>
    </row>
    <row r="10">
      <c r="K10" s="18" t="s">
        <v>366</v>
      </c>
      <c r="N10" s="7" t="s">
        <v>347</v>
      </c>
      <c r="O10" s="7" t="s">
        <v>348</v>
      </c>
      <c r="P10" s="107"/>
    </row>
    <row r="11">
      <c r="B11" s="55" t="s">
        <v>122</v>
      </c>
      <c r="C11" s="56"/>
      <c r="D11" s="254" t="s">
        <v>134</v>
      </c>
      <c r="E11" s="254" t="s">
        <v>123</v>
      </c>
      <c r="F11" s="254" t="s">
        <v>124</v>
      </c>
      <c r="G11" s="254" t="s">
        <v>125</v>
      </c>
      <c r="H11" s="254" t="s">
        <v>126</v>
      </c>
      <c r="I11" s="254" t="s">
        <v>127</v>
      </c>
      <c r="J11" s="254" t="s">
        <v>128</v>
      </c>
      <c r="K11" s="253" t="s">
        <v>130</v>
      </c>
      <c r="L11" s="254" t="s">
        <v>131</v>
      </c>
      <c r="N11" s="7" t="s">
        <v>328</v>
      </c>
      <c r="O11" s="7" t="s">
        <v>349</v>
      </c>
      <c r="P11" s="107"/>
      <c r="R11" s="18"/>
      <c r="S11" s="18"/>
    </row>
    <row r="12">
      <c r="B12" s="59" t="s">
        <v>129</v>
      </c>
      <c r="C12" s="60"/>
      <c r="D12" s="113">
        <v>8257.5</v>
      </c>
      <c r="E12" s="113">
        <v>8402.25</v>
      </c>
      <c r="F12" s="113">
        <v>8402.25</v>
      </c>
      <c r="G12" s="113">
        <v>8402.25</v>
      </c>
      <c r="H12" s="113">
        <v>8402.26</v>
      </c>
      <c r="I12" s="113">
        <v>8402.25</v>
      </c>
      <c r="J12" s="113">
        <v>8402.25</v>
      </c>
      <c r="K12" s="113">
        <v>8324.69</v>
      </c>
      <c r="L12" s="113">
        <v>8324.69</v>
      </c>
      <c r="N12" s="7"/>
      <c r="O12" s="7" t="s">
        <v>192</v>
      </c>
      <c r="P12" s="107"/>
      <c r="R12" s="18"/>
    </row>
    <row r="13">
      <c r="B13" s="59" t="s">
        <v>136</v>
      </c>
      <c r="C13" s="60"/>
      <c r="D13" s="114">
        <f>2040+3294.58</f>
        <v>5334.58</v>
      </c>
      <c r="E13" s="114">
        <f>2040+3421.67</f>
        <v>5461.67</v>
      </c>
      <c r="F13" s="114">
        <v>5721.67</v>
      </c>
      <c r="G13" s="114">
        <f>2160+3065.41+512.46</f>
        <v>5737.87</v>
      </c>
      <c r="H13" s="114">
        <f>2160+3077.41+512.46</f>
        <v>5749.87</v>
      </c>
      <c r="I13" s="114">
        <f>2160+3089.41+512.46</f>
        <v>5761.87</v>
      </c>
      <c r="J13" s="114">
        <f>2160+3070.12+502.75</f>
        <v>5732.87</v>
      </c>
      <c r="K13" s="114">
        <v>5721.67</v>
      </c>
      <c r="L13" s="114">
        <v>5721.67</v>
      </c>
      <c r="N13" s="303"/>
      <c r="O13" s="107"/>
      <c r="P13" s="27"/>
      <c r="R13" s="18"/>
    </row>
    <row r="14">
      <c r="B14" s="59" t="s">
        <v>137</v>
      </c>
      <c r="C14" s="60"/>
      <c r="D14" s="313"/>
      <c r="E14" s="114"/>
      <c r="F14" s="114"/>
      <c r="G14" s="114"/>
      <c r="H14" s="114"/>
      <c r="I14" s="114"/>
      <c r="J14" s="114"/>
      <c r="K14" s="114"/>
      <c r="L14" s="115"/>
      <c r="N14" s="363"/>
      <c r="O14" s="107"/>
      <c r="P14" s="107"/>
      <c r="R14" s="18"/>
    </row>
    <row r="15">
      <c r="B15" s="59" t="s">
        <v>138</v>
      </c>
      <c r="C15" s="60"/>
      <c r="D15" s="348"/>
      <c r="E15" s="117"/>
      <c r="F15" s="117"/>
      <c r="G15" s="114"/>
      <c r="H15" s="114"/>
      <c r="I15" s="114">
        <f>4166.67+6417.54</f>
        <v>10584.21</v>
      </c>
      <c r="J15" s="117"/>
      <c r="K15" s="118"/>
      <c r="L15" s="118"/>
      <c r="N15" s="32"/>
      <c r="O15" s="107"/>
      <c r="P15" s="107"/>
      <c r="R15" s="18"/>
    </row>
    <row r="16">
      <c r="B16" s="67" t="s">
        <v>139</v>
      </c>
      <c r="C16" s="68"/>
      <c r="D16" s="315">
        <f t="shared" ref="D16:L16" si="1">SUM(D12:D15)</f>
        <v>13592.08</v>
      </c>
      <c r="E16" s="315">
        <f t="shared" si="1"/>
        <v>13863.92</v>
      </c>
      <c r="F16" s="119">
        <f t="shared" si="1"/>
        <v>14123.92</v>
      </c>
      <c r="G16" s="119">
        <f t="shared" si="1"/>
        <v>14140.12</v>
      </c>
      <c r="H16" s="119">
        <f t="shared" si="1"/>
        <v>14152.13</v>
      </c>
      <c r="I16" s="119">
        <f t="shared" si="1"/>
        <v>24748.33</v>
      </c>
      <c r="J16" s="119">
        <f t="shared" si="1"/>
        <v>14135.12</v>
      </c>
      <c r="K16" s="119">
        <f t="shared" si="1"/>
        <v>14046.36</v>
      </c>
      <c r="L16" s="119">
        <f t="shared" si="1"/>
        <v>14046.36</v>
      </c>
      <c r="N16" s="248"/>
      <c r="R16" s="18"/>
      <c r="U16" s="107"/>
    </row>
    <row r="17">
      <c r="D17" s="311"/>
      <c r="E17" s="311"/>
      <c r="N17" s="32"/>
      <c r="O17" s="107"/>
      <c r="R17" s="18"/>
      <c r="U17" s="27"/>
    </row>
    <row r="18">
      <c r="B18" s="70" t="s">
        <v>140</v>
      </c>
      <c r="C18" s="71"/>
      <c r="D18" s="316" t="s">
        <v>123</v>
      </c>
      <c r="E18" s="316" t="s">
        <v>124</v>
      </c>
      <c r="F18" s="316" t="s">
        <v>125</v>
      </c>
      <c r="G18" s="316" t="s">
        <v>126</v>
      </c>
      <c r="H18" s="316" t="s">
        <v>127</v>
      </c>
      <c r="I18" s="58" t="s">
        <v>128</v>
      </c>
      <c r="J18" s="58" t="s">
        <v>129</v>
      </c>
      <c r="K18" s="58" t="s">
        <v>130</v>
      </c>
      <c r="L18" s="58" t="s">
        <v>131</v>
      </c>
      <c r="N18" s="107"/>
      <c r="O18" s="26"/>
      <c r="P18" s="107"/>
      <c r="R18" s="18"/>
    </row>
    <row r="19">
      <c r="B19" s="121" t="s">
        <v>141</v>
      </c>
      <c r="C19" s="122"/>
      <c r="D19" s="378">
        <v>350.0</v>
      </c>
      <c r="E19" s="378">
        <v>350.0</v>
      </c>
      <c r="F19" s="378">
        <v>350.0</v>
      </c>
      <c r="G19" s="378">
        <v>0.0</v>
      </c>
      <c r="H19" s="378">
        <v>350.0</v>
      </c>
      <c r="I19" s="378">
        <v>370.0</v>
      </c>
      <c r="J19" s="123">
        <f t="shared" ref="J19:L19" si="2">I19</f>
        <v>370</v>
      </c>
      <c r="K19" s="378">
        <f t="shared" si="2"/>
        <v>370</v>
      </c>
      <c r="L19" s="378">
        <f t="shared" si="2"/>
        <v>370</v>
      </c>
      <c r="N19" s="107" t="s">
        <v>331</v>
      </c>
      <c r="O19" s="192"/>
      <c r="R19" s="18"/>
    </row>
    <row r="20">
      <c r="B20" s="121" t="s">
        <v>142</v>
      </c>
      <c r="C20" s="122"/>
      <c r="D20" s="378">
        <v>200.0</v>
      </c>
      <c r="E20" s="378">
        <v>200.0</v>
      </c>
      <c r="F20" s="378">
        <v>200.0</v>
      </c>
      <c r="G20" s="378">
        <v>200.0</v>
      </c>
      <c r="H20" s="378">
        <v>200.0</v>
      </c>
      <c r="I20" s="378">
        <v>213.2</v>
      </c>
      <c r="J20" s="123">
        <v>220.0</v>
      </c>
      <c r="K20" s="378">
        <f t="shared" ref="K20:L20" si="3">J20</f>
        <v>220</v>
      </c>
      <c r="L20" s="378">
        <f t="shared" si="3"/>
        <v>220</v>
      </c>
      <c r="N20" s="192"/>
      <c r="O20" s="26" t="s">
        <v>27</v>
      </c>
      <c r="P20" s="26" t="s">
        <v>274</v>
      </c>
      <c r="Q20" s="26" t="s">
        <v>351</v>
      </c>
      <c r="R20" s="26" t="s">
        <v>333</v>
      </c>
      <c r="S20" s="26" t="s">
        <v>367</v>
      </c>
      <c r="T20" s="376" t="s">
        <v>368</v>
      </c>
      <c r="U20" s="26" t="s">
        <v>48</v>
      </c>
      <c r="V20" s="18" t="s">
        <v>369</v>
      </c>
    </row>
    <row r="21">
      <c r="B21" s="121" t="s">
        <v>143</v>
      </c>
      <c r="C21" s="122"/>
      <c r="D21" s="379">
        <v>174.85</v>
      </c>
      <c r="E21" s="379">
        <v>174.85</v>
      </c>
      <c r="F21" s="379">
        <v>174.85</v>
      </c>
      <c r="G21" s="396">
        <v>79.3</v>
      </c>
      <c r="H21" s="396">
        <v>69.9</v>
      </c>
      <c r="I21" s="396">
        <v>139.9</v>
      </c>
      <c r="J21" s="125">
        <v>139.9</v>
      </c>
      <c r="K21" s="379">
        <v>139.9</v>
      </c>
      <c r="L21" s="379">
        <v>174.85</v>
      </c>
      <c r="N21" s="121" t="s">
        <v>141</v>
      </c>
      <c r="O21" s="400"/>
      <c r="P21" s="400"/>
      <c r="Q21" s="404">
        <v>370.0</v>
      </c>
      <c r="R21" s="400"/>
      <c r="S21" s="400"/>
      <c r="T21" s="400"/>
      <c r="U21" s="400"/>
      <c r="V21" s="400"/>
    </row>
    <row r="22">
      <c r="B22" s="121" t="s">
        <v>144</v>
      </c>
      <c r="C22" s="122"/>
      <c r="D22" s="378">
        <v>100.0</v>
      </c>
      <c r="E22" s="378">
        <v>100.0</v>
      </c>
      <c r="F22" s="378">
        <v>100.0</v>
      </c>
      <c r="G22" s="378">
        <v>100.0</v>
      </c>
      <c r="H22" s="378">
        <v>100.0</v>
      </c>
      <c r="I22" s="378">
        <f t="shared" ref="I22:L22" si="4">H22</f>
        <v>100</v>
      </c>
      <c r="J22" s="123">
        <f t="shared" si="4"/>
        <v>100</v>
      </c>
      <c r="K22" s="378">
        <f t="shared" si="4"/>
        <v>100</v>
      </c>
      <c r="L22" s="378">
        <f t="shared" si="4"/>
        <v>100</v>
      </c>
      <c r="N22" s="121" t="s">
        <v>142</v>
      </c>
      <c r="O22" s="400"/>
      <c r="P22" s="400"/>
      <c r="Q22" s="404">
        <v>220.0</v>
      </c>
      <c r="R22" s="400"/>
      <c r="S22" s="400"/>
      <c r="T22" s="400"/>
      <c r="U22" s="400"/>
      <c r="V22" s="400"/>
    </row>
    <row r="23">
      <c r="B23" s="121" t="s">
        <v>145</v>
      </c>
      <c r="C23" s="122"/>
      <c r="D23" s="378">
        <v>2500.0</v>
      </c>
      <c r="E23" s="378">
        <v>2500.0</v>
      </c>
      <c r="F23" s="378">
        <v>2500.0</v>
      </c>
      <c r="G23" s="378">
        <v>2500.0</v>
      </c>
      <c r="H23" s="378">
        <v>3000.0</v>
      </c>
      <c r="I23" s="378">
        <f t="shared" ref="I23:L23" si="5">H23</f>
        <v>3000</v>
      </c>
      <c r="J23" s="123">
        <f t="shared" si="5"/>
        <v>3000</v>
      </c>
      <c r="K23" s="378">
        <f t="shared" si="5"/>
        <v>3000</v>
      </c>
      <c r="L23" s="378">
        <f t="shared" si="5"/>
        <v>3000</v>
      </c>
      <c r="N23" s="121" t="s">
        <v>143</v>
      </c>
      <c r="O23" s="400"/>
      <c r="P23" s="400"/>
      <c r="Q23" s="404">
        <v>139.9</v>
      </c>
      <c r="R23" s="400"/>
      <c r="S23" s="400"/>
      <c r="T23" s="400"/>
      <c r="U23" s="400"/>
      <c r="V23" s="400"/>
    </row>
    <row r="24">
      <c r="B24" s="121" t="s">
        <v>146</v>
      </c>
      <c r="C24" s="126" t="s">
        <v>147</v>
      </c>
      <c r="D24" s="378">
        <v>400.0</v>
      </c>
      <c r="E24" s="378">
        <v>400.0</v>
      </c>
      <c r="F24" s="378">
        <v>404.8</v>
      </c>
      <c r="G24" s="378">
        <v>400.0</v>
      </c>
      <c r="H24" s="378">
        <v>404.8</v>
      </c>
      <c r="I24" s="378">
        <v>404.8</v>
      </c>
      <c r="J24" s="123">
        <v>404.8</v>
      </c>
      <c r="K24" s="378">
        <f t="shared" ref="K24:L24" si="6">J24</f>
        <v>404.8</v>
      </c>
      <c r="L24" s="378">
        <f t="shared" si="6"/>
        <v>404.8</v>
      </c>
      <c r="N24" s="121" t="s">
        <v>144</v>
      </c>
      <c r="O24" s="400"/>
      <c r="P24" s="400"/>
      <c r="Q24" s="404">
        <v>100.0</v>
      </c>
      <c r="R24" s="400"/>
      <c r="S24" s="400"/>
      <c r="T24" s="400"/>
      <c r="U24" s="400"/>
      <c r="V24" s="400"/>
      <c r="W24" s="28"/>
    </row>
    <row r="25">
      <c r="B25" s="127" t="s">
        <v>180</v>
      </c>
      <c r="C25" s="128"/>
      <c r="D25" s="378">
        <v>0.0</v>
      </c>
      <c r="E25" s="378">
        <v>0.0</v>
      </c>
      <c r="F25" s="378">
        <v>0.0</v>
      </c>
      <c r="G25" s="378">
        <v>0.0</v>
      </c>
      <c r="H25" s="378">
        <v>0.0</v>
      </c>
      <c r="I25" s="378">
        <v>0.0</v>
      </c>
      <c r="J25" s="129">
        <v>0.0</v>
      </c>
      <c r="K25" s="378"/>
      <c r="L25" s="378">
        <v>500.0</v>
      </c>
      <c r="N25" s="121" t="s">
        <v>145</v>
      </c>
      <c r="O25" s="400"/>
      <c r="P25" s="400"/>
      <c r="Q25" s="404">
        <v>3000.0</v>
      </c>
      <c r="R25" s="400"/>
      <c r="S25" s="400"/>
      <c r="T25" s="400"/>
      <c r="U25" s="400"/>
      <c r="V25" s="400"/>
    </row>
    <row r="26">
      <c r="B26" s="121" t="s">
        <v>148</v>
      </c>
      <c r="C26" s="122"/>
      <c r="D26" s="378">
        <v>500.0</v>
      </c>
      <c r="E26" s="378">
        <v>500.0</v>
      </c>
      <c r="F26" s="378">
        <v>500.0</v>
      </c>
      <c r="G26" s="378">
        <v>500.0</v>
      </c>
      <c r="H26" s="378">
        <v>600.0</v>
      </c>
      <c r="I26" s="378">
        <v>500.0</v>
      </c>
      <c r="J26" s="123">
        <f t="shared" ref="J26:L26" si="7">I26</f>
        <v>500</v>
      </c>
      <c r="K26" s="378">
        <f t="shared" si="7"/>
        <v>500</v>
      </c>
      <c r="L26" s="378">
        <f t="shared" si="7"/>
        <v>500</v>
      </c>
      <c r="N26" s="121" t="s">
        <v>146</v>
      </c>
      <c r="O26" s="404">
        <v>204.8</v>
      </c>
      <c r="P26" s="404">
        <v>200.0</v>
      </c>
      <c r="Q26" s="400"/>
      <c r="R26" s="400"/>
      <c r="S26" s="400"/>
      <c r="T26" s="400"/>
      <c r="U26" s="400"/>
      <c r="V26" s="400"/>
    </row>
    <row r="27">
      <c r="B27" s="121" t="s">
        <v>149</v>
      </c>
      <c r="C27" s="122"/>
      <c r="D27" s="378">
        <v>500.0</v>
      </c>
      <c r="E27" s="378">
        <v>500.0</v>
      </c>
      <c r="F27" s="378">
        <v>500.0</v>
      </c>
      <c r="G27" s="378">
        <v>500.0</v>
      </c>
      <c r="H27" s="378">
        <v>500.0</v>
      </c>
      <c r="I27" s="378">
        <f t="shared" ref="I27:L27" si="8">H27</f>
        <v>500</v>
      </c>
      <c r="J27" s="123">
        <f t="shared" si="8"/>
        <v>500</v>
      </c>
      <c r="K27" s="378">
        <f t="shared" si="8"/>
        <v>500</v>
      </c>
      <c r="L27" s="378">
        <f t="shared" si="8"/>
        <v>500</v>
      </c>
      <c r="N27" s="127" t="s">
        <v>180</v>
      </c>
      <c r="O27" s="404">
        <v>0.0</v>
      </c>
      <c r="P27" s="400"/>
      <c r="Q27" s="400"/>
      <c r="R27" s="400"/>
      <c r="S27" s="400"/>
      <c r="T27" s="400"/>
      <c r="U27" s="400"/>
      <c r="V27" s="400"/>
    </row>
    <row r="28">
      <c r="B28" s="127" t="s">
        <v>181</v>
      </c>
      <c r="C28" s="128"/>
      <c r="D28" s="378">
        <v>650.0</v>
      </c>
      <c r="E28" s="378">
        <v>150.0</v>
      </c>
      <c r="F28" s="378">
        <v>150.0</v>
      </c>
      <c r="G28" s="378">
        <v>150.0</v>
      </c>
      <c r="H28" s="378">
        <v>150.0</v>
      </c>
      <c r="I28" s="378">
        <v>150.0</v>
      </c>
      <c r="J28" s="129">
        <v>150.0</v>
      </c>
      <c r="K28" s="378">
        <v>150.0</v>
      </c>
      <c r="L28" s="378">
        <v>150.0</v>
      </c>
      <c r="N28" s="121" t="s">
        <v>148</v>
      </c>
      <c r="O28" s="400"/>
      <c r="P28" s="400"/>
      <c r="Q28" s="404">
        <v>500.0</v>
      </c>
      <c r="R28" s="400"/>
      <c r="S28" s="400"/>
      <c r="T28" s="400"/>
      <c r="U28" s="400"/>
      <c r="V28" s="400"/>
    </row>
    <row r="29">
      <c r="B29" s="121" t="s">
        <v>150</v>
      </c>
      <c r="C29" s="122"/>
      <c r="D29" s="378">
        <v>400.0</v>
      </c>
      <c r="E29" s="378">
        <v>400.0</v>
      </c>
      <c r="F29" s="378">
        <v>400.0</v>
      </c>
      <c r="G29" s="378">
        <v>400.0</v>
      </c>
      <c r="H29" s="378">
        <v>400.0</v>
      </c>
      <c r="I29" s="378">
        <f t="shared" ref="I29:L29" si="9">H29</f>
        <v>400</v>
      </c>
      <c r="J29" s="123">
        <f t="shared" si="9"/>
        <v>400</v>
      </c>
      <c r="K29" s="378">
        <f t="shared" si="9"/>
        <v>400</v>
      </c>
      <c r="L29" s="378">
        <f t="shared" si="9"/>
        <v>400</v>
      </c>
      <c r="N29" s="121" t="s">
        <v>149</v>
      </c>
      <c r="O29" s="400"/>
      <c r="P29" s="400"/>
      <c r="Q29" s="404">
        <v>500.0</v>
      </c>
      <c r="R29" s="400"/>
      <c r="S29" s="400"/>
      <c r="T29" s="400"/>
      <c r="U29" s="400"/>
      <c r="V29" s="400"/>
    </row>
    <row r="30">
      <c r="B30" s="127" t="s">
        <v>182</v>
      </c>
      <c r="C30" s="128"/>
      <c r="D30" s="378"/>
      <c r="E30" s="378"/>
      <c r="F30" s="378"/>
      <c r="G30" s="378">
        <v>160.0</v>
      </c>
      <c r="H30" s="378">
        <v>160.0</v>
      </c>
      <c r="I30" s="378">
        <v>180.0</v>
      </c>
      <c r="J30" s="129">
        <v>87.36</v>
      </c>
      <c r="K30" s="378">
        <v>160.0</v>
      </c>
      <c r="L30" s="378">
        <v>160.0</v>
      </c>
      <c r="N30" s="127" t="s">
        <v>181</v>
      </c>
      <c r="O30" s="400"/>
      <c r="P30" s="400"/>
      <c r="Q30" s="404">
        <v>150.0</v>
      </c>
      <c r="R30" s="400"/>
      <c r="S30" s="400"/>
      <c r="T30" s="400"/>
      <c r="U30" s="400"/>
      <c r="V30" s="400"/>
    </row>
    <row r="31">
      <c r="B31" s="127" t="s">
        <v>183</v>
      </c>
      <c r="C31" s="128"/>
      <c r="D31" s="378">
        <v>400.0</v>
      </c>
      <c r="E31" s="378">
        <v>400.0</v>
      </c>
      <c r="F31" s="378">
        <v>400.0</v>
      </c>
      <c r="G31" s="378">
        <v>400.0</v>
      </c>
      <c r="H31" s="378">
        <v>400.0</v>
      </c>
      <c r="I31" s="378">
        <v>400.0</v>
      </c>
      <c r="J31" s="129">
        <v>400.0</v>
      </c>
      <c r="K31" s="378">
        <v>400.0</v>
      </c>
      <c r="L31" s="378">
        <v>400.0</v>
      </c>
      <c r="N31" s="121" t="s">
        <v>150</v>
      </c>
      <c r="O31" s="400"/>
      <c r="P31" s="404">
        <v>400.0</v>
      </c>
      <c r="Q31" s="400"/>
      <c r="R31" s="400"/>
      <c r="S31" s="404"/>
      <c r="T31" s="404"/>
      <c r="U31" s="404"/>
      <c r="V31" s="404"/>
    </row>
    <row r="32">
      <c r="B32" s="121" t="s">
        <v>152</v>
      </c>
      <c r="C32" s="122"/>
      <c r="D32" s="390"/>
      <c r="E32" s="390"/>
      <c r="F32" s="378"/>
      <c r="G32" s="378"/>
      <c r="H32" s="378"/>
      <c r="I32" s="390"/>
      <c r="J32" s="123"/>
      <c r="K32" s="378"/>
      <c r="L32" s="378"/>
      <c r="N32" s="127" t="s">
        <v>182</v>
      </c>
      <c r="O32" s="400"/>
      <c r="P32" s="400"/>
      <c r="Q32" s="400"/>
      <c r="R32" s="400"/>
      <c r="S32" s="404"/>
      <c r="T32" s="404">
        <v>87.36</v>
      </c>
      <c r="U32" s="404"/>
      <c r="V32" s="404"/>
    </row>
    <row r="33">
      <c r="B33" s="121" t="s">
        <v>154</v>
      </c>
      <c r="C33" s="122"/>
      <c r="D33" s="378">
        <v>122.0</v>
      </c>
      <c r="E33" s="378">
        <v>105.46</v>
      </c>
      <c r="F33" s="378">
        <v>105.46</v>
      </c>
      <c r="G33" s="378">
        <v>105.46</v>
      </c>
      <c r="H33" s="378">
        <v>105.46</v>
      </c>
      <c r="I33" s="378">
        <v>136.92</v>
      </c>
      <c r="J33" s="123">
        <v>136.92</v>
      </c>
      <c r="K33" s="378">
        <f t="shared" ref="K33:L33" si="10">J33</f>
        <v>136.92</v>
      </c>
      <c r="L33" s="378">
        <f t="shared" si="10"/>
        <v>136.92</v>
      </c>
      <c r="N33" s="127" t="s">
        <v>183</v>
      </c>
      <c r="O33" s="400"/>
      <c r="P33" s="400"/>
      <c r="Q33" s="400"/>
      <c r="R33" s="400"/>
      <c r="S33" s="404"/>
      <c r="T33" s="404">
        <v>400.0</v>
      </c>
      <c r="U33" s="404"/>
      <c r="V33" s="404"/>
    </row>
    <row r="34">
      <c r="B34" s="121" t="s">
        <v>155</v>
      </c>
      <c r="C34" s="122"/>
      <c r="D34" s="390"/>
      <c r="E34" s="390"/>
      <c r="F34" s="390"/>
      <c r="G34" s="390"/>
      <c r="H34" s="390"/>
      <c r="I34" s="378" t="str">
        <f t="shared" ref="I34:L34" si="11">H34</f>
        <v/>
      </c>
      <c r="J34" s="123" t="str">
        <f t="shared" si="11"/>
        <v/>
      </c>
      <c r="K34" s="378" t="str">
        <f t="shared" si="11"/>
        <v/>
      </c>
      <c r="L34" s="378" t="str">
        <f t="shared" si="11"/>
        <v/>
      </c>
      <c r="N34" s="121" t="s">
        <v>152</v>
      </c>
      <c r="O34" s="400"/>
      <c r="P34" s="400"/>
      <c r="Q34" s="400"/>
      <c r="R34" s="400"/>
      <c r="S34" s="404"/>
      <c r="T34" s="404"/>
      <c r="U34" s="404"/>
      <c r="V34" s="404"/>
    </row>
    <row r="35">
      <c r="B35" s="121" t="s">
        <v>156</v>
      </c>
      <c r="C35" s="122"/>
      <c r="D35" s="378">
        <v>150.0</v>
      </c>
      <c r="E35" s="378">
        <v>150.0</v>
      </c>
      <c r="F35" s="378"/>
      <c r="G35" s="378">
        <v>150.0</v>
      </c>
      <c r="H35" s="378">
        <f>400+400+150</f>
        <v>950</v>
      </c>
      <c r="I35" s="378">
        <v>800.0</v>
      </c>
      <c r="J35" s="131">
        <v>300.0</v>
      </c>
      <c r="K35" s="390">
        <v>150.0</v>
      </c>
      <c r="L35" s="390"/>
      <c r="N35" s="121" t="s">
        <v>154</v>
      </c>
      <c r="O35" s="400">
        <f>136.92-13</f>
        <v>123.92</v>
      </c>
      <c r="P35" s="404">
        <v>13.0</v>
      </c>
      <c r="Q35" s="400"/>
      <c r="R35" s="400"/>
      <c r="S35" s="404"/>
      <c r="T35" s="404"/>
      <c r="U35" s="404"/>
      <c r="V35" s="404"/>
      <c r="W35" s="32"/>
    </row>
    <row r="36">
      <c r="B36" s="121" t="s">
        <v>157</v>
      </c>
      <c r="C36" s="122"/>
      <c r="D36" s="378">
        <v>50.0</v>
      </c>
      <c r="E36" s="378">
        <v>50.0</v>
      </c>
      <c r="F36" s="378">
        <v>50.0</v>
      </c>
      <c r="G36" s="378">
        <v>50.0</v>
      </c>
      <c r="H36" s="378">
        <f t="shared" ref="H36:L36" si="12">G36</f>
        <v>50</v>
      </c>
      <c r="I36" s="378">
        <f t="shared" si="12"/>
        <v>50</v>
      </c>
      <c r="J36" s="123">
        <f t="shared" si="12"/>
        <v>50</v>
      </c>
      <c r="K36" s="378">
        <f t="shared" si="12"/>
        <v>50</v>
      </c>
      <c r="L36" s="378">
        <f t="shared" si="12"/>
        <v>50</v>
      </c>
      <c r="N36" s="121" t="s">
        <v>155</v>
      </c>
      <c r="O36" s="400"/>
      <c r="P36" s="400"/>
      <c r="Q36" s="400"/>
      <c r="R36" s="400"/>
      <c r="S36" s="404"/>
      <c r="T36" s="404"/>
      <c r="U36" s="404"/>
      <c r="V36" s="404"/>
      <c r="X36" s="18"/>
    </row>
    <row r="37">
      <c r="B37" s="121" t="s">
        <v>158</v>
      </c>
      <c r="C37" s="122"/>
      <c r="D37" s="390"/>
      <c r="E37" s="390"/>
      <c r="F37" s="390"/>
      <c r="G37" s="390"/>
      <c r="H37" s="378" t="str">
        <f t="shared" ref="H37:L37" si="13">G37</f>
        <v/>
      </c>
      <c r="I37" s="378" t="str">
        <f t="shared" si="13"/>
        <v/>
      </c>
      <c r="J37" s="123" t="str">
        <f t="shared" si="13"/>
        <v/>
      </c>
      <c r="K37" s="378" t="str">
        <f t="shared" si="13"/>
        <v/>
      </c>
      <c r="L37" s="378" t="str">
        <f t="shared" si="13"/>
        <v/>
      </c>
      <c r="N37" s="121" t="s">
        <v>156</v>
      </c>
      <c r="O37" s="400"/>
      <c r="P37" s="400"/>
      <c r="Q37" s="400"/>
      <c r="R37" s="400"/>
      <c r="S37" s="404"/>
      <c r="T37" s="404">
        <v>300.0</v>
      </c>
      <c r="U37" s="404"/>
      <c r="V37" s="404"/>
      <c r="X37" s="18"/>
    </row>
    <row r="38">
      <c r="B38" s="121" t="s">
        <v>159</v>
      </c>
      <c r="C38" s="122"/>
      <c r="D38" s="378">
        <f t="shared" ref="D38:E38" si="14">400+400+150</f>
        <v>950</v>
      </c>
      <c r="E38" s="378">
        <f t="shared" si="14"/>
        <v>950</v>
      </c>
      <c r="F38" s="378">
        <v>950.0</v>
      </c>
      <c r="G38" s="378">
        <v>950.0</v>
      </c>
      <c r="H38" s="378">
        <f t="shared" ref="H38:K38" si="15">400+400+150</f>
        <v>950</v>
      </c>
      <c r="I38" s="378">
        <f t="shared" si="15"/>
        <v>950</v>
      </c>
      <c r="J38" s="123">
        <f t="shared" si="15"/>
        <v>950</v>
      </c>
      <c r="K38" s="378">
        <f t="shared" si="15"/>
        <v>950</v>
      </c>
      <c r="L38" s="378">
        <v>800.0</v>
      </c>
      <c r="N38" s="121" t="s">
        <v>157</v>
      </c>
      <c r="O38" s="400"/>
      <c r="P38" s="400"/>
      <c r="Q38" s="400"/>
      <c r="R38" s="400"/>
      <c r="S38" s="404"/>
      <c r="T38" s="404"/>
      <c r="U38" s="404"/>
      <c r="V38" s="404">
        <v>50.0</v>
      </c>
    </row>
    <row r="39">
      <c r="B39" s="121" t="s">
        <v>160</v>
      </c>
      <c r="C39" s="122"/>
      <c r="D39" s="378">
        <v>3000.0</v>
      </c>
      <c r="E39" s="378">
        <v>3000.0</v>
      </c>
      <c r="F39" s="378">
        <v>3000.0</v>
      </c>
      <c r="G39" s="378">
        <v>3000.0</v>
      </c>
      <c r="H39" s="378">
        <f t="shared" ref="H39:L39" si="16">G39</f>
        <v>3000</v>
      </c>
      <c r="I39" s="378">
        <f t="shared" si="16"/>
        <v>3000</v>
      </c>
      <c r="J39" s="123">
        <f t="shared" si="16"/>
        <v>3000</v>
      </c>
      <c r="K39" s="378">
        <f t="shared" si="16"/>
        <v>3000</v>
      </c>
      <c r="L39" s="378">
        <f t="shared" si="16"/>
        <v>3000</v>
      </c>
      <c r="N39" s="121" t="s">
        <v>158</v>
      </c>
      <c r="O39" s="400"/>
      <c r="P39" s="400"/>
      <c r="Q39" s="400"/>
      <c r="R39" s="400"/>
      <c r="S39" s="404"/>
      <c r="T39" s="404"/>
      <c r="U39" s="404"/>
      <c r="V39" s="404"/>
    </row>
    <row r="40">
      <c r="B40" s="127" t="s">
        <v>184</v>
      </c>
      <c r="C40" s="128"/>
      <c r="D40" s="377">
        <v>1087.8499999999985</v>
      </c>
      <c r="E40" s="378">
        <v>700.0</v>
      </c>
      <c r="F40" s="378">
        <v>700.0</v>
      </c>
      <c r="G40" s="378">
        <v>700.0</v>
      </c>
      <c r="H40" s="378">
        <v>700.0</v>
      </c>
      <c r="I40" s="378">
        <v>700.0</v>
      </c>
      <c r="J40" s="129">
        <v>700.0</v>
      </c>
      <c r="K40" s="378">
        <v>700.0</v>
      </c>
      <c r="L40" s="378">
        <v>700.0</v>
      </c>
      <c r="N40" s="121" t="s">
        <v>159</v>
      </c>
      <c r="O40" s="400">
        <v>400.0</v>
      </c>
      <c r="P40" s="404">
        <v>550.0</v>
      </c>
      <c r="Q40" s="400"/>
      <c r="R40" s="400"/>
      <c r="S40" s="404"/>
      <c r="T40" s="404"/>
      <c r="U40" s="404"/>
      <c r="V40" s="404"/>
    </row>
    <row r="41">
      <c r="B41" s="127" t="s">
        <v>3</v>
      </c>
      <c r="C41" s="128"/>
      <c r="D41" s="378">
        <v>500.0</v>
      </c>
      <c r="E41" s="378">
        <v>500.0</v>
      </c>
      <c r="F41" s="378">
        <v>500.0</v>
      </c>
      <c r="G41" s="378">
        <v>500.0</v>
      </c>
      <c r="H41" s="378">
        <v>500.0</v>
      </c>
      <c r="I41" s="378">
        <v>500.0</v>
      </c>
      <c r="J41" s="129">
        <v>500.0</v>
      </c>
      <c r="K41" s="378">
        <v>500.0</v>
      </c>
      <c r="L41" s="378">
        <v>500.0</v>
      </c>
      <c r="N41" s="121" t="s">
        <v>160</v>
      </c>
      <c r="O41" s="400">
        <v>1500.0</v>
      </c>
      <c r="P41" s="404">
        <v>1500.0</v>
      </c>
      <c r="Q41" s="400"/>
      <c r="R41" s="400"/>
      <c r="S41" s="404"/>
      <c r="T41" s="404"/>
      <c r="U41" s="404"/>
      <c r="V41" s="404"/>
    </row>
    <row r="42">
      <c r="B42" s="67" t="s">
        <v>161</v>
      </c>
      <c r="C42" s="68"/>
      <c r="D42" s="132">
        <f t="shared" ref="D42:L42" si="17">SUM(D19:D41)*-1</f>
        <v>-12034.7</v>
      </c>
      <c r="E42" s="132">
        <f t="shared" si="17"/>
        <v>-11130.31</v>
      </c>
      <c r="F42" s="132">
        <f t="shared" si="17"/>
        <v>-10985.11</v>
      </c>
      <c r="G42" s="132">
        <f t="shared" si="17"/>
        <v>-10844.76</v>
      </c>
      <c r="H42" s="132">
        <f t="shared" si="17"/>
        <v>-12590.16</v>
      </c>
      <c r="I42" s="132">
        <f t="shared" si="17"/>
        <v>-12494.82</v>
      </c>
      <c r="J42" s="132">
        <f t="shared" si="17"/>
        <v>-11908.98</v>
      </c>
      <c r="K42" s="132">
        <f t="shared" si="17"/>
        <v>-11831.62</v>
      </c>
      <c r="L42" s="132">
        <f t="shared" si="17"/>
        <v>-12066.57</v>
      </c>
      <c r="N42" s="127" t="s">
        <v>184</v>
      </c>
      <c r="O42" s="400"/>
      <c r="P42" s="400"/>
      <c r="Q42" s="400"/>
      <c r="R42" s="404">
        <v>700.0</v>
      </c>
      <c r="S42" s="404"/>
      <c r="T42" s="404"/>
      <c r="U42" s="404"/>
      <c r="V42" s="404"/>
    </row>
    <row r="43">
      <c r="N43" s="127" t="s">
        <v>3</v>
      </c>
      <c r="O43" s="400"/>
      <c r="P43" s="400"/>
      <c r="Q43" s="400"/>
      <c r="R43" s="400"/>
      <c r="S43" s="404">
        <v>500.0</v>
      </c>
      <c r="T43" s="404"/>
      <c r="U43" s="404"/>
      <c r="V43" s="404"/>
    </row>
    <row r="44">
      <c r="B44" s="80" t="s">
        <v>162</v>
      </c>
      <c r="C44" s="81"/>
      <c r="D44" s="82">
        <f t="shared" ref="D44:L44" si="18">D16+D42</f>
        <v>1557.38</v>
      </c>
      <c r="E44" s="82">
        <f t="shared" si="18"/>
        <v>2733.61</v>
      </c>
      <c r="F44" s="82">
        <f t="shared" si="18"/>
        <v>3138.81</v>
      </c>
      <c r="G44" s="82">
        <f t="shared" si="18"/>
        <v>3295.36</v>
      </c>
      <c r="H44" s="82">
        <f t="shared" si="18"/>
        <v>1561.97</v>
      </c>
      <c r="I44" s="82">
        <f t="shared" si="18"/>
        <v>12253.51</v>
      </c>
      <c r="J44" s="82">
        <f t="shared" si="18"/>
        <v>2226.14</v>
      </c>
      <c r="K44" s="82">
        <f t="shared" si="18"/>
        <v>2214.74</v>
      </c>
      <c r="L44" s="82">
        <f t="shared" si="18"/>
        <v>1979.79</v>
      </c>
      <c r="N44" s="18" t="s">
        <v>379</v>
      </c>
      <c r="O44" s="400"/>
      <c r="P44" s="400"/>
      <c r="Q44" s="400"/>
      <c r="R44" s="400"/>
      <c r="S44" s="400"/>
      <c r="T44" s="400"/>
      <c r="U44" s="404">
        <v>1723.29</v>
      </c>
      <c r="V44" s="400"/>
    </row>
    <row r="45">
      <c r="B45" s="83"/>
      <c r="C45" s="83"/>
      <c r="D45" s="84"/>
      <c r="E45" s="84"/>
      <c r="F45" s="84"/>
      <c r="G45" s="84"/>
      <c r="H45" s="84"/>
      <c r="I45" s="84"/>
      <c r="J45" s="84"/>
      <c r="K45" s="84"/>
      <c r="L45" s="84"/>
      <c r="N45" s="7" t="s">
        <v>26</v>
      </c>
      <c r="O45" s="373">
        <f t="shared" ref="O45:V45" si="19">SUM(O21:O44)</f>
        <v>2228.72</v>
      </c>
      <c r="P45" s="373">
        <f t="shared" si="19"/>
        <v>2663</v>
      </c>
      <c r="Q45" s="373">
        <f t="shared" si="19"/>
        <v>4979.9</v>
      </c>
      <c r="R45" s="373">
        <f t="shared" si="19"/>
        <v>700</v>
      </c>
      <c r="S45" s="373">
        <f t="shared" si="19"/>
        <v>500</v>
      </c>
      <c r="T45" s="373">
        <f t="shared" si="19"/>
        <v>787.36</v>
      </c>
      <c r="U45" s="373">
        <f t="shared" si="19"/>
        <v>1723.29</v>
      </c>
      <c r="V45" s="373">
        <f t="shared" si="19"/>
        <v>50</v>
      </c>
    </row>
    <row r="46">
      <c r="B46" s="85" t="s">
        <v>163</v>
      </c>
      <c r="C46" s="86"/>
      <c r="D46" s="57" t="s">
        <v>123</v>
      </c>
      <c r="E46" s="57" t="s">
        <v>124</v>
      </c>
      <c r="F46" s="57" t="s">
        <v>125</v>
      </c>
      <c r="G46" s="57" t="s">
        <v>126</v>
      </c>
      <c r="H46" s="57" t="s">
        <v>127</v>
      </c>
      <c r="I46" s="57" t="s">
        <v>128</v>
      </c>
      <c r="J46" s="57" t="s">
        <v>129</v>
      </c>
      <c r="K46" s="57" t="s">
        <v>130</v>
      </c>
      <c r="L46" s="57" t="s">
        <v>131</v>
      </c>
      <c r="N46" s="107" t="s">
        <v>371</v>
      </c>
      <c r="O46" s="391">
        <f>(J12)-O45</f>
        <v>6173.53</v>
      </c>
      <c r="P46" s="386"/>
      <c r="Q46" s="287"/>
    </row>
    <row r="47">
      <c r="B47" s="87" t="s">
        <v>185</v>
      </c>
      <c r="C47" s="88"/>
      <c r="D47" s="89"/>
      <c r="E47" s="89"/>
      <c r="F47" s="89"/>
      <c r="G47" s="134">
        <v>512.46</v>
      </c>
      <c r="H47" s="134">
        <v>512.46</v>
      </c>
      <c r="I47" s="134">
        <v>512.46</v>
      </c>
      <c r="J47" s="134">
        <v>502.75</v>
      </c>
      <c r="K47" s="134"/>
      <c r="L47" s="134">
        <v>512.38</v>
      </c>
      <c r="N47" s="325" t="s">
        <v>353</v>
      </c>
    </row>
    <row r="48">
      <c r="A48" s="298">
        <v>45020.0</v>
      </c>
      <c r="B48" s="87" t="s">
        <v>58</v>
      </c>
      <c r="C48" s="88"/>
      <c r="D48" s="91"/>
      <c r="E48" s="91"/>
      <c r="F48" s="91"/>
      <c r="G48" s="91"/>
      <c r="H48" s="91"/>
      <c r="I48" s="135"/>
      <c r="J48" s="135"/>
      <c r="K48" s="135"/>
      <c r="L48" s="135">
        <v>1000.0</v>
      </c>
      <c r="N48" s="107"/>
      <c r="S48" s="393">
        <f>P45-550</f>
        <v>2113</v>
      </c>
    </row>
    <row r="49">
      <c r="B49" s="87"/>
      <c r="C49" s="88"/>
      <c r="D49" s="91"/>
      <c r="E49" s="91"/>
      <c r="F49" s="91"/>
      <c r="G49" s="91"/>
      <c r="H49" s="91"/>
      <c r="I49" s="91"/>
      <c r="J49" s="91"/>
      <c r="K49" s="91"/>
      <c r="L49" s="91"/>
      <c r="N49" s="107"/>
    </row>
    <row r="50">
      <c r="B50" s="92"/>
      <c r="C50" s="93"/>
      <c r="D50" s="94"/>
      <c r="E50" s="94"/>
      <c r="F50" s="94"/>
      <c r="G50" s="94"/>
      <c r="H50" s="94"/>
      <c r="I50" s="94"/>
      <c r="J50" s="94"/>
      <c r="K50" s="94"/>
      <c r="L50" s="94"/>
      <c r="N50" s="107"/>
      <c r="R50" s="387"/>
      <c r="U50" s="387"/>
    </row>
    <row r="51">
      <c r="B51" s="67" t="s">
        <v>167</v>
      </c>
      <c r="C51" s="95">
        <f>SUM(C47:C50)</f>
        <v>0</v>
      </c>
      <c r="D51" s="78">
        <f t="shared" ref="D51:L51" si="20">SUM(D47:D50)*-1</f>
        <v>0</v>
      </c>
      <c r="E51" s="78">
        <f t="shared" si="20"/>
        <v>0</v>
      </c>
      <c r="F51" s="78">
        <f t="shared" si="20"/>
        <v>0</v>
      </c>
      <c r="G51" s="78">
        <f t="shared" si="20"/>
        <v>-512.46</v>
      </c>
      <c r="H51" s="78">
        <f t="shared" si="20"/>
        <v>-512.46</v>
      </c>
      <c r="I51" s="78">
        <f t="shared" si="20"/>
        <v>-512.46</v>
      </c>
      <c r="J51" s="78">
        <f t="shared" si="20"/>
        <v>-502.75</v>
      </c>
      <c r="K51" s="78">
        <f t="shared" si="20"/>
        <v>0</v>
      </c>
      <c r="L51" s="78">
        <f t="shared" si="20"/>
        <v>-1512.38</v>
      </c>
      <c r="N51" s="394" t="s">
        <v>48</v>
      </c>
      <c r="O51" s="395"/>
      <c r="P51" s="389" t="s">
        <v>370</v>
      </c>
      <c r="Q51" s="389"/>
    </row>
    <row r="52">
      <c r="B52" s="83"/>
      <c r="C52" s="83"/>
      <c r="D52" s="96"/>
      <c r="E52" s="96"/>
      <c r="F52" s="96"/>
      <c r="G52" s="96"/>
      <c r="H52" s="96"/>
      <c r="I52" s="96"/>
      <c r="J52" s="96"/>
      <c r="K52" s="96"/>
      <c r="L52" s="96"/>
      <c r="N52" s="107"/>
    </row>
    <row r="53">
      <c r="B53" s="97" t="s">
        <v>168</v>
      </c>
      <c r="C53" s="98"/>
      <c r="D53" s="99">
        <f t="shared" ref="D53:L53" si="21">D44+D51</f>
        <v>1557.38</v>
      </c>
      <c r="E53" s="99">
        <f t="shared" si="21"/>
        <v>2733.61</v>
      </c>
      <c r="F53" s="99">
        <f t="shared" si="21"/>
        <v>3138.81</v>
      </c>
      <c r="G53" s="99">
        <f t="shared" si="21"/>
        <v>2782.9</v>
      </c>
      <c r="H53" s="99">
        <f t="shared" si="21"/>
        <v>1049.51</v>
      </c>
      <c r="I53" s="99">
        <f t="shared" si="21"/>
        <v>11741.05</v>
      </c>
      <c r="J53" s="99">
        <f t="shared" si="21"/>
        <v>1723.39</v>
      </c>
      <c r="K53" s="99">
        <f t="shared" si="21"/>
        <v>2214.74</v>
      </c>
      <c r="L53" s="99">
        <f t="shared" si="21"/>
        <v>467.41</v>
      </c>
      <c r="N53" s="107"/>
      <c r="O53" s="107"/>
    </row>
    <row r="54">
      <c r="B54" s="83"/>
      <c r="C54" s="83"/>
      <c r="D54" s="96"/>
      <c r="E54" s="96"/>
      <c r="F54" s="96"/>
      <c r="G54" s="96"/>
      <c r="H54" s="96"/>
      <c r="I54" s="96"/>
      <c r="J54" s="96"/>
      <c r="K54" s="96"/>
      <c r="L54" s="96"/>
      <c r="N54" s="107"/>
      <c r="O54" s="18"/>
    </row>
    <row r="55">
      <c r="B55" s="100" t="s">
        <v>169</v>
      </c>
      <c r="C55" s="101"/>
      <c r="D55" s="57" t="s">
        <v>123</v>
      </c>
      <c r="E55" s="57" t="s">
        <v>124</v>
      </c>
      <c r="F55" s="57" t="s">
        <v>125</v>
      </c>
      <c r="G55" s="57" t="s">
        <v>126</v>
      </c>
      <c r="H55" s="57" t="s">
        <v>127</v>
      </c>
      <c r="I55" s="57" t="s">
        <v>128</v>
      </c>
      <c r="J55" s="57" t="s">
        <v>129</v>
      </c>
      <c r="K55" s="57" t="s">
        <v>130</v>
      </c>
      <c r="L55" s="57" t="s">
        <v>131</v>
      </c>
      <c r="N55" s="107"/>
      <c r="O55" s="18"/>
    </row>
    <row r="56">
      <c r="B56" s="102" t="s">
        <v>170</v>
      </c>
      <c r="C56" s="103"/>
      <c r="D56" s="104"/>
      <c r="E56" s="105">
        <v>0.0</v>
      </c>
      <c r="F56" s="105"/>
      <c r="G56" s="105"/>
      <c r="H56" s="105"/>
      <c r="I56" s="105"/>
      <c r="J56" s="105"/>
      <c r="K56" s="105"/>
      <c r="L56" s="105">
        <f>K58</f>
        <v>2214.74</v>
      </c>
      <c r="N56" s="27"/>
    </row>
    <row r="57">
      <c r="B57" s="102" t="s">
        <v>171</v>
      </c>
      <c r="C57" s="103"/>
      <c r="D57" s="106">
        <f>+D53</f>
        <v>1557.38</v>
      </c>
      <c r="E57" s="106">
        <v>1572.02</v>
      </c>
      <c r="F57" s="106">
        <f t="shared" ref="F57:L57" si="22">+F53</f>
        <v>3138.81</v>
      </c>
      <c r="G57" s="106">
        <f t="shared" si="22"/>
        <v>2782.9</v>
      </c>
      <c r="H57" s="106">
        <f t="shared" si="22"/>
        <v>1049.51</v>
      </c>
      <c r="I57" s="106">
        <f t="shared" si="22"/>
        <v>11741.05</v>
      </c>
      <c r="J57" s="106">
        <f t="shared" si="22"/>
        <v>1723.39</v>
      </c>
      <c r="K57" s="106">
        <f t="shared" si="22"/>
        <v>2214.74</v>
      </c>
      <c r="L57" s="106">
        <f t="shared" si="22"/>
        <v>467.41</v>
      </c>
      <c r="N57" s="27"/>
    </row>
    <row r="58">
      <c r="B58" s="67" t="s">
        <v>173</v>
      </c>
      <c r="C58" s="68"/>
      <c r="D58" s="95">
        <f t="shared" ref="D58:L58" si="23">SUM(D56:D57)</f>
        <v>1557.38</v>
      </c>
      <c r="E58" s="95">
        <f t="shared" si="23"/>
        <v>1572.02</v>
      </c>
      <c r="F58" s="95">
        <f t="shared" si="23"/>
        <v>3138.81</v>
      </c>
      <c r="G58" s="95">
        <f t="shared" si="23"/>
        <v>2782.9</v>
      </c>
      <c r="H58" s="95">
        <f t="shared" si="23"/>
        <v>1049.51</v>
      </c>
      <c r="I58" s="95">
        <f t="shared" si="23"/>
        <v>11741.05</v>
      </c>
      <c r="J58" s="95">
        <f t="shared" si="23"/>
        <v>1723.39</v>
      </c>
      <c r="K58" s="95">
        <f t="shared" si="23"/>
        <v>2214.74</v>
      </c>
      <c r="L58" s="95">
        <f t="shared" si="23"/>
        <v>2682.15</v>
      </c>
      <c r="N58" s="27"/>
    </row>
    <row r="59">
      <c r="D59" s="362"/>
      <c r="E59" s="362"/>
      <c r="N59" s="27"/>
    </row>
    <row r="60">
      <c r="I60" s="18">
        <v>1239.94</v>
      </c>
      <c r="N60" s="27"/>
    </row>
    <row r="61">
      <c r="N61" s="27"/>
    </row>
    <row r="62">
      <c r="N62" s="27"/>
    </row>
    <row r="63">
      <c r="N63" s="27"/>
    </row>
    <row r="64">
      <c r="N64" s="27"/>
    </row>
    <row r="65">
      <c r="N65" s="27"/>
    </row>
    <row r="66">
      <c r="N66" s="27"/>
    </row>
    <row r="67">
      <c r="N67" s="27"/>
    </row>
    <row r="68">
      <c r="N68" s="27"/>
    </row>
    <row r="69">
      <c r="N69" s="27"/>
    </row>
    <row r="70">
      <c r="N70" s="27"/>
    </row>
    <row r="71">
      <c r="N71" s="27"/>
    </row>
    <row r="72">
      <c r="N72" s="27"/>
    </row>
    <row r="73">
      <c r="N73" s="27"/>
    </row>
    <row r="74">
      <c r="N74" s="27"/>
    </row>
    <row r="75">
      <c r="N75" s="27"/>
    </row>
    <row r="76">
      <c r="N76" s="27"/>
    </row>
    <row r="77">
      <c r="N77" s="27"/>
    </row>
    <row r="78">
      <c r="N78" s="27"/>
    </row>
    <row r="79">
      <c r="N79" s="27"/>
    </row>
    <row r="80">
      <c r="N80" s="27"/>
    </row>
    <row r="81">
      <c r="N81" s="27"/>
    </row>
    <row r="82">
      <c r="N82" s="27"/>
    </row>
    <row r="83">
      <c r="N83" s="27"/>
    </row>
    <row r="84">
      <c r="N84" s="27"/>
    </row>
    <row r="85">
      <c r="N85" s="27"/>
    </row>
    <row r="86">
      <c r="N86" s="27"/>
    </row>
    <row r="87">
      <c r="N87" s="27"/>
    </row>
    <row r="88">
      <c r="N88" s="27"/>
    </row>
    <row r="89">
      <c r="N89" s="27"/>
    </row>
    <row r="90">
      <c r="N90" s="27"/>
    </row>
    <row r="91">
      <c r="N91" s="27"/>
    </row>
    <row r="92">
      <c r="N92" s="27"/>
    </row>
    <row r="93">
      <c r="N93" s="27"/>
    </row>
    <row r="94">
      <c r="N94" s="27"/>
    </row>
    <row r="95">
      <c r="N95" s="27"/>
    </row>
    <row r="96">
      <c r="N96" s="27"/>
    </row>
    <row r="97">
      <c r="N97" s="27"/>
    </row>
    <row r="98">
      <c r="N98" s="27"/>
    </row>
    <row r="99">
      <c r="N99" s="27"/>
    </row>
    <row r="100">
      <c r="N100" s="27"/>
    </row>
    <row r="101">
      <c r="N101" s="27"/>
    </row>
    <row r="102">
      <c r="N102" s="27"/>
    </row>
    <row r="103">
      <c r="N103" s="27"/>
    </row>
    <row r="104">
      <c r="N104" s="27"/>
    </row>
    <row r="105">
      <c r="N105" s="27"/>
    </row>
    <row r="106">
      <c r="N106" s="27"/>
    </row>
    <row r="107">
      <c r="N107" s="27"/>
    </row>
    <row r="108">
      <c r="N108" s="27"/>
    </row>
    <row r="109">
      <c r="N109" s="27"/>
    </row>
    <row r="110">
      <c r="N110" s="27"/>
    </row>
    <row r="111">
      <c r="N111" s="27"/>
    </row>
    <row r="112">
      <c r="N112" s="27"/>
    </row>
    <row r="113">
      <c r="N113" s="27"/>
    </row>
    <row r="114">
      <c r="N114" s="27"/>
    </row>
    <row r="115">
      <c r="N115" s="27"/>
    </row>
    <row r="116">
      <c r="N116" s="27"/>
    </row>
    <row r="117">
      <c r="N117" s="27"/>
    </row>
    <row r="118">
      <c r="N118" s="27"/>
    </row>
    <row r="119">
      <c r="N119" s="27"/>
    </row>
    <row r="120">
      <c r="N120" s="27"/>
    </row>
    <row r="121">
      <c r="N121" s="27"/>
    </row>
    <row r="122">
      <c r="N122" s="27"/>
    </row>
    <row r="123">
      <c r="N123" s="27"/>
    </row>
    <row r="124">
      <c r="N124" s="27"/>
    </row>
    <row r="125">
      <c r="N125" s="27"/>
    </row>
    <row r="126">
      <c r="N126" s="27"/>
    </row>
    <row r="127">
      <c r="N127" s="27"/>
    </row>
    <row r="128">
      <c r="N128" s="27"/>
    </row>
    <row r="129">
      <c r="N129" s="27"/>
    </row>
    <row r="130">
      <c r="N130" s="27"/>
    </row>
    <row r="131">
      <c r="N131" s="27"/>
    </row>
    <row r="132">
      <c r="N132" s="27"/>
    </row>
    <row r="133">
      <c r="N133" s="27"/>
    </row>
    <row r="134">
      <c r="N134" s="27"/>
    </row>
    <row r="135">
      <c r="N135" s="27"/>
    </row>
    <row r="136">
      <c r="N136" s="27"/>
    </row>
    <row r="137">
      <c r="N137" s="27"/>
    </row>
    <row r="138">
      <c r="N138" s="27"/>
    </row>
    <row r="139">
      <c r="N139" s="27"/>
    </row>
    <row r="140">
      <c r="N140" s="27"/>
    </row>
    <row r="141">
      <c r="N141" s="27"/>
    </row>
    <row r="142">
      <c r="N142" s="27"/>
    </row>
    <row r="143">
      <c r="N143" s="27"/>
    </row>
    <row r="144">
      <c r="N144" s="27"/>
    </row>
    <row r="145">
      <c r="N145" s="27"/>
    </row>
    <row r="146">
      <c r="N146" s="27"/>
    </row>
    <row r="147">
      <c r="N147" s="27"/>
    </row>
    <row r="148">
      <c r="N148" s="27"/>
    </row>
    <row r="149">
      <c r="N149" s="27"/>
    </row>
    <row r="150">
      <c r="N150" s="27"/>
    </row>
    <row r="151">
      <c r="N151" s="27"/>
    </row>
    <row r="152">
      <c r="N152" s="27"/>
    </row>
    <row r="153">
      <c r="N153" s="27"/>
    </row>
    <row r="154">
      <c r="N154" s="27"/>
    </row>
    <row r="155">
      <c r="N155" s="27"/>
    </row>
    <row r="156">
      <c r="N156" s="27"/>
    </row>
    <row r="157">
      <c r="N157" s="27"/>
    </row>
    <row r="158">
      <c r="N158" s="27"/>
    </row>
    <row r="159">
      <c r="N159" s="27"/>
    </row>
    <row r="160">
      <c r="N160" s="27"/>
    </row>
    <row r="161">
      <c r="N161" s="27"/>
    </row>
    <row r="162">
      <c r="N162" s="27"/>
    </row>
    <row r="163">
      <c r="N163" s="27"/>
    </row>
    <row r="164">
      <c r="N164" s="27"/>
    </row>
    <row r="165">
      <c r="N165" s="27"/>
    </row>
    <row r="166">
      <c r="N166" s="27"/>
    </row>
    <row r="167">
      <c r="N167" s="27"/>
    </row>
    <row r="168">
      <c r="N168" s="27"/>
    </row>
    <row r="169">
      <c r="N169" s="27"/>
    </row>
    <row r="170">
      <c r="N170" s="27"/>
    </row>
    <row r="171">
      <c r="N171" s="27"/>
    </row>
    <row r="172">
      <c r="N172" s="27"/>
    </row>
    <row r="173">
      <c r="N173" s="27"/>
    </row>
    <row r="174">
      <c r="N174" s="27"/>
    </row>
    <row r="175">
      <c r="N175" s="27"/>
    </row>
    <row r="176">
      <c r="N176" s="27"/>
    </row>
    <row r="177">
      <c r="N177" s="27"/>
    </row>
    <row r="178">
      <c r="N178" s="27"/>
    </row>
    <row r="179">
      <c r="N179" s="27"/>
    </row>
    <row r="180">
      <c r="N180" s="27"/>
    </row>
    <row r="181">
      <c r="N181" s="27"/>
    </row>
    <row r="182">
      <c r="N182" s="27"/>
    </row>
    <row r="183">
      <c r="N183" s="27"/>
    </row>
    <row r="184">
      <c r="N184" s="27"/>
    </row>
    <row r="185">
      <c r="N185" s="27"/>
    </row>
    <row r="186">
      <c r="N186" s="27"/>
    </row>
    <row r="187">
      <c r="N187" s="27"/>
    </row>
    <row r="188">
      <c r="N188" s="27"/>
    </row>
    <row r="189">
      <c r="N189" s="27"/>
    </row>
    <row r="190">
      <c r="N190" s="27"/>
    </row>
    <row r="191">
      <c r="N191" s="27"/>
    </row>
    <row r="192">
      <c r="N192" s="27"/>
    </row>
    <row r="193">
      <c r="N193" s="27"/>
    </row>
    <row r="194">
      <c r="N194" s="27"/>
    </row>
    <row r="195">
      <c r="N195" s="27"/>
    </row>
    <row r="196">
      <c r="N196" s="27"/>
    </row>
    <row r="197">
      <c r="N197" s="27"/>
    </row>
    <row r="198">
      <c r="N198" s="27"/>
    </row>
    <row r="199">
      <c r="N199" s="27"/>
    </row>
    <row r="200">
      <c r="N200" s="27"/>
    </row>
    <row r="201">
      <c r="N201" s="27"/>
    </row>
    <row r="202">
      <c r="N202" s="27"/>
    </row>
    <row r="203">
      <c r="N203" s="27"/>
    </row>
    <row r="204">
      <c r="N204" s="27"/>
    </row>
    <row r="205">
      <c r="N205" s="27"/>
    </row>
    <row r="206">
      <c r="N206" s="27"/>
    </row>
    <row r="207">
      <c r="N207" s="27"/>
    </row>
    <row r="208">
      <c r="N208" s="27"/>
    </row>
    <row r="209">
      <c r="N209" s="27"/>
    </row>
    <row r="210">
      <c r="N210" s="27"/>
    </row>
    <row r="211">
      <c r="N211" s="27"/>
    </row>
    <row r="212">
      <c r="N212" s="27"/>
    </row>
    <row r="213">
      <c r="N213" s="27"/>
    </row>
    <row r="214">
      <c r="N214" s="27"/>
    </row>
    <row r="215">
      <c r="N215" s="27"/>
    </row>
    <row r="216">
      <c r="N216" s="27"/>
    </row>
    <row r="217">
      <c r="N217" s="27"/>
    </row>
    <row r="218">
      <c r="N218" s="27"/>
    </row>
    <row r="219">
      <c r="N219" s="27"/>
    </row>
    <row r="220">
      <c r="N220" s="27"/>
    </row>
    <row r="221">
      <c r="N221" s="27"/>
    </row>
    <row r="222">
      <c r="N222" s="27"/>
    </row>
    <row r="223">
      <c r="N223" s="27"/>
    </row>
    <row r="224">
      <c r="N224" s="27"/>
    </row>
    <row r="225">
      <c r="N225" s="27"/>
    </row>
    <row r="226">
      <c r="N226" s="27"/>
    </row>
    <row r="227">
      <c r="N227" s="27"/>
    </row>
    <row r="228">
      <c r="N228" s="27"/>
    </row>
    <row r="229">
      <c r="N229" s="27"/>
    </row>
    <row r="230">
      <c r="N230" s="27"/>
    </row>
    <row r="231">
      <c r="N231" s="27"/>
    </row>
    <row r="232">
      <c r="N232" s="27"/>
    </row>
    <row r="233">
      <c r="N233" s="27"/>
    </row>
    <row r="234">
      <c r="N234" s="27"/>
    </row>
    <row r="235">
      <c r="N235" s="27"/>
    </row>
    <row r="236">
      <c r="N236" s="27"/>
    </row>
    <row r="237">
      <c r="N237" s="27"/>
    </row>
    <row r="238">
      <c r="N238" s="27"/>
    </row>
    <row r="239">
      <c r="N239" s="27"/>
    </row>
    <row r="240">
      <c r="N240" s="27"/>
    </row>
    <row r="241">
      <c r="N241" s="27"/>
    </row>
    <row r="242">
      <c r="N242" s="27"/>
    </row>
    <row r="243">
      <c r="N243" s="27"/>
    </row>
    <row r="244">
      <c r="N244" s="27"/>
    </row>
    <row r="245">
      <c r="N245" s="27"/>
    </row>
    <row r="246">
      <c r="N246" s="27"/>
    </row>
    <row r="247">
      <c r="N247" s="27"/>
    </row>
    <row r="248">
      <c r="N248" s="27"/>
    </row>
    <row r="249">
      <c r="N249" s="27"/>
    </row>
    <row r="250">
      <c r="N250" s="27"/>
    </row>
    <row r="251">
      <c r="N251" s="27"/>
    </row>
    <row r="252">
      <c r="N252" s="27"/>
    </row>
    <row r="253">
      <c r="N253" s="27"/>
    </row>
    <row r="254">
      <c r="N254" s="27"/>
    </row>
    <row r="255">
      <c r="N255" s="27"/>
    </row>
    <row r="256">
      <c r="N256" s="27"/>
    </row>
    <row r="257">
      <c r="N257" s="27"/>
    </row>
    <row r="258">
      <c r="N258" s="27"/>
    </row>
    <row r="259">
      <c r="N259" s="27"/>
    </row>
    <row r="260">
      <c r="N260" s="27"/>
    </row>
    <row r="261">
      <c r="N261" s="27"/>
    </row>
    <row r="262">
      <c r="N262" s="27"/>
    </row>
    <row r="263">
      <c r="N263" s="27"/>
    </row>
    <row r="264">
      <c r="N264" s="27"/>
    </row>
    <row r="265">
      <c r="N265" s="27"/>
    </row>
    <row r="266">
      <c r="N266" s="27"/>
    </row>
    <row r="267">
      <c r="N267" s="27"/>
    </row>
    <row r="268">
      <c r="N268" s="27"/>
    </row>
    <row r="269">
      <c r="N269" s="27"/>
    </row>
    <row r="270">
      <c r="N270" s="27"/>
    </row>
    <row r="271">
      <c r="N271" s="27"/>
    </row>
    <row r="272">
      <c r="N272" s="27"/>
    </row>
    <row r="273">
      <c r="N273" s="27"/>
    </row>
    <row r="274">
      <c r="N274" s="27"/>
    </row>
    <row r="275">
      <c r="N275" s="27"/>
    </row>
    <row r="276">
      <c r="N276" s="27"/>
    </row>
    <row r="277">
      <c r="N277" s="27"/>
    </row>
    <row r="278">
      <c r="N278" s="27"/>
    </row>
    <row r="279">
      <c r="N279" s="27"/>
    </row>
    <row r="280">
      <c r="N280" s="27"/>
    </row>
    <row r="281">
      <c r="N281" s="27"/>
    </row>
    <row r="282">
      <c r="N282" s="27"/>
    </row>
    <row r="283">
      <c r="N283" s="27"/>
    </row>
    <row r="284">
      <c r="N284" s="27"/>
    </row>
    <row r="285">
      <c r="N285" s="27"/>
    </row>
    <row r="286">
      <c r="N286" s="27"/>
    </row>
    <row r="287">
      <c r="N287" s="27"/>
    </row>
    <row r="288">
      <c r="N288" s="27"/>
    </row>
    <row r="289">
      <c r="N289" s="27"/>
    </row>
    <row r="290">
      <c r="N290" s="27"/>
    </row>
    <row r="291">
      <c r="N291" s="27"/>
    </row>
    <row r="292">
      <c r="N292" s="27"/>
    </row>
    <row r="293">
      <c r="N293" s="27"/>
    </row>
    <row r="294">
      <c r="N294" s="27"/>
    </row>
    <row r="295">
      <c r="N295" s="27"/>
    </row>
    <row r="296">
      <c r="N296" s="27"/>
    </row>
    <row r="297">
      <c r="N297" s="27"/>
    </row>
    <row r="298">
      <c r="N298" s="27"/>
    </row>
    <row r="299">
      <c r="N299" s="27"/>
    </row>
    <row r="300">
      <c r="N300" s="27"/>
    </row>
    <row r="301">
      <c r="N301" s="27"/>
    </row>
    <row r="302">
      <c r="N302" s="27"/>
    </row>
    <row r="303">
      <c r="N303" s="27"/>
    </row>
    <row r="304">
      <c r="N304" s="27"/>
    </row>
    <row r="305">
      <c r="N305" s="27"/>
    </row>
    <row r="306">
      <c r="N306" s="27"/>
    </row>
    <row r="307">
      <c r="N307" s="27"/>
    </row>
    <row r="308">
      <c r="N308" s="27"/>
    </row>
    <row r="309">
      <c r="N309" s="27"/>
    </row>
    <row r="310">
      <c r="N310" s="27"/>
    </row>
    <row r="311">
      <c r="N311" s="27"/>
    </row>
    <row r="312">
      <c r="N312" s="27"/>
    </row>
    <row r="313">
      <c r="N313" s="27"/>
    </row>
    <row r="314">
      <c r="N314" s="27"/>
    </row>
    <row r="315">
      <c r="N315" s="27"/>
    </row>
    <row r="316">
      <c r="N316" s="27"/>
    </row>
    <row r="317">
      <c r="N317" s="27"/>
    </row>
    <row r="318">
      <c r="N318" s="27"/>
    </row>
    <row r="319">
      <c r="N319" s="27"/>
    </row>
    <row r="320">
      <c r="N320" s="27"/>
    </row>
    <row r="321">
      <c r="N321" s="27"/>
    </row>
    <row r="322">
      <c r="N322" s="27"/>
    </row>
    <row r="323">
      <c r="N323" s="27"/>
    </row>
    <row r="324">
      <c r="N324" s="27"/>
    </row>
    <row r="325">
      <c r="N325" s="27"/>
    </row>
    <row r="326">
      <c r="N326" s="27"/>
    </row>
    <row r="327">
      <c r="N327" s="27"/>
    </row>
    <row r="328">
      <c r="N328" s="27"/>
    </row>
    <row r="329">
      <c r="N329" s="27"/>
    </row>
    <row r="330">
      <c r="N330" s="27"/>
    </row>
    <row r="331">
      <c r="N331" s="27"/>
    </row>
    <row r="332">
      <c r="N332" s="27"/>
    </row>
    <row r="333">
      <c r="N333" s="27"/>
    </row>
    <row r="334">
      <c r="N334" s="27"/>
    </row>
    <row r="335">
      <c r="N335" s="27"/>
    </row>
    <row r="336">
      <c r="N336" s="27"/>
    </row>
    <row r="337">
      <c r="N337" s="27"/>
    </row>
    <row r="338">
      <c r="N338" s="27"/>
    </row>
    <row r="339">
      <c r="N339" s="27"/>
    </row>
    <row r="340">
      <c r="N340" s="27"/>
    </row>
    <row r="341">
      <c r="N341" s="27"/>
    </row>
    <row r="342">
      <c r="N342" s="27"/>
    </row>
    <row r="343">
      <c r="N343" s="27"/>
    </row>
    <row r="344">
      <c r="N344" s="27"/>
    </row>
    <row r="345">
      <c r="N345" s="27"/>
    </row>
    <row r="346">
      <c r="N346" s="27"/>
    </row>
    <row r="347">
      <c r="N347" s="27"/>
    </row>
    <row r="348">
      <c r="N348" s="27"/>
    </row>
    <row r="349">
      <c r="N349" s="27"/>
    </row>
    <row r="350">
      <c r="N350" s="27"/>
    </row>
    <row r="351">
      <c r="N351" s="27"/>
    </row>
    <row r="352">
      <c r="N352" s="27"/>
    </row>
    <row r="353">
      <c r="N353" s="27"/>
    </row>
    <row r="354">
      <c r="N354" s="27"/>
    </row>
    <row r="355">
      <c r="N355" s="27"/>
    </row>
    <row r="356">
      <c r="N356" s="27"/>
    </row>
    <row r="357">
      <c r="N357" s="27"/>
    </row>
    <row r="358">
      <c r="N358" s="27"/>
    </row>
    <row r="359">
      <c r="N359" s="27"/>
    </row>
    <row r="360">
      <c r="N360" s="27"/>
    </row>
    <row r="361">
      <c r="N361" s="27"/>
    </row>
    <row r="362">
      <c r="N362" s="27"/>
    </row>
    <row r="363">
      <c r="N363" s="27"/>
    </row>
    <row r="364">
      <c r="N364" s="27"/>
    </row>
    <row r="365">
      <c r="N365" s="27"/>
    </row>
    <row r="366">
      <c r="N366" s="27"/>
    </row>
    <row r="367">
      <c r="N367" s="27"/>
    </row>
    <row r="368">
      <c r="N368" s="27"/>
    </row>
    <row r="369">
      <c r="N369" s="27"/>
    </row>
    <row r="370">
      <c r="N370" s="27"/>
    </row>
    <row r="371">
      <c r="N371" s="27"/>
    </row>
    <row r="372">
      <c r="N372" s="27"/>
    </row>
    <row r="373">
      <c r="N373" s="27"/>
    </row>
    <row r="374">
      <c r="N374" s="27"/>
    </row>
    <row r="375">
      <c r="N375" s="27"/>
    </row>
    <row r="376">
      <c r="N376" s="27"/>
    </row>
    <row r="377">
      <c r="N377" s="27"/>
    </row>
    <row r="378">
      <c r="N378" s="27"/>
    </row>
    <row r="379">
      <c r="N379" s="27"/>
    </row>
    <row r="380">
      <c r="N380" s="27"/>
    </row>
    <row r="381">
      <c r="N381" s="27"/>
    </row>
    <row r="382">
      <c r="N382" s="27"/>
    </row>
    <row r="383">
      <c r="N383" s="27"/>
    </row>
    <row r="384">
      <c r="N384" s="27"/>
    </row>
    <row r="385">
      <c r="N385" s="27"/>
    </row>
    <row r="386">
      <c r="N386" s="27"/>
    </row>
    <row r="387">
      <c r="N387" s="27"/>
    </row>
    <row r="388">
      <c r="N388" s="27"/>
    </row>
    <row r="389">
      <c r="N389" s="27"/>
    </row>
    <row r="390">
      <c r="N390" s="27"/>
    </row>
    <row r="391">
      <c r="N391" s="27"/>
    </row>
    <row r="392">
      <c r="N392" s="27"/>
    </row>
    <row r="393">
      <c r="N393" s="27"/>
    </row>
    <row r="394">
      <c r="N394" s="27"/>
    </row>
    <row r="395">
      <c r="N395" s="27"/>
    </row>
    <row r="396">
      <c r="N396" s="27"/>
    </row>
    <row r="397">
      <c r="N397" s="27"/>
    </row>
    <row r="398">
      <c r="N398" s="27"/>
    </row>
    <row r="399">
      <c r="N399" s="27"/>
    </row>
    <row r="400">
      <c r="N400" s="27"/>
    </row>
    <row r="401">
      <c r="N401" s="27"/>
    </row>
    <row r="402">
      <c r="N402" s="27"/>
    </row>
    <row r="403">
      <c r="N403" s="27"/>
    </row>
    <row r="404">
      <c r="N404" s="27"/>
    </row>
    <row r="405">
      <c r="N405" s="27"/>
    </row>
    <row r="406">
      <c r="N406" s="27"/>
    </row>
    <row r="407">
      <c r="N407" s="27"/>
    </row>
    <row r="408">
      <c r="N408" s="27"/>
    </row>
    <row r="409">
      <c r="N409" s="27"/>
    </row>
    <row r="410">
      <c r="N410" s="27"/>
    </row>
    <row r="411">
      <c r="N411" s="27"/>
    </row>
    <row r="412">
      <c r="N412" s="27"/>
    </row>
    <row r="413">
      <c r="N413" s="27"/>
    </row>
    <row r="414">
      <c r="N414" s="27"/>
    </row>
    <row r="415">
      <c r="N415" s="27"/>
    </row>
    <row r="416">
      <c r="N416" s="27"/>
    </row>
    <row r="417">
      <c r="N417" s="27"/>
    </row>
    <row r="418">
      <c r="N418" s="27"/>
    </row>
    <row r="419">
      <c r="N419" s="27"/>
    </row>
    <row r="420">
      <c r="N420" s="27"/>
    </row>
    <row r="421">
      <c r="N421" s="27"/>
    </row>
    <row r="422">
      <c r="N422" s="27"/>
    </row>
    <row r="423">
      <c r="N423" s="27"/>
    </row>
    <row r="424">
      <c r="N424" s="27"/>
    </row>
    <row r="425">
      <c r="N425" s="27"/>
    </row>
    <row r="426">
      <c r="N426" s="27"/>
    </row>
    <row r="427">
      <c r="N427" s="27"/>
    </row>
    <row r="428">
      <c r="N428" s="27"/>
    </row>
    <row r="429">
      <c r="N429" s="27"/>
    </row>
    <row r="430">
      <c r="N430" s="27"/>
    </row>
    <row r="431">
      <c r="N431" s="27"/>
    </row>
    <row r="432">
      <c r="N432" s="27"/>
    </row>
    <row r="433">
      <c r="N433" s="27"/>
    </row>
    <row r="434">
      <c r="N434" s="27"/>
    </row>
    <row r="435">
      <c r="N435" s="27"/>
    </row>
    <row r="436">
      <c r="N436" s="27"/>
    </row>
    <row r="437">
      <c r="N437" s="27"/>
    </row>
    <row r="438">
      <c r="N438" s="27"/>
    </row>
    <row r="439">
      <c r="N439" s="27"/>
    </row>
    <row r="440">
      <c r="N440" s="27"/>
    </row>
    <row r="441">
      <c r="N441" s="27"/>
    </row>
    <row r="442">
      <c r="N442" s="27"/>
    </row>
    <row r="443">
      <c r="N443" s="27"/>
    </row>
    <row r="444">
      <c r="N444" s="27"/>
    </row>
    <row r="445">
      <c r="N445" s="27"/>
    </row>
    <row r="446">
      <c r="N446" s="27"/>
    </row>
    <row r="447">
      <c r="N447" s="27"/>
    </row>
    <row r="448">
      <c r="N448" s="27"/>
    </row>
    <row r="449">
      <c r="N449" s="27"/>
    </row>
    <row r="450">
      <c r="N450" s="27"/>
    </row>
    <row r="451">
      <c r="N451" s="27"/>
    </row>
    <row r="452">
      <c r="N452" s="27"/>
    </row>
    <row r="453">
      <c r="N453" s="27"/>
    </row>
    <row r="454">
      <c r="N454" s="27"/>
    </row>
    <row r="455">
      <c r="N455" s="27"/>
    </row>
    <row r="456">
      <c r="N456" s="27"/>
    </row>
    <row r="457">
      <c r="N457" s="27"/>
    </row>
    <row r="458">
      <c r="N458" s="27"/>
    </row>
    <row r="459">
      <c r="N459" s="27"/>
    </row>
    <row r="460">
      <c r="N460" s="27"/>
    </row>
    <row r="461">
      <c r="N461" s="27"/>
    </row>
    <row r="462">
      <c r="N462" s="27"/>
    </row>
    <row r="463">
      <c r="N463" s="27"/>
    </row>
    <row r="464">
      <c r="N464" s="27"/>
    </row>
    <row r="465">
      <c r="N465" s="27"/>
    </row>
    <row r="466">
      <c r="N466" s="27"/>
    </row>
    <row r="467">
      <c r="N467" s="27"/>
    </row>
    <row r="468">
      <c r="N468" s="27"/>
    </row>
    <row r="469">
      <c r="N469" s="27"/>
    </row>
    <row r="470">
      <c r="N470" s="27"/>
    </row>
    <row r="471">
      <c r="N471" s="27"/>
    </row>
    <row r="472">
      <c r="N472" s="27"/>
    </row>
    <row r="473">
      <c r="N473" s="27"/>
    </row>
    <row r="474">
      <c r="N474" s="27"/>
    </row>
    <row r="475">
      <c r="N475" s="27"/>
    </row>
    <row r="476">
      <c r="N476" s="27"/>
    </row>
    <row r="477">
      <c r="N477" s="27"/>
    </row>
    <row r="478">
      <c r="N478" s="27"/>
    </row>
    <row r="479">
      <c r="N479" s="27"/>
    </row>
    <row r="480">
      <c r="N480" s="27"/>
    </row>
    <row r="481">
      <c r="N481" s="27"/>
    </row>
    <row r="482">
      <c r="N482" s="27"/>
    </row>
    <row r="483">
      <c r="N483" s="27"/>
    </row>
    <row r="484">
      <c r="N484" s="27"/>
    </row>
    <row r="485">
      <c r="N485" s="27"/>
    </row>
    <row r="486">
      <c r="N486" s="27"/>
    </row>
    <row r="487">
      <c r="N487" s="27"/>
    </row>
    <row r="488">
      <c r="N488" s="27"/>
    </row>
    <row r="489">
      <c r="N489" s="27"/>
    </row>
    <row r="490">
      <c r="N490" s="27"/>
    </row>
    <row r="491">
      <c r="N491" s="27"/>
    </row>
    <row r="492">
      <c r="N492" s="27"/>
    </row>
    <row r="493">
      <c r="N493" s="27"/>
    </row>
    <row r="494">
      <c r="N494" s="27"/>
    </row>
    <row r="495">
      <c r="N495" s="27"/>
    </row>
    <row r="496">
      <c r="N496" s="27"/>
    </row>
    <row r="497">
      <c r="N497" s="27"/>
    </row>
    <row r="498">
      <c r="N498" s="27"/>
    </row>
    <row r="499">
      <c r="N499" s="27"/>
    </row>
    <row r="500">
      <c r="N500" s="27"/>
    </row>
    <row r="501">
      <c r="N501" s="27"/>
    </row>
    <row r="502">
      <c r="N502" s="27"/>
    </row>
    <row r="503">
      <c r="N503" s="27"/>
    </row>
    <row r="504">
      <c r="N504" s="27"/>
    </row>
    <row r="505">
      <c r="N505" s="27"/>
    </row>
    <row r="506">
      <c r="N506" s="27"/>
    </row>
    <row r="507">
      <c r="N507" s="27"/>
    </row>
    <row r="508">
      <c r="N508" s="27"/>
    </row>
    <row r="509">
      <c r="N509" s="27"/>
    </row>
    <row r="510">
      <c r="N510" s="27"/>
    </row>
    <row r="511">
      <c r="N511" s="27"/>
    </row>
    <row r="512">
      <c r="N512" s="27"/>
    </row>
    <row r="513">
      <c r="N513" s="27"/>
    </row>
    <row r="514">
      <c r="N514" s="27"/>
    </row>
    <row r="515">
      <c r="N515" s="27"/>
    </row>
    <row r="516">
      <c r="N516" s="27"/>
    </row>
    <row r="517">
      <c r="N517" s="27"/>
    </row>
    <row r="518">
      <c r="N518" s="27"/>
    </row>
    <row r="519">
      <c r="N519" s="27"/>
    </row>
    <row r="520">
      <c r="N520" s="27"/>
    </row>
    <row r="521">
      <c r="N521" s="27"/>
    </row>
    <row r="522">
      <c r="N522" s="27"/>
    </row>
    <row r="523">
      <c r="N523" s="27"/>
    </row>
    <row r="524">
      <c r="N524" s="27"/>
    </row>
    <row r="525">
      <c r="N525" s="27"/>
    </row>
    <row r="526">
      <c r="N526" s="27"/>
    </row>
    <row r="527">
      <c r="N527" s="27"/>
    </row>
    <row r="528">
      <c r="N528" s="27"/>
    </row>
    <row r="529">
      <c r="N529" s="27"/>
    </row>
    <row r="530">
      <c r="N530" s="27"/>
    </row>
    <row r="531">
      <c r="N531" s="27"/>
    </row>
    <row r="532">
      <c r="N532" s="27"/>
    </row>
    <row r="533">
      <c r="N533" s="27"/>
    </row>
    <row r="534">
      <c r="N534" s="27"/>
    </row>
    <row r="535">
      <c r="N535" s="27"/>
    </row>
    <row r="536">
      <c r="N536" s="27"/>
    </row>
    <row r="537">
      <c r="N537" s="27"/>
    </row>
    <row r="538">
      <c r="N538" s="27"/>
    </row>
    <row r="539">
      <c r="N539" s="27"/>
    </row>
    <row r="540">
      <c r="N540" s="27"/>
    </row>
    <row r="541">
      <c r="N541" s="27"/>
    </row>
    <row r="542">
      <c r="N542" s="27"/>
    </row>
    <row r="543">
      <c r="N543" s="27"/>
    </row>
    <row r="544">
      <c r="N544" s="27"/>
    </row>
    <row r="545">
      <c r="N545" s="27"/>
    </row>
    <row r="546">
      <c r="N546" s="27"/>
    </row>
    <row r="547">
      <c r="N547" s="27"/>
    </row>
    <row r="548">
      <c r="N548" s="27"/>
    </row>
    <row r="549">
      <c r="N549" s="27"/>
    </row>
    <row r="550">
      <c r="N550" s="27"/>
    </row>
    <row r="551">
      <c r="N551" s="27"/>
    </row>
    <row r="552">
      <c r="N552" s="27"/>
    </row>
    <row r="553">
      <c r="N553" s="27"/>
    </row>
    <row r="554">
      <c r="N554" s="27"/>
    </row>
    <row r="555">
      <c r="N555" s="27"/>
    </row>
    <row r="556">
      <c r="N556" s="27"/>
    </row>
    <row r="557">
      <c r="N557" s="27"/>
    </row>
    <row r="558">
      <c r="N558" s="27"/>
    </row>
    <row r="559">
      <c r="N559" s="27"/>
    </row>
    <row r="560">
      <c r="N560" s="27"/>
    </row>
    <row r="561">
      <c r="N561" s="27"/>
    </row>
    <row r="562">
      <c r="N562" s="27"/>
    </row>
    <row r="563">
      <c r="N563" s="27"/>
    </row>
    <row r="564">
      <c r="N564" s="27"/>
    </row>
    <row r="565">
      <c r="N565" s="27"/>
    </row>
    <row r="566">
      <c r="N566" s="27"/>
    </row>
    <row r="567">
      <c r="N567" s="27"/>
    </row>
    <row r="568">
      <c r="N568" s="27"/>
    </row>
    <row r="569">
      <c r="N569" s="27"/>
    </row>
    <row r="570">
      <c r="N570" s="27"/>
    </row>
    <row r="571">
      <c r="N571" s="27"/>
    </row>
    <row r="572">
      <c r="N572" s="27"/>
    </row>
    <row r="573">
      <c r="N573" s="27"/>
    </row>
    <row r="574">
      <c r="N574" s="27"/>
    </row>
    <row r="575">
      <c r="N575" s="27"/>
    </row>
    <row r="576">
      <c r="N576" s="27"/>
    </row>
    <row r="577">
      <c r="N577" s="27"/>
    </row>
    <row r="578">
      <c r="N578" s="27"/>
    </row>
    <row r="579">
      <c r="N579" s="27"/>
    </row>
    <row r="580">
      <c r="N580" s="27"/>
    </row>
    <row r="581">
      <c r="N581" s="27"/>
    </row>
    <row r="582">
      <c r="N582" s="27"/>
    </row>
    <row r="583">
      <c r="N583" s="27"/>
    </row>
    <row r="584">
      <c r="N584" s="27"/>
    </row>
    <row r="585">
      <c r="N585" s="27"/>
    </row>
    <row r="586">
      <c r="N586" s="27"/>
    </row>
    <row r="587">
      <c r="N587" s="27"/>
    </row>
    <row r="588">
      <c r="N588" s="27"/>
    </row>
    <row r="589">
      <c r="N589" s="27"/>
    </row>
    <row r="590">
      <c r="N590" s="27"/>
    </row>
    <row r="591">
      <c r="N591" s="27"/>
    </row>
    <row r="592">
      <c r="N592" s="27"/>
    </row>
    <row r="593">
      <c r="N593" s="27"/>
    </row>
    <row r="594">
      <c r="N594" s="27"/>
    </row>
    <row r="595">
      <c r="N595" s="27"/>
    </row>
    <row r="596">
      <c r="N596" s="27"/>
    </row>
    <row r="597">
      <c r="N597" s="27"/>
    </row>
    <row r="598">
      <c r="N598" s="27"/>
    </row>
    <row r="599">
      <c r="N599" s="27"/>
    </row>
    <row r="600">
      <c r="N600" s="27"/>
    </row>
    <row r="601">
      <c r="N601" s="27"/>
    </row>
    <row r="602">
      <c r="N602" s="27"/>
    </row>
    <row r="603">
      <c r="N603" s="27"/>
    </row>
    <row r="604">
      <c r="N604" s="27"/>
    </row>
    <row r="605">
      <c r="N605" s="27"/>
    </row>
    <row r="606">
      <c r="N606" s="27"/>
    </row>
    <row r="607">
      <c r="N607" s="27"/>
    </row>
    <row r="608">
      <c r="N608" s="27"/>
    </row>
    <row r="609">
      <c r="N609" s="27"/>
    </row>
    <row r="610">
      <c r="N610" s="27"/>
    </row>
    <row r="611">
      <c r="N611" s="27"/>
    </row>
    <row r="612">
      <c r="N612" s="27"/>
    </row>
    <row r="613">
      <c r="N613" s="27"/>
    </row>
    <row r="614">
      <c r="N614" s="27"/>
    </row>
    <row r="615">
      <c r="N615" s="27"/>
    </row>
    <row r="616">
      <c r="N616" s="27"/>
    </row>
    <row r="617">
      <c r="N617" s="27"/>
    </row>
    <row r="618">
      <c r="N618" s="27"/>
    </row>
    <row r="619">
      <c r="N619" s="27"/>
    </row>
    <row r="620">
      <c r="N620" s="27"/>
    </row>
    <row r="621">
      <c r="N621" s="27"/>
    </row>
    <row r="622">
      <c r="N622" s="27"/>
    </row>
    <row r="623">
      <c r="N623" s="27"/>
    </row>
    <row r="624">
      <c r="N624" s="27"/>
    </row>
    <row r="625">
      <c r="N625" s="27"/>
    </row>
    <row r="626">
      <c r="N626" s="27"/>
    </row>
    <row r="627">
      <c r="N627" s="27"/>
    </row>
    <row r="628">
      <c r="N628" s="27"/>
    </row>
    <row r="629">
      <c r="N629" s="27"/>
    </row>
    <row r="630">
      <c r="N630" s="27"/>
    </row>
    <row r="631">
      <c r="N631" s="27"/>
    </row>
    <row r="632">
      <c r="N632" s="27"/>
    </row>
    <row r="633">
      <c r="N633" s="27"/>
    </row>
    <row r="634">
      <c r="N634" s="27"/>
    </row>
    <row r="635">
      <c r="N635" s="27"/>
    </row>
    <row r="636">
      <c r="N636" s="27"/>
    </row>
    <row r="637">
      <c r="N637" s="27"/>
    </row>
    <row r="638">
      <c r="N638" s="27"/>
    </row>
    <row r="639">
      <c r="N639" s="27"/>
    </row>
    <row r="640">
      <c r="N640" s="27"/>
    </row>
    <row r="641">
      <c r="N641" s="27"/>
    </row>
    <row r="642">
      <c r="N642" s="27"/>
    </row>
    <row r="643">
      <c r="N643" s="27"/>
    </row>
    <row r="644">
      <c r="N644" s="27"/>
    </row>
    <row r="645">
      <c r="N645" s="27"/>
    </row>
    <row r="646">
      <c r="N646" s="27"/>
    </row>
    <row r="647">
      <c r="N647" s="27"/>
    </row>
    <row r="648">
      <c r="N648" s="27"/>
    </row>
    <row r="649">
      <c r="N649" s="27"/>
    </row>
    <row r="650">
      <c r="N650" s="27"/>
    </row>
    <row r="651">
      <c r="N651" s="27"/>
    </row>
    <row r="652">
      <c r="N652" s="27"/>
    </row>
    <row r="653">
      <c r="N653" s="27"/>
    </row>
    <row r="654">
      <c r="N654" s="27"/>
    </row>
    <row r="655">
      <c r="N655" s="27"/>
    </row>
    <row r="656">
      <c r="N656" s="27"/>
    </row>
    <row r="657">
      <c r="N657" s="27"/>
    </row>
    <row r="658">
      <c r="N658" s="27"/>
    </row>
    <row r="659">
      <c r="N659" s="27"/>
    </row>
    <row r="660">
      <c r="N660" s="27"/>
    </row>
    <row r="661">
      <c r="N661" s="27"/>
    </row>
    <row r="662">
      <c r="N662" s="27"/>
    </row>
    <row r="663">
      <c r="N663" s="27"/>
    </row>
    <row r="664">
      <c r="N664" s="27"/>
    </row>
    <row r="665">
      <c r="N665" s="27"/>
    </row>
    <row r="666">
      <c r="N666" s="27"/>
    </row>
    <row r="667">
      <c r="N667" s="27"/>
    </row>
    <row r="668">
      <c r="N668" s="27"/>
    </row>
    <row r="669">
      <c r="N669" s="27"/>
    </row>
    <row r="670">
      <c r="N670" s="27"/>
    </row>
    <row r="671">
      <c r="N671" s="27"/>
    </row>
    <row r="672">
      <c r="N672" s="27"/>
    </row>
    <row r="673">
      <c r="N673" s="27"/>
    </row>
    <row r="674">
      <c r="N674" s="27"/>
    </row>
    <row r="675">
      <c r="N675" s="27"/>
    </row>
    <row r="676">
      <c r="N676" s="27"/>
    </row>
    <row r="677">
      <c r="N677" s="27"/>
    </row>
    <row r="678">
      <c r="N678" s="27"/>
    </row>
    <row r="679">
      <c r="N679" s="27"/>
    </row>
    <row r="680">
      <c r="N680" s="27"/>
    </row>
    <row r="681">
      <c r="N681" s="27"/>
    </row>
    <row r="682">
      <c r="N682" s="27"/>
    </row>
    <row r="683">
      <c r="N683" s="27"/>
    </row>
    <row r="684">
      <c r="N684" s="27"/>
    </row>
    <row r="685">
      <c r="N685" s="27"/>
    </row>
    <row r="686">
      <c r="N686" s="27"/>
    </row>
    <row r="687">
      <c r="N687" s="27"/>
    </row>
    <row r="688">
      <c r="N688" s="27"/>
    </row>
    <row r="689">
      <c r="N689" s="27"/>
    </row>
    <row r="690">
      <c r="N690" s="27"/>
    </row>
    <row r="691">
      <c r="N691" s="27"/>
    </row>
    <row r="692">
      <c r="N692" s="27"/>
    </row>
    <row r="693">
      <c r="N693" s="27"/>
    </row>
    <row r="694">
      <c r="N694" s="27"/>
    </row>
    <row r="695">
      <c r="N695" s="27"/>
    </row>
    <row r="696">
      <c r="N696" s="27"/>
    </row>
    <row r="697">
      <c r="N697" s="27"/>
    </row>
    <row r="698">
      <c r="N698" s="27"/>
    </row>
    <row r="699">
      <c r="N699" s="27"/>
    </row>
    <row r="700">
      <c r="N700" s="27"/>
    </row>
    <row r="701">
      <c r="N701" s="27"/>
    </row>
    <row r="702">
      <c r="N702" s="27"/>
    </row>
    <row r="703">
      <c r="N703" s="27"/>
    </row>
    <row r="704">
      <c r="N704" s="27"/>
    </row>
    <row r="705">
      <c r="N705" s="27"/>
    </row>
    <row r="706">
      <c r="N706" s="27"/>
    </row>
    <row r="707">
      <c r="N707" s="27"/>
    </row>
    <row r="708">
      <c r="N708" s="27"/>
    </row>
    <row r="709">
      <c r="N709" s="27"/>
    </row>
    <row r="710">
      <c r="N710" s="27"/>
    </row>
    <row r="711">
      <c r="N711" s="27"/>
    </row>
    <row r="712">
      <c r="N712" s="27"/>
    </row>
    <row r="713">
      <c r="N713" s="27"/>
    </row>
    <row r="714">
      <c r="N714" s="27"/>
    </row>
    <row r="715">
      <c r="N715" s="27"/>
    </row>
    <row r="716">
      <c r="N716" s="27"/>
    </row>
    <row r="717">
      <c r="N717" s="27"/>
    </row>
    <row r="718">
      <c r="N718" s="27"/>
    </row>
    <row r="719">
      <c r="N719" s="27"/>
    </row>
    <row r="720">
      <c r="N720" s="27"/>
    </row>
    <row r="721">
      <c r="N721" s="27"/>
    </row>
    <row r="722">
      <c r="N722" s="27"/>
    </row>
    <row r="723">
      <c r="N723" s="27"/>
    </row>
    <row r="724">
      <c r="N724" s="27"/>
    </row>
    <row r="725">
      <c r="N725" s="27"/>
    </row>
    <row r="726">
      <c r="N726" s="27"/>
    </row>
    <row r="727">
      <c r="N727" s="27"/>
    </row>
    <row r="728">
      <c r="N728" s="27"/>
    </row>
    <row r="729">
      <c r="N729" s="27"/>
    </row>
    <row r="730">
      <c r="N730" s="27"/>
    </row>
    <row r="731">
      <c r="N731" s="27"/>
    </row>
    <row r="732">
      <c r="N732" s="27"/>
    </row>
    <row r="733">
      <c r="N733" s="27"/>
    </row>
    <row r="734">
      <c r="N734" s="27"/>
    </row>
    <row r="735">
      <c r="N735" s="27"/>
    </row>
    <row r="736">
      <c r="N736" s="27"/>
    </row>
    <row r="737">
      <c r="N737" s="27"/>
    </row>
    <row r="738">
      <c r="N738" s="27"/>
    </row>
    <row r="739">
      <c r="N739" s="27"/>
    </row>
    <row r="740">
      <c r="N740" s="27"/>
    </row>
    <row r="741">
      <c r="N741" s="27"/>
    </row>
    <row r="742">
      <c r="N742" s="27"/>
    </row>
    <row r="743">
      <c r="N743" s="27"/>
    </row>
    <row r="744">
      <c r="N744" s="27"/>
    </row>
    <row r="745">
      <c r="N745" s="27"/>
    </row>
    <row r="746">
      <c r="N746" s="27"/>
    </row>
    <row r="747">
      <c r="N747" s="27"/>
    </row>
    <row r="748">
      <c r="N748" s="27"/>
    </row>
    <row r="749">
      <c r="N749" s="27"/>
    </row>
    <row r="750">
      <c r="N750" s="27"/>
    </row>
    <row r="751">
      <c r="N751" s="27"/>
    </row>
    <row r="752">
      <c r="N752" s="27"/>
    </row>
    <row r="753">
      <c r="N753" s="27"/>
    </row>
    <row r="754">
      <c r="N754" s="27"/>
    </row>
    <row r="755">
      <c r="N755" s="27"/>
    </row>
    <row r="756">
      <c r="N756" s="27"/>
    </row>
    <row r="757">
      <c r="N757" s="27"/>
    </row>
    <row r="758">
      <c r="N758" s="27"/>
    </row>
    <row r="759">
      <c r="N759" s="27"/>
    </row>
    <row r="760">
      <c r="N760" s="27"/>
    </row>
    <row r="761">
      <c r="N761" s="27"/>
    </row>
    <row r="762">
      <c r="N762" s="27"/>
    </row>
    <row r="763">
      <c r="N763" s="27"/>
    </row>
    <row r="764">
      <c r="N764" s="27"/>
    </row>
    <row r="765">
      <c r="N765" s="27"/>
    </row>
    <row r="766">
      <c r="N766" s="27"/>
    </row>
    <row r="767">
      <c r="N767" s="27"/>
    </row>
    <row r="768">
      <c r="N768" s="27"/>
    </row>
    <row r="769">
      <c r="N769" s="27"/>
    </row>
    <row r="770">
      <c r="N770" s="27"/>
    </row>
    <row r="771">
      <c r="N771" s="27"/>
    </row>
    <row r="772">
      <c r="N772" s="27"/>
    </row>
    <row r="773">
      <c r="N773" s="27"/>
    </row>
    <row r="774">
      <c r="N774" s="27"/>
    </row>
    <row r="775">
      <c r="N775" s="27"/>
    </row>
    <row r="776">
      <c r="N776" s="27"/>
    </row>
    <row r="777">
      <c r="N777" s="27"/>
    </row>
    <row r="778">
      <c r="N778" s="27"/>
    </row>
    <row r="779">
      <c r="N779" s="27"/>
    </row>
    <row r="780">
      <c r="N780" s="27"/>
    </row>
    <row r="781">
      <c r="N781" s="27"/>
    </row>
    <row r="782">
      <c r="N782" s="27"/>
    </row>
    <row r="783">
      <c r="N783" s="27"/>
    </row>
    <row r="784">
      <c r="N784" s="27"/>
    </row>
    <row r="785">
      <c r="N785" s="27"/>
    </row>
    <row r="786">
      <c r="N786" s="27"/>
    </row>
    <row r="787">
      <c r="N787" s="27"/>
    </row>
    <row r="788">
      <c r="N788" s="27"/>
    </row>
    <row r="789">
      <c r="N789" s="27"/>
    </row>
    <row r="790">
      <c r="N790" s="27"/>
    </row>
    <row r="791">
      <c r="N791" s="27"/>
    </row>
    <row r="792">
      <c r="N792" s="27"/>
    </row>
    <row r="793">
      <c r="N793" s="27"/>
    </row>
    <row r="794">
      <c r="N794" s="27"/>
    </row>
    <row r="795">
      <c r="N795" s="27"/>
    </row>
    <row r="796">
      <c r="N796" s="27"/>
    </row>
    <row r="797">
      <c r="N797" s="27"/>
    </row>
    <row r="798">
      <c r="N798" s="27"/>
    </row>
    <row r="799">
      <c r="N799" s="27"/>
    </row>
    <row r="800">
      <c r="N800" s="27"/>
    </row>
    <row r="801">
      <c r="N801" s="27"/>
    </row>
    <row r="802">
      <c r="N802" s="27"/>
    </row>
    <row r="803">
      <c r="N803" s="27"/>
    </row>
    <row r="804">
      <c r="N804" s="27"/>
    </row>
    <row r="805">
      <c r="N805" s="27"/>
    </row>
    <row r="806">
      <c r="N806" s="27"/>
    </row>
    <row r="807">
      <c r="N807" s="27"/>
    </row>
    <row r="808">
      <c r="N808" s="27"/>
    </row>
    <row r="809">
      <c r="N809" s="27"/>
    </row>
    <row r="810">
      <c r="N810" s="27"/>
    </row>
    <row r="811">
      <c r="N811" s="27"/>
    </row>
    <row r="812">
      <c r="N812" s="27"/>
    </row>
    <row r="813">
      <c r="N813" s="27"/>
    </row>
    <row r="814">
      <c r="N814" s="27"/>
    </row>
    <row r="815">
      <c r="N815" s="27"/>
    </row>
    <row r="816">
      <c r="N816" s="27"/>
    </row>
    <row r="817">
      <c r="N817" s="27"/>
    </row>
    <row r="818">
      <c r="N818" s="27"/>
    </row>
    <row r="819">
      <c r="N819" s="27"/>
    </row>
    <row r="820">
      <c r="N820" s="27"/>
    </row>
    <row r="821">
      <c r="N821" s="27"/>
    </row>
    <row r="822">
      <c r="N822" s="27"/>
    </row>
    <row r="823">
      <c r="N823" s="27"/>
    </row>
    <row r="824">
      <c r="N824" s="27"/>
    </row>
    <row r="825">
      <c r="N825" s="27"/>
    </row>
    <row r="826">
      <c r="N826" s="27"/>
    </row>
    <row r="827">
      <c r="N827" s="27"/>
    </row>
    <row r="828">
      <c r="N828" s="27"/>
    </row>
    <row r="829">
      <c r="N829" s="27"/>
    </row>
    <row r="830">
      <c r="N830" s="27"/>
    </row>
    <row r="831">
      <c r="N831" s="27"/>
    </row>
    <row r="832">
      <c r="N832" s="27"/>
    </row>
    <row r="833">
      <c r="N833" s="27"/>
    </row>
    <row r="834">
      <c r="N834" s="27"/>
    </row>
    <row r="835">
      <c r="N835" s="27"/>
    </row>
    <row r="836">
      <c r="N836" s="27"/>
    </row>
    <row r="837">
      <c r="N837" s="27"/>
    </row>
    <row r="838">
      <c r="N838" s="27"/>
    </row>
    <row r="839">
      <c r="N839" s="27"/>
    </row>
    <row r="840">
      <c r="N840" s="27"/>
    </row>
    <row r="841">
      <c r="N841" s="27"/>
    </row>
    <row r="842">
      <c r="N842" s="27"/>
    </row>
    <row r="843">
      <c r="N843" s="27"/>
    </row>
    <row r="844">
      <c r="N844" s="27"/>
    </row>
    <row r="845">
      <c r="N845" s="27"/>
    </row>
    <row r="846">
      <c r="N846" s="27"/>
    </row>
    <row r="847">
      <c r="N847" s="27"/>
    </row>
    <row r="848">
      <c r="N848" s="27"/>
    </row>
    <row r="849">
      <c r="N849" s="27"/>
    </row>
    <row r="850">
      <c r="N850" s="27"/>
    </row>
    <row r="851">
      <c r="N851" s="27"/>
    </row>
    <row r="852">
      <c r="N852" s="27"/>
    </row>
    <row r="853">
      <c r="N853" s="27"/>
    </row>
    <row r="854">
      <c r="N854" s="27"/>
    </row>
    <row r="855">
      <c r="N855" s="27"/>
    </row>
    <row r="856">
      <c r="N856" s="27"/>
    </row>
    <row r="857">
      <c r="N857" s="27"/>
    </row>
    <row r="858">
      <c r="N858" s="27"/>
    </row>
    <row r="859">
      <c r="N859" s="27"/>
    </row>
    <row r="860">
      <c r="N860" s="27"/>
    </row>
    <row r="861">
      <c r="N861" s="27"/>
    </row>
    <row r="862">
      <c r="N862" s="27"/>
    </row>
    <row r="863">
      <c r="N863" s="27"/>
    </row>
    <row r="864">
      <c r="N864" s="27"/>
    </row>
    <row r="865">
      <c r="N865" s="27"/>
    </row>
    <row r="866">
      <c r="N866" s="27"/>
    </row>
    <row r="867">
      <c r="N867" s="27"/>
    </row>
    <row r="868">
      <c r="N868" s="27"/>
    </row>
    <row r="869">
      <c r="N869" s="27"/>
    </row>
    <row r="870">
      <c r="N870" s="27"/>
    </row>
    <row r="871">
      <c r="N871" s="27"/>
    </row>
    <row r="872">
      <c r="N872" s="27"/>
    </row>
    <row r="873">
      <c r="N873" s="27"/>
    </row>
    <row r="874">
      <c r="N874" s="27"/>
    </row>
    <row r="875">
      <c r="N875" s="27"/>
    </row>
    <row r="876">
      <c r="N876" s="27"/>
    </row>
    <row r="877">
      <c r="N877" s="27"/>
    </row>
    <row r="878">
      <c r="N878" s="27"/>
    </row>
    <row r="879">
      <c r="N879" s="27"/>
    </row>
    <row r="880">
      <c r="N880" s="27"/>
    </row>
    <row r="881">
      <c r="N881" s="27"/>
    </row>
    <row r="882">
      <c r="N882" s="27"/>
    </row>
    <row r="883">
      <c r="N883" s="27"/>
    </row>
    <row r="884">
      <c r="N884" s="27"/>
    </row>
    <row r="885">
      <c r="N885" s="27"/>
    </row>
    <row r="886">
      <c r="N886" s="27"/>
    </row>
    <row r="887">
      <c r="N887" s="27"/>
    </row>
    <row r="888">
      <c r="N888" s="27"/>
    </row>
    <row r="889">
      <c r="N889" s="27"/>
    </row>
    <row r="890">
      <c r="N890" s="27"/>
    </row>
    <row r="891">
      <c r="N891" s="27"/>
    </row>
    <row r="892">
      <c r="N892" s="27"/>
    </row>
    <row r="893">
      <c r="N893" s="27"/>
    </row>
    <row r="894">
      <c r="N894" s="27"/>
    </row>
    <row r="895">
      <c r="N895" s="27"/>
    </row>
    <row r="896">
      <c r="N896" s="27"/>
    </row>
    <row r="897">
      <c r="N897" s="27"/>
    </row>
    <row r="898">
      <c r="N898" s="27"/>
    </row>
    <row r="899">
      <c r="N899" s="27"/>
    </row>
    <row r="900">
      <c r="N900" s="27"/>
    </row>
    <row r="901">
      <c r="N901" s="27"/>
    </row>
    <row r="902">
      <c r="N902" s="27"/>
    </row>
    <row r="903">
      <c r="N903" s="27"/>
    </row>
    <row r="904">
      <c r="N904" s="27"/>
    </row>
    <row r="905">
      <c r="N905" s="27"/>
    </row>
    <row r="906">
      <c r="N906" s="27"/>
    </row>
    <row r="907">
      <c r="N907" s="27"/>
    </row>
    <row r="908">
      <c r="N908" s="27"/>
    </row>
    <row r="909">
      <c r="N909" s="27"/>
    </row>
    <row r="910">
      <c r="N910" s="27"/>
    </row>
    <row r="911">
      <c r="N911" s="27"/>
    </row>
    <row r="912">
      <c r="N912" s="27"/>
    </row>
    <row r="913">
      <c r="N913" s="27"/>
    </row>
    <row r="914">
      <c r="N914" s="27"/>
    </row>
    <row r="915">
      <c r="N915" s="27"/>
    </row>
    <row r="916">
      <c r="N916" s="27"/>
    </row>
    <row r="917">
      <c r="N917" s="27"/>
    </row>
    <row r="918">
      <c r="N918" s="27"/>
    </row>
    <row r="919">
      <c r="N919" s="27"/>
    </row>
    <row r="920">
      <c r="N920" s="27"/>
    </row>
    <row r="921">
      <c r="N921" s="27"/>
    </row>
    <row r="922">
      <c r="N922" s="27"/>
    </row>
    <row r="923">
      <c r="N923" s="27"/>
    </row>
    <row r="924">
      <c r="N924" s="27"/>
    </row>
    <row r="925">
      <c r="N925" s="27"/>
    </row>
    <row r="926">
      <c r="N926" s="27"/>
    </row>
    <row r="927">
      <c r="N927" s="27"/>
    </row>
    <row r="928">
      <c r="N928" s="27"/>
    </row>
    <row r="929">
      <c r="N929" s="27"/>
    </row>
    <row r="930">
      <c r="N930" s="27"/>
    </row>
    <row r="931">
      <c r="N931" s="27"/>
    </row>
    <row r="932">
      <c r="N932" s="27"/>
    </row>
    <row r="933">
      <c r="N933" s="27"/>
    </row>
    <row r="934">
      <c r="N934" s="27"/>
    </row>
    <row r="935">
      <c r="N935" s="27"/>
    </row>
    <row r="936">
      <c r="N936" s="27"/>
    </row>
    <row r="937">
      <c r="N937" s="27"/>
    </row>
    <row r="938">
      <c r="N938" s="27"/>
    </row>
    <row r="939">
      <c r="N939" s="27"/>
    </row>
    <row r="940">
      <c r="N940" s="27"/>
    </row>
    <row r="941">
      <c r="N941" s="27"/>
    </row>
    <row r="942">
      <c r="N942" s="27"/>
    </row>
    <row r="943">
      <c r="N943" s="27"/>
    </row>
    <row r="944">
      <c r="N944" s="27"/>
    </row>
    <row r="945">
      <c r="N945" s="27"/>
    </row>
    <row r="946">
      <c r="N946" s="27"/>
    </row>
    <row r="947">
      <c r="N947" s="27"/>
    </row>
    <row r="948">
      <c r="N948" s="27"/>
    </row>
    <row r="949">
      <c r="N949" s="27"/>
    </row>
    <row r="950">
      <c r="N950" s="27"/>
    </row>
    <row r="951">
      <c r="N951" s="27"/>
    </row>
    <row r="952">
      <c r="N952" s="27"/>
    </row>
    <row r="953">
      <c r="N953" s="27"/>
    </row>
    <row r="954">
      <c r="N954" s="27"/>
    </row>
    <row r="955">
      <c r="N955" s="27"/>
    </row>
    <row r="956">
      <c r="N956" s="27"/>
    </row>
    <row r="957">
      <c r="N957" s="27"/>
    </row>
    <row r="958">
      <c r="N958" s="27"/>
    </row>
    <row r="959">
      <c r="N959" s="27"/>
    </row>
    <row r="960">
      <c r="N960" s="27"/>
    </row>
    <row r="961">
      <c r="N961" s="27"/>
    </row>
    <row r="962">
      <c r="N962" s="27"/>
    </row>
    <row r="963">
      <c r="N963" s="27"/>
    </row>
    <row r="964">
      <c r="N964" s="27"/>
    </row>
    <row r="965">
      <c r="N965" s="27"/>
    </row>
    <row r="966">
      <c r="N966" s="27"/>
    </row>
    <row r="967">
      <c r="N967" s="27"/>
    </row>
    <row r="968">
      <c r="N968" s="27"/>
    </row>
    <row r="969">
      <c r="N969" s="27"/>
    </row>
    <row r="970">
      <c r="N970" s="27"/>
    </row>
    <row r="971">
      <c r="N971" s="27"/>
    </row>
    <row r="972">
      <c r="N972" s="27"/>
    </row>
    <row r="973">
      <c r="N973" s="27"/>
    </row>
    <row r="974">
      <c r="N974" s="27"/>
    </row>
    <row r="975">
      <c r="N975" s="27"/>
    </row>
    <row r="976">
      <c r="N976" s="27"/>
    </row>
    <row r="977">
      <c r="N977" s="27"/>
    </row>
    <row r="978">
      <c r="N978" s="27"/>
    </row>
    <row r="979">
      <c r="N979" s="27"/>
    </row>
    <row r="980">
      <c r="N980" s="27"/>
    </row>
    <row r="981">
      <c r="N981" s="27"/>
    </row>
    <row r="982">
      <c r="N982" s="27"/>
    </row>
    <row r="983">
      <c r="N983" s="27"/>
    </row>
    <row r="984">
      <c r="N984" s="27"/>
    </row>
    <row r="985">
      <c r="N985" s="27"/>
    </row>
    <row r="986">
      <c r="N986" s="27"/>
    </row>
    <row r="987">
      <c r="N987" s="27"/>
    </row>
    <row r="988">
      <c r="N988" s="27"/>
    </row>
    <row r="989">
      <c r="N989" s="27"/>
    </row>
    <row r="990">
      <c r="N990" s="27"/>
    </row>
    <row r="991">
      <c r="N991" s="27"/>
    </row>
    <row r="992">
      <c r="N992" s="27"/>
    </row>
    <row r="993">
      <c r="N993" s="27"/>
    </row>
    <row r="994">
      <c r="N994" s="27"/>
    </row>
    <row r="995">
      <c r="N995" s="27"/>
    </row>
    <row r="996">
      <c r="N996" s="27"/>
    </row>
    <row r="997">
      <c r="N997" s="27"/>
    </row>
    <row r="998">
      <c r="N998" s="27"/>
    </row>
    <row r="999">
      <c r="N999" s="27"/>
    </row>
    <row r="1000">
      <c r="N1000" s="27"/>
    </row>
    <row r="1001">
      <c r="N1001" s="27"/>
    </row>
    <row r="1002">
      <c r="N1002" s="27"/>
    </row>
    <row r="1003">
      <c r="N1003" s="27"/>
    </row>
    <row r="1004">
      <c r="N1004" s="27"/>
    </row>
  </sheetData>
  <conditionalFormatting sqref="D44:E44 F53:L53">
    <cfRule type="cellIs" dxfId="0" priority="1" operator="lessThan">
      <formula>0</formula>
    </cfRule>
  </conditionalFormatting>
  <conditionalFormatting sqref="D53:E53">
    <cfRule type="cellIs" dxfId="0" priority="2" operator="lessThan">
      <formula>0</formula>
    </cfRule>
  </conditionalFormatting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9.38"/>
    <col customWidth="1" min="14" max="14" width="20.63"/>
    <col customWidth="1" min="15" max="15" width="11.25"/>
    <col customWidth="1" min="16" max="16" width="9.25"/>
    <col customWidth="1" min="17" max="18" width="9.5"/>
  </cols>
  <sheetData>
    <row r="1">
      <c r="A1" s="18" t="s">
        <v>346</v>
      </c>
      <c r="B1" s="199" t="s">
        <v>296</v>
      </c>
      <c r="N1" s="107"/>
    </row>
    <row r="2">
      <c r="B2" s="18" t="s">
        <v>240</v>
      </c>
      <c r="C2" s="249">
        <v>13.0</v>
      </c>
      <c r="N2" s="27"/>
    </row>
    <row r="3">
      <c r="B3" s="18" t="s">
        <v>241</v>
      </c>
      <c r="C3" s="249">
        <f>62.92</f>
        <v>62.92</v>
      </c>
      <c r="N3" s="27"/>
      <c r="S3" s="114">
        <f>4166.67+6417.54</f>
        <v>10584.21</v>
      </c>
    </row>
    <row r="4">
      <c r="B4" s="18" t="s">
        <v>377</v>
      </c>
      <c r="D4" s="249">
        <v>19.9</v>
      </c>
      <c r="N4" s="27"/>
      <c r="O4" s="107"/>
      <c r="P4" s="107"/>
      <c r="S4" s="17"/>
    </row>
    <row r="5">
      <c r="B5" s="18" t="s">
        <v>378</v>
      </c>
      <c r="D5" s="249">
        <v>29.9</v>
      </c>
      <c r="N5" s="27"/>
      <c r="O5" s="107"/>
      <c r="P5" s="107"/>
      <c r="S5" s="17"/>
    </row>
    <row r="6">
      <c r="B6" s="18" t="s">
        <v>242</v>
      </c>
      <c r="C6" s="249">
        <v>13.0</v>
      </c>
      <c r="N6" s="27"/>
      <c r="O6" s="107"/>
      <c r="P6" s="107"/>
      <c r="S6" s="17"/>
    </row>
    <row r="7">
      <c r="B7" s="18" t="s">
        <v>285</v>
      </c>
      <c r="C7" s="249">
        <v>42.0</v>
      </c>
      <c r="N7" s="27"/>
      <c r="O7" s="107"/>
      <c r="P7" s="107"/>
      <c r="S7" s="32"/>
    </row>
    <row r="8">
      <c r="B8" s="18" t="s">
        <v>324</v>
      </c>
      <c r="C8" s="249">
        <v>6.0</v>
      </c>
      <c r="N8" s="301" t="s">
        <v>325</v>
      </c>
      <c r="O8" s="107"/>
      <c r="P8" s="107"/>
      <c r="S8" s="30"/>
    </row>
    <row r="9">
      <c r="C9" s="276">
        <f>SUM(C2:C8)</f>
        <v>136.92</v>
      </c>
      <c r="N9" s="302" t="s">
        <v>119</v>
      </c>
      <c r="O9" s="302" t="s">
        <v>120</v>
      </c>
      <c r="P9" s="27"/>
    </row>
    <row r="10">
      <c r="K10" s="18" t="s">
        <v>366</v>
      </c>
      <c r="N10" s="7" t="s">
        <v>347</v>
      </c>
      <c r="O10" s="7" t="s">
        <v>348</v>
      </c>
      <c r="P10" s="107"/>
    </row>
    <row r="11">
      <c r="B11" s="55" t="s">
        <v>122</v>
      </c>
      <c r="C11" s="56"/>
      <c r="D11" s="254" t="s">
        <v>134</v>
      </c>
      <c r="E11" s="254" t="s">
        <v>123</v>
      </c>
      <c r="F11" s="254" t="s">
        <v>124</v>
      </c>
      <c r="G11" s="254" t="s">
        <v>125</v>
      </c>
      <c r="H11" s="254" t="s">
        <v>126</v>
      </c>
      <c r="I11" s="254" t="s">
        <v>127</v>
      </c>
      <c r="J11" s="254" t="s">
        <v>128</v>
      </c>
      <c r="K11" s="253" t="s">
        <v>130</v>
      </c>
      <c r="L11" s="254" t="s">
        <v>131</v>
      </c>
      <c r="N11" s="7" t="s">
        <v>328</v>
      </c>
      <c r="O11" s="7" t="s">
        <v>349</v>
      </c>
      <c r="P11" s="107"/>
      <c r="R11" s="18"/>
      <c r="S11" s="18"/>
    </row>
    <row r="12">
      <c r="B12" s="59" t="s">
        <v>129</v>
      </c>
      <c r="C12" s="60"/>
      <c r="D12" s="113">
        <v>8257.5</v>
      </c>
      <c r="E12" s="113">
        <v>8402.25</v>
      </c>
      <c r="F12" s="113">
        <v>8402.25</v>
      </c>
      <c r="G12" s="113">
        <v>8402.25</v>
      </c>
      <c r="H12" s="113">
        <v>8402.26</v>
      </c>
      <c r="I12" s="113">
        <v>8402.25</v>
      </c>
      <c r="J12" s="113">
        <v>8402.25</v>
      </c>
      <c r="K12" s="113">
        <v>8402.25</v>
      </c>
      <c r="L12" s="113">
        <v>8324.69</v>
      </c>
      <c r="N12" s="7"/>
      <c r="O12" s="7" t="s">
        <v>192</v>
      </c>
      <c r="P12" s="107"/>
      <c r="R12" s="18"/>
    </row>
    <row r="13">
      <c r="B13" s="59" t="s">
        <v>136</v>
      </c>
      <c r="C13" s="60"/>
      <c r="D13" s="114">
        <f>2040+3294.58</f>
        <v>5334.58</v>
      </c>
      <c r="E13" s="114">
        <f>2040+3421.67</f>
        <v>5461.67</v>
      </c>
      <c r="F13" s="114">
        <v>5721.67</v>
      </c>
      <c r="G13" s="114">
        <f>2160+3065.41+512.46</f>
        <v>5737.87</v>
      </c>
      <c r="H13" s="114">
        <f>2160+3077.41+512.46</f>
        <v>5749.87</v>
      </c>
      <c r="I13" s="114">
        <f>2160+3089.41+512.46</f>
        <v>5761.87</v>
      </c>
      <c r="J13" s="114">
        <f>2160+3070.12+502.75</f>
        <v>5732.87</v>
      </c>
      <c r="K13" s="114">
        <f>2160+2961.12+502.75</f>
        <v>5623.87</v>
      </c>
      <c r="L13" s="114">
        <v>5721.67</v>
      </c>
      <c r="N13" s="303"/>
      <c r="O13" s="107"/>
      <c r="P13" s="27"/>
      <c r="R13" s="18"/>
    </row>
    <row r="14">
      <c r="B14" s="59" t="s">
        <v>137</v>
      </c>
      <c r="C14" s="60"/>
      <c r="D14" s="313"/>
      <c r="E14" s="114"/>
      <c r="F14" s="114"/>
      <c r="G14" s="114"/>
      <c r="H14" s="114"/>
      <c r="I14" s="114"/>
      <c r="J14" s="114"/>
      <c r="K14" s="114"/>
      <c r="L14" s="115"/>
      <c r="N14" s="363"/>
      <c r="O14" s="107"/>
      <c r="P14" s="107"/>
      <c r="R14" s="18"/>
    </row>
    <row r="15">
      <c r="B15" s="59" t="s">
        <v>138</v>
      </c>
      <c r="C15" s="60"/>
      <c r="D15" s="348"/>
      <c r="E15" s="117"/>
      <c r="F15" s="117"/>
      <c r="G15" s="114"/>
      <c r="H15" s="114"/>
      <c r="I15" s="114">
        <f>4166.67+6417.54</f>
        <v>10584.21</v>
      </c>
      <c r="J15" s="117"/>
      <c r="K15" s="118"/>
      <c r="L15" s="118"/>
      <c r="N15" s="32"/>
      <c r="O15" s="107"/>
      <c r="P15" s="107"/>
      <c r="R15" s="18"/>
    </row>
    <row r="16">
      <c r="B16" s="67" t="s">
        <v>139</v>
      </c>
      <c r="C16" s="68"/>
      <c r="D16" s="315">
        <f t="shared" ref="D16:L16" si="1">SUM(D12:D15)</f>
        <v>13592.08</v>
      </c>
      <c r="E16" s="315">
        <f t="shared" si="1"/>
        <v>13863.92</v>
      </c>
      <c r="F16" s="119">
        <f t="shared" si="1"/>
        <v>14123.92</v>
      </c>
      <c r="G16" s="119">
        <f t="shared" si="1"/>
        <v>14140.12</v>
      </c>
      <c r="H16" s="119">
        <f t="shared" si="1"/>
        <v>14152.13</v>
      </c>
      <c r="I16" s="119">
        <f t="shared" si="1"/>
        <v>24748.33</v>
      </c>
      <c r="J16" s="119">
        <f t="shared" si="1"/>
        <v>14135.12</v>
      </c>
      <c r="K16" s="119">
        <f t="shared" si="1"/>
        <v>14026.12</v>
      </c>
      <c r="L16" s="119">
        <f t="shared" si="1"/>
        <v>14046.36</v>
      </c>
      <c r="N16" s="248"/>
      <c r="R16" s="18"/>
      <c r="U16" s="107"/>
    </row>
    <row r="17">
      <c r="D17" s="311"/>
      <c r="E17" s="311"/>
      <c r="N17" s="32"/>
      <c r="O17" s="107"/>
      <c r="R17" s="18"/>
      <c r="U17" s="27"/>
    </row>
    <row r="18">
      <c r="B18" s="70" t="s">
        <v>140</v>
      </c>
      <c r="C18" s="71"/>
      <c r="D18" s="316" t="s">
        <v>123</v>
      </c>
      <c r="E18" s="316" t="s">
        <v>124</v>
      </c>
      <c r="F18" s="316" t="s">
        <v>125</v>
      </c>
      <c r="G18" s="316" t="s">
        <v>126</v>
      </c>
      <c r="H18" s="316" t="s">
        <v>127</v>
      </c>
      <c r="I18" s="58" t="s">
        <v>128</v>
      </c>
      <c r="J18" s="58" t="s">
        <v>129</v>
      </c>
      <c r="K18" s="58" t="s">
        <v>130</v>
      </c>
      <c r="L18" s="58" t="s">
        <v>131</v>
      </c>
      <c r="N18" s="107"/>
      <c r="O18" s="26"/>
      <c r="P18" s="107"/>
      <c r="R18" s="18"/>
    </row>
    <row r="19">
      <c r="B19" s="121" t="s">
        <v>141</v>
      </c>
      <c r="C19" s="122"/>
      <c r="D19" s="378">
        <v>350.0</v>
      </c>
      <c r="E19" s="378">
        <v>350.0</v>
      </c>
      <c r="F19" s="378">
        <v>350.0</v>
      </c>
      <c r="G19" s="378">
        <v>0.0</v>
      </c>
      <c r="H19" s="378">
        <v>350.0</v>
      </c>
      <c r="I19" s="378">
        <v>370.0</v>
      </c>
      <c r="J19" s="378">
        <f t="shared" ref="J19:L19" si="2">I19</f>
        <v>370</v>
      </c>
      <c r="K19" s="123">
        <f t="shared" si="2"/>
        <v>370</v>
      </c>
      <c r="L19" s="378">
        <f t="shared" si="2"/>
        <v>370</v>
      </c>
      <c r="N19" s="107" t="s">
        <v>331</v>
      </c>
      <c r="O19" s="192"/>
      <c r="R19" s="18"/>
    </row>
    <row r="20">
      <c r="B20" s="121" t="s">
        <v>142</v>
      </c>
      <c r="C20" s="122"/>
      <c r="D20" s="378">
        <v>200.0</v>
      </c>
      <c r="E20" s="378">
        <v>200.0</v>
      </c>
      <c r="F20" s="378">
        <v>200.0</v>
      </c>
      <c r="G20" s="378">
        <v>200.0</v>
      </c>
      <c r="H20" s="378">
        <v>200.0</v>
      </c>
      <c r="I20" s="378">
        <v>213.2</v>
      </c>
      <c r="J20" s="378">
        <v>220.0</v>
      </c>
      <c r="K20" s="123">
        <f t="shared" ref="K20:L20" si="3">J20</f>
        <v>220</v>
      </c>
      <c r="L20" s="378">
        <f t="shared" si="3"/>
        <v>220</v>
      </c>
      <c r="N20" s="192"/>
      <c r="O20" s="26" t="s">
        <v>27</v>
      </c>
      <c r="P20" s="26" t="s">
        <v>274</v>
      </c>
      <c r="Q20" s="26" t="s">
        <v>351</v>
      </c>
      <c r="R20" s="26" t="s">
        <v>333</v>
      </c>
      <c r="S20" s="26" t="s">
        <v>367</v>
      </c>
      <c r="T20" s="376" t="s">
        <v>368</v>
      </c>
      <c r="U20" s="26" t="s">
        <v>48</v>
      </c>
      <c r="V20" s="18" t="s">
        <v>369</v>
      </c>
    </row>
    <row r="21">
      <c r="B21" s="121" t="s">
        <v>143</v>
      </c>
      <c r="C21" s="122"/>
      <c r="D21" s="379">
        <v>174.85</v>
      </c>
      <c r="E21" s="379">
        <v>174.85</v>
      </c>
      <c r="F21" s="379">
        <v>174.85</v>
      </c>
      <c r="G21" s="396">
        <v>79.3</v>
      </c>
      <c r="H21" s="396">
        <v>69.9</v>
      </c>
      <c r="I21" s="396">
        <v>139.9</v>
      </c>
      <c r="J21" s="396">
        <v>139.9</v>
      </c>
      <c r="K21" s="125">
        <v>139.9</v>
      </c>
      <c r="L21" s="379">
        <v>174.85</v>
      </c>
      <c r="N21" s="121" t="s">
        <v>141</v>
      </c>
      <c r="P21" s="400"/>
      <c r="Q21" s="400">
        <v>370.0</v>
      </c>
      <c r="R21" s="400"/>
      <c r="S21" s="400"/>
      <c r="T21" s="400"/>
      <c r="U21" s="400"/>
      <c r="V21" s="400"/>
    </row>
    <row r="22">
      <c r="B22" s="121" t="s">
        <v>144</v>
      </c>
      <c r="C22" s="122"/>
      <c r="D22" s="378">
        <v>100.0</v>
      </c>
      <c r="E22" s="378">
        <v>100.0</v>
      </c>
      <c r="F22" s="378">
        <v>100.0</v>
      </c>
      <c r="G22" s="378">
        <v>100.0</v>
      </c>
      <c r="H22" s="378">
        <v>100.0</v>
      </c>
      <c r="I22" s="378">
        <f t="shared" ref="I22:L22" si="4">H22</f>
        <v>100</v>
      </c>
      <c r="J22" s="378">
        <f t="shared" si="4"/>
        <v>100</v>
      </c>
      <c r="K22" s="123">
        <f t="shared" si="4"/>
        <v>100</v>
      </c>
      <c r="L22" s="378">
        <f t="shared" si="4"/>
        <v>100</v>
      </c>
      <c r="N22" s="121" t="s">
        <v>142</v>
      </c>
      <c r="P22" s="400"/>
      <c r="Q22" s="400">
        <v>220.0</v>
      </c>
      <c r="R22" s="400"/>
      <c r="S22" s="400"/>
      <c r="T22" s="400"/>
      <c r="U22" s="400"/>
      <c r="V22" s="400"/>
    </row>
    <row r="23">
      <c r="B23" s="121" t="s">
        <v>145</v>
      </c>
      <c r="C23" s="122"/>
      <c r="D23" s="378">
        <v>2500.0</v>
      </c>
      <c r="E23" s="378">
        <v>2500.0</v>
      </c>
      <c r="F23" s="378">
        <v>2500.0</v>
      </c>
      <c r="G23" s="378">
        <v>2500.0</v>
      </c>
      <c r="H23" s="378">
        <v>3000.0</v>
      </c>
      <c r="I23" s="378">
        <f t="shared" ref="I23:L23" si="5">H23</f>
        <v>3000</v>
      </c>
      <c r="J23" s="378">
        <f t="shared" si="5"/>
        <v>3000</v>
      </c>
      <c r="K23" s="123">
        <f t="shared" si="5"/>
        <v>3000</v>
      </c>
      <c r="L23" s="378">
        <f t="shared" si="5"/>
        <v>3000</v>
      </c>
      <c r="N23" s="121" t="s">
        <v>143</v>
      </c>
      <c r="P23" s="404"/>
      <c r="Q23" s="406">
        <v>139.9</v>
      </c>
      <c r="R23" s="400"/>
      <c r="S23" s="400"/>
      <c r="T23" s="400"/>
      <c r="U23" s="400"/>
      <c r="V23" s="400"/>
    </row>
    <row r="24">
      <c r="B24" s="121" t="s">
        <v>146</v>
      </c>
      <c r="C24" s="126" t="s">
        <v>147</v>
      </c>
      <c r="D24" s="378">
        <v>400.0</v>
      </c>
      <c r="E24" s="378">
        <v>400.0</v>
      </c>
      <c r="F24" s="378">
        <v>404.8</v>
      </c>
      <c r="G24" s="378">
        <v>400.0</v>
      </c>
      <c r="H24" s="378">
        <v>404.8</v>
      </c>
      <c r="I24" s="378">
        <v>404.8</v>
      </c>
      <c r="J24" s="378">
        <v>404.8</v>
      </c>
      <c r="K24" s="123">
        <f t="shared" ref="K24:L24" si="6">J24</f>
        <v>404.8</v>
      </c>
      <c r="L24" s="378">
        <f t="shared" si="6"/>
        <v>404.8</v>
      </c>
      <c r="N24" s="121" t="s">
        <v>144</v>
      </c>
      <c r="P24" s="404"/>
      <c r="Q24" s="400">
        <v>100.0</v>
      </c>
      <c r="R24" s="400"/>
      <c r="S24" s="400"/>
      <c r="T24" s="400"/>
      <c r="U24" s="400"/>
      <c r="V24" s="400"/>
      <c r="W24" s="28"/>
    </row>
    <row r="25">
      <c r="B25" s="127" t="s">
        <v>180</v>
      </c>
      <c r="C25" s="128"/>
      <c r="D25" s="378">
        <v>0.0</v>
      </c>
      <c r="E25" s="378">
        <v>0.0</v>
      </c>
      <c r="F25" s="378">
        <v>0.0</v>
      </c>
      <c r="G25" s="378">
        <v>0.0</v>
      </c>
      <c r="H25" s="378">
        <v>0.0</v>
      </c>
      <c r="I25" s="378">
        <v>0.0</v>
      </c>
      <c r="J25" s="378">
        <v>0.0</v>
      </c>
      <c r="K25" s="129"/>
      <c r="L25" s="378">
        <v>500.0</v>
      </c>
      <c r="N25" s="121" t="s">
        <v>145</v>
      </c>
      <c r="O25" s="400">
        <v>3000.0</v>
      </c>
      <c r="P25" s="404"/>
      <c r="Q25" s="404"/>
      <c r="R25" s="400"/>
      <c r="S25" s="400"/>
      <c r="T25" s="400"/>
      <c r="U25" s="400"/>
      <c r="V25" s="400"/>
    </row>
    <row r="26">
      <c r="B26" s="121" t="s">
        <v>148</v>
      </c>
      <c r="C26" s="122"/>
      <c r="D26" s="378">
        <v>500.0</v>
      </c>
      <c r="E26" s="378">
        <v>500.0</v>
      </c>
      <c r="F26" s="378">
        <v>500.0</v>
      </c>
      <c r="G26" s="378">
        <v>500.0</v>
      </c>
      <c r="H26" s="378">
        <v>600.0</v>
      </c>
      <c r="I26" s="378">
        <v>500.0</v>
      </c>
      <c r="J26" s="378">
        <f t="shared" ref="J26:L26" si="7">I26</f>
        <v>500</v>
      </c>
      <c r="K26" s="123">
        <f t="shared" si="7"/>
        <v>500</v>
      </c>
      <c r="L26" s="378">
        <f t="shared" si="7"/>
        <v>500</v>
      </c>
      <c r="N26" s="121" t="s">
        <v>146</v>
      </c>
      <c r="O26" s="404">
        <v>204.8</v>
      </c>
      <c r="P26" s="404">
        <v>200.0</v>
      </c>
      <c r="Q26" s="400"/>
      <c r="R26" s="400"/>
      <c r="S26" s="400"/>
      <c r="T26" s="400"/>
      <c r="U26" s="400"/>
      <c r="V26" s="400"/>
    </row>
    <row r="27">
      <c r="B27" s="121" t="s">
        <v>149</v>
      </c>
      <c r="C27" s="122"/>
      <c r="D27" s="378">
        <v>500.0</v>
      </c>
      <c r="E27" s="378">
        <v>500.0</v>
      </c>
      <c r="F27" s="378">
        <v>500.0</v>
      </c>
      <c r="G27" s="378">
        <v>500.0</v>
      </c>
      <c r="H27" s="378">
        <v>500.0</v>
      </c>
      <c r="I27" s="378">
        <f t="shared" ref="I27:L27" si="8">H27</f>
        <v>500</v>
      </c>
      <c r="J27" s="378">
        <f t="shared" si="8"/>
        <v>500</v>
      </c>
      <c r="K27" s="123">
        <f t="shared" si="8"/>
        <v>500</v>
      </c>
      <c r="L27" s="378">
        <f t="shared" si="8"/>
        <v>500</v>
      </c>
      <c r="N27" s="127" t="s">
        <v>180</v>
      </c>
      <c r="O27" s="404"/>
      <c r="P27" s="404"/>
      <c r="Q27" s="400"/>
      <c r="R27" s="400"/>
      <c r="S27" s="400"/>
      <c r="T27" s="400"/>
      <c r="U27" s="400"/>
      <c r="V27" s="400"/>
    </row>
    <row r="28">
      <c r="B28" s="127" t="s">
        <v>181</v>
      </c>
      <c r="C28" s="128"/>
      <c r="D28" s="378">
        <v>650.0</v>
      </c>
      <c r="E28" s="378">
        <v>150.0</v>
      </c>
      <c r="F28" s="378">
        <v>150.0</v>
      </c>
      <c r="G28" s="378">
        <v>150.0</v>
      </c>
      <c r="H28" s="378">
        <v>150.0</v>
      </c>
      <c r="I28" s="378">
        <v>150.0</v>
      </c>
      <c r="J28" s="378">
        <v>150.0</v>
      </c>
      <c r="K28" s="129">
        <v>150.0</v>
      </c>
      <c r="L28" s="378">
        <v>150.0</v>
      </c>
      <c r="N28" s="121" t="s">
        <v>148</v>
      </c>
      <c r="P28" s="404"/>
      <c r="Q28" s="400">
        <v>500.0</v>
      </c>
      <c r="R28" s="400"/>
      <c r="S28" s="400"/>
      <c r="T28" s="400"/>
      <c r="U28" s="400"/>
      <c r="V28" s="400"/>
    </row>
    <row r="29">
      <c r="B29" s="121" t="s">
        <v>150</v>
      </c>
      <c r="C29" s="122"/>
      <c r="D29" s="378">
        <v>400.0</v>
      </c>
      <c r="E29" s="378">
        <v>400.0</v>
      </c>
      <c r="F29" s="378">
        <v>400.0</v>
      </c>
      <c r="G29" s="378">
        <v>400.0</v>
      </c>
      <c r="H29" s="378">
        <v>400.0</v>
      </c>
      <c r="I29" s="378">
        <f t="shared" ref="I29:L29" si="9">H29</f>
        <v>400</v>
      </c>
      <c r="J29" s="378">
        <f t="shared" si="9"/>
        <v>400</v>
      </c>
      <c r="K29" s="123">
        <f t="shared" si="9"/>
        <v>400</v>
      </c>
      <c r="L29" s="378">
        <f t="shared" si="9"/>
        <v>400</v>
      </c>
      <c r="N29" s="121" t="s">
        <v>149</v>
      </c>
      <c r="P29" s="404"/>
      <c r="Q29" s="400">
        <v>500.0</v>
      </c>
      <c r="R29" s="400"/>
      <c r="S29" s="400"/>
      <c r="T29" s="400"/>
      <c r="U29" s="400"/>
      <c r="V29" s="400"/>
    </row>
    <row r="30">
      <c r="B30" s="127" t="s">
        <v>182</v>
      </c>
      <c r="C30" s="128"/>
      <c r="D30" s="378"/>
      <c r="E30" s="378"/>
      <c r="F30" s="378"/>
      <c r="G30" s="378">
        <v>160.0</v>
      </c>
      <c r="H30" s="378">
        <v>160.0</v>
      </c>
      <c r="I30" s="378">
        <v>180.0</v>
      </c>
      <c r="J30" s="378">
        <v>87.36</v>
      </c>
      <c r="K30" s="129">
        <v>160.0</v>
      </c>
      <c r="L30" s="378">
        <v>160.0</v>
      </c>
      <c r="N30" s="127" t="s">
        <v>181</v>
      </c>
      <c r="P30" s="404"/>
      <c r="Q30" s="400">
        <v>150.0</v>
      </c>
      <c r="R30" s="400"/>
      <c r="S30" s="400"/>
      <c r="T30" s="400"/>
      <c r="U30" s="400"/>
      <c r="V30" s="400"/>
    </row>
    <row r="31">
      <c r="B31" s="127" t="s">
        <v>183</v>
      </c>
      <c r="C31" s="128"/>
      <c r="D31" s="378">
        <v>400.0</v>
      </c>
      <c r="E31" s="378">
        <v>400.0</v>
      </c>
      <c r="F31" s="378">
        <v>400.0</v>
      </c>
      <c r="G31" s="378">
        <v>400.0</v>
      </c>
      <c r="H31" s="378">
        <v>400.0</v>
      </c>
      <c r="I31" s="378">
        <v>400.0</v>
      </c>
      <c r="J31" s="378">
        <v>400.0</v>
      </c>
      <c r="K31" s="129">
        <v>400.0</v>
      </c>
      <c r="L31" s="378">
        <v>400.0</v>
      </c>
      <c r="N31" s="121" t="s">
        <v>150</v>
      </c>
      <c r="P31" s="404">
        <v>400.0</v>
      </c>
      <c r="Q31" s="400"/>
      <c r="R31" s="400"/>
      <c r="S31" s="404"/>
      <c r="T31" s="404"/>
      <c r="U31" s="404"/>
      <c r="V31" s="404"/>
    </row>
    <row r="32">
      <c r="B32" s="121" t="s">
        <v>152</v>
      </c>
      <c r="C32" s="122"/>
      <c r="D32" s="390"/>
      <c r="E32" s="390"/>
      <c r="F32" s="378"/>
      <c r="G32" s="378"/>
      <c r="H32" s="378"/>
      <c r="I32" s="390"/>
      <c r="J32" s="390"/>
      <c r="K32" s="123"/>
      <c r="L32" s="378"/>
      <c r="N32" s="127" t="s">
        <v>182</v>
      </c>
      <c r="P32" s="404"/>
      <c r="Q32" s="400"/>
      <c r="R32" s="400"/>
      <c r="S32" s="404"/>
      <c r="T32" s="404">
        <v>160.0</v>
      </c>
      <c r="U32" s="404"/>
      <c r="V32" s="404"/>
    </row>
    <row r="33">
      <c r="B33" s="121" t="s">
        <v>154</v>
      </c>
      <c r="C33" s="122"/>
      <c r="D33" s="378">
        <v>122.0</v>
      </c>
      <c r="E33" s="378">
        <v>105.46</v>
      </c>
      <c r="F33" s="378">
        <v>105.46</v>
      </c>
      <c r="G33" s="378">
        <v>105.46</v>
      </c>
      <c r="H33" s="378">
        <v>105.46</v>
      </c>
      <c r="I33" s="378">
        <v>136.92</v>
      </c>
      <c r="J33" s="378">
        <v>136.92</v>
      </c>
      <c r="K33" s="123">
        <f t="shared" ref="K33:L33" si="10">J33</f>
        <v>136.92</v>
      </c>
      <c r="L33" s="378">
        <f t="shared" si="10"/>
        <v>136.92</v>
      </c>
      <c r="N33" s="127" t="s">
        <v>183</v>
      </c>
      <c r="P33" s="404"/>
      <c r="Q33" s="400"/>
      <c r="R33" s="400"/>
      <c r="S33" s="404"/>
      <c r="T33" s="404">
        <v>400.0</v>
      </c>
      <c r="U33" s="404"/>
      <c r="V33" s="404"/>
    </row>
    <row r="34">
      <c r="B34" s="121" t="s">
        <v>155</v>
      </c>
      <c r="C34" s="122"/>
      <c r="D34" s="390"/>
      <c r="E34" s="390"/>
      <c r="F34" s="390"/>
      <c r="G34" s="390"/>
      <c r="H34" s="390"/>
      <c r="I34" s="378" t="str">
        <f t="shared" ref="I34:L34" si="11">H34</f>
        <v/>
      </c>
      <c r="J34" s="378" t="str">
        <f t="shared" si="11"/>
        <v/>
      </c>
      <c r="K34" s="123" t="str">
        <f t="shared" si="11"/>
        <v/>
      </c>
      <c r="L34" s="378" t="str">
        <f t="shared" si="11"/>
        <v/>
      </c>
      <c r="N34" s="121" t="s">
        <v>152</v>
      </c>
      <c r="O34" s="400"/>
      <c r="P34" s="404"/>
      <c r="Q34" s="400"/>
      <c r="R34" s="400"/>
      <c r="S34" s="404"/>
      <c r="T34" s="404"/>
      <c r="U34" s="404"/>
      <c r="V34" s="404"/>
    </row>
    <row r="35">
      <c r="B35" s="121" t="s">
        <v>156</v>
      </c>
      <c r="C35" s="122"/>
      <c r="D35" s="378">
        <v>150.0</v>
      </c>
      <c r="E35" s="378">
        <v>150.0</v>
      </c>
      <c r="F35" s="378"/>
      <c r="G35" s="378">
        <v>150.0</v>
      </c>
      <c r="H35" s="378">
        <f>400+400+150</f>
        <v>950</v>
      </c>
      <c r="I35" s="378">
        <v>800.0</v>
      </c>
      <c r="J35" s="378">
        <v>300.0</v>
      </c>
      <c r="K35" s="131">
        <v>150.0</v>
      </c>
      <c r="L35" s="390"/>
      <c r="N35" s="121" t="s">
        <v>154</v>
      </c>
      <c r="O35" s="400">
        <f>136.92-13</f>
        <v>123.92</v>
      </c>
      <c r="P35" s="404">
        <v>13.0</v>
      </c>
      <c r="Q35" s="400"/>
      <c r="R35" s="400"/>
      <c r="S35" s="404"/>
      <c r="T35" s="404"/>
      <c r="U35" s="404"/>
      <c r="V35" s="404"/>
      <c r="W35" s="32"/>
    </row>
    <row r="36">
      <c r="B36" s="121" t="s">
        <v>157</v>
      </c>
      <c r="C36" s="122"/>
      <c r="D36" s="378">
        <v>50.0</v>
      </c>
      <c r="E36" s="378">
        <v>50.0</v>
      </c>
      <c r="F36" s="378">
        <v>50.0</v>
      </c>
      <c r="G36" s="378">
        <v>50.0</v>
      </c>
      <c r="H36" s="378">
        <f t="shared" ref="H36:L36" si="12">G36</f>
        <v>50</v>
      </c>
      <c r="I36" s="378">
        <f t="shared" si="12"/>
        <v>50</v>
      </c>
      <c r="J36" s="378">
        <f t="shared" si="12"/>
        <v>50</v>
      </c>
      <c r="K36" s="123">
        <f t="shared" si="12"/>
        <v>50</v>
      </c>
      <c r="L36" s="378">
        <f t="shared" si="12"/>
        <v>50</v>
      </c>
      <c r="N36" s="121" t="s">
        <v>155</v>
      </c>
      <c r="O36" s="400"/>
      <c r="P36" s="404"/>
      <c r="Q36" s="400"/>
      <c r="R36" s="400"/>
      <c r="S36" s="404"/>
      <c r="T36" s="404"/>
      <c r="U36" s="404"/>
      <c r="V36" s="404"/>
      <c r="X36" s="18"/>
    </row>
    <row r="37">
      <c r="B37" s="121" t="s">
        <v>158</v>
      </c>
      <c r="C37" s="122"/>
      <c r="D37" s="390"/>
      <c r="E37" s="390"/>
      <c r="F37" s="390"/>
      <c r="G37" s="390"/>
      <c r="H37" s="378" t="str">
        <f t="shared" ref="H37:L37" si="13">G37</f>
        <v/>
      </c>
      <c r="I37" s="378" t="str">
        <f t="shared" si="13"/>
        <v/>
      </c>
      <c r="J37" s="378" t="str">
        <f t="shared" si="13"/>
        <v/>
      </c>
      <c r="K37" s="123" t="str">
        <f t="shared" si="13"/>
        <v/>
      </c>
      <c r="L37" s="378" t="str">
        <f t="shared" si="13"/>
        <v/>
      </c>
      <c r="N37" s="121" t="s">
        <v>156</v>
      </c>
      <c r="P37" s="404"/>
      <c r="Q37" s="400"/>
      <c r="R37" s="400"/>
      <c r="S37" s="404"/>
      <c r="T37" s="393">
        <v>150.0</v>
      </c>
      <c r="U37" s="404"/>
      <c r="V37" s="404"/>
      <c r="X37" s="18"/>
    </row>
    <row r="38">
      <c r="B38" s="121" t="s">
        <v>159</v>
      </c>
      <c r="C38" s="122"/>
      <c r="D38" s="378">
        <f t="shared" ref="D38:E38" si="14">400+400+150</f>
        <v>950</v>
      </c>
      <c r="E38" s="378">
        <f t="shared" si="14"/>
        <v>950</v>
      </c>
      <c r="F38" s="378">
        <v>950.0</v>
      </c>
      <c r="G38" s="378">
        <v>950.0</v>
      </c>
      <c r="H38" s="378">
        <f t="shared" ref="H38:K38" si="15">400+400+150</f>
        <v>950</v>
      </c>
      <c r="I38" s="378">
        <f t="shared" si="15"/>
        <v>950</v>
      </c>
      <c r="J38" s="378">
        <f t="shared" si="15"/>
        <v>950</v>
      </c>
      <c r="K38" s="123">
        <f t="shared" si="15"/>
        <v>950</v>
      </c>
      <c r="L38" s="378">
        <v>800.0</v>
      </c>
      <c r="N38" s="121" t="s">
        <v>157</v>
      </c>
      <c r="P38" s="404"/>
      <c r="Q38" s="400"/>
      <c r="R38" s="400"/>
      <c r="S38" s="404"/>
      <c r="T38" s="404"/>
      <c r="U38" s="404"/>
      <c r="V38" s="400">
        <v>50.0</v>
      </c>
    </row>
    <row r="39">
      <c r="B39" s="121" t="s">
        <v>160</v>
      </c>
      <c r="C39" s="122"/>
      <c r="D39" s="378">
        <v>3000.0</v>
      </c>
      <c r="E39" s="378">
        <v>3000.0</v>
      </c>
      <c r="F39" s="378">
        <v>3000.0</v>
      </c>
      <c r="G39" s="378">
        <v>3000.0</v>
      </c>
      <c r="H39" s="378">
        <f t="shared" ref="H39:L39" si="16">G39</f>
        <v>3000</v>
      </c>
      <c r="I39" s="378">
        <f t="shared" si="16"/>
        <v>3000</v>
      </c>
      <c r="J39" s="378">
        <f t="shared" si="16"/>
        <v>3000</v>
      </c>
      <c r="K39" s="123">
        <f t="shared" si="16"/>
        <v>3000</v>
      </c>
      <c r="L39" s="378">
        <f t="shared" si="16"/>
        <v>3000</v>
      </c>
      <c r="N39" s="121" t="s">
        <v>158</v>
      </c>
      <c r="O39" s="400"/>
      <c r="P39" s="404"/>
      <c r="Q39" s="400"/>
      <c r="R39" s="400"/>
      <c r="S39" s="404"/>
      <c r="T39" s="404"/>
      <c r="U39" s="404"/>
      <c r="V39" s="404"/>
    </row>
    <row r="40">
      <c r="B40" s="127" t="s">
        <v>184</v>
      </c>
      <c r="C40" s="128"/>
      <c r="D40" s="377">
        <v>1087.8499999999985</v>
      </c>
      <c r="E40" s="378">
        <v>700.0</v>
      </c>
      <c r="F40" s="378">
        <v>700.0</v>
      </c>
      <c r="G40" s="378">
        <v>700.0</v>
      </c>
      <c r="H40" s="378">
        <v>700.0</v>
      </c>
      <c r="I40" s="378">
        <v>700.0</v>
      </c>
      <c r="J40" s="378">
        <v>700.0</v>
      </c>
      <c r="K40" s="129">
        <v>700.0</v>
      </c>
      <c r="L40" s="378">
        <v>700.0</v>
      </c>
      <c r="N40" s="121" t="s">
        <v>159</v>
      </c>
      <c r="O40" s="400">
        <v>400.0</v>
      </c>
      <c r="P40" s="404">
        <v>550.0</v>
      </c>
      <c r="Q40" s="400"/>
      <c r="R40" s="400"/>
      <c r="S40" s="404"/>
      <c r="T40" s="404"/>
      <c r="U40" s="404"/>
      <c r="V40" s="404"/>
    </row>
    <row r="41">
      <c r="B41" s="127" t="s">
        <v>3</v>
      </c>
      <c r="C41" s="128"/>
      <c r="D41" s="378">
        <v>500.0</v>
      </c>
      <c r="E41" s="378">
        <v>500.0</v>
      </c>
      <c r="F41" s="378">
        <v>500.0</v>
      </c>
      <c r="G41" s="378">
        <v>500.0</v>
      </c>
      <c r="H41" s="378">
        <v>500.0</v>
      </c>
      <c r="I41" s="378">
        <v>500.0</v>
      </c>
      <c r="J41" s="378">
        <v>500.0</v>
      </c>
      <c r="K41" s="129">
        <v>500.0</v>
      </c>
      <c r="L41" s="378">
        <v>500.0</v>
      </c>
      <c r="N41" s="121" t="s">
        <v>160</v>
      </c>
      <c r="O41" s="400">
        <v>1500.0</v>
      </c>
      <c r="P41" s="404">
        <v>1500.0</v>
      </c>
      <c r="Q41" s="400"/>
      <c r="R41" s="400"/>
      <c r="S41" s="404"/>
      <c r="T41" s="404"/>
      <c r="U41" s="404"/>
      <c r="V41" s="404"/>
    </row>
    <row r="42">
      <c r="B42" s="67" t="s">
        <v>161</v>
      </c>
      <c r="C42" s="68"/>
      <c r="D42" s="132">
        <f t="shared" ref="D42:L42" si="17">SUM(D19:D41)*-1</f>
        <v>-12034.7</v>
      </c>
      <c r="E42" s="132">
        <f t="shared" si="17"/>
        <v>-11130.31</v>
      </c>
      <c r="F42" s="132">
        <f t="shared" si="17"/>
        <v>-10985.11</v>
      </c>
      <c r="G42" s="132">
        <f t="shared" si="17"/>
        <v>-10844.76</v>
      </c>
      <c r="H42" s="132">
        <f t="shared" si="17"/>
        <v>-12590.16</v>
      </c>
      <c r="I42" s="132">
        <f t="shared" si="17"/>
        <v>-12494.82</v>
      </c>
      <c r="J42" s="132">
        <f t="shared" si="17"/>
        <v>-11908.98</v>
      </c>
      <c r="K42" s="132">
        <f t="shared" si="17"/>
        <v>-11831.62</v>
      </c>
      <c r="L42" s="132">
        <f t="shared" si="17"/>
        <v>-12066.57</v>
      </c>
      <c r="N42" s="127" t="s">
        <v>184</v>
      </c>
      <c r="P42" s="404"/>
      <c r="Q42" s="400"/>
      <c r="R42" s="404">
        <v>700.0</v>
      </c>
      <c r="S42" s="404"/>
      <c r="T42" s="404"/>
      <c r="U42" s="404"/>
      <c r="V42" s="404"/>
    </row>
    <row r="43">
      <c r="N43" s="127" t="s">
        <v>3</v>
      </c>
      <c r="P43" s="400"/>
      <c r="Q43" s="400"/>
      <c r="R43" s="400"/>
      <c r="S43" s="400">
        <v>500.0</v>
      </c>
      <c r="T43" s="404"/>
      <c r="U43" s="404"/>
      <c r="V43" s="404"/>
    </row>
    <row r="44">
      <c r="B44" s="80" t="s">
        <v>162</v>
      </c>
      <c r="C44" s="81"/>
      <c r="D44" s="82">
        <f t="shared" ref="D44:L44" si="18">D16+D42</f>
        <v>1557.38</v>
      </c>
      <c r="E44" s="82">
        <f t="shared" si="18"/>
        <v>2733.61</v>
      </c>
      <c r="F44" s="82">
        <f t="shared" si="18"/>
        <v>3138.81</v>
      </c>
      <c r="G44" s="82">
        <f t="shared" si="18"/>
        <v>3295.36</v>
      </c>
      <c r="H44" s="82">
        <f t="shared" si="18"/>
        <v>1561.97</v>
      </c>
      <c r="I44" s="82">
        <f t="shared" si="18"/>
        <v>12253.51</v>
      </c>
      <c r="J44" s="82">
        <f t="shared" si="18"/>
        <v>2226.14</v>
      </c>
      <c r="K44" s="82">
        <f t="shared" si="18"/>
        <v>2194.5</v>
      </c>
      <c r="L44" s="82">
        <f t="shared" si="18"/>
        <v>1979.79</v>
      </c>
      <c r="N44" s="18" t="s">
        <v>379</v>
      </c>
      <c r="O44" s="400"/>
      <c r="P44" s="400"/>
      <c r="Q44" s="400"/>
      <c r="R44" s="400"/>
      <c r="S44" s="400"/>
      <c r="T44" s="400"/>
      <c r="U44" s="400">
        <v>2194.5</v>
      </c>
      <c r="V44" s="400"/>
    </row>
    <row r="45">
      <c r="B45" s="83"/>
      <c r="C45" s="83"/>
      <c r="D45" s="84"/>
      <c r="E45" s="84"/>
      <c r="F45" s="84"/>
      <c r="G45" s="84"/>
      <c r="H45" s="84"/>
      <c r="I45" s="84"/>
      <c r="J45" s="84"/>
      <c r="K45" s="84"/>
      <c r="L45" s="84"/>
      <c r="N45" s="7" t="s">
        <v>26</v>
      </c>
      <c r="O45" s="325">
        <f t="shared" ref="O45:V45" si="19">SUM(O21:O44)</f>
        <v>5228.72</v>
      </c>
      <c r="P45" s="373">
        <f t="shared" si="19"/>
        <v>2663</v>
      </c>
      <c r="Q45" s="373">
        <f t="shared" si="19"/>
        <v>1979.9</v>
      </c>
      <c r="R45" s="373">
        <f t="shared" si="19"/>
        <v>700</v>
      </c>
      <c r="S45" s="373">
        <f t="shared" si="19"/>
        <v>500</v>
      </c>
      <c r="T45" s="373">
        <f t="shared" si="19"/>
        <v>710</v>
      </c>
      <c r="U45" s="373">
        <f t="shared" si="19"/>
        <v>2194.5</v>
      </c>
      <c r="V45" s="373">
        <f t="shared" si="19"/>
        <v>50</v>
      </c>
    </row>
    <row r="46">
      <c r="B46" s="85" t="s">
        <v>163</v>
      </c>
      <c r="C46" s="86"/>
      <c r="D46" s="57" t="s">
        <v>123</v>
      </c>
      <c r="E46" s="57" t="s">
        <v>124</v>
      </c>
      <c r="F46" s="57" t="s">
        <v>125</v>
      </c>
      <c r="G46" s="57" t="s">
        <v>126</v>
      </c>
      <c r="H46" s="57" t="s">
        <v>127</v>
      </c>
      <c r="I46" s="57" t="s">
        <v>128</v>
      </c>
      <c r="J46" s="57" t="s">
        <v>129</v>
      </c>
      <c r="K46" s="57" t="s">
        <v>130</v>
      </c>
      <c r="L46" s="57" t="s">
        <v>131</v>
      </c>
      <c r="N46" s="107" t="s">
        <v>371</v>
      </c>
      <c r="O46" s="391">
        <f>(K12)-O45</f>
        <v>3173.53</v>
      </c>
      <c r="P46" s="386"/>
      <c r="Q46" s="287"/>
    </row>
    <row r="47">
      <c r="B47" s="87" t="s">
        <v>185</v>
      </c>
      <c r="C47" s="88"/>
      <c r="D47" s="89"/>
      <c r="E47" s="89"/>
      <c r="F47" s="89"/>
      <c r="G47" s="134">
        <v>512.46</v>
      </c>
      <c r="H47" s="134">
        <v>512.46</v>
      </c>
      <c r="I47" s="134">
        <v>512.46</v>
      </c>
      <c r="J47" s="134">
        <v>502.75</v>
      </c>
      <c r="K47" s="134"/>
      <c r="L47" s="134"/>
      <c r="N47" s="325" t="s">
        <v>353</v>
      </c>
    </row>
    <row r="48">
      <c r="A48" s="298">
        <v>45020.0</v>
      </c>
      <c r="B48" s="87" t="s">
        <v>58</v>
      </c>
      <c r="C48" s="88"/>
      <c r="D48" s="91"/>
      <c r="E48" s="91"/>
      <c r="F48" s="91"/>
      <c r="G48" s="91"/>
      <c r="H48" s="91"/>
      <c r="I48" s="135"/>
      <c r="J48" s="135"/>
      <c r="K48" s="135"/>
      <c r="L48" s="135"/>
      <c r="N48" s="107"/>
      <c r="S48" s="393">
        <f>P45-550</f>
        <v>2113</v>
      </c>
    </row>
    <row r="49">
      <c r="B49" s="87"/>
      <c r="C49" s="88"/>
      <c r="D49" s="91"/>
      <c r="E49" s="91"/>
      <c r="F49" s="91"/>
      <c r="G49" s="91"/>
      <c r="H49" s="91"/>
      <c r="I49" s="91"/>
      <c r="J49" s="91"/>
      <c r="K49" s="91"/>
      <c r="L49" s="91"/>
      <c r="N49" s="107"/>
    </row>
    <row r="50">
      <c r="B50" s="92"/>
      <c r="C50" s="93"/>
      <c r="D50" s="94"/>
      <c r="E50" s="94"/>
      <c r="F50" s="94"/>
      <c r="G50" s="94"/>
      <c r="H50" s="94"/>
      <c r="I50" s="94"/>
      <c r="J50" s="94"/>
      <c r="K50" s="94"/>
      <c r="L50" s="94"/>
      <c r="N50" s="107"/>
      <c r="R50" s="387"/>
      <c r="U50" s="387"/>
    </row>
    <row r="51">
      <c r="B51" s="67" t="s">
        <v>167</v>
      </c>
      <c r="C51" s="95">
        <f>SUM(C47:C50)</f>
        <v>0</v>
      </c>
      <c r="D51" s="78">
        <f t="shared" ref="D51:L51" si="20">SUM(D47:D50)*-1</f>
        <v>0</v>
      </c>
      <c r="E51" s="78">
        <f t="shared" si="20"/>
        <v>0</v>
      </c>
      <c r="F51" s="78">
        <f t="shared" si="20"/>
        <v>0</v>
      </c>
      <c r="G51" s="78">
        <f t="shared" si="20"/>
        <v>-512.46</v>
      </c>
      <c r="H51" s="78">
        <f t="shared" si="20"/>
        <v>-512.46</v>
      </c>
      <c r="I51" s="78">
        <f t="shared" si="20"/>
        <v>-512.46</v>
      </c>
      <c r="J51" s="78">
        <f t="shared" si="20"/>
        <v>-502.75</v>
      </c>
      <c r="K51" s="78">
        <f t="shared" si="20"/>
        <v>0</v>
      </c>
      <c r="L51" s="78">
        <f t="shared" si="20"/>
        <v>0</v>
      </c>
      <c r="N51" s="394" t="s">
        <v>48</v>
      </c>
      <c r="O51" s="395"/>
      <c r="P51" s="389" t="s">
        <v>370</v>
      </c>
      <c r="Q51" s="389"/>
    </row>
    <row r="52">
      <c r="B52" s="83"/>
      <c r="C52" s="83"/>
      <c r="D52" s="96"/>
      <c r="E52" s="96"/>
      <c r="F52" s="96"/>
      <c r="G52" s="96"/>
      <c r="H52" s="96"/>
      <c r="I52" s="96"/>
      <c r="J52" s="96"/>
      <c r="K52" s="96"/>
      <c r="L52" s="96"/>
      <c r="N52" s="107"/>
    </row>
    <row r="53">
      <c r="B53" s="97" t="s">
        <v>168</v>
      </c>
      <c r="C53" s="98"/>
      <c r="D53" s="99">
        <f t="shared" ref="D53:L53" si="21">D44+D51</f>
        <v>1557.38</v>
      </c>
      <c r="E53" s="99">
        <f t="shared" si="21"/>
        <v>2733.61</v>
      </c>
      <c r="F53" s="99">
        <f t="shared" si="21"/>
        <v>3138.81</v>
      </c>
      <c r="G53" s="99">
        <f t="shared" si="21"/>
        <v>2782.9</v>
      </c>
      <c r="H53" s="99">
        <f t="shared" si="21"/>
        <v>1049.51</v>
      </c>
      <c r="I53" s="99">
        <f t="shared" si="21"/>
        <v>11741.05</v>
      </c>
      <c r="J53" s="99">
        <f t="shared" si="21"/>
        <v>1723.39</v>
      </c>
      <c r="K53" s="99">
        <f t="shared" si="21"/>
        <v>2194.5</v>
      </c>
      <c r="L53" s="99">
        <f t="shared" si="21"/>
        <v>1979.79</v>
      </c>
      <c r="N53" s="107"/>
      <c r="O53" s="107"/>
    </row>
    <row r="54">
      <c r="B54" s="83"/>
      <c r="C54" s="83"/>
      <c r="D54" s="96"/>
      <c r="E54" s="96"/>
      <c r="F54" s="96"/>
      <c r="G54" s="96"/>
      <c r="H54" s="96"/>
      <c r="I54" s="96"/>
      <c r="J54" s="96"/>
      <c r="K54" s="96"/>
      <c r="L54" s="96"/>
      <c r="N54" s="107"/>
      <c r="O54" s="18"/>
    </row>
    <row r="55">
      <c r="B55" s="100" t="s">
        <v>169</v>
      </c>
      <c r="C55" s="101"/>
      <c r="D55" s="57" t="s">
        <v>123</v>
      </c>
      <c r="E55" s="57" t="s">
        <v>124</v>
      </c>
      <c r="F55" s="57" t="s">
        <v>125</v>
      </c>
      <c r="G55" s="57" t="s">
        <v>126</v>
      </c>
      <c r="H55" s="57" t="s">
        <v>127</v>
      </c>
      <c r="I55" s="57" t="s">
        <v>128</v>
      </c>
      <c r="J55" s="57" t="s">
        <v>129</v>
      </c>
      <c r="K55" s="57" t="s">
        <v>130</v>
      </c>
      <c r="L55" s="57" t="s">
        <v>131</v>
      </c>
      <c r="N55" s="107"/>
      <c r="O55" s="18"/>
    </row>
    <row r="56">
      <c r="B56" s="102" t="s">
        <v>170</v>
      </c>
      <c r="C56" s="103"/>
      <c r="D56" s="104"/>
      <c r="E56" s="105">
        <v>0.0</v>
      </c>
      <c r="F56" s="105"/>
      <c r="G56" s="105"/>
      <c r="H56" s="105"/>
      <c r="I56" s="105"/>
      <c r="J56" s="105"/>
      <c r="K56" s="105"/>
      <c r="L56" s="105"/>
      <c r="N56" s="27"/>
    </row>
    <row r="57">
      <c r="B57" s="102" t="s">
        <v>171</v>
      </c>
      <c r="C57" s="103"/>
      <c r="D57" s="106">
        <f>+D53</f>
        <v>1557.38</v>
      </c>
      <c r="E57" s="106">
        <v>1572.02</v>
      </c>
      <c r="F57" s="106">
        <f t="shared" ref="F57:L57" si="22">+F53</f>
        <v>3138.81</v>
      </c>
      <c r="G57" s="106">
        <f t="shared" si="22"/>
        <v>2782.9</v>
      </c>
      <c r="H57" s="106">
        <f t="shared" si="22"/>
        <v>1049.51</v>
      </c>
      <c r="I57" s="106">
        <f t="shared" si="22"/>
        <v>11741.05</v>
      </c>
      <c r="J57" s="106">
        <f t="shared" si="22"/>
        <v>1723.39</v>
      </c>
      <c r="K57" s="106">
        <f t="shared" si="22"/>
        <v>2194.5</v>
      </c>
      <c r="L57" s="106">
        <f t="shared" si="22"/>
        <v>1979.79</v>
      </c>
      <c r="N57" s="27"/>
    </row>
    <row r="58">
      <c r="B58" s="67" t="s">
        <v>173</v>
      </c>
      <c r="C58" s="68"/>
      <c r="D58" s="95">
        <f t="shared" ref="D58:L58" si="23">SUM(D56:D57)</f>
        <v>1557.38</v>
      </c>
      <c r="E58" s="95">
        <f t="shared" si="23"/>
        <v>1572.02</v>
      </c>
      <c r="F58" s="95">
        <f t="shared" si="23"/>
        <v>3138.81</v>
      </c>
      <c r="G58" s="95">
        <f t="shared" si="23"/>
        <v>2782.9</v>
      </c>
      <c r="H58" s="95">
        <f t="shared" si="23"/>
        <v>1049.51</v>
      </c>
      <c r="I58" s="95">
        <f t="shared" si="23"/>
        <v>11741.05</v>
      </c>
      <c r="J58" s="95">
        <f t="shared" si="23"/>
        <v>1723.39</v>
      </c>
      <c r="K58" s="95">
        <f t="shared" si="23"/>
        <v>2194.5</v>
      </c>
      <c r="L58" s="95">
        <f t="shared" si="23"/>
        <v>1979.79</v>
      </c>
      <c r="N58" s="27"/>
    </row>
    <row r="59">
      <c r="D59" s="362"/>
      <c r="E59" s="362"/>
      <c r="N59" s="27"/>
    </row>
    <row r="60">
      <c r="I60" s="18">
        <v>1239.94</v>
      </c>
      <c r="N60" s="27"/>
    </row>
    <row r="61">
      <c r="N61" s="27"/>
    </row>
    <row r="62">
      <c r="N62" s="27"/>
    </row>
    <row r="63">
      <c r="N63" s="27"/>
    </row>
    <row r="64">
      <c r="N64" s="27"/>
    </row>
    <row r="65">
      <c r="N65" s="27"/>
    </row>
    <row r="66">
      <c r="N66" s="27"/>
    </row>
    <row r="67">
      <c r="N67" s="27"/>
    </row>
    <row r="68">
      <c r="N68" s="27"/>
    </row>
    <row r="69">
      <c r="N69" s="27"/>
    </row>
    <row r="70">
      <c r="N70" s="27"/>
    </row>
    <row r="71">
      <c r="N71" s="27"/>
    </row>
    <row r="72">
      <c r="N72" s="27"/>
    </row>
    <row r="73">
      <c r="N73" s="27"/>
    </row>
    <row r="74">
      <c r="N74" s="27"/>
    </row>
    <row r="75">
      <c r="N75" s="27"/>
    </row>
    <row r="76">
      <c r="N76" s="27"/>
    </row>
    <row r="77">
      <c r="N77" s="27"/>
    </row>
    <row r="78">
      <c r="N78" s="27"/>
    </row>
    <row r="79">
      <c r="N79" s="27"/>
    </row>
    <row r="80">
      <c r="N80" s="27"/>
    </row>
    <row r="81">
      <c r="N81" s="27"/>
    </row>
    <row r="82">
      <c r="N82" s="27"/>
    </row>
    <row r="83">
      <c r="N83" s="27"/>
    </row>
    <row r="84">
      <c r="N84" s="27"/>
    </row>
    <row r="85">
      <c r="N85" s="27"/>
    </row>
    <row r="86">
      <c r="N86" s="27"/>
    </row>
    <row r="87">
      <c r="N87" s="27"/>
    </row>
    <row r="88">
      <c r="N88" s="27"/>
    </row>
    <row r="89">
      <c r="N89" s="27"/>
    </row>
    <row r="90">
      <c r="N90" s="27"/>
    </row>
    <row r="91">
      <c r="N91" s="27"/>
    </row>
    <row r="92">
      <c r="N92" s="27"/>
    </row>
    <row r="93">
      <c r="N93" s="27"/>
    </row>
    <row r="94">
      <c r="N94" s="27"/>
    </row>
    <row r="95">
      <c r="N95" s="27"/>
    </row>
    <row r="96">
      <c r="N96" s="27"/>
    </row>
    <row r="97">
      <c r="N97" s="27"/>
    </row>
    <row r="98">
      <c r="N98" s="27"/>
    </row>
    <row r="99">
      <c r="N99" s="27"/>
    </row>
    <row r="100">
      <c r="N100" s="27"/>
    </row>
    <row r="101">
      <c r="N101" s="27"/>
    </row>
    <row r="102">
      <c r="N102" s="27"/>
    </row>
    <row r="103">
      <c r="N103" s="27"/>
    </row>
    <row r="104">
      <c r="N104" s="27"/>
    </row>
    <row r="105">
      <c r="N105" s="27"/>
    </row>
    <row r="106">
      <c r="N106" s="27"/>
    </row>
    <row r="107">
      <c r="N107" s="27"/>
    </row>
    <row r="108">
      <c r="N108" s="27"/>
    </row>
    <row r="109">
      <c r="N109" s="27"/>
    </row>
    <row r="110">
      <c r="N110" s="27"/>
    </row>
    <row r="111">
      <c r="N111" s="27"/>
    </row>
    <row r="112">
      <c r="N112" s="27"/>
    </row>
    <row r="113">
      <c r="N113" s="27"/>
    </row>
    <row r="114">
      <c r="N114" s="27"/>
    </row>
    <row r="115">
      <c r="N115" s="27"/>
    </row>
    <row r="116">
      <c r="N116" s="27"/>
    </row>
    <row r="117">
      <c r="N117" s="27"/>
    </row>
    <row r="118">
      <c r="N118" s="27"/>
    </row>
    <row r="119">
      <c r="N119" s="27"/>
    </row>
    <row r="120">
      <c r="N120" s="27"/>
    </row>
    <row r="121">
      <c r="N121" s="27"/>
    </row>
    <row r="122">
      <c r="N122" s="27"/>
    </row>
    <row r="123">
      <c r="N123" s="27"/>
    </row>
    <row r="124">
      <c r="N124" s="27"/>
    </row>
    <row r="125">
      <c r="N125" s="27"/>
    </row>
    <row r="126">
      <c r="N126" s="27"/>
    </row>
    <row r="127">
      <c r="N127" s="27"/>
    </row>
    <row r="128">
      <c r="N128" s="27"/>
    </row>
    <row r="129">
      <c r="N129" s="27"/>
    </row>
    <row r="130">
      <c r="N130" s="27"/>
    </row>
    <row r="131">
      <c r="N131" s="27"/>
    </row>
    <row r="132">
      <c r="N132" s="27"/>
    </row>
    <row r="133">
      <c r="N133" s="27"/>
    </row>
    <row r="134">
      <c r="N134" s="27"/>
    </row>
    <row r="135">
      <c r="N135" s="27"/>
    </row>
    <row r="136">
      <c r="N136" s="27"/>
    </row>
    <row r="137">
      <c r="N137" s="27"/>
    </row>
    <row r="138">
      <c r="N138" s="27"/>
    </row>
    <row r="139">
      <c r="N139" s="27"/>
    </row>
    <row r="140">
      <c r="N140" s="27"/>
    </row>
    <row r="141">
      <c r="N141" s="27"/>
    </row>
    <row r="142">
      <c r="N142" s="27"/>
    </row>
    <row r="143">
      <c r="N143" s="27"/>
    </row>
    <row r="144">
      <c r="N144" s="27"/>
    </row>
    <row r="145">
      <c r="N145" s="27"/>
    </row>
    <row r="146">
      <c r="N146" s="27"/>
    </row>
    <row r="147">
      <c r="N147" s="27"/>
    </row>
    <row r="148">
      <c r="N148" s="27"/>
    </row>
    <row r="149">
      <c r="N149" s="27"/>
    </row>
    <row r="150">
      <c r="N150" s="27"/>
    </row>
    <row r="151">
      <c r="N151" s="27"/>
    </row>
    <row r="152">
      <c r="N152" s="27"/>
    </row>
    <row r="153">
      <c r="N153" s="27"/>
    </row>
    <row r="154">
      <c r="N154" s="27"/>
    </row>
    <row r="155">
      <c r="N155" s="27"/>
    </row>
    <row r="156">
      <c r="N156" s="27"/>
    </row>
    <row r="157">
      <c r="N157" s="27"/>
    </row>
    <row r="158">
      <c r="N158" s="27"/>
    </row>
    <row r="159">
      <c r="N159" s="27"/>
    </row>
    <row r="160">
      <c r="N160" s="27"/>
    </row>
    <row r="161">
      <c r="N161" s="27"/>
    </row>
    <row r="162">
      <c r="N162" s="27"/>
    </row>
    <row r="163">
      <c r="N163" s="27"/>
    </row>
    <row r="164">
      <c r="N164" s="27"/>
    </row>
    <row r="165">
      <c r="N165" s="27"/>
    </row>
    <row r="166">
      <c r="N166" s="27"/>
    </row>
    <row r="167">
      <c r="N167" s="27"/>
    </row>
    <row r="168">
      <c r="N168" s="27"/>
    </row>
    <row r="169">
      <c r="N169" s="27"/>
    </row>
    <row r="170">
      <c r="N170" s="27"/>
    </row>
    <row r="171">
      <c r="N171" s="27"/>
    </row>
    <row r="172">
      <c r="N172" s="27"/>
    </row>
    <row r="173">
      <c r="N173" s="27"/>
    </row>
    <row r="174">
      <c r="N174" s="27"/>
    </row>
    <row r="175">
      <c r="N175" s="27"/>
    </row>
    <row r="176">
      <c r="N176" s="27"/>
    </row>
    <row r="177">
      <c r="N177" s="27"/>
    </row>
    <row r="178">
      <c r="N178" s="27"/>
    </row>
    <row r="179">
      <c r="N179" s="27"/>
    </row>
    <row r="180">
      <c r="N180" s="27"/>
    </row>
    <row r="181">
      <c r="N181" s="27"/>
    </row>
    <row r="182">
      <c r="N182" s="27"/>
    </row>
    <row r="183">
      <c r="N183" s="27"/>
    </row>
    <row r="184">
      <c r="N184" s="27"/>
    </row>
    <row r="185">
      <c r="N185" s="27"/>
    </row>
    <row r="186">
      <c r="N186" s="27"/>
    </row>
    <row r="187">
      <c r="N187" s="27"/>
    </row>
    <row r="188">
      <c r="N188" s="27"/>
    </row>
    <row r="189">
      <c r="N189" s="27"/>
    </row>
    <row r="190">
      <c r="N190" s="27"/>
    </row>
    <row r="191">
      <c r="N191" s="27"/>
    </row>
    <row r="192">
      <c r="N192" s="27"/>
    </row>
    <row r="193">
      <c r="N193" s="27"/>
    </row>
    <row r="194">
      <c r="N194" s="27"/>
    </row>
    <row r="195">
      <c r="N195" s="27"/>
    </row>
    <row r="196">
      <c r="N196" s="27"/>
    </row>
    <row r="197">
      <c r="N197" s="27"/>
    </row>
    <row r="198">
      <c r="N198" s="27"/>
    </row>
    <row r="199">
      <c r="N199" s="27"/>
    </row>
    <row r="200">
      <c r="N200" s="27"/>
    </row>
    <row r="201">
      <c r="N201" s="27"/>
    </row>
    <row r="202">
      <c r="N202" s="27"/>
    </row>
    <row r="203">
      <c r="N203" s="27"/>
    </row>
    <row r="204">
      <c r="N204" s="27"/>
    </row>
    <row r="205">
      <c r="N205" s="27"/>
    </row>
    <row r="206">
      <c r="N206" s="27"/>
    </row>
    <row r="207">
      <c r="N207" s="27"/>
    </row>
    <row r="208">
      <c r="N208" s="27"/>
    </row>
    <row r="209">
      <c r="N209" s="27"/>
    </row>
    <row r="210">
      <c r="N210" s="27"/>
    </row>
    <row r="211">
      <c r="N211" s="27"/>
    </row>
    <row r="212">
      <c r="N212" s="27"/>
    </row>
    <row r="213">
      <c r="N213" s="27"/>
    </row>
    <row r="214">
      <c r="N214" s="27"/>
    </row>
    <row r="215">
      <c r="N215" s="27"/>
    </row>
    <row r="216">
      <c r="N216" s="27"/>
    </row>
    <row r="217">
      <c r="N217" s="27"/>
    </row>
    <row r="218">
      <c r="N218" s="27"/>
    </row>
    <row r="219">
      <c r="N219" s="27"/>
    </row>
    <row r="220">
      <c r="N220" s="27"/>
    </row>
    <row r="221">
      <c r="N221" s="27"/>
    </row>
    <row r="222">
      <c r="N222" s="27"/>
    </row>
    <row r="223">
      <c r="N223" s="27"/>
    </row>
    <row r="224">
      <c r="N224" s="27"/>
    </row>
    <row r="225">
      <c r="N225" s="27"/>
    </row>
    <row r="226">
      <c r="N226" s="27"/>
    </row>
    <row r="227">
      <c r="N227" s="27"/>
    </row>
    <row r="228">
      <c r="N228" s="27"/>
    </row>
    <row r="229">
      <c r="N229" s="27"/>
    </row>
    <row r="230">
      <c r="N230" s="27"/>
    </row>
    <row r="231">
      <c r="N231" s="27"/>
    </row>
    <row r="232">
      <c r="N232" s="27"/>
    </row>
    <row r="233">
      <c r="N233" s="27"/>
    </row>
    <row r="234">
      <c r="N234" s="27"/>
    </row>
    <row r="235">
      <c r="N235" s="27"/>
    </row>
    <row r="236">
      <c r="N236" s="27"/>
    </row>
    <row r="237">
      <c r="N237" s="27"/>
    </row>
    <row r="238">
      <c r="N238" s="27"/>
    </row>
    <row r="239">
      <c r="N239" s="27"/>
    </row>
    <row r="240">
      <c r="N240" s="27"/>
    </row>
    <row r="241">
      <c r="N241" s="27"/>
    </row>
    <row r="242">
      <c r="N242" s="27"/>
    </row>
    <row r="243">
      <c r="N243" s="27"/>
    </row>
    <row r="244">
      <c r="N244" s="27"/>
    </row>
    <row r="245">
      <c r="N245" s="27"/>
    </row>
    <row r="246">
      <c r="N246" s="27"/>
    </row>
    <row r="247">
      <c r="N247" s="27"/>
    </row>
    <row r="248">
      <c r="N248" s="27"/>
    </row>
    <row r="249">
      <c r="N249" s="27"/>
    </row>
    <row r="250">
      <c r="N250" s="27"/>
    </row>
    <row r="251">
      <c r="N251" s="27"/>
    </row>
    <row r="252">
      <c r="N252" s="27"/>
    </row>
    <row r="253">
      <c r="N253" s="27"/>
    </row>
    <row r="254">
      <c r="N254" s="27"/>
    </row>
    <row r="255">
      <c r="N255" s="27"/>
    </row>
    <row r="256">
      <c r="N256" s="27"/>
    </row>
    <row r="257">
      <c r="N257" s="27"/>
    </row>
    <row r="258">
      <c r="N258" s="27"/>
    </row>
    <row r="259">
      <c r="N259" s="27"/>
    </row>
    <row r="260">
      <c r="N260" s="27"/>
    </row>
    <row r="261">
      <c r="N261" s="27"/>
    </row>
    <row r="262">
      <c r="N262" s="27"/>
    </row>
    <row r="263">
      <c r="N263" s="27"/>
    </row>
    <row r="264">
      <c r="N264" s="27"/>
    </row>
    <row r="265">
      <c r="N265" s="27"/>
    </row>
    <row r="266">
      <c r="N266" s="27"/>
    </row>
    <row r="267">
      <c r="N267" s="27"/>
    </row>
    <row r="268">
      <c r="N268" s="27"/>
    </row>
    <row r="269">
      <c r="N269" s="27"/>
    </row>
    <row r="270">
      <c r="N270" s="27"/>
    </row>
    <row r="271">
      <c r="N271" s="27"/>
    </row>
    <row r="272">
      <c r="N272" s="27"/>
    </row>
    <row r="273">
      <c r="N273" s="27"/>
    </row>
    <row r="274">
      <c r="N274" s="27"/>
    </row>
    <row r="275">
      <c r="N275" s="27"/>
    </row>
    <row r="276">
      <c r="N276" s="27"/>
    </row>
    <row r="277">
      <c r="N277" s="27"/>
    </row>
    <row r="278">
      <c r="N278" s="27"/>
    </row>
    <row r="279">
      <c r="N279" s="27"/>
    </row>
    <row r="280">
      <c r="N280" s="27"/>
    </row>
    <row r="281">
      <c r="N281" s="27"/>
    </row>
    <row r="282">
      <c r="N282" s="27"/>
    </row>
    <row r="283">
      <c r="N283" s="27"/>
    </row>
    <row r="284">
      <c r="N284" s="27"/>
    </row>
    <row r="285">
      <c r="N285" s="27"/>
    </row>
    <row r="286">
      <c r="N286" s="27"/>
    </row>
    <row r="287">
      <c r="N287" s="27"/>
    </row>
    <row r="288">
      <c r="N288" s="27"/>
    </row>
    <row r="289">
      <c r="N289" s="27"/>
    </row>
    <row r="290">
      <c r="N290" s="27"/>
    </row>
    <row r="291">
      <c r="N291" s="27"/>
    </row>
    <row r="292">
      <c r="N292" s="27"/>
    </row>
    <row r="293">
      <c r="N293" s="27"/>
    </row>
    <row r="294">
      <c r="N294" s="27"/>
    </row>
    <row r="295">
      <c r="N295" s="27"/>
    </row>
    <row r="296">
      <c r="N296" s="27"/>
    </row>
    <row r="297">
      <c r="N297" s="27"/>
    </row>
    <row r="298">
      <c r="N298" s="27"/>
    </row>
    <row r="299">
      <c r="N299" s="27"/>
    </row>
    <row r="300">
      <c r="N300" s="27"/>
    </row>
    <row r="301">
      <c r="N301" s="27"/>
    </row>
    <row r="302">
      <c r="N302" s="27"/>
    </row>
    <row r="303">
      <c r="N303" s="27"/>
    </row>
    <row r="304">
      <c r="N304" s="27"/>
    </row>
    <row r="305">
      <c r="N305" s="27"/>
    </row>
    <row r="306">
      <c r="N306" s="27"/>
    </row>
    <row r="307">
      <c r="N307" s="27"/>
    </row>
    <row r="308">
      <c r="N308" s="27"/>
    </row>
    <row r="309">
      <c r="N309" s="27"/>
    </row>
    <row r="310">
      <c r="N310" s="27"/>
    </row>
    <row r="311">
      <c r="N311" s="27"/>
    </row>
    <row r="312">
      <c r="N312" s="27"/>
    </row>
    <row r="313">
      <c r="N313" s="27"/>
    </row>
    <row r="314">
      <c r="N314" s="27"/>
    </row>
    <row r="315">
      <c r="N315" s="27"/>
    </row>
    <row r="316">
      <c r="N316" s="27"/>
    </row>
    <row r="317">
      <c r="N317" s="27"/>
    </row>
    <row r="318">
      <c r="N318" s="27"/>
    </row>
    <row r="319">
      <c r="N319" s="27"/>
    </row>
    <row r="320">
      <c r="N320" s="27"/>
    </row>
    <row r="321">
      <c r="N321" s="27"/>
    </row>
    <row r="322">
      <c r="N322" s="27"/>
    </row>
    <row r="323">
      <c r="N323" s="27"/>
    </row>
    <row r="324">
      <c r="N324" s="27"/>
    </row>
    <row r="325">
      <c r="N325" s="27"/>
    </row>
    <row r="326">
      <c r="N326" s="27"/>
    </row>
    <row r="327">
      <c r="N327" s="27"/>
    </row>
    <row r="328">
      <c r="N328" s="27"/>
    </row>
    <row r="329">
      <c r="N329" s="27"/>
    </row>
    <row r="330">
      <c r="N330" s="27"/>
    </row>
    <row r="331">
      <c r="N331" s="27"/>
    </row>
    <row r="332">
      <c r="N332" s="27"/>
    </row>
    <row r="333">
      <c r="N333" s="27"/>
    </row>
    <row r="334">
      <c r="N334" s="27"/>
    </row>
    <row r="335">
      <c r="N335" s="27"/>
    </row>
    <row r="336">
      <c r="N336" s="27"/>
    </row>
    <row r="337">
      <c r="N337" s="27"/>
    </row>
    <row r="338">
      <c r="N338" s="27"/>
    </row>
    <row r="339">
      <c r="N339" s="27"/>
    </row>
    <row r="340">
      <c r="N340" s="27"/>
    </row>
    <row r="341">
      <c r="N341" s="27"/>
    </row>
    <row r="342">
      <c r="N342" s="27"/>
    </row>
    <row r="343">
      <c r="N343" s="27"/>
    </row>
    <row r="344">
      <c r="N344" s="27"/>
    </row>
    <row r="345">
      <c r="N345" s="27"/>
    </row>
    <row r="346">
      <c r="N346" s="27"/>
    </row>
    <row r="347">
      <c r="N347" s="27"/>
    </row>
    <row r="348">
      <c r="N348" s="27"/>
    </row>
    <row r="349">
      <c r="N349" s="27"/>
    </row>
    <row r="350">
      <c r="N350" s="27"/>
    </row>
    <row r="351">
      <c r="N351" s="27"/>
    </row>
    <row r="352">
      <c r="N352" s="27"/>
    </row>
    <row r="353">
      <c r="N353" s="27"/>
    </row>
    <row r="354">
      <c r="N354" s="27"/>
    </row>
    <row r="355">
      <c r="N355" s="27"/>
    </row>
    <row r="356">
      <c r="N356" s="27"/>
    </row>
    <row r="357">
      <c r="N357" s="27"/>
    </row>
    <row r="358">
      <c r="N358" s="27"/>
    </row>
    <row r="359">
      <c r="N359" s="27"/>
    </row>
    <row r="360">
      <c r="N360" s="27"/>
    </row>
    <row r="361">
      <c r="N361" s="27"/>
    </row>
    <row r="362">
      <c r="N362" s="27"/>
    </row>
    <row r="363">
      <c r="N363" s="27"/>
    </row>
    <row r="364">
      <c r="N364" s="27"/>
    </row>
    <row r="365">
      <c r="N365" s="27"/>
    </row>
    <row r="366">
      <c r="N366" s="27"/>
    </row>
    <row r="367">
      <c r="N367" s="27"/>
    </row>
    <row r="368">
      <c r="N368" s="27"/>
    </row>
    <row r="369">
      <c r="N369" s="27"/>
    </row>
    <row r="370">
      <c r="N370" s="27"/>
    </row>
    <row r="371">
      <c r="N371" s="27"/>
    </row>
    <row r="372">
      <c r="N372" s="27"/>
    </row>
    <row r="373">
      <c r="N373" s="27"/>
    </row>
    <row r="374">
      <c r="N374" s="27"/>
    </row>
    <row r="375">
      <c r="N375" s="27"/>
    </row>
    <row r="376">
      <c r="N376" s="27"/>
    </row>
    <row r="377">
      <c r="N377" s="27"/>
    </row>
    <row r="378">
      <c r="N378" s="27"/>
    </row>
    <row r="379">
      <c r="N379" s="27"/>
    </row>
    <row r="380">
      <c r="N380" s="27"/>
    </row>
    <row r="381">
      <c r="N381" s="27"/>
    </row>
    <row r="382">
      <c r="N382" s="27"/>
    </row>
    <row r="383">
      <c r="N383" s="27"/>
    </row>
    <row r="384">
      <c r="N384" s="27"/>
    </row>
    <row r="385">
      <c r="N385" s="27"/>
    </row>
    <row r="386">
      <c r="N386" s="27"/>
    </row>
    <row r="387">
      <c r="N387" s="27"/>
    </row>
    <row r="388">
      <c r="N388" s="27"/>
    </row>
    <row r="389">
      <c r="N389" s="27"/>
    </row>
    <row r="390">
      <c r="N390" s="27"/>
    </row>
    <row r="391">
      <c r="N391" s="27"/>
    </row>
    <row r="392">
      <c r="N392" s="27"/>
    </row>
    <row r="393">
      <c r="N393" s="27"/>
    </row>
    <row r="394">
      <c r="N394" s="27"/>
    </row>
    <row r="395">
      <c r="N395" s="27"/>
    </row>
    <row r="396">
      <c r="N396" s="27"/>
    </row>
    <row r="397">
      <c r="N397" s="27"/>
    </row>
    <row r="398">
      <c r="N398" s="27"/>
    </row>
    <row r="399">
      <c r="N399" s="27"/>
    </row>
    <row r="400">
      <c r="N400" s="27"/>
    </row>
    <row r="401">
      <c r="N401" s="27"/>
    </row>
    <row r="402">
      <c r="N402" s="27"/>
    </row>
    <row r="403">
      <c r="N403" s="27"/>
    </row>
    <row r="404">
      <c r="N404" s="27"/>
    </row>
    <row r="405">
      <c r="N405" s="27"/>
    </row>
    <row r="406">
      <c r="N406" s="27"/>
    </row>
    <row r="407">
      <c r="N407" s="27"/>
    </row>
    <row r="408">
      <c r="N408" s="27"/>
    </row>
    <row r="409">
      <c r="N409" s="27"/>
    </row>
    <row r="410">
      <c r="N410" s="27"/>
    </row>
    <row r="411">
      <c r="N411" s="27"/>
    </row>
    <row r="412">
      <c r="N412" s="27"/>
    </row>
    <row r="413">
      <c r="N413" s="27"/>
    </row>
    <row r="414">
      <c r="N414" s="27"/>
    </row>
    <row r="415">
      <c r="N415" s="27"/>
    </row>
    <row r="416">
      <c r="N416" s="27"/>
    </row>
    <row r="417">
      <c r="N417" s="27"/>
    </row>
    <row r="418">
      <c r="N418" s="27"/>
    </row>
    <row r="419">
      <c r="N419" s="27"/>
    </row>
    <row r="420">
      <c r="N420" s="27"/>
    </row>
    <row r="421">
      <c r="N421" s="27"/>
    </row>
    <row r="422">
      <c r="N422" s="27"/>
    </row>
    <row r="423">
      <c r="N423" s="27"/>
    </row>
    <row r="424">
      <c r="N424" s="27"/>
    </row>
    <row r="425">
      <c r="N425" s="27"/>
    </row>
    <row r="426">
      <c r="N426" s="27"/>
    </row>
    <row r="427">
      <c r="N427" s="27"/>
    </row>
    <row r="428">
      <c r="N428" s="27"/>
    </row>
    <row r="429">
      <c r="N429" s="27"/>
    </row>
    <row r="430">
      <c r="N430" s="27"/>
    </row>
    <row r="431">
      <c r="N431" s="27"/>
    </row>
    <row r="432">
      <c r="N432" s="27"/>
    </row>
    <row r="433">
      <c r="N433" s="27"/>
    </row>
    <row r="434">
      <c r="N434" s="27"/>
    </row>
    <row r="435">
      <c r="N435" s="27"/>
    </row>
    <row r="436">
      <c r="N436" s="27"/>
    </row>
    <row r="437">
      <c r="N437" s="27"/>
    </row>
    <row r="438">
      <c r="N438" s="27"/>
    </row>
    <row r="439">
      <c r="N439" s="27"/>
    </row>
    <row r="440">
      <c r="N440" s="27"/>
    </row>
    <row r="441">
      <c r="N441" s="27"/>
    </row>
    <row r="442">
      <c r="N442" s="27"/>
    </row>
    <row r="443">
      <c r="N443" s="27"/>
    </row>
    <row r="444">
      <c r="N444" s="27"/>
    </row>
    <row r="445">
      <c r="N445" s="27"/>
    </row>
    <row r="446">
      <c r="N446" s="27"/>
    </row>
    <row r="447">
      <c r="N447" s="27"/>
    </row>
    <row r="448">
      <c r="N448" s="27"/>
    </row>
    <row r="449">
      <c r="N449" s="27"/>
    </row>
    <row r="450">
      <c r="N450" s="27"/>
    </row>
    <row r="451">
      <c r="N451" s="27"/>
    </row>
    <row r="452">
      <c r="N452" s="27"/>
    </row>
    <row r="453">
      <c r="N453" s="27"/>
    </row>
    <row r="454">
      <c r="N454" s="27"/>
    </row>
    <row r="455">
      <c r="N455" s="27"/>
    </row>
    <row r="456">
      <c r="N456" s="27"/>
    </row>
    <row r="457">
      <c r="N457" s="27"/>
    </row>
    <row r="458">
      <c r="N458" s="27"/>
    </row>
    <row r="459">
      <c r="N459" s="27"/>
    </row>
    <row r="460">
      <c r="N460" s="27"/>
    </row>
    <row r="461">
      <c r="N461" s="27"/>
    </row>
    <row r="462">
      <c r="N462" s="27"/>
    </row>
    <row r="463">
      <c r="N463" s="27"/>
    </row>
    <row r="464">
      <c r="N464" s="27"/>
    </row>
    <row r="465">
      <c r="N465" s="27"/>
    </row>
    <row r="466">
      <c r="N466" s="27"/>
    </row>
    <row r="467">
      <c r="N467" s="27"/>
    </row>
    <row r="468">
      <c r="N468" s="27"/>
    </row>
    <row r="469">
      <c r="N469" s="27"/>
    </row>
    <row r="470">
      <c r="N470" s="27"/>
    </row>
    <row r="471">
      <c r="N471" s="27"/>
    </row>
    <row r="472">
      <c r="N472" s="27"/>
    </row>
    <row r="473">
      <c r="N473" s="27"/>
    </row>
    <row r="474">
      <c r="N474" s="27"/>
    </row>
    <row r="475">
      <c r="N475" s="27"/>
    </row>
    <row r="476">
      <c r="N476" s="27"/>
    </row>
    <row r="477">
      <c r="N477" s="27"/>
    </row>
    <row r="478">
      <c r="N478" s="27"/>
    </row>
    <row r="479">
      <c r="N479" s="27"/>
    </row>
    <row r="480">
      <c r="N480" s="27"/>
    </row>
    <row r="481">
      <c r="N481" s="27"/>
    </row>
    <row r="482">
      <c r="N482" s="27"/>
    </row>
    <row r="483">
      <c r="N483" s="27"/>
    </row>
    <row r="484">
      <c r="N484" s="27"/>
    </row>
    <row r="485">
      <c r="N485" s="27"/>
    </row>
    <row r="486">
      <c r="N486" s="27"/>
    </row>
    <row r="487">
      <c r="N487" s="27"/>
    </row>
    <row r="488">
      <c r="N488" s="27"/>
    </row>
    <row r="489">
      <c r="N489" s="27"/>
    </row>
    <row r="490">
      <c r="N490" s="27"/>
    </row>
    <row r="491">
      <c r="N491" s="27"/>
    </row>
    <row r="492">
      <c r="N492" s="27"/>
    </row>
    <row r="493">
      <c r="N493" s="27"/>
    </row>
    <row r="494">
      <c r="N494" s="27"/>
    </row>
    <row r="495">
      <c r="N495" s="27"/>
    </row>
    <row r="496">
      <c r="N496" s="27"/>
    </row>
    <row r="497">
      <c r="N497" s="27"/>
    </row>
    <row r="498">
      <c r="N498" s="27"/>
    </row>
    <row r="499">
      <c r="N499" s="27"/>
    </row>
    <row r="500">
      <c r="N500" s="27"/>
    </row>
    <row r="501">
      <c r="N501" s="27"/>
    </row>
    <row r="502">
      <c r="N502" s="27"/>
    </row>
    <row r="503">
      <c r="N503" s="27"/>
    </row>
    <row r="504">
      <c r="N504" s="27"/>
    </row>
    <row r="505">
      <c r="N505" s="27"/>
    </row>
    <row r="506">
      <c r="N506" s="27"/>
    </row>
    <row r="507">
      <c r="N507" s="27"/>
    </row>
    <row r="508">
      <c r="N508" s="27"/>
    </row>
    <row r="509">
      <c r="N509" s="27"/>
    </row>
    <row r="510">
      <c r="N510" s="27"/>
    </row>
    <row r="511">
      <c r="N511" s="27"/>
    </row>
    <row r="512">
      <c r="N512" s="27"/>
    </row>
    <row r="513">
      <c r="N513" s="27"/>
    </row>
    <row r="514">
      <c r="N514" s="27"/>
    </row>
    <row r="515">
      <c r="N515" s="27"/>
    </row>
    <row r="516">
      <c r="N516" s="27"/>
    </row>
    <row r="517">
      <c r="N517" s="27"/>
    </row>
    <row r="518">
      <c r="N518" s="27"/>
    </row>
    <row r="519">
      <c r="N519" s="27"/>
    </row>
    <row r="520">
      <c r="N520" s="27"/>
    </row>
    <row r="521">
      <c r="N521" s="27"/>
    </row>
    <row r="522">
      <c r="N522" s="27"/>
    </row>
    <row r="523">
      <c r="N523" s="27"/>
    </row>
    <row r="524">
      <c r="N524" s="27"/>
    </row>
    <row r="525">
      <c r="N525" s="27"/>
    </row>
    <row r="526">
      <c r="N526" s="27"/>
    </row>
    <row r="527">
      <c r="N527" s="27"/>
    </row>
    <row r="528">
      <c r="N528" s="27"/>
    </row>
    <row r="529">
      <c r="N529" s="27"/>
    </row>
    <row r="530">
      <c r="N530" s="27"/>
    </row>
    <row r="531">
      <c r="N531" s="27"/>
    </row>
    <row r="532">
      <c r="N532" s="27"/>
    </row>
    <row r="533">
      <c r="N533" s="27"/>
    </row>
    <row r="534">
      <c r="N534" s="27"/>
    </row>
    <row r="535">
      <c r="N535" s="27"/>
    </row>
    <row r="536">
      <c r="N536" s="27"/>
    </row>
    <row r="537">
      <c r="N537" s="27"/>
    </row>
    <row r="538">
      <c r="N538" s="27"/>
    </row>
    <row r="539">
      <c r="N539" s="27"/>
    </row>
    <row r="540">
      <c r="N540" s="27"/>
    </row>
    <row r="541">
      <c r="N541" s="27"/>
    </row>
    <row r="542">
      <c r="N542" s="27"/>
    </row>
    <row r="543">
      <c r="N543" s="27"/>
    </row>
    <row r="544">
      <c r="N544" s="27"/>
    </row>
    <row r="545">
      <c r="N545" s="27"/>
    </row>
    <row r="546">
      <c r="N546" s="27"/>
    </row>
    <row r="547">
      <c r="N547" s="27"/>
    </row>
    <row r="548">
      <c r="N548" s="27"/>
    </row>
    <row r="549">
      <c r="N549" s="27"/>
    </row>
    <row r="550">
      <c r="N550" s="27"/>
    </row>
    <row r="551">
      <c r="N551" s="27"/>
    </row>
    <row r="552">
      <c r="N552" s="27"/>
    </row>
    <row r="553">
      <c r="N553" s="27"/>
    </row>
    <row r="554">
      <c r="N554" s="27"/>
    </row>
    <row r="555">
      <c r="N555" s="27"/>
    </row>
    <row r="556">
      <c r="N556" s="27"/>
    </row>
    <row r="557">
      <c r="N557" s="27"/>
    </row>
    <row r="558">
      <c r="N558" s="27"/>
    </row>
    <row r="559">
      <c r="N559" s="27"/>
    </row>
    <row r="560">
      <c r="N560" s="27"/>
    </row>
    <row r="561">
      <c r="N561" s="27"/>
    </row>
    <row r="562">
      <c r="N562" s="27"/>
    </row>
    <row r="563">
      <c r="N563" s="27"/>
    </row>
    <row r="564">
      <c r="N564" s="27"/>
    </row>
    <row r="565">
      <c r="N565" s="27"/>
    </row>
    <row r="566">
      <c r="N566" s="27"/>
    </row>
    <row r="567">
      <c r="N567" s="27"/>
    </row>
    <row r="568">
      <c r="N568" s="27"/>
    </row>
    <row r="569">
      <c r="N569" s="27"/>
    </row>
    <row r="570">
      <c r="N570" s="27"/>
    </row>
    <row r="571">
      <c r="N571" s="27"/>
    </row>
    <row r="572">
      <c r="N572" s="27"/>
    </row>
    <row r="573">
      <c r="N573" s="27"/>
    </row>
    <row r="574">
      <c r="N574" s="27"/>
    </row>
    <row r="575">
      <c r="N575" s="27"/>
    </row>
    <row r="576">
      <c r="N576" s="27"/>
    </row>
    <row r="577">
      <c r="N577" s="27"/>
    </row>
    <row r="578">
      <c r="N578" s="27"/>
    </row>
    <row r="579">
      <c r="N579" s="27"/>
    </row>
    <row r="580">
      <c r="N580" s="27"/>
    </row>
    <row r="581">
      <c r="N581" s="27"/>
    </row>
    <row r="582">
      <c r="N582" s="27"/>
    </row>
    <row r="583">
      <c r="N583" s="27"/>
    </row>
    <row r="584">
      <c r="N584" s="27"/>
    </row>
    <row r="585">
      <c r="N585" s="27"/>
    </row>
    <row r="586">
      <c r="N586" s="27"/>
    </row>
    <row r="587">
      <c r="N587" s="27"/>
    </row>
    <row r="588">
      <c r="N588" s="27"/>
    </row>
    <row r="589">
      <c r="N589" s="27"/>
    </row>
    <row r="590">
      <c r="N590" s="27"/>
    </row>
    <row r="591">
      <c r="N591" s="27"/>
    </row>
    <row r="592">
      <c r="N592" s="27"/>
    </row>
    <row r="593">
      <c r="N593" s="27"/>
    </row>
    <row r="594">
      <c r="N594" s="27"/>
    </row>
    <row r="595">
      <c r="N595" s="27"/>
    </row>
    <row r="596">
      <c r="N596" s="27"/>
    </row>
    <row r="597">
      <c r="N597" s="27"/>
    </row>
    <row r="598">
      <c r="N598" s="27"/>
    </row>
    <row r="599">
      <c r="N599" s="27"/>
    </row>
    <row r="600">
      <c r="N600" s="27"/>
    </row>
    <row r="601">
      <c r="N601" s="27"/>
    </row>
    <row r="602">
      <c r="N602" s="27"/>
    </row>
    <row r="603">
      <c r="N603" s="27"/>
    </row>
    <row r="604">
      <c r="N604" s="27"/>
    </row>
    <row r="605">
      <c r="N605" s="27"/>
    </row>
    <row r="606">
      <c r="N606" s="27"/>
    </row>
    <row r="607">
      <c r="N607" s="27"/>
    </row>
    <row r="608">
      <c r="N608" s="27"/>
    </row>
    <row r="609">
      <c r="N609" s="27"/>
    </row>
    <row r="610">
      <c r="N610" s="27"/>
    </row>
    <row r="611">
      <c r="N611" s="27"/>
    </row>
    <row r="612">
      <c r="N612" s="27"/>
    </row>
    <row r="613">
      <c r="N613" s="27"/>
    </row>
    <row r="614">
      <c r="N614" s="27"/>
    </row>
    <row r="615">
      <c r="N615" s="27"/>
    </row>
    <row r="616">
      <c r="N616" s="27"/>
    </row>
    <row r="617">
      <c r="N617" s="27"/>
    </row>
    <row r="618">
      <c r="N618" s="27"/>
    </row>
    <row r="619">
      <c r="N619" s="27"/>
    </row>
    <row r="620">
      <c r="N620" s="27"/>
    </row>
    <row r="621">
      <c r="N621" s="27"/>
    </row>
    <row r="622">
      <c r="N622" s="27"/>
    </row>
    <row r="623">
      <c r="N623" s="27"/>
    </row>
    <row r="624">
      <c r="N624" s="27"/>
    </row>
    <row r="625">
      <c r="N625" s="27"/>
    </row>
    <row r="626">
      <c r="N626" s="27"/>
    </row>
    <row r="627">
      <c r="N627" s="27"/>
    </row>
    <row r="628">
      <c r="N628" s="27"/>
    </row>
    <row r="629">
      <c r="N629" s="27"/>
    </row>
    <row r="630">
      <c r="N630" s="27"/>
    </row>
    <row r="631">
      <c r="N631" s="27"/>
    </row>
    <row r="632">
      <c r="N632" s="27"/>
    </row>
    <row r="633">
      <c r="N633" s="27"/>
    </row>
    <row r="634">
      <c r="N634" s="27"/>
    </row>
    <row r="635">
      <c r="N635" s="27"/>
    </row>
    <row r="636">
      <c r="N636" s="27"/>
    </row>
    <row r="637">
      <c r="N637" s="27"/>
    </row>
    <row r="638">
      <c r="N638" s="27"/>
    </row>
    <row r="639">
      <c r="N639" s="27"/>
    </row>
    <row r="640">
      <c r="N640" s="27"/>
    </row>
    <row r="641">
      <c r="N641" s="27"/>
    </row>
    <row r="642">
      <c r="N642" s="27"/>
    </row>
    <row r="643">
      <c r="N643" s="27"/>
    </row>
    <row r="644">
      <c r="N644" s="27"/>
    </row>
    <row r="645">
      <c r="N645" s="27"/>
    </row>
    <row r="646">
      <c r="N646" s="27"/>
    </row>
    <row r="647">
      <c r="N647" s="27"/>
    </row>
    <row r="648">
      <c r="N648" s="27"/>
    </row>
    <row r="649">
      <c r="N649" s="27"/>
    </row>
    <row r="650">
      <c r="N650" s="27"/>
    </row>
    <row r="651">
      <c r="N651" s="27"/>
    </row>
    <row r="652">
      <c r="N652" s="27"/>
    </row>
    <row r="653">
      <c r="N653" s="27"/>
    </row>
    <row r="654">
      <c r="N654" s="27"/>
    </row>
    <row r="655">
      <c r="N655" s="27"/>
    </row>
    <row r="656">
      <c r="N656" s="27"/>
    </row>
    <row r="657">
      <c r="N657" s="27"/>
    </row>
    <row r="658">
      <c r="N658" s="27"/>
    </row>
    <row r="659">
      <c r="N659" s="27"/>
    </row>
    <row r="660">
      <c r="N660" s="27"/>
    </row>
    <row r="661">
      <c r="N661" s="27"/>
    </row>
    <row r="662">
      <c r="N662" s="27"/>
    </row>
    <row r="663">
      <c r="N663" s="27"/>
    </row>
    <row r="664">
      <c r="N664" s="27"/>
    </row>
    <row r="665">
      <c r="N665" s="27"/>
    </row>
    <row r="666">
      <c r="N666" s="27"/>
    </row>
    <row r="667">
      <c r="N667" s="27"/>
    </row>
    <row r="668">
      <c r="N668" s="27"/>
    </row>
    <row r="669">
      <c r="N669" s="27"/>
    </row>
    <row r="670">
      <c r="N670" s="27"/>
    </row>
    <row r="671">
      <c r="N671" s="27"/>
    </row>
    <row r="672">
      <c r="N672" s="27"/>
    </row>
    <row r="673">
      <c r="N673" s="27"/>
    </row>
    <row r="674">
      <c r="N674" s="27"/>
    </row>
    <row r="675">
      <c r="N675" s="27"/>
    </row>
    <row r="676">
      <c r="N676" s="27"/>
    </row>
    <row r="677">
      <c r="N677" s="27"/>
    </row>
    <row r="678">
      <c r="N678" s="27"/>
    </row>
    <row r="679">
      <c r="N679" s="27"/>
    </row>
    <row r="680">
      <c r="N680" s="27"/>
    </row>
    <row r="681">
      <c r="N681" s="27"/>
    </row>
    <row r="682">
      <c r="N682" s="27"/>
    </row>
    <row r="683">
      <c r="N683" s="27"/>
    </row>
    <row r="684">
      <c r="N684" s="27"/>
    </row>
    <row r="685">
      <c r="N685" s="27"/>
    </row>
    <row r="686">
      <c r="N686" s="27"/>
    </row>
    <row r="687">
      <c r="N687" s="27"/>
    </row>
    <row r="688">
      <c r="N688" s="27"/>
    </row>
    <row r="689">
      <c r="N689" s="27"/>
    </row>
    <row r="690">
      <c r="N690" s="27"/>
    </row>
    <row r="691">
      <c r="N691" s="27"/>
    </row>
    <row r="692">
      <c r="N692" s="27"/>
    </row>
    <row r="693">
      <c r="N693" s="27"/>
    </row>
    <row r="694">
      <c r="N694" s="27"/>
    </row>
    <row r="695">
      <c r="N695" s="27"/>
    </row>
    <row r="696">
      <c r="N696" s="27"/>
    </row>
    <row r="697">
      <c r="N697" s="27"/>
    </row>
    <row r="698">
      <c r="N698" s="27"/>
    </row>
    <row r="699">
      <c r="N699" s="27"/>
    </row>
    <row r="700">
      <c r="N700" s="27"/>
    </row>
    <row r="701">
      <c r="N701" s="27"/>
    </row>
    <row r="702">
      <c r="N702" s="27"/>
    </row>
    <row r="703">
      <c r="N703" s="27"/>
    </row>
    <row r="704">
      <c r="N704" s="27"/>
    </row>
    <row r="705">
      <c r="N705" s="27"/>
    </row>
    <row r="706">
      <c r="N706" s="27"/>
    </row>
    <row r="707">
      <c r="N707" s="27"/>
    </row>
    <row r="708">
      <c r="N708" s="27"/>
    </row>
    <row r="709">
      <c r="N709" s="27"/>
    </row>
    <row r="710">
      <c r="N710" s="27"/>
    </row>
    <row r="711">
      <c r="N711" s="27"/>
    </row>
    <row r="712">
      <c r="N712" s="27"/>
    </row>
    <row r="713">
      <c r="N713" s="27"/>
    </row>
    <row r="714">
      <c r="N714" s="27"/>
    </row>
    <row r="715">
      <c r="N715" s="27"/>
    </row>
    <row r="716">
      <c r="N716" s="27"/>
    </row>
    <row r="717">
      <c r="N717" s="27"/>
    </row>
    <row r="718">
      <c r="N718" s="27"/>
    </row>
    <row r="719">
      <c r="N719" s="27"/>
    </row>
    <row r="720">
      <c r="N720" s="27"/>
    </row>
    <row r="721">
      <c r="N721" s="27"/>
    </row>
    <row r="722">
      <c r="N722" s="27"/>
    </row>
    <row r="723">
      <c r="N723" s="27"/>
    </row>
    <row r="724">
      <c r="N724" s="27"/>
    </row>
    <row r="725">
      <c r="N725" s="27"/>
    </row>
    <row r="726">
      <c r="N726" s="27"/>
    </row>
    <row r="727">
      <c r="N727" s="27"/>
    </row>
    <row r="728">
      <c r="N728" s="27"/>
    </row>
    <row r="729">
      <c r="N729" s="27"/>
    </row>
    <row r="730">
      <c r="N730" s="27"/>
    </row>
    <row r="731">
      <c r="N731" s="27"/>
    </row>
    <row r="732">
      <c r="N732" s="27"/>
    </row>
    <row r="733">
      <c r="N733" s="27"/>
    </row>
    <row r="734">
      <c r="N734" s="27"/>
    </row>
    <row r="735">
      <c r="N735" s="27"/>
    </row>
    <row r="736">
      <c r="N736" s="27"/>
    </row>
    <row r="737">
      <c r="N737" s="27"/>
    </row>
    <row r="738">
      <c r="N738" s="27"/>
    </row>
    <row r="739">
      <c r="N739" s="27"/>
    </row>
    <row r="740">
      <c r="N740" s="27"/>
    </row>
    <row r="741">
      <c r="N741" s="27"/>
    </row>
    <row r="742">
      <c r="N742" s="27"/>
    </row>
    <row r="743">
      <c r="N743" s="27"/>
    </row>
    <row r="744">
      <c r="N744" s="27"/>
    </row>
    <row r="745">
      <c r="N745" s="27"/>
    </row>
    <row r="746">
      <c r="N746" s="27"/>
    </row>
    <row r="747">
      <c r="N747" s="27"/>
    </row>
    <row r="748">
      <c r="N748" s="27"/>
    </row>
    <row r="749">
      <c r="N749" s="27"/>
    </row>
    <row r="750">
      <c r="N750" s="27"/>
    </row>
    <row r="751">
      <c r="N751" s="27"/>
    </row>
    <row r="752">
      <c r="N752" s="27"/>
    </row>
    <row r="753">
      <c r="N753" s="27"/>
    </row>
    <row r="754">
      <c r="N754" s="27"/>
    </row>
    <row r="755">
      <c r="N755" s="27"/>
    </row>
    <row r="756">
      <c r="N756" s="27"/>
    </row>
    <row r="757">
      <c r="N757" s="27"/>
    </row>
    <row r="758">
      <c r="N758" s="27"/>
    </row>
    <row r="759">
      <c r="N759" s="27"/>
    </row>
    <row r="760">
      <c r="N760" s="27"/>
    </row>
    <row r="761">
      <c r="N761" s="27"/>
    </row>
    <row r="762">
      <c r="N762" s="27"/>
    </row>
    <row r="763">
      <c r="N763" s="27"/>
    </row>
    <row r="764">
      <c r="N764" s="27"/>
    </row>
    <row r="765">
      <c r="N765" s="27"/>
    </row>
    <row r="766">
      <c r="N766" s="27"/>
    </row>
    <row r="767">
      <c r="N767" s="27"/>
    </row>
    <row r="768">
      <c r="N768" s="27"/>
    </row>
    <row r="769">
      <c r="N769" s="27"/>
    </row>
    <row r="770">
      <c r="N770" s="27"/>
    </row>
    <row r="771">
      <c r="N771" s="27"/>
    </row>
    <row r="772">
      <c r="N772" s="27"/>
    </row>
    <row r="773">
      <c r="N773" s="27"/>
    </row>
    <row r="774">
      <c r="N774" s="27"/>
    </row>
    <row r="775">
      <c r="N775" s="27"/>
    </row>
    <row r="776">
      <c r="N776" s="27"/>
    </row>
    <row r="777">
      <c r="N777" s="27"/>
    </row>
    <row r="778">
      <c r="N778" s="27"/>
    </row>
    <row r="779">
      <c r="N779" s="27"/>
    </row>
    <row r="780">
      <c r="N780" s="27"/>
    </row>
    <row r="781">
      <c r="N781" s="27"/>
    </row>
    <row r="782">
      <c r="N782" s="27"/>
    </row>
    <row r="783">
      <c r="N783" s="27"/>
    </row>
    <row r="784">
      <c r="N784" s="27"/>
    </row>
    <row r="785">
      <c r="N785" s="27"/>
    </row>
    <row r="786">
      <c r="N786" s="27"/>
    </row>
    <row r="787">
      <c r="N787" s="27"/>
    </row>
    <row r="788">
      <c r="N788" s="27"/>
    </row>
    <row r="789">
      <c r="N789" s="27"/>
    </row>
    <row r="790">
      <c r="N790" s="27"/>
    </row>
    <row r="791">
      <c r="N791" s="27"/>
    </row>
    <row r="792">
      <c r="N792" s="27"/>
    </row>
    <row r="793">
      <c r="N793" s="27"/>
    </row>
    <row r="794">
      <c r="N794" s="27"/>
    </row>
    <row r="795">
      <c r="N795" s="27"/>
    </row>
    <row r="796">
      <c r="N796" s="27"/>
    </row>
    <row r="797">
      <c r="N797" s="27"/>
    </row>
    <row r="798">
      <c r="N798" s="27"/>
    </row>
    <row r="799">
      <c r="N799" s="27"/>
    </row>
    <row r="800">
      <c r="N800" s="27"/>
    </row>
    <row r="801">
      <c r="N801" s="27"/>
    </row>
    <row r="802">
      <c r="N802" s="27"/>
    </row>
    <row r="803">
      <c r="N803" s="27"/>
    </row>
    <row r="804">
      <c r="N804" s="27"/>
    </row>
    <row r="805">
      <c r="N805" s="27"/>
    </row>
    <row r="806">
      <c r="N806" s="27"/>
    </row>
    <row r="807">
      <c r="N807" s="27"/>
    </row>
    <row r="808">
      <c r="N808" s="27"/>
    </row>
    <row r="809">
      <c r="N809" s="27"/>
    </row>
    <row r="810">
      <c r="N810" s="27"/>
    </row>
    <row r="811">
      <c r="N811" s="27"/>
    </row>
    <row r="812">
      <c r="N812" s="27"/>
    </row>
    <row r="813">
      <c r="N813" s="27"/>
    </row>
    <row r="814">
      <c r="N814" s="27"/>
    </row>
    <row r="815">
      <c r="N815" s="27"/>
    </row>
    <row r="816">
      <c r="N816" s="27"/>
    </row>
    <row r="817">
      <c r="N817" s="27"/>
    </row>
    <row r="818">
      <c r="N818" s="27"/>
    </row>
    <row r="819">
      <c r="N819" s="27"/>
    </row>
    <row r="820">
      <c r="N820" s="27"/>
    </row>
    <row r="821">
      <c r="N821" s="27"/>
    </row>
    <row r="822">
      <c r="N822" s="27"/>
    </row>
    <row r="823">
      <c r="N823" s="27"/>
    </row>
    <row r="824">
      <c r="N824" s="27"/>
    </row>
    <row r="825">
      <c r="N825" s="27"/>
    </row>
    <row r="826">
      <c r="N826" s="27"/>
    </row>
    <row r="827">
      <c r="N827" s="27"/>
    </row>
    <row r="828">
      <c r="N828" s="27"/>
    </row>
    <row r="829">
      <c r="N829" s="27"/>
    </row>
    <row r="830">
      <c r="N830" s="27"/>
    </row>
    <row r="831">
      <c r="N831" s="27"/>
    </row>
    <row r="832">
      <c r="N832" s="27"/>
    </row>
    <row r="833">
      <c r="N833" s="27"/>
    </row>
    <row r="834">
      <c r="N834" s="27"/>
    </row>
    <row r="835">
      <c r="N835" s="27"/>
    </row>
    <row r="836">
      <c r="N836" s="27"/>
    </row>
    <row r="837">
      <c r="N837" s="27"/>
    </row>
    <row r="838">
      <c r="N838" s="27"/>
    </row>
    <row r="839">
      <c r="N839" s="27"/>
    </row>
    <row r="840">
      <c r="N840" s="27"/>
    </row>
    <row r="841">
      <c r="N841" s="27"/>
    </row>
    <row r="842">
      <c r="N842" s="27"/>
    </row>
    <row r="843">
      <c r="N843" s="27"/>
    </row>
    <row r="844">
      <c r="N844" s="27"/>
    </row>
    <row r="845">
      <c r="N845" s="27"/>
    </row>
    <row r="846">
      <c r="N846" s="27"/>
    </row>
    <row r="847">
      <c r="N847" s="27"/>
    </row>
    <row r="848">
      <c r="N848" s="27"/>
    </row>
    <row r="849">
      <c r="N849" s="27"/>
    </row>
    <row r="850">
      <c r="N850" s="27"/>
    </row>
    <row r="851">
      <c r="N851" s="27"/>
    </row>
    <row r="852">
      <c r="N852" s="27"/>
    </row>
    <row r="853">
      <c r="N853" s="27"/>
    </row>
    <row r="854">
      <c r="N854" s="27"/>
    </row>
    <row r="855">
      <c r="N855" s="27"/>
    </row>
    <row r="856">
      <c r="N856" s="27"/>
    </row>
    <row r="857">
      <c r="N857" s="27"/>
    </row>
    <row r="858">
      <c r="N858" s="27"/>
    </row>
    <row r="859">
      <c r="N859" s="27"/>
    </row>
    <row r="860">
      <c r="N860" s="27"/>
    </row>
    <row r="861">
      <c r="N861" s="27"/>
    </row>
    <row r="862">
      <c r="N862" s="27"/>
    </row>
    <row r="863">
      <c r="N863" s="27"/>
    </row>
    <row r="864">
      <c r="N864" s="27"/>
    </row>
    <row r="865">
      <c r="N865" s="27"/>
    </row>
    <row r="866">
      <c r="N866" s="27"/>
    </row>
    <row r="867">
      <c r="N867" s="27"/>
    </row>
    <row r="868">
      <c r="N868" s="27"/>
    </row>
    <row r="869">
      <c r="N869" s="27"/>
    </row>
    <row r="870">
      <c r="N870" s="27"/>
    </row>
    <row r="871">
      <c r="N871" s="27"/>
    </row>
    <row r="872">
      <c r="N872" s="27"/>
    </row>
    <row r="873">
      <c r="N873" s="27"/>
    </row>
    <row r="874">
      <c r="N874" s="27"/>
    </row>
    <row r="875">
      <c r="N875" s="27"/>
    </row>
    <row r="876">
      <c r="N876" s="27"/>
    </row>
    <row r="877">
      <c r="N877" s="27"/>
    </row>
    <row r="878">
      <c r="N878" s="27"/>
    </row>
    <row r="879">
      <c r="N879" s="27"/>
    </row>
    <row r="880">
      <c r="N880" s="27"/>
    </row>
    <row r="881">
      <c r="N881" s="27"/>
    </row>
    <row r="882">
      <c r="N882" s="27"/>
    </row>
    <row r="883">
      <c r="N883" s="27"/>
    </row>
    <row r="884">
      <c r="N884" s="27"/>
    </row>
    <row r="885">
      <c r="N885" s="27"/>
    </row>
    <row r="886">
      <c r="N886" s="27"/>
    </row>
    <row r="887">
      <c r="N887" s="27"/>
    </row>
    <row r="888">
      <c r="N888" s="27"/>
    </row>
    <row r="889">
      <c r="N889" s="27"/>
    </row>
    <row r="890">
      <c r="N890" s="27"/>
    </row>
    <row r="891">
      <c r="N891" s="27"/>
    </row>
    <row r="892">
      <c r="N892" s="27"/>
    </row>
    <row r="893">
      <c r="N893" s="27"/>
    </row>
    <row r="894">
      <c r="N894" s="27"/>
    </row>
    <row r="895">
      <c r="N895" s="27"/>
    </row>
    <row r="896">
      <c r="N896" s="27"/>
    </row>
    <row r="897">
      <c r="N897" s="27"/>
    </row>
    <row r="898">
      <c r="N898" s="27"/>
    </row>
    <row r="899">
      <c r="N899" s="27"/>
    </row>
    <row r="900">
      <c r="N900" s="27"/>
    </row>
    <row r="901">
      <c r="N901" s="27"/>
    </row>
    <row r="902">
      <c r="N902" s="27"/>
    </row>
    <row r="903">
      <c r="N903" s="27"/>
    </row>
    <row r="904">
      <c r="N904" s="27"/>
    </row>
    <row r="905">
      <c r="N905" s="27"/>
    </row>
    <row r="906">
      <c r="N906" s="27"/>
    </row>
    <row r="907">
      <c r="N907" s="27"/>
    </row>
    <row r="908">
      <c r="N908" s="27"/>
    </row>
    <row r="909">
      <c r="N909" s="27"/>
    </row>
    <row r="910">
      <c r="N910" s="27"/>
    </row>
    <row r="911">
      <c r="N911" s="27"/>
    </row>
    <row r="912">
      <c r="N912" s="27"/>
    </row>
    <row r="913">
      <c r="N913" s="27"/>
    </row>
    <row r="914">
      <c r="N914" s="27"/>
    </row>
    <row r="915">
      <c r="N915" s="27"/>
    </row>
    <row r="916">
      <c r="N916" s="27"/>
    </row>
    <row r="917">
      <c r="N917" s="27"/>
    </row>
    <row r="918">
      <c r="N918" s="27"/>
    </row>
    <row r="919">
      <c r="N919" s="27"/>
    </row>
    <row r="920">
      <c r="N920" s="27"/>
    </row>
    <row r="921">
      <c r="N921" s="27"/>
    </row>
    <row r="922">
      <c r="N922" s="27"/>
    </row>
    <row r="923">
      <c r="N923" s="27"/>
    </row>
    <row r="924">
      <c r="N924" s="27"/>
    </row>
    <row r="925">
      <c r="N925" s="27"/>
    </row>
    <row r="926">
      <c r="N926" s="27"/>
    </row>
    <row r="927">
      <c r="N927" s="27"/>
    </row>
    <row r="928">
      <c r="N928" s="27"/>
    </row>
    <row r="929">
      <c r="N929" s="27"/>
    </row>
    <row r="930">
      <c r="N930" s="27"/>
    </row>
    <row r="931">
      <c r="N931" s="27"/>
    </row>
    <row r="932">
      <c r="N932" s="27"/>
    </row>
    <row r="933">
      <c r="N933" s="27"/>
    </row>
    <row r="934">
      <c r="N934" s="27"/>
    </row>
    <row r="935">
      <c r="N935" s="27"/>
    </row>
    <row r="936">
      <c r="N936" s="27"/>
    </row>
    <row r="937">
      <c r="N937" s="27"/>
    </row>
    <row r="938">
      <c r="N938" s="27"/>
    </row>
    <row r="939">
      <c r="N939" s="27"/>
    </row>
    <row r="940">
      <c r="N940" s="27"/>
    </row>
    <row r="941">
      <c r="N941" s="27"/>
    </row>
    <row r="942">
      <c r="N942" s="27"/>
    </row>
    <row r="943">
      <c r="N943" s="27"/>
    </row>
    <row r="944">
      <c r="N944" s="27"/>
    </row>
    <row r="945">
      <c r="N945" s="27"/>
    </row>
    <row r="946">
      <c r="N946" s="27"/>
    </row>
    <row r="947">
      <c r="N947" s="27"/>
    </row>
    <row r="948">
      <c r="N948" s="27"/>
    </row>
    <row r="949">
      <c r="N949" s="27"/>
    </row>
    <row r="950">
      <c r="N950" s="27"/>
    </row>
    <row r="951">
      <c r="N951" s="27"/>
    </row>
    <row r="952">
      <c r="N952" s="27"/>
    </row>
    <row r="953">
      <c r="N953" s="27"/>
    </row>
    <row r="954">
      <c r="N954" s="27"/>
    </row>
    <row r="955">
      <c r="N955" s="27"/>
    </row>
    <row r="956">
      <c r="N956" s="27"/>
    </row>
    <row r="957">
      <c r="N957" s="27"/>
    </row>
    <row r="958">
      <c r="N958" s="27"/>
    </row>
    <row r="959">
      <c r="N959" s="27"/>
    </row>
    <row r="960">
      <c r="N960" s="27"/>
    </row>
    <row r="961">
      <c r="N961" s="27"/>
    </row>
    <row r="962">
      <c r="N962" s="27"/>
    </row>
    <row r="963">
      <c r="N963" s="27"/>
    </row>
    <row r="964">
      <c r="N964" s="27"/>
    </row>
    <row r="965">
      <c r="N965" s="27"/>
    </row>
    <row r="966">
      <c r="N966" s="27"/>
    </row>
    <row r="967">
      <c r="N967" s="27"/>
    </row>
    <row r="968">
      <c r="N968" s="27"/>
    </row>
    <row r="969">
      <c r="N969" s="27"/>
    </row>
    <row r="970">
      <c r="N970" s="27"/>
    </row>
    <row r="971">
      <c r="N971" s="27"/>
    </row>
    <row r="972">
      <c r="N972" s="27"/>
    </row>
    <row r="973">
      <c r="N973" s="27"/>
    </row>
    <row r="974">
      <c r="N974" s="27"/>
    </row>
    <row r="975">
      <c r="N975" s="27"/>
    </row>
    <row r="976">
      <c r="N976" s="27"/>
    </row>
    <row r="977">
      <c r="N977" s="27"/>
    </row>
    <row r="978">
      <c r="N978" s="27"/>
    </row>
    <row r="979">
      <c r="N979" s="27"/>
    </row>
    <row r="980">
      <c r="N980" s="27"/>
    </row>
    <row r="981">
      <c r="N981" s="27"/>
    </row>
    <row r="982">
      <c r="N982" s="27"/>
    </row>
    <row r="983">
      <c r="N983" s="27"/>
    </row>
    <row r="984">
      <c r="N984" s="27"/>
    </row>
    <row r="985">
      <c r="N985" s="27"/>
    </row>
    <row r="986">
      <c r="N986" s="27"/>
    </row>
    <row r="987">
      <c r="N987" s="27"/>
    </row>
    <row r="988">
      <c r="N988" s="27"/>
    </row>
    <row r="989">
      <c r="N989" s="27"/>
    </row>
    <row r="990">
      <c r="N990" s="27"/>
    </row>
    <row r="991">
      <c r="N991" s="27"/>
    </row>
    <row r="992">
      <c r="N992" s="27"/>
    </row>
    <row r="993">
      <c r="N993" s="27"/>
    </row>
    <row r="994">
      <c r="N994" s="27"/>
    </row>
    <row r="995">
      <c r="N995" s="27"/>
    </row>
    <row r="996">
      <c r="N996" s="27"/>
    </row>
    <row r="997">
      <c r="N997" s="27"/>
    </row>
    <row r="998">
      <c r="N998" s="27"/>
    </row>
    <row r="999">
      <c r="N999" s="27"/>
    </row>
    <row r="1000">
      <c r="N1000" s="27"/>
    </row>
    <row r="1001">
      <c r="N1001" s="27"/>
    </row>
    <row r="1002">
      <c r="N1002" s="27"/>
    </row>
    <row r="1003">
      <c r="N1003" s="27"/>
    </row>
    <row r="1004">
      <c r="N1004" s="27"/>
    </row>
  </sheetData>
  <conditionalFormatting sqref="D44:E44 F53:L53">
    <cfRule type="cellIs" dxfId="0" priority="1" operator="lessThan">
      <formula>0</formula>
    </cfRule>
  </conditionalFormatting>
  <conditionalFormatting sqref="D53:E53">
    <cfRule type="cellIs" dxfId="0" priority="2" operator="lessThan">
      <formula>0</formula>
    </cfRule>
  </conditionalFormatting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9.38"/>
    <col hidden="1" min="4" max="8" width="12.63"/>
    <col customWidth="1" min="14" max="14" width="14.0"/>
    <col customWidth="1" min="15" max="15" width="20.63"/>
    <col customWidth="1" min="16" max="16" width="11.25"/>
    <col customWidth="1" min="17" max="17" width="9.25"/>
    <col customWidth="1" min="18" max="19" width="9.5"/>
  </cols>
  <sheetData>
    <row r="1">
      <c r="A1" s="18" t="s">
        <v>346</v>
      </c>
      <c r="B1" s="199" t="s">
        <v>296</v>
      </c>
      <c r="N1" s="107"/>
      <c r="O1" s="107"/>
    </row>
    <row r="2">
      <c r="B2" s="18" t="s">
        <v>240</v>
      </c>
      <c r="C2" s="249">
        <v>13.0</v>
      </c>
      <c r="N2" s="27"/>
      <c r="O2" s="27"/>
    </row>
    <row r="3">
      <c r="B3" s="18" t="s">
        <v>241</v>
      </c>
      <c r="C3" s="249">
        <f>62.92</f>
        <v>62.92</v>
      </c>
      <c r="N3" s="107"/>
      <c r="O3" s="301" t="s">
        <v>325</v>
      </c>
      <c r="P3" s="107"/>
      <c r="T3" s="114">
        <f>4166.67+6417.54</f>
        <v>10584.21</v>
      </c>
    </row>
    <row r="4">
      <c r="B4" s="18" t="s">
        <v>377</v>
      </c>
      <c r="D4" s="249">
        <v>19.9</v>
      </c>
      <c r="N4" s="26"/>
      <c r="O4" s="302" t="s">
        <v>119</v>
      </c>
      <c r="P4" s="302" t="s">
        <v>120</v>
      </c>
      <c r="Q4" s="107"/>
      <c r="T4" s="17"/>
    </row>
    <row r="5">
      <c r="B5" s="18" t="s">
        <v>378</v>
      </c>
      <c r="D5" s="249">
        <v>29.9</v>
      </c>
      <c r="N5" s="107"/>
      <c r="O5" s="7" t="s">
        <v>347</v>
      </c>
      <c r="P5" s="7" t="s">
        <v>348</v>
      </c>
      <c r="Q5" s="107"/>
      <c r="T5" s="17"/>
    </row>
    <row r="6">
      <c r="B6" s="18" t="s">
        <v>242</v>
      </c>
      <c r="C6" s="249">
        <v>13.0</v>
      </c>
      <c r="N6" s="107"/>
      <c r="O6" s="7" t="s">
        <v>328</v>
      </c>
      <c r="P6" s="7" t="s">
        <v>349</v>
      </c>
      <c r="Q6" s="107"/>
      <c r="T6" s="17"/>
    </row>
    <row r="7">
      <c r="B7" s="18" t="s">
        <v>285</v>
      </c>
      <c r="C7" s="249">
        <v>42.0</v>
      </c>
      <c r="N7" s="107"/>
      <c r="O7" s="7"/>
      <c r="P7" s="7" t="s">
        <v>192</v>
      </c>
      <c r="Q7" s="107"/>
      <c r="T7" s="32"/>
    </row>
    <row r="8">
      <c r="B8" s="18" t="s">
        <v>324</v>
      </c>
      <c r="C8" s="249">
        <v>6.0</v>
      </c>
      <c r="Q8" s="107"/>
      <c r="T8" s="30"/>
    </row>
    <row r="9">
      <c r="C9" s="276">
        <f>SUM(C2:C8)</f>
        <v>136.92</v>
      </c>
      <c r="Q9" s="27"/>
    </row>
    <row r="10">
      <c r="L10" s="18" t="s">
        <v>366</v>
      </c>
      <c r="Q10" s="107"/>
    </row>
    <row r="11">
      <c r="B11" s="55" t="s">
        <v>122</v>
      </c>
      <c r="C11" s="56"/>
      <c r="D11" s="254" t="s">
        <v>134</v>
      </c>
      <c r="E11" s="254" t="s">
        <v>123</v>
      </c>
      <c r="F11" s="254" t="s">
        <v>124</v>
      </c>
      <c r="G11" s="254" t="s">
        <v>125</v>
      </c>
      <c r="H11" s="254" t="s">
        <v>126</v>
      </c>
      <c r="I11" s="254" t="s">
        <v>127</v>
      </c>
      <c r="J11" s="254" t="s">
        <v>128</v>
      </c>
      <c r="K11" s="254" t="s">
        <v>130</v>
      </c>
      <c r="L11" s="253" t="s">
        <v>131</v>
      </c>
      <c r="M11" s="254" t="s">
        <v>132</v>
      </c>
      <c r="Q11" s="107"/>
      <c r="S11" s="18"/>
      <c r="T11" s="18"/>
    </row>
    <row r="12">
      <c r="B12" s="59" t="s">
        <v>129</v>
      </c>
      <c r="C12" s="60"/>
      <c r="D12" s="113">
        <v>8257.5</v>
      </c>
      <c r="E12" s="113">
        <v>8402.25</v>
      </c>
      <c r="F12" s="113">
        <v>8402.25</v>
      </c>
      <c r="G12" s="113">
        <v>8402.25</v>
      </c>
      <c r="H12" s="113">
        <v>8402.26</v>
      </c>
      <c r="I12" s="113">
        <v>8402.25</v>
      </c>
      <c r="J12" s="113">
        <v>8402.25</v>
      </c>
      <c r="K12" s="113">
        <v>8402.25</v>
      </c>
      <c r="L12" s="113">
        <v>8402.26</v>
      </c>
      <c r="M12" s="113">
        <v>8402.26</v>
      </c>
      <c r="Q12" s="107"/>
      <c r="S12" s="18"/>
    </row>
    <row r="13">
      <c r="B13" s="59" t="s">
        <v>136</v>
      </c>
      <c r="C13" s="60"/>
      <c r="D13" s="114">
        <f>2040+3294.58</f>
        <v>5334.58</v>
      </c>
      <c r="E13" s="114">
        <f>2040+3421.67</f>
        <v>5461.67</v>
      </c>
      <c r="F13" s="114">
        <v>5721.67</v>
      </c>
      <c r="G13" s="114">
        <f>2160+3065.41+512.46</f>
        <v>5737.87</v>
      </c>
      <c r="H13" s="114">
        <f>2160+3077.41+512.46</f>
        <v>5749.87</v>
      </c>
      <c r="I13" s="114">
        <f>2160+3089.41+512.46</f>
        <v>5761.87</v>
      </c>
      <c r="J13" s="114">
        <f>2160+3070.12+502.75</f>
        <v>5732.87</v>
      </c>
      <c r="K13" s="114">
        <f>2160+2961.12+502.75</f>
        <v>5623.87</v>
      </c>
      <c r="L13" s="114">
        <f>2160+3540.87</f>
        <v>5700.87</v>
      </c>
      <c r="M13" s="114">
        <v>5721.67</v>
      </c>
      <c r="N13" s="407"/>
      <c r="O13" s="303"/>
      <c r="P13" s="107"/>
      <c r="Q13" s="27"/>
      <c r="S13" s="18"/>
    </row>
    <row r="14">
      <c r="B14" s="59" t="s">
        <v>137</v>
      </c>
      <c r="C14" s="60"/>
      <c r="D14" s="313"/>
      <c r="E14" s="114"/>
      <c r="F14" s="114"/>
      <c r="G14" s="114"/>
      <c r="H14" s="114"/>
      <c r="I14" s="114"/>
      <c r="J14" s="114"/>
      <c r="K14" s="114"/>
      <c r="L14" s="115"/>
      <c r="M14" s="114"/>
      <c r="N14" s="363"/>
      <c r="O14" s="363"/>
      <c r="P14" s="107"/>
      <c r="Q14" s="107"/>
      <c r="S14" s="18"/>
    </row>
    <row r="15">
      <c r="B15" s="59" t="s">
        <v>138</v>
      </c>
      <c r="C15" s="60"/>
      <c r="D15" s="348"/>
      <c r="E15" s="117"/>
      <c r="F15" s="117"/>
      <c r="G15" s="114"/>
      <c r="H15" s="114"/>
      <c r="I15" s="114">
        <f>4166.67+6417.54</f>
        <v>10584.21</v>
      </c>
      <c r="J15" s="117"/>
      <c r="K15" s="118"/>
      <c r="L15" s="118"/>
      <c r="M15" s="118"/>
      <c r="N15" s="32"/>
      <c r="O15" s="32"/>
      <c r="P15" s="107"/>
      <c r="Q15" s="107"/>
      <c r="S15" s="18"/>
    </row>
    <row r="16">
      <c r="B16" s="67" t="s">
        <v>139</v>
      </c>
      <c r="C16" s="68"/>
      <c r="D16" s="315">
        <f t="shared" ref="D16:M16" si="1">SUM(D12:D15)</f>
        <v>13592.08</v>
      </c>
      <c r="E16" s="315">
        <f t="shared" si="1"/>
        <v>13863.92</v>
      </c>
      <c r="F16" s="119">
        <f t="shared" si="1"/>
        <v>14123.92</v>
      </c>
      <c r="G16" s="119">
        <f t="shared" si="1"/>
        <v>14140.12</v>
      </c>
      <c r="H16" s="119">
        <f t="shared" si="1"/>
        <v>14152.13</v>
      </c>
      <c r="I16" s="119">
        <f t="shared" si="1"/>
        <v>24748.33</v>
      </c>
      <c r="J16" s="119">
        <f t="shared" si="1"/>
        <v>14135.12</v>
      </c>
      <c r="K16" s="119">
        <f t="shared" si="1"/>
        <v>14026.12</v>
      </c>
      <c r="L16" s="119">
        <f t="shared" si="1"/>
        <v>14103.13</v>
      </c>
      <c r="M16" s="119">
        <f t="shared" si="1"/>
        <v>14123.93</v>
      </c>
      <c r="N16" s="248"/>
      <c r="O16" s="248"/>
      <c r="S16" s="18"/>
      <c r="V16" s="107"/>
    </row>
    <row r="17">
      <c r="D17" s="311"/>
      <c r="E17" s="311"/>
      <c r="N17" s="32"/>
      <c r="O17" s="32"/>
      <c r="P17" s="107"/>
      <c r="S17" s="18"/>
      <c r="V17" s="27"/>
    </row>
    <row r="18">
      <c r="B18" s="70" t="s">
        <v>140</v>
      </c>
      <c r="C18" s="71"/>
      <c r="D18" s="316" t="s">
        <v>123</v>
      </c>
      <c r="E18" s="316" t="s">
        <v>124</v>
      </c>
      <c r="F18" s="316" t="s">
        <v>125</v>
      </c>
      <c r="G18" s="316" t="s">
        <v>126</v>
      </c>
      <c r="H18" s="316" t="s">
        <v>127</v>
      </c>
      <c r="I18" s="58" t="s">
        <v>128</v>
      </c>
      <c r="J18" s="58" t="s">
        <v>129</v>
      </c>
      <c r="K18" s="58" t="s">
        <v>130</v>
      </c>
      <c r="L18" s="58" t="s">
        <v>131</v>
      </c>
      <c r="M18" s="58" t="s">
        <v>132</v>
      </c>
      <c r="N18" s="107"/>
      <c r="O18" s="107"/>
      <c r="P18" s="26"/>
      <c r="Q18" s="107"/>
      <c r="S18" s="18"/>
    </row>
    <row r="19">
      <c r="B19" s="121" t="s">
        <v>141</v>
      </c>
      <c r="C19" s="122"/>
      <c r="D19" s="378">
        <v>350.0</v>
      </c>
      <c r="E19" s="378">
        <v>350.0</v>
      </c>
      <c r="F19" s="378">
        <v>350.0</v>
      </c>
      <c r="G19" s="378">
        <v>0.0</v>
      </c>
      <c r="H19" s="378">
        <v>350.0</v>
      </c>
      <c r="I19" s="378">
        <v>370.0</v>
      </c>
      <c r="J19" s="378">
        <f t="shared" ref="J19:M19" si="2">I19</f>
        <v>370</v>
      </c>
      <c r="K19" s="378">
        <f t="shared" si="2"/>
        <v>370</v>
      </c>
      <c r="L19" s="123">
        <f t="shared" si="2"/>
        <v>370</v>
      </c>
      <c r="M19" s="378">
        <f t="shared" si="2"/>
        <v>370</v>
      </c>
      <c r="N19" s="107"/>
      <c r="O19" s="107" t="s">
        <v>331</v>
      </c>
      <c r="P19" s="192"/>
      <c r="S19" s="18"/>
    </row>
    <row r="20">
      <c r="B20" s="121" t="s">
        <v>142</v>
      </c>
      <c r="C20" s="122"/>
      <c r="D20" s="378">
        <v>200.0</v>
      </c>
      <c r="E20" s="378">
        <v>200.0</v>
      </c>
      <c r="F20" s="378">
        <v>200.0</v>
      </c>
      <c r="G20" s="378">
        <v>200.0</v>
      </c>
      <c r="H20" s="378">
        <v>200.0</v>
      </c>
      <c r="I20" s="378">
        <v>213.2</v>
      </c>
      <c r="J20" s="378">
        <v>220.0</v>
      </c>
      <c r="K20" s="378">
        <f t="shared" ref="K20:M20" si="3">J20</f>
        <v>220</v>
      </c>
      <c r="L20" s="123">
        <f t="shared" si="3"/>
        <v>220</v>
      </c>
      <c r="M20" s="378">
        <f t="shared" si="3"/>
        <v>220</v>
      </c>
      <c r="N20" s="192"/>
      <c r="O20" s="192"/>
      <c r="P20" s="26" t="s">
        <v>27</v>
      </c>
      <c r="Q20" s="26" t="s">
        <v>274</v>
      </c>
      <c r="R20" s="26" t="s">
        <v>351</v>
      </c>
      <c r="S20" s="26" t="s">
        <v>333</v>
      </c>
      <c r="T20" s="26" t="s">
        <v>367</v>
      </c>
      <c r="U20" s="376" t="s">
        <v>368</v>
      </c>
      <c r="V20" s="26" t="s">
        <v>48</v>
      </c>
      <c r="W20" s="18" t="s">
        <v>369</v>
      </c>
    </row>
    <row r="21">
      <c r="B21" s="121" t="s">
        <v>143</v>
      </c>
      <c r="C21" s="122"/>
      <c r="D21" s="379">
        <v>174.85</v>
      </c>
      <c r="E21" s="379">
        <v>174.85</v>
      </c>
      <c r="F21" s="379">
        <v>174.85</v>
      </c>
      <c r="G21" s="396">
        <v>79.3</v>
      </c>
      <c r="H21" s="396">
        <v>69.9</v>
      </c>
      <c r="I21" s="396">
        <v>139.9</v>
      </c>
      <c r="J21" s="396">
        <v>139.9</v>
      </c>
      <c r="K21" s="379">
        <v>139.9</v>
      </c>
      <c r="L21" s="397">
        <v>139.9</v>
      </c>
      <c r="M21" s="379">
        <v>174.85</v>
      </c>
      <c r="N21" s="102"/>
      <c r="O21" s="121" t="s">
        <v>141</v>
      </c>
      <c r="P21" s="398"/>
      <c r="Q21" s="400"/>
      <c r="R21" s="400">
        <v>370.0</v>
      </c>
      <c r="S21" s="400"/>
      <c r="T21" s="400"/>
      <c r="U21" s="400"/>
      <c r="V21" s="400"/>
      <c r="W21" s="400"/>
    </row>
    <row r="22">
      <c r="B22" s="121" t="s">
        <v>144</v>
      </c>
      <c r="C22" s="122"/>
      <c r="D22" s="378">
        <v>100.0</v>
      </c>
      <c r="E22" s="378">
        <v>100.0</v>
      </c>
      <c r="F22" s="378">
        <v>100.0</v>
      </c>
      <c r="G22" s="378">
        <v>100.0</v>
      </c>
      <c r="H22" s="378">
        <v>100.0</v>
      </c>
      <c r="I22" s="378">
        <f t="shared" ref="I22:M22" si="4">H22</f>
        <v>100</v>
      </c>
      <c r="J22" s="378">
        <f t="shared" si="4"/>
        <v>100</v>
      </c>
      <c r="K22" s="378">
        <f t="shared" si="4"/>
        <v>100</v>
      </c>
      <c r="L22" s="123">
        <f t="shared" si="4"/>
        <v>100</v>
      </c>
      <c r="M22" s="378">
        <f t="shared" si="4"/>
        <v>100</v>
      </c>
      <c r="N22" s="408"/>
      <c r="O22" s="121" t="s">
        <v>142</v>
      </c>
      <c r="P22" s="398"/>
      <c r="Q22" s="400"/>
      <c r="R22" s="400"/>
      <c r="S22" s="400"/>
      <c r="T22" s="400"/>
      <c r="U22" s="400"/>
      <c r="V22" s="400"/>
      <c r="W22" s="400"/>
    </row>
    <row r="23">
      <c r="B23" s="121" t="s">
        <v>145</v>
      </c>
      <c r="C23" s="122"/>
      <c r="D23" s="378">
        <v>2500.0</v>
      </c>
      <c r="E23" s="378">
        <v>2500.0</v>
      </c>
      <c r="F23" s="378">
        <v>2500.0</v>
      </c>
      <c r="G23" s="378">
        <v>2500.0</v>
      </c>
      <c r="H23" s="378">
        <v>3000.0</v>
      </c>
      <c r="I23" s="378">
        <f t="shared" ref="I23:M23" si="5">H23</f>
        <v>3000</v>
      </c>
      <c r="J23" s="378">
        <f t="shared" si="5"/>
        <v>3000</v>
      </c>
      <c r="K23" s="378">
        <f t="shared" si="5"/>
        <v>3000</v>
      </c>
      <c r="L23" s="123">
        <f t="shared" si="5"/>
        <v>3000</v>
      </c>
      <c r="M23" s="378">
        <f t="shared" si="5"/>
        <v>3000</v>
      </c>
      <c r="N23" s="408"/>
      <c r="O23" s="121" t="s">
        <v>143</v>
      </c>
      <c r="P23" s="398"/>
      <c r="Q23" s="400"/>
      <c r="R23" s="400"/>
      <c r="S23" s="400"/>
      <c r="T23" s="400"/>
      <c r="U23" s="400"/>
      <c r="V23" s="400"/>
      <c r="W23" s="400"/>
    </row>
    <row r="24">
      <c r="B24" s="121" t="s">
        <v>146</v>
      </c>
      <c r="C24" s="126" t="s">
        <v>147</v>
      </c>
      <c r="D24" s="378">
        <v>400.0</v>
      </c>
      <c r="E24" s="378">
        <v>400.0</v>
      </c>
      <c r="F24" s="378">
        <v>404.8</v>
      </c>
      <c r="G24" s="378">
        <v>400.0</v>
      </c>
      <c r="H24" s="378">
        <v>404.8</v>
      </c>
      <c r="I24" s="378">
        <v>404.8</v>
      </c>
      <c r="J24" s="378">
        <v>404.8</v>
      </c>
      <c r="K24" s="378">
        <f t="shared" ref="K24:M24" si="6">J24</f>
        <v>404.8</v>
      </c>
      <c r="L24" s="123">
        <f t="shared" si="6"/>
        <v>404.8</v>
      </c>
      <c r="M24" s="378">
        <f t="shared" si="6"/>
        <v>404.8</v>
      </c>
      <c r="N24" s="408"/>
      <c r="O24" s="121" t="s">
        <v>144</v>
      </c>
      <c r="P24" s="398"/>
      <c r="Q24" s="400"/>
      <c r="R24" s="400">
        <v>100.0</v>
      </c>
      <c r="S24" s="400"/>
      <c r="T24" s="400"/>
      <c r="U24" s="400"/>
      <c r="V24" s="400"/>
      <c r="W24" s="400"/>
      <c r="X24" s="28"/>
    </row>
    <row r="25">
      <c r="B25" s="127" t="s">
        <v>180</v>
      </c>
      <c r="C25" s="128"/>
      <c r="D25" s="378">
        <v>0.0</v>
      </c>
      <c r="E25" s="378">
        <v>0.0</v>
      </c>
      <c r="F25" s="378">
        <v>0.0</v>
      </c>
      <c r="G25" s="378">
        <v>0.0</v>
      </c>
      <c r="H25" s="378">
        <v>0.0</v>
      </c>
      <c r="I25" s="378">
        <v>0.0</v>
      </c>
      <c r="J25" s="378">
        <v>0.0</v>
      </c>
      <c r="K25" s="378"/>
      <c r="L25" s="123"/>
      <c r="M25" s="378"/>
      <c r="N25" s="408"/>
      <c r="O25" s="121" t="s">
        <v>145</v>
      </c>
      <c r="P25" s="404">
        <v>3000.0</v>
      </c>
      <c r="Q25" s="400"/>
      <c r="R25" s="398"/>
      <c r="S25" s="400"/>
      <c r="T25" s="400"/>
      <c r="U25" s="400"/>
      <c r="V25" s="400"/>
      <c r="W25" s="400"/>
    </row>
    <row r="26">
      <c r="B26" s="121" t="s">
        <v>148</v>
      </c>
      <c r="C26" s="122"/>
      <c r="D26" s="378">
        <v>500.0</v>
      </c>
      <c r="E26" s="378">
        <v>500.0</v>
      </c>
      <c r="F26" s="378">
        <v>500.0</v>
      </c>
      <c r="G26" s="378">
        <v>500.0</v>
      </c>
      <c r="H26" s="378">
        <v>600.0</v>
      </c>
      <c r="I26" s="378">
        <v>500.0</v>
      </c>
      <c r="J26" s="378">
        <f t="shared" ref="J26:M26" si="7">I26</f>
        <v>500</v>
      </c>
      <c r="K26" s="378">
        <f t="shared" si="7"/>
        <v>500</v>
      </c>
      <c r="L26" s="123">
        <f t="shared" si="7"/>
        <v>500</v>
      </c>
      <c r="M26" s="378">
        <f t="shared" si="7"/>
        <v>500</v>
      </c>
      <c r="N26" s="408"/>
      <c r="O26" s="121" t="s">
        <v>146</v>
      </c>
      <c r="P26" s="400">
        <v>204.8</v>
      </c>
      <c r="Q26" s="18">
        <v>200.0</v>
      </c>
      <c r="R26" s="400"/>
      <c r="S26" s="400"/>
      <c r="T26" s="400"/>
      <c r="U26" s="400"/>
      <c r="V26" s="400"/>
      <c r="W26" s="400"/>
    </row>
    <row r="27">
      <c r="B27" s="121" t="s">
        <v>149</v>
      </c>
      <c r="C27" s="122"/>
      <c r="D27" s="378">
        <v>500.0</v>
      </c>
      <c r="E27" s="378">
        <v>500.0</v>
      </c>
      <c r="F27" s="378">
        <v>500.0</v>
      </c>
      <c r="G27" s="378">
        <v>500.0</v>
      </c>
      <c r="H27" s="378">
        <v>500.0</v>
      </c>
      <c r="I27" s="378">
        <f t="shared" ref="I27:M27" si="8">H27</f>
        <v>500</v>
      </c>
      <c r="J27" s="378">
        <f t="shared" si="8"/>
        <v>500</v>
      </c>
      <c r="K27" s="378">
        <f t="shared" si="8"/>
        <v>500</v>
      </c>
      <c r="L27" s="123">
        <f t="shared" si="8"/>
        <v>500</v>
      </c>
      <c r="M27" s="378">
        <f t="shared" si="8"/>
        <v>500</v>
      </c>
      <c r="N27" s="408"/>
      <c r="O27" s="127" t="s">
        <v>180</v>
      </c>
      <c r="P27" s="400"/>
      <c r="Q27" s="404"/>
      <c r="R27" s="400"/>
      <c r="S27" s="400"/>
      <c r="T27" s="400"/>
      <c r="U27" s="400"/>
      <c r="V27" s="400"/>
      <c r="W27" s="400"/>
    </row>
    <row r="28">
      <c r="B28" s="127" t="s">
        <v>181</v>
      </c>
      <c r="C28" s="128"/>
      <c r="D28" s="378">
        <v>650.0</v>
      </c>
      <c r="E28" s="378">
        <v>150.0</v>
      </c>
      <c r="F28" s="378">
        <v>150.0</v>
      </c>
      <c r="G28" s="378">
        <v>150.0</v>
      </c>
      <c r="H28" s="378">
        <v>150.0</v>
      </c>
      <c r="I28" s="378">
        <v>150.0</v>
      </c>
      <c r="J28" s="378">
        <v>150.0</v>
      </c>
      <c r="K28" s="378">
        <v>150.0</v>
      </c>
      <c r="L28" s="123">
        <v>150.0</v>
      </c>
      <c r="M28" s="378">
        <v>150.0</v>
      </c>
      <c r="N28" s="408"/>
      <c r="O28" s="121" t="s">
        <v>148</v>
      </c>
      <c r="P28" s="398"/>
      <c r="Q28" s="404"/>
      <c r="R28" s="400">
        <v>500.0</v>
      </c>
      <c r="S28" s="400"/>
      <c r="T28" s="400"/>
      <c r="U28" s="400"/>
      <c r="V28" s="400"/>
      <c r="W28" s="400"/>
    </row>
    <row r="29">
      <c r="B29" s="121" t="s">
        <v>150</v>
      </c>
      <c r="C29" s="122"/>
      <c r="D29" s="378">
        <v>400.0</v>
      </c>
      <c r="E29" s="378">
        <v>400.0</v>
      </c>
      <c r="F29" s="378">
        <v>400.0</v>
      </c>
      <c r="G29" s="378">
        <v>400.0</v>
      </c>
      <c r="H29" s="378">
        <v>400.0</v>
      </c>
      <c r="I29" s="378">
        <f t="shared" ref="I29:M29" si="9">H29</f>
        <v>400</v>
      </c>
      <c r="J29" s="378">
        <f t="shared" si="9"/>
        <v>400</v>
      </c>
      <c r="K29" s="378">
        <f t="shared" si="9"/>
        <v>400</v>
      </c>
      <c r="L29" s="123">
        <f t="shared" si="9"/>
        <v>400</v>
      </c>
      <c r="M29" s="378">
        <f t="shared" si="9"/>
        <v>400</v>
      </c>
      <c r="N29" s="408"/>
      <c r="O29" s="121" t="s">
        <v>149</v>
      </c>
      <c r="P29" s="398"/>
      <c r="Q29" s="404"/>
      <c r="R29" s="400">
        <v>500.0</v>
      </c>
      <c r="S29" s="400"/>
      <c r="T29" s="400"/>
      <c r="U29" s="400"/>
      <c r="V29" s="400"/>
      <c r="W29" s="400"/>
    </row>
    <row r="30">
      <c r="B30" s="127" t="s">
        <v>182</v>
      </c>
      <c r="C30" s="128"/>
      <c r="D30" s="378"/>
      <c r="E30" s="378"/>
      <c r="F30" s="378"/>
      <c r="G30" s="378">
        <v>160.0</v>
      </c>
      <c r="H30" s="378">
        <v>160.0</v>
      </c>
      <c r="I30" s="378">
        <v>180.0</v>
      </c>
      <c r="J30" s="378">
        <v>87.36</v>
      </c>
      <c r="K30" s="378">
        <v>160.0</v>
      </c>
      <c r="L30" s="123">
        <v>160.0</v>
      </c>
      <c r="M30" s="378">
        <v>160.0</v>
      </c>
      <c r="N30" s="408"/>
      <c r="O30" s="127" t="s">
        <v>181</v>
      </c>
      <c r="P30" s="398"/>
      <c r="Q30" s="404"/>
      <c r="R30" s="400">
        <v>150.0</v>
      </c>
      <c r="S30" s="400"/>
      <c r="T30" s="400"/>
      <c r="U30" s="400"/>
      <c r="V30" s="400"/>
      <c r="W30" s="400"/>
    </row>
    <row r="31">
      <c r="B31" s="127" t="s">
        <v>183</v>
      </c>
      <c r="C31" s="128"/>
      <c r="D31" s="378">
        <v>400.0</v>
      </c>
      <c r="E31" s="378">
        <v>400.0</v>
      </c>
      <c r="F31" s="378">
        <v>400.0</v>
      </c>
      <c r="G31" s="378">
        <v>400.0</v>
      </c>
      <c r="H31" s="378">
        <v>400.0</v>
      </c>
      <c r="I31" s="378">
        <v>400.0</v>
      </c>
      <c r="J31" s="378">
        <v>400.0</v>
      </c>
      <c r="K31" s="378">
        <v>400.0</v>
      </c>
      <c r="L31" s="123">
        <v>400.0</v>
      </c>
      <c r="M31" s="378">
        <v>400.0</v>
      </c>
      <c r="N31" s="408"/>
      <c r="O31" s="121" t="s">
        <v>150</v>
      </c>
      <c r="P31" s="398"/>
      <c r="Q31" s="404">
        <v>400.0</v>
      </c>
      <c r="R31" s="400"/>
      <c r="S31" s="400"/>
      <c r="T31" s="400"/>
      <c r="U31" s="400"/>
      <c r="V31" s="400"/>
      <c r="W31" s="400"/>
    </row>
    <row r="32">
      <c r="B32" s="121" t="s">
        <v>152</v>
      </c>
      <c r="C32" s="122"/>
      <c r="D32" s="390"/>
      <c r="E32" s="390"/>
      <c r="F32" s="378"/>
      <c r="G32" s="378"/>
      <c r="H32" s="378"/>
      <c r="I32" s="390"/>
      <c r="J32" s="390"/>
      <c r="K32" s="378"/>
      <c r="L32" s="123"/>
      <c r="M32" s="390"/>
      <c r="N32" s="408"/>
      <c r="O32" s="127" t="s">
        <v>182</v>
      </c>
      <c r="P32" s="398"/>
      <c r="Q32" s="404"/>
      <c r="R32" s="400"/>
      <c r="S32" s="400"/>
      <c r="T32" s="400"/>
      <c r="U32" s="404">
        <v>160.0</v>
      </c>
      <c r="V32" s="400"/>
      <c r="W32" s="400"/>
    </row>
    <row r="33">
      <c r="B33" s="121" t="s">
        <v>154</v>
      </c>
      <c r="C33" s="122"/>
      <c r="D33" s="378">
        <v>122.0</v>
      </c>
      <c r="E33" s="378">
        <v>105.46</v>
      </c>
      <c r="F33" s="378">
        <v>105.46</v>
      </c>
      <c r="G33" s="378">
        <v>105.46</v>
      </c>
      <c r="H33" s="378">
        <v>105.46</v>
      </c>
      <c r="I33" s="378">
        <v>136.92</v>
      </c>
      <c r="J33" s="378">
        <v>136.92</v>
      </c>
      <c r="K33" s="378">
        <f t="shared" ref="K33:L33" si="10">J33</f>
        <v>136.92</v>
      </c>
      <c r="L33" s="123">
        <f t="shared" si="10"/>
        <v>136.92</v>
      </c>
      <c r="M33" s="378">
        <v>122.0</v>
      </c>
      <c r="N33" s="408"/>
      <c r="O33" s="127" t="s">
        <v>183</v>
      </c>
      <c r="P33" s="398"/>
      <c r="Q33" s="404"/>
      <c r="R33" s="400"/>
      <c r="S33" s="400"/>
      <c r="T33" s="400"/>
      <c r="U33" s="404">
        <v>400.0</v>
      </c>
      <c r="V33" s="400"/>
      <c r="W33" s="400"/>
    </row>
    <row r="34">
      <c r="B34" s="121" t="s">
        <v>155</v>
      </c>
      <c r="C34" s="122"/>
      <c r="D34" s="390"/>
      <c r="E34" s="390"/>
      <c r="F34" s="390"/>
      <c r="G34" s="390"/>
      <c r="H34" s="390"/>
      <c r="I34" s="378" t="str">
        <f t="shared" ref="I34:M34" si="11">H34</f>
        <v/>
      </c>
      <c r="J34" s="378" t="str">
        <f t="shared" si="11"/>
        <v/>
      </c>
      <c r="K34" s="378" t="str">
        <f t="shared" si="11"/>
        <v/>
      </c>
      <c r="L34" s="123" t="str">
        <f t="shared" si="11"/>
        <v/>
      </c>
      <c r="M34" s="378" t="str">
        <f t="shared" si="11"/>
        <v/>
      </c>
      <c r="N34" s="408"/>
      <c r="O34" s="121" t="s">
        <v>152</v>
      </c>
      <c r="P34" s="400"/>
      <c r="Q34" s="404"/>
      <c r="R34" s="400"/>
      <c r="S34" s="400"/>
      <c r="T34" s="400"/>
      <c r="U34" s="400"/>
      <c r="V34" s="400"/>
      <c r="W34" s="400"/>
    </row>
    <row r="35">
      <c r="B35" s="121" t="s">
        <v>156</v>
      </c>
      <c r="C35" s="122"/>
      <c r="D35" s="378">
        <v>150.0</v>
      </c>
      <c r="E35" s="378">
        <v>150.0</v>
      </c>
      <c r="F35" s="378"/>
      <c r="G35" s="378">
        <v>150.0</v>
      </c>
      <c r="H35" s="378">
        <f>400+400+150</f>
        <v>950</v>
      </c>
      <c r="I35" s="378">
        <v>800.0</v>
      </c>
      <c r="J35" s="378">
        <v>300.0</v>
      </c>
      <c r="K35" s="390">
        <v>150.0</v>
      </c>
      <c r="L35" s="131"/>
      <c r="M35" s="378">
        <v>300.0</v>
      </c>
      <c r="N35" s="408"/>
      <c r="O35" s="121" t="s">
        <v>154</v>
      </c>
      <c r="P35" s="400">
        <f>136.92-13</f>
        <v>123.92</v>
      </c>
      <c r="Q35" s="404">
        <v>13.0</v>
      </c>
      <c r="R35" s="400"/>
      <c r="S35" s="400"/>
      <c r="T35" s="400"/>
      <c r="U35" s="400"/>
      <c r="V35" s="400"/>
      <c r="W35" s="400"/>
      <c r="X35" s="32"/>
    </row>
    <row r="36">
      <c r="B36" s="121" t="s">
        <v>157</v>
      </c>
      <c r="C36" s="122"/>
      <c r="D36" s="378">
        <v>50.0</v>
      </c>
      <c r="E36" s="378">
        <v>50.0</v>
      </c>
      <c r="F36" s="378">
        <v>50.0</v>
      </c>
      <c r="G36" s="378">
        <v>50.0</v>
      </c>
      <c r="H36" s="378">
        <f t="shared" ref="H36:M36" si="12">G36</f>
        <v>50</v>
      </c>
      <c r="I36" s="378">
        <f t="shared" si="12"/>
        <v>50</v>
      </c>
      <c r="J36" s="378">
        <f t="shared" si="12"/>
        <v>50</v>
      </c>
      <c r="K36" s="378">
        <f t="shared" si="12"/>
        <v>50</v>
      </c>
      <c r="L36" s="123">
        <f t="shared" si="12"/>
        <v>50</v>
      </c>
      <c r="M36" s="378">
        <f t="shared" si="12"/>
        <v>50</v>
      </c>
      <c r="N36" s="408"/>
      <c r="O36" s="121" t="s">
        <v>155</v>
      </c>
      <c r="P36" s="400"/>
      <c r="Q36" s="404"/>
      <c r="R36" s="400"/>
      <c r="S36" s="400"/>
      <c r="T36" s="400"/>
      <c r="U36" s="400"/>
      <c r="V36" s="400"/>
      <c r="W36" s="400"/>
      <c r="Y36" s="18"/>
    </row>
    <row r="37">
      <c r="B37" s="121" t="s">
        <v>158</v>
      </c>
      <c r="C37" s="122"/>
      <c r="D37" s="390"/>
      <c r="E37" s="390"/>
      <c r="F37" s="390"/>
      <c r="G37" s="390"/>
      <c r="H37" s="378" t="str">
        <f t="shared" ref="H37:M37" si="13">G37</f>
        <v/>
      </c>
      <c r="I37" s="378" t="str">
        <f t="shared" si="13"/>
        <v/>
      </c>
      <c r="J37" s="378" t="str">
        <f t="shared" si="13"/>
        <v/>
      </c>
      <c r="K37" s="378" t="str">
        <f t="shared" si="13"/>
        <v/>
      </c>
      <c r="L37" s="123" t="str">
        <f t="shared" si="13"/>
        <v/>
      </c>
      <c r="M37" s="378" t="str">
        <f t="shared" si="13"/>
        <v/>
      </c>
      <c r="N37" s="408"/>
      <c r="O37" s="121" t="s">
        <v>156</v>
      </c>
      <c r="P37" s="406"/>
      <c r="Q37" s="404"/>
      <c r="R37" s="400"/>
      <c r="S37" s="400"/>
      <c r="T37" s="400"/>
      <c r="U37" s="406"/>
      <c r="V37" s="400"/>
      <c r="W37" s="400"/>
      <c r="Y37" s="18"/>
    </row>
    <row r="38">
      <c r="B38" s="121" t="s">
        <v>159</v>
      </c>
      <c r="C38" s="122"/>
      <c r="D38" s="378">
        <f t="shared" ref="D38:E38" si="14">400+400+150</f>
        <v>950</v>
      </c>
      <c r="E38" s="378">
        <f t="shared" si="14"/>
        <v>950</v>
      </c>
      <c r="F38" s="378">
        <v>950.0</v>
      </c>
      <c r="G38" s="378">
        <v>950.0</v>
      </c>
      <c r="H38" s="378">
        <f t="shared" ref="H38:L38" si="15">400+400+150</f>
        <v>950</v>
      </c>
      <c r="I38" s="378">
        <f t="shared" si="15"/>
        <v>950</v>
      </c>
      <c r="J38" s="378">
        <f t="shared" si="15"/>
        <v>950</v>
      </c>
      <c r="K38" s="378">
        <f t="shared" si="15"/>
        <v>950</v>
      </c>
      <c r="L38" s="123">
        <f t="shared" si="15"/>
        <v>950</v>
      </c>
      <c r="M38" s="378">
        <v>800.0</v>
      </c>
      <c r="N38" s="408"/>
      <c r="O38" s="121" t="s">
        <v>157</v>
      </c>
      <c r="P38" s="400"/>
      <c r="Q38" s="404"/>
      <c r="R38" s="400"/>
      <c r="S38" s="400"/>
      <c r="T38" s="400"/>
      <c r="U38" s="400"/>
      <c r="V38" s="400"/>
      <c r="W38" s="400">
        <v>50.0</v>
      </c>
    </row>
    <row r="39">
      <c r="B39" s="121" t="s">
        <v>160</v>
      </c>
      <c r="C39" s="122"/>
      <c r="D39" s="378">
        <v>3000.0</v>
      </c>
      <c r="E39" s="378">
        <v>3000.0</v>
      </c>
      <c r="F39" s="378">
        <v>3000.0</v>
      </c>
      <c r="G39" s="378">
        <v>3000.0</v>
      </c>
      <c r="H39" s="378">
        <f t="shared" ref="H39:M39" si="16">G39</f>
        <v>3000</v>
      </c>
      <c r="I39" s="378">
        <f t="shared" si="16"/>
        <v>3000</v>
      </c>
      <c r="J39" s="378">
        <f t="shared" si="16"/>
        <v>3000</v>
      </c>
      <c r="K39" s="378">
        <f t="shared" si="16"/>
        <v>3000</v>
      </c>
      <c r="L39" s="123">
        <f t="shared" si="16"/>
        <v>3000</v>
      </c>
      <c r="M39" s="378">
        <f t="shared" si="16"/>
        <v>3000</v>
      </c>
      <c r="N39" s="408"/>
      <c r="O39" s="121" t="s">
        <v>158</v>
      </c>
      <c r="P39" s="400"/>
      <c r="Q39" s="404"/>
      <c r="R39" s="400"/>
      <c r="S39" s="400"/>
      <c r="T39" s="400"/>
      <c r="U39" s="400"/>
      <c r="V39" s="400"/>
      <c r="W39" s="400"/>
    </row>
    <row r="40">
      <c r="B40" s="127" t="s">
        <v>184</v>
      </c>
      <c r="C40" s="128"/>
      <c r="D40" s="377">
        <v>1087.8499999999985</v>
      </c>
      <c r="E40" s="378">
        <v>700.0</v>
      </c>
      <c r="F40" s="378">
        <v>700.0</v>
      </c>
      <c r="G40" s="378">
        <v>700.0</v>
      </c>
      <c r="H40" s="378">
        <v>700.0</v>
      </c>
      <c r="I40" s="378">
        <v>700.0</v>
      </c>
      <c r="J40" s="378">
        <v>700.0</v>
      </c>
      <c r="K40" s="378">
        <v>700.0</v>
      </c>
      <c r="L40" s="123">
        <v>700.0</v>
      </c>
      <c r="M40" s="378">
        <v>700.0</v>
      </c>
      <c r="N40" s="408"/>
      <c r="O40" s="121" t="s">
        <v>159</v>
      </c>
      <c r="P40" s="400">
        <v>400.0</v>
      </c>
      <c r="Q40" s="404">
        <v>550.0</v>
      </c>
      <c r="R40" s="400"/>
      <c r="S40" s="400"/>
      <c r="T40" s="400"/>
      <c r="U40" s="400"/>
      <c r="V40" s="400"/>
      <c r="W40" s="400"/>
    </row>
    <row r="41">
      <c r="B41" s="127" t="s">
        <v>3</v>
      </c>
      <c r="C41" s="128"/>
      <c r="D41" s="378">
        <v>500.0</v>
      </c>
      <c r="E41" s="378">
        <v>500.0</v>
      </c>
      <c r="F41" s="378">
        <v>500.0</v>
      </c>
      <c r="G41" s="378">
        <v>500.0</v>
      </c>
      <c r="H41" s="378">
        <v>500.0</v>
      </c>
      <c r="I41" s="378">
        <v>500.0</v>
      </c>
      <c r="J41" s="378">
        <v>500.0</v>
      </c>
      <c r="K41" s="378">
        <v>500.0</v>
      </c>
      <c r="L41" s="123">
        <v>500.0</v>
      </c>
      <c r="M41" s="378">
        <v>500.0</v>
      </c>
      <c r="N41" s="408"/>
      <c r="O41" s="121" t="s">
        <v>160</v>
      </c>
      <c r="P41" s="400">
        <v>1500.0</v>
      </c>
      <c r="Q41" s="404">
        <v>1500.0</v>
      </c>
      <c r="R41" s="400"/>
      <c r="S41" s="400"/>
      <c r="T41" s="400"/>
      <c r="U41" s="400"/>
      <c r="V41" s="400"/>
      <c r="W41" s="400"/>
    </row>
    <row r="42">
      <c r="B42" s="67" t="s">
        <v>161</v>
      </c>
      <c r="C42" s="68"/>
      <c r="D42" s="132">
        <f t="shared" ref="D42:M42" si="17">SUM(D19:D41)*-1</f>
        <v>-12034.7</v>
      </c>
      <c r="E42" s="132">
        <f t="shared" si="17"/>
        <v>-11130.31</v>
      </c>
      <c r="F42" s="132">
        <f t="shared" si="17"/>
        <v>-10985.11</v>
      </c>
      <c r="G42" s="132">
        <f t="shared" si="17"/>
        <v>-10844.76</v>
      </c>
      <c r="H42" s="132">
        <f t="shared" si="17"/>
        <v>-12590.16</v>
      </c>
      <c r="I42" s="132">
        <f t="shared" si="17"/>
        <v>-12494.82</v>
      </c>
      <c r="J42" s="132">
        <f t="shared" si="17"/>
        <v>-11908.98</v>
      </c>
      <c r="K42" s="132">
        <f t="shared" si="17"/>
        <v>-11831.62</v>
      </c>
      <c r="L42" s="132">
        <f t="shared" si="17"/>
        <v>-11681.62</v>
      </c>
      <c r="M42" s="132">
        <f t="shared" si="17"/>
        <v>-11851.65</v>
      </c>
      <c r="N42" s="408"/>
      <c r="O42" s="127" t="s">
        <v>184</v>
      </c>
      <c r="P42" s="398"/>
      <c r="Q42" s="400"/>
      <c r="R42" s="400"/>
      <c r="S42" s="404">
        <v>700.0</v>
      </c>
      <c r="T42" s="400"/>
      <c r="U42" s="400"/>
      <c r="V42" s="400"/>
      <c r="W42" s="400"/>
    </row>
    <row r="43">
      <c r="N43" s="409"/>
      <c r="O43" s="127" t="s">
        <v>3</v>
      </c>
      <c r="P43" s="398"/>
      <c r="Q43" s="400"/>
      <c r="R43" s="400"/>
      <c r="S43" s="400"/>
      <c r="T43" s="404">
        <v>500.0</v>
      </c>
      <c r="U43" s="400"/>
      <c r="V43" s="400"/>
      <c r="W43" s="400"/>
    </row>
    <row r="44">
      <c r="B44" s="80" t="s">
        <v>162</v>
      </c>
      <c r="C44" s="81"/>
      <c r="D44" s="82">
        <f t="shared" ref="D44:M44" si="18">D16+D42</f>
        <v>1557.38</v>
      </c>
      <c r="E44" s="82">
        <f t="shared" si="18"/>
        <v>2733.61</v>
      </c>
      <c r="F44" s="82">
        <f t="shared" si="18"/>
        <v>3138.81</v>
      </c>
      <c r="G44" s="82">
        <f t="shared" si="18"/>
        <v>3295.36</v>
      </c>
      <c r="H44" s="82">
        <f t="shared" si="18"/>
        <v>1561.97</v>
      </c>
      <c r="I44" s="82">
        <f t="shared" si="18"/>
        <v>12253.51</v>
      </c>
      <c r="J44" s="82">
        <f t="shared" si="18"/>
        <v>2226.14</v>
      </c>
      <c r="K44" s="82">
        <f t="shared" si="18"/>
        <v>2194.5</v>
      </c>
      <c r="L44" s="82">
        <f t="shared" si="18"/>
        <v>2421.51</v>
      </c>
      <c r="M44" s="82">
        <f t="shared" si="18"/>
        <v>2272.28</v>
      </c>
      <c r="N44" s="18"/>
      <c r="O44" s="18" t="s">
        <v>379</v>
      </c>
      <c r="P44" s="400"/>
      <c r="Q44" s="400"/>
      <c r="R44" s="400"/>
      <c r="S44" s="400"/>
      <c r="T44" s="400"/>
      <c r="U44" s="400"/>
      <c r="V44" s="400"/>
      <c r="W44" s="400"/>
    </row>
    <row r="45">
      <c r="B45" s="83"/>
      <c r="C45" s="83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107"/>
      <c r="O45" s="7" t="s">
        <v>26</v>
      </c>
      <c r="P45" s="325">
        <f t="shared" ref="P45:W45" si="19">SUM(P21:P44)</f>
        <v>5228.72</v>
      </c>
      <c r="Q45" s="373">
        <f t="shared" si="19"/>
        <v>2663</v>
      </c>
      <c r="R45" s="373">
        <f t="shared" si="19"/>
        <v>1620</v>
      </c>
      <c r="S45" s="373">
        <f t="shared" si="19"/>
        <v>700</v>
      </c>
      <c r="T45" s="373">
        <f t="shared" si="19"/>
        <v>500</v>
      </c>
      <c r="U45" s="373">
        <f t="shared" si="19"/>
        <v>560</v>
      </c>
      <c r="V45" s="373">
        <f t="shared" si="19"/>
        <v>0</v>
      </c>
      <c r="W45" s="373">
        <f t="shared" si="19"/>
        <v>50</v>
      </c>
    </row>
    <row r="46">
      <c r="B46" s="85" t="s">
        <v>163</v>
      </c>
      <c r="C46" s="86"/>
      <c r="D46" s="57" t="s">
        <v>123</v>
      </c>
      <c r="E46" s="57" t="s">
        <v>124</v>
      </c>
      <c r="F46" s="57" t="s">
        <v>125</v>
      </c>
      <c r="G46" s="57" t="s">
        <v>126</v>
      </c>
      <c r="H46" s="57" t="s">
        <v>127</v>
      </c>
      <c r="I46" s="57" t="s">
        <v>128</v>
      </c>
      <c r="J46" s="57" t="s">
        <v>129</v>
      </c>
      <c r="K46" s="57" t="s">
        <v>130</v>
      </c>
      <c r="L46" s="57" t="s">
        <v>131</v>
      </c>
      <c r="M46" s="57" t="s">
        <v>132</v>
      </c>
      <c r="N46" s="107"/>
      <c r="O46" s="107" t="s">
        <v>371</v>
      </c>
      <c r="P46" s="391">
        <f>(K12)-P45</f>
        <v>3173.53</v>
      </c>
      <c r="Q46" s="375">
        <v>3173.5299999999997</v>
      </c>
      <c r="R46" s="287"/>
    </row>
    <row r="47">
      <c r="B47" s="87" t="s">
        <v>185</v>
      </c>
      <c r="C47" s="88"/>
      <c r="D47" s="89"/>
      <c r="E47" s="89"/>
      <c r="F47" s="89"/>
      <c r="G47" s="134">
        <v>512.46</v>
      </c>
      <c r="H47" s="134">
        <v>512.46</v>
      </c>
      <c r="I47" s="134">
        <v>512.46</v>
      </c>
      <c r="J47" s="134">
        <v>502.75</v>
      </c>
      <c r="K47" s="134"/>
      <c r="L47" s="134"/>
      <c r="M47" s="134"/>
      <c r="N47" s="248"/>
      <c r="O47" s="325" t="s">
        <v>353</v>
      </c>
    </row>
    <row r="48">
      <c r="A48" s="298">
        <v>45020.0</v>
      </c>
      <c r="B48" s="87" t="s">
        <v>58</v>
      </c>
      <c r="C48" s="88"/>
      <c r="D48" s="91"/>
      <c r="E48" s="91"/>
      <c r="F48" s="91"/>
      <c r="G48" s="91"/>
      <c r="H48" s="91"/>
      <c r="I48" s="135"/>
      <c r="J48" s="135"/>
      <c r="K48" s="135"/>
      <c r="L48" s="135"/>
      <c r="M48" s="135"/>
      <c r="N48" s="107"/>
      <c r="O48" s="107"/>
    </row>
    <row r="49">
      <c r="B49" s="87"/>
      <c r="C49" s="88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107"/>
      <c r="O49" s="107"/>
    </row>
    <row r="50">
      <c r="B50" s="92"/>
      <c r="C50" s="93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107"/>
      <c r="O50" s="107"/>
      <c r="S50" s="387"/>
      <c r="V50" s="387"/>
    </row>
    <row r="51">
      <c r="B51" s="67" t="s">
        <v>167</v>
      </c>
      <c r="C51" s="95">
        <f>SUM(C47:C50)</f>
        <v>0</v>
      </c>
      <c r="D51" s="78">
        <f t="shared" ref="D51:M51" si="20">SUM(D47:D50)*-1</f>
        <v>0</v>
      </c>
      <c r="E51" s="78">
        <f t="shared" si="20"/>
        <v>0</v>
      </c>
      <c r="F51" s="78">
        <f t="shared" si="20"/>
        <v>0</v>
      </c>
      <c r="G51" s="78">
        <f t="shared" si="20"/>
        <v>-512.46</v>
      </c>
      <c r="H51" s="78">
        <f t="shared" si="20"/>
        <v>-512.46</v>
      </c>
      <c r="I51" s="78">
        <f t="shared" si="20"/>
        <v>-512.46</v>
      </c>
      <c r="J51" s="78">
        <f t="shared" si="20"/>
        <v>-502.75</v>
      </c>
      <c r="K51" s="78">
        <f t="shared" si="20"/>
        <v>0</v>
      </c>
      <c r="L51" s="78">
        <f t="shared" si="20"/>
        <v>0</v>
      </c>
      <c r="M51" s="78">
        <f t="shared" si="20"/>
        <v>0</v>
      </c>
      <c r="N51" s="107"/>
      <c r="O51" s="394" t="s">
        <v>48</v>
      </c>
      <c r="P51" s="395"/>
      <c r="Q51" s="389" t="s">
        <v>370</v>
      </c>
      <c r="R51" s="389"/>
    </row>
    <row r="52">
      <c r="B52" s="83"/>
      <c r="C52" s="83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107"/>
      <c r="O52" s="107"/>
    </row>
    <row r="53">
      <c r="B53" s="97" t="s">
        <v>168</v>
      </c>
      <c r="C53" s="98"/>
      <c r="D53" s="99">
        <f t="shared" ref="D53:M53" si="21">D44+D51</f>
        <v>1557.38</v>
      </c>
      <c r="E53" s="99">
        <f t="shared" si="21"/>
        <v>2733.61</v>
      </c>
      <c r="F53" s="99">
        <f t="shared" si="21"/>
        <v>3138.81</v>
      </c>
      <c r="G53" s="99">
        <f t="shared" si="21"/>
        <v>2782.9</v>
      </c>
      <c r="H53" s="99">
        <f t="shared" si="21"/>
        <v>1049.51</v>
      </c>
      <c r="I53" s="99">
        <f t="shared" si="21"/>
        <v>11741.05</v>
      </c>
      <c r="J53" s="99">
        <f t="shared" si="21"/>
        <v>1723.39</v>
      </c>
      <c r="K53" s="99">
        <f t="shared" si="21"/>
        <v>2194.5</v>
      </c>
      <c r="L53" s="99">
        <f t="shared" si="21"/>
        <v>2421.51</v>
      </c>
      <c r="M53" s="99">
        <f t="shared" si="21"/>
        <v>2272.28</v>
      </c>
      <c r="N53" s="107"/>
      <c r="O53" s="107"/>
      <c r="P53" s="107"/>
    </row>
    <row r="54">
      <c r="B54" s="83"/>
      <c r="C54" s="83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107"/>
      <c r="O54" s="107"/>
      <c r="P54" s="18"/>
    </row>
    <row r="55">
      <c r="B55" s="100" t="s">
        <v>169</v>
      </c>
      <c r="C55" s="101"/>
      <c r="D55" s="57" t="s">
        <v>123</v>
      </c>
      <c r="E55" s="57" t="s">
        <v>124</v>
      </c>
      <c r="F55" s="57" t="s">
        <v>125</v>
      </c>
      <c r="G55" s="57" t="s">
        <v>126</v>
      </c>
      <c r="H55" s="57" t="s">
        <v>127</v>
      </c>
      <c r="I55" s="57" t="s">
        <v>128</v>
      </c>
      <c r="J55" s="57" t="s">
        <v>129</v>
      </c>
      <c r="K55" s="57" t="s">
        <v>130</v>
      </c>
      <c r="L55" s="57" t="s">
        <v>131</v>
      </c>
      <c r="M55" s="57" t="s">
        <v>132</v>
      </c>
      <c r="N55" s="107"/>
      <c r="O55" s="107"/>
      <c r="P55" s="18"/>
    </row>
    <row r="56">
      <c r="B56" s="102" t="s">
        <v>170</v>
      </c>
      <c r="C56" s="103"/>
      <c r="D56" s="104"/>
      <c r="E56" s="105">
        <v>0.0</v>
      </c>
      <c r="F56" s="105"/>
      <c r="G56" s="105"/>
      <c r="H56" s="105"/>
      <c r="I56" s="105"/>
      <c r="J56" s="105"/>
      <c r="K56" s="105"/>
      <c r="L56" s="105"/>
      <c r="M56" s="105"/>
      <c r="N56" s="27"/>
      <c r="O56" s="27"/>
    </row>
    <row r="57">
      <c r="B57" s="102" t="s">
        <v>171</v>
      </c>
      <c r="C57" s="103"/>
      <c r="D57" s="106">
        <f>+D53</f>
        <v>1557.38</v>
      </c>
      <c r="E57" s="106">
        <v>1572.02</v>
      </c>
      <c r="F57" s="106">
        <f t="shared" ref="F57:M57" si="22">+F53</f>
        <v>3138.81</v>
      </c>
      <c r="G57" s="106">
        <f t="shared" si="22"/>
        <v>2782.9</v>
      </c>
      <c r="H57" s="106">
        <f t="shared" si="22"/>
        <v>1049.51</v>
      </c>
      <c r="I57" s="106">
        <f t="shared" si="22"/>
        <v>11741.05</v>
      </c>
      <c r="J57" s="106">
        <f t="shared" si="22"/>
        <v>1723.39</v>
      </c>
      <c r="K57" s="106">
        <f t="shared" si="22"/>
        <v>2194.5</v>
      </c>
      <c r="L57" s="106">
        <f t="shared" si="22"/>
        <v>2421.51</v>
      </c>
      <c r="M57" s="106">
        <f t="shared" si="22"/>
        <v>2272.28</v>
      </c>
      <c r="N57" s="27"/>
      <c r="O57" s="27"/>
    </row>
    <row r="58">
      <c r="B58" s="67" t="s">
        <v>173</v>
      </c>
      <c r="C58" s="68"/>
      <c r="D58" s="95">
        <f t="shared" ref="D58:M58" si="23">SUM(D56:D57)</f>
        <v>1557.38</v>
      </c>
      <c r="E58" s="95">
        <f t="shared" si="23"/>
        <v>1572.02</v>
      </c>
      <c r="F58" s="95">
        <f t="shared" si="23"/>
        <v>3138.81</v>
      </c>
      <c r="G58" s="95">
        <f t="shared" si="23"/>
        <v>2782.9</v>
      </c>
      <c r="H58" s="95">
        <f t="shared" si="23"/>
        <v>1049.51</v>
      </c>
      <c r="I58" s="95">
        <f t="shared" si="23"/>
        <v>11741.05</v>
      </c>
      <c r="J58" s="95">
        <f t="shared" si="23"/>
        <v>1723.39</v>
      </c>
      <c r="K58" s="95">
        <f t="shared" si="23"/>
        <v>2194.5</v>
      </c>
      <c r="L58" s="95">
        <f t="shared" si="23"/>
        <v>2421.51</v>
      </c>
      <c r="M58" s="95">
        <f t="shared" si="23"/>
        <v>2272.28</v>
      </c>
      <c r="N58" s="27"/>
      <c r="O58" s="27"/>
    </row>
    <row r="59">
      <c r="D59" s="362"/>
      <c r="E59" s="362"/>
      <c r="N59" s="27"/>
      <c r="O59" s="27"/>
    </row>
    <row r="60">
      <c r="I60" s="18">
        <v>1239.94</v>
      </c>
      <c r="N60" s="27"/>
      <c r="O60" s="27"/>
    </row>
    <row r="61">
      <c r="N61" s="27"/>
      <c r="O61" s="27"/>
    </row>
    <row r="62">
      <c r="N62" s="27"/>
      <c r="O62" s="27"/>
    </row>
    <row r="63">
      <c r="N63" s="27"/>
      <c r="O63" s="27"/>
    </row>
    <row r="64">
      <c r="N64" s="27"/>
      <c r="O64" s="27"/>
    </row>
    <row r="65">
      <c r="N65" s="27"/>
      <c r="O65" s="27"/>
    </row>
    <row r="66">
      <c r="N66" s="27"/>
      <c r="O66" s="27"/>
    </row>
    <row r="67">
      <c r="N67" s="27"/>
      <c r="O67" s="27"/>
    </row>
    <row r="68">
      <c r="N68" s="27"/>
      <c r="O68" s="27"/>
    </row>
    <row r="69">
      <c r="N69" s="27"/>
      <c r="O69" s="27"/>
    </row>
    <row r="70">
      <c r="N70" s="27"/>
      <c r="O70" s="27"/>
    </row>
    <row r="71">
      <c r="N71" s="27"/>
      <c r="O71" s="27"/>
    </row>
    <row r="72">
      <c r="N72" s="27"/>
      <c r="O72" s="27"/>
    </row>
    <row r="73">
      <c r="N73" s="27"/>
      <c r="O73" s="27"/>
    </row>
    <row r="74">
      <c r="N74" s="27"/>
      <c r="O74" s="27"/>
    </row>
    <row r="75">
      <c r="N75" s="27"/>
      <c r="O75" s="27"/>
    </row>
    <row r="76">
      <c r="N76" s="27"/>
      <c r="O76" s="27"/>
    </row>
    <row r="77">
      <c r="N77" s="27"/>
      <c r="O77" s="27"/>
    </row>
    <row r="78">
      <c r="N78" s="27"/>
      <c r="O78" s="27"/>
    </row>
    <row r="79">
      <c r="N79" s="27"/>
      <c r="O79" s="27"/>
    </row>
    <row r="80">
      <c r="N80" s="27"/>
      <c r="O80" s="27"/>
    </row>
    <row r="81">
      <c r="N81" s="27"/>
      <c r="O81" s="27"/>
    </row>
    <row r="82">
      <c r="N82" s="27"/>
      <c r="O82" s="27"/>
    </row>
    <row r="83">
      <c r="N83" s="27"/>
      <c r="O83" s="27"/>
    </row>
    <row r="84">
      <c r="N84" s="27"/>
      <c r="O84" s="27"/>
    </row>
    <row r="85">
      <c r="N85" s="27"/>
      <c r="O85" s="27"/>
    </row>
    <row r="86">
      <c r="N86" s="27"/>
      <c r="O86" s="27"/>
    </row>
    <row r="87">
      <c r="N87" s="27"/>
      <c r="O87" s="27"/>
    </row>
    <row r="88">
      <c r="N88" s="27"/>
      <c r="O88" s="27"/>
    </row>
    <row r="89">
      <c r="N89" s="27"/>
      <c r="O89" s="27"/>
    </row>
    <row r="90">
      <c r="N90" s="27"/>
      <c r="O90" s="27"/>
    </row>
    <row r="91">
      <c r="N91" s="27"/>
      <c r="O91" s="27"/>
    </row>
    <row r="92">
      <c r="N92" s="27"/>
      <c r="O92" s="27"/>
    </row>
    <row r="93">
      <c r="N93" s="27"/>
      <c r="O93" s="27"/>
    </row>
    <row r="94">
      <c r="N94" s="27"/>
      <c r="O94" s="27"/>
    </row>
    <row r="95">
      <c r="N95" s="27"/>
      <c r="O95" s="27"/>
    </row>
    <row r="96">
      <c r="N96" s="27"/>
      <c r="O96" s="27"/>
    </row>
    <row r="97">
      <c r="N97" s="27"/>
      <c r="O97" s="27"/>
    </row>
    <row r="98">
      <c r="N98" s="27"/>
      <c r="O98" s="27"/>
    </row>
    <row r="99">
      <c r="N99" s="27"/>
      <c r="O99" s="27"/>
    </row>
    <row r="100">
      <c r="N100" s="27"/>
      <c r="O100" s="27"/>
    </row>
    <row r="101">
      <c r="N101" s="27"/>
      <c r="O101" s="27"/>
    </row>
    <row r="102">
      <c r="N102" s="27"/>
      <c r="O102" s="27"/>
    </row>
    <row r="103">
      <c r="N103" s="27"/>
      <c r="O103" s="27"/>
    </row>
    <row r="104">
      <c r="N104" s="27"/>
      <c r="O104" s="27"/>
    </row>
    <row r="105">
      <c r="N105" s="27"/>
      <c r="O105" s="27"/>
    </row>
    <row r="106">
      <c r="N106" s="27"/>
      <c r="O106" s="27"/>
    </row>
    <row r="107">
      <c r="N107" s="27"/>
      <c r="O107" s="27"/>
    </row>
    <row r="108">
      <c r="N108" s="27"/>
      <c r="O108" s="27"/>
    </row>
    <row r="109">
      <c r="N109" s="27"/>
      <c r="O109" s="27"/>
    </row>
    <row r="110">
      <c r="N110" s="27"/>
      <c r="O110" s="27"/>
    </row>
    <row r="111">
      <c r="N111" s="27"/>
      <c r="O111" s="27"/>
    </row>
    <row r="112">
      <c r="N112" s="27"/>
      <c r="O112" s="27"/>
    </row>
    <row r="113">
      <c r="N113" s="27"/>
      <c r="O113" s="27"/>
    </row>
    <row r="114">
      <c r="N114" s="27"/>
      <c r="O114" s="27"/>
    </row>
    <row r="115">
      <c r="N115" s="27"/>
      <c r="O115" s="27"/>
    </row>
    <row r="116">
      <c r="N116" s="27"/>
      <c r="O116" s="27"/>
    </row>
    <row r="117">
      <c r="N117" s="27"/>
      <c r="O117" s="27"/>
    </row>
    <row r="118">
      <c r="N118" s="27"/>
      <c r="O118" s="27"/>
    </row>
    <row r="119">
      <c r="N119" s="27"/>
      <c r="O119" s="27"/>
    </row>
    <row r="120">
      <c r="N120" s="27"/>
      <c r="O120" s="27"/>
    </row>
    <row r="121">
      <c r="N121" s="27"/>
      <c r="O121" s="27"/>
    </row>
    <row r="122">
      <c r="N122" s="27"/>
      <c r="O122" s="27"/>
    </row>
    <row r="123">
      <c r="N123" s="27"/>
      <c r="O123" s="27"/>
    </row>
    <row r="124">
      <c r="N124" s="27"/>
      <c r="O124" s="27"/>
    </row>
    <row r="125">
      <c r="N125" s="27"/>
      <c r="O125" s="27"/>
    </row>
    <row r="126">
      <c r="N126" s="27"/>
      <c r="O126" s="27"/>
    </row>
    <row r="127">
      <c r="N127" s="27"/>
      <c r="O127" s="27"/>
    </row>
    <row r="128">
      <c r="N128" s="27"/>
      <c r="O128" s="27"/>
    </row>
    <row r="129">
      <c r="N129" s="27"/>
      <c r="O129" s="27"/>
    </row>
    <row r="130">
      <c r="N130" s="27"/>
      <c r="O130" s="27"/>
    </row>
    <row r="131">
      <c r="N131" s="27"/>
      <c r="O131" s="27"/>
    </row>
    <row r="132">
      <c r="N132" s="27"/>
      <c r="O132" s="27"/>
    </row>
    <row r="133">
      <c r="N133" s="27"/>
      <c r="O133" s="27"/>
    </row>
    <row r="134">
      <c r="N134" s="27"/>
      <c r="O134" s="27"/>
    </row>
    <row r="135">
      <c r="N135" s="27"/>
      <c r="O135" s="27"/>
    </row>
    <row r="136">
      <c r="N136" s="27"/>
      <c r="O136" s="27"/>
    </row>
    <row r="137">
      <c r="N137" s="27"/>
      <c r="O137" s="27"/>
    </row>
    <row r="138">
      <c r="N138" s="27"/>
      <c r="O138" s="27"/>
    </row>
    <row r="139">
      <c r="N139" s="27"/>
      <c r="O139" s="27"/>
    </row>
    <row r="140">
      <c r="N140" s="27"/>
      <c r="O140" s="27"/>
    </row>
    <row r="141">
      <c r="N141" s="27"/>
      <c r="O141" s="27"/>
    </row>
    <row r="142">
      <c r="N142" s="27"/>
      <c r="O142" s="27"/>
    </row>
    <row r="143">
      <c r="N143" s="27"/>
      <c r="O143" s="27"/>
    </row>
    <row r="144">
      <c r="N144" s="27"/>
      <c r="O144" s="27"/>
    </row>
    <row r="145">
      <c r="N145" s="27"/>
      <c r="O145" s="27"/>
    </row>
    <row r="146">
      <c r="N146" s="27"/>
      <c r="O146" s="27"/>
    </row>
    <row r="147">
      <c r="N147" s="27"/>
      <c r="O147" s="27"/>
    </row>
    <row r="148">
      <c r="N148" s="27"/>
      <c r="O148" s="27"/>
    </row>
    <row r="149">
      <c r="N149" s="27"/>
      <c r="O149" s="27"/>
    </row>
    <row r="150">
      <c r="N150" s="27"/>
      <c r="O150" s="27"/>
    </row>
    <row r="151">
      <c r="N151" s="27"/>
      <c r="O151" s="27"/>
    </row>
    <row r="152">
      <c r="N152" s="27"/>
      <c r="O152" s="27"/>
    </row>
    <row r="153">
      <c r="N153" s="27"/>
      <c r="O153" s="27"/>
    </row>
    <row r="154">
      <c r="N154" s="27"/>
      <c r="O154" s="27"/>
    </row>
    <row r="155">
      <c r="N155" s="27"/>
      <c r="O155" s="27"/>
    </row>
    <row r="156">
      <c r="N156" s="27"/>
      <c r="O156" s="27"/>
    </row>
    <row r="157">
      <c r="N157" s="27"/>
      <c r="O157" s="27"/>
    </row>
    <row r="158">
      <c r="N158" s="27"/>
      <c r="O158" s="27"/>
    </row>
    <row r="159">
      <c r="N159" s="27"/>
      <c r="O159" s="27"/>
    </row>
    <row r="160">
      <c r="N160" s="27"/>
      <c r="O160" s="27"/>
    </row>
    <row r="161">
      <c r="N161" s="27"/>
      <c r="O161" s="27"/>
    </row>
    <row r="162">
      <c r="N162" s="27"/>
      <c r="O162" s="27"/>
    </row>
    <row r="163">
      <c r="N163" s="27"/>
      <c r="O163" s="27"/>
    </row>
    <row r="164">
      <c r="N164" s="27"/>
      <c r="O164" s="27"/>
    </row>
    <row r="165">
      <c r="N165" s="27"/>
      <c r="O165" s="27"/>
    </row>
    <row r="166">
      <c r="N166" s="27"/>
      <c r="O166" s="27"/>
    </row>
    <row r="167">
      <c r="N167" s="27"/>
      <c r="O167" s="27"/>
    </row>
    <row r="168">
      <c r="N168" s="27"/>
      <c r="O168" s="27"/>
    </row>
    <row r="169">
      <c r="N169" s="27"/>
      <c r="O169" s="27"/>
    </row>
    <row r="170">
      <c r="N170" s="27"/>
      <c r="O170" s="27"/>
    </row>
    <row r="171">
      <c r="N171" s="27"/>
      <c r="O171" s="27"/>
    </row>
    <row r="172">
      <c r="N172" s="27"/>
      <c r="O172" s="27"/>
    </row>
    <row r="173">
      <c r="N173" s="27"/>
      <c r="O173" s="27"/>
    </row>
    <row r="174">
      <c r="N174" s="27"/>
      <c r="O174" s="27"/>
    </row>
    <row r="175">
      <c r="N175" s="27"/>
      <c r="O175" s="27"/>
    </row>
    <row r="176">
      <c r="N176" s="27"/>
      <c r="O176" s="27"/>
    </row>
    <row r="177">
      <c r="N177" s="27"/>
      <c r="O177" s="27"/>
    </row>
    <row r="178">
      <c r="N178" s="27"/>
      <c r="O178" s="27"/>
    </row>
    <row r="179">
      <c r="N179" s="27"/>
      <c r="O179" s="27"/>
    </row>
    <row r="180">
      <c r="N180" s="27"/>
      <c r="O180" s="27"/>
    </row>
    <row r="181">
      <c r="N181" s="27"/>
      <c r="O181" s="27"/>
    </row>
    <row r="182">
      <c r="N182" s="27"/>
      <c r="O182" s="27"/>
    </row>
    <row r="183">
      <c r="N183" s="27"/>
      <c r="O183" s="27"/>
    </row>
    <row r="184">
      <c r="N184" s="27"/>
      <c r="O184" s="27"/>
    </row>
    <row r="185">
      <c r="N185" s="27"/>
      <c r="O185" s="27"/>
    </row>
    <row r="186">
      <c r="N186" s="27"/>
      <c r="O186" s="27"/>
    </row>
    <row r="187">
      <c r="N187" s="27"/>
      <c r="O187" s="27"/>
    </row>
    <row r="188">
      <c r="N188" s="27"/>
      <c r="O188" s="27"/>
    </row>
    <row r="189">
      <c r="N189" s="27"/>
      <c r="O189" s="27"/>
    </row>
    <row r="190">
      <c r="N190" s="27"/>
      <c r="O190" s="27"/>
    </row>
    <row r="191">
      <c r="N191" s="27"/>
      <c r="O191" s="27"/>
    </row>
    <row r="192">
      <c r="N192" s="27"/>
      <c r="O192" s="27"/>
    </row>
    <row r="193">
      <c r="N193" s="27"/>
      <c r="O193" s="27"/>
    </row>
    <row r="194">
      <c r="N194" s="27"/>
      <c r="O194" s="27"/>
    </row>
    <row r="195">
      <c r="N195" s="27"/>
      <c r="O195" s="27"/>
    </row>
    <row r="196">
      <c r="N196" s="27"/>
      <c r="O196" s="27"/>
    </row>
    <row r="197">
      <c r="N197" s="27"/>
      <c r="O197" s="27"/>
    </row>
    <row r="198">
      <c r="N198" s="27"/>
      <c r="O198" s="27"/>
    </row>
    <row r="199">
      <c r="N199" s="27"/>
      <c r="O199" s="27"/>
    </row>
    <row r="200">
      <c r="N200" s="27"/>
      <c r="O200" s="27"/>
    </row>
    <row r="201">
      <c r="N201" s="27"/>
      <c r="O201" s="27"/>
    </row>
    <row r="202">
      <c r="N202" s="27"/>
      <c r="O202" s="27"/>
    </row>
    <row r="203">
      <c r="N203" s="27"/>
      <c r="O203" s="27"/>
    </row>
    <row r="204">
      <c r="N204" s="27"/>
      <c r="O204" s="27"/>
    </row>
    <row r="205">
      <c r="N205" s="27"/>
      <c r="O205" s="27"/>
    </row>
    <row r="206">
      <c r="N206" s="27"/>
      <c r="O206" s="27"/>
    </row>
    <row r="207">
      <c r="N207" s="27"/>
      <c r="O207" s="27"/>
    </row>
    <row r="208">
      <c r="N208" s="27"/>
      <c r="O208" s="27"/>
    </row>
    <row r="209">
      <c r="N209" s="27"/>
      <c r="O209" s="27"/>
    </row>
    <row r="210">
      <c r="N210" s="27"/>
      <c r="O210" s="27"/>
    </row>
    <row r="211">
      <c r="N211" s="27"/>
      <c r="O211" s="27"/>
    </row>
    <row r="212">
      <c r="N212" s="27"/>
      <c r="O212" s="27"/>
    </row>
    <row r="213">
      <c r="N213" s="27"/>
      <c r="O213" s="27"/>
    </row>
    <row r="214">
      <c r="N214" s="27"/>
      <c r="O214" s="27"/>
    </row>
    <row r="215">
      <c r="N215" s="27"/>
      <c r="O215" s="27"/>
    </row>
    <row r="216">
      <c r="N216" s="27"/>
      <c r="O216" s="27"/>
    </row>
    <row r="217">
      <c r="N217" s="27"/>
      <c r="O217" s="27"/>
    </row>
    <row r="218">
      <c r="N218" s="27"/>
      <c r="O218" s="27"/>
    </row>
    <row r="219">
      <c r="N219" s="27"/>
      <c r="O219" s="27"/>
    </row>
    <row r="220">
      <c r="N220" s="27"/>
      <c r="O220" s="27"/>
    </row>
    <row r="221">
      <c r="N221" s="27"/>
      <c r="O221" s="27"/>
    </row>
    <row r="222">
      <c r="N222" s="27"/>
      <c r="O222" s="27"/>
    </row>
    <row r="223">
      <c r="N223" s="27"/>
      <c r="O223" s="27"/>
    </row>
    <row r="224">
      <c r="N224" s="27"/>
      <c r="O224" s="27"/>
    </row>
    <row r="225">
      <c r="N225" s="27"/>
      <c r="O225" s="27"/>
    </row>
    <row r="226">
      <c r="N226" s="27"/>
      <c r="O226" s="27"/>
    </row>
    <row r="227">
      <c r="N227" s="27"/>
      <c r="O227" s="27"/>
    </row>
    <row r="228">
      <c r="N228" s="27"/>
      <c r="O228" s="27"/>
    </row>
    <row r="229">
      <c r="N229" s="27"/>
      <c r="O229" s="27"/>
    </row>
    <row r="230">
      <c r="N230" s="27"/>
      <c r="O230" s="27"/>
    </row>
    <row r="231">
      <c r="N231" s="27"/>
      <c r="O231" s="27"/>
    </row>
    <row r="232">
      <c r="N232" s="27"/>
      <c r="O232" s="27"/>
    </row>
    <row r="233">
      <c r="N233" s="27"/>
      <c r="O233" s="27"/>
    </row>
    <row r="234">
      <c r="N234" s="27"/>
      <c r="O234" s="27"/>
    </row>
    <row r="235">
      <c r="N235" s="27"/>
      <c r="O235" s="27"/>
    </row>
    <row r="236">
      <c r="N236" s="27"/>
      <c r="O236" s="27"/>
    </row>
    <row r="237">
      <c r="N237" s="27"/>
      <c r="O237" s="27"/>
    </row>
    <row r="238">
      <c r="N238" s="27"/>
      <c r="O238" s="27"/>
    </row>
    <row r="239">
      <c r="N239" s="27"/>
      <c r="O239" s="27"/>
    </row>
    <row r="240">
      <c r="N240" s="27"/>
      <c r="O240" s="27"/>
    </row>
    <row r="241">
      <c r="N241" s="27"/>
      <c r="O241" s="27"/>
    </row>
    <row r="242">
      <c r="N242" s="27"/>
      <c r="O242" s="27"/>
    </row>
    <row r="243">
      <c r="N243" s="27"/>
      <c r="O243" s="27"/>
    </row>
    <row r="244">
      <c r="N244" s="27"/>
      <c r="O244" s="27"/>
    </row>
    <row r="245">
      <c r="N245" s="27"/>
      <c r="O245" s="27"/>
    </row>
    <row r="246">
      <c r="N246" s="27"/>
      <c r="O246" s="27"/>
    </row>
    <row r="247">
      <c r="N247" s="27"/>
      <c r="O247" s="27"/>
    </row>
    <row r="248">
      <c r="N248" s="27"/>
      <c r="O248" s="27"/>
    </row>
    <row r="249">
      <c r="N249" s="27"/>
      <c r="O249" s="27"/>
    </row>
    <row r="250">
      <c r="N250" s="27"/>
      <c r="O250" s="27"/>
    </row>
    <row r="251">
      <c r="N251" s="27"/>
      <c r="O251" s="27"/>
    </row>
    <row r="252">
      <c r="N252" s="27"/>
      <c r="O252" s="27"/>
    </row>
    <row r="253">
      <c r="N253" s="27"/>
      <c r="O253" s="27"/>
    </row>
    <row r="254">
      <c r="N254" s="27"/>
      <c r="O254" s="27"/>
    </row>
    <row r="255">
      <c r="N255" s="27"/>
      <c r="O255" s="27"/>
    </row>
    <row r="256">
      <c r="N256" s="27"/>
      <c r="O256" s="27"/>
    </row>
    <row r="257">
      <c r="N257" s="27"/>
      <c r="O257" s="27"/>
    </row>
    <row r="258">
      <c r="N258" s="27"/>
      <c r="O258" s="27"/>
    </row>
    <row r="259">
      <c r="N259" s="27"/>
      <c r="O259" s="27"/>
    </row>
    <row r="260">
      <c r="N260" s="27"/>
      <c r="O260" s="27"/>
    </row>
    <row r="261">
      <c r="N261" s="27"/>
      <c r="O261" s="27"/>
    </row>
    <row r="262">
      <c r="N262" s="27"/>
      <c r="O262" s="27"/>
    </row>
    <row r="263">
      <c r="N263" s="27"/>
      <c r="O263" s="27"/>
    </row>
    <row r="264">
      <c r="N264" s="27"/>
      <c r="O264" s="27"/>
    </row>
    <row r="265">
      <c r="N265" s="27"/>
      <c r="O265" s="27"/>
    </row>
    <row r="266">
      <c r="N266" s="27"/>
      <c r="O266" s="27"/>
    </row>
    <row r="267">
      <c r="N267" s="27"/>
      <c r="O267" s="27"/>
    </row>
    <row r="268">
      <c r="N268" s="27"/>
      <c r="O268" s="27"/>
    </row>
    <row r="269">
      <c r="N269" s="27"/>
      <c r="O269" s="27"/>
    </row>
    <row r="270">
      <c r="N270" s="27"/>
      <c r="O270" s="27"/>
    </row>
    <row r="271">
      <c r="N271" s="27"/>
      <c r="O271" s="27"/>
    </row>
    <row r="272">
      <c r="N272" s="27"/>
      <c r="O272" s="27"/>
    </row>
    <row r="273">
      <c r="N273" s="27"/>
      <c r="O273" s="27"/>
    </row>
    <row r="274">
      <c r="N274" s="27"/>
      <c r="O274" s="27"/>
    </row>
    <row r="275">
      <c r="N275" s="27"/>
      <c r="O275" s="27"/>
    </row>
    <row r="276">
      <c r="N276" s="27"/>
      <c r="O276" s="27"/>
    </row>
    <row r="277">
      <c r="N277" s="27"/>
      <c r="O277" s="27"/>
    </row>
    <row r="278">
      <c r="N278" s="27"/>
      <c r="O278" s="27"/>
    </row>
    <row r="279">
      <c r="N279" s="27"/>
      <c r="O279" s="27"/>
    </row>
    <row r="280">
      <c r="N280" s="27"/>
      <c r="O280" s="27"/>
    </row>
    <row r="281">
      <c r="N281" s="27"/>
      <c r="O281" s="27"/>
    </row>
    <row r="282">
      <c r="N282" s="27"/>
      <c r="O282" s="27"/>
    </row>
    <row r="283">
      <c r="N283" s="27"/>
      <c r="O283" s="27"/>
    </row>
    <row r="284">
      <c r="N284" s="27"/>
      <c r="O284" s="27"/>
    </row>
    <row r="285">
      <c r="N285" s="27"/>
      <c r="O285" s="27"/>
    </row>
    <row r="286">
      <c r="N286" s="27"/>
      <c r="O286" s="27"/>
    </row>
    <row r="287">
      <c r="N287" s="27"/>
      <c r="O287" s="27"/>
    </row>
    <row r="288">
      <c r="N288" s="27"/>
      <c r="O288" s="27"/>
    </row>
    <row r="289">
      <c r="N289" s="27"/>
      <c r="O289" s="27"/>
    </row>
    <row r="290">
      <c r="N290" s="27"/>
      <c r="O290" s="27"/>
    </row>
    <row r="291">
      <c r="N291" s="27"/>
      <c r="O291" s="27"/>
    </row>
    <row r="292">
      <c r="N292" s="27"/>
      <c r="O292" s="27"/>
    </row>
    <row r="293">
      <c r="N293" s="27"/>
      <c r="O293" s="27"/>
    </row>
    <row r="294">
      <c r="N294" s="27"/>
      <c r="O294" s="27"/>
    </row>
    <row r="295">
      <c r="N295" s="27"/>
      <c r="O295" s="27"/>
    </row>
    <row r="296">
      <c r="N296" s="27"/>
      <c r="O296" s="27"/>
    </row>
    <row r="297">
      <c r="N297" s="27"/>
      <c r="O297" s="27"/>
    </row>
    <row r="298">
      <c r="N298" s="27"/>
      <c r="O298" s="27"/>
    </row>
    <row r="299">
      <c r="N299" s="27"/>
      <c r="O299" s="27"/>
    </row>
    <row r="300">
      <c r="N300" s="27"/>
      <c r="O300" s="27"/>
    </row>
    <row r="301">
      <c r="N301" s="27"/>
      <c r="O301" s="27"/>
    </row>
    <row r="302">
      <c r="N302" s="27"/>
      <c r="O302" s="27"/>
    </row>
    <row r="303">
      <c r="N303" s="27"/>
      <c r="O303" s="27"/>
    </row>
    <row r="304">
      <c r="N304" s="27"/>
      <c r="O304" s="27"/>
    </row>
    <row r="305">
      <c r="N305" s="27"/>
      <c r="O305" s="27"/>
    </row>
    <row r="306">
      <c r="N306" s="27"/>
      <c r="O306" s="27"/>
    </row>
    <row r="307">
      <c r="N307" s="27"/>
      <c r="O307" s="27"/>
    </row>
    <row r="308">
      <c r="N308" s="27"/>
      <c r="O308" s="27"/>
    </row>
    <row r="309">
      <c r="N309" s="27"/>
      <c r="O309" s="27"/>
    </row>
    <row r="310">
      <c r="N310" s="27"/>
      <c r="O310" s="27"/>
    </row>
    <row r="311">
      <c r="N311" s="27"/>
      <c r="O311" s="27"/>
    </row>
    <row r="312">
      <c r="N312" s="27"/>
      <c r="O312" s="27"/>
    </row>
    <row r="313">
      <c r="N313" s="27"/>
      <c r="O313" s="27"/>
    </row>
    <row r="314">
      <c r="N314" s="27"/>
      <c r="O314" s="27"/>
    </row>
    <row r="315">
      <c r="N315" s="27"/>
      <c r="O315" s="27"/>
    </row>
    <row r="316">
      <c r="N316" s="27"/>
      <c r="O316" s="27"/>
    </row>
    <row r="317">
      <c r="N317" s="27"/>
      <c r="O317" s="27"/>
    </row>
    <row r="318">
      <c r="N318" s="27"/>
      <c r="O318" s="27"/>
    </row>
    <row r="319">
      <c r="N319" s="27"/>
      <c r="O319" s="27"/>
    </row>
    <row r="320">
      <c r="N320" s="27"/>
      <c r="O320" s="27"/>
    </row>
    <row r="321">
      <c r="N321" s="27"/>
      <c r="O321" s="27"/>
    </row>
    <row r="322">
      <c r="N322" s="27"/>
      <c r="O322" s="27"/>
    </row>
    <row r="323">
      <c r="N323" s="27"/>
      <c r="O323" s="27"/>
    </row>
    <row r="324">
      <c r="N324" s="27"/>
      <c r="O324" s="27"/>
    </row>
    <row r="325">
      <c r="N325" s="27"/>
      <c r="O325" s="27"/>
    </row>
    <row r="326">
      <c r="N326" s="27"/>
      <c r="O326" s="27"/>
    </row>
    <row r="327">
      <c r="N327" s="27"/>
      <c r="O327" s="27"/>
    </row>
    <row r="328">
      <c r="N328" s="27"/>
      <c r="O328" s="27"/>
    </row>
    <row r="329">
      <c r="N329" s="27"/>
      <c r="O329" s="27"/>
    </row>
    <row r="330">
      <c r="N330" s="27"/>
      <c r="O330" s="27"/>
    </row>
    <row r="331">
      <c r="N331" s="27"/>
      <c r="O331" s="27"/>
    </row>
    <row r="332">
      <c r="N332" s="27"/>
      <c r="O332" s="27"/>
    </row>
    <row r="333">
      <c r="N333" s="27"/>
      <c r="O333" s="27"/>
    </row>
    <row r="334">
      <c r="N334" s="27"/>
      <c r="O334" s="27"/>
    </row>
    <row r="335">
      <c r="N335" s="27"/>
      <c r="O335" s="27"/>
    </row>
    <row r="336">
      <c r="N336" s="27"/>
      <c r="O336" s="27"/>
    </row>
    <row r="337">
      <c r="N337" s="27"/>
      <c r="O337" s="27"/>
    </row>
    <row r="338">
      <c r="N338" s="27"/>
      <c r="O338" s="27"/>
    </row>
    <row r="339">
      <c r="N339" s="27"/>
      <c r="O339" s="27"/>
    </row>
    <row r="340">
      <c r="N340" s="27"/>
      <c r="O340" s="27"/>
    </row>
    <row r="341">
      <c r="N341" s="27"/>
      <c r="O341" s="27"/>
    </row>
    <row r="342">
      <c r="N342" s="27"/>
      <c r="O342" s="27"/>
    </row>
    <row r="343">
      <c r="N343" s="27"/>
      <c r="O343" s="27"/>
    </row>
    <row r="344">
      <c r="N344" s="27"/>
      <c r="O344" s="27"/>
    </row>
    <row r="345">
      <c r="N345" s="27"/>
      <c r="O345" s="27"/>
    </row>
    <row r="346">
      <c r="N346" s="27"/>
      <c r="O346" s="27"/>
    </row>
    <row r="347">
      <c r="N347" s="27"/>
      <c r="O347" s="27"/>
    </row>
    <row r="348">
      <c r="N348" s="27"/>
      <c r="O348" s="27"/>
    </row>
    <row r="349">
      <c r="N349" s="27"/>
      <c r="O349" s="27"/>
    </row>
    <row r="350">
      <c r="N350" s="27"/>
      <c r="O350" s="27"/>
    </row>
    <row r="351">
      <c r="N351" s="27"/>
      <c r="O351" s="27"/>
    </row>
    <row r="352">
      <c r="N352" s="27"/>
      <c r="O352" s="27"/>
    </row>
    <row r="353">
      <c r="N353" s="27"/>
      <c r="O353" s="27"/>
    </row>
    <row r="354">
      <c r="N354" s="27"/>
      <c r="O354" s="27"/>
    </row>
    <row r="355">
      <c r="N355" s="27"/>
      <c r="O355" s="27"/>
    </row>
    <row r="356">
      <c r="N356" s="27"/>
      <c r="O356" s="27"/>
    </row>
    <row r="357">
      <c r="N357" s="27"/>
      <c r="O357" s="27"/>
    </row>
    <row r="358">
      <c r="N358" s="27"/>
      <c r="O358" s="27"/>
    </row>
    <row r="359">
      <c r="N359" s="27"/>
      <c r="O359" s="27"/>
    </row>
    <row r="360">
      <c r="N360" s="27"/>
      <c r="O360" s="27"/>
    </row>
    <row r="361">
      <c r="N361" s="27"/>
      <c r="O361" s="27"/>
    </row>
    <row r="362">
      <c r="N362" s="27"/>
      <c r="O362" s="27"/>
    </row>
    <row r="363">
      <c r="N363" s="27"/>
      <c r="O363" s="27"/>
    </row>
    <row r="364">
      <c r="N364" s="27"/>
      <c r="O364" s="27"/>
    </row>
    <row r="365">
      <c r="N365" s="27"/>
      <c r="O365" s="27"/>
    </row>
    <row r="366">
      <c r="N366" s="27"/>
      <c r="O366" s="27"/>
    </row>
    <row r="367">
      <c r="N367" s="27"/>
      <c r="O367" s="27"/>
    </row>
    <row r="368">
      <c r="N368" s="27"/>
      <c r="O368" s="27"/>
    </row>
    <row r="369">
      <c r="N369" s="27"/>
      <c r="O369" s="27"/>
    </row>
    <row r="370">
      <c r="N370" s="27"/>
      <c r="O370" s="27"/>
    </row>
    <row r="371">
      <c r="N371" s="27"/>
      <c r="O371" s="27"/>
    </row>
    <row r="372">
      <c r="N372" s="27"/>
      <c r="O372" s="27"/>
    </row>
    <row r="373">
      <c r="N373" s="27"/>
      <c r="O373" s="27"/>
    </row>
    <row r="374">
      <c r="N374" s="27"/>
      <c r="O374" s="27"/>
    </row>
    <row r="375">
      <c r="N375" s="27"/>
      <c r="O375" s="27"/>
    </row>
    <row r="376">
      <c r="N376" s="27"/>
      <c r="O376" s="27"/>
    </row>
    <row r="377">
      <c r="N377" s="27"/>
      <c r="O377" s="27"/>
    </row>
    <row r="378">
      <c r="N378" s="27"/>
      <c r="O378" s="27"/>
    </row>
    <row r="379">
      <c r="N379" s="27"/>
      <c r="O379" s="27"/>
    </row>
    <row r="380">
      <c r="N380" s="27"/>
      <c r="O380" s="27"/>
    </row>
    <row r="381">
      <c r="N381" s="27"/>
      <c r="O381" s="27"/>
    </row>
    <row r="382">
      <c r="N382" s="27"/>
      <c r="O382" s="27"/>
    </row>
    <row r="383">
      <c r="N383" s="27"/>
      <c r="O383" s="27"/>
    </row>
    <row r="384">
      <c r="N384" s="27"/>
      <c r="O384" s="27"/>
    </row>
    <row r="385">
      <c r="N385" s="27"/>
      <c r="O385" s="27"/>
    </row>
    <row r="386">
      <c r="N386" s="27"/>
      <c r="O386" s="27"/>
    </row>
    <row r="387">
      <c r="N387" s="27"/>
      <c r="O387" s="27"/>
    </row>
    <row r="388">
      <c r="N388" s="27"/>
      <c r="O388" s="27"/>
    </row>
    <row r="389">
      <c r="N389" s="27"/>
      <c r="O389" s="27"/>
    </row>
    <row r="390">
      <c r="N390" s="27"/>
      <c r="O390" s="27"/>
    </row>
    <row r="391">
      <c r="N391" s="27"/>
      <c r="O391" s="27"/>
    </row>
    <row r="392">
      <c r="N392" s="27"/>
      <c r="O392" s="27"/>
    </row>
    <row r="393">
      <c r="N393" s="27"/>
      <c r="O393" s="27"/>
    </row>
    <row r="394">
      <c r="N394" s="27"/>
      <c r="O394" s="27"/>
    </row>
    <row r="395">
      <c r="N395" s="27"/>
      <c r="O395" s="27"/>
    </row>
    <row r="396">
      <c r="N396" s="27"/>
      <c r="O396" s="27"/>
    </row>
    <row r="397">
      <c r="N397" s="27"/>
      <c r="O397" s="27"/>
    </row>
    <row r="398">
      <c r="N398" s="27"/>
      <c r="O398" s="27"/>
    </row>
    <row r="399">
      <c r="N399" s="27"/>
      <c r="O399" s="27"/>
    </row>
    <row r="400">
      <c r="N400" s="27"/>
      <c r="O400" s="27"/>
    </row>
    <row r="401">
      <c r="N401" s="27"/>
      <c r="O401" s="27"/>
    </row>
    <row r="402">
      <c r="N402" s="27"/>
      <c r="O402" s="27"/>
    </row>
    <row r="403">
      <c r="N403" s="27"/>
      <c r="O403" s="27"/>
    </row>
    <row r="404">
      <c r="N404" s="27"/>
      <c r="O404" s="27"/>
    </row>
    <row r="405">
      <c r="N405" s="27"/>
      <c r="O405" s="27"/>
    </row>
    <row r="406">
      <c r="N406" s="27"/>
      <c r="O406" s="27"/>
    </row>
    <row r="407">
      <c r="N407" s="27"/>
      <c r="O407" s="27"/>
    </row>
    <row r="408">
      <c r="N408" s="27"/>
      <c r="O408" s="27"/>
    </row>
    <row r="409">
      <c r="N409" s="27"/>
      <c r="O409" s="27"/>
    </row>
    <row r="410">
      <c r="N410" s="27"/>
      <c r="O410" s="27"/>
    </row>
    <row r="411">
      <c r="N411" s="27"/>
      <c r="O411" s="27"/>
    </row>
    <row r="412">
      <c r="N412" s="27"/>
      <c r="O412" s="27"/>
    </row>
    <row r="413">
      <c r="N413" s="27"/>
      <c r="O413" s="27"/>
    </row>
    <row r="414">
      <c r="N414" s="27"/>
      <c r="O414" s="27"/>
    </row>
    <row r="415">
      <c r="N415" s="27"/>
      <c r="O415" s="27"/>
    </row>
    <row r="416">
      <c r="N416" s="27"/>
      <c r="O416" s="27"/>
    </row>
    <row r="417">
      <c r="N417" s="27"/>
      <c r="O417" s="27"/>
    </row>
    <row r="418">
      <c r="N418" s="27"/>
      <c r="O418" s="27"/>
    </row>
    <row r="419">
      <c r="N419" s="27"/>
      <c r="O419" s="27"/>
    </row>
    <row r="420">
      <c r="N420" s="27"/>
      <c r="O420" s="27"/>
    </row>
    <row r="421">
      <c r="N421" s="27"/>
      <c r="O421" s="27"/>
    </row>
    <row r="422">
      <c r="N422" s="27"/>
      <c r="O422" s="27"/>
    </row>
    <row r="423">
      <c r="N423" s="27"/>
      <c r="O423" s="27"/>
    </row>
    <row r="424">
      <c r="N424" s="27"/>
      <c r="O424" s="27"/>
    </row>
    <row r="425">
      <c r="N425" s="27"/>
      <c r="O425" s="27"/>
    </row>
    <row r="426">
      <c r="N426" s="27"/>
      <c r="O426" s="27"/>
    </row>
    <row r="427">
      <c r="N427" s="27"/>
      <c r="O427" s="27"/>
    </row>
    <row r="428">
      <c r="N428" s="27"/>
      <c r="O428" s="27"/>
    </row>
    <row r="429">
      <c r="N429" s="27"/>
      <c r="O429" s="27"/>
    </row>
    <row r="430">
      <c r="N430" s="27"/>
      <c r="O430" s="27"/>
    </row>
    <row r="431">
      <c r="N431" s="27"/>
      <c r="O431" s="27"/>
    </row>
    <row r="432">
      <c r="N432" s="27"/>
      <c r="O432" s="27"/>
    </row>
    <row r="433">
      <c r="N433" s="27"/>
      <c r="O433" s="27"/>
    </row>
    <row r="434">
      <c r="N434" s="27"/>
      <c r="O434" s="27"/>
    </row>
    <row r="435">
      <c r="N435" s="27"/>
      <c r="O435" s="27"/>
    </row>
    <row r="436">
      <c r="N436" s="27"/>
      <c r="O436" s="27"/>
    </row>
    <row r="437">
      <c r="N437" s="27"/>
      <c r="O437" s="27"/>
    </row>
    <row r="438">
      <c r="N438" s="27"/>
      <c r="O438" s="27"/>
    </row>
    <row r="439">
      <c r="N439" s="27"/>
      <c r="O439" s="27"/>
    </row>
    <row r="440">
      <c r="N440" s="27"/>
      <c r="O440" s="27"/>
    </row>
    <row r="441">
      <c r="N441" s="27"/>
      <c r="O441" s="27"/>
    </row>
    <row r="442">
      <c r="N442" s="27"/>
      <c r="O442" s="27"/>
    </row>
    <row r="443">
      <c r="N443" s="27"/>
      <c r="O443" s="27"/>
    </row>
    <row r="444">
      <c r="N444" s="27"/>
      <c r="O444" s="27"/>
    </row>
    <row r="445">
      <c r="N445" s="27"/>
      <c r="O445" s="27"/>
    </row>
    <row r="446">
      <c r="N446" s="27"/>
      <c r="O446" s="27"/>
    </row>
    <row r="447">
      <c r="N447" s="27"/>
      <c r="O447" s="27"/>
    </row>
    <row r="448">
      <c r="N448" s="27"/>
      <c r="O448" s="27"/>
    </row>
    <row r="449">
      <c r="N449" s="27"/>
      <c r="O449" s="27"/>
    </row>
    <row r="450">
      <c r="N450" s="27"/>
      <c r="O450" s="27"/>
    </row>
    <row r="451">
      <c r="N451" s="27"/>
      <c r="O451" s="27"/>
    </row>
    <row r="452">
      <c r="N452" s="27"/>
      <c r="O452" s="27"/>
    </row>
    <row r="453">
      <c r="N453" s="27"/>
      <c r="O453" s="27"/>
    </row>
    <row r="454">
      <c r="N454" s="27"/>
      <c r="O454" s="27"/>
    </row>
    <row r="455">
      <c r="N455" s="27"/>
      <c r="O455" s="27"/>
    </row>
    <row r="456">
      <c r="N456" s="27"/>
      <c r="O456" s="27"/>
    </row>
    <row r="457">
      <c r="N457" s="27"/>
      <c r="O457" s="27"/>
    </row>
    <row r="458">
      <c r="N458" s="27"/>
      <c r="O458" s="27"/>
    </row>
    <row r="459">
      <c r="N459" s="27"/>
      <c r="O459" s="27"/>
    </row>
    <row r="460">
      <c r="N460" s="27"/>
      <c r="O460" s="27"/>
    </row>
    <row r="461">
      <c r="N461" s="27"/>
      <c r="O461" s="27"/>
    </row>
    <row r="462">
      <c r="N462" s="27"/>
      <c r="O462" s="27"/>
    </row>
    <row r="463">
      <c r="N463" s="27"/>
      <c r="O463" s="27"/>
    </row>
    <row r="464">
      <c r="N464" s="27"/>
      <c r="O464" s="27"/>
    </row>
    <row r="465">
      <c r="N465" s="27"/>
      <c r="O465" s="27"/>
    </row>
    <row r="466">
      <c r="N466" s="27"/>
      <c r="O466" s="27"/>
    </row>
    <row r="467">
      <c r="N467" s="27"/>
      <c r="O467" s="27"/>
    </row>
    <row r="468">
      <c r="N468" s="27"/>
      <c r="O468" s="27"/>
    </row>
    <row r="469">
      <c r="N469" s="27"/>
      <c r="O469" s="27"/>
    </row>
    <row r="470">
      <c r="N470" s="27"/>
      <c r="O470" s="27"/>
    </row>
    <row r="471">
      <c r="N471" s="27"/>
      <c r="O471" s="27"/>
    </row>
    <row r="472">
      <c r="N472" s="27"/>
      <c r="O472" s="27"/>
    </row>
    <row r="473">
      <c r="N473" s="27"/>
      <c r="O473" s="27"/>
    </row>
    <row r="474">
      <c r="N474" s="27"/>
      <c r="O474" s="27"/>
    </row>
    <row r="475">
      <c r="N475" s="27"/>
      <c r="O475" s="27"/>
    </row>
    <row r="476">
      <c r="N476" s="27"/>
      <c r="O476" s="27"/>
    </row>
    <row r="477">
      <c r="N477" s="27"/>
      <c r="O477" s="27"/>
    </row>
    <row r="478">
      <c r="N478" s="27"/>
      <c r="O478" s="27"/>
    </row>
    <row r="479">
      <c r="N479" s="27"/>
      <c r="O479" s="27"/>
    </row>
    <row r="480">
      <c r="N480" s="27"/>
      <c r="O480" s="27"/>
    </row>
    <row r="481">
      <c r="N481" s="27"/>
      <c r="O481" s="27"/>
    </row>
    <row r="482">
      <c r="N482" s="27"/>
      <c r="O482" s="27"/>
    </row>
    <row r="483">
      <c r="N483" s="27"/>
      <c r="O483" s="27"/>
    </row>
    <row r="484">
      <c r="N484" s="27"/>
      <c r="O484" s="27"/>
    </row>
    <row r="485">
      <c r="N485" s="27"/>
      <c r="O485" s="27"/>
    </row>
    <row r="486">
      <c r="N486" s="27"/>
      <c r="O486" s="27"/>
    </row>
    <row r="487">
      <c r="N487" s="27"/>
      <c r="O487" s="27"/>
    </row>
    <row r="488">
      <c r="N488" s="27"/>
      <c r="O488" s="27"/>
    </row>
    <row r="489">
      <c r="N489" s="27"/>
      <c r="O489" s="27"/>
    </row>
    <row r="490">
      <c r="N490" s="27"/>
      <c r="O490" s="27"/>
    </row>
    <row r="491">
      <c r="N491" s="27"/>
      <c r="O491" s="27"/>
    </row>
    <row r="492">
      <c r="N492" s="27"/>
      <c r="O492" s="27"/>
    </row>
    <row r="493">
      <c r="N493" s="27"/>
      <c r="O493" s="27"/>
    </row>
    <row r="494">
      <c r="N494" s="27"/>
      <c r="O494" s="27"/>
    </row>
    <row r="495">
      <c r="N495" s="27"/>
      <c r="O495" s="27"/>
    </row>
    <row r="496">
      <c r="N496" s="27"/>
      <c r="O496" s="27"/>
    </row>
    <row r="497">
      <c r="N497" s="27"/>
      <c r="O497" s="27"/>
    </row>
    <row r="498">
      <c r="N498" s="27"/>
      <c r="O498" s="27"/>
    </row>
    <row r="499">
      <c r="N499" s="27"/>
      <c r="O499" s="27"/>
    </row>
    <row r="500">
      <c r="N500" s="27"/>
      <c r="O500" s="27"/>
    </row>
    <row r="501">
      <c r="N501" s="27"/>
      <c r="O501" s="27"/>
    </row>
    <row r="502">
      <c r="N502" s="27"/>
      <c r="O502" s="27"/>
    </row>
    <row r="503">
      <c r="N503" s="27"/>
      <c r="O503" s="27"/>
    </row>
    <row r="504">
      <c r="N504" s="27"/>
      <c r="O504" s="27"/>
    </row>
    <row r="505">
      <c r="N505" s="27"/>
      <c r="O505" s="27"/>
    </row>
    <row r="506">
      <c r="N506" s="27"/>
      <c r="O506" s="27"/>
    </row>
    <row r="507">
      <c r="N507" s="27"/>
      <c r="O507" s="27"/>
    </row>
    <row r="508">
      <c r="N508" s="27"/>
      <c r="O508" s="27"/>
    </row>
    <row r="509">
      <c r="N509" s="27"/>
      <c r="O509" s="27"/>
    </row>
    <row r="510">
      <c r="N510" s="27"/>
      <c r="O510" s="27"/>
    </row>
    <row r="511">
      <c r="N511" s="27"/>
      <c r="O511" s="27"/>
    </row>
    <row r="512">
      <c r="N512" s="27"/>
      <c r="O512" s="27"/>
    </row>
    <row r="513">
      <c r="N513" s="27"/>
      <c r="O513" s="27"/>
    </row>
    <row r="514">
      <c r="N514" s="27"/>
      <c r="O514" s="27"/>
    </row>
    <row r="515">
      <c r="N515" s="27"/>
      <c r="O515" s="27"/>
    </row>
    <row r="516">
      <c r="N516" s="27"/>
      <c r="O516" s="27"/>
    </row>
    <row r="517">
      <c r="N517" s="27"/>
      <c r="O517" s="27"/>
    </row>
    <row r="518">
      <c r="N518" s="27"/>
      <c r="O518" s="27"/>
    </row>
    <row r="519">
      <c r="N519" s="27"/>
      <c r="O519" s="27"/>
    </row>
    <row r="520">
      <c r="N520" s="27"/>
      <c r="O520" s="27"/>
    </row>
    <row r="521">
      <c r="N521" s="27"/>
      <c r="O521" s="27"/>
    </row>
    <row r="522">
      <c r="N522" s="27"/>
      <c r="O522" s="27"/>
    </row>
    <row r="523">
      <c r="N523" s="27"/>
      <c r="O523" s="27"/>
    </row>
    <row r="524">
      <c r="N524" s="27"/>
      <c r="O524" s="27"/>
    </row>
    <row r="525">
      <c r="N525" s="27"/>
      <c r="O525" s="27"/>
    </row>
    <row r="526">
      <c r="N526" s="27"/>
      <c r="O526" s="27"/>
    </row>
    <row r="527">
      <c r="N527" s="27"/>
      <c r="O527" s="27"/>
    </row>
    <row r="528">
      <c r="N528" s="27"/>
      <c r="O528" s="27"/>
    </row>
    <row r="529">
      <c r="N529" s="27"/>
      <c r="O529" s="27"/>
    </row>
    <row r="530">
      <c r="N530" s="27"/>
      <c r="O530" s="27"/>
    </row>
    <row r="531">
      <c r="N531" s="27"/>
      <c r="O531" s="27"/>
    </row>
    <row r="532">
      <c r="N532" s="27"/>
      <c r="O532" s="27"/>
    </row>
    <row r="533">
      <c r="N533" s="27"/>
      <c r="O533" s="27"/>
    </row>
    <row r="534">
      <c r="N534" s="27"/>
      <c r="O534" s="27"/>
    </row>
    <row r="535">
      <c r="N535" s="27"/>
      <c r="O535" s="27"/>
    </row>
    <row r="536">
      <c r="N536" s="27"/>
      <c r="O536" s="27"/>
    </row>
    <row r="537">
      <c r="N537" s="27"/>
      <c r="O537" s="27"/>
    </row>
    <row r="538">
      <c r="N538" s="27"/>
      <c r="O538" s="27"/>
    </row>
    <row r="539">
      <c r="N539" s="27"/>
      <c r="O539" s="27"/>
    </row>
    <row r="540">
      <c r="N540" s="27"/>
      <c r="O540" s="27"/>
    </row>
    <row r="541">
      <c r="N541" s="27"/>
      <c r="O541" s="27"/>
    </row>
    <row r="542">
      <c r="N542" s="27"/>
      <c r="O542" s="27"/>
    </row>
    <row r="543">
      <c r="N543" s="27"/>
      <c r="O543" s="27"/>
    </row>
    <row r="544">
      <c r="N544" s="27"/>
      <c r="O544" s="27"/>
    </row>
    <row r="545">
      <c r="N545" s="27"/>
      <c r="O545" s="27"/>
    </row>
    <row r="546">
      <c r="N546" s="27"/>
      <c r="O546" s="27"/>
    </row>
    <row r="547">
      <c r="N547" s="27"/>
      <c r="O547" s="27"/>
    </row>
    <row r="548">
      <c r="N548" s="27"/>
      <c r="O548" s="27"/>
    </row>
    <row r="549">
      <c r="N549" s="27"/>
      <c r="O549" s="27"/>
    </row>
    <row r="550">
      <c r="N550" s="27"/>
      <c r="O550" s="27"/>
    </row>
    <row r="551">
      <c r="N551" s="27"/>
      <c r="O551" s="27"/>
    </row>
    <row r="552">
      <c r="N552" s="27"/>
      <c r="O552" s="27"/>
    </row>
    <row r="553">
      <c r="N553" s="27"/>
      <c r="O553" s="27"/>
    </row>
    <row r="554">
      <c r="N554" s="27"/>
      <c r="O554" s="27"/>
    </row>
    <row r="555">
      <c r="N555" s="27"/>
      <c r="O555" s="27"/>
    </row>
    <row r="556">
      <c r="N556" s="27"/>
      <c r="O556" s="27"/>
    </row>
    <row r="557">
      <c r="N557" s="27"/>
      <c r="O557" s="27"/>
    </row>
    <row r="558">
      <c r="N558" s="27"/>
      <c r="O558" s="27"/>
    </row>
    <row r="559">
      <c r="N559" s="27"/>
      <c r="O559" s="27"/>
    </row>
    <row r="560">
      <c r="N560" s="27"/>
      <c r="O560" s="27"/>
    </row>
    <row r="561">
      <c r="N561" s="27"/>
      <c r="O561" s="27"/>
    </row>
    <row r="562">
      <c r="N562" s="27"/>
      <c r="O562" s="27"/>
    </row>
    <row r="563">
      <c r="N563" s="27"/>
      <c r="O563" s="27"/>
    </row>
    <row r="564">
      <c r="N564" s="27"/>
      <c r="O564" s="27"/>
    </row>
    <row r="565">
      <c r="N565" s="27"/>
      <c r="O565" s="27"/>
    </row>
    <row r="566">
      <c r="N566" s="27"/>
      <c r="O566" s="27"/>
    </row>
    <row r="567">
      <c r="N567" s="27"/>
      <c r="O567" s="27"/>
    </row>
    <row r="568">
      <c r="N568" s="27"/>
      <c r="O568" s="27"/>
    </row>
    <row r="569">
      <c r="N569" s="27"/>
      <c r="O569" s="27"/>
    </row>
    <row r="570">
      <c r="N570" s="27"/>
      <c r="O570" s="27"/>
    </row>
    <row r="571">
      <c r="N571" s="27"/>
      <c r="O571" s="27"/>
    </row>
    <row r="572">
      <c r="N572" s="27"/>
      <c r="O572" s="27"/>
    </row>
    <row r="573">
      <c r="N573" s="27"/>
      <c r="O573" s="27"/>
    </row>
    <row r="574">
      <c r="N574" s="27"/>
      <c r="O574" s="27"/>
    </row>
    <row r="575">
      <c r="N575" s="27"/>
      <c r="O575" s="27"/>
    </row>
    <row r="576">
      <c r="N576" s="27"/>
      <c r="O576" s="27"/>
    </row>
    <row r="577">
      <c r="N577" s="27"/>
      <c r="O577" s="27"/>
    </row>
    <row r="578">
      <c r="N578" s="27"/>
      <c r="O578" s="27"/>
    </row>
    <row r="579">
      <c r="N579" s="27"/>
      <c r="O579" s="27"/>
    </row>
    <row r="580">
      <c r="N580" s="27"/>
      <c r="O580" s="27"/>
    </row>
    <row r="581">
      <c r="N581" s="27"/>
      <c r="O581" s="27"/>
    </row>
    <row r="582">
      <c r="N582" s="27"/>
      <c r="O582" s="27"/>
    </row>
    <row r="583">
      <c r="N583" s="27"/>
      <c r="O583" s="27"/>
    </row>
    <row r="584">
      <c r="N584" s="27"/>
      <c r="O584" s="27"/>
    </row>
    <row r="585">
      <c r="N585" s="27"/>
      <c r="O585" s="27"/>
    </row>
    <row r="586">
      <c r="N586" s="27"/>
      <c r="O586" s="27"/>
    </row>
    <row r="587">
      <c r="N587" s="27"/>
      <c r="O587" s="27"/>
    </row>
    <row r="588">
      <c r="N588" s="27"/>
      <c r="O588" s="27"/>
    </row>
    <row r="589">
      <c r="N589" s="27"/>
      <c r="O589" s="27"/>
    </row>
    <row r="590">
      <c r="N590" s="27"/>
      <c r="O590" s="27"/>
    </row>
    <row r="591">
      <c r="N591" s="27"/>
      <c r="O591" s="27"/>
    </row>
    <row r="592">
      <c r="N592" s="27"/>
      <c r="O592" s="27"/>
    </row>
    <row r="593">
      <c r="N593" s="27"/>
      <c r="O593" s="27"/>
    </row>
    <row r="594">
      <c r="N594" s="27"/>
      <c r="O594" s="27"/>
    </row>
    <row r="595">
      <c r="N595" s="27"/>
      <c r="O595" s="27"/>
    </row>
    <row r="596">
      <c r="N596" s="27"/>
      <c r="O596" s="27"/>
    </row>
    <row r="597">
      <c r="N597" s="27"/>
      <c r="O597" s="27"/>
    </row>
    <row r="598">
      <c r="N598" s="27"/>
      <c r="O598" s="27"/>
    </row>
    <row r="599">
      <c r="N599" s="27"/>
      <c r="O599" s="27"/>
    </row>
    <row r="600">
      <c r="N600" s="27"/>
      <c r="O600" s="27"/>
    </row>
    <row r="601">
      <c r="N601" s="27"/>
      <c r="O601" s="27"/>
    </row>
    <row r="602">
      <c r="N602" s="27"/>
      <c r="O602" s="27"/>
    </row>
    <row r="603">
      <c r="N603" s="27"/>
      <c r="O603" s="27"/>
    </row>
    <row r="604">
      <c r="N604" s="27"/>
      <c r="O604" s="27"/>
    </row>
    <row r="605">
      <c r="N605" s="27"/>
      <c r="O605" s="27"/>
    </row>
    <row r="606">
      <c r="N606" s="27"/>
      <c r="O606" s="27"/>
    </row>
    <row r="607">
      <c r="N607" s="27"/>
      <c r="O607" s="27"/>
    </row>
    <row r="608">
      <c r="N608" s="27"/>
      <c r="O608" s="27"/>
    </row>
    <row r="609">
      <c r="N609" s="27"/>
      <c r="O609" s="27"/>
    </row>
    <row r="610">
      <c r="N610" s="27"/>
      <c r="O610" s="27"/>
    </row>
    <row r="611">
      <c r="N611" s="27"/>
      <c r="O611" s="27"/>
    </row>
    <row r="612">
      <c r="N612" s="27"/>
      <c r="O612" s="27"/>
    </row>
    <row r="613">
      <c r="N613" s="27"/>
      <c r="O613" s="27"/>
    </row>
    <row r="614">
      <c r="N614" s="27"/>
      <c r="O614" s="27"/>
    </row>
    <row r="615">
      <c r="N615" s="27"/>
      <c r="O615" s="27"/>
    </row>
    <row r="616">
      <c r="N616" s="27"/>
      <c r="O616" s="27"/>
    </row>
    <row r="617">
      <c r="N617" s="27"/>
      <c r="O617" s="27"/>
    </row>
    <row r="618">
      <c r="N618" s="27"/>
      <c r="O618" s="27"/>
    </row>
    <row r="619">
      <c r="N619" s="27"/>
      <c r="O619" s="27"/>
    </row>
    <row r="620">
      <c r="N620" s="27"/>
      <c r="O620" s="27"/>
    </row>
    <row r="621">
      <c r="N621" s="27"/>
      <c r="O621" s="27"/>
    </row>
    <row r="622">
      <c r="N622" s="27"/>
      <c r="O622" s="27"/>
    </row>
    <row r="623">
      <c r="N623" s="27"/>
      <c r="O623" s="27"/>
    </row>
    <row r="624">
      <c r="N624" s="27"/>
      <c r="O624" s="27"/>
    </row>
    <row r="625">
      <c r="N625" s="27"/>
      <c r="O625" s="27"/>
    </row>
    <row r="626">
      <c r="N626" s="27"/>
      <c r="O626" s="27"/>
    </row>
    <row r="627">
      <c r="N627" s="27"/>
      <c r="O627" s="27"/>
    </row>
    <row r="628">
      <c r="N628" s="27"/>
      <c r="O628" s="27"/>
    </row>
    <row r="629">
      <c r="N629" s="27"/>
      <c r="O629" s="27"/>
    </row>
    <row r="630">
      <c r="N630" s="27"/>
      <c r="O630" s="27"/>
    </row>
    <row r="631">
      <c r="N631" s="27"/>
      <c r="O631" s="27"/>
    </row>
    <row r="632">
      <c r="N632" s="27"/>
      <c r="O632" s="27"/>
    </row>
    <row r="633">
      <c r="N633" s="27"/>
      <c r="O633" s="27"/>
    </row>
    <row r="634">
      <c r="N634" s="27"/>
      <c r="O634" s="27"/>
    </row>
    <row r="635">
      <c r="N635" s="27"/>
      <c r="O635" s="27"/>
    </row>
    <row r="636">
      <c r="N636" s="27"/>
      <c r="O636" s="27"/>
    </row>
    <row r="637">
      <c r="N637" s="27"/>
      <c r="O637" s="27"/>
    </row>
    <row r="638">
      <c r="N638" s="27"/>
      <c r="O638" s="27"/>
    </row>
    <row r="639">
      <c r="N639" s="27"/>
      <c r="O639" s="27"/>
    </row>
    <row r="640">
      <c r="N640" s="27"/>
      <c r="O640" s="27"/>
    </row>
    <row r="641">
      <c r="N641" s="27"/>
      <c r="O641" s="27"/>
    </row>
    <row r="642">
      <c r="N642" s="27"/>
      <c r="O642" s="27"/>
    </row>
    <row r="643">
      <c r="N643" s="27"/>
      <c r="O643" s="27"/>
    </row>
    <row r="644">
      <c r="N644" s="27"/>
      <c r="O644" s="27"/>
    </row>
    <row r="645">
      <c r="N645" s="27"/>
      <c r="O645" s="27"/>
    </row>
    <row r="646">
      <c r="N646" s="27"/>
      <c r="O646" s="27"/>
    </row>
    <row r="647">
      <c r="N647" s="27"/>
      <c r="O647" s="27"/>
    </row>
    <row r="648">
      <c r="N648" s="27"/>
      <c r="O648" s="27"/>
    </row>
    <row r="649">
      <c r="N649" s="27"/>
      <c r="O649" s="27"/>
    </row>
    <row r="650">
      <c r="N650" s="27"/>
      <c r="O650" s="27"/>
    </row>
    <row r="651">
      <c r="N651" s="27"/>
      <c r="O651" s="27"/>
    </row>
    <row r="652">
      <c r="N652" s="27"/>
      <c r="O652" s="27"/>
    </row>
    <row r="653">
      <c r="N653" s="27"/>
      <c r="O653" s="27"/>
    </row>
    <row r="654">
      <c r="N654" s="27"/>
      <c r="O654" s="27"/>
    </row>
    <row r="655">
      <c r="N655" s="27"/>
      <c r="O655" s="27"/>
    </row>
    <row r="656">
      <c r="N656" s="27"/>
      <c r="O656" s="27"/>
    </row>
    <row r="657">
      <c r="N657" s="27"/>
      <c r="O657" s="27"/>
    </row>
    <row r="658">
      <c r="N658" s="27"/>
      <c r="O658" s="27"/>
    </row>
    <row r="659">
      <c r="N659" s="27"/>
      <c r="O659" s="27"/>
    </row>
    <row r="660">
      <c r="N660" s="27"/>
      <c r="O660" s="27"/>
    </row>
    <row r="661">
      <c r="N661" s="27"/>
      <c r="O661" s="27"/>
    </row>
    <row r="662">
      <c r="N662" s="27"/>
      <c r="O662" s="27"/>
    </row>
    <row r="663">
      <c r="N663" s="27"/>
      <c r="O663" s="27"/>
    </row>
    <row r="664">
      <c r="N664" s="27"/>
      <c r="O664" s="27"/>
    </row>
    <row r="665">
      <c r="N665" s="27"/>
      <c r="O665" s="27"/>
    </row>
    <row r="666">
      <c r="N666" s="27"/>
      <c r="O666" s="27"/>
    </row>
    <row r="667">
      <c r="N667" s="27"/>
      <c r="O667" s="27"/>
    </row>
    <row r="668">
      <c r="N668" s="27"/>
      <c r="O668" s="27"/>
    </row>
    <row r="669">
      <c r="N669" s="27"/>
      <c r="O669" s="27"/>
    </row>
    <row r="670">
      <c r="N670" s="27"/>
      <c r="O670" s="27"/>
    </row>
    <row r="671">
      <c r="N671" s="27"/>
      <c r="O671" s="27"/>
    </row>
    <row r="672">
      <c r="N672" s="27"/>
      <c r="O672" s="27"/>
    </row>
    <row r="673">
      <c r="N673" s="27"/>
      <c r="O673" s="27"/>
    </row>
    <row r="674">
      <c r="N674" s="27"/>
      <c r="O674" s="27"/>
    </row>
    <row r="675">
      <c r="N675" s="27"/>
      <c r="O675" s="27"/>
    </row>
    <row r="676">
      <c r="N676" s="27"/>
      <c r="O676" s="27"/>
    </row>
    <row r="677">
      <c r="N677" s="27"/>
      <c r="O677" s="27"/>
    </row>
    <row r="678">
      <c r="N678" s="27"/>
      <c r="O678" s="27"/>
    </row>
    <row r="679">
      <c r="N679" s="27"/>
      <c r="O679" s="27"/>
    </row>
    <row r="680">
      <c r="N680" s="27"/>
      <c r="O680" s="27"/>
    </row>
    <row r="681">
      <c r="N681" s="27"/>
      <c r="O681" s="27"/>
    </row>
    <row r="682">
      <c r="N682" s="27"/>
      <c r="O682" s="27"/>
    </row>
    <row r="683">
      <c r="N683" s="27"/>
      <c r="O683" s="27"/>
    </row>
    <row r="684">
      <c r="N684" s="27"/>
      <c r="O684" s="27"/>
    </row>
    <row r="685">
      <c r="N685" s="27"/>
      <c r="O685" s="27"/>
    </row>
    <row r="686">
      <c r="N686" s="27"/>
      <c r="O686" s="27"/>
    </row>
    <row r="687">
      <c r="N687" s="27"/>
      <c r="O687" s="27"/>
    </row>
    <row r="688">
      <c r="N688" s="27"/>
      <c r="O688" s="27"/>
    </row>
    <row r="689">
      <c r="N689" s="27"/>
      <c r="O689" s="27"/>
    </row>
    <row r="690">
      <c r="N690" s="27"/>
      <c r="O690" s="27"/>
    </row>
    <row r="691">
      <c r="N691" s="27"/>
      <c r="O691" s="27"/>
    </row>
    <row r="692">
      <c r="N692" s="27"/>
      <c r="O692" s="27"/>
    </row>
    <row r="693">
      <c r="N693" s="27"/>
      <c r="O693" s="27"/>
    </row>
    <row r="694">
      <c r="N694" s="27"/>
      <c r="O694" s="27"/>
    </row>
    <row r="695">
      <c r="N695" s="27"/>
      <c r="O695" s="27"/>
    </row>
    <row r="696">
      <c r="N696" s="27"/>
      <c r="O696" s="27"/>
    </row>
    <row r="697">
      <c r="N697" s="27"/>
      <c r="O697" s="27"/>
    </row>
    <row r="698">
      <c r="N698" s="27"/>
      <c r="O698" s="27"/>
    </row>
    <row r="699">
      <c r="N699" s="27"/>
      <c r="O699" s="27"/>
    </row>
    <row r="700">
      <c r="N700" s="27"/>
      <c r="O700" s="27"/>
    </row>
    <row r="701">
      <c r="N701" s="27"/>
      <c r="O701" s="27"/>
    </row>
    <row r="702">
      <c r="N702" s="27"/>
      <c r="O702" s="27"/>
    </row>
    <row r="703">
      <c r="N703" s="27"/>
      <c r="O703" s="27"/>
    </row>
    <row r="704">
      <c r="N704" s="27"/>
      <c r="O704" s="27"/>
    </row>
    <row r="705">
      <c r="N705" s="27"/>
      <c r="O705" s="27"/>
    </row>
    <row r="706">
      <c r="N706" s="27"/>
      <c r="O706" s="27"/>
    </row>
    <row r="707">
      <c r="N707" s="27"/>
      <c r="O707" s="27"/>
    </row>
    <row r="708">
      <c r="N708" s="27"/>
      <c r="O708" s="27"/>
    </row>
    <row r="709">
      <c r="N709" s="27"/>
      <c r="O709" s="27"/>
    </row>
    <row r="710">
      <c r="N710" s="27"/>
      <c r="O710" s="27"/>
    </row>
    <row r="711">
      <c r="N711" s="27"/>
      <c r="O711" s="27"/>
    </row>
    <row r="712">
      <c r="N712" s="27"/>
      <c r="O712" s="27"/>
    </row>
    <row r="713">
      <c r="N713" s="27"/>
      <c r="O713" s="27"/>
    </row>
    <row r="714">
      <c r="N714" s="27"/>
      <c r="O714" s="27"/>
    </row>
    <row r="715">
      <c r="N715" s="27"/>
      <c r="O715" s="27"/>
    </row>
    <row r="716">
      <c r="N716" s="27"/>
      <c r="O716" s="27"/>
    </row>
    <row r="717">
      <c r="N717" s="27"/>
      <c r="O717" s="27"/>
    </row>
    <row r="718">
      <c r="N718" s="27"/>
      <c r="O718" s="27"/>
    </row>
    <row r="719">
      <c r="N719" s="27"/>
      <c r="O719" s="27"/>
    </row>
    <row r="720">
      <c r="N720" s="27"/>
      <c r="O720" s="27"/>
    </row>
    <row r="721">
      <c r="N721" s="27"/>
      <c r="O721" s="27"/>
    </row>
    <row r="722">
      <c r="N722" s="27"/>
      <c r="O722" s="27"/>
    </row>
    <row r="723">
      <c r="N723" s="27"/>
      <c r="O723" s="27"/>
    </row>
    <row r="724">
      <c r="N724" s="27"/>
      <c r="O724" s="27"/>
    </row>
    <row r="725">
      <c r="N725" s="27"/>
      <c r="O725" s="27"/>
    </row>
    <row r="726">
      <c r="N726" s="27"/>
      <c r="O726" s="27"/>
    </row>
    <row r="727">
      <c r="N727" s="27"/>
      <c r="O727" s="27"/>
    </row>
    <row r="728">
      <c r="N728" s="27"/>
      <c r="O728" s="27"/>
    </row>
    <row r="729">
      <c r="N729" s="27"/>
      <c r="O729" s="27"/>
    </row>
    <row r="730">
      <c r="N730" s="27"/>
      <c r="O730" s="27"/>
    </row>
    <row r="731">
      <c r="N731" s="27"/>
      <c r="O731" s="27"/>
    </row>
    <row r="732">
      <c r="N732" s="27"/>
      <c r="O732" s="27"/>
    </row>
    <row r="733">
      <c r="N733" s="27"/>
      <c r="O733" s="27"/>
    </row>
    <row r="734">
      <c r="N734" s="27"/>
      <c r="O734" s="27"/>
    </row>
    <row r="735">
      <c r="N735" s="27"/>
      <c r="O735" s="27"/>
    </row>
    <row r="736">
      <c r="N736" s="27"/>
      <c r="O736" s="27"/>
    </row>
    <row r="737">
      <c r="N737" s="27"/>
      <c r="O737" s="27"/>
    </row>
    <row r="738">
      <c r="N738" s="27"/>
      <c r="O738" s="27"/>
    </row>
    <row r="739">
      <c r="N739" s="27"/>
      <c r="O739" s="27"/>
    </row>
    <row r="740">
      <c r="N740" s="27"/>
      <c r="O740" s="27"/>
    </row>
    <row r="741">
      <c r="N741" s="27"/>
      <c r="O741" s="27"/>
    </row>
    <row r="742">
      <c r="N742" s="27"/>
      <c r="O742" s="27"/>
    </row>
    <row r="743">
      <c r="N743" s="27"/>
      <c r="O743" s="27"/>
    </row>
    <row r="744">
      <c r="N744" s="27"/>
      <c r="O744" s="27"/>
    </row>
    <row r="745">
      <c r="N745" s="27"/>
      <c r="O745" s="27"/>
    </row>
    <row r="746">
      <c r="N746" s="27"/>
      <c r="O746" s="27"/>
    </row>
    <row r="747">
      <c r="N747" s="27"/>
      <c r="O747" s="27"/>
    </row>
    <row r="748">
      <c r="N748" s="27"/>
      <c r="O748" s="27"/>
    </row>
    <row r="749">
      <c r="N749" s="27"/>
      <c r="O749" s="27"/>
    </row>
    <row r="750">
      <c r="N750" s="27"/>
      <c r="O750" s="27"/>
    </row>
    <row r="751">
      <c r="N751" s="27"/>
      <c r="O751" s="27"/>
    </row>
    <row r="752">
      <c r="N752" s="27"/>
      <c r="O752" s="27"/>
    </row>
    <row r="753">
      <c r="N753" s="27"/>
      <c r="O753" s="27"/>
    </row>
    <row r="754">
      <c r="N754" s="27"/>
      <c r="O754" s="27"/>
    </row>
    <row r="755">
      <c r="N755" s="27"/>
      <c r="O755" s="27"/>
    </row>
    <row r="756">
      <c r="N756" s="27"/>
      <c r="O756" s="27"/>
    </row>
    <row r="757">
      <c r="N757" s="27"/>
      <c r="O757" s="27"/>
    </row>
    <row r="758">
      <c r="N758" s="27"/>
      <c r="O758" s="27"/>
    </row>
    <row r="759">
      <c r="N759" s="27"/>
      <c r="O759" s="27"/>
    </row>
    <row r="760">
      <c r="N760" s="27"/>
      <c r="O760" s="27"/>
    </row>
    <row r="761">
      <c r="N761" s="27"/>
      <c r="O761" s="27"/>
    </row>
    <row r="762">
      <c r="N762" s="27"/>
      <c r="O762" s="27"/>
    </row>
    <row r="763">
      <c r="N763" s="27"/>
      <c r="O763" s="27"/>
    </row>
    <row r="764">
      <c r="N764" s="27"/>
      <c r="O764" s="27"/>
    </row>
    <row r="765">
      <c r="N765" s="27"/>
      <c r="O765" s="27"/>
    </row>
    <row r="766">
      <c r="N766" s="27"/>
      <c r="O766" s="27"/>
    </row>
    <row r="767">
      <c r="N767" s="27"/>
      <c r="O767" s="27"/>
    </row>
    <row r="768">
      <c r="N768" s="27"/>
      <c r="O768" s="27"/>
    </row>
    <row r="769">
      <c r="N769" s="27"/>
      <c r="O769" s="27"/>
    </row>
    <row r="770">
      <c r="N770" s="27"/>
      <c r="O770" s="27"/>
    </row>
    <row r="771">
      <c r="N771" s="27"/>
      <c r="O771" s="27"/>
    </row>
    <row r="772">
      <c r="N772" s="27"/>
      <c r="O772" s="27"/>
    </row>
    <row r="773">
      <c r="N773" s="27"/>
      <c r="O773" s="27"/>
    </row>
    <row r="774">
      <c r="N774" s="27"/>
      <c r="O774" s="27"/>
    </row>
    <row r="775">
      <c r="N775" s="27"/>
      <c r="O775" s="27"/>
    </row>
    <row r="776">
      <c r="N776" s="27"/>
      <c r="O776" s="27"/>
    </row>
    <row r="777">
      <c r="N777" s="27"/>
      <c r="O777" s="27"/>
    </row>
    <row r="778">
      <c r="N778" s="27"/>
      <c r="O778" s="27"/>
    </row>
    <row r="779">
      <c r="N779" s="27"/>
      <c r="O779" s="27"/>
    </row>
    <row r="780">
      <c r="N780" s="27"/>
      <c r="O780" s="27"/>
    </row>
    <row r="781">
      <c r="N781" s="27"/>
      <c r="O781" s="27"/>
    </row>
    <row r="782">
      <c r="N782" s="27"/>
      <c r="O782" s="27"/>
    </row>
    <row r="783">
      <c r="N783" s="27"/>
      <c r="O783" s="27"/>
    </row>
    <row r="784">
      <c r="N784" s="27"/>
      <c r="O784" s="27"/>
    </row>
    <row r="785">
      <c r="N785" s="27"/>
      <c r="O785" s="27"/>
    </row>
    <row r="786">
      <c r="N786" s="27"/>
      <c r="O786" s="27"/>
    </row>
    <row r="787">
      <c r="N787" s="27"/>
      <c r="O787" s="27"/>
    </row>
    <row r="788">
      <c r="N788" s="27"/>
      <c r="O788" s="27"/>
    </row>
    <row r="789">
      <c r="N789" s="27"/>
      <c r="O789" s="27"/>
    </row>
    <row r="790">
      <c r="N790" s="27"/>
      <c r="O790" s="27"/>
    </row>
    <row r="791">
      <c r="N791" s="27"/>
      <c r="O791" s="27"/>
    </row>
    <row r="792">
      <c r="N792" s="27"/>
      <c r="O792" s="27"/>
    </row>
    <row r="793">
      <c r="N793" s="27"/>
      <c r="O793" s="27"/>
    </row>
    <row r="794">
      <c r="N794" s="27"/>
      <c r="O794" s="27"/>
    </row>
    <row r="795">
      <c r="N795" s="27"/>
      <c r="O795" s="27"/>
    </row>
    <row r="796">
      <c r="N796" s="27"/>
      <c r="O796" s="27"/>
    </row>
    <row r="797">
      <c r="N797" s="27"/>
      <c r="O797" s="27"/>
    </row>
    <row r="798">
      <c r="N798" s="27"/>
      <c r="O798" s="27"/>
    </row>
    <row r="799">
      <c r="N799" s="27"/>
      <c r="O799" s="27"/>
    </row>
    <row r="800">
      <c r="N800" s="27"/>
      <c r="O800" s="27"/>
    </row>
    <row r="801">
      <c r="N801" s="27"/>
      <c r="O801" s="27"/>
    </row>
    <row r="802">
      <c r="N802" s="27"/>
      <c r="O802" s="27"/>
    </row>
    <row r="803">
      <c r="N803" s="27"/>
      <c r="O803" s="27"/>
    </row>
    <row r="804">
      <c r="N804" s="27"/>
      <c r="O804" s="27"/>
    </row>
    <row r="805">
      <c r="N805" s="27"/>
      <c r="O805" s="27"/>
    </row>
    <row r="806">
      <c r="N806" s="27"/>
      <c r="O806" s="27"/>
    </row>
    <row r="807">
      <c r="N807" s="27"/>
      <c r="O807" s="27"/>
    </row>
    <row r="808">
      <c r="N808" s="27"/>
      <c r="O808" s="27"/>
    </row>
    <row r="809">
      <c r="N809" s="27"/>
      <c r="O809" s="27"/>
    </row>
    <row r="810">
      <c r="N810" s="27"/>
      <c r="O810" s="27"/>
    </row>
    <row r="811">
      <c r="N811" s="27"/>
      <c r="O811" s="27"/>
    </row>
    <row r="812">
      <c r="N812" s="27"/>
      <c r="O812" s="27"/>
    </row>
    <row r="813">
      <c r="N813" s="27"/>
      <c r="O813" s="27"/>
    </row>
    <row r="814">
      <c r="N814" s="27"/>
      <c r="O814" s="27"/>
    </row>
    <row r="815">
      <c r="N815" s="27"/>
      <c r="O815" s="27"/>
    </row>
    <row r="816">
      <c r="N816" s="27"/>
      <c r="O816" s="27"/>
    </row>
    <row r="817">
      <c r="N817" s="27"/>
      <c r="O817" s="27"/>
    </row>
    <row r="818">
      <c r="N818" s="27"/>
      <c r="O818" s="27"/>
    </row>
    <row r="819">
      <c r="N819" s="27"/>
      <c r="O819" s="27"/>
    </row>
    <row r="820">
      <c r="N820" s="27"/>
      <c r="O820" s="27"/>
    </row>
    <row r="821">
      <c r="N821" s="27"/>
      <c r="O821" s="27"/>
    </row>
    <row r="822">
      <c r="N822" s="27"/>
      <c r="O822" s="27"/>
    </row>
    <row r="823">
      <c r="N823" s="27"/>
      <c r="O823" s="27"/>
    </row>
    <row r="824">
      <c r="N824" s="27"/>
      <c r="O824" s="27"/>
    </row>
    <row r="825">
      <c r="N825" s="27"/>
      <c r="O825" s="27"/>
    </row>
    <row r="826">
      <c r="N826" s="27"/>
      <c r="O826" s="27"/>
    </row>
    <row r="827">
      <c r="N827" s="27"/>
      <c r="O827" s="27"/>
    </row>
    <row r="828">
      <c r="N828" s="27"/>
      <c r="O828" s="27"/>
    </row>
    <row r="829">
      <c r="N829" s="27"/>
      <c r="O829" s="27"/>
    </row>
    <row r="830">
      <c r="N830" s="27"/>
      <c r="O830" s="27"/>
    </row>
    <row r="831">
      <c r="N831" s="27"/>
      <c r="O831" s="27"/>
    </row>
    <row r="832">
      <c r="N832" s="27"/>
      <c r="O832" s="27"/>
    </row>
    <row r="833">
      <c r="N833" s="27"/>
      <c r="O833" s="27"/>
    </row>
    <row r="834">
      <c r="N834" s="27"/>
      <c r="O834" s="27"/>
    </row>
    <row r="835">
      <c r="N835" s="27"/>
      <c r="O835" s="27"/>
    </row>
    <row r="836">
      <c r="N836" s="27"/>
      <c r="O836" s="27"/>
    </row>
    <row r="837">
      <c r="N837" s="27"/>
      <c r="O837" s="27"/>
    </row>
    <row r="838">
      <c r="N838" s="27"/>
      <c r="O838" s="27"/>
    </row>
    <row r="839">
      <c r="N839" s="27"/>
      <c r="O839" s="27"/>
    </row>
    <row r="840">
      <c r="N840" s="27"/>
      <c r="O840" s="27"/>
    </row>
    <row r="841">
      <c r="N841" s="27"/>
      <c r="O841" s="27"/>
    </row>
    <row r="842">
      <c r="N842" s="27"/>
      <c r="O842" s="27"/>
    </row>
    <row r="843">
      <c r="N843" s="27"/>
      <c r="O843" s="27"/>
    </row>
    <row r="844">
      <c r="N844" s="27"/>
      <c r="O844" s="27"/>
    </row>
    <row r="845">
      <c r="N845" s="27"/>
      <c r="O845" s="27"/>
    </row>
    <row r="846">
      <c r="N846" s="27"/>
      <c r="O846" s="27"/>
    </row>
    <row r="847">
      <c r="N847" s="27"/>
      <c r="O847" s="27"/>
    </row>
    <row r="848">
      <c r="N848" s="27"/>
      <c r="O848" s="27"/>
    </row>
    <row r="849">
      <c r="N849" s="27"/>
      <c r="O849" s="27"/>
    </row>
    <row r="850">
      <c r="N850" s="27"/>
      <c r="O850" s="27"/>
    </row>
    <row r="851">
      <c r="N851" s="27"/>
      <c r="O851" s="27"/>
    </row>
    <row r="852">
      <c r="N852" s="27"/>
      <c r="O852" s="27"/>
    </row>
    <row r="853">
      <c r="N853" s="27"/>
      <c r="O853" s="27"/>
    </row>
    <row r="854">
      <c r="N854" s="27"/>
      <c r="O854" s="27"/>
    </row>
    <row r="855">
      <c r="N855" s="27"/>
      <c r="O855" s="27"/>
    </row>
    <row r="856">
      <c r="N856" s="27"/>
      <c r="O856" s="27"/>
    </row>
    <row r="857">
      <c r="N857" s="27"/>
      <c r="O857" s="27"/>
    </row>
    <row r="858">
      <c r="N858" s="27"/>
      <c r="O858" s="27"/>
    </row>
    <row r="859">
      <c r="N859" s="27"/>
      <c r="O859" s="27"/>
    </row>
    <row r="860">
      <c r="N860" s="27"/>
      <c r="O860" s="27"/>
    </row>
    <row r="861">
      <c r="N861" s="27"/>
      <c r="O861" s="27"/>
    </row>
    <row r="862">
      <c r="N862" s="27"/>
      <c r="O862" s="27"/>
    </row>
    <row r="863">
      <c r="N863" s="27"/>
      <c r="O863" s="27"/>
    </row>
    <row r="864">
      <c r="N864" s="27"/>
      <c r="O864" s="27"/>
    </row>
    <row r="865">
      <c r="N865" s="27"/>
      <c r="O865" s="27"/>
    </row>
    <row r="866">
      <c r="N866" s="27"/>
      <c r="O866" s="27"/>
    </row>
    <row r="867">
      <c r="N867" s="27"/>
      <c r="O867" s="27"/>
    </row>
    <row r="868">
      <c r="N868" s="27"/>
      <c r="O868" s="27"/>
    </row>
    <row r="869">
      <c r="N869" s="27"/>
      <c r="O869" s="27"/>
    </row>
    <row r="870">
      <c r="N870" s="27"/>
      <c r="O870" s="27"/>
    </row>
    <row r="871">
      <c r="N871" s="27"/>
      <c r="O871" s="27"/>
    </row>
    <row r="872">
      <c r="N872" s="27"/>
      <c r="O872" s="27"/>
    </row>
    <row r="873">
      <c r="N873" s="27"/>
      <c r="O873" s="27"/>
    </row>
    <row r="874">
      <c r="N874" s="27"/>
      <c r="O874" s="27"/>
    </row>
    <row r="875">
      <c r="N875" s="27"/>
      <c r="O875" s="27"/>
    </row>
    <row r="876">
      <c r="N876" s="27"/>
      <c r="O876" s="27"/>
    </row>
    <row r="877">
      <c r="N877" s="27"/>
      <c r="O877" s="27"/>
    </row>
    <row r="878">
      <c r="N878" s="27"/>
      <c r="O878" s="27"/>
    </row>
    <row r="879">
      <c r="N879" s="27"/>
      <c r="O879" s="27"/>
    </row>
    <row r="880">
      <c r="N880" s="27"/>
      <c r="O880" s="27"/>
    </row>
    <row r="881">
      <c r="N881" s="27"/>
      <c r="O881" s="27"/>
    </row>
    <row r="882">
      <c r="N882" s="27"/>
      <c r="O882" s="27"/>
    </row>
    <row r="883">
      <c r="N883" s="27"/>
      <c r="O883" s="27"/>
    </row>
    <row r="884">
      <c r="N884" s="27"/>
      <c r="O884" s="27"/>
    </row>
    <row r="885">
      <c r="N885" s="27"/>
      <c r="O885" s="27"/>
    </row>
    <row r="886">
      <c r="N886" s="27"/>
      <c r="O886" s="27"/>
    </row>
    <row r="887">
      <c r="N887" s="27"/>
      <c r="O887" s="27"/>
    </row>
    <row r="888">
      <c r="N888" s="27"/>
      <c r="O888" s="27"/>
    </row>
    <row r="889">
      <c r="N889" s="27"/>
      <c r="O889" s="27"/>
    </row>
    <row r="890">
      <c r="N890" s="27"/>
      <c r="O890" s="27"/>
    </row>
    <row r="891">
      <c r="N891" s="27"/>
      <c r="O891" s="27"/>
    </row>
    <row r="892">
      <c r="N892" s="27"/>
      <c r="O892" s="27"/>
    </row>
    <row r="893">
      <c r="N893" s="27"/>
      <c r="O893" s="27"/>
    </row>
    <row r="894">
      <c r="N894" s="27"/>
      <c r="O894" s="27"/>
    </row>
    <row r="895">
      <c r="N895" s="27"/>
      <c r="O895" s="27"/>
    </row>
    <row r="896">
      <c r="N896" s="27"/>
      <c r="O896" s="27"/>
    </row>
    <row r="897">
      <c r="N897" s="27"/>
      <c r="O897" s="27"/>
    </row>
    <row r="898">
      <c r="N898" s="27"/>
      <c r="O898" s="27"/>
    </row>
    <row r="899">
      <c r="N899" s="27"/>
      <c r="O899" s="27"/>
    </row>
    <row r="900">
      <c r="N900" s="27"/>
      <c r="O900" s="27"/>
    </row>
    <row r="901">
      <c r="N901" s="27"/>
      <c r="O901" s="27"/>
    </row>
    <row r="902">
      <c r="N902" s="27"/>
      <c r="O902" s="27"/>
    </row>
    <row r="903">
      <c r="N903" s="27"/>
      <c r="O903" s="27"/>
    </row>
    <row r="904">
      <c r="N904" s="27"/>
      <c r="O904" s="27"/>
    </row>
    <row r="905">
      <c r="N905" s="27"/>
      <c r="O905" s="27"/>
    </row>
    <row r="906">
      <c r="N906" s="27"/>
      <c r="O906" s="27"/>
    </row>
    <row r="907">
      <c r="N907" s="27"/>
      <c r="O907" s="27"/>
    </row>
    <row r="908">
      <c r="N908" s="27"/>
      <c r="O908" s="27"/>
    </row>
    <row r="909">
      <c r="N909" s="27"/>
      <c r="O909" s="27"/>
    </row>
    <row r="910">
      <c r="N910" s="27"/>
      <c r="O910" s="27"/>
    </row>
    <row r="911">
      <c r="N911" s="27"/>
      <c r="O911" s="27"/>
    </row>
    <row r="912">
      <c r="N912" s="27"/>
      <c r="O912" s="27"/>
    </row>
    <row r="913">
      <c r="N913" s="27"/>
      <c r="O913" s="27"/>
    </row>
    <row r="914">
      <c r="N914" s="27"/>
      <c r="O914" s="27"/>
    </row>
    <row r="915">
      <c r="N915" s="27"/>
      <c r="O915" s="27"/>
    </row>
    <row r="916">
      <c r="N916" s="27"/>
      <c r="O916" s="27"/>
    </row>
    <row r="917">
      <c r="N917" s="27"/>
      <c r="O917" s="27"/>
    </row>
    <row r="918">
      <c r="N918" s="27"/>
      <c r="O918" s="27"/>
    </row>
    <row r="919">
      <c r="N919" s="27"/>
      <c r="O919" s="27"/>
    </row>
    <row r="920">
      <c r="N920" s="27"/>
      <c r="O920" s="27"/>
    </row>
    <row r="921">
      <c r="N921" s="27"/>
      <c r="O921" s="27"/>
    </row>
    <row r="922">
      <c r="N922" s="27"/>
      <c r="O922" s="27"/>
    </row>
    <row r="923">
      <c r="N923" s="27"/>
      <c r="O923" s="27"/>
    </row>
    <row r="924">
      <c r="N924" s="27"/>
      <c r="O924" s="27"/>
    </row>
    <row r="925">
      <c r="N925" s="27"/>
      <c r="O925" s="27"/>
    </row>
    <row r="926">
      <c r="N926" s="27"/>
      <c r="O926" s="27"/>
    </row>
    <row r="927">
      <c r="N927" s="27"/>
      <c r="O927" s="27"/>
    </row>
    <row r="928">
      <c r="N928" s="27"/>
      <c r="O928" s="27"/>
    </row>
    <row r="929">
      <c r="N929" s="27"/>
      <c r="O929" s="27"/>
    </row>
    <row r="930">
      <c r="N930" s="27"/>
      <c r="O930" s="27"/>
    </row>
    <row r="931">
      <c r="N931" s="27"/>
      <c r="O931" s="27"/>
    </row>
    <row r="932">
      <c r="N932" s="27"/>
      <c r="O932" s="27"/>
    </row>
    <row r="933">
      <c r="N933" s="27"/>
      <c r="O933" s="27"/>
    </row>
    <row r="934">
      <c r="N934" s="27"/>
      <c r="O934" s="27"/>
    </row>
    <row r="935">
      <c r="N935" s="27"/>
      <c r="O935" s="27"/>
    </row>
    <row r="936">
      <c r="N936" s="27"/>
      <c r="O936" s="27"/>
    </row>
    <row r="937">
      <c r="N937" s="27"/>
      <c r="O937" s="27"/>
    </row>
    <row r="938">
      <c r="N938" s="27"/>
      <c r="O938" s="27"/>
    </row>
    <row r="939">
      <c r="N939" s="27"/>
      <c r="O939" s="27"/>
    </row>
    <row r="940">
      <c r="N940" s="27"/>
      <c r="O940" s="27"/>
    </row>
    <row r="941">
      <c r="N941" s="27"/>
      <c r="O941" s="27"/>
    </row>
    <row r="942">
      <c r="N942" s="27"/>
      <c r="O942" s="27"/>
    </row>
    <row r="943">
      <c r="N943" s="27"/>
      <c r="O943" s="27"/>
    </row>
    <row r="944">
      <c r="N944" s="27"/>
      <c r="O944" s="27"/>
    </row>
    <row r="945">
      <c r="N945" s="27"/>
      <c r="O945" s="27"/>
    </row>
    <row r="946">
      <c r="N946" s="27"/>
      <c r="O946" s="27"/>
    </row>
    <row r="947">
      <c r="N947" s="27"/>
      <c r="O947" s="27"/>
    </row>
    <row r="948">
      <c r="N948" s="27"/>
      <c r="O948" s="27"/>
    </row>
    <row r="949">
      <c r="N949" s="27"/>
      <c r="O949" s="27"/>
    </row>
    <row r="950">
      <c r="N950" s="27"/>
      <c r="O950" s="27"/>
    </row>
    <row r="951">
      <c r="N951" s="27"/>
      <c r="O951" s="27"/>
    </row>
    <row r="952">
      <c r="N952" s="27"/>
      <c r="O952" s="27"/>
    </row>
    <row r="953">
      <c r="N953" s="27"/>
      <c r="O953" s="27"/>
    </row>
    <row r="954">
      <c r="N954" s="27"/>
      <c r="O954" s="27"/>
    </row>
    <row r="955">
      <c r="N955" s="27"/>
      <c r="O955" s="27"/>
    </row>
    <row r="956">
      <c r="N956" s="27"/>
      <c r="O956" s="27"/>
    </row>
    <row r="957">
      <c r="N957" s="27"/>
      <c r="O957" s="27"/>
    </row>
    <row r="958">
      <c r="N958" s="27"/>
      <c r="O958" s="27"/>
    </row>
    <row r="959">
      <c r="N959" s="27"/>
      <c r="O959" s="27"/>
    </row>
    <row r="960">
      <c r="N960" s="27"/>
      <c r="O960" s="27"/>
    </row>
    <row r="961">
      <c r="N961" s="27"/>
      <c r="O961" s="27"/>
    </row>
    <row r="962">
      <c r="N962" s="27"/>
      <c r="O962" s="27"/>
    </row>
    <row r="963">
      <c r="N963" s="27"/>
      <c r="O963" s="27"/>
    </row>
    <row r="964">
      <c r="N964" s="27"/>
      <c r="O964" s="27"/>
    </row>
    <row r="965">
      <c r="N965" s="27"/>
      <c r="O965" s="27"/>
    </row>
    <row r="966">
      <c r="N966" s="27"/>
      <c r="O966" s="27"/>
    </row>
    <row r="967">
      <c r="N967" s="27"/>
      <c r="O967" s="27"/>
    </row>
    <row r="968">
      <c r="N968" s="27"/>
      <c r="O968" s="27"/>
    </row>
    <row r="969">
      <c r="N969" s="27"/>
      <c r="O969" s="27"/>
    </row>
    <row r="970">
      <c r="N970" s="27"/>
      <c r="O970" s="27"/>
    </row>
    <row r="971">
      <c r="N971" s="27"/>
      <c r="O971" s="27"/>
    </row>
    <row r="972">
      <c r="N972" s="27"/>
      <c r="O972" s="27"/>
    </row>
    <row r="973">
      <c r="N973" s="27"/>
      <c r="O973" s="27"/>
    </row>
    <row r="974">
      <c r="N974" s="27"/>
      <c r="O974" s="27"/>
    </row>
    <row r="975">
      <c r="N975" s="27"/>
      <c r="O975" s="27"/>
    </row>
    <row r="976">
      <c r="N976" s="27"/>
      <c r="O976" s="27"/>
    </row>
    <row r="977">
      <c r="N977" s="27"/>
      <c r="O977" s="27"/>
    </row>
    <row r="978">
      <c r="N978" s="27"/>
      <c r="O978" s="27"/>
    </row>
    <row r="979">
      <c r="N979" s="27"/>
      <c r="O979" s="27"/>
    </row>
    <row r="980">
      <c r="N980" s="27"/>
      <c r="O980" s="27"/>
    </row>
    <row r="981">
      <c r="N981" s="27"/>
      <c r="O981" s="27"/>
    </row>
    <row r="982">
      <c r="N982" s="27"/>
      <c r="O982" s="27"/>
    </row>
    <row r="983">
      <c r="N983" s="27"/>
      <c r="O983" s="27"/>
    </row>
    <row r="984">
      <c r="N984" s="27"/>
      <c r="O984" s="27"/>
    </row>
    <row r="985">
      <c r="N985" s="27"/>
      <c r="O985" s="27"/>
    </row>
    <row r="986">
      <c r="N986" s="27"/>
      <c r="O986" s="27"/>
    </row>
    <row r="987">
      <c r="N987" s="27"/>
      <c r="O987" s="27"/>
    </row>
    <row r="988">
      <c r="N988" s="27"/>
      <c r="O988" s="27"/>
    </row>
    <row r="989">
      <c r="N989" s="27"/>
      <c r="O989" s="27"/>
    </row>
    <row r="990">
      <c r="N990" s="27"/>
      <c r="O990" s="27"/>
    </row>
    <row r="991">
      <c r="N991" s="27"/>
      <c r="O991" s="27"/>
    </row>
    <row r="992">
      <c r="N992" s="27"/>
      <c r="O992" s="27"/>
    </row>
    <row r="993">
      <c r="N993" s="27"/>
      <c r="O993" s="27"/>
    </row>
    <row r="994">
      <c r="N994" s="27"/>
      <c r="O994" s="27"/>
    </row>
    <row r="995">
      <c r="N995" s="27"/>
      <c r="O995" s="27"/>
    </row>
    <row r="996">
      <c r="N996" s="27"/>
      <c r="O996" s="27"/>
    </row>
    <row r="997">
      <c r="N997" s="27"/>
      <c r="O997" s="27"/>
    </row>
    <row r="998">
      <c r="N998" s="27"/>
      <c r="O998" s="27"/>
    </row>
    <row r="999">
      <c r="N999" s="27"/>
      <c r="O999" s="27"/>
    </row>
    <row r="1000">
      <c r="N1000" s="27"/>
      <c r="O1000" s="27"/>
    </row>
    <row r="1001">
      <c r="N1001" s="27"/>
      <c r="O1001" s="27"/>
    </row>
    <row r="1002">
      <c r="N1002" s="27"/>
      <c r="O1002" s="27"/>
    </row>
    <row r="1003">
      <c r="N1003" s="27"/>
      <c r="O1003" s="27"/>
    </row>
    <row r="1004">
      <c r="N1004" s="27"/>
      <c r="O1004" s="27"/>
    </row>
  </sheetData>
  <conditionalFormatting sqref="D44:E44 F53:M53">
    <cfRule type="cellIs" dxfId="0" priority="1" operator="lessThan">
      <formula>0</formula>
    </cfRule>
  </conditionalFormatting>
  <conditionalFormatting sqref="D53:E53">
    <cfRule type="cellIs" dxfId="0" priority="2" operator="lessThan">
      <formula>0</formula>
    </cfRule>
  </conditionalFormatting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9.38"/>
    <col hidden="1" min="4" max="8" width="12.63"/>
    <col customWidth="1" min="14" max="14" width="14.0"/>
    <col customWidth="1" min="15" max="16" width="20.63"/>
    <col customWidth="1" min="17" max="17" width="11.25"/>
    <col customWidth="1" min="18" max="18" width="9.25"/>
    <col customWidth="1" min="19" max="20" width="9.5"/>
    <col customWidth="1" min="24" max="24" width="9.88"/>
    <col customWidth="1" min="25" max="25" width="8.13"/>
  </cols>
  <sheetData>
    <row r="1">
      <c r="A1" s="18" t="s">
        <v>346</v>
      </c>
      <c r="B1" s="199" t="s">
        <v>296</v>
      </c>
      <c r="N1" s="107"/>
      <c r="O1" s="107"/>
      <c r="P1" s="107"/>
    </row>
    <row r="2">
      <c r="B2" s="18" t="s">
        <v>240</v>
      </c>
      <c r="C2" s="249">
        <v>13.0</v>
      </c>
      <c r="N2" s="27"/>
      <c r="O2" s="27"/>
      <c r="P2" s="27"/>
    </row>
    <row r="3">
      <c r="B3" s="18" t="s">
        <v>241</v>
      </c>
      <c r="C3" s="249">
        <f>62.92</f>
        <v>62.92</v>
      </c>
      <c r="N3" s="107"/>
      <c r="O3" s="107"/>
      <c r="P3" s="301" t="s">
        <v>325</v>
      </c>
      <c r="Q3" s="107"/>
      <c r="U3" s="114">
        <f>4166.67+6417.54</f>
        <v>10584.21</v>
      </c>
    </row>
    <row r="4">
      <c r="B4" s="18" t="s">
        <v>377</v>
      </c>
      <c r="D4" s="249">
        <v>19.9</v>
      </c>
      <c r="N4" s="26"/>
      <c r="O4" s="26"/>
      <c r="P4" s="302" t="s">
        <v>119</v>
      </c>
      <c r="Q4" s="302" t="s">
        <v>120</v>
      </c>
      <c r="R4" s="107"/>
      <c r="U4" s="17"/>
    </row>
    <row r="5">
      <c r="B5" s="18" t="s">
        <v>378</v>
      </c>
      <c r="D5" s="249">
        <v>29.9</v>
      </c>
      <c r="N5" s="107"/>
      <c r="O5" s="107"/>
      <c r="P5" s="7" t="s">
        <v>347</v>
      </c>
      <c r="Q5" s="7" t="s">
        <v>348</v>
      </c>
      <c r="R5" s="107"/>
      <c r="U5" s="17"/>
    </row>
    <row r="6">
      <c r="B6" s="18" t="s">
        <v>242</v>
      </c>
      <c r="C6" s="249">
        <v>13.0</v>
      </c>
      <c r="N6" s="107"/>
      <c r="O6" s="107"/>
      <c r="P6" s="7" t="s">
        <v>328</v>
      </c>
      <c r="Q6" s="7" t="s">
        <v>349</v>
      </c>
      <c r="R6" s="107"/>
      <c r="U6" s="17"/>
    </row>
    <row r="7">
      <c r="B7" s="18" t="s">
        <v>285</v>
      </c>
      <c r="C7" s="249">
        <v>42.0</v>
      </c>
      <c r="N7" s="107"/>
      <c r="O7" s="107"/>
      <c r="P7" s="7"/>
      <c r="Q7" s="7" t="s">
        <v>192</v>
      </c>
      <c r="R7" s="107"/>
      <c r="U7" s="32"/>
    </row>
    <row r="8">
      <c r="B8" s="18" t="s">
        <v>324</v>
      </c>
      <c r="C8" s="249">
        <v>6.0</v>
      </c>
      <c r="R8" s="107"/>
      <c r="U8" s="30"/>
    </row>
    <row r="9">
      <c r="C9" s="276">
        <f>SUM(C2:C8)</f>
        <v>136.92</v>
      </c>
      <c r="R9" s="27"/>
    </row>
    <row r="10">
      <c r="M10" s="18" t="s">
        <v>366</v>
      </c>
      <c r="R10" s="107"/>
    </row>
    <row r="11">
      <c r="B11" s="55" t="s">
        <v>122</v>
      </c>
      <c r="C11" s="56"/>
      <c r="D11" s="254" t="s">
        <v>134</v>
      </c>
      <c r="E11" s="254" t="s">
        <v>123</v>
      </c>
      <c r="F11" s="254" t="s">
        <v>124</v>
      </c>
      <c r="G11" s="254" t="s">
        <v>125</v>
      </c>
      <c r="H11" s="254" t="s">
        <v>126</v>
      </c>
      <c r="I11" s="254" t="s">
        <v>127</v>
      </c>
      <c r="J11" s="254" t="s">
        <v>128</v>
      </c>
      <c r="K11" s="254" t="s">
        <v>129</v>
      </c>
      <c r="L11" s="254" t="s">
        <v>130</v>
      </c>
      <c r="M11" s="253" t="s">
        <v>131</v>
      </c>
      <c r="N11" s="254" t="s">
        <v>132</v>
      </c>
      <c r="R11" s="107"/>
      <c r="T11" s="18"/>
      <c r="U11" s="18"/>
    </row>
    <row r="12">
      <c r="B12" s="59" t="s">
        <v>129</v>
      </c>
      <c r="C12" s="60"/>
      <c r="D12" s="113">
        <v>8257.5</v>
      </c>
      <c r="E12" s="113">
        <v>8402.25</v>
      </c>
      <c r="F12" s="113">
        <v>8402.25</v>
      </c>
      <c r="G12" s="113">
        <v>8402.25</v>
      </c>
      <c r="H12" s="113">
        <v>8402.26</v>
      </c>
      <c r="I12" s="113">
        <v>8402.25</v>
      </c>
      <c r="J12" s="113">
        <v>8402.25</v>
      </c>
      <c r="K12" s="113">
        <v>8402.25</v>
      </c>
      <c r="L12" s="113">
        <v>8402.26</v>
      </c>
      <c r="M12" s="113">
        <v>8402.26</v>
      </c>
      <c r="N12" s="113">
        <v>8324.69</v>
      </c>
      <c r="R12" s="107"/>
      <c r="T12" s="18"/>
    </row>
    <row r="13">
      <c r="B13" s="59" t="s">
        <v>136</v>
      </c>
      <c r="C13" s="60"/>
      <c r="D13" s="114">
        <f>2040+3294.58</f>
        <v>5334.58</v>
      </c>
      <c r="E13" s="114">
        <f>2040+3421.67</f>
        <v>5461.67</v>
      </c>
      <c r="F13" s="114">
        <v>5721.67</v>
      </c>
      <c r="G13" s="114">
        <f>2160+3065.41+512.46</f>
        <v>5737.87</v>
      </c>
      <c r="H13" s="114">
        <f>2160+3077.41+512.46</f>
        <v>5749.87</v>
      </c>
      <c r="I13" s="114">
        <f>2160+3089.41+512.46</f>
        <v>5761.87</v>
      </c>
      <c r="J13" s="114">
        <f>2160+3070.12+502.75</f>
        <v>5732.87</v>
      </c>
      <c r="K13" s="114">
        <f>2160+2961.12+502.75</f>
        <v>5623.87</v>
      </c>
      <c r="L13" s="114">
        <f>2160+3540.87</f>
        <v>5700.87</v>
      </c>
      <c r="M13" s="114">
        <f>2160+3542.87</f>
        <v>5702.87</v>
      </c>
      <c r="N13" s="114">
        <v>5721.67</v>
      </c>
      <c r="O13" s="407"/>
      <c r="P13" s="303"/>
      <c r="Q13" s="107"/>
      <c r="R13" s="27"/>
      <c r="T13" s="18"/>
    </row>
    <row r="14">
      <c r="B14" s="59" t="s">
        <v>137</v>
      </c>
      <c r="C14" s="60"/>
      <c r="D14" s="313"/>
      <c r="E14" s="114"/>
      <c r="F14" s="114"/>
      <c r="G14" s="114"/>
      <c r="H14" s="114"/>
      <c r="I14" s="114"/>
      <c r="J14" s="114"/>
      <c r="K14" s="114"/>
      <c r="L14" s="115"/>
      <c r="M14" s="114"/>
      <c r="N14" s="114"/>
      <c r="O14" s="363"/>
      <c r="P14" s="363"/>
      <c r="Q14" s="107"/>
      <c r="R14" s="107"/>
      <c r="T14" s="18"/>
    </row>
    <row r="15">
      <c r="B15" s="59" t="s">
        <v>138</v>
      </c>
      <c r="C15" s="60"/>
      <c r="D15" s="348"/>
      <c r="E15" s="117"/>
      <c r="F15" s="117"/>
      <c r="G15" s="114"/>
      <c r="H15" s="114"/>
      <c r="I15" s="114">
        <f>4166.67+6417.54</f>
        <v>10584.21</v>
      </c>
      <c r="J15" s="117"/>
      <c r="K15" s="118"/>
      <c r="L15" s="118"/>
      <c r="M15" s="118"/>
      <c r="N15" s="118"/>
      <c r="O15" s="32"/>
      <c r="P15" s="32"/>
      <c r="Q15" s="107"/>
      <c r="R15" s="107"/>
      <c r="T15" s="18"/>
    </row>
    <row r="16">
      <c r="B16" s="67" t="s">
        <v>139</v>
      </c>
      <c r="C16" s="68"/>
      <c r="D16" s="315">
        <f t="shared" ref="D16:N16" si="1">SUM(D12:D15)</f>
        <v>13592.08</v>
      </c>
      <c r="E16" s="315">
        <f t="shared" si="1"/>
        <v>13863.92</v>
      </c>
      <c r="F16" s="119">
        <f t="shared" si="1"/>
        <v>14123.92</v>
      </c>
      <c r="G16" s="119">
        <f t="shared" si="1"/>
        <v>14140.12</v>
      </c>
      <c r="H16" s="119">
        <f t="shared" si="1"/>
        <v>14152.13</v>
      </c>
      <c r="I16" s="119">
        <f t="shared" si="1"/>
        <v>24748.33</v>
      </c>
      <c r="J16" s="119">
        <f t="shared" si="1"/>
        <v>14135.12</v>
      </c>
      <c r="K16" s="119">
        <f t="shared" si="1"/>
        <v>14026.12</v>
      </c>
      <c r="L16" s="119">
        <f t="shared" si="1"/>
        <v>14103.13</v>
      </c>
      <c r="M16" s="119">
        <f t="shared" si="1"/>
        <v>14105.13</v>
      </c>
      <c r="N16" s="119">
        <f t="shared" si="1"/>
        <v>14046.36</v>
      </c>
      <c r="O16" s="248"/>
      <c r="P16" s="248"/>
      <c r="T16" s="18"/>
      <c r="W16" s="107"/>
    </row>
    <row r="17">
      <c r="D17" s="311"/>
      <c r="E17" s="311"/>
      <c r="O17" s="32"/>
      <c r="P17" s="32"/>
      <c r="Q17" s="107"/>
      <c r="T17" s="18"/>
      <c r="W17" s="27"/>
    </row>
    <row r="18">
      <c r="B18" s="70" t="s">
        <v>140</v>
      </c>
      <c r="C18" s="71"/>
      <c r="D18" s="316" t="s">
        <v>123</v>
      </c>
      <c r="E18" s="316" t="s">
        <v>124</v>
      </c>
      <c r="F18" s="316" t="s">
        <v>125</v>
      </c>
      <c r="G18" s="316" t="s">
        <v>126</v>
      </c>
      <c r="H18" s="316" t="s">
        <v>127</v>
      </c>
      <c r="I18" s="58" t="s">
        <v>128</v>
      </c>
      <c r="J18" s="58" t="s">
        <v>129</v>
      </c>
      <c r="K18" s="58" t="s">
        <v>130</v>
      </c>
      <c r="L18" s="58" t="s">
        <v>131</v>
      </c>
      <c r="M18" s="58" t="s">
        <v>132</v>
      </c>
      <c r="N18" s="58" t="s">
        <v>133</v>
      </c>
      <c r="O18" s="107"/>
      <c r="P18" s="107"/>
      <c r="Q18" s="26"/>
      <c r="R18" s="107"/>
      <c r="T18" s="18"/>
    </row>
    <row r="19">
      <c r="B19" s="121" t="s">
        <v>141</v>
      </c>
      <c r="C19" s="122"/>
      <c r="D19" s="378">
        <v>350.0</v>
      </c>
      <c r="E19" s="378">
        <v>350.0</v>
      </c>
      <c r="F19" s="378">
        <v>350.0</v>
      </c>
      <c r="G19" s="378">
        <v>0.0</v>
      </c>
      <c r="H19" s="378">
        <v>350.0</v>
      </c>
      <c r="I19" s="378">
        <v>370.0</v>
      </c>
      <c r="J19" s="378">
        <f t="shared" ref="J19:L19" si="2">I19</f>
        <v>370</v>
      </c>
      <c r="K19" s="378">
        <f t="shared" si="2"/>
        <v>370</v>
      </c>
      <c r="L19" s="378">
        <f t="shared" si="2"/>
        <v>370</v>
      </c>
      <c r="M19" s="123">
        <v>410.0</v>
      </c>
      <c r="N19" s="378">
        <f>M19</f>
        <v>410</v>
      </c>
      <c r="O19" s="107"/>
      <c r="P19" s="107" t="s">
        <v>331</v>
      </c>
      <c r="Q19" s="192"/>
      <c r="T19" s="18"/>
    </row>
    <row r="20">
      <c r="B20" s="121" t="s">
        <v>142</v>
      </c>
      <c r="C20" s="122"/>
      <c r="D20" s="378">
        <v>200.0</v>
      </c>
      <c r="E20" s="378">
        <v>200.0</v>
      </c>
      <c r="F20" s="378">
        <v>200.0</v>
      </c>
      <c r="G20" s="378">
        <v>200.0</v>
      </c>
      <c r="H20" s="378">
        <v>200.0</v>
      </c>
      <c r="I20" s="378">
        <v>213.2</v>
      </c>
      <c r="J20" s="378">
        <v>220.0</v>
      </c>
      <c r="K20" s="378">
        <f t="shared" ref="K20:N20" si="3">J20</f>
        <v>220</v>
      </c>
      <c r="L20" s="378">
        <f t="shared" si="3"/>
        <v>220</v>
      </c>
      <c r="M20" s="123">
        <f t="shared" si="3"/>
        <v>220</v>
      </c>
      <c r="N20" s="378">
        <f t="shared" si="3"/>
        <v>220</v>
      </c>
      <c r="O20" s="192"/>
      <c r="P20" s="192"/>
      <c r="Q20" s="26" t="s">
        <v>27</v>
      </c>
      <c r="R20" s="26" t="s">
        <v>274</v>
      </c>
      <c r="S20" s="26" t="s">
        <v>351</v>
      </c>
      <c r="T20" s="26" t="s">
        <v>333</v>
      </c>
      <c r="U20" s="26" t="s">
        <v>367</v>
      </c>
      <c r="V20" s="376" t="s">
        <v>368</v>
      </c>
      <c r="W20" s="26" t="s">
        <v>48</v>
      </c>
      <c r="X20" s="26" t="s">
        <v>369</v>
      </c>
      <c r="Y20" s="26" t="s">
        <v>380</v>
      </c>
    </row>
    <row r="21">
      <c r="B21" s="121" t="s">
        <v>143</v>
      </c>
      <c r="C21" s="122"/>
      <c r="D21" s="379">
        <v>174.85</v>
      </c>
      <c r="E21" s="379">
        <v>174.85</v>
      </c>
      <c r="F21" s="379">
        <v>174.85</v>
      </c>
      <c r="G21" s="396">
        <v>79.3</v>
      </c>
      <c r="H21" s="396">
        <v>69.9</v>
      </c>
      <c r="I21" s="396">
        <v>139.9</v>
      </c>
      <c r="J21" s="396">
        <v>139.9</v>
      </c>
      <c r="K21" s="379">
        <v>139.9</v>
      </c>
      <c r="L21" s="396">
        <v>139.9</v>
      </c>
      <c r="M21" s="397">
        <v>139.9</v>
      </c>
      <c r="N21" s="379">
        <v>174.85</v>
      </c>
      <c r="O21" s="102"/>
      <c r="P21" s="121" t="s">
        <v>141</v>
      </c>
      <c r="R21" s="400"/>
      <c r="S21" s="400">
        <v>410.0</v>
      </c>
      <c r="T21" s="400"/>
      <c r="U21" s="400"/>
      <c r="V21" s="400"/>
      <c r="W21" s="400"/>
      <c r="X21" s="400"/>
      <c r="Y21" s="400"/>
    </row>
    <row r="22">
      <c r="B22" s="121" t="s">
        <v>144</v>
      </c>
      <c r="C22" s="122"/>
      <c r="D22" s="378">
        <v>100.0</v>
      </c>
      <c r="E22" s="378">
        <v>100.0</v>
      </c>
      <c r="F22" s="378">
        <v>100.0</v>
      </c>
      <c r="G22" s="378">
        <v>100.0</v>
      </c>
      <c r="H22" s="378">
        <v>100.0</v>
      </c>
      <c r="I22" s="378">
        <f t="shared" ref="I22:N22" si="4">H22</f>
        <v>100</v>
      </c>
      <c r="J22" s="378">
        <f t="shared" si="4"/>
        <v>100</v>
      </c>
      <c r="K22" s="378">
        <f t="shared" si="4"/>
        <v>100</v>
      </c>
      <c r="L22" s="378">
        <f t="shared" si="4"/>
        <v>100</v>
      </c>
      <c r="M22" s="123">
        <f t="shared" si="4"/>
        <v>100</v>
      </c>
      <c r="N22" s="378">
        <f t="shared" si="4"/>
        <v>100</v>
      </c>
      <c r="O22" s="408"/>
      <c r="P22" s="121" t="s">
        <v>142</v>
      </c>
      <c r="R22" s="400"/>
      <c r="S22" s="400">
        <v>220.0</v>
      </c>
      <c r="T22" s="400"/>
      <c r="U22" s="400"/>
      <c r="V22" s="400"/>
      <c r="W22" s="400"/>
      <c r="X22" s="400"/>
      <c r="Y22" s="400"/>
    </row>
    <row r="23">
      <c r="B23" s="121" t="s">
        <v>145</v>
      </c>
      <c r="C23" s="122"/>
      <c r="D23" s="378">
        <v>2500.0</v>
      </c>
      <c r="E23" s="378">
        <v>2500.0</v>
      </c>
      <c r="F23" s="378">
        <v>2500.0</v>
      </c>
      <c r="G23" s="378">
        <v>2500.0</v>
      </c>
      <c r="H23" s="378">
        <v>3000.0</v>
      </c>
      <c r="I23" s="378">
        <f t="shared" ref="I23:L23" si="5">H23</f>
        <v>3000</v>
      </c>
      <c r="J23" s="378">
        <f t="shared" si="5"/>
        <v>3000</v>
      </c>
      <c r="K23" s="378">
        <f t="shared" si="5"/>
        <v>3000</v>
      </c>
      <c r="L23" s="378">
        <f t="shared" si="5"/>
        <v>3000</v>
      </c>
      <c r="M23" s="123">
        <v>3004.8</v>
      </c>
      <c r="N23" s="378">
        <f t="shared" ref="N23:N24" si="7">M23</f>
        <v>3004.8</v>
      </c>
      <c r="O23" s="408"/>
      <c r="P23" s="121" t="s">
        <v>143</v>
      </c>
      <c r="R23" s="400"/>
      <c r="S23" s="400">
        <v>139.9</v>
      </c>
      <c r="T23" s="400"/>
      <c r="U23" s="400"/>
      <c r="V23" s="400"/>
      <c r="W23" s="400"/>
      <c r="X23" s="400"/>
      <c r="Y23" s="400"/>
    </row>
    <row r="24">
      <c r="B24" s="121" t="s">
        <v>146</v>
      </c>
      <c r="C24" s="126" t="s">
        <v>147</v>
      </c>
      <c r="D24" s="378">
        <v>400.0</v>
      </c>
      <c r="E24" s="378">
        <v>400.0</v>
      </c>
      <c r="F24" s="378">
        <v>404.8</v>
      </c>
      <c r="G24" s="378">
        <v>400.0</v>
      </c>
      <c r="H24" s="378">
        <v>404.8</v>
      </c>
      <c r="I24" s="378">
        <v>404.8</v>
      </c>
      <c r="J24" s="378">
        <v>404.8</v>
      </c>
      <c r="K24" s="378">
        <f t="shared" ref="K24:L24" si="6">J24</f>
        <v>404.8</v>
      </c>
      <c r="L24" s="378">
        <f t="shared" si="6"/>
        <v>404.8</v>
      </c>
      <c r="M24" s="123">
        <v>100.0</v>
      </c>
      <c r="N24" s="378">
        <f t="shared" si="7"/>
        <v>100</v>
      </c>
      <c r="O24" s="408"/>
      <c r="P24" s="121" t="s">
        <v>144</v>
      </c>
      <c r="R24" s="400"/>
      <c r="S24" s="400">
        <v>100.0</v>
      </c>
      <c r="T24" s="400"/>
      <c r="U24" s="400"/>
      <c r="V24" s="400"/>
      <c r="W24" s="400"/>
      <c r="X24" s="400"/>
      <c r="Y24" s="400"/>
    </row>
    <row r="25">
      <c r="B25" s="127" t="s">
        <v>180</v>
      </c>
      <c r="C25" s="128"/>
      <c r="D25" s="378">
        <v>0.0</v>
      </c>
      <c r="E25" s="378">
        <v>0.0</v>
      </c>
      <c r="F25" s="378">
        <v>0.0</v>
      </c>
      <c r="G25" s="378">
        <v>0.0</v>
      </c>
      <c r="H25" s="378">
        <v>0.0</v>
      </c>
      <c r="I25" s="378">
        <v>0.0</v>
      </c>
      <c r="J25" s="378">
        <v>0.0</v>
      </c>
      <c r="K25" s="378">
        <v>0.0</v>
      </c>
      <c r="L25" s="378">
        <v>0.0</v>
      </c>
      <c r="M25" s="129">
        <v>400.0</v>
      </c>
      <c r="N25" s="378">
        <v>500.0</v>
      </c>
      <c r="O25" s="408"/>
      <c r="P25" s="121" t="s">
        <v>145</v>
      </c>
      <c r="Q25" s="400">
        <v>3004.8</v>
      </c>
      <c r="R25" s="410"/>
      <c r="S25" s="398"/>
      <c r="T25" s="400"/>
      <c r="U25" s="400"/>
      <c r="V25" s="400"/>
      <c r="W25" s="400"/>
      <c r="X25" s="400"/>
      <c r="Y25" s="400"/>
    </row>
    <row r="26">
      <c r="B26" s="121" t="s">
        <v>148</v>
      </c>
      <c r="C26" s="122"/>
      <c r="D26" s="378">
        <v>500.0</v>
      </c>
      <c r="E26" s="378">
        <v>500.0</v>
      </c>
      <c r="F26" s="378">
        <v>500.0</v>
      </c>
      <c r="G26" s="378">
        <v>500.0</v>
      </c>
      <c r="H26" s="378">
        <v>600.0</v>
      </c>
      <c r="I26" s="378">
        <v>500.0</v>
      </c>
      <c r="J26" s="378">
        <f t="shared" ref="J26:N26" si="8">I26</f>
        <v>500</v>
      </c>
      <c r="K26" s="378">
        <f t="shared" si="8"/>
        <v>500</v>
      </c>
      <c r="L26" s="378">
        <f t="shared" si="8"/>
        <v>500</v>
      </c>
      <c r="M26" s="123">
        <f t="shared" si="8"/>
        <v>500</v>
      </c>
      <c r="N26" s="378">
        <f t="shared" si="8"/>
        <v>500</v>
      </c>
      <c r="O26" s="408"/>
      <c r="P26" s="121" t="s">
        <v>146</v>
      </c>
      <c r="R26" s="410">
        <v>100.0</v>
      </c>
      <c r="S26" s="400"/>
      <c r="T26" s="400"/>
      <c r="U26" s="400"/>
      <c r="V26" s="400"/>
      <c r="W26" s="400"/>
      <c r="X26" s="400"/>
      <c r="Y26" s="400"/>
    </row>
    <row r="27">
      <c r="B27" s="121" t="s">
        <v>149</v>
      </c>
      <c r="C27" s="122"/>
      <c r="D27" s="378">
        <v>500.0</v>
      </c>
      <c r="E27" s="378">
        <v>500.0</v>
      </c>
      <c r="F27" s="378">
        <v>500.0</v>
      </c>
      <c r="G27" s="378">
        <v>500.0</v>
      </c>
      <c r="H27" s="378">
        <v>500.0</v>
      </c>
      <c r="I27" s="378">
        <f t="shared" ref="I27:N27" si="9">H27</f>
        <v>500</v>
      </c>
      <c r="J27" s="378">
        <f t="shared" si="9"/>
        <v>500</v>
      </c>
      <c r="K27" s="378">
        <f t="shared" si="9"/>
        <v>500</v>
      </c>
      <c r="L27" s="378">
        <f t="shared" si="9"/>
        <v>500</v>
      </c>
      <c r="M27" s="123">
        <f t="shared" si="9"/>
        <v>500</v>
      </c>
      <c r="N27" s="378">
        <f t="shared" si="9"/>
        <v>500</v>
      </c>
      <c r="O27" s="408"/>
      <c r="P27" s="127" t="s">
        <v>180</v>
      </c>
      <c r="R27" s="374"/>
      <c r="S27" s="400"/>
      <c r="T27" s="400"/>
      <c r="U27" s="400"/>
      <c r="V27" s="400"/>
      <c r="W27" s="400"/>
      <c r="X27" s="400"/>
      <c r="Y27" s="404">
        <v>400.0</v>
      </c>
    </row>
    <row r="28">
      <c r="B28" s="127" t="s">
        <v>181</v>
      </c>
      <c r="C28" s="128"/>
      <c r="D28" s="378">
        <v>650.0</v>
      </c>
      <c r="E28" s="378">
        <v>150.0</v>
      </c>
      <c r="F28" s="378">
        <v>150.0</v>
      </c>
      <c r="G28" s="378">
        <v>150.0</v>
      </c>
      <c r="H28" s="378">
        <v>150.0</v>
      </c>
      <c r="I28" s="378">
        <v>150.0</v>
      </c>
      <c r="J28" s="378">
        <v>150.0</v>
      </c>
      <c r="K28" s="378">
        <v>150.0</v>
      </c>
      <c r="L28" s="378">
        <v>150.0</v>
      </c>
      <c r="M28" s="129">
        <v>150.0</v>
      </c>
      <c r="N28" s="378">
        <v>150.0</v>
      </c>
      <c r="O28" s="408"/>
      <c r="P28" s="121" t="s">
        <v>148</v>
      </c>
      <c r="R28" s="374"/>
      <c r="S28" s="400">
        <v>500.0</v>
      </c>
      <c r="T28" s="400"/>
      <c r="U28" s="400"/>
      <c r="V28" s="400"/>
      <c r="W28" s="400"/>
      <c r="X28" s="400"/>
      <c r="Y28" s="400"/>
    </row>
    <row r="29">
      <c r="B29" s="121" t="s">
        <v>150</v>
      </c>
      <c r="C29" s="122"/>
      <c r="D29" s="378">
        <v>400.0</v>
      </c>
      <c r="E29" s="378">
        <v>400.0</v>
      </c>
      <c r="F29" s="378">
        <v>400.0</v>
      </c>
      <c r="G29" s="378">
        <v>400.0</v>
      </c>
      <c r="H29" s="378">
        <v>400.0</v>
      </c>
      <c r="I29" s="378">
        <f t="shared" ref="I29:N29" si="10">H29</f>
        <v>400</v>
      </c>
      <c r="J29" s="378">
        <f t="shared" si="10"/>
        <v>400</v>
      </c>
      <c r="K29" s="378">
        <f t="shared" si="10"/>
        <v>400</v>
      </c>
      <c r="L29" s="378">
        <f t="shared" si="10"/>
        <v>400</v>
      </c>
      <c r="M29" s="123">
        <f t="shared" si="10"/>
        <v>400</v>
      </c>
      <c r="N29" s="378">
        <f t="shared" si="10"/>
        <v>400</v>
      </c>
      <c r="O29" s="408"/>
      <c r="P29" s="121" t="s">
        <v>149</v>
      </c>
      <c r="R29" s="374"/>
      <c r="S29" s="400">
        <v>500.0</v>
      </c>
      <c r="T29" s="400"/>
      <c r="U29" s="400"/>
      <c r="V29" s="400"/>
      <c r="W29" s="400"/>
      <c r="X29" s="400"/>
      <c r="Y29" s="400"/>
    </row>
    <row r="30">
      <c r="B30" s="127" t="s">
        <v>182</v>
      </c>
      <c r="C30" s="128"/>
      <c r="D30" s="378"/>
      <c r="E30" s="378"/>
      <c r="F30" s="378"/>
      <c r="G30" s="378">
        <v>160.0</v>
      </c>
      <c r="H30" s="378">
        <v>160.0</v>
      </c>
      <c r="I30" s="378">
        <v>180.0</v>
      </c>
      <c r="J30" s="378">
        <v>87.36</v>
      </c>
      <c r="K30" s="378">
        <v>160.0</v>
      </c>
      <c r="L30" s="378">
        <v>160.0</v>
      </c>
      <c r="M30" s="129">
        <v>160.0</v>
      </c>
      <c r="N30" s="378">
        <v>160.0</v>
      </c>
      <c r="O30" s="408"/>
      <c r="P30" s="127" t="s">
        <v>181</v>
      </c>
      <c r="R30" s="374"/>
      <c r="S30" s="400">
        <v>150.0</v>
      </c>
      <c r="T30" s="400"/>
      <c r="U30" s="400"/>
      <c r="V30" s="400"/>
      <c r="W30" s="400"/>
      <c r="X30" s="400"/>
      <c r="Y30" s="400"/>
    </row>
    <row r="31">
      <c r="B31" s="127" t="s">
        <v>183</v>
      </c>
      <c r="C31" s="128"/>
      <c r="D31" s="378">
        <v>400.0</v>
      </c>
      <c r="E31" s="378">
        <v>400.0</v>
      </c>
      <c r="F31" s="378">
        <v>400.0</v>
      </c>
      <c r="G31" s="378">
        <v>400.0</v>
      </c>
      <c r="H31" s="378">
        <v>400.0</v>
      </c>
      <c r="I31" s="378">
        <v>400.0</v>
      </c>
      <c r="J31" s="378">
        <v>400.0</v>
      </c>
      <c r="K31" s="378">
        <v>400.0</v>
      </c>
      <c r="L31" s="378">
        <v>400.0</v>
      </c>
      <c r="M31" s="129">
        <v>400.0</v>
      </c>
      <c r="N31" s="378">
        <v>400.0</v>
      </c>
      <c r="O31" s="408"/>
      <c r="P31" s="121" t="s">
        <v>150</v>
      </c>
      <c r="R31" s="410">
        <v>400.0</v>
      </c>
      <c r="S31" s="400"/>
      <c r="T31" s="400"/>
      <c r="U31" s="400"/>
      <c r="V31" s="400"/>
      <c r="W31" s="400"/>
      <c r="X31" s="400"/>
      <c r="Y31" s="400"/>
    </row>
    <row r="32">
      <c r="B32" s="121" t="s">
        <v>152</v>
      </c>
      <c r="C32" s="122"/>
      <c r="D32" s="390"/>
      <c r="E32" s="390"/>
      <c r="F32" s="378"/>
      <c r="G32" s="378"/>
      <c r="H32" s="378"/>
      <c r="I32" s="390"/>
      <c r="J32" s="390"/>
      <c r="K32" s="378"/>
      <c r="L32" s="378"/>
      <c r="M32" s="131"/>
      <c r="N32" s="390"/>
      <c r="O32" s="408"/>
      <c r="P32" s="127" t="s">
        <v>182</v>
      </c>
      <c r="R32" s="374"/>
      <c r="S32" s="400"/>
      <c r="T32" s="400"/>
      <c r="U32" s="404"/>
      <c r="V32" s="404">
        <v>160.0</v>
      </c>
      <c r="W32" s="400"/>
      <c r="X32" s="400"/>
      <c r="Y32" s="400"/>
    </row>
    <row r="33">
      <c r="B33" s="121" t="s">
        <v>154</v>
      </c>
      <c r="C33" s="122"/>
      <c r="D33" s="378">
        <v>122.0</v>
      </c>
      <c r="E33" s="378">
        <v>105.46</v>
      </c>
      <c r="F33" s="378">
        <v>105.46</v>
      </c>
      <c r="G33" s="378">
        <v>105.46</v>
      </c>
      <c r="H33" s="378">
        <v>105.46</v>
      </c>
      <c r="I33" s="378">
        <v>136.92</v>
      </c>
      <c r="J33" s="378">
        <v>136.92</v>
      </c>
      <c r="K33" s="378">
        <f t="shared" ref="K33:M33" si="11">J33</f>
        <v>136.92</v>
      </c>
      <c r="L33" s="378">
        <f t="shared" si="11"/>
        <v>136.92</v>
      </c>
      <c r="M33" s="123">
        <f t="shared" si="11"/>
        <v>136.92</v>
      </c>
      <c r="N33" s="378">
        <v>122.0</v>
      </c>
      <c r="O33" s="408"/>
      <c r="P33" s="127" t="s">
        <v>183</v>
      </c>
      <c r="R33" s="27"/>
      <c r="S33" s="400"/>
      <c r="T33" s="400"/>
      <c r="U33" s="404"/>
      <c r="V33" s="404">
        <v>400.0</v>
      </c>
      <c r="W33" s="400"/>
      <c r="X33" s="400"/>
      <c r="Y33" s="400"/>
    </row>
    <row r="34">
      <c r="B34" s="121" t="s">
        <v>155</v>
      </c>
      <c r="C34" s="122"/>
      <c r="D34" s="390"/>
      <c r="E34" s="390"/>
      <c r="F34" s="390"/>
      <c r="G34" s="390"/>
      <c r="H34" s="390"/>
      <c r="I34" s="378" t="str">
        <f t="shared" ref="I34:N34" si="12">H34</f>
        <v/>
      </c>
      <c r="J34" s="378" t="str">
        <f t="shared" si="12"/>
        <v/>
      </c>
      <c r="K34" s="378" t="str">
        <f t="shared" si="12"/>
        <v/>
      </c>
      <c r="L34" s="378" t="str">
        <f t="shared" si="12"/>
        <v/>
      </c>
      <c r="M34" s="123" t="str">
        <f t="shared" si="12"/>
        <v/>
      </c>
      <c r="N34" s="378" t="str">
        <f t="shared" si="12"/>
        <v/>
      </c>
      <c r="O34" s="408"/>
      <c r="P34" s="121" t="s">
        <v>152</v>
      </c>
      <c r="Q34" s="406"/>
      <c r="R34" s="374"/>
      <c r="S34" s="400"/>
      <c r="T34" s="400"/>
      <c r="U34" s="404"/>
      <c r="V34" s="404"/>
      <c r="W34" s="400"/>
      <c r="X34" s="400"/>
      <c r="Y34" s="400"/>
    </row>
    <row r="35">
      <c r="B35" s="121" t="s">
        <v>156</v>
      </c>
      <c r="C35" s="122"/>
      <c r="D35" s="378">
        <v>150.0</v>
      </c>
      <c r="E35" s="378">
        <v>150.0</v>
      </c>
      <c r="F35" s="378"/>
      <c r="G35" s="378">
        <v>150.0</v>
      </c>
      <c r="H35" s="378">
        <f>400+400+150</f>
        <v>950</v>
      </c>
      <c r="I35" s="378">
        <v>800.0</v>
      </c>
      <c r="J35" s="378">
        <v>300.0</v>
      </c>
      <c r="K35" s="390">
        <v>150.0</v>
      </c>
      <c r="L35" s="390"/>
      <c r="M35" s="123">
        <v>300.0</v>
      </c>
      <c r="N35" s="378">
        <v>150.0</v>
      </c>
      <c r="O35" s="408"/>
      <c r="P35" s="121" t="s">
        <v>154</v>
      </c>
      <c r="Q35" s="410">
        <f>136.92-13</f>
        <v>123.92</v>
      </c>
      <c r="R35" s="410">
        <v>13.0</v>
      </c>
      <c r="S35" s="400"/>
      <c r="T35" s="400"/>
      <c r="U35" s="404"/>
      <c r="V35" s="404"/>
      <c r="W35" s="400"/>
      <c r="X35" s="400"/>
      <c r="Y35" s="400"/>
    </row>
    <row r="36">
      <c r="B36" s="121" t="s">
        <v>157</v>
      </c>
      <c r="C36" s="122"/>
      <c r="D36" s="378">
        <v>50.0</v>
      </c>
      <c r="E36" s="378">
        <v>50.0</v>
      </c>
      <c r="F36" s="378">
        <v>50.0</v>
      </c>
      <c r="G36" s="378">
        <v>50.0</v>
      </c>
      <c r="H36" s="378">
        <f t="shared" ref="H36:N36" si="13">G36</f>
        <v>50</v>
      </c>
      <c r="I36" s="378">
        <f t="shared" si="13"/>
        <v>50</v>
      </c>
      <c r="J36" s="378">
        <f t="shared" si="13"/>
        <v>50</v>
      </c>
      <c r="K36" s="378">
        <f t="shared" si="13"/>
        <v>50</v>
      </c>
      <c r="L36" s="378">
        <f t="shared" si="13"/>
        <v>50</v>
      </c>
      <c r="M36" s="123">
        <f t="shared" si="13"/>
        <v>50</v>
      </c>
      <c r="N36" s="378">
        <f t="shared" si="13"/>
        <v>50</v>
      </c>
      <c r="O36" s="408"/>
      <c r="P36" s="121" t="s">
        <v>155</v>
      </c>
      <c r="Q36" s="400"/>
      <c r="R36" s="374"/>
      <c r="S36" s="400"/>
      <c r="T36" s="400"/>
      <c r="U36" s="404"/>
      <c r="V36" s="404"/>
      <c r="W36" s="400"/>
      <c r="X36" s="400"/>
      <c r="Y36" s="400"/>
      <c r="Z36" s="18"/>
    </row>
    <row r="37">
      <c r="B37" s="121" t="s">
        <v>158</v>
      </c>
      <c r="C37" s="122"/>
      <c r="D37" s="390"/>
      <c r="E37" s="390"/>
      <c r="F37" s="390"/>
      <c r="G37" s="390"/>
      <c r="H37" s="378" t="str">
        <f t="shared" ref="H37:N37" si="14">G37</f>
        <v/>
      </c>
      <c r="I37" s="378" t="str">
        <f t="shared" si="14"/>
        <v/>
      </c>
      <c r="J37" s="378" t="str">
        <f t="shared" si="14"/>
        <v/>
      </c>
      <c r="K37" s="378" t="str">
        <f t="shared" si="14"/>
        <v/>
      </c>
      <c r="L37" s="378" t="str">
        <f t="shared" si="14"/>
        <v/>
      </c>
      <c r="M37" s="123" t="str">
        <f t="shared" si="14"/>
        <v/>
      </c>
      <c r="N37" s="378" t="str">
        <f t="shared" si="14"/>
        <v/>
      </c>
      <c r="O37" s="408"/>
      <c r="P37" s="121" t="s">
        <v>156</v>
      </c>
      <c r="R37" s="374"/>
      <c r="S37" s="400"/>
      <c r="T37" s="400"/>
      <c r="U37" s="404"/>
      <c r="V37" s="404">
        <v>300.0</v>
      </c>
      <c r="W37" s="400"/>
      <c r="X37" s="400"/>
      <c r="Y37" s="400"/>
      <c r="Z37" s="18"/>
    </row>
    <row r="38">
      <c r="B38" s="121" t="s">
        <v>159</v>
      </c>
      <c r="C38" s="122"/>
      <c r="D38" s="378">
        <f t="shared" ref="D38:E38" si="15">400+400+150</f>
        <v>950</v>
      </c>
      <c r="E38" s="378">
        <f t="shared" si="15"/>
        <v>950</v>
      </c>
      <c r="F38" s="378">
        <v>950.0</v>
      </c>
      <c r="G38" s="378">
        <v>950.0</v>
      </c>
      <c r="H38" s="378">
        <f t="shared" ref="H38:M38" si="16">400+400+150</f>
        <v>950</v>
      </c>
      <c r="I38" s="378">
        <f t="shared" si="16"/>
        <v>950</v>
      </c>
      <c r="J38" s="378">
        <f t="shared" si="16"/>
        <v>950</v>
      </c>
      <c r="K38" s="378">
        <f t="shared" si="16"/>
        <v>950</v>
      </c>
      <c r="L38" s="378">
        <f t="shared" si="16"/>
        <v>950</v>
      </c>
      <c r="M38" s="123">
        <f t="shared" si="16"/>
        <v>950</v>
      </c>
      <c r="N38" s="378">
        <v>800.0</v>
      </c>
      <c r="O38" s="408"/>
      <c r="P38" s="121" t="s">
        <v>157</v>
      </c>
      <c r="R38" s="374"/>
      <c r="S38" s="400"/>
      <c r="T38" s="400"/>
      <c r="U38" s="404"/>
      <c r="V38" s="404"/>
      <c r="W38" s="400"/>
      <c r="X38" s="404">
        <v>50.0</v>
      </c>
      <c r="Y38" s="400"/>
    </row>
    <row r="39">
      <c r="B39" s="121" t="s">
        <v>160</v>
      </c>
      <c r="C39" s="122"/>
      <c r="D39" s="378">
        <v>3000.0</v>
      </c>
      <c r="E39" s="378">
        <v>3000.0</v>
      </c>
      <c r="F39" s="378">
        <v>3000.0</v>
      </c>
      <c r="G39" s="378">
        <v>3000.0</v>
      </c>
      <c r="H39" s="378">
        <f t="shared" ref="H39:N39" si="17">G39</f>
        <v>3000</v>
      </c>
      <c r="I39" s="378">
        <f t="shared" si="17"/>
        <v>3000</v>
      </c>
      <c r="J39" s="378">
        <f t="shared" si="17"/>
        <v>3000</v>
      </c>
      <c r="K39" s="378">
        <f t="shared" si="17"/>
        <v>3000</v>
      </c>
      <c r="L39" s="378">
        <f t="shared" si="17"/>
        <v>3000</v>
      </c>
      <c r="M39" s="123">
        <f t="shared" si="17"/>
        <v>3000</v>
      </c>
      <c r="N39" s="378">
        <f t="shared" si="17"/>
        <v>3000</v>
      </c>
      <c r="O39" s="408"/>
      <c r="P39" s="121" t="s">
        <v>158</v>
      </c>
      <c r="Q39" s="400"/>
      <c r="R39" s="374"/>
      <c r="S39" s="400"/>
      <c r="T39" s="400"/>
      <c r="U39" s="404"/>
      <c r="V39" s="404"/>
      <c r="W39" s="400"/>
      <c r="X39" s="400"/>
      <c r="Y39" s="400"/>
    </row>
    <row r="40">
      <c r="B40" s="127" t="s">
        <v>184</v>
      </c>
      <c r="C40" s="128"/>
      <c r="D40" s="377">
        <v>1087.8499999999985</v>
      </c>
      <c r="E40" s="378">
        <v>700.0</v>
      </c>
      <c r="F40" s="378">
        <v>700.0</v>
      </c>
      <c r="G40" s="378">
        <v>700.0</v>
      </c>
      <c r="H40" s="378">
        <v>700.0</v>
      </c>
      <c r="I40" s="378">
        <v>700.0</v>
      </c>
      <c r="J40" s="378">
        <v>700.0</v>
      </c>
      <c r="K40" s="378">
        <v>700.0</v>
      </c>
      <c r="L40" s="378">
        <v>700.0</v>
      </c>
      <c r="M40" s="129">
        <v>700.0</v>
      </c>
      <c r="N40" s="378">
        <v>700.0</v>
      </c>
      <c r="O40" s="408"/>
      <c r="P40" s="121" t="s">
        <v>159</v>
      </c>
      <c r="Q40" s="400">
        <v>400.0</v>
      </c>
      <c r="R40" s="410">
        <v>550.0</v>
      </c>
      <c r="S40" s="400"/>
      <c r="T40" s="400"/>
      <c r="U40" s="404"/>
      <c r="V40" s="404"/>
      <c r="W40" s="400"/>
      <c r="X40" s="400"/>
      <c r="Y40" s="400"/>
    </row>
    <row r="41">
      <c r="B41" s="127" t="s">
        <v>3</v>
      </c>
      <c r="C41" s="128"/>
      <c r="D41" s="378">
        <v>500.0</v>
      </c>
      <c r="E41" s="378">
        <v>500.0</v>
      </c>
      <c r="F41" s="378">
        <v>500.0</v>
      </c>
      <c r="G41" s="378">
        <v>500.0</v>
      </c>
      <c r="H41" s="378">
        <v>500.0</v>
      </c>
      <c r="I41" s="378">
        <v>500.0</v>
      </c>
      <c r="J41" s="378">
        <v>500.0</v>
      </c>
      <c r="K41" s="378">
        <v>500.0</v>
      </c>
      <c r="L41" s="378">
        <v>500.0</v>
      </c>
      <c r="M41" s="129">
        <v>500.0</v>
      </c>
      <c r="N41" s="378">
        <v>500.0</v>
      </c>
      <c r="O41" s="408"/>
      <c r="P41" s="121" t="s">
        <v>160</v>
      </c>
      <c r="Q41" s="400">
        <v>1500.0</v>
      </c>
      <c r="R41" s="410">
        <v>1500.0</v>
      </c>
      <c r="S41" s="400"/>
      <c r="T41" s="400"/>
      <c r="U41" s="404"/>
      <c r="V41" s="404"/>
      <c r="W41" s="400"/>
      <c r="X41" s="400"/>
      <c r="Y41" s="400"/>
    </row>
    <row r="42">
      <c r="B42" s="67" t="s">
        <v>161</v>
      </c>
      <c r="C42" s="68"/>
      <c r="D42" s="132">
        <f t="shared" ref="D42:N42" si="18">SUM(D19:D41)*-1</f>
        <v>-12034.7</v>
      </c>
      <c r="E42" s="132">
        <f t="shared" si="18"/>
        <v>-11130.31</v>
      </c>
      <c r="F42" s="132">
        <f t="shared" si="18"/>
        <v>-10985.11</v>
      </c>
      <c r="G42" s="132">
        <f t="shared" si="18"/>
        <v>-10844.76</v>
      </c>
      <c r="H42" s="132">
        <f t="shared" si="18"/>
        <v>-12590.16</v>
      </c>
      <c r="I42" s="132">
        <f t="shared" si="18"/>
        <v>-12494.82</v>
      </c>
      <c r="J42" s="132">
        <f t="shared" si="18"/>
        <v>-11908.98</v>
      </c>
      <c r="K42" s="132">
        <f t="shared" si="18"/>
        <v>-11831.62</v>
      </c>
      <c r="L42" s="132">
        <f t="shared" si="18"/>
        <v>-11681.62</v>
      </c>
      <c r="M42" s="132">
        <f t="shared" si="18"/>
        <v>-12121.62</v>
      </c>
      <c r="N42" s="132">
        <f t="shared" si="18"/>
        <v>-11941.65</v>
      </c>
      <c r="O42" s="408"/>
      <c r="P42" s="127" t="s">
        <v>184</v>
      </c>
      <c r="R42" s="410"/>
      <c r="S42" s="400"/>
      <c r="T42" s="404">
        <v>700.0</v>
      </c>
      <c r="U42" s="404"/>
      <c r="V42" s="404"/>
      <c r="W42" s="400"/>
      <c r="X42" s="400"/>
      <c r="Y42" s="400"/>
    </row>
    <row r="43">
      <c r="O43" s="409"/>
      <c r="P43" s="127" t="s">
        <v>3</v>
      </c>
      <c r="R43" s="400"/>
      <c r="S43" s="400"/>
      <c r="T43" s="404"/>
      <c r="U43" s="404">
        <v>500.0</v>
      </c>
      <c r="V43" s="404"/>
      <c r="W43" s="400"/>
      <c r="X43" s="400"/>
      <c r="Y43" s="400"/>
    </row>
    <row r="44">
      <c r="B44" s="80" t="s">
        <v>162</v>
      </c>
      <c r="C44" s="81"/>
      <c r="D44" s="82">
        <f t="shared" ref="D44:N44" si="19">D16+D42</f>
        <v>1557.38</v>
      </c>
      <c r="E44" s="82">
        <f t="shared" si="19"/>
        <v>2733.61</v>
      </c>
      <c r="F44" s="82">
        <f t="shared" si="19"/>
        <v>3138.81</v>
      </c>
      <c r="G44" s="82">
        <f t="shared" si="19"/>
        <v>3295.36</v>
      </c>
      <c r="H44" s="82">
        <f t="shared" si="19"/>
        <v>1561.97</v>
      </c>
      <c r="I44" s="82">
        <f t="shared" si="19"/>
        <v>12253.51</v>
      </c>
      <c r="J44" s="82">
        <f t="shared" si="19"/>
        <v>2226.14</v>
      </c>
      <c r="K44" s="82">
        <f t="shared" si="19"/>
        <v>2194.5</v>
      </c>
      <c r="L44" s="82">
        <f t="shared" si="19"/>
        <v>2421.51</v>
      </c>
      <c r="M44" s="82">
        <f t="shared" si="19"/>
        <v>1983.51</v>
      </c>
      <c r="N44" s="82">
        <f t="shared" si="19"/>
        <v>2104.71</v>
      </c>
      <c r="O44" s="18"/>
      <c r="P44" s="18" t="s">
        <v>379</v>
      </c>
      <c r="Q44" s="400"/>
      <c r="R44" s="400"/>
      <c r="S44" s="400"/>
      <c r="T44" s="404">
        <v>953.29</v>
      </c>
      <c r="U44" s="400"/>
      <c r="V44" s="400"/>
      <c r="W44" s="400"/>
      <c r="X44" s="400"/>
      <c r="Y44" s="400"/>
    </row>
    <row r="45">
      <c r="B45" s="83"/>
      <c r="C45" s="83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107"/>
      <c r="P45" s="7" t="s">
        <v>26</v>
      </c>
      <c r="Q45" s="325">
        <f t="shared" ref="Q45:Y45" si="20">SUM(Q21:Q44)</f>
        <v>5028.72</v>
      </c>
      <c r="R45" s="373">
        <f t="shared" si="20"/>
        <v>2563</v>
      </c>
      <c r="S45" s="373">
        <f t="shared" si="20"/>
        <v>2019.9</v>
      </c>
      <c r="T45" s="373">
        <f t="shared" si="20"/>
        <v>1653.29</v>
      </c>
      <c r="U45" s="373">
        <f t="shared" si="20"/>
        <v>500</v>
      </c>
      <c r="V45" s="373">
        <f t="shared" si="20"/>
        <v>860</v>
      </c>
      <c r="W45" s="373">
        <f t="shared" si="20"/>
        <v>0</v>
      </c>
      <c r="X45" s="373">
        <f t="shared" si="20"/>
        <v>50</v>
      </c>
      <c r="Y45" s="373">
        <f t="shared" si="20"/>
        <v>400</v>
      </c>
    </row>
    <row r="46">
      <c r="B46" s="85" t="s">
        <v>163</v>
      </c>
      <c r="C46" s="86"/>
      <c r="D46" s="57" t="s">
        <v>123</v>
      </c>
      <c r="E46" s="57" t="s">
        <v>124</v>
      </c>
      <c r="F46" s="57" t="s">
        <v>125</v>
      </c>
      <c r="G46" s="57" t="s">
        <v>126</v>
      </c>
      <c r="H46" s="57" t="s">
        <v>127</v>
      </c>
      <c r="I46" s="57" t="s">
        <v>128</v>
      </c>
      <c r="J46" s="57" t="s">
        <v>129</v>
      </c>
      <c r="K46" s="57" t="s">
        <v>130</v>
      </c>
      <c r="L46" s="57" t="s">
        <v>131</v>
      </c>
      <c r="M46" s="57" t="s">
        <v>132</v>
      </c>
      <c r="N46" s="57" t="s">
        <v>133</v>
      </c>
      <c r="O46" s="107"/>
      <c r="P46" s="107" t="s">
        <v>371</v>
      </c>
      <c r="Q46" s="391">
        <f>(M12)-Q45</f>
        <v>3373.54</v>
      </c>
      <c r="R46" s="375"/>
      <c r="S46" s="287"/>
    </row>
    <row r="47">
      <c r="B47" s="87" t="s">
        <v>185</v>
      </c>
      <c r="C47" s="88"/>
      <c r="D47" s="89"/>
      <c r="E47" s="89"/>
      <c r="F47" s="89"/>
      <c r="G47" s="134">
        <v>512.46</v>
      </c>
      <c r="H47" s="134">
        <v>512.46</v>
      </c>
      <c r="I47" s="134">
        <v>512.46</v>
      </c>
      <c r="J47" s="134">
        <v>502.75</v>
      </c>
      <c r="K47" s="134"/>
      <c r="L47" s="134"/>
      <c r="M47" s="134"/>
      <c r="N47" s="134"/>
      <c r="O47" s="248"/>
      <c r="P47" s="325" t="s">
        <v>353</v>
      </c>
    </row>
    <row r="48">
      <c r="A48" s="298">
        <v>45020.0</v>
      </c>
      <c r="B48" s="87" t="s">
        <v>58</v>
      </c>
      <c r="C48" s="88"/>
      <c r="D48" s="91"/>
      <c r="E48" s="91"/>
      <c r="F48" s="91"/>
      <c r="G48" s="91"/>
      <c r="H48" s="91"/>
      <c r="I48" s="135"/>
      <c r="J48" s="135"/>
      <c r="K48" s="135"/>
      <c r="L48" s="135"/>
      <c r="M48" s="135"/>
      <c r="N48" s="135">
        <v>953.29</v>
      </c>
      <c r="O48" s="107"/>
      <c r="P48" s="107"/>
    </row>
    <row r="49">
      <c r="B49" s="87" t="s">
        <v>381</v>
      </c>
      <c r="C49" s="88"/>
      <c r="D49" s="91"/>
      <c r="E49" s="91"/>
      <c r="F49" s="91"/>
      <c r="G49" s="91"/>
      <c r="H49" s="91"/>
      <c r="I49" s="91"/>
      <c r="J49" s="91"/>
      <c r="K49" s="91"/>
      <c r="L49" s="91"/>
      <c r="M49" s="135">
        <v>953.29</v>
      </c>
      <c r="N49" s="91"/>
      <c r="O49" s="107"/>
      <c r="P49" s="107"/>
    </row>
    <row r="50">
      <c r="B50" s="92"/>
      <c r="C50" s="93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107"/>
      <c r="P50" s="107"/>
      <c r="T50" s="387"/>
      <c r="W50" s="387"/>
    </row>
    <row r="51">
      <c r="B51" s="67" t="s">
        <v>167</v>
      </c>
      <c r="C51" s="95">
        <f>SUM(C47:C50)</f>
        <v>0</v>
      </c>
      <c r="D51" s="78">
        <f t="shared" ref="D51:N51" si="21">SUM(D47:D50)*-1</f>
        <v>0</v>
      </c>
      <c r="E51" s="78">
        <f t="shared" si="21"/>
        <v>0</v>
      </c>
      <c r="F51" s="78">
        <f t="shared" si="21"/>
        <v>0</v>
      </c>
      <c r="G51" s="78">
        <f t="shared" si="21"/>
        <v>-512.46</v>
      </c>
      <c r="H51" s="78">
        <f t="shared" si="21"/>
        <v>-512.46</v>
      </c>
      <c r="I51" s="78">
        <f t="shared" si="21"/>
        <v>-512.46</v>
      </c>
      <c r="J51" s="78">
        <f t="shared" si="21"/>
        <v>-502.75</v>
      </c>
      <c r="K51" s="78">
        <f t="shared" si="21"/>
        <v>0</v>
      </c>
      <c r="L51" s="78">
        <f t="shared" si="21"/>
        <v>0</v>
      </c>
      <c r="M51" s="78">
        <f t="shared" si="21"/>
        <v>-953.29</v>
      </c>
      <c r="N51" s="78">
        <f t="shared" si="21"/>
        <v>-953.29</v>
      </c>
      <c r="O51" s="107"/>
      <c r="P51" s="394" t="s">
        <v>48</v>
      </c>
      <c r="Q51" s="395"/>
      <c r="R51" s="389" t="s">
        <v>370</v>
      </c>
      <c r="S51" s="389"/>
    </row>
    <row r="52">
      <c r="B52" s="83"/>
      <c r="C52" s="83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107"/>
      <c r="P52" s="107"/>
    </row>
    <row r="53">
      <c r="B53" s="97" t="s">
        <v>168</v>
      </c>
      <c r="C53" s="98"/>
      <c r="D53" s="99">
        <f t="shared" ref="D53:N53" si="22">D44+D51</f>
        <v>1557.38</v>
      </c>
      <c r="E53" s="99">
        <f t="shared" si="22"/>
        <v>2733.61</v>
      </c>
      <c r="F53" s="99">
        <f t="shared" si="22"/>
        <v>3138.81</v>
      </c>
      <c r="G53" s="99">
        <f t="shared" si="22"/>
        <v>2782.9</v>
      </c>
      <c r="H53" s="99">
        <f t="shared" si="22"/>
        <v>1049.51</v>
      </c>
      <c r="I53" s="99">
        <f t="shared" si="22"/>
        <v>11741.05</v>
      </c>
      <c r="J53" s="99">
        <f t="shared" si="22"/>
        <v>1723.39</v>
      </c>
      <c r="K53" s="99">
        <f t="shared" si="22"/>
        <v>2194.5</v>
      </c>
      <c r="L53" s="99">
        <f t="shared" si="22"/>
        <v>2421.51</v>
      </c>
      <c r="M53" s="99">
        <f t="shared" si="22"/>
        <v>1030.22</v>
      </c>
      <c r="N53" s="99">
        <f t="shared" si="22"/>
        <v>1151.42</v>
      </c>
      <c r="O53" s="107"/>
      <c r="P53" s="107"/>
      <c r="Q53" s="107"/>
    </row>
    <row r="54">
      <c r="B54" s="83"/>
      <c r="C54" s="83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107"/>
      <c r="P54" s="107"/>
      <c r="Q54" s="18"/>
    </row>
    <row r="55">
      <c r="B55" s="100" t="s">
        <v>169</v>
      </c>
      <c r="C55" s="101"/>
      <c r="D55" s="57" t="s">
        <v>123</v>
      </c>
      <c r="E55" s="57" t="s">
        <v>124</v>
      </c>
      <c r="F55" s="57" t="s">
        <v>125</v>
      </c>
      <c r="G55" s="57" t="s">
        <v>126</v>
      </c>
      <c r="H55" s="57" t="s">
        <v>127</v>
      </c>
      <c r="I55" s="57" t="s">
        <v>128</v>
      </c>
      <c r="J55" s="57" t="s">
        <v>129</v>
      </c>
      <c r="K55" s="57" t="s">
        <v>130</v>
      </c>
      <c r="L55" s="57" t="s">
        <v>131</v>
      </c>
      <c r="M55" s="57" t="s">
        <v>132</v>
      </c>
      <c r="N55" s="57" t="s">
        <v>132</v>
      </c>
      <c r="O55" s="107"/>
      <c r="P55" s="107"/>
      <c r="Q55" s="18"/>
    </row>
    <row r="56">
      <c r="B56" s="102" t="s">
        <v>170</v>
      </c>
      <c r="C56" s="103"/>
      <c r="D56" s="104"/>
      <c r="E56" s="105">
        <v>0.0</v>
      </c>
      <c r="F56" s="105"/>
      <c r="G56" s="105"/>
      <c r="H56" s="105"/>
      <c r="I56" s="105"/>
      <c r="J56" s="105"/>
      <c r="K56" s="105"/>
      <c r="L56" s="105"/>
      <c r="M56" s="105"/>
      <c r="N56" s="105"/>
      <c r="O56" s="27"/>
      <c r="P56" s="27"/>
    </row>
    <row r="57">
      <c r="B57" s="102" t="s">
        <v>171</v>
      </c>
      <c r="C57" s="103"/>
      <c r="D57" s="106">
        <f>+D53</f>
        <v>1557.38</v>
      </c>
      <c r="E57" s="106">
        <v>1572.02</v>
      </c>
      <c r="F57" s="106">
        <f t="shared" ref="F57:N57" si="23">+F53</f>
        <v>3138.81</v>
      </c>
      <c r="G57" s="106">
        <f t="shared" si="23"/>
        <v>2782.9</v>
      </c>
      <c r="H57" s="106">
        <f t="shared" si="23"/>
        <v>1049.51</v>
      </c>
      <c r="I57" s="106">
        <f t="shared" si="23"/>
        <v>11741.05</v>
      </c>
      <c r="J57" s="106">
        <f t="shared" si="23"/>
        <v>1723.39</v>
      </c>
      <c r="K57" s="106">
        <f t="shared" si="23"/>
        <v>2194.5</v>
      </c>
      <c r="L57" s="106">
        <f t="shared" si="23"/>
        <v>2421.51</v>
      </c>
      <c r="M57" s="106">
        <f t="shared" si="23"/>
        <v>1030.22</v>
      </c>
      <c r="N57" s="106">
        <f t="shared" si="23"/>
        <v>1151.42</v>
      </c>
      <c r="O57" s="27"/>
      <c r="P57" s="27"/>
    </row>
    <row r="58">
      <c r="B58" s="67" t="s">
        <v>173</v>
      </c>
      <c r="C58" s="68"/>
      <c r="D58" s="95">
        <f t="shared" ref="D58:N58" si="24">SUM(D56:D57)</f>
        <v>1557.38</v>
      </c>
      <c r="E58" s="95">
        <f t="shared" si="24"/>
        <v>1572.02</v>
      </c>
      <c r="F58" s="95">
        <f t="shared" si="24"/>
        <v>3138.81</v>
      </c>
      <c r="G58" s="95">
        <f t="shared" si="24"/>
        <v>2782.9</v>
      </c>
      <c r="H58" s="95">
        <f t="shared" si="24"/>
        <v>1049.51</v>
      </c>
      <c r="I58" s="95">
        <f t="shared" si="24"/>
        <v>11741.05</v>
      </c>
      <c r="J58" s="95">
        <f t="shared" si="24"/>
        <v>1723.39</v>
      </c>
      <c r="K58" s="95">
        <f t="shared" si="24"/>
        <v>2194.5</v>
      </c>
      <c r="L58" s="95">
        <f t="shared" si="24"/>
        <v>2421.51</v>
      </c>
      <c r="M58" s="95">
        <f t="shared" si="24"/>
        <v>1030.22</v>
      </c>
      <c r="N58" s="95">
        <f t="shared" si="24"/>
        <v>1151.42</v>
      </c>
      <c r="O58" s="27"/>
      <c r="P58" s="27"/>
    </row>
    <row r="59">
      <c r="D59" s="362"/>
      <c r="E59" s="362"/>
      <c r="N59" s="27"/>
      <c r="O59" s="27"/>
      <c r="P59" s="27"/>
    </row>
    <row r="60">
      <c r="I60" s="18">
        <v>1239.94</v>
      </c>
      <c r="N60" s="27"/>
      <c r="O60" s="27"/>
      <c r="P60" s="27"/>
    </row>
    <row r="61">
      <c r="N61" s="27"/>
      <c r="O61" s="27"/>
      <c r="P61" s="27"/>
    </row>
    <row r="62">
      <c r="N62" s="27"/>
      <c r="O62" s="27"/>
      <c r="P62" s="27"/>
    </row>
    <row r="63">
      <c r="N63" s="27"/>
      <c r="O63" s="27"/>
      <c r="P63" s="27"/>
    </row>
    <row r="64">
      <c r="N64" s="27"/>
      <c r="O64" s="27"/>
      <c r="P64" s="27"/>
    </row>
    <row r="65">
      <c r="N65" s="27"/>
      <c r="O65" s="27"/>
      <c r="P65" s="27"/>
    </row>
    <row r="66">
      <c r="N66" s="27"/>
      <c r="O66" s="27"/>
      <c r="P66" s="27"/>
    </row>
    <row r="67">
      <c r="N67" s="27"/>
      <c r="O67" s="27"/>
      <c r="P67" s="27"/>
    </row>
    <row r="68">
      <c r="N68" s="27"/>
      <c r="O68" s="27"/>
      <c r="P68" s="27"/>
    </row>
    <row r="69">
      <c r="N69" s="27"/>
      <c r="O69" s="27"/>
      <c r="P69" s="27"/>
    </row>
    <row r="70">
      <c r="N70" s="27"/>
      <c r="O70" s="27"/>
      <c r="P70" s="27"/>
    </row>
    <row r="71">
      <c r="N71" s="27"/>
      <c r="O71" s="27"/>
      <c r="P71" s="27"/>
    </row>
    <row r="72">
      <c r="N72" s="27"/>
      <c r="O72" s="27"/>
      <c r="P72" s="27"/>
    </row>
    <row r="73">
      <c r="N73" s="27"/>
      <c r="O73" s="27"/>
      <c r="P73" s="27"/>
    </row>
    <row r="74">
      <c r="N74" s="27"/>
      <c r="O74" s="27"/>
      <c r="P74" s="27"/>
    </row>
    <row r="75">
      <c r="N75" s="27"/>
      <c r="O75" s="27"/>
      <c r="P75" s="27"/>
    </row>
    <row r="76">
      <c r="N76" s="27"/>
      <c r="O76" s="27"/>
      <c r="P76" s="27"/>
    </row>
    <row r="77">
      <c r="N77" s="27"/>
      <c r="O77" s="27"/>
      <c r="P77" s="27"/>
    </row>
    <row r="78">
      <c r="N78" s="27"/>
      <c r="O78" s="27"/>
      <c r="P78" s="27"/>
    </row>
    <row r="79">
      <c r="N79" s="27"/>
      <c r="O79" s="27"/>
      <c r="P79" s="27"/>
    </row>
    <row r="80">
      <c r="N80" s="27"/>
      <c r="O80" s="27"/>
      <c r="P80" s="27"/>
    </row>
    <row r="81">
      <c r="N81" s="27"/>
      <c r="O81" s="27"/>
      <c r="P81" s="27"/>
    </row>
    <row r="82">
      <c r="N82" s="27"/>
      <c r="O82" s="27"/>
      <c r="P82" s="27"/>
    </row>
    <row r="83">
      <c r="N83" s="27"/>
      <c r="O83" s="27"/>
      <c r="P83" s="27"/>
    </row>
    <row r="84">
      <c r="N84" s="27"/>
      <c r="O84" s="27"/>
      <c r="P84" s="27"/>
    </row>
    <row r="85">
      <c r="N85" s="27"/>
      <c r="O85" s="27"/>
      <c r="P85" s="27"/>
    </row>
    <row r="86">
      <c r="N86" s="27"/>
      <c r="O86" s="27"/>
      <c r="P86" s="27"/>
    </row>
    <row r="87">
      <c r="N87" s="27"/>
      <c r="O87" s="27"/>
      <c r="P87" s="27"/>
    </row>
    <row r="88">
      <c r="N88" s="27"/>
      <c r="O88" s="27"/>
      <c r="P88" s="27"/>
    </row>
    <row r="89">
      <c r="N89" s="27"/>
      <c r="O89" s="27"/>
      <c r="P89" s="27"/>
    </row>
    <row r="90">
      <c r="N90" s="27"/>
      <c r="O90" s="27"/>
      <c r="P90" s="27"/>
    </row>
    <row r="91">
      <c r="N91" s="27"/>
      <c r="O91" s="27"/>
      <c r="P91" s="27"/>
    </row>
    <row r="92">
      <c r="N92" s="27"/>
      <c r="O92" s="27"/>
      <c r="P92" s="27"/>
    </row>
    <row r="93">
      <c r="N93" s="27"/>
      <c r="O93" s="27"/>
      <c r="P93" s="27"/>
    </row>
    <row r="94">
      <c r="N94" s="27"/>
      <c r="O94" s="27"/>
      <c r="P94" s="27"/>
    </row>
    <row r="95">
      <c r="N95" s="27"/>
      <c r="O95" s="27"/>
      <c r="P95" s="27"/>
    </row>
    <row r="96">
      <c r="N96" s="27"/>
      <c r="O96" s="27"/>
      <c r="P96" s="27"/>
    </row>
    <row r="97">
      <c r="N97" s="27"/>
      <c r="O97" s="27"/>
      <c r="P97" s="27"/>
    </row>
    <row r="98">
      <c r="N98" s="27"/>
      <c r="O98" s="27"/>
      <c r="P98" s="27"/>
    </row>
    <row r="99">
      <c r="N99" s="27"/>
      <c r="O99" s="27"/>
      <c r="P99" s="27"/>
    </row>
    <row r="100">
      <c r="N100" s="27"/>
      <c r="O100" s="27"/>
      <c r="P100" s="27"/>
    </row>
    <row r="101">
      <c r="N101" s="27"/>
      <c r="O101" s="27"/>
      <c r="P101" s="27"/>
    </row>
    <row r="102">
      <c r="N102" s="27"/>
      <c r="O102" s="27"/>
      <c r="P102" s="27"/>
    </row>
    <row r="103">
      <c r="N103" s="27"/>
      <c r="O103" s="27"/>
      <c r="P103" s="27"/>
    </row>
    <row r="104">
      <c r="N104" s="27"/>
      <c r="O104" s="27"/>
      <c r="P104" s="27"/>
    </row>
    <row r="105">
      <c r="N105" s="27"/>
      <c r="O105" s="27"/>
      <c r="P105" s="27"/>
    </row>
    <row r="106">
      <c r="N106" s="27"/>
      <c r="O106" s="27"/>
      <c r="P106" s="27"/>
    </row>
    <row r="107">
      <c r="N107" s="27"/>
      <c r="O107" s="27"/>
      <c r="P107" s="27"/>
    </row>
    <row r="108">
      <c r="N108" s="27"/>
      <c r="O108" s="27"/>
      <c r="P108" s="27"/>
    </row>
    <row r="109">
      <c r="N109" s="27"/>
      <c r="O109" s="27"/>
      <c r="P109" s="27"/>
    </row>
    <row r="110">
      <c r="N110" s="27"/>
      <c r="O110" s="27"/>
      <c r="P110" s="27"/>
    </row>
    <row r="111">
      <c r="N111" s="27"/>
      <c r="O111" s="27"/>
      <c r="P111" s="27"/>
    </row>
    <row r="112">
      <c r="N112" s="27"/>
      <c r="O112" s="27"/>
      <c r="P112" s="27"/>
    </row>
    <row r="113">
      <c r="N113" s="27"/>
      <c r="O113" s="27"/>
      <c r="P113" s="27"/>
    </row>
    <row r="114">
      <c r="N114" s="27"/>
      <c r="O114" s="27"/>
      <c r="P114" s="27"/>
    </row>
    <row r="115">
      <c r="N115" s="27"/>
      <c r="O115" s="27"/>
      <c r="P115" s="27"/>
    </row>
    <row r="116">
      <c r="N116" s="27"/>
      <c r="O116" s="27"/>
      <c r="P116" s="27"/>
    </row>
    <row r="117">
      <c r="N117" s="27"/>
      <c r="O117" s="27"/>
      <c r="P117" s="27"/>
    </row>
    <row r="118">
      <c r="N118" s="27"/>
      <c r="O118" s="27"/>
      <c r="P118" s="27"/>
    </row>
    <row r="119">
      <c r="N119" s="27"/>
      <c r="O119" s="27"/>
      <c r="P119" s="27"/>
    </row>
    <row r="120">
      <c r="N120" s="27"/>
      <c r="O120" s="27"/>
      <c r="P120" s="27"/>
    </row>
    <row r="121">
      <c r="N121" s="27"/>
      <c r="O121" s="27"/>
      <c r="P121" s="27"/>
    </row>
    <row r="122">
      <c r="N122" s="27"/>
      <c r="O122" s="27"/>
      <c r="P122" s="27"/>
    </row>
    <row r="123">
      <c r="N123" s="27"/>
      <c r="O123" s="27"/>
      <c r="P123" s="27"/>
    </row>
    <row r="124">
      <c r="N124" s="27"/>
      <c r="O124" s="27"/>
      <c r="P124" s="27"/>
    </row>
    <row r="125">
      <c r="N125" s="27"/>
      <c r="O125" s="27"/>
      <c r="P125" s="27"/>
    </row>
    <row r="126">
      <c r="N126" s="27"/>
      <c r="O126" s="27"/>
      <c r="P126" s="27"/>
    </row>
    <row r="127">
      <c r="N127" s="27"/>
      <c r="O127" s="27"/>
      <c r="P127" s="27"/>
    </row>
    <row r="128">
      <c r="N128" s="27"/>
      <c r="O128" s="27"/>
      <c r="P128" s="27"/>
    </row>
    <row r="129">
      <c r="N129" s="27"/>
      <c r="O129" s="27"/>
      <c r="P129" s="27"/>
    </row>
    <row r="130">
      <c r="N130" s="27"/>
      <c r="O130" s="27"/>
      <c r="P130" s="27"/>
    </row>
    <row r="131">
      <c r="N131" s="27"/>
      <c r="O131" s="27"/>
      <c r="P131" s="27"/>
    </row>
    <row r="132">
      <c r="N132" s="27"/>
      <c r="O132" s="27"/>
      <c r="P132" s="27"/>
    </row>
    <row r="133">
      <c r="N133" s="27"/>
      <c r="O133" s="27"/>
      <c r="P133" s="27"/>
    </row>
    <row r="134">
      <c r="N134" s="27"/>
      <c r="O134" s="27"/>
      <c r="P134" s="27"/>
    </row>
    <row r="135">
      <c r="N135" s="27"/>
      <c r="O135" s="27"/>
      <c r="P135" s="27"/>
    </row>
    <row r="136">
      <c r="N136" s="27"/>
      <c r="O136" s="27"/>
      <c r="P136" s="27"/>
    </row>
    <row r="137">
      <c r="N137" s="27"/>
      <c r="O137" s="27"/>
      <c r="P137" s="27"/>
    </row>
    <row r="138">
      <c r="N138" s="27"/>
      <c r="O138" s="27"/>
      <c r="P138" s="27"/>
    </row>
    <row r="139">
      <c r="N139" s="27"/>
      <c r="O139" s="27"/>
      <c r="P139" s="27"/>
    </row>
    <row r="140">
      <c r="N140" s="27"/>
      <c r="O140" s="27"/>
      <c r="P140" s="27"/>
    </row>
    <row r="141">
      <c r="N141" s="27"/>
      <c r="O141" s="27"/>
      <c r="P141" s="27"/>
    </row>
    <row r="142">
      <c r="N142" s="27"/>
      <c r="O142" s="27"/>
      <c r="P142" s="27"/>
    </row>
    <row r="143">
      <c r="N143" s="27"/>
      <c r="O143" s="27"/>
      <c r="P143" s="27"/>
    </row>
    <row r="144">
      <c r="N144" s="27"/>
      <c r="O144" s="27"/>
      <c r="P144" s="27"/>
    </row>
    <row r="145">
      <c r="N145" s="27"/>
      <c r="O145" s="27"/>
      <c r="P145" s="27"/>
    </row>
    <row r="146">
      <c r="N146" s="27"/>
      <c r="O146" s="27"/>
      <c r="P146" s="27"/>
    </row>
    <row r="147">
      <c r="N147" s="27"/>
      <c r="O147" s="27"/>
      <c r="P147" s="27"/>
    </row>
    <row r="148">
      <c r="N148" s="27"/>
      <c r="O148" s="27"/>
      <c r="P148" s="27"/>
    </row>
    <row r="149">
      <c r="N149" s="27"/>
      <c r="O149" s="27"/>
      <c r="P149" s="27"/>
    </row>
    <row r="150">
      <c r="N150" s="27"/>
      <c r="O150" s="27"/>
      <c r="P150" s="27"/>
    </row>
    <row r="151">
      <c r="N151" s="27"/>
      <c r="O151" s="27"/>
      <c r="P151" s="27"/>
    </row>
    <row r="152">
      <c r="N152" s="27"/>
      <c r="O152" s="27"/>
      <c r="P152" s="27"/>
    </row>
    <row r="153">
      <c r="N153" s="27"/>
      <c r="O153" s="27"/>
      <c r="P153" s="27"/>
    </row>
    <row r="154">
      <c r="N154" s="27"/>
      <c r="O154" s="27"/>
      <c r="P154" s="27"/>
    </row>
    <row r="155">
      <c r="N155" s="27"/>
      <c r="O155" s="27"/>
      <c r="P155" s="27"/>
    </row>
    <row r="156">
      <c r="N156" s="27"/>
      <c r="O156" s="27"/>
      <c r="P156" s="27"/>
    </row>
    <row r="157">
      <c r="N157" s="27"/>
      <c r="O157" s="27"/>
      <c r="P157" s="27"/>
    </row>
    <row r="158">
      <c r="N158" s="27"/>
      <c r="O158" s="27"/>
      <c r="P158" s="27"/>
    </row>
    <row r="159">
      <c r="N159" s="27"/>
      <c r="O159" s="27"/>
      <c r="P159" s="27"/>
    </row>
    <row r="160">
      <c r="N160" s="27"/>
      <c r="O160" s="27"/>
      <c r="P160" s="27"/>
    </row>
    <row r="161">
      <c r="N161" s="27"/>
      <c r="O161" s="27"/>
      <c r="P161" s="27"/>
    </row>
    <row r="162">
      <c r="N162" s="27"/>
      <c r="O162" s="27"/>
      <c r="P162" s="27"/>
    </row>
    <row r="163">
      <c r="N163" s="27"/>
      <c r="O163" s="27"/>
      <c r="P163" s="27"/>
    </row>
    <row r="164">
      <c r="N164" s="27"/>
      <c r="O164" s="27"/>
      <c r="P164" s="27"/>
    </row>
    <row r="165">
      <c r="N165" s="27"/>
      <c r="O165" s="27"/>
      <c r="P165" s="27"/>
    </row>
    <row r="166">
      <c r="N166" s="27"/>
      <c r="O166" s="27"/>
      <c r="P166" s="27"/>
    </row>
    <row r="167">
      <c r="N167" s="27"/>
      <c r="O167" s="27"/>
      <c r="P167" s="27"/>
    </row>
    <row r="168">
      <c r="N168" s="27"/>
      <c r="O168" s="27"/>
      <c r="P168" s="27"/>
    </row>
    <row r="169">
      <c r="N169" s="27"/>
      <c r="O169" s="27"/>
      <c r="P169" s="27"/>
    </row>
    <row r="170">
      <c r="N170" s="27"/>
      <c r="O170" s="27"/>
      <c r="P170" s="27"/>
    </row>
    <row r="171">
      <c r="N171" s="27"/>
      <c r="O171" s="27"/>
      <c r="P171" s="27"/>
    </row>
    <row r="172">
      <c r="N172" s="27"/>
      <c r="O172" s="27"/>
      <c r="P172" s="27"/>
    </row>
    <row r="173">
      <c r="N173" s="27"/>
      <c r="O173" s="27"/>
      <c r="P173" s="27"/>
    </row>
    <row r="174">
      <c r="N174" s="27"/>
      <c r="O174" s="27"/>
      <c r="P174" s="27"/>
    </row>
    <row r="175">
      <c r="N175" s="27"/>
      <c r="O175" s="27"/>
      <c r="P175" s="27"/>
    </row>
    <row r="176">
      <c r="N176" s="27"/>
      <c r="O176" s="27"/>
      <c r="P176" s="27"/>
    </row>
    <row r="177">
      <c r="N177" s="27"/>
      <c r="O177" s="27"/>
      <c r="P177" s="27"/>
    </row>
    <row r="178">
      <c r="N178" s="27"/>
      <c r="O178" s="27"/>
      <c r="P178" s="27"/>
    </row>
    <row r="179">
      <c r="N179" s="27"/>
      <c r="O179" s="27"/>
      <c r="P179" s="27"/>
    </row>
    <row r="180">
      <c r="N180" s="27"/>
      <c r="O180" s="27"/>
      <c r="P180" s="27"/>
    </row>
    <row r="181">
      <c r="N181" s="27"/>
      <c r="O181" s="27"/>
      <c r="P181" s="27"/>
    </row>
    <row r="182">
      <c r="N182" s="27"/>
      <c r="O182" s="27"/>
      <c r="P182" s="27"/>
    </row>
    <row r="183">
      <c r="N183" s="27"/>
      <c r="O183" s="27"/>
      <c r="P183" s="27"/>
    </row>
    <row r="184">
      <c r="N184" s="27"/>
      <c r="O184" s="27"/>
      <c r="P184" s="27"/>
    </row>
    <row r="185">
      <c r="N185" s="27"/>
      <c r="O185" s="27"/>
      <c r="P185" s="27"/>
    </row>
    <row r="186">
      <c r="N186" s="27"/>
      <c r="O186" s="27"/>
      <c r="P186" s="27"/>
    </row>
    <row r="187">
      <c r="N187" s="27"/>
      <c r="O187" s="27"/>
      <c r="P187" s="27"/>
    </row>
    <row r="188">
      <c r="N188" s="27"/>
      <c r="O188" s="27"/>
      <c r="P188" s="27"/>
    </row>
    <row r="189">
      <c r="N189" s="27"/>
      <c r="O189" s="27"/>
      <c r="P189" s="27"/>
    </row>
    <row r="190">
      <c r="N190" s="27"/>
      <c r="O190" s="27"/>
      <c r="P190" s="27"/>
    </row>
    <row r="191">
      <c r="N191" s="27"/>
      <c r="O191" s="27"/>
      <c r="P191" s="27"/>
    </row>
    <row r="192">
      <c r="N192" s="27"/>
      <c r="O192" s="27"/>
      <c r="P192" s="27"/>
    </row>
    <row r="193">
      <c r="N193" s="27"/>
      <c r="O193" s="27"/>
      <c r="P193" s="27"/>
    </row>
    <row r="194">
      <c r="N194" s="27"/>
      <c r="O194" s="27"/>
      <c r="P194" s="27"/>
    </row>
    <row r="195">
      <c r="N195" s="27"/>
      <c r="O195" s="27"/>
      <c r="P195" s="27"/>
    </row>
    <row r="196">
      <c r="N196" s="27"/>
      <c r="O196" s="27"/>
      <c r="P196" s="27"/>
    </row>
    <row r="197">
      <c r="N197" s="27"/>
      <c r="O197" s="27"/>
      <c r="P197" s="27"/>
    </row>
    <row r="198">
      <c r="N198" s="27"/>
      <c r="O198" s="27"/>
      <c r="P198" s="27"/>
    </row>
    <row r="199">
      <c r="N199" s="27"/>
      <c r="O199" s="27"/>
      <c r="P199" s="27"/>
    </row>
    <row r="200">
      <c r="N200" s="27"/>
      <c r="O200" s="27"/>
      <c r="P200" s="27"/>
    </row>
    <row r="201">
      <c r="N201" s="27"/>
      <c r="O201" s="27"/>
      <c r="P201" s="27"/>
    </row>
    <row r="202">
      <c r="N202" s="27"/>
      <c r="O202" s="27"/>
      <c r="P202" s="27"/>
    </row>
    <row r="203">
      <c r="N203" s="27"/>
      <c r="O203" s="27"/>
      <c r="P203" s="27"/>
    </row>
    <row r="204">
      <c r="N204" s="27"/>
      <c r="O204" s="27"/>
      <c r="P204" s="27"/>
    </row>
    <row r="205">
      <c r="N205" s="27"/>
      <c r="O205" s="27"/>
      <c r="P205" s="27"/>
    </row>
    <row r="206">
      <c r="N206" s="27"/>
      <c r="O206" s="27"/>
      <c r="P206" s="27"/>
    </row>
    <row r="207">
      <c r="N207" s="27"/>
      <c r="O207" s="27"/>
      <c r="P207" s="27"/>
    </row>
    <row r="208">
      <c r="N208" s="27"/>
      <c r="O208" s="27"/>
      <c r="P208" s="27"/>
    </row>
    <row r="209">
      <c r="N209" s="27"/>
      <c r="O209" s="27"/>
      <c r="P209" s="27"/>
    </row>
    <row r="210">
      <c r="N210" s="27"/>
      <c r="O210" s="27"/>
      <c r="P210" s="27"/>
    </row>
    <row r="211">
      <c r="N211" s="27"/>
      <c r="O211" s="27"/>
      <c r="P211" s="27"/>
    </row>
    <row r="212">
      <c r="N212" s="27"/>
      <c r="O212" s="27"/>
      <c r="P212" s="27"/>
    </row>
    <row r="213">
      <c r="N213" s="27"/>
      <c r="O213" s="27"/>
      <c r="P213" s="27"/>
    </row>
    <row r="214">
      <c r="N214" s="27"/>
      <c r="O214" s="27"/>
      <c r="P214" s="27"/>
    </row>
    <row r="215">
      <c r="N215" s="27"/>
      <c r="O215" s="27"/>
      <c r="P215" s="27"/>
    </row>
    <row r="216">
      <c r="N216" s="27"/>
      <c r="O216" s="27"/>
      <c r="P216" s="27"/>
    </row>
    <row r="217">
      <c r="N217" s="27"/>
      <c r="O217" s="27"/>
      <c r="P217" s="27"/>
    </row>
    <row r="218">
      <c r="N218" s="27"/>
      <c r="O218" s="27"/>
      <c r="P218" s="27"/>
    </row>
    <row r="219">
      <c r="N219" s="27"/>
      <c r="O219" s="27"/>
      <c r="P219" s="27"/>
    </row>
    <row r="220">
      <c r="N220" s="27"/>
      <c r="O220" s="27"/>
      <c r="P220" s="27"/>
    </row>
    <row r="221">
      <c r="N221" s="27"/>
      <c r="O221" s="27"/>
      <c r="P221" s="27"/>
    </row>
    <row r="222">
      <c r="N222" s="27"/>
      <c r="O222" s="27"/>
      <c r="P222" s="27"/>
    </row>
    <row r="223">
      <c r="N223" s="27"/>
      <c r="O223" s="27"/>
      <c r="P223" s="27"/>
    </row>
    <row r="224">
      <c r="N224" s="27"/>
      <c r="O224" s="27"/>
      <c r="P224" s="27"/>
    </row>
    <row r="225">
      <c r="N225" s="27"/>
      <c r="O225" s="27"/>
      <c r="P225" s="27"/>
    </row>
    <row r="226">
      <c r="N226" s="27"/>
      <c r="O226" s="27"/>
      <c r="P226" s="27"/>
    </row>
    <row r="227">
      <c r="N227" s="27"/>
      <c r="O227" s="27"/>
      <c r="P227" s="27"/>
    </row>
    <row r="228">
      <c r="N228" s="27"/>
      <c r="O228" s="27"/>
      <c r="P228" s="27"/>
    </row>
    <row r="229">
      <c r="N229" s="27"/>
      <c r="O229" s="27"/>
      <c r="P229" s="27"/>
    </row>
    <row r="230">
      <c r="N230" s="27"/>
      <c r="O230" s="27"/>
      <c r="P230" s="27"/>
    </row>
    <row r="231">
      <c r="N231" s="27"/>
      <c r="O231" s="27"/>
      <c r="P231" s="27"/>
    </row>
    <row r="232">
      <c r="N232" s="27"/>
      <c r="O232" s="27"/>
      <c r="P232" s="27"/>
    </row>
    <row r="233">
      <c r="N233" s="27"/>
      <c r="O233" s="27"/>
      <c r="P233" s="27"/>
    </row>
    <row r="234">
      <c r="N234" s="27"/>
      <c r="O234" s="27"/>
      <c r="P234" s="27"/>
    </row>
    <row r="235">
      <c r="N235" s="27"/>
      <c r="O235" s="27"/>
      <c r="P235" s="27"/>
    </row>
    <row r="236">
      <c r="N236" s="27"/>
      <c r="O236" s="27"/>
      <c r="P236" s="27"/>
    </row>
    <row r="237">
      <c r="N237" s="27"/>
      <c r="O237" s="27"/>
      <c r="P237" s="27"/>
    </row>
    <row r="238">
      <c r="N238" s="27"/>
      <c r="O238" s="27"/>
      <c r="P238" s="27"/>
    </row>
    <row r="239">
      <c r="N239" s="27"/>
      <c r="O239" s="27"/>
      <c r="P239" s="27"/>
    </row>
    <row r="240">
      <c r="N240" s="27"/>
      <c r="O240" s="27"/>
      <c r="P240" s="27"/>
    </row>
    <row r="241">
      <c r="N241" s="27"/>
      <c r="O241" s="27"/>
      <c r="P241" s="27"/>
    </row>
    <row r="242">
      <c r="N242" s="27"/>
      <c r="O242" s="27"/>
      <c r="P242" s="27"/>
    </row>
    <row r="243">
      <c r="N243" s="27"/>
      <c r="O243" s="27"/>
      <c r="P243" s="27"/>
    </row>
    <row r="244">
      <c r="N244" s="27"/>
      <c r="O244" s="27"/>
      <c r="P244" s="27"/>
    </row>
    <row r="245">
      <c r="N245" s="27"/>
      <c r="O245" s="27"/>
      <c r="P245" s="27"/>
    </row>
    <row r="246">
      <c r="N246" s="27"/>
      <c r="O246" s="27"/>
      <c r="P246" s="27"/>
    </row>
    <row r="247">
      <c r="N247" s="27"/>
      <c r="O247" s="27"/>
      <c r="P247" s="27"/>
    </row>
    <row r="248">
      <c r="N248" s="27"/>
      <c r="O248" s="27"/>
      <c r="P248" s="27"/>
    </row>
    <row r="249">
      <c r="N249" s="27"/>
      <c r="O249" s="27"/>
      <c r="P249" s="27"/>
    </row>
    <row r="250">
      <c r="N250" s="27"/>
      <c r="O250" s="27"/>
      <c r="P250" s="27"/>
    </row>
    <row r="251">
      <c r="N251" s="27"/>
      <c r="O251" s="27"/>
      <c r="P251" s="27"/>
    </row>
    <row r="252">
      <c r="N252" s="27"/>
      <c r="O252" s="27"/>
      <c r="P252" s="27"/>
    </row>
    <row r="253">
      <c r="N253" s="27"/>
      <c r="O253" s="27"/>
      <c r="P253" s="27"/>
    </row>
    <row r="254">
      <c r="N254" s="27"/>
      <c r="O254" s="27"/>
      <c r="P254" s="27"/>
    </row>
    <row r="255">
      <c r="N255" s="27"/>
      <c r="O255" s="27"/>
      <c r="P255" s="27"/>
    </row>
    <row r="256">
      <c r="N256" s="27"/>
      <c r="O256" s="27"/>
      <c r="P256" s="27"/>
    </row>
    <row r="257">
      <c r="N257" s="27"/>
      <c r="O257" s="27"/>
      <c r="P257" s="27"/>
    </row>
    <row r="258">
      <c r="N258" s="27"/>
      <c r="O258" s="27"/>
      <c r="P258" s="27"/>
    </row>
    <row r="259">
      <c r="N259" s="27"/>
      <c r="O259" s="27"/>
      <c r="P259" s="27"/>
    </row>
    <row r="260">
      <c r="N260" s="27"/>
      <c r="O260" s="27"/>
      <c r="P260" s="27"/>
    </row>
    <row r="261">
      <c r="N261" s="27"/>
      <c r="O261" s="27"/>
      <c r="P261" s="27"/>
    </row>
    <row r="262">
      <c r="N262" s="27"/>
      <c r="O262" s="27"/>
      <c r="P262" s="27"/>
    </row>
    <row r="263">
      <c r="N263" s="27"/>
      <c r="O263" s="27"/>
      <c r="P263" s="27"/>
    </row>
    <row r="264">
      <c r="N264" s="27"/>
      <c r="O264" s="27"/>
      <c r="P264" s="27"/>
    </row>
    <row r="265">
      <c r="N265" s="27"/>
      <c r="O265" s="27"/>
      <c r="P265" s="27"/>
    </row>
    <row r="266">
      <c r="N266" s="27"/>
      <c r="O266" s="27"/>
      <c r="P266" s="27"/>
    </row>
    <row r="267">
      <c r="N267" s="27"/>
      <c r="O267" s="27"/>
      <c r="P267" s="27"/>
    </row>
    <row r="268">
      <c r="N268" s="27"/>
      <c r="O268" s="27"/>
      <c r="P268" s="27"/>
    </row>
    <row r="269">
      <c r="N269" s="27"/>
      <c r="O269" s="27"/>
      <c r="P269" s="27"/>
    </row>
    <row r="270">
      <c r="N270" s="27"/>
      <c r="O270" s="27"/>
      <c r="P270" s="27"/>
    </row>
    <row r="271">
      <c r="N271" s="27"/>
      <c r="O271" s="27"/>
      <c r="P271" s="27"/>
    </row>
    <row r="272">
      <c r="N272" s="27"/>
      <c r="O272" s="27"/>
      <c r="P272" s="27"/>
    </row>
    <row r="273">
      <c r="N273" s="27"/>
      <c r="O273" s="27"/>
      <c r="P273" s="27"/>
    </row>
    <row r="274">
      <c r="N274" s="27"/>
      <c r="O274" s="27"/>
      <c r="P274" s="27"/>
    </row>
    <row r="275">
      <c r="N275" s="27"/>
      <c r="O275" s="27"/>
      <c r="P275" s="27"/>
    </row>
    <row r="276">
      <c r="N276" s="27"/>
      <c r="O276" s="27"/>
      <c r="P276" s="27"/>
    </row>
    <row r="277">
      <c r="N277" s="27"/>
      <c r="O277" s="27"/>
      <c r="P277" s="27"/>
    </row>
    <row r="278">
      <c r="N278" s="27"/>
      <c r="O278" s="27"/>
      <c r="P278" s="27"/>
    </row>
    <row r="279">
      <c r="N279" s="27"/>
      <c r="O279" s="27"/>
      <c r="P279" s="27"/>
    </row>
    <row r="280">
      <c r="N280" s="27"/>
      <c r="O280" s="27"/>
      <c r="P280" s="27"/>
    </row>
    <row r="281">
      <c r="N281" s="27"/>
      <c r="O281" s="27"/>
      <c r="P281" s="27"/>
    </row>
    <row r="282">
      <c r="N282" s="27"/>
      <c r="O282" s="27"/>
      <c r="P282" s="27"/>
    </row>
    <row r="283">
      <c r="N283" s="27"/>
      <c r="O283" s="27"/>
      <c r="P283" s="27"/>
    </row>
    <row r="284">
      <c r="N284" s="27"/>
      <c r="O284" s="27"/>
      <c r="P284" s="27"/>
    </row>
    <row r="285">
      <c r="N285" s="27"/>
      <c r="O285" s="27"/>
      <c r="P285" s="27"/>
    </row>
    <row r="286">
      <c r="N286" s="27"/>
      <c r="O286" s="27"/>
      <c r="P286" s="27"/>
    </row>
    <row r="287">
      <c r="N287" s="27"/>
      <c r="O287" s="27"/>
      <c r="P287" s="27"/>
    </row>
    <row r="288">
      <c r="N288" s="27"/>
      <c r="O288" s="27"/>
      <c r="P288" s="27"/>
    </row>
    <row r="289">
      <c r="N289" s="27"/>
      <c r="O289" s="27"/>
      <c r="P289" s="27"/>
    </row>
    <row r="290">
      <c r="N290" s="27"/>
      <c r="O290" s="27"/>
      <c r="P290" s="27"/>
    </row>
    <row r="291">
      <c r="N291" s="27"/>
      <c r="O291" s="27"/>
      <c r="P291" s="27"/>
    </row>
    <row r="292">
      <c r="N292" s="27"/>
      <c r="O292" s="27"/>
      <c r="P292" s="27"/>
    </row>
    <row r="293">
      <c r="N293" s="27"/>
      <c r="O293" s="27"/>
      <c r="P293" s="27"/>
    </row>
    <row r="294">
      <c r="N294" s="27"/>
      <c r="O294" s="27"/>
      <c r="P294" s="27"/>
    </row>
    <row r="295">
      <c r="N295" s="27"/>
      <c r="O295" s="27"/>
      <c r="P295" s="27"/>
    </row>
    <row r="296">
      <c r="N296" s="27"/>
      <c r="O296" s="27"/>
      <c r="P296" s="27"/>
    </row>
    <row r="297">
      <c r="N297" s="27"/>
      <c r="O297" s="27"/>
      <c r="P297" s="27"/>
    </row>
    <row r="298">
      <c r="N298" s="27"/>
      <c r="O298" s="27"/>
      <c r="P298" s="27"/>
    </row>
    <row r="299">
      <c r="N299" s="27"/>
      <c r="O299" s="27"/>
      <c r="P299" s="27"/>
    </row>
    <row r="300">
      <c r="N300" s="27"/>
      <c r="O300" s="27"/>
      <c r="P300" s="27"/>
    </row>
    <row r="301">
      <c r="N301" s="27"/>
      <c r="O301" s="27"/>
      <c r="P301" s="27"/>
    </row>
    <row r="302">
      <c r="N302" s="27"/>
      <c r="O302" s="27"/>
      <c r="P302" s="27"/>
    </row>
    <row r="303">
      <c r="N303" s="27"/>
      <c r="O303" s="27"/>
      <c r="P303" s="27"/>
    </row>
    <row r="304">
      <c r="N304" s="27"/>
      <c r="O304" s="27"/>
      <c r="P304" s="27"/>
    </row>
    <row r="305">
      <c r="N305" s="27"/>
      <c r="O305" s="27"/>
      <c r="P305" s="27"/>
    </row>
    <row r="306">
      <c r="N306" s="27"/>
      <c r="O306" s="27"/>
      <c r="P306" s="27"/>
    </row>
    <row r="307">
      <c r="N307" s="27"/>
      <c r="O307" s="27"/>
      <c r="P307" s="27"/>
    </row>
    <row r="308">
      <c r="N308" s="27"/>
      <c r="O308" s="27"/>
      <c r="P308" s="27"/>
    </row>
    <row r="309">
      <c r="N309" s="27"/>
      <c r="O309" s="27"/>
      <c r="P309" s="27"/>
    </row>
    <row r="310">
      <c r="N310" s="27"/>
      <c r="O310" s="27"/>
      <c r="P310" s="27"/>
    </row>
    <row r="311">
      <c r="N311" s="27"/>
      <c r="O311" s="27"/>
      <c r="P311" s="27"/>
    </row>
    <row r="312">
      <c r="N312" s="27"/>
      <c r="O312" s="27"/>
      <c r="P312" s="27"/>
    </row>
    <row r="313">
      <c r="N313" s="27"/>
      <c r="O313" s="27"/>
      <c r="P313" s="27"/>
    </row>
    <row r="314">
      <c r="N314" s="27"/>
      <c r="O314" s="27"/>
      <c r="P314" s="27"/>
    </row>
    <row r="315">
      <c r="N315" s="27"/>
      <c r="O315" s="27"/>
      <c r="P315" s="27"/>
    </row>
    <row r="316">
      <c r="N316" s="27"/>
      <c r="O316" s="27"/>
      <c r="P316" s="27"/>
    </row>
    <row r="317">
      <c r="N317" s="27"/>
      <c r="O317" s="27"/>
      <c r="P317" s="27"/>
    </row>
    <row r="318">
      <c r="N318" s="27"/>
      <c r="O318" s="27"/>
      <c r="P318" s="27"/>
    </row>
    <row r="319">
      <c r="N319" s="27"/>
      <c r="O319" s="27"/>
      <c r="P319" s="27"/>
    </row>
    <row r="320">
      <c r="N320" s="27"/>
      <c r="O320" s="27"/>
      <c r="P320" s="27"/>
    </row>
    <row r="321">
      <c r="N321" s="27"/>
      <c r="O321" s="27"/>
      <c r="P321" s="27"/>
    </row>
    <row r="322">
      <c r="N322" s="27"/>
      <c r="O322" s="27"/>
      <c r="P322" s="27"/>
    </row>
    <row r="323">
      <c r="N323" s="27"/>
      <c r="O323" s="27"/>
      <c r="P323" s="27"/>
    </row>
    <row r="324">
      <c r="N324" s="27"/>
      <c r="O324" s="27"/>
      <c r="P324" s="27"/>
    </row>
    <row r="325">
      <c r="N325" s="27"/>
      <c r="O325" s="27"/>
      <c r="P325" s="27"/>
    </row>
    <row r="326">
      <c r="N326" s="27"/>
      <c r="O326" s="27"/>
      <c r="P326" s="27"/>
    </row>
    <row r="327">
      <c r="N327" s="27"/>
      <c r="O327" s="27"/>
      <c r="P327" s="27"/>
    </row>
    <row r="328">
      <c r="N328" s="27"/>
      <c r="O328" s="27"/>
      <c r="P328" s="27"/>
    </row>
    <row r="329">
      <c r="N329" s="27"/>
      <c r="O329" s="27"/>
      <c r="P329" s="27"/>
    </row>
    <row r="330">
      <c r="N330" s="27"/>
      <c r="O330" s="27"/>
      <c r="P330" s="27"/>
    </row>
    <row r="331">
      <c r="N331" s="27"/>
      <c r="O331" s="27"/>
      <c r="P331" s="27"/>
    </row>
    <row r="332">
      <c r="N332" s="27"/>
      <c r="O332" s="27"/>
      <c r="P332" s="27"/>
    </row>
    <row r="333">
      <c r="N333" s="27"/>
      <c r="O333" s="27"/>
      <c r="P333" s="27"/>
    </row>
    <row r="334">
      <c r="N334" s="27"/>
      <c r="O334" s="27"/>
      <c r="P334" s="27"/>
    </row>
    <row r="335">
      <c r="N335" s="27"/>
      <c r="O335" s="27"/>
      <c r="P335" s="27"/>
    </row>
    <row r="336">
      <c r="N336" s="27"/>
      <c r="O336" s="27"/>
      <c r="P336" s="27"/>
    </row>
    <row r="337">
      <c r="N337" s="27"/>
      <c r="O337" s="27"/>
      <c r="P337" s="27"/>
    </row>
    <row r="338">
      <c r="N338" s="27"/>
      <c r="O338" s="27"/>
      <c r="P338" s="27"/>
    </row>
    <row r="339">
      <c r="N339" s="27"/>
      <c r="O339" s="27"/>
      <c r="P339" s="27"/>
    </row>
    <row r="340">
      <c r="N340" s="27"/>
      <c r="O340" s="27"/>
      <c r="P340" s="27"/>
    </row>
    <row r="341">
      <c r="N341" s="27"/>
      <c r="O341" s="27"/>
      <c r="P341" s="27"/>
    </row>
    <row r="342">
      <c r="N342" s="27"/>
      <c r="O342" s="27"/>
      <c r="P342" s="27"/>
    </row>
    <row r="343">
      <c r="N343" s="27"/>
      <c r="O343" s="27"/>
      <c r="P343" s="27"/>
    </row>
    <row r="344">
      <c r="N344" s="27"/>
      <c r="O344" s="27"/>
      <c r="P344" s="27"/>
    </row>
    <row r="345">
      <c r="N345" s="27"/>
      <c r="O345" s="27"/>
      <c r="P345" s="27"/>
    </row>
    <row r="346">
      <c r="N346" s="27"/>
      <c r="O346" s="27"/>
      <c r="P346" s="27"/>
    </row>
    <row r="347">
      <c r="N347" s="27"/>
      <c r="O347" s="27"/>
      <c r="P347" s="27"/>
    </row>
    <row r="348">
      <c r="N348" s="27"/>
      <c r="O348" s="27"/>
      <c r="P348" s="27"/>
    </row>
    <row r="349">
      <c r="N349" s="27"/>
      <c r="O349" s="27"/>
      <c r="P349" s="27"/>
    </row>
    <row r="350">
      <c r="N350" s="27"/>
      <c r="O350" s="27"/>
      <c r="P350" s="27"/>
    </row>
    <row r="351">
      <c r="N351" s="27"/>
      <c r="O351" s="27"/>
      <c r="P351" s="27"/>
    </row>
    <row r="352">
      <c r="N352" s="27"/>
      <c r="O352" s="27"/>
      <c r="P352" s="27"/>
    </row>
    <row r="353">
      <c r="N353" s="27"/>
      <c r="O353" s="27"/>
      <c r="P353" s="27"/>
    </row>
    <row r="354">
      <c r="N354" s="27"/>
      <c r="O354" s="27"/>
      <c r="P354" s="27"/>
    </row>
    <row r="355">
      <c r="N355" s="27"/>
      <c r="O355" s="27"/>
      <c r="P355" s="27"/>
    </row>
    <row r="356">
      <c r="N356" s="27"/>
      <c r="O356" s="27"/>
      <c r="P356" s="27"/>
    </row>
    <row r="357">
      <c r="N357" s="27"/>
      <c r="O357" s="27"/>
      <c r="P357" s="27"/>
    </row>
    <row r="358">
      <c r="N358" s="27"/>
      <c r="O358" s="27"/>
      <c r="P358" s="27"/>
    </row>
    <row r="359">
      <c r="N359" s="27"/>
      <c r="O359" s="27"/>
      <c r="P359" s="27"/>
    </row>
    <row r="360">
      <c r="N360" s="27"/>
      <c r="O360" s="27"/>
      <c r="P360" s="27"/>
    </row>
    <row r="361">
      <c r="N361" s="27"/>
      <c r="O361" s="27"/>
      <c r="P361" s="27"/>
    </row>
    <row r="362">
      <c r="N362" s="27"/>
      <c r="O362" s="27"/>
      <c r="P362" s="27"/>
    </row>
    <row r="363">
      <c r="N363" s="27"/>
      <c r="O363" s="27"/>
      <c r="P363" s="27"/>
    </row>
    <row r="364">
      <c r="N364" s="27"/>
      <c r="O364" s="27"/>
      <c r="P364" s="27"/>
    </row>
    <row r="365">
      <c r="N365" s="27"/>
      <c r="O365" s="27"/>
      <c r="P365" s="27"/>
    </row>
    <row r="366">
      <c r="N366" s="27"/>
      <c r="O366" s="27"/>
      <c r="P366" s="27"/>
    </row>
    <row r="367">
      <c r="N367" s="27"/>
      <c r="O367" s="27"/>
      <c r="P367" s="27"/>
    </row>
    <row r="368">
      <c r="N368" s="27"/>
      <c r="O368" s="27"/>
      <c r="P368" s="27"/>
    </row>
    <row r="369">
      <c r="N369" s="27"/>
      <c r="O369" s="27"/>
      <c r="P369" s="27"/>
    </row>
    <row r="370">
      <c r="N370" s="27"/>
      <c r="O370" s="27"/>
      <c r="P370" s="27"/>
    </row>
    <row r="371">
      <c r="N371" s="27"/>
      <c r="O371" s="27"/>
      <c r="P371" s="27"/>
    </row>
    <row r="372">
      <c r="N372" s="27"/>
      <c r="O372" s="27"/>
      <c r="P372" s="27"/>
    </row>
    <row r="373">
      <c r="N373" s="27"/>
      <c r="O373" s="27"/>
      <c r="P373" s="27"/>
    </row>
    <row r="374">
      <c r="N374" s="27"/>
      <c r="O374" s="27"/>
      <c r="P374" s="27"/>
    </row>
    <row r="375">
      <c r="N375" s="27"/>
      <c r="O375" s="27"/>
      <c r="P375" s="27"/>
    </row>
    <row r="376">
      <c r="N376" s="27"/>
      <c r="O376" s="27"/>
      <c r="P376" s="27"/>
    </row>
    <row r="377">
      <c r="N377" s="27"/>
      <c r="O377" s="27"/>
      <c r="P377" s="27"/>
    </row>
    <row r="378">
      <c r="N378" s="27"/>
      <c r="O378" s="27"/>
      <c r="P378" s="27"/>
    </row>
    <row r="379">
      <c r="N379" s="27"/>
      <c r="O379" s="27"/>
      <c r="P379" s="27"/>
    </row>
    <row r="380">
      <c r="N380" s="27"/>
      <c r="O380" s="27"/>
      <c r="P380" s="27"/>
    </row>
    <row r="381">
      <c r="N381" s="27"/>
      <c r="O381" s="27"/>
      <c r="P381" s="27"/>
    </row>
    <row r="382">
      <c r="N382" s="27"/>
      <c r="O382" s="27"/>
      <c r="P382" s="27"/>
    </row>
    <row r="383">
      <c r="N383" s="27"/>
      <c r="O383" s="27"/>
      <c r="P383" s="27"/>
    </row>
    <row r="384">
      <c r="N384" s="27"/>
      <c r="O384" s="27"/>
      <c r="P384" s="27"/>
    </row>
    <row r="385">
      <c r="N385" s="27"/>
      <c r="O385" s="27"/>
      <c r="P385" s="27"/>
    </row>
    <row r="386">
      <c r="N386" s="27"/>
      <c r="O386" s="27"/>
      <c r="P386" s="27"/>
    </row>
    <row r="387">
      <c r="N387" s="27"/>
      <c r="O387" s="27"/>
      <c r="P387" s="27"/>
    </row>
    <row r="388">
      <c r="N388" s="27"/>
      <c r="O388" s="27"/>
      <c r="P388" s="27"/>
    </row>
    <row r="389">
      <c r="N389" s="27"/>
      <c r="O389" s="27"/>
      <c r="P389" s="27"/>
    </row>
    <row r="390">
      <c r="N390" s="27"/>
      <c r="O390" s="27"/>
      <c r="P390" s="27"/>
    </row>
    <row r="391">
      <c r="N391" s="27"/>
      <c r="O391" s="27"/>
      <c r="P391" s="27"/>
    </row>
    <row r="392">
      <c r="N392" s="27"/>
      <c r="O392" s="27"/>
      <c r="P392" s="27"/>
    </row>
    <row r="393">
      <c r="N393" s="27"/>
      <c r="O393" s="27"/>
      <c r="P393" s="27"/>
    </row>
    <row r="394">
      <c r="N394" s="27"/>
      <c r="O394" s="27"/>
      <c r="P394" s="27"/>
    </row>
    <row r="395">
      <c r="N395" s="27"/>
      <c r="O395" s="27"/>
      <c r="P395" s="27"/>
    </row>
    <row r="396">
      <c r="N396" s="27"/>
      <c r="O396" s="27"/>
      <c r="P396" s="27"/>
    </row>
    <row r="397">
      <c r="N397" s="27"/>
      <c r="O397" s="27"/>
      <c r="P397" s="27"/>
    </row>
    <row r="398">
      <c r="N398" s="27"/>
      <c r="O398" s="27"/>
      <c r="P398" s="27"/>
    </row>
    <row r="399">
      <c r="N399" s="27"/>
      <c r="O399" s="27"/>
      <c r="P399" s="27"/>
    </row>
    <row r="400">
      <c r="N400" s="27"/>
      <c r="O400" s="27"/>
      <c r="P400" s="27"/>
    </row>
    <row r="401">
      <c r="N401" s="27"/>
      <c r="O401" s="27"/>
      <c r="P401" s="27"/>
    </row>
    <row r="402">
      <c r="N402" s="27"/>
      <c r="O402" s="27"/>
      <c r="P402" s="27"/>
    </row>
    <row r="403">
      <c r="N403" s="27"/>
      <c r="O403" s="27"/>
      <c r="P403" s="27"/>
    </row>
    <row r="404">
      <c r="N404" s="27"/>
      <c r="O404" s="27"/>
      <c r="P404" s="27"/>
    </row>
    <row r="405">
      <c r="N405" s="27"/>
      <c r="O405" s="27"/>
      <c r="P405" s="27"/>
    </row>
    <row r="406">
      <c r="N406" s="27"/>
      <c r="O406" s="27"/>
      <c r="P406" s="27"/>
    </row>
    <row r="407">
      <c r="N407" s="27"/>
      <c r="O407" s="27"/>
      <c r="P407" s="27"/>
    </row>
    <row r="408">
      <c r="N408" s="27"/>
      <c r="O408" s="27"/>
      <c r="P408" s="27"/>
    </row>
    <row r="409">
      <c r="N409" s="27"/>
      <c r="O409" s="27"/>
      <c r="P409" s="27"/>
    </row>
    <row r="410">
      <c r="N410" s="27"/>
      <c r="O410" s="27"/>
      <c r="P410" s="27"/>
    </row>
    <row r="411">
      <c r="N411" s="27"/>
      <c r="O411" s="27"/>
      <c r="P411" s="27"/>
    </row>
    <row r="412">
      <c r="N412" s="27"/>
      <c r="O412" s="27"/>
      <c r="P412" s="27"/>
    </row>
    <row r="413">
      <c r="N413" s="27"/>
      <c r="O413" s="27"/>
      <c r="P413" s="27"/>
    </row>
    <row r="414">
      <c r="N414" s="27"/>
      <c r="O414" s="27"/>
      <c r="P414" s="27"/>
    </row>
    <row r="415">
      <c r="N415" s="27"/>
      <c r="O415" s="27"/>
      <c r="P415" s="27"/>
    </row>
    <row r="416">
      <c r="N416" s="27"/>
      <c r="O416" s="27"/>
      <c r="P416" s="27"/>
    </row>
    <row r="417">
      <c r="N417" s="27"/>
      <c r="O417" s="27"/>
      <c r="P417" s="27"/>
    </row>
    <row r="418">
      <c r="N418" s="27"/>
      <c r="O418" s="27"/>
      <c r="P418" s="27"/>
    </row>
    <row r="419">
      <c r="N419" s="27"/>
      <c r="O419" s="27"/>
      <c r="P419" s="27"/>
    </row>
    <row r="420">
      <c r="N420" s="27"/>
      <c r="O420" s="27"/>
      <c r="P420" s="27"/>
    </row>
    <row r="421">
      <c r="N421" s="27"/>
      <c r="O421" s="27"/>
      <c r="P421" s="27"/>
    </row>
    <row r="422">
      <c r="N422" s="27"/>
      <c r="O422" s="27"/>
      <c r="P422" s="27"/>
    </row>
    <row r="423">
      <c r="N423" s="27"/>
      <c r="O423" s="27"/>
      <c r="P423" s="27"/>
    </row>
    <row r="424">
      <c r="N424" s="27"/>
      <c r="O424" s="27"/>
      <c r="P424" s="27"/>
    </row>
    <row r="425">
      <c r="N425" s="27"/>
      <c r="O425" s="27"/>
      <c r="P425" s="27"/>
    </row>
    <row r="426">
      <c r="N426" s="27"/>
      <c r="O426" s="27"/>
      <c r="P426" s="27"/>
    </row>
    <row r="427">
      <c r="N427" s="27"/>
      <c r="O427" s="27"/>
      <c r="P427" s="27"/>
    </row>
    <row r="428">
      <c r="N428" s="27"/>
      <c r="O428" s="27"/>
      <c r="P428" s="27"/>
    </row>
    <row r="429">
      <c r="N429" s="27"/>
      <c r="O429" s="27"/>
      <c r="P429" s="27"/>
    </row>
    <row r="430">
      <c r="N430" s="27"/>
      <c r="O430" s="27"/>
      <c r="P430" s="27"/>
    </row>
    <row r="431">
      <c r="N431" s="27"/>
      <c r="O431" s="27"/>
      <c r="P431" s="27"/>
    </row>
    <row r="432">
      <c r="N432" s="27"/>
      <c r="O432" s="27"/>
      <c r="P432" s="27"/>
    </row>
    <row r="433">
      <c r="N433" s="27"/>
      <c r="O433" s="27"/>
      <c r="P433" s="27"/>
    </row>
    <row r="434">
      <c r="N434" s="27"/>
      <c r="O434" s="27"/>
      <c r="P434" s="27"/>
    </row>
    <row r="435">
      <c r="N435" s="27"/>
      <c r="O435" s="27"/>
      <c r="P435" s="27"/>
    </row>
    <row r="436">
      <c r="N436" s="27"/>
      <c r="O436" s="27"/>
      <c r="P436" s="27"/>
    </row>
    <row r="437">
      <c r="N437" s="27"/>
      <c r="O437" s="27"/>
      <c r="P437" s="27"/>
    </row>
    <row r="438">
      <c r="N438" s="27"/>
      <c r="O438" s="27"/>
      <c r="P438" s="27"/>
    </row>
    <row r="439">
      <c r="N439" s="27"/>
      <c r="O439" s="27"/>
      <c r="P439" s="27"/>
    </row>
    <row r="440">
      <c r="N440" s="27"/>
      <c r="O440" s="27"/>
      <c r="P440" s="27"/>
    </row>
    <row r="441">
      <c r="N441" s="27"/>
      <c r="O441" s="27"/>
      <c r="P441" s="27"/>
    </row>
    <row r="442">
      <c r="N442" s="27"/>
      <c r="O442" s="27"/>
      <c r="P442" s="27"/>
    </row>
    <row r="443">
      <c r="N443" s="27"/>
      <c r="O443" s="27"/>
      <c r="P443" s="27"/>
    </row>
    <row r="444">
      <c r="N444" s="27"/>
      <c r="O444" s="27"/>
      <c r="P444" s="27"/>
    </row>
    <row r="445">
      <c r="N445" s="27"/>
      <c r="O445" s="27"/>
      <c r="P445" s="27"/>
    </row>
    <row r="446">
      <c r="N446" s="27"/>
      <c r="O446" s="27"/>
      <c r="P446" s="27"/>
    </row>
    <row r="447">
      <c r="N447" s="27"/>
      <c r="O447" s="27"/>
      <c r="P447" s="27"/>
    </row>
    <row r="448">
      <c r="N448" s="27"/>
      <c r="O448" s="27"/>
      <c r="P448" s="27"/>
    </row>
    <row r="449">
      <c r="N449" s="27"/>
      <c r="O449" s="27"/>
      <c r="P449" s="27"/>
    </row>
    <row r="450">
      <c r="N450" s="27"/>
      <c r="O450" s="27"/>
      <c r="P450" s="27"/>
    </row>
    <row r="451">
      <c r="N451" s="27"/>
      <c r="O451" s="27"/>
      <c r="P451" s="27"/>
    </row>
    <row r="452">
      <c r="N452" s="27"/>
      <c r="O452" s="27"/>
      <c r="P452" s="27"/>
    </row>
    <row r="453">
      <c r="N453" s="27"/>
      <c r="O453" s="27"/>
      <c r="P453" s="27"/>
    </row>
    <row r="454">
      <c r="N454" s="27"/>
      <c r="O454" s="27"/>
      <c r="P454" s="27"/>
    </row>
    <row r="455">
      <c r="N455" s="27"/>
      <c r="O455" s="27"/>
      <c r="P455" s="27"/>
    </row>
    <row r="456">
      <c r="N456" s="27"/>
      <c r="O456" s="27"/>
      <c r="P456" s="27"/>
    </row>
    <row r="457">
      <c r="N457" s="27"/>
      <c r="O457" s="27"/>
      <c r="P457" s="27"/>
    </row>
    <row r="458">
      <c r="N458" s="27"/>
      <c r="O458" s="27"/>
      <c r="P458" s="27"/>
    </row>
    <row r="459">
      <c r="N459" s="27"/>
      <c r="O459" s="27"/>
      <c r="P459" s="27"/>
    </row>
    <row r="460">
      <c r="N460" s="27"/>
      <c r="O460" s="27"/>
      <c r="P460" s="27"/>
    </row>
    <row r="461">
      <c r="N461" s="27"/>
      <c r="O461" s="27"/>
      <c r="P461" s="27"/>
    </row>
    <row r="462">
      <c r="N462" s="27"/>
      <c r="O462" s="27"/>
      <c r="P462" s="27"/>
    </row>
    <row r="463">
      <c r="N463" s="27"/>
      <c r="O463" s="27"/>
      <c r="P463" s="27"/>
    </row>
    <row r="464">
      <c r="N464" s="27"/>
      <c r="O464" s="27"/>
      <c r="P464" s="27"/>
    </row>
    <row r="465">
      <c r="N465" s="27"/>
      <c r="O465" s="27"/>
      <c r="P465" s="27"/>
    </row>
    <row r="466">
      <c r="N466" s="27"/>
      <c r="O466" s="27"/>
      <c r="P466" s="27"/>
    </row>
    <row r="467">
      <c r="N467" s="27"/>
      <c r="O467" s="27"/>
      <c r="P467" s="27"/>
    </row>
    <row r="468">
      <c r="N468" s="27"/>
      <c r="O468" s="27"/>
      <c r="P468" s="27"/>
    </row>
    <row r="469">
      <c r="N469" s="27"/>
      <c r="O469" s="27"/>
      <c r="P469" s="27"/>
    </row>
    <row r="470">
      <c r="N470" s="27"/>
      <c r="O470" s="27"/>
      <c r="P470" s="27"/>
    </row>
    <row r="471">
      <c r="N471" s="27"/>
      <c r="O471" s="27"/>
      <c r="P471" s="27"/>
    </row>
    <row r="472">
      <c r="N472" s="27"/>
      <c r="O472" s="27"/>
      <c r="P472" s="27"/>
    </row>
    <row r="473">
      <c r="N473" s="27"/>
      <c r="O473" s="27"/>
      <c r="P473" s="27"/>
    </row>
    <row r="474">
      <c r="N474" s="27"/>
      <c r="O474" s="27"/>
      <c r="P474" s="27"/>
    </row>
    <row r="475">
      <c r="N475" s="27"/>
      <c r="O475" s="27"/>
      <c r="P475" s="27"/>
    </row>
    <row r="476">
      <c r="N476" s="27"/>
      <c r="O476" s="27"/>
      <c r="P476" s="27"/>
    </row>
    <row r="477">
      <c r="N477" s="27"/>
      <c r="O477" s="27"/>
      <c r="P477" s="27"/>
    </row>
    <row r="478">
      <c r="N478" s="27"/>
      <c r="O478" s="27"/>
      <c r="P478" s="27"/>
    </row>
    <row r="479">
      <c r="N479" s="27"/>
      <c r="O479" s="27"/>
      <c r="P479" s="27"/>
    </row>
    <row r="480">
      <c r="N480" s="27"/>
      <c r="O480" s="27"/>
      <c r="P480" s="27"/>
    </row>
    <row r="481">
      <c r="N481" s="27"/>
      <c r="O481" s="27"/>
      <c r="P481" s="27"/>
    </row>
    <row r="482">
      <c r="N482" s="27"/>
      <c r="O482" s="27"/>
      <c r="P482" s="27"/>
    </row>
    <row r="483">
      <c r="N483" s="27"/>
      <c r="O483" s="27"/>
      <c r="P483" s="27"/>
    </row>
    <row r="484">
      <c r="N484" s="27"/>
      <c r="O484" s="27"/>
      <c r="P484" s="27"/>
    </row>
    <row r="485">
      <c r="N485" s="27"/>
      <c r="O485" s="27"/>
      <c r="P485" s="27"/>
    </row>
    <row r="486">
      <c r="N486" s="27"/>
      <c r="O486" s="27"/>
      <c r="P486" s="27"/>
    </row>
    <row r="487">
      <c r="N487" s="27"/>
      <c r="O487" s="27"/>
      <c r="P487" s="27"/>
    </row>
    <row r="488">
      <c r="N488" s="27"/>
      <c r="O488" s="27"/>
      <c r="P488" s="27"/>
    </row>
    <row r="489">
      <c r="N489" s="27"/>
      <c r="O489" s="27"/>
      <c r="P489" s="27"/>
    </row>
    <row r="490">
      <c r="N490" s="27"/>
      <c r="O490" s="27"/>
      <c r="P490" s="27"/>
    </row>
    <row r="491">
      <c r="N491" s="27"/>
      <c r="O491" s="27"/>
      <c r="P491" s="27"/>
    </row>
    <row r="492">
      <c r="N492" s="27"/>
      <c r="O492" s="27"/>
      <c r="P492" s="27"/>
    </row>
    <row r="493">
      <c r="N493" s="27"/>
      <c r="O493" s="27"/>
      <c r="P493" s="27"/>
    </row>
    <row r="494">
      <c r="N494" s="27"/>
      <c r="O494" s="27"/>
      <c r="P494" s="27"/>
    </row>
    <row r="495">
      <c r="N495" s="27"/>
      <c r="O495" s="27"/>
      <c r="P495" s="27"/>
    </row>
    <row r="496">
      <c r="N496" s="27"/>
      <c r="O496" s="27"/>
      <c r="P496" s="27"/>
    </row>
    <row r="497">
      <c r="N497" s="27"/>
      <c r="O497" s="27"/>
      <c r="P497" s="27"/>
    </row>
    <row r="498">
      <c r="N498" s="27"/>
      <c r="O498" s="27"/>
      <c r="P498" s="27"/>
    </row>
    <row r="499">
      <c r="N499" s="27"/>
      <c r="O499" s="27"/>
      <c r="P499" s="27"/>
    </row>
    <row r="500">
      <c r="N500" s="27"/>
      <c r="O500" s="27"/>
      <c r="P500" s="27"/>
    </row>
    <row r="501">
      <c r="N501" s="27"/>
      <c r="O501" s="27"/>
      <c r="P501" s="27"/>
    </row>
    <row r="502">
      <c r="N502" s="27"/>
      <c r="O502" s="27"/>
      <c r="P502" s="27"/>
    </row>
    <row r="503">
      <c r="N503" s="27"/>
      <c r="O503" s="27"/>
      <c r="P503" s="27"/>
    </row>
    <row r="504">
      <c r="N504" s="27"/>
      <c r="O504" s="27"/>
      <c r="P504" s="27"/>
    </row>
    <row r="505">
      <c r="N505" s="27"/>
      <c r="O505" s="27"/>
      <c r="P505" s="27"/>
    </row>
    <row r="506">
      <c r="N506" s="27"/>
      <c r="O506" s="27"/>
      <c r="P506" s="27"/>
    </row>
    <row r="507">
      <c r="N507" s="27"/>
      <c r="O507" s="27"/>
      <c r="P507" s="27"/>
    </row>
    <row r="508">
      <c r="N508" s="27"/>
      <c r="O508" s="27"/>
      <c r="P508" s="27"/>
    </row>
    <row r="509">
      <c r="N509" s="27"/>
      <c r="O509" s="27"/>
      <c r="P509" s="27"/>
    </row>
    <row r="510">
      <c r="N510" s="27"/>
      <c r="O510" s="27"/>
      <c r="P510" s="27"/>
    </row>
    <row r="511">
      <c r="N511" s="27"/>
      <c r="O511" s="27"/>
      <c r="P511" s="27"/>
    </row>
    <row r="512">
      <c r="N512" s="27"/>
      <c r="O512" s="27"/>
      <c r="P512" s="27"/>
    </row>
    <row r="513">
      <c r="N513" s="27"/>
      <c r="O513" s="27"/>
      <c r="P513" s="27"/>
    </row>
    <row r="514">
      <c r="N514" s="27"/>
      <c r="O514" s="27"/>
      <c r="P514" s="27"/>
    </row>
    <row r="515">
      <c r="N515" s="27"/>
      <c r="O515" s="27"/>
      <c r="P515" s="27"/>
    </row>
    <row r="516">
      <c r="N516" s="27"/>
      <c r="O516" s="27"/>
      <c r="P516" s="27"/>
    </row>
    <row r="517">
      <c r="N517" s="27"/>
      <c r="O517" s="27"/>
      <c r="P517" s="27"/>
    </row>
    <row r="518">
      <c r="N518" s="27"/>
      <c r="O518" s="27"/>
      <c r="P518" s="27"/>
    </row>
    <row r="519">
      <c r="N519" s="27"/>
      <c r="O519" s="27"/>
      <c r="P519" s="27"/>
    </row>
    <row r="520">
      <c r="N520" s="27"/>
      <c r="O520" s="27"/>
      <c r="P520" s="27"/>
    </row>
    <row r="521">
      <c r="N521" s="27"/>
      <c r="O521" s="27"/>
      <c r="P521" s="27"/>
    </row>
    <row r="522">
      <c r="N522" s="27"/>
      <c r="O522" s="27"/>
      <c r="P522" s="27"/>
    </row>
    <row r="523">
      <c r="N523" s="27"/>
      <c r="O523" s="27"/>
      <c r="P523" s="27"/>
    </row>
    <row r="524">
      <c r="N524" s="27"/>
      <c r="O524" s="27"/>
      <c r="P524" s="27"/>
    </row>
    <row r="525">
      <c r="N525" s="27"/>
      <c r="O525" s="27"/>
      <c r="P525" s="27"/>
    </row>
    <row r="526">
      <c r="N526" s="27"/>
      <c r="O526" s="27"/>
      <c r="P526" s="27"/>
    </row>
    <row r="527">
      <c r="N527" s="27"/>
      <c r="O527" s="27"/>
      <c r="P527" s="27"/>
    </row>
    <row r="528">
      <c r="N528" s="27"/>
      <c r="O528" s="27"/>
      <c r="P528" s="27"/>
    </row>
    <row r="529">
      <c r="N529" s="27"/>
      <c r="O529" s="27"/>
      <c r="P529" s="27"/>
    </row>
    <row r="530">
      <c r="N530" s="27"/>
      <c r="O530" s="27"/>
      <c r="P530" s="27"/>
    </row>
    <row r="531">
      <c r="N531" s="27"/>
      <c r="O531" s="27"/>
      <c r="P531" s="27"/>
    </row>
    <row r="532">
      <c r="N532" s="27"/>
      <c r="O532" s="27"/>
      <c r="P532" s="27"/>
    </row>
    <row r="533">
      <c r="N533" s="27"/>
      <c r="O533" s="27"/>
      <c r="P533" s="27"/>
    </row>
    <row r="534">
      <c r="N534" s="27"/>
      <c r="O534" s="27"/>
      <c r="P534" s="27"/>
    </row>
    <row r="535">
      <c r="N535" s="27"/>
      <c r="O535" s="27"/>
      <c r="P535" s="27"/>
    </row>
    <row r="536">
      <c r="N536" s="27"/>
      <c r="O536" s="27"/>
      <c r="P536" s="27"/>
    </row>
    <row r="537">
      <c r="N537" s="27"/>
      <c r="O537" s="27"/>
      <c r="P537" s="27"/>
    </row>
    <row r="538">
      <c r="N538" s="27"/>
      <c r="O538" s="27"/>
      <c r="P538" s="27"/>
    </row>
    <row r="539">
      <c r="N539" s="27"/>
      <c r="O539" s="27"/>
      <c r="P539" s="27"/>
    </row>
    <row r="540">
      <c r="N540" s="27"/>
      <c r="O540" s="27"/>
      <c r="P540" s="27"/>
    </row>
    <row r="541">
      <c r="N541" s="27"/>
      <c r="O541" s="27"/>
      <c r="P541" s="27"/>
    </row>
    <row r="542">
      <c r="N542" s="27"/>
      <c r="O542" s="27"/>
      <c r="P542" s="27"/>
    </row>
    <row r="543">
      <c r="N543" s="27"/>
      <c r="O543" s="27"/>
      <c r="P543" s="27"/>
    </row>
    <row r="544">
      <c r="N544" s="27"/>
      <c r="O544" s="27"/>
      <c r="P544" s="27"/>
    </row>
    <row r="545">
      <c r="N545" s="27"/>
      <c r="O545" s="27"/>
      <c r="P545" s="27"/>
    </row>
    <row r="546">
      <c r="N546" s="27"/>
      <c r="O546" s="27"/>
      <c r="P546" s="27"/>
    </row>
    <row r="547">
      <c r="N547" s="27"/>
      <c r="O547" s="27"/>
      <c r="P547" s="27"/>
    </row>
    <row r="548">
      <c r="N548" s="27"/>
      <c r="O548" s="27"/>
      <c r="P548" s="27"/>
    </row>
    <row r="549">
      <c r="N549" s="27"/>
      <c r="O549" s="27"/>
      <c r="P549" s="27"/>
    </row>
    <row r="550">
      <c r="N550" s="27"/>
      <c r="O550" s="27"/>
      <c r="P550" s="27"/>
    </row>
    <row r="551">
      <c r="N551" s="27"/>
      <c r="O551" s="27"/>
      <c r="P551" s="27"/>
    </row>
    <row r="552">
      <c r="N552" s="27"/>
      <c r="O552" s="27"/>
      <c r="P552" s="27"/>
    </row>
    <row r="553">
      <c r="N553" s="27"/>
      <c r="O553" s="27"/>
      <c r="P553" s="27"/>
    </row>
    <row r="554">
      <c r="N554" s="27"/>
      <c r="O554" s="27"/>
      <c r="P554" s="27"/>
    </row>
    <row r="555">
      <c r="N555" s="27"/>
      <c r="O555" s="27"/>
      <c r="P555" s="27"/>
    </row>
    <row r="556">
      <c r="N556" s="27"/>
      <c r="O556" s="27"/>
      <c r="P556" s="27"/>
    </row>
    <row r="557">
      <c r="N557" s="27"/>
      <c r="O557" s="27"/>
      <c r="P557" s="27"/>
    </row>
    <row r="558">
      <c r="N558" s="27"/>
      <c r="O558" s="27"/>
      <c r="P558" s="27"/>
    </row>
    <row r="559">
      <c r="N559" s="27"/>
      <c r="O559" s="27"/>
      <c r="P559" s="27"/>
    </row>
    <row r="560">
      <c r="N560" s="27"/>
      <c r="O560" s="27"/>
      <c r="P560" s="27"/>
    </row>
    <row r="561">
      <c r="N561" s="27"/>
      <c r="O561" s="27"/>
      <c r="P561" s="27"/>
    </row>
    <row r="562">
      <c r="N562" s="27"/>
      <c r="O562" s="27"/>
      <c r="P562" s="27"/>
    </row>
    <row r="563">
      <c r="N563" s="27"/>
      <c r="O563" s="27"/>
      <c r="P563" s="27"/>
    </row>
    <row r="564">
      <c r="N564" s="27"/>
      <c r="O564" s="27"/>
      <c r="P564" s="27"/>
    </row>
    <row r="565">
      <c r="N565" s="27"/>
      <c r="O565" s="27"/>
      <c r="P565" s="27"/>
    </row>
    <row r="566">
      <c r="N566" s="27"/>
      <c r="O566" s="27"/>
      <c r="P566" s="27"/>
    </row>
    <row r="567">
      <c r="N567" s="27"/>
      <c r="O567" s="27"/>
      <c r="P567" s="27"/>
    </row>
    <row r="568">
      <c r="N568" s="27"/>
      <c r="O568" s="27"/>
      <c r="P568" s="27"/>
    </row>
    <row r="569">
      <c r="N569" s="27"/>
      <c r="O569" s="27"/>
      <c r="P569" s="27"/>
    </row>
    <row r="570">
      <c r="N570" s="27"/>
      <c r="O570" s="27"/>
      <c r="P570" s="27"/>
    </row>
    <row r="571">
      <c r="N571" s="27"/>
      <c r="O571" s="27"/>
      <c r="P571" s="27"/>
    </row>
    <row r="572">
      <c r="N572" s="27"/>
      <c r="O572" s="27"/>
      <c r="P572" s="27"/>
    </row>
    <row r="573">
      <c r="N573" s="27"/>
      <c r="O573" s="27"/>
      <c r="P573" s="27"/>
    </row>
    <row r="574">
      <c r="N574" s="27"/>
      <c r="O574" s="27"/>
      <c r="P574" s="27"/>
    </row>
    <row r="575">
      <c r="N575" s="27"/>
      <c r="O575" s="27"/>
      <c r="P575" s="27"/>
    </row>
    <row r="576">
      <c r="N576" s="27"/>
      <c r="O576" s="27"/>
      <c r="P576" s="27"/>
    </row>
    <row r="577">
      <c r="N577" s="27"/>
      <c r="O577" s="27"/>
      <c r="P577" s="27"/>
    </row>
    <row r="578">
      <c r="N578" s="27"/>
      <c r="O578" s="27"/>
      <c r="P578" s="27"/>
    </row>
    <row r="579">
      <c r="N579" s="27"/>
      <c r="O579" s="27"/>
      <c r="P579" s="27"/>
    </row>
    <row r="580">
      <c r="N580" s="27"/>
      <c r="O580" s="27"/>
      <c r="P580" s="27"/>
    </row>
    <row r="581">
      <c r="N581" s="27"/>
      <c r="O581" s="27"/>
      <c r="P581" s="27"/>
    </row>
    <row r="582">
      <c r="N582" s="27"/>
      <c r="O582" s="27"/>
      <c r="P582" s="27"/>
    </row>
    <row r="583">
      <c r="N583" s="27"/>
      <c r="O583" s="27"/>
      <c r="P583" s="27"/>
    </row>
    <row r="584">
      <c r="N584" s="27"/>
      <c r="O584" s="27"/>
      <c r="P584" s="27"/>
    </row>
    <row r="585">
      <c r="N585" s="27"/>
      <c r="O585" s="27"/>
      <c r="P585" s="27"/>
    </row>
    <row r="586">
      <c r="N586" s="27"/>
      <c r="O586" s="27"/>
      <c r="P586" s="27"/>
    </row>
    <row r="587">
      <c r="N587" s="27"/>
      <c r="O587" s="27"/>
      <c r="P587" s="27"/>
    </row>
    <row r="588">
      <c r="N588" s="27"/>
      <c r="O588" s="27"/>
      <c r="P588" s="27"/>
    </row>
    <row r="589">
      <c r="N589" s="27"/>
      <c r="O589" s="27"/>
      <c r="P589" s="27"/>
    </row>
    <row r="590">
      <c r="N590" s="27"/>
      <c r="O590" s="27"/>
      <c r="P590" s="27"/>
    </row>
    <row r="591">
      <c r="N591" s="27"/>
      <c r="O591" s="27"/>
      <c r="P591" s="27"/>
    </row>
    <row r="592">
      <c r="N592" s="27"/>
      <c r="O592" s="27"/>
      <c r="P592" s="27"/>
    </row>
    <row r="593">
      <c r="N593" s="27"/>
      <c r="O593" s="27"/>
      <c r="P593" s="27"/>
    </row>
    <row r="594">
      <c r="N594" s="27"/>
      <c r="O594" s="27"/>
      <c r="P594" s="27"/>
    </row>
    <row r="595">
      <c r="N595" s="27"/>
      <c r="O595" s="27"/>
      <c r="P595" s="27"/>
    </row>
    <row r="596">
      <c r="N596" s="27"/>
      <c r="O596" s="27"/>
      <c r="P596" s="27"/>
    </row>
    <row r="597">
      <c r="N597" s="27"/>
      <c r="O597" s="27"/>
      <c r="P597" s="27"/>
    </row>
    <row r="598">
      <c r="N598" s="27"/>
      <c r="O598" s="27"/>
      <c r="P598" s="27"/>
    </row>
    <row r="599">
      <c r="N599" s="27"/>
      <c r="O599" s="27"/>
      <c r="P599" s="27"/>
    </row>
    <row r="600">
      <c r="N600" s="27"/>
      <c r="O600" s="27"/>
      <c r="P600" s="27"/>
    </row>
    <row r="601">
      <c r="N601" s="27"/>
      <c r="O601" s="27"/>
      <c r="P601" s="27"/>
    </row>
    <row r="602">
      <c r="N602" s="27"/>
      <c r="O602" s="27"/>
      <c r="P602" s="27"/>
    </row>
    <row r="603">
      <c r="N603" s="27"/>
      <c r="O603" s="27"/>
      <c r="P603" s="27"/>
    </row>
    <row r="604">
      <c r="N604" s="27"/>
      <c r="O604" s="27"/>
      <c r="P604" s="27"/>
    </row>
    <row r="605">
      <c r="N605" s="27"/>
      <c r="O605" s="27"/>
      <c r="P605" s="27"/>
    </row>
    <row r="606">
      <c r="N606" s="27"/>
      <c r="O606" s="27"/>
      <c r="P606" s="27"/>
    </row>
    <row r="607">
      <c r="N607" s="27"/>
      <c r="O607" s="27"/>
      <c r="P607" s="27"/>
    </row>
    <row r="608">
      <c r="N608" s="27"/>
      <c r="O608" s="27"/>
      <c r="P608" s="27"/>
    </row>
    <row r="609">
      <c r="N609" s="27"/>
      <c r="O609" s="27"/>
      <c r="P609" s="27"/>
    </row>
    <row r="610">
      <c r="N610" s="27"/>
      <c r="O610" s="27"/>
      <c r="P610" s="27"/>
    </row>
    <row r="611">
      <c r="N611" s="27"/>
      <c r="O611" s="27"/>
      <c r="P611" s="27"/>
    </row>
    <row r="612">
      <c r="N612" s="27"/>
      <c r="O612" s="27"/>
      <c r="P612" s="27"/>
    </row>
    <row r="613">
      <c r="N613" s="27"/>
      <c r="O613" s="27"/>
      <c r="P613" s="27"/>
    </row>
    <row r="614">
      <c r="N614" s="27"/>
      <c r="O614" s="27"/>
      <c r="P614" s="27"/>
    </row>
    <row r="615">
      <c r="N615" s="27"/>
      <c r="O615" s="27"/>
      <c r="P615" s="27"/>
    </row>
    <row r="616">
      <c r="N616" s="27"/>
      <c r="O616" s="27"/>
      <c r="P616" s="27"/>
    </row>
    <row r="617">
      <c r="N617" s="27"/>
      <c r="O617" s="27"/>
      <c r="P617" s="27"/>
    </row>
    <row r="618">
      <c r="N618" s="27"/>
      <c r="O618" s="27"/>
      <c r="P618" s="27"/>
    </row>
    <row r="619">
      <c r="N619" s="27"/>
      <c r="O619" s="27"/>
      <c r="P619" s="27"/>
    </row>
    <row r="620">
      <c r="N620" s="27"/>
      <c r="O620" s="27"/>
      <c r="P620" s="27"/>
    </row>
    <row r="621">
      <c r="N621" s="27"/>
      <c r="O621" s="27"/>
      <c r="P621" s="27"/>
    </row>
    <row r="622">
      <c r="N622" s="27"/>
      <c r="O622" s="27"/>
      <c r="P622" s="27"/>
    </row>
    <row r="623">
      <c r="N623" s="27"/>
      <c r="O623" s="27"/>
      <c r="P623" s="27"/>
    </row>
    <row r="624">
      <c r="N624" s="27"/>
      <c r="O624" s="27"/>
      <c r="P624" s="27"/>
    </row>
    <row r="625">
      <c r="N625" s="27"/>
      <c r="O625" s="27"/>
      <c r="P625" s="27"/>
    </row>
    <row r="626">
      <c r="N626" s="27"/>
      <c r="O626" s="27"/>
      <c r="P626" s="27"/>
    </row>
    <row r="627">
      <c r="N627" s="27"/>
      <c r="O627" s="27"/>
      <c r="P627" s="27"/>
    </row>
    <row r="628">
      <c r="N628" s="27"/>
      <c r="O628" s="27"/>
      <c r="P628" s="27"/>
    </row>
    <row r="629">
      <c r="N629" s="27"/>
      <c r="O629" s="27"/>
      <c r="P629" s="27"/>
    </row>
    <row r="630">
      <c r="N630" s="27"/>
      <c r="O630" s="27"/>
      <c r="P630" s="27"/>
    </row>
    <row r="631">
      <c r="N631" s="27"/>
      <c r="O631" s="27"/>
      <c r="P631" s="27"/>
    </row>
    <row r="632">
      <c r="N632" s="27"/>
      <c r="O632" s="27"/>
      <c r="P632" s="27"/>
    </row>
    <row r="633">
      <c r="N633" s="27"/>
      <c r="O633" s="27"/>
      <c r="P633" s="27"/>
    </row>
    <row r="634">
      <c r="N634" s="27"/>
      <c r="O634" s="27"/>
      <c r="P634" s="27"/>
    </row>
    <row r="635">
      <c r="N635" s="27"/>
      <c r="O635" s="27"/>
      <c r="P635" s="27"/>
    </row>
    <row r="636">
      <c r="N636" s="27"/>
      <c r="O636" s="27"/>
      <c r="P636" s="27"/>
    </row>
    <row r="637">
      <c r="N637" s="27"/>
      <c r="O637" s="27"/>
      <c r="P637" s="27"/>
    </row>
    <row r="638">
      <c r="N638" s="27"/>
      <c r="O638" s="27"/>
      <c r="P638" s="27"/>
    </row>
    <row r="639">
      <c r="N639" s="27"/>
      <c r="O639" s="27"/>
      <c r="P639" s="27"/>
    </row>
    <row r="640">
      <c r="N640" s="27"/>
      <c r="O640" s="27"/>
      <c r="P640" s="27"/>
    </row>
    <row r="641">
      <c r="N641" s="27"/>
      <c r="O641" s="27"/>
      <c r="P641" s="27"/>
    </row>
    <row r="642">
      <c r="N642" s="27"/>
      <c r="O642" s="27"/>
      <c r="P642" s="27"/>
    </row>
    <row r="643">
      <c r="N643" s="27"/>
      <c r="O643" s="27"/>
      <c r="P643" s="27"/>
    </row>
    <row r="644">
      <c r="N644" s="27"/>
      <c r="O644" s="27"/>
      <c r="P644" s="27"/>
    </row>
    <row r="645">
      <c r="N645" s="27"/>
      <c r="O645" s="27"/>
      <c r="P645" s="27"/>
    </row>
    <row r="646">
      <c r="N646" s="27"/>
      <c r="O646" s="27"/>
      <c r="P646" s="27"/>
    </row>
    <row r="647">
      <c r="N647" s="27"/>
      <c r="O647" s="27"/>
      <c r="P647" s="27"/>
    </row>
    <row r="648">
      <c r="N648" s="27"/>
      <c r="O648" s="27"/>
      <c r="P648" s="27"/>
    </row>
    <row r="649">
      <c r="N649" s="27"/>
      <c r="O649" s="27"/>
      <c r="P649" s="27"/>
    </row>
    <row r="650">
      <c r="N650" s="27"/>
      <c r="O650" s="27"/>
      <c r="P650" s="27"/>
    </row>
    <row r="651">
      <c r="N651" s="27"/>
      <c r="O651" s="27"/>
      <c r="P651" s="27"/>
    </row>
    <row r="652">
      <c r="N652" s="27"/>
      <c r="O652" s="27"/>
      <c r="P652" s="27"/>
    </row>
    <row r="653">
      <c r="N653" s="27"/>
      <c r="O653" s="27"/>
      <c r="P653" s="27"/>
    </row>
    <row r="654">
      <c r="N654" s="27"/>
      <c r="O654" s="27"/>
      <c r="P654" s="27"/>
    </row>
    <row r="655">
      <c r="N655" s="27"/>
      <c r="O655" s="27"/>
      <c r="P655" s="27"/>
    </row>
    <row r="656">
      <c r="N656" s="27"/>
      <c r="O656" s="27"/>
      <c r="P656" s="27"/>
    </row>
    <row r="657">
      <c r="N657" s="27"/>
      <c r="O657" s="27"/>
      <c r="P657" s="27"/>
    </row>
    <row r="658">
      <c r="N658" s="27"/>
      <c r="O658" s="27"/>
      <c r="P658" s="27"/>
    </row>
    <row r="659">
      <c r="N659" s="27"/>
      <c r="O659" s="27"/>
      <c r="P659" s="27"/>
    </row>
    <row r="660">
      <c r="N660" s="27"/>
      <c r="O660" s="27"/>
      <c r="P660" s="27"/>
    </row>
    <row r="661">
      <c r="N661" s="27"/>
      <c r="O661" s="27"/>
      <c r="P661" s="27"/>
    </row>
    <row r="662">
      <c r="N662" s="27"/>
      <c r="O662" s="27"/>
      <c r="P662" s="27"/>
    </row>
    <row r="663">
      <c r="N663" s="27"/>
      <c r="O663" s="27"/>
      <c r="P663" s="27"/>
    </row>
    <row r="664">
      <c r="N664" s="27"/>
      <c r="O664" s="27"/>
      <c r="P664" s="27"/>
    </row>
    <row r="665">
      <c r="N665" s="27"/>
      <c r="O665" s="27"/>
      <c r="P665" s="27"/>
    </row>
    <row r="666">
      <c r="N666" s="27"/>
      <c r="O666" s="27"/>
      <c r="P666" s="27"/>
    </row>
    <row r="667">
      <c r="N667" s="27"/>
      <c r="O667" s="27"/>
      <c r="P667" s="27"/>
    </row>
    <row r="668">
      <c r="N668" s="27"/>
      <c r="O668" s="27"/>
      <c r="P668" s="27"/>
    </row>
    <row r="669">
      <c r="N669" s="27"/>
      <c r="O669" s="27"/>
      <c r="P669" s="27"/>
    </row>
    <row r="670">
      <c r="N670" s="27"/>
      <c r="O670" s="27"/>
      <c r="P670" s="27"/>
    </row>
    <row r="671">
      <c r="N671" s="27"/>
      <c r="O671" s="27"/>
      <c r="P671" s="27"/>
    </row>
    <row r="672">
      <c r="N672" s="27"/>
      <c r="O672" s="27"/>
      <c r="P672" s="27"/>
    </row>
    <row r="673">
      <c r="N673" s="27"/>
      <c r="O673" s="27"/>
      <c r="P673" s="27"/>
    </row>
    <row r="674">
      <c r="N674" s="27"/>
      <c r="O674" s="27"/>
      <c r="P674" s="27"/>
    </row>
    <row r="675">
      <c r="N675" s="27"/>
      <c r="O675" s="27"/>
      <c r="P675" s="27"/>
    </row>
    <row r="676">
      <c r="N676" s="27"/>
      <c r="O676" s="27"/>
      <c r="P676" s="27"/>
    </row>
    <row r="677">
      <c r="N677" s="27"/>
      <c r="O677" s="27"/>
      <c r="P677" s="27"/>
    </row>
    <row r="678">
      <c r="N678" s="27"/>
      <c r="O678" s="27"/>
      <c r="P678" s="27"/>
    </row>
    <row r="679">
      <c r="N679" s="27"/>
      <c r="O679" s="27"/>
      <c r="P679" s="27"/>
    </row>
    <row r="680">
      <c r="N680" s="27"/>
      <c r="O680" s="27"/>
      <c r="P680" s="27"/>
    </row>
    <row r="681">
      <c r="N681" s="27"/>
      <c r="O681" s="27"/>
      <c r="P681" s="27"/>
    </row>
    <row r="682">
      <c r="N682" s="27"/>
      <c r="O682" s="27"/>
      <c r="P682" s="27"/>
    </row>
    <row r="683">
      <c r="N683" s="27"/>
      <c r="O683" s="27"/>
      <c r="P683" s="27"/>
    </row>
    <row r="684">
      <c r="N684" s="27"/>
      <c r="O684" s="27"/>
      <c r="P684" s="27"/>
    </row>
    <row r="685">
      <c r="N685" s="27"/>
      <c r="O685" s="27"/>
      <c r="P685" s="27"/>
    </row>
    <row r="686">
      <c r="N686" s="27"/>
      <c r="O686" s="27"/>
      <c r="P686" s="27"/>
    </row>
    <row r="687">
      <c r="N687" s="27"/>
      <c r="O687" s="27"/>
      <c r="P687" s="27"/>
    </row>
    <row r="688">
      <c r="N688" s="27"/>
      <c r="O688" s="27"/>
      <c r="P688" s="27"/>
    </row>
    <row r="689">
      <c r="N689" s="27"/>
      <c r="O689" s="27"/>
      <c r="P689" s="27"/>
    </row>
    <row r="690">
      <c r="N690" s="27"/>
      <c r="O690" s="27"/>
      <c r="P690" s="27"/>
    </row>
    <row r="691">
      <c r="N691" s="27"/>
      <c r="O691" s="27"/>
      <c r="P691" s="27"/>
    </row>
    <row r="692">
      <c r="N692" s="27"/>
      <c r="O692" s="27"/>
      <c r="P692" s="27"/>
    </row>
    <row r="693">
      <c r="N693" s="27"/>
      <c r="O693" s="27"/>
      <c r="P693" s="27"/>
    </row>
    <row r="694">
      <c r="N694" s="27"/>
      <c r="O694" s="27"/>
      <c r="P694" s="27"/>
    </row>
    <row r="695">
      <c r="N695" s="27"/>
      <c r="O695" s="27"/>
      <c r="P695" s="27"/>
    </row>
    <row r="696">
      <c r="N696" s="27"/>
      <c r="O696" s="27"/>
      <c r="P696" s="27"/>
    </row>
    <row r="697">
      <c r="N697" s="27"/>
      <c r="O697" s="27"/>
      <c r="P697" s="27"/>
    </row>
    <row r="698">
      <c r="N698" s="27"/>
      <c r="O698" s="27"/>
      <c r="P698" s="27"/>
    </row>
    <row r="699">
      <c r="N699" s="27"/>
      <c r="O699" s="27"/>
      <c r="P699" s="27"/>
    </row>
    <row r="700">
      <c r="N700" s="27"/>
      <c r="O700" s="27"/>
      <c r="P700" s="27"/>
    </row>
    <row r="701">
      <c r="N701" s="27"/>
      <c r="O701" s="27"/>
      <c r="P701" s="27"/>
    </row>
    <row r="702">
      <c r="N702" s="27"/>
      <c r="O702" s="27"/>
      <c r="P702" s="27"/>
    </row>
    <row r="703">
      <c r="N703" s="27"/>
      <c r="O703" s="27"/>
      <c r="P703" s="27"/>
    </row>
    <row r="704">
      <c r="N704" s="27"/>
      <c r="O704" s="27"/>
      <c r="P704" s="27"/>
    </row>
    <row r="705">
      <c r="N705" s="27"/>
      <c r="O705" s="27"/>
      <c r="P705" s="27"/>
    </row>
    <row r="706">
      <c r="N706" s="27"/>
      <c r="O706" s="27"/>
      <c r="P706" s="27"/>
    </row>
    <row r="707">
      <c r="N707" s="27"/>
      <c r="O707" s="27"/>
      <c r="P707" s="27"/>
    </row>
    <row r="708">
      <c r="N708" s="27"/>
      <c r="O708" s="27"/>
      <c r="P708" s="27"/>
    </row>
    <row r="709">
      <c r="N709" s="27"/>
      <c r="O709" s="27"/>
      <c r="P709" s="27"/>
    </row>
    <row r="710">
      <c r="N710" s="27"/>
      <c r="O710" s="27"/>
      <c r="P710" s="27"/>
    </row>
    <row r="711">
      <c r="N711" s="27"/>
      <c r="O711" s="27"/>
      <c r="P711" s="27"/>
    </row>
    <row r="712">
      <c r="N712" s="27"/>
      <c r="O712" s="27"/>
      <c r="P712" s="27"/>
    </row>
    <row r="713">
      <c r="N713" s="27"/>
      <c r="O713" s="27"/>
      <c r="P713" s="27"/>
    </row>
    <row r="714">
      <c r="N714" s="27"/>
      <c r="O714" s="27"/>
      <c r="P714" s="27"/>
    </row>
    <row r="715">
      <c r="N715" s="27"/>
      <c r="O715" s="27"/>
      <c r="P715" s="27"/>
    </row>
    <row r="716">
      <c r="N716" s="27"/>
      <c r="O716" s="27"/>
      <c r="P716" s="27"/>
    </row>
    <row r="717">
      <c r="N717" s="27"/>
      <c r="O717" s="27"/>
      <c r="P717" s="27"/>
    </row>
    <row r="718">
      <c r="N718" s="27"/>
      <c r="O718" s="27"/>
      <c r="P718" s="27"/>
    </row>
    <row r="719">
      <c r="N719" s="27"/>
      <c r="O719" s="27"/>
      <c r="P719" s="27"/>
    </row>
    <row r="720">
      <c r="N720" s="27"/>
      <c r="O720" s="27"/>
      <c r="P720" s="27"/>
    </row>
    <row r="721">
      <c r="N721" s="27"/>
      <c r="O721" s="27"/>
      <c r="P721" s="27"/>
    </row>
    <row r="722">
      <c r="N722" s="27"/>
      <c r="O722" s="27"/>
      <c r="P722" s="27"/>
    </row>
    <row r="723">
      <c r="N723" s="27"/>
      <c r="O723" s="27"/>
      <c r="P723" s="27"/>
    </row>
    <row r="724">
      <c r="N724" s="27"/>
      <c r="O724" s="27"/>
      <c r="P724" s="27"/>
    </row>
    <row r="725">
      <c r="N725" s="27"/>
      <c r="O725" s="27"/>
      <c r="P725" s="27"/>
    </row>
    <row r="726">
      <c r="N726" s="27"/>
      <c r="O726" s="27"/>
      <c r="P726" s="27"/>
    </row>
    <row r="727">
      <c r="N727" s="27"/>
      <c r="O727" s="27"/>
      <c r="P727" s="27"/>
    </row>
    <row r="728">
      <c r="N728" s="27"/>
      <c r="O728" s="27"/>
      <c r="P728" s="27"/>
    </row>
    <row r="729">
      <c r="N729" s="27"/>
      <c r="O729" s="27"/>
      <c r="P729" s="27"/>
    </row>
    <row r="730">
      <c r="N730" s="27"/>
      <c r="O730" s="27"/>
      <c r="P730" s="27"/>
    </row>
    <row r="731">
      <c r="N731" s="27"/>
      <c r="O731" s="27"/>
      <c r="P731" s="27"/>
    </row>
    <row r="732">
      <c r="N732" s="27"/>
      <c r="O732" s="27"/>
      <c r="P732" s="27"/>
    </row>
    <row r="733">
      <c r="N733" s="27"/>
      <c r="O733" s="27"/>
      <c r="P733" s="27"/>
    </row>
    <row r="734">
      <c r="N734" s="27"/>
      <c r="O734" s="27"/>
      <c r="P734" s="27"/>
    </row>
    <row r="735">
      <c r="N735" s="27"/>
      <c r="O735" s="27"/>
      <c r="P735" s="27"/>
    </row>
    <row r="736">
      <c r="N736" s="27"/>
      <c r="O736" s="27"/>
      <c r="P736" s="27"/>
    </row>
    <row r="737">
      <c r="N737" s="27"/>
      <c r="O737" s="27"/>
      <c r="P737" s="27"/>
    </row>
    <row r="738">
      <c r="N738" s="27"/>
      <c r="O738" s="27"/>
      <c r="P738" s="27"/>
    </row>
    <row r="739">
      <c r="N739" s="27"/>
      <c r="O739" s="27"/>
      <c r="P739" s="27"/>
    </row>
    <row r="740">
      <c r="N740" s="27"/>
      <c r="O740" s="27"/>
      <c r="P740" s="27"/>
    </row>
    <row r="741">
      <c r="N741" s="27"/>
      <c r="O741" s="27"/>
      <c r="P741" s="27"/>
    </row>
    <row r="742">
      <c r="N742" s="27"/>
      <c r="O742" s="27"/>
      <c r="P742" s="27"/>
    </row>
    <row r="743">
      <c r="N743" s="27"/>
      <c r="O743" s="27"/>
      <c r="P743" s="27"/>
    </row>
    <row r="744">
      <c r="N744" s="27"/>
      <c r="O744" s="27"/>
      <c r="P744" s="27"/>
    </row>
    <row r="745">
      <c r="N745" s="27"/>
      <c r="O745" s="27"/>
      <c r="P745" s="27"/>
    </row>
    <row r="746">
      <c r="N746" s="27"/>
      <c r="O746" s="27"/>
      <c r="P746" s="27"/>
    </row>
    <row r="747">
      <c r="N747" s="27"/>
      <c r="O747" s="27"/>
      <c r="P747" s="27"/>
    </row>
    <row r="748">
      <c r="N748" s="27"/>
      <c r="O748" s="27"/>
      <c r="P748" s="27"/>
    </row>
    <row r="749">
      <c r="N749" s="27"/>
      <c r="O749" s="27"/>
      <c r="P749" s="27"/>
    </row>
    <row r="750">
      <c r="N750" s="27"/>
      <c r="O750" s="27"/>
      <c r="P750" s="27"/>
    </row>
    <row r="751">
      <c r="N751" s="27"/>
      <c r="O751" s="27"/>
      <c r="P751" s="27"/>
    </row>
    <row r="752">
      <c r="N752" s="27"/>
      <c r="O752" s="27"/>
      <c r="P752" s="27"/>
    </row>
    <row r="753">
      <c r="N753" s="27"/>
      <c r="O753" s="27"/>
      <c r="P753" s="27"/>
    </row>
    <row r="754">
      <c r="N754" s="27"/>
      <c r="O754" s="27"/>
      <c r="P754" s="27"/>
    </row>
    <row r="755">
      <c r="N755" s="27"/>
      <c r="O755" s="27"/>
      <c r="P755" s="27"/>
    </row>
    <row r="756">
      <c r="N756" s="27"/>
      <c r="O756" s="27"/>
      <c r="P756" s="27"/>
    </row>
    <row r="757">
      <c r="N757" s="27"/>
      <c r="O757" s="27"/>
      <c r="P757" s="27"/>
    </row>
    <row r="758">
      <c r="N758" s="27"/>
      <c r="O758" s="27"/>
      <c r="P758" s="27"/>
    </row>
    <row r="759">
      <c r="N759" s="27"/>
      <c r="O759" s="27"/>
      <c r="P759" s="27"/>
    </row>
    <row r="760">
      <c r="N760" s="27"/>
      <c r="O760" s="27"/>
      <c r="P760" s="27"/>
    </row>
    <row r="761">
      <c r="N761" s="27"/>
      <c r="O761" s="27"/>
      <c r="P761" s="27"/>
    </row>
    <row r="762">
      <c r="N762" s="27"/>
      <c r="O762" s="27"/>
      <c r="P762" s="27"/>
    </row>
    <row r="763">
      <c r="N763" s="27"/>
      <c r="O763" s="27"/>
      <c r="P763" s="27"/>
    </row>
    <row r="764">
      <c r="N764" s="27"/>
      <c r="O764" s="27"/>
      <c r="P764" s="27"/>
    </row>
    <row r="765">
      <c r="N765" s="27"/>
      <c r="O765" s="27"/>
      <c r="P765" s="27"/>
    </row>
    <row r="766">
      <c r="N766" s="27"/>
      <c r="O766" s="27"/>
      <c r="P766" s="27"/>
    </row>
    <row r="767">
      <c r="N767" s="27"/>
      <c r="O767" s="27"/>
      <c r="P767" s="27"/>
    </row>
    <row r="768">
      <c r="N768" s="27"/>
      <c r="O768" s="27"/>
      <c r="P768" s="27"/>
    </row>
    <row r="769">
      <c r="N769" s="27"/>
      <c r="O769" s="27"/>
      <c r="P769" s="27"/>
    </row>
    <row r="770">
      <c r="N770" s="27"/>
      <c r="O770" s="27"/>
      <c r="P770" s="27"/>
    </row>
    <row r="771">
      <c r="N771" s="27"/>
      <c r="O771" s="27"/>
      <c r="P771" s="27"/>
    </row>
    <row r="772">
      <c r="N772" s="27"/>
      <c r="O772" s="27"/>
      <c r="P772" s="27"/>
    </row>
    <row r="773">
      <c r="N773" s="27"/>
      <c r="O773" s="27"/>
      <c r="P773" s="27"/>
    </row>
    <row r="774">
      <c r="N774" s="27"/>
      <c r="O774" s="27"/>
      <c r="P774" s="27"/>
    </row>
    <row r="775">
      <c r="N775" s="27"/>
      <c r="O775" s="27"/>
      <c r="P775" s="27"/>
    </row>
    <row r="776">
      <c r="N776" s="27"/>
      <c r="O776" s="27"/>
      <c r="P776" s="27"/>
    </row>
    <row r="777">
      <c r="N777" s="27"/>
      <c r="O777" s="27"/>
      <c r="P777" s="27"/>
    </row>
    <row r="778">
      <c r="N778" s="27"/>
      <c r="O778" s="27"/>
      <c r="P778" s="27"/>
    </row>
    <row r="779">
      <c r="N779" s="27"/>
      <c r="O779" s="27"/>
      <c r="P779" s="27"/>
    </row>
    <row r="780">
      <c r="N780" s="27"/>
      <c r="O780" s="27"/>
      <c r="P780" s="27"/>
    </row>
    <row r="781">
      <c r="N781" s="27"/>
      <c r="O781" s="27"/>
      <c r="P781" s="27"/>
    </row>
    <row r="782">
      <c r="N782" s="27"/>
      <c r="O782" s="27"/>
      <c r="P782" s="27"/>
    </row>
    <row r="783">
      <c r="N783" s="27"/>
      <c r="O783" s="27"/>
      <c r="P783" s="27"/>
    </row>
    <row r="784">
      <c r="N784" s="27"/>
      <c r="O784" s="27"/>
      <c r="P784" s="27"/>
    </row>
    <row r="785">
      <c r="N785" s="27"/>
      <c r="O785" s="27"/>
      <c r="P785" s="27"/>
    </row>
    <row r="786">
      <c r="N786" s="27"/>
      <c r="O786" s="27"/>
      <c r="P786" s="27"/>
    </row>
    <row r="787">
      <c r="N787" s="27"/>
      <c r="O787" s="27"/>
      <c r="P787" s="27"/>
    </row>
    <row r="788">
      <c r="N788" s="27"/>
      <c r="O788" s="27"/>
      <c r="P788" s="27"/>
    </row>
    <row r="789">
      <c r="N789" s="27"/>
      <c r="O789" s="27"/>
      <c r="P789" s="27"/>
    </row>
    <row r="790">
      <c r="N790" s="27"/>
      <c r="O790" s="27"/>
      <c r="P790" s="27"/>
    </row>
    <row r="791">
      <c r="N791" s="27"/>
      <c r="O791" s="27"/>
      <c r="P791" s="27"/>
    </row>
    <row r="792">
      <c r="N792" s="27"/>
      <c r="O792" s="27"/>
      <c r="P792" s="27"/>
    </row>
    <row r="793">
      <c r="N793" s="27"/>
      <c r="O793" s="27"/>
      <c r="P793" s="27"/>
    </row>
    <row r="794">
      <c r="N794" s="27"/>
      <c r="O794" s="27"/>
      <c r="P794" s="27"/>
    </row>
    <row r="795">
      <c r="N795" s="27"/>
      <c r="O795" s="27"/>
      <c r="P795" s="27"/>
    </row>
    <row r="796">
      <c r="N796" s="27"/>
      <c r="O796" s="27"/>
      <c r="P796" s="27"/>
    </row>
    <row r="797">
      <c r="N797" s="27"/>
      <c r="O797" s="27"/>
      <c r="P797" s="27"/>
    </row>
    <row r="798">
      <c r="N798" s="27"/>
      <c r="O798" s="27"/>
      <c r="P798" s="27"/>
    </row>
    <row r="799">
      <c r="N799" s="27"/>
      <c r="O799" s="27"/>
      <c r="P799" s="27"/>
    </row>
    <row r="800">
      <c r="N800" s="27"/>
      <c r="O800" s="27"/>
      <c r="P800" s="27"/>
    </row>
    <row r="801">
      <c r="N801" s="27"/>
      <c r="O801" s="27"/>
      <c r="P801" s="27"/>
    </row>
    <row r="802">
      <c r="N802" s="27"/>
      <c r="O802" s="27"/>
      <c r="P802" s="27"/>
    </row>
    <row r="803">
      <c r="N803" s="27"/>
      <c r="O803" s="27"/>
      <c r="P803" s="27"/>
    </row>
    <row r="804">
      <c r="N804" s="27"/>
      <c r="O804" s="27"/>
      <c r="P804" s="27"/>
    </row>
    <row r="805">
      <c r="N805" s="27"/>
      <c r="O805" s="27"/>
      <c r="P805" s="27"/>
    </row>
    <row r="806">
      <c r="N806" s="27"/>
      <c r="O806" s="27"/>
      <c r="P806" s="27"/>
    </row>
    <row r="807">
      <c r="N807" s="27"/>
      <c r="O807" s="27"/>
      <c r="P807" s="27"/>
    </row>
    <row r="808">
      <c r="N808" s="27"/>
      <c r="O808" s="27"/>
      <c r="P808" s="27"/>
    </row>
    <row r="809">
      <c r="N809" s="27"/>
      <c r="O809" s="27"/>
      <c r="P809" s="27"/>
    </row>
    <row r="810">
      <c r="N810" s="27"/>
      <c r="O810" s="27"/>
      <c r="P810" s="27"/>
    </row>
    <row r="811">
      <c r="N811" s="27"/>
      <c r="O811" s="27"/>
      <c r="P811" s="27"/>
    </row>
    <row r="812">
      <c r="N812" s="27"/>
      <c r="O812" s="27"/>
      <c r="P812" s="27"/>
    </row>
    <row r="813">
      <c r="N813" s="27"/>
      <c r="O813" s="27"/>
      <c r="P813" s="27"/>
    </row>
    <row r="814">
      <c r="N814" s="27"/>
      <c r="O814" s="27"/>
      <c r="P814" s="27"/>
    </row>
    <row r="815">
      <c r="N815" s="27"/>
      <c r="O815" s="27"/>
      <c r="P815" s="27"/>
    </row>
    <row r="816">
      <c r="N816" s="27"/>
      <c r="O816" s="27"/>
      <c r="P816" s="27"/>
    </row>
    <row r="817">
      <c r="N817" s="27"/>
      <c r="O817" s="27"/>
      <c r="P817" s="27"/>
    </row>
    <row r="818">
      <c r="N818" s="27"/>
      <c r="O818" s="27"/>
      <c r="P818" s="27"/>
    </row>
    <row r="819">
      <c r="N819" s="27"/>
      <c r="O819" s="27"/>
      <c r="P819" s="27"/>
    </row>
    <row r="820">
      <c r="N820" s="27"/>
      <c r="O820" s="27"/>
      <c r="P820" s="27"/>
    </row>
    <row r="821">
      <c r="N821" s="27"/>
      <c r="O821" s="27"/>
      <c r="P821" s="27"/>
    </row>
    <row r="822">
      <c r="N822" s="27"/>
      <c r="O822" s="27"/>
      <c r="P822" s="27"/>
    </row>
    <row r="823">
      <c r="N823" s="27"/>
      <c r="O823" s="27"/>
      <c r="P823" s="27"/>
    </row>
    <row r="824">
      <c r="N824" s="27"/>
      <c r="O824" s="27"/>
      <c r="P824" s="27"/>
    </row>
    <row r="825">
      <c r="N825" s="27"/>
      <c r="O825" s="27"/>
      <c r="P825" s="27"/>
    </row>
    <row r="826">
      <c r="N826" s="27"/>
      <c r="O826" s="27"/>
      <c r="P826" s="27"/>
    </row>
    <row r="827">
      <c r="N827" s="27"/>
      <c r="O827" s="27"/>
      <c r="P827" s="27"/>
    </row>
    <row r="828">
      <c r="N828" s="27"/>
      <c r="O828" s="27"/>
      <c r="P828" s="27"/>
    </row>
    <row r="829">
      <c r="N829" s="27"/>
      <c r="O829" s="27"/>
      <c r="P829" s="27"/>
    </row>
    <row r="830">
      <c r="N830" s="27"/>
      <c r="O830" s="27"/>
      <c r="P830" s="27"/>
    </row>
    <row r="831">
      <c r="N831" s="27"/>
      <c r="O831" s="27"/>
      <c r="P831" s="27"/>
    </row>
    <row r="832">
      <c r="N832" s="27"/>
      <c r="O832" s="27"/>
      <c r="P832" s="27"/>
    </row>
    <row r="833">
      <c r="N833" s="27"/>
      <c r="O833" s="27"/>
      <c r="P833" s="27"/>
    </row>
    <row r="834">
      <c r="N834" s="27"/>
      <c r="O834" s="27"/>
      <c r="P834" s="27"/>
    </row>
    <row r="835">
      <c r="N835" s="27"/>
      <c r="O835" s="27"/>
      <c r="P835" s="27"/>
    </row>
    <row r="836">
      <c r="N836" s="27"/>
      <c r="O836" s="27"/>
      <c r="P836" s="27"/>
    </row>
    <row r="837">
      <c r="N837" s="27"/>
      <c r="O837" s="27"/>
      <c r="P837" s="27"/>
    </row>
    <row r="838">
      <c r="N838" s="27"/>
      <c r="O838" s="27"/>
      <c r="P838" s="27"/>
    </row>
    <row r="839">
      <c r="N839" s="27"/>
      <c r="O839" s="27"/>
      <c r="P839" s="27"/>
    </row>
    <row r="840">
      <c r="N840" s="27"/>
      <c r="O840" s="27"/>
      <c r="P840" s="27"/>
    </row>
    <row r="841">
      <c r="N841" s="27"/>
      <c r="O841" s="27"/>
      <c r="P841" s="27"/>
    </row>
    <row r="842">
      <c r="N842" s="27"/>
      <c r="O842" s="27"/>
      <c r="P842" s="27"/>
    </row>
    <row r="843">
      <c r="N843" s="27"/>
      <c r="O843" s="27"/>
      <c r="P843" s="27"/>
    </row>
    <row r="844">
      <c r="N844" s="27"/>
      <c r="O844" s="27"/>
      <c r="P844" s="27"/>
    </row>
    <row r="845">
      <c r="N845" s="27"/>
      <c r="O845" s="27"/>
      <c r="P845" s="27"/>
    </row>
    <row r="846">
      <c r="N846" s="27"/>
      <c r="O846" s="27"/>
      <c r="P846" s="27"/>
    </row>
    <row r="847">
      <c r="N847" s="27"/>
      <c r="O847" s="27"/>
      <c r="P847" s="27"/>
    </row>
    <row r="848">
      <c r="N848" s="27"/>
      <c r="O848" s="27"/>
      <c r="P848" s="27"/>
    </row>
    <row r="849">
      <c r="N849" s="27"/>
      <c r="O849" s="27"/>
      <c r="P849" s="27"/>
    </row>
    <row r="850">
      <c r="N850" s="27"/>
      <c r="O850" s="27"/>
      <c r="P850" s="27"/>
    </row>
    <row r="851">
      <c r="N851" s="27"/>
      <c r="O851" s="27"/>
      <c r="P851" s="27"/>
    </row>
    <row r="852">
      <c r="N852" s="27"/>
      <c r="O852" s="27"/>
      <c r="P852" s="27"/>
    </row>
    <row r="853">
      <c r="N853" s="27"/>
      <c r="O853" s="27"/>
      <c r="P853" s="27"/>
    </row>
    <row r="854">
      <c r="N854" s="27"/>
      <c r="O854" s="27"/>
      <c r="P854" s="27"/>
    </row>
    <row r="855">
      <c r="N855" s="27"/>
      <c r="O855" s="27"/>
      <c r="P855" s="27"/>
    </row>
    <row r="856">
      <c r="N856" s="27"/>
      <c r="O856" s="27"/>
      <c r="P856" s="27"/>
    </row>
    <row r="857">
      <c r="N857" s="27"/>
      <c r="O857" s="27"/>
      <c r="P857" s="27"/>
    </row>
    <row r="858">
      <c r="N858" s="27"/>
      <c r="O858" s="27"/>
      <c r="P858" s="27"/>
    </row>
    <row r="859">
      <c r="N859" s="27"/>
      <c r="O859" s="27"/>
      <c r="P859" s="27"/>
    </row>
    <row r="860">
      <c r="N860" s="27"/>
      <c r="O860" s="27"/>
      <c r="P860" s="27"/>
    </row>
    <row r="861">
      <c r="N861" s="27"/>
      <c r="O861" s="27"/>
      <c r="P861" s="27"/>
    </row>
    <row r="862">
      <c r="N862" s="27"/>
      <c r="O862" s="27"/>
      <c r="P862" s="27"/>
    </row>
    <row r="863">
      <c r="N863" s="27"/>
      <c r="O863" s="27"/>
      <c r="P863" s="27"/>
    </row>
    <row r="864">
      <c r="N864" s="27"/>
      <c r="O864" s="27"/>
      <c r="P864" s="27"/>
    </row>
    <row r="865">
      <c r="N865" s="27"/>
      <c r="O865" s="27"/>
      <c r="P865" s="27"/>
    </row>
    <row r="866">
      <c r="N866" s="27"/>
      <c r="O866" s="27"/>
      <c r="P866" s="27"/>
    </row>
    <row r="867">
      <c r="N867" s="27"/>
      <c r="O867" s="27"/>
      <c r="P867" s="27"/>
    </row>
    <row r="868">
      <c r="N868" s="27"/>
      <c r="O868" s="27"/>
      <c r="P868" s="27"/>
    </row>
    <row r="869">
      <c r="N869" s="27"/>
      <c r="O869" s="27"/>
      <c r="P869" s="27"/>
    </row>
    <row r="870">
      <c r="N870" s="27"/>
      <c r="O870" s="27"/>
      <c r="P870" s="27"/>
    </row>
    <row r="871">
      <c r="N871" s="27"/>
      <c r="O871" s="27"/>
      <c r="P871" s="27"/>
    </row>
    <row r="872">
      <c r="N872" s="27"/>
      <c r="O872" s="27"/>
      <c r="P872" s="27"/>
    </row>
    <row r="873">
      <c r="N873" s="27"/>
      <c r="O873" s="27"/>
      <c r="P873" s="27"/>
    </row>
    <row r="874">
      <c r="N874" s="27"/>
      <c r="O874" s="27"/>
      <c r="P874" s="27"/>
    </row>
    <row r="875">
      <c r="N875" s="27"/>
      <c r="O875" s="27"/>
      <c r="P875" s="27"/>
    </row>
    <row r="876">
      <c r="N876" s="27"/>
      <c r="O876" s="27"/>
      <c r="P876" s="27"/>
    </row>
    <row r="877">
      <c r="N877" s="27"/>
      <c r="O877" s="27"/>
      <c r="P877" s="27"/>
    </row>
    <row r="878">
      <c r="N878" s="27"/>
      <c r="O878" s="27"/>
      <c r="P878" s="27"/>
    </row>
    <row r="879">
      <c r="N879" s="27"/>
      <c r="O879" s="27"/>
      <c r="P879" s="27"/>
    </row>
    <row r="880">
      <c r="N880" s="27"/>
      <c r="O880" s="27"/>
      <c r="P880" s="27"/>
    </row>
    <row r="881">
      <c r="N881" s="27"/>
      <c r="O881" s="27"/>
      <c r="P881" s="27"/>
    </row>
    <row r="882">
      <c r="N882" s="27"/>
      <c r="O882" s="27"/>
      <c r="P882" s="27"/>
    </row>
    <row r="883">
      <c r="N883" s="27"/>
      <c r="O883" s="27"/>
      <c r="P883" s="27"/>
    </row>
    <row r="884">
      <c r="N884" s="27"/>
      <c r="O884" s="27"/>
      <c r="P884" s="27"/>
    </row>
    <row r="885">
      <c r="N885" s="27"/>
      <c r="O885" s="27"/>
      <c r="P885" s="27"/>
    </row>
    <row r="886">
      <c r="N886" s="27"/>
      <c r="O886" s="27"/>
      <c r="P886" s="27"/>
    </row>
    <row r="887">
      <c r="N887" s="27"/>
      <c r="O887" s="27"/>
      <c r="P887" s="27"/>
    </row>
    <row r="888">
      <c r="N888" s="27"/>
      <c r="O888" s="27"/>
      <c r="P888" s="27"/>
    </row>
    <row r="889">
      <c r="N889" s="27"/>
      <c r="O889" s="27"/>
      <c r="P889" s="27"/>
    </row>
    <row r="890">
      <c r="N890" s="27"/>
      <c r="O890" s="27"/>
      <c r="P890" s="27"/>
    </row>
    <row r="891">
      <c r="N891" s="27"/>
      <c r="O891" s="27"/>
      <c r="P891" s="27"/>
    </row>
    <row r="892">
      <c r="N892" s="27"/>
      <c r="O892" s="27"/>
      <c r="P892" s="27"/>
    </row>
    <row r="893">
      <c r="N893" s="27"/>
      <c r="O893" s="27"/>
      <c r="P893" s="27"/>
    </row>
    <row r="894">
      <c r="N894" s="27"/>
      <c r="O894" s="27"/>
      <c r="P894" s="27"/>
    </row>
    <row r="895">
      <c r="N895" s="27"/>
      <c r="O895" s="27"/>
      <c r="P895" s="27"/>
    </row>
    <row r="896">
      <c r="N896" s="27"/>
      <c r="O896" s="27"/>
      <c r="P896" s="27"/>
    </row>
    <row r="897">
      <c r="N897" s="27"/>
      <c r="O897" s="27"/>
      <c r="P897" s="27"/>
    </row>
    <row r="898">
      <c r="N898" s="27"/>
      <c r="O898" s="27"/>
      <c r="P898" s="27"/>
    </row>
    <row r="899">
      <c r="N899" s="27"/>
      <c r="O899" s="27"/>
      <c r="P899" s="27"/>
    </row>
    <row r="900">
      <c r="N900" s="27"/>
      <c r="O900" s="27"/>
      <c r="P900" s="27"/>
    </row>
    <row r="901">
      <c r="N901" s="27"/>
      <c r="O901" s="27"/>
      <c r="P901" s="27"/>
    </row>
    <row r="902">
      <c r="N902" s="27"/>
      <c r="O902" s="27"/>
      <c r="P902" s="27"/>
    </row>
    <row r="903">
      <c r="N903" s="27"/>
      <c r="O903" s="27"/>
      <c r="P903" s="27"/>
    </row>
    <row r="904">
      <c r="N904" s="27"/>
      <c r="O904" s="27"/>
      <c r="P904" s="27"/>
    </row>
    <row r="905">
      <c r="N905" s="27"/>
      <c r="O905" s="27"/>
      <c r="P905" s="27"/>
    </row>
    <row r="906">
      <c r="N906" s="27"/>
      <c r="O906" s="27"/>
      <c r="P906" s="27"/>
    </row>
    <row r="907">
      <c r="N907" s="27"/>
      <c r="O907" s="27"/>
      <c r="P907" s="27"/>
    </row>
    <row r="908">
      <c r="N908" s="27"/>
      <c r="O908" s="27"/>
      <c r="P908" s="27"/>
    </row>
    <row r="909">
      <c r="N909" s="27"/>
      <c r="O909" s="27"/>
      <c r="P909" s="27"/>
    </row>
    <row r="910">
      <c r="N910" s="27"/>
      <c r="O910" s="27"/>
      <c r="P910" s="27"/>
    </row>
    <row r="911">
      <c r="N911" s="27"/>
      <c r="O911" s="27"/>
      <c r="P911" s="27"/>
    </row>
    <row r="912">
      <c r="N912" s="27"/>
      <c r="O912" s="27"/>
      <c r="P912" s="27"/>
    </row>
    <row r="913">
      <c r="N913" s="27"/>
      <c r="O913" s="27"/>
      <c r="P913" s="27"/>
    </row>
    <row r="914">
      <c r="N914" s="27"/>
      <c r="O914" s="27"/>
      <c r="P914" s="27"/>
    </row>
    <row r="915">
      <c r="N915" s="27"/>
      <c r="O915" s="27"/>
      <c r="P915" s="27"/>
    </row>
    <row r="916">
      <c r="N916" s="27"/>
      <c r="O916" s="27"/>
      <c r="P916" s="27"/>
    </row>
    <row r="917">
      <c r="N917" s="27"/>
      <c r="O917" s="27"/>
      <c r="P917" s="27"/>
    </row>
    <row r="918">
      <c r="N918" s="27"/>
      <c r="O918" s="27"/>
      <c r="P918" s="27"/>
    </row>
    <row r="919">
      <c r="N919" s="27"/>
      <c r="O919" s="27"/>
      <c r="P919" s="27"/>
    </row>
    <row r="920">
      <c r="N920" s="27"/>
      <c r="O920" s="27"/>
      <c r="P920" s="27"/>
    </row>
    <row r="921">
      <c r="N921" s="27"/>
      <c r="O921" s="27"/>
      <c r="P921" s="27"/>
    </row>
    <row r="922">
      <c r="N922" s="27"/>
      <c r="O922" s="27"/>
      <c r="P922" s="27"/>
    </row>
    <row r="923">
      <c r="N923" s="27"/>
      <c r="O923" s="27"/>
      <c r="P923" s="27"/>
    </row>
    <row r="924">
      <c r="N924" s="27"/>
      <c r="O924" s="27"/>
      <c r="P924" s="27"/>
    </row>
    <row r="925">
      <c r="N925" s="27"/>
      <c r="O925" s="27"/>
      <c r="P925" s="27"/>
    </row>
    <row r="926">
      <c r="N926" s="27"/>
      <c r="O926" s="27"/>
      <c r="P926" s="27"/>
    </row>
    <row r="927">
      <c r="N927" s="27"/>
      <c r="O927" s="27"/>
      <c r="P927" s="27"/>
    </row>
    <row r="928">
      <c r="N928" s="27"/>
      <c r="O928" s="27"/>
      <c r="P928" s="27"/>
    </row>
    <row r="929">
      <c r="N929" s="27"/>
      <c r="O929" s="27"/>
      <c r="P929" s="27"/>
    </row>
    <row r="930">
      <c r="N930" s="27"/>
      <c r="O930" s="27"/>
      <c r="P930" s="27"/>
    </row>
    <row r="931">
      <c r="N931" s="27"/>
      <c r="O931" s="27"/>
      <c r="P931" s="27"/>
    </row>
    <row r="932">
      <c r="N932" s="27"/>
      <c r="O932" s="27"/>
      <c r="P932" s="27"/>
    </row>
    <row r="933">
      <c r="N933" s="27"/>
      <c r="O933" s="27"/>
      <c r="P933" s="27"/>
    </row>
    <row r="934">
      <c r="N934" s="27"/>
      <c r="O934" s="27"/>
      <c r="P934" s="27"/>
    </row>
    <row r="935">
      <c r="N935" s="27"/>
      <c r="O935" s="27"/>
      <c r="P935" s="27"/>
    </row>
    <row r="936">
      <c r="N936" s="27"/>
      <c r="O936" s="27"/>
      <c r="P936" s="27"/>
    </row>
    <row r="937">
      <c r="N937" s="27"/>
      <c r="O937" s="27"/>
      <c r="P937" s="27"/>
    </row>
    <row r="938">
      <c r="N938" s="27"/>
      <c r="O938" s="27"/>
      <c r="P938" s="27"/>
    </row>
    <row r="939">
      <c r="N939" s="27"/>
      <c r="O939" s="27"/>
      <c r="P939" s="27"/>
    </row>
    <row r="940">
      <c r="N940" s="27"/>
      <c r="O940" s="27"/>
      <c r="P940" s="27"/>
    </row>
    <row r="941">
      <c r="N941" s="27"/>
      <c r="O941" s="27"/>
      <c r="P941" s="27"/>
    </row>
    <row r="942">
      <c r="N942" s="27"/>
      <c r="O942" s="27"/>
      <c r="P942" s="27"/>
    </row>
    <row r="943">
      <c r="N943" s="27"/>
      <c r="O943" s="27"/>
      <c r="P943" s="27"/>
    </row>
    <row r="944">
      <c r="N944" s="27"/>
      <c r="O944" s="27"/>
      <c r="P944" s="27"/>
    </row>
    <row r="945">
      <c r="N945" s="27"/>
      <c r="O945" s="27"/>
      <c r="P945" s="27"/>
    </row>
    <row r="946">
      <c r="N946" s="27"/>
      <c r="O946" s="27"/>
      <c r="P946" s="27"/>
    </row>
    <row r="947">
      <c r="N947" s="27"/>
      <c r="O947" s="27"/>
      <c r="P947" s="27"/>
    </row>
    <row r="948">
      <c r="N948" s="27"/>
      <c r="O948" s="27"/>
      <c r="P948" s="27"/>
    </row>
    <row r="949">
      <c r="N949" s="27"/>
      <c r="O949" s="27"/>
      <c r="P949" s="27"/>
    </row>
    <row r="950">
      <c r="N950" s="27"/>
      <c r="O950" s="27"/>
      <c r="P950" s="27"/>
    </row>
    <row r="951">
      <c r="N951" s="27"/>
      <c r="O951" s="27"/>
      <c r="P951" s="27"/>
    </row>
    <row r="952">
      <c r="N952" s="27"/>
      <c r="O952" s="27"/>
      <c r="P952" s="27"/>
    </row>
    <row r="953">
      <c r="N953" s="27"/>
      <c r="O953" s="27"/>
      <c r="P953" s="27"/>
    </row>
    <row r="954">
      <c r="N954" s="27"/>
      <c r="O954" s="27"/>
      <c r="P954" s="27"/>
    </row>
    <row r="955">
      <c r="N955" s="27"/>
      <c r="O955" s="27"/>
      <c r="P955" s="27"/>
    </row>
    <row r="956">
      <c r="N956" s="27"/>
      <c r="O956" s="27"/>
      <c r="P956" s="27"/>
    </row>
    <row r="957">
      <c r="N957" s="27"/>
      <c r="O957" s="27"/>
      <c r="P957" s="27"/>
    </row>
    <row r="958">
      <c r="N958" s="27"/>
      <c r="O958" s="27"/>
      <c r="P958" s="27"/>
    </row>
    <row r="959">
      <c r="N959" s="27"/>
      <c r="O959" s="27"/>
      <c r="P959" s="27"/>
    </row>
    <row r="960">
      <c r="N960" s="27"/>
      <c r="O960" s="27"/>
      <c r="P960" s="27"/>
    </row>
    <row r="961">
      <c r="N961" s="27"/>
      <c r="O961" s="27"/>
      <c r="P961" s="27"/>
    </row>
    <row r="962">
      <c r="N962" s="27"/>
      <c r="O962" s="27"/>
      <c r="P962" s="27"/>
    </row>
    <row r="963">
      <c r="N963" s="27"/>
      <c r="O963" s="27"/>
      <c r="P963" s="27"/>
    </row>
    <row r="964">
      <c r="N964" s="27"/>
      <c r="O964" s="27"/>
      <c r="P964" s="27"/>
    </row>
    <row r="965">
      <c r="N965" s="27"/>
      <c r="O965" s="27"/>
      <c r="P965" s="27"/>
    </row>
    <row r="966">
      <c r="N966" s="27"/>
      <c r="O966" s="27"/>
      <c r="P966" s="27"/>
    </row>
    <row r="967">
      <c r="N967" s="27"/>
      <c r="O967" s="27"/>
      <c r="P967" s="27"/>
    </row>
    <row r="968">
      <c r="N968" s="27"/>
      <c r="O968" s="27"/>
      <c r="P968" s="27"/>
    </row>
    <row r="969">
      <c r="N969" s="27"/>
      <c r="O969" s="27"/>
      <c r="P969" s="27"/>
    </row>
    <row r="970">
      <c r="N970" s="27"/>
      <c r="O970" s="27"/>
      <c r="P970" s="27"/>
    </row>
    <row r="971">
      <c r="N971" s="27"/>
      <c r="O971" s="27"/>
      <c r="P971" s="27"/>
    </row>
    <row r="972">
      <c r="N972" s="27"/>
      <c r="O972" s="27"/>
      <c r="P972" s="27"/>
    </row>
    <row r="973">
      <c r="N973" s="27"/>
      <c r="O973" s="27"/>
      <c r="P973" s="27"/>
    </row>
    <row r="974">
      <c r="N974" s="27"/>
      <c r="O974" s="27"/>
      <c r="P974" s="27"/>
    </row>
    <row r="975">
      <c r="N975" s="27"/>
      <c r="O975" s="27"/>
      <c r="P975" s="27"/>
    </row>
    <row r="976">
      <c r="N976" s="27"/>
      <c r="O976" s="27"/>
      <c r="P976" s="27"/>
    </row>
    <row r="977">
      <c r="N977" s="27"/>
      <c r="O977" s="27"/>
      <c r="P977" s="27"/>
    </row>
    <row r="978">
      <c r="N978" s="27"/>
      <c r="O978" s="27"/>
      <c r="P978" s="27"/>
    </row>
    <row r="979">
      <c r="N979" s="27"/>
      <c r="O979" s="27"/>
      <c r="P979" s="27"/>
    </row>
    <row r="980">
      <c r="N980" s="27"/>
      <c r="O980" s="27"/>
      <c r="P980" s="27"/>
    </row>
    <row r="981">
      <c r="N981" s="27"/>
      <c r="O981" s="27"/>
      <c r="P981" s="27"/>
    </row>
    <row r="982">
      <c r="N982" s="27"/>
      <c r="O982" s="27"/>
      <c r="P982" s="27"/>
    </row>
    <row r="983">
      <c r="N983" s="27"/>
      <c r="O983" s="27"/>
      <c r="P983" s="27"/>
    </row>
    <row r="984">
      <c r="N984" s="27"/>
      <c r="O984" s="27"/>
      <c r="P984" s="27"/>
    </row>
    <row r="985">
      <c r="N985" s="27"/>
      <c r="O985" s="27"/>
      <c r="P985" s="27"/>
    </row>
    <row r="986">
      <c r="N986" s="27"/>
      <c r="O986" s="27"/>
      <c r="P986" s="27"/>
    </row>
    <row r="987">
      <c r="N987" s="27"/>
      <c r="O987" s="27"/>
      <c r="P987" s="27"/>
    </row>
    <row r="988">
      <c r="N988" s="27"/>
      <c r="O988" s="27"/>
      <c r="P988" s="27"/>
    </row>
    <row r="989">
      <c r="N989" s="27"/>
      <c r="O989" s="27"/>
      <c r="P989" s="27"/>
    </row>
    <row r="990">
      <c r="N990" s="27"/>
      <c r="O990" s="27"/>
      <c r="P990" s="27"/>
    </row>
    <row r="991">
      <c r="N991" s="27"/>
      <c r="O991" s="27"/>
      <c r="P991" s="27"/>
    </row>
    <row r="992">
      <c r="N992" s="27"/>
      <c r="O992" s="27"/>
      <c r="P992" s="27"/>
    </row>
    <row r="993">
      <c r="N993" s="27"/>
      <c r="O993" s="27"/>
      <c r="P993" s="27"/>
    </row>
    <row r="994">
      <c r="N994" s="27"/>
      <c r="O994" s="27"/>
      <c r="P994" s="27"/>
    </row>
    <row r="995">
      <c r="N995" s="27"/>
      <c r="O995" s="27"/>
      <c r="P995" s="27"/>
    </row>
    <row r="996">
      <c r="N996" s="27"/>
      <c r="O996" s="27"/>
      <c r="P996" s="27"/>
    </row>
    <row r="997">
      <c r="N997" s="27"/>
      <c r="O997" s="27"/>
      <c r="P997" s="27"/>
    </row>
    <row r="998">
      <c r="N998" s="27"/>
      <c r="O998" s="27"/>
      <c r="P998" s="27"/>
    </row>
    <row r="999">
      <c r="N999" s="27"/>
      <c r="O999" s="27"/>
      <c r="P999" s="27"/>
    </row>
    <row r="1000">
      <c r="N1000" s="27"/>
      <c r="O1000" s="27"/>
      <c r="P1000" s="27"/>
    </row>
    <row r="1001">
      <c r="N1001" s="27"/>
      <c r="O1001" s="27"/>
      <c r="P1001" s="27"/>
    </row>
    <row r="1002">
      <c r="N1002" s="27"/>
      <c r="O1002" s="27"/>
      <c r="P1002" s="27"/>
    </row>
    <row r="1003">
      <c r="N1003" s="27"/>
      <c r="O1003" s="27"/>
      <c r="P1003" s="27"/>
    </row>
    <row r="1004">
      <c r="N1004" s="27"/>
      <c r="O1004" s="27"/>
      <c r="P1004" s="27"/>
    </row>
  </sheetData>
  <conditionalFormatting sqref="D44:E44 F53:N53">
    <cfRule type="cellIs" dxfId="0" priority="1" operator="lessThan">
      <formula>0</formula>
    </cfRule>
  </conditionalFormatting>
  <conditionalFormatting sqref="D53:E53">
    <cfRule type="cellIs" dxfId="0" priority="2" operator="lessThan">
      <formula>0</formula>
    </cfRule>
  </conditionalFormatting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9.38"/>
    <col hidden="1" min="4" max="8" width="12.63"/>
    <col customWidth="1" min="14" max="14" width="14.0"/>
    <col customWidth="1" min="15" max="15" width="12.75"/>
    <col customWidth="1" min="16" max="17" width="20.63"/>
    <col customWidth="1" min="18" max="18" width="11.25"/>
    <col customWidth="1" min="19" max="19" width="9.25"/>
    <col customWidth="1" min="20" max="21" width="9.5"/>
    <col customWidth="1" min="25" max="25" width="9.88"/>
    <col customWidth="1" min="26" max="26" width="8.13"/>
  </cols>
  <sheetData>
    <row r="1">
      <c r="A1" s="18" t="s">
        <v>346</v>
      </c>
      <c r="B1" s="199" t="s">
        <v>296</v>
      </c>
      <c r="N1" s="107"/>
      <c r="O1" s="107"/>
      <c r="P1" s="107"/>
      <c r="Q1" s="107"/>
    </row>
    <row r="2">
      <c r="B2" s="18" t="s">
        <v>240</v>
      </c>
      <c r="C2" s="249">
        <v>13.0</v>
      </c>
      <c r="N2" s="27"/>
      <c r="O2" s="27"/>
      <c r="P2" s="27"/>
      <c r="Q2" s="27"/>
    </row>
    <row r="3">
      <c r="B3" s="18" t="s">
        <v>241</v>
      </c>
      <c r="C3" s="249">
        <f>62.92</f>
        <v>62.92</v>
      </c>
      <c r="N3" s="107"/>
      <c r="O3" s="107"/>
      <c r="P3" s="107"/>
      <c r="Q3" s="301" t="s">
        <v>325</v>
      </c>
      <c r="R3" s="107"/>
      <c r="V3" s="114">
        <f>4166.67+6417.54</f>
        <v>10584.21</v>
      </c>
    </row>
    <row r="4">
      <c r="B4" s="18" t="s">
        <v>377</v>
      </c>
      <c r="D4" s="249">
        <v>19.9</v>
      </c>
      <c r="N4" s="26"/>
      <c r="O4" s="26"/>
      <c r="P4" s="26"/>
      <c r="Q4" s="302" t="s">
        <v>119</v>
      </c>
      <c r="R4" s="302" t="s">
        <v>120</v>
      </c>
      <c r="S4" s="107"/>
      <c r="V4" s="17"/>
    </row>
    <row r="5">
      <c r="B5" s="18" t="s">
        <v>378</v>
      </c>
      <c r="D5" s="249">
        <v>29.9</v>
      </c>
      <c r="N5" s="107"/>
      <c r="O5" s="107"/>
      <c r="P5" s="107"/>
      <c r="Q5" s="7" t="s">
        <v>347</v>
      </c>
      <c r="R5" s="7" t="s">
        <v>348</v>
      </c>
      <c r="S5" s="107"/>
      <c r="V5" s="17"/>
    </row>
    <row r="6">
      <c r="B6" s="18" t="s">
        <v>242</v>
      </c>
      <c r="C6" s="249">
        <v>13.0</v>
      </c>
      <c r="N6" s="107"/>
      <c r="O6" s="107"/>
      <c r="P6" s="107"/>
      <c r="Q6" s="7" t="s">
        <v>328</v>
      </c>
      <c r="R6" s="7" t="s">
        <v>349</v>
      </c>
      <c r="S6" s="107"/>
      <c r="V6" s="17"/>
    </row>
    <row r="7">
      <c r="B7" s="18" t="s">
        <v>285</v>
      </c>
      <c r="C7" s="249">
        <v>42.0</v>
      </c>
      <c r="N7" s="107"/>
      <c r="O7" s="107"/>
      <c r="P7" s="107"/>
      <c r="Q7" s="7"/>
      <c r="R7" s="7" t="s">
        <v>192</v>
      </c>
      <c r="S7" s="107"/>
      <c r="V7" s="32"/>
    </row>
    <row r="8">
      <c r="B8" s="18" t="s">
        <v>324</v>
      </c>
      <c r="C8" s="249">
        <v>6.0</v>
      </c>
      <c r="S8" s="107"/>
      <c r="V8" s="30"/>
    </row>
    <row r="9">
      <c r="C9" s="276">
        <f>SUM(C2:C8)</f>
        <v>136.92</v>
      </c>
      <c r="S9" s="27"/>
    </row>
    <row r="10">
      <c r="N10" s="18" t="s">
        <v>366</v>
      </c>
      <c r="S10" s="107"/>
    </row>
    <row r="11">
      <c r="B11" s="55" t="s">
        <v>122</v>
      </c>
      <c r="C11" s="56"/>
      <c r="D11" s="254" t="s">
        <v>134</v>
      </c>
      <c r="E11" s="254" t="s">
        <v>123</v>
      </c>
      <c r="F11" s="254" t="s">
        <v>124</v>
      </c>
      <c r="G11" s="254" t="s">
        <v>125</v>
      </c>
      <c r="H11" s="254" t="s">
        <v>126</v>
      </c>
      <c r="I11" s="254" t="s">
        <v>127</v>
      </c>
      <c r="J11" s="254" t="s">
        <v>128</v>
      </c>
      <c r="K11" s="254" t="s">
        <v>129</v>
      </c>
      <c r="L11" s="254" t="s">
        <v>130</v>
      </c>
      <c r="M11" s="254" t="s">
        <v>131</v>
      </c>
      <c r="N11" s="253" t="s">
        <v>132</v>
      </c>
      <c r="O11" s="254" t="s">
        <v>133</v>
      </c>
      <c r="S11" s="107"/>
      <c r="U11" s="18"/>
      <c r="V11" s="18"/>
    </row>
    <row r="12">
      <c r="B12" s="59" t="s">
        <v>129</v>
      </c>
      <c r="C12" s="60"/>
      <c r="D12" s="113">
        <v>8257.5</v>
      </c>
      <c r="E12" s="113">
        <v>8402.25</v>
      </c>
      <c r="F12" s="113">
        <v>8402.25</v>
      </c>
      <c r="G12" s="113">
        <v>8402.25</v>
      </c>
      <c r="H12" s="113">
        <v>8402.26</v>
      </c>
      <c r="I12" s="113">
        <v>8402.25</v>
      </c>
      <c r="J12" s="113">
        <v>8402.25</v>
      </c>
      <c r="K12" s="113">
        <v>8402.25</v>
      </c>
      <c r="L12" s="113">
        <v>8402.26</v>
      </c>
      <c r="M12" s="113">
        <v>8402.26</v>
      </c>
      <c r="N12" s="113">
        <v>8402.26</v>
      </c>
      <c r="O12" s="113">
        <v>8324.69</v>
      </c>
      <c r="S12" s="107"/>
      <c r="U12" s="18"/>
    </row>
    <row r="13">
      <c r="B13" s="59" t="s">
        <v>136</v>
      </c>
      <c r="C13" s="60"/>
      <c r="D13" s="114">
        <f>2040+3294.58</f>
        <v>5334.58</v>
      </c>
      <c r="E13" s="114">
        <f>2040+3421.67</f>
        <v>5461.67</v>
      </c>
      <c r="F13" s="114">
        <v>5721.67</v>
      </c>
      <c r="G13" s="114">
        <f>2160+3065.41+512.46</f>
        <v>5737.87</v>
      </c>
      <c r="H13" s="114">
        <f>2160+3077.41+512.46</f>
        <v>5749.87</v>
      </c>
      <c r="I13" s="114">
        <f>2160+3089.41+512.46</f>
        <v>5761.87</v>
      </c>
      <c r="J13" s="114">
        <f>2160+3070.12+502.75</f>
        <v>5732.87</v>
      </c>
      <c r="K13" s="114">
        <f>2160+2961.12+502.75</f>
        <v>5623.87</v>
      </c>
      <c r="L13" s="114">
        <f>2160+3540.87</f>
        <v>5700.87</v>
      </c>
      <c r="M13" s="114">
        <f>2160+3542.87</f>
        <v>5702.87</v>
      </c>
      <c r="N13" s="114">
        <f>2160+3533.87</f>
        <v>5693.87</v>
      </c>
      <c r="O13" s="114">
        <v>5721.67</v>
      </c>
      <c r="P13" s="407"/>
      <c r="Q13" s="303"/>
      <c r="R13" s="107"/>
      <c r="S13" s="27"/>
      <c r="U13" s="18"/>
    </row>
    <row r="14">
      <c r="B14" s="59" t="s">
        <v>137</v>
      </c>
      <c r="C14" s="60"/>
      <c r="D14" s="313"/>
      <c r="E14" s="114"/>
      <c r="F14" s="114"/>
      <c r="G14" s="114"/>
      <c r="H14" s="114"/>
      <c r="I14" s="114"/>
      <c r="J14" s="114"/>
      <c r="K14" s="114"/>
      <c r="L14" s="115"/>
      <c r="M14" s="114"/>
      <c r="N14" s="114"/>
      <c r="O14" s="114"/>
      <c r="P14" s="363"/>
      <c r="Q14" s="363"/>
      <c r="R14" s="107"/>
      <c r="S14" s="107"/>
      <c r="U14" s="18"/>
    </row>
    <row r="15">
      <c r="B15" s="59" t="s">
        <v>138</v>
      </c>
      <c r="C15" s="60"/>
      <c r="D15" s="348"/>
      <c r="E15" s="117"/>
      <c r="F15" s="117"/>
      <c r="G15" s="114"/>
      <c r="H15" s="114"/>
      <c r="I15" s="114">
        <f>4166.67+6417.54</f>
        <v>10584.21</v>
      </c>
      <c r="J15" s="117"/>
      <c r="K15" s="118"/>
      <c r="L15" s="118"/>
      <c r="M15" s="118"/>
      <c r="N15" s="118"/>
      <c r="O15" s="118"/>
      <c r="P15" s="32"/>
      <c r="Q15" s="32"/>
      <c r="R15" s="107"/>
      <c r="S15" s="107"/>
      <c r="U15" s="18"/>
    </row>
    <row r="16">
      <c r="B16" s="67" t="s">
        <v>139</v>
      </c>
      <c r="C16" s="68"/>
      <c r="D16" s="315">
        <f t="shared" ref="D16:O16" si="1">SUM(D12:D15)</f>
        <v>13592.08</v>
      </c>
      <c r="E16" s="315">
        <f t="shared" si="1"/>
        <v>13863.92</v>
      </c>
      <c r="F16" s="119">
        <f t="shared" si="1"/>
        <v>14123.92</v>
      </c>
      <c r="G16" s="119">
        <f t="shared" si="1"/>
        <v>14140.12</v>
      </c>
      <c r="H16" s="119">
        <f t="shared" si="1"/>
        <v>14152.13</v>
      </c>
      <c r="I16" s="119">
        <f t="shared" si="1"/>
        <v>24748.33</v>
      </c>
      <c r="J16" s="119">
        <f t="shared" si="1"/>
        <v>14135.12</v>
      </c>
      <c r="K16" s="119">
        <f t="shared" si="1"/>
        <v>14026.12</v>
      </c>
      <c r="L16" s="119">
        <f t="shared" si="1"/>
        <v>14103.13</v>
      </c>
      <c r="M16" s="119">
        <f t="shared" si="1"/>
        <v>14105.13</v>
      </c>
      <c r="N16" s="119">
        <f t="shared" si="1"/>
        <v>14096.13</v>
      </c>
      <c r="O16" s="119">
        <f t="shared" si="1"/>
        <v>14046.36</v>
      </c>
      <c r="P16" s="248"/>
      <c r="Q16" s="248"/>
      <c r="U16" s="18"/>
      <c r="X16" s="107"/>
    </row>
    <row r="17">
      <c r="D17" s="311"/>
      <c r="E17" s="311"/>
      <c r="P17" s="32"/>
      <c r="Q17" s="32"/>
      <c r="R17" s="107"/>
      <c r="U17" s="18"/>
      <c r="X17" s="27"/>
    </row>
    <row r="18">
      <c r="B18" s="70" t="s">
        <v>140</v>
      </c>
      <c r="C18" s="71"/>
      <c r="D18" s="316" t="s">
        <v>123</v>
      </c>
      <c r="E18" s="316" t="s">
        <v>124</v>
      </c>
      <c r="F18" s="316" t="s">
        <v>125</v>
      </c>
      <c r="G18" s="316" t="s">
        <v>126</v>
      </c>
      <c r="H18" s="316" t="s">
        <v>127</v>
      </c>
      <c r="I18" s="58" t="s">
        <v>128</v>
      </c>
      <c r="J18" s="58" t="s">
        <v>129</v>
      </c>
      <c r="K18" s="58" t="s">
        <v>130</v>
      </c>
      <c r="L18" s="58" t="s">
        <v>131</v>
      </c>
      <c r="M18" s="58" t="s">
        <v>132</v>
      </c>
      <c r="N18" s="58" t="s">
        <v>133</v>
      </c>
      <c r="O18" s="58" t="s">
        <v>133</v>
      </c>
      <c r="P18" s="107"/>
      <c r="Q18" s="107"/>
      <c r="R18" s="26"/>
      <c r="S18" s="107"/>
      <c r="U18" s="18"/>
    </row>
    <row r="19">
      <c r="B19" s="121" t="s">
        <v>141</v>
      </c>
      <c r="C19" s="122"/>
      <c r="D19" s="378">
        <v>350.0</v>
      </c>
      <c r="E19" s="378">
        <v>350.0</v>
      </c>
      <c r="F19" s="378">
        <v>350.0</v>
      </c>
      <c r="G19" s="378">
        <v>0.0</v>
      </c>
      <c r="H19" s="378">
        <v>350.0</v>
      </c>
      <c r="I19" s="378">
        <v>370.0</v>
      </c>
      <c r="J19" s="378">
        <f t="shared" ref="J19:L19" si="2">I19</f>
        <v>370</v>
      </c>
      <c r="K19" s="378">
        <f t="shared" si="2"/>
        <v>370</v>
      </c>
      <c r="L19" s="378">
        <f t="shared" si="2"/>
        <v>370</v>
      </c>
      <c r="M19" s="378">
        <v>410.0</v>
      </c>
      <c r="N19" s="123">
        <f t="shared" ref="N19:O19" si="3">M19</f>
        <v>410</v>
      </c>
      <c r="O19" s="378">
        <f t="shared" si="3"/>
        <v>410</v>
      </c>
      <c r="P19" s="107"/>
      <c r="Q19" s="107" t="s">
        <v>331</v>
      </c>
      <c r="R19" s="192"/>
      <c r="U19" s="18"/>
    </row>
    <row r="20">
      <c r="B20" s="121" t="s">
        <v>142</v>
      </c>
      <c r="C20" s="122"/>
      <c r="D20" s="378">
        <v>200.0</v>
      </c>
      <c r="E20" s="378">
        <v>200.0</v>
      </c>
      <c r="F20" s="378">
        <v>200.0</v>
      </c>
      <c r="G20" s="378">
        <v>200.0</v>
      </c>
      <c r="H20" s="378">
        <v>200.0</v>
      </c>
      <c r="I20" s="378">
        <v>213.2</v>
      </c>
      <c r="J20" s="378">
        <v>220.0</v>
      </c>
      <c r="K20" s="378">
        <f t="shared" ref="K20:O20" si="4">J20</f>
        <v>220</v>
      </c>
      <c r="L20" s="378">
        <f t="shared" si="4"/>
        <v>220</v>
      </c>
      <c r="M20" s="378">
        <f t="shared" si="4"/>
        <v>220</v>
      </c>
      <c r="N20" s="123">
        <f t="shared" si="4"/>
        <v>220</v>
      </c>
      <c r="O20" s="378">
        <f t="shared" si="4"/>
        <v>220</v>
      </c>
      <c r="P20" s="192"/>
      <c r="Q20" s="192"/>
      <c r="R20" s="26" t="s">
        <v>27</v>
      </c>
      <c r="S20" s="26" t="s">
        <v>274</v>
      </c>
      <c r="T20" s="26" t="s">
        <v>351</v>
      </c>
      <c r="U20" s="26" t="s">
        <v>333</v>
      </c>
      <c r="V20" s="26" t="s">
        <v>367</v>
      </c>
      <c r="W20" s="376" t="s">
        <v>368</v>
      </c>
      <c r="X20" s="26" t="s">
        <v>48</v>
      </c>
      <c r="Y20" s="26" t="s">
        <v>369</v>
      </c>
      <c r="Z20" s="26" t="s">
        <v>380</v>
      </c>
    </row>
    <row r="21">
      <c r="B21" s="121" t="s">
        <v>143</v>
      </c>
      <c r="C21" s="122"/>
      <c r="D21" s="379">
        <v>174.85</v>
      </c>
      <c r="E21" s="379">
        <v>174.85</v>
      </c>
      <c r="F21" s="379">
        <v>174.85</v>
      </c>
      <c r="G21" s="396">
        <v>79.3</v>
      </c>
      <c r="H21" s="396">
        <v>69.9</v>
      </c>
      <c r="I21" s="396">
        <v>139.9</v>
      </c>
      <c r="J21" s="396">
        <v>139.9</v>
      </c>
      <c r="K21" s="379">
        <v>139.9</v>
      </c>
      <c r="L21" s="396">
        <v>139.9</v>
      </c>
      <c r="M21" s="396">
        <v>139.9</v>
      </c>
      <c r="N21" s="397">
        <v>139.9</v>
      </c>
      <c r="O21" s="378">
        <v>139.9</v>
      </c>
      <c r="P21" s="409"/>
      <c r="Q21" s="126" t="s">
        <v>141</v>
      </c>
      <c r="R21" s="398"/>
      <c r="S21" s="400"/>
      <c r="T21" s="410">
        <v>410.0</v>
      </c>
      <c r="U21" s="400"/>
      <c r="V21" s="400"/>
      <c r="W21" s="400"/>
      <c r="X21" s="400"/>
      <c r="Y21" s="400"/>
      <c r="Z21" s="400"/>
    </row>
    <row r="22">
      <c r="B22" s="121" t="s">
        <v>144</v>
      </c>
      <c r="C22" s="122"/>
      <c r="D22" s="378">
        <v>100.0</v>
      </c>
      <c r="E22" s="378">
        <v>100.0</v>
      </c>
      <c r="F22" s="378">
        <v>100.0</v>
      </c>
      <c r="G22" s="378">
        <v>100.0</v>
      </c>
      <c r="H22" s="378">
        <v>100.0</v>
      </c>
      <c r="I22" s="378">
        <f t="shared" ref="I22:O22" si="5">H22</f>
        <v>100</v>
      </c>
      <c r="J22" s="378">
        <f t="shared" si="5"/>
        <v>100</v>
      </c>
      <c r="K22" s="378">
        <f t="shared" si="5"/>
        <v>100</v>
      </c>
      <c r="L22" s="378">
        <f t="shared" si="5"/>
        <v>100</v>
      </c>
      <c r="M22" s="378">
        <f t="shared" si="5"/>
        <v>100</v>
      </c>
      <c r="N22" s="123">
        <f t="shared" si="5"/>
        <v>100</v>
      </c>
      <c r="O22" s="378">
        <f t="shared" si="5"/>
        <v>100</v>
      </c>
      <c r="P22" s="409"/>
      <c r="Q22" s="126" t="s">
        <v>142</v>
      </c>
      <c r="R22" s="398"/>
      <c r="S22" s="400"/>
      <c r="T22" s="410">
        <v>220.0</v>
      </c>
      <c r="U22" s="400"/>
      <c r="V22" s="400"/>
      <c r="W22" s="400"/>
      <c r="X22" s="400"/>
      <c r="Y22" s="400"/>
      <c r="Z22" s="400"/>
    </row>
    <row r="23">
      <c r="B23" s="121" t="s">
        <v>145</v>
      </c>
      <c r="C23" s="122"/>
      <c r="D23" s="378">
        <v>2500.0</v>
      </c>
      <c r="E23" s="378">
        <v>2500.0</v>
      </c>
      <c r="F23" s="378">
        <v>2500.0</v>
      </c>
      <c r="G23" s="378">
        <v>2500.0</v>
      </c>
      <c r="H23" s="378">
        <v>3000.0</v>
      </c>
      <c r="I23" s="378">
        <f t="shared" ref="I23:L23" si="6">H23</f>
        <v>3000</v>
      </c>
      <c r="J23" s="378">
        <f t="shared" si="6"/>
        <v>3000</v>
      </c>
      <c r="K23" s="378">
        <f t="shared" si="6"/>
        <v>3000</v>
      </c>
      <c r="L23" s="378">
        <f t="shared" si="6"/>
        <v>3000</v>
      </c>
      <c r="M23" s="378">
        <v>3004.8</v>
      </c>
      <c r="N23" s="123">
        <f t="shared" ref="N23:O23" si="7">M23</f>
        <v>3004.8</v>
      </c>
      <c r="O23" s="378">
        <f t="shared" si="7"/>
        <v>3004.8</v>
      </c>
      <c r="P23" s="409"/>
      <c r="Q23" s="126" t="s">
        <v>143</v>
      </c>
      <c r="R23" s="398"/>
      <c r="S23" s="400"/>
      <c r="T23" s="410">
        <v>139.9</v>
      </c>
      <c r="U23" s="400"/>
      <c r="V23" s="400"/>
      <c r="W23" s="400"/>
      <c r="X23" s="400"/>
      <c r="Y23" s="400"/>
      <c r="Z23" s="400"/>
    </row>
    <row r="24">
      <c r="B24" s="121" t="s">
        <v>146</v>
      </c>
      <c r="C24" s="126" t="s">
        <v>147</v>
      </c>
      <c r="D24" s="378">
        <v>400.0</v>
      </c>
      <c r="E24" s="378">
        <v>400.0</v>
      </c>
      <c r="F24" s="378">
        <v>404.8</v>
      </c>
      <c r="G24" s="378">
        <v>400.0</v>
      </c>
      <c r="H24" s="378">
        <v>404.8</v>
      </c>
      <c r="I24" s="378">
        <v>404.8</v>
      </c>
      <c r="J24" s="378">
        <v>404.8</v>
      </c>
      <c r="K24" s="378">
        <f t="shared" ref="K24:L24" si="8">J24</f>
        <v>404.8</v>
      </c>
      <c r="L24" s="378">
        <f t="shared" si="8"/>
        <v>404.8</v>
      </c>
      <c r="M24" s="378">
        <v>100.0</v>
      </c>
      <c r="N24" s="123">
        <v>50.0</v>
      </c>
      <c r="O24" s="378">
        <f>N24</f>
        <v>50</v>
      </c>
      <c r="P24" s="409"/>
      <c r="Q24" s="126" t="s">
        <v>144</v>
      </c>
      <c r="R24" s="398"/>
      <c r="S24" s="400"/>
      <c r="T24" s="410">
        <v>100.0</v>
      </c>
      <c r="U24" s="400"/>
      <c r="V24" s="400"/>
      <c r="W24" s="400"/>
      <c r="X24" s="400"/>
      <c r="Y24" s="400"/>
      <c r="Z24" s="400"/>
    </row>
    <row r="25">
      <c r="B25" s="127" t="s">
        <v>180</v>
      </c>
      <c r="C25" s="128"/>
      <c r="D25" s="378">
        <v>0.0</v>
      </c>
      <c r="E25" s="378">
        <v>0.0</v>
      </c>
      <c r="F25" s="378">
        <v>0.0</v>
      </c>
      <c r="G25" s="378">
        <v>0.0</v>
      </c>
      <c r="H25" s="378">
        <v>0.0</v>
      </c>
      <c r="I25" s="378">
        <v>0.0</v>
      </c>
      <c r="J25" s="378">
        <v>0.0</v>
      </c>
      <c r="K25" s="378">
        <v>0.0</v>
      </c>
      <c r="L25" s="378">
        <v>0.0</v>
      </c>
      <c r="M25" s="378">
        <v>400.0</v>
      </c>
      <c r="N25" s="129">
        <v>400.0</v>
      </c>
      <c r="O25" s="378">
        <v>500.0</v>
      </c>
      <c r="P25" s="409"/>
      <c r="Q25" s="126" t="s">
        <v>145</v>
      </c>
      <c r="R25" s="410">
        <v>3004.8</v>
      </c>
      <c r="S25" s="410"/>
      <c r="T25" s="398"/>
      <c r="U25" s="400"/>
      <c r="V25" s="400"/>
      <c r="W25" s="400"/>
      <c r="X25" s="400"/>
      <c r="Y25" s="400"/>
      <c r="Z25" s="400"/>
    </row>
    <row r="26">
      <c r="B26" s="121" t="s">
        <v>148</v>
      </c>
      <c r="C26" s="122"/>
      <c r="D26" s="378">
        <v>500.0</v>
      </c>
      <c r="E26" s="378">
        <v>500.0</v>
      </c>
      <c r="F26" s="378">
        <v>500.0</v>
      </c>
      <c r="G26" s="378">
        <v>500.0</v>
      </c>
      <c r="H26" s="378">
        <v>600.0</v>
      </c>
      <c r="I26" s="378">
        <v>500.0</v>
      </c>
      <c r="J26" s="378">
        <f t="shared" ref="J26:O26" si="9">I26</f>
        <v>500</v>
      </c>
      <c r="K26" s="378">
        <f t="shared" si="9"/>
        <v>500</v>
      </c>
      <c r="L26" s="378">
        <f t="shared" si="9"/>
        <v>500</v>
      </c>
      <c r="M26" s="378">
        <f t="shared" si="9"/>
        <v>500</v>
      </c>
      <c r="N26" s="123">
        <f t="shared" si="9"/>
        <v>500</v>
      </c>
      <c r="O26" s="378">
        <f t="shared" si="9"/>
        <v>500</v>
      </c>
      <c r="P26" s="409"/>
      <c r="Q26" s="126" t="s">
        <v>146</v>
      </c>
      <c r="R26" s="398"/>
      <c r="S26" s="410">
        <v>50.0</v>
      </c>
      <c r="T26" s="400"/>
      <c r="U26" s="400"/>
      <c r="V26" s="400"/>
      <c r="W26" s="400"/>
      <c r="X26" s="400"/>
      <c r="Y26" s="400"/>
      <c r="Z26" s="400"/>
    </row>
    <row r="27">
      <c r="B27" s="121" t="s">
        <v>149</v>
      </c>
      <c r="C27" s="122"/>
      <c r="D27" s="378">
        <v>500.0</v>
      </c>
      <c r="E27" s="378">
        <v>500.0</v>
      </c>
      <c r="F27" s="378">
        <v>500.0</v>
      </c>
      <c r="G27" s="378">
        <v>500.0</v>
      </c>
      <c r="H27" s="378">
        <v>500.0</v>
      </c>
      <c r="I27" s="378">
        <f t="shared" ref="I27:O27" si="10">H27</f>
        <v>500</v>
      </c>
      <c r="J27" s="378">
        <f t="shared" si="10"/>
        <v>500</v>
      </c>
      <c r="K27" s="378">
        <f t="shared" si="10"/>
        <v>500</v>
      </c>
      <c r="L27" s="378">
        <f t="shared" si="10"/>
        <v>500</v>
      </c>
      <c r="M27" s="378">
        <f t="shared" si="10"/>
        <v>500</v>
      </c>
      <c r="N27" s="123">
        <f t="shared" si="10"/>
        <v>500</v>
      </c>
      <c r="O27" s="378">
        <f t="shared" si="10"/>
        <v>500</v>
      </c>
      <c r="P27" s="409"/>
      <c r="Q27" s="389" t="s">
        <v>180</v>
      </c>
      <c r="R27" s="398"/>
      <c r="S27" s="410"/>
      <c r="T27" s="400"/>
      <c r="U27" s="400"/>
      <c r="V27" s="400"/>
      <c r="W27" s="400"/>
      <c r="X27" s="400"/>
      <c r="Y27" s="400"/>
      <c r="Z27" s="410">
        <v>400.0</v>
      </c>
    </row>
    <row r="28">
      <c r="B28" s="127" t="s">
        <v>181</v>
      </c>
      <c r="C28" s="128"/>
      <c r="D28" s="378">
        <v>650.0</v>
      </c>
      <c r="E28" s="378">
        <v>150.0</v>
      </c>
      <c r="F28" s="378">
        <v>150.0</v>
      </c>
      <c r="G28" s="378">
        <v>150.0</v>
      </c>
      <c r="H28" s="378">
        <v>150.0</v>
      </c>
      <c r="I28" s="378">
        <v>150.0</v>
      </c>
      <c r="J28" s="378">
        <v>150.0</v>
      </c>
      <c r="K28" s="378">
        <v>150.0</v>
      </c>
      <c r="L28" s="378">
        <v>150.0</v>
      </c>
      <c r="M28" s="378">
        <v>150.0</v>
      </c>
      <c r="N28" s="129">
        <v>150.0</v>
      </c>
      <c r="O28" s="378">
        <v>150.0</v>
      </c>
      <c r="P28" s="409"/>
      <c r="Q28" s="126" t="s">
        <v>148</v>
      </c>
      <c r="R28" s="398"/>
      <c r="S28" s="410"/>
      <c r="T28" s="410">
        <v>500.0</v>
      </c>
      <c r="U28" s="400"/>
      <c r="V28" s="400"/>
      <c r="W28" s="400"/>
      <c r="X28" s="400"/>
      <c r="Y28" s="400"/>
      <c r="Z28" s="400"/>
    </row>
    <row r="29">
      <c r="B29" s="121" t="s">
        <v>150</v>
      </c>
      <c r="C29" s="122"/>
      <c r="D29" s="378">
        <v>400.0</v>
      </c>
      <c r="E29" s="378">
        <v>400.0</v>
      </c>
      <c r="F29" s="378">
        <v>400.0</v>
      </c>
      <c r="G29" s="378">
        <v>400.0</v>
      </c>
      <c r="H29" s="378">
        <v>400.0</v>
      </c>
      <c r="I29" s="378">
        <f t="shared" ref="I29:O29" si="11">H29</f>
        <v>400</v>
      </c>
      <c r="J29" s="378">
        <f t="shared" si="11"/>
        <v>400</v>
      </c>
      <c r="K29" s="378">
        <f t="shared" si="11"/>
        <v>400</v>
      </c>
      <c r="L29" s="378">
        <f t="shared" si="11"/>
        <v>400</v>
      </c>
      <c r="M29" s="378">
        <f t="shared" si="11"/>
        <v>400</v>
      </c>
      <c r="N29" s="123">
        <f t="shared" si="11"/>
        <v>400</v>
      </c>
      <c r="O29" s="378">
        <f t="shared" si="11"/>
        <v>400</v>
      </c>
      <c r="P29" s="409"/>
      <c r="Q29" s="126" t="s">
        <v>149</v>
      </c>
      <c r="R29" s="398"/>
      <c r="S29" s="410"/>
      <c r="T29" s="410">
        <v>500.0</v>
      </c>
      <c r="U29" s="400"/>
      <c r="V29" s="400"/>
      <c r="W29" s="400"/>
      <c r="X29" s="400"/>
      <c r="Y29" s="400"/>
      <c r="Z29" s="400"/>
    </row>
    <row r="30">
      <c r="B30" s="127" t="s">
        <v>182</v>
      </c>
      <c r="C30" s="128"/>
      <c r="D30" s="378"/>
      <c r="E30" s="378"/>
      <c r="F30" s="378"/>
      <c r="G30" s="378">
        <v>160.0</v>
      </c>
      <c r="H30" s="378">
        <v>160.0</v>
      </c>
      <c r="I30" s="378">
        <v>180.0</v>
      </c>
      <c r="J30" s="378">
        <v>87.36</v>
      </c>
      <c r="K30" s="378">
        <v>160.0</v>
      </c>
      <c r="L30" s="378">
        <v>160.0</v>
      </c>
      <c r="M30" s="378">
        <v>160.0</v>
      </c>
      <c r="N30" s="129">
        <v>160.0</v>
      </c>
      <c r="O30" s="378">
        <v>160.0</v>
      </c>
      <c r="P30" s="409"/>
      <c r="Q30" s="389" t="s">
        <v>181</v>
      </c>
      <c r="R30" s="398"/>
      <c r="S30" s="410"/>
      <c r="T30" s="410">
        <v>150.0</v>
      </c>
      <c r="U30" s="400"/>
      <c r="V30" s="400"/>
      <c r="W30" s="400"/>
      <c r="X30" s="400"/>
      <c r="Y30" s="400"/>
      <c r="Z30" s="400"/>
    </row>
    <row r="31">
      <c r="B31" s="127" t="s">
        <v>183</v>
      </c>
      <c r="C31" s="128"/>
      <c r="D31" s="378">
        <v>400.0</v>
      </c>
      <c r="E31" s="378">
        <v>400.0</v>
      </c>
      <c r="F31" s="378">
        <v>400.0</v>
      </c>
      <c r="G31" s="378">
        <v>400.0</v>
      </c>
      <c r="H31" s="378">
        <v>400.0</v>
      </c>
      <c r="I31" s="378">
        <v>400.0</v>
      </c>
      <c r="J31" s="378">
        <v>400.0</v>
      </c>
      <c r="K31" s="378">
        <v>400.0</v>
      </c>
      <c r="L31" s="378">
        <v>400.0</v>
      </c>
      <c r="M31" s="378">
        <v>400.0</v>
      </c>
      <c r="N31" s="129">
        <v>400.0</v>
      </c>
      <c r="O31" s="390">
        <v>400.0</v>
      </c>
      <c r="P31" s="409"/>
      <c r="Q31" s="126" t="s">
        <v>150</v>
      </c>
      <c r="R31" s="398"/>
      <c r="S31" s="410">
        <v>400.0</v>
      </c>
      <c r="T31" s="400"/>
      <c r="U31" s="400"/>
      <c r="V31" s="400"/>
      <c r="W31" s="400"/>
      <c r="X31" s="400"/>
      <c r="Y31" s="400"/>
      <c r="Z31" s="400"/>
    </row>
    <row r="32">
      <c r="B32" s="121" t="s">
        <v>152</v>
      </c>
      <c r="C32" s="122"/>
      <c r="D32" s="390"/>
      <c r="E32" s="390"/>
      <c r="F32" s="378"/>
      <c r="G32" s="378"/>
      <c r="H32" s="378"/>
      <c r="I32" s="390"/>
      <c r="J32" s="390"/>
      <c r="K32" s="378"/>
      <c r="L32" s="378"/>
      <c r="M32" s="390"/>
      <c r="N32" s="131"/>
      <c r="O32" s="378"/>
      <c r="P32" s="409"/>
      <c r="Q32" s="389" t="s">
        <v>182</v>
      </c>
      <c r="R32" s="398"/>
      <c r="S32" s="410"/>
      <c r="T32" s="400"/>
      <c r="U32" s="400"/>
      <c r="V32" s="400"/>
      <c r="W32" s="410">
        <v>160.0</v>
      </c>
      <c r="X32" s="400"/>
      <c r="Y32" s="400"/>
      <c r="Z32" s="400"/>
    </row>
    <row r="33">
      <c r="B33" s="121" t="s">
        <v>154</v>
      </c>
      <c r="C33" s="122"/>
      <c r="D33" s="378">
        <v>122.0</v>
      </c>
      <c r="E33" s="378">
        <v>105.46</v>
      </c>
      <c r="F33" s="378">
        <v>105.46</v>
      </c>
      <c r="G33" s="378">
        <v>105.46</v>
      </c>
      <c r="H33" s="378">
        <v>105.46</v>
      </c>
      <c r="I33" s="378">
        <v>136.92</v>
      </c>
      <c r="J33" s="378">
        <v>136.92</v>
      </c>
      <c r="K33" s="378">
        <f t="shared" ref="K33:M33" si="12">J33</f>
        <v>136.92</v>
      </c>
      <c r="L33" s="378">
        <f t="shared" si="12"/>
        <v>136.92</v>
      </c>
      <c r="M33" s="378">
        <f t="shared" si="12"/>
        <v>136.92</v>
      </c>
      <c r="N33" s="123">
        <v>136.92</v>
      </c>
      <c r="O33" s="378">
        <v>122.0</v>
      </c>
      <c r="P33" s="409"/>
      <c r="Q33" s="389" t="s">
        <v>183</v>
      </c>
      <c r="R33" s="398"/>
      <c r="S33" s="399"/>
      <c r="T33" s="400"/>
      <c r="U33" s="400"/>
      <c r="V33" s="400"/>
      <c r="W33" s="410">
        <v>400.0</v>
      </c>
      <c r="X33" s="400"/>
      <c r="Y33" s="400"/>
      <c r="Z33" s="400"/>
    </row>
    <row r="34">
      <c r="B34" s="121" t="s">
        <v>155</v>
      </c>
      <c r="C34" s="122"/>
      <c r="D34" s="390"/>
      <c r="E34" s="390"/>
      <c r="F34" s="390"/>
      <c r="G34" s="390"/>
      <c r="H34" s="390"/>
      <c r="I34" s="378" t="str">
        <f t="shared" ref="I34:O34" si="13">H34</f>
        <v/>
      </c>
      <c r="J34" s="378" t="str">
        <f t="shared" si="13"/>
        <v/>
      </c>
      <c r="K34" s="378" t="str">
        <f t="shared" si="13"/>
        <v/>
      </c>
      <c r="L34" s="378" t="str">
        <f t="shared" si="13"/>
        <v/>
      </c>
      <c r="M34" s="378" t="str">
        <f t="shared" si="13"/>
        <v/>
      </c>
      <c r="N34" s="123" t="str">
        <f t="shared" si="13"/>
        <v/>
      </c>
      <c r="O34" s="378" t="str">
        <f t="shared" si="13"/>
        <v/>
      </c>
      <c r="P34" s="409"/>
      <c r="Q34" s="126" t="s">
        <v>152</v>
      </c>
      <c r="R34" s="411"/>
      <c r="S34" s="410"/>
      <c r="T34" s="400"/>
      <c r="U34" s="400"/>
      <c r="V34" s="400"/>
      <c r="W34" s="400"/>
      <c r="X34" s="400"/>
      <c r="Y34" s="400"/>
      <c r="Z34" s="400"/>
    </row>
    <row r="35">
      <c r="B35" s="121" t="s">
        <v>156</v>
      </c>
      <c r="C35" s="122"/>
      <c r="D35" s="378">
        <v>150.0</v>
      </c>
      <c r="E35" s="378">
        <v>150.0</v>
      </c>
      <c r="F35" s="378"/>
      <c r="G35" s="378">
        <v>150.0</v>
      </c>
      <c r="H35" s="378">
        <f>400+400+150</f>
        <v>950</v>
      </c>
      <c r="I35" s="378">
        <v>800.0</v>
      </c>
      <c r="J35" s="378">
        <v>300.0</v>
      </c>
      <c r="K35" s="390">
        <v>150.0</v>
      </c>
      <c r="L35" s="390"/>
      <c r="M35" s="378">
        <v>300.0</v>
      </c>
      <c r="N35" s="123">
        <v>150.0</v>
      </c>
      <c r="O35" s="378">
        <v>150.0</v>
      </c>
      <c r="P35" s="409"/>
      <c r="Q35" s="126" t="s">
        <v>154</v>
      </c>
      <c r="R35" s="410">
        <f>136.92-13</f>
        <v>123.92</v>
      </c>
      <c r="S35" s="410">
        <v>13.0</v>
      </c>
      <c r="T35" s="400"/>
      <c r="U35" s="400"/>
      <c r="V35" s="400"/>
      <c r="W35" s="400"/>
      <c r="X35" s="400"/>
      <c r="Y35" s="400"/>
      <c r="Z35" s="400"/>
    </row>
    <row r="36">
      <c r="B36" s="121" t="s">
        <v>157</v>
      </c>
      <c r="C36" s="122"/>
      <c r="D36" s="378">
        <v>50.0</v>
      </c>
      <c r="E36" s="378">
        <v>50.0</v>
      </c>
      <c r="F36" s="378">
        <v>50.0</v>
      </c>
      <c r="G36" s="378">
        <v>50.0</v>
      </c>
      <c r="H36" s="378">
        <f t="shared" ref="H36:O36" si="14">G36</f>
        <v>50</v>
      </c>
      <c r="I36" s="378">
        <f t="shared" si="14"/>
        <v>50</v>
      </c>
      <c r="J36" s="378">
        <f t="shared" si="14"/>
        <v>50</v>
      </c>
      <c r="K36" s="378">
        <f t="shared" si="14"/>
        <v>50</v>
      </c>
      <c r="L36" s="378">
        <f t="shared" si="14"/>
        <v>50</v>
      </c>
      <c r="M36" s="378">
        <f t="shared" si="14"/>
        <v>50</v>
      </c>
      <c r="N36" s="123">
        <f t="shared" si="14"/>
        <v>50</v>
      </c>
      <c r="O36" s="378">
        <f t="shared" si="14"/>
        <v>50</v>
      </c>
      <c r="P36" s="409"/>
      <c r="Q36" s="126" t="s">
        <v>155</v>
      </c>
      <c r="R36" s="410"/>
      <c r="S36" s="410"/>
      <c r="T36" s="400"/>
      <c r="U36" s="400"/>
      <c r="V36" s="400"/>
      <c r="W36" s="400"/>
      <c r="X36" s="400"/>
      <c r="Y36" s="400"/>
      <c r="Z36" s="400"/>
      <c r="AA36" s="18"/>
    </row>
    <row r="37">
      <c r="B37" s="121" t="s">
        <v>158</v>
      </c>
      <c r="C37" s="122"/>
      <c r="D37" s="390"/>
      <c r="E37" s="390"/>
      <c r="F37" s="390"/>
      <c r="G37" s="390"/>
      <c r="H37" s="378" t="str">
        <f t="shared" ref="H37:O37" si="15">G37</f>
        <v/>
      </c>
      <c r="I37" s="378" t="str">
        <f t="shared" si="15"/>
        <v/>
      </c>
      <c r="J37" s="378" t="str">
        <f t="shared" si="15"/>
        <v/>
      </c>
      <c r="K37" s="378" t="str">
        <f t="shared" si="15"/>
        <v/>
      </c>
      <c r="L37" s="378" t="str">
        <f t="shared" si="15"/>
        <v/>
      </c>
      <c r="M37" s="378" t="str">
        <f t="shared" si="15"/>
        <v/>
      </c>
      <c r="N37" s="123" t="str">
        <f t="shared" si="15"/>
        <v/>
      </c>
      <c r="O37" s="378" t="str">
        <f t="shared" si="15"/>
        <v/>
      </c>
      <c r="P37" s="409"/>
      <c r="Q37" s="126" t="s">
        <v>156</v>
      </c>
      <c r="R37" s="398"/>
      <c r="S37" s="410"/>
      <c r="T37" s="400"/>
      <c r="U37" s="400"/>
      <c r="V37" s="400"/>
      <c r="W37" s="410">
        <v>150.0</v>
      </c>
      <c r="X37" s="400"/>
      <c r="Y37" s="400"/>
      <c r="Z37" s="400"/>
      <c r="AA37" s="18"/>
    </row>
    <row r="38">
      <c r="B38" s="121" t="s">
        <v>159</v>
      </c>
      <c r="C38" s="122"/>
      <c r="D38" s="378">
        <f t="shared" ref="D38:E38" si="16">400+400+150</f>
        <v>950</v>
      </c>
      <c r="E38" s="378">
        <f t="shared" si="16"/>
        <v>950</v>
      </c>
      <c r="F38" s="378">
        <v>950.0</v>
      </c>
      <c r="G38" s="378">
        <v>950.0</v>
      </c>
      <c r="H38" s="378">
        <f t="shared" ref="H38:N38" si="17">400+400+150</f>
        <v>950</v>
      </c>
      <c r="I38" s="378">
        <f t="shared" si="17"/>
        <v>950</v>
      </c>
      <c r="J38" s="378">
        <f t="shared" si="17"/>
        <v>950</v>
      </c>
      <c r="K38" s="378">
        <f t="shared" si="17"/>
        <v>950</v>
      </c>
      <c r="L38" s="378">
        <f t="shared" si="17"/>
        <v>950</v>
      </c>
      <c r="M38" s="378">
        <f t="shared" si="17"/>
        <v>950</v>
      </c>
      <c r="N38" s="123">
        <f t="shared" si="17"/>
        <v>950</v>
      </c>
      <c r="O38" s="378">
        <v>800.0</v>
      </c>
      <c r="P38" s="409"/>
      <c r="Q38" s="126" t="s">
        <v>157</v>
      </c>
      <c r="R38" s="398"/>
      <c r="S38" s="410"/>
      <c r="T38" s="400"/>
      <c r="U38" s="400"/>
      <c r="V38" s="400"/>
      <c r="W38" s="400"/>
      <c r="X38" s="400"/>
      <c r="Z38" s="410">
        <v>50.0</v>
      </c>
    </row>
    <row r="39">
      <c r="B39" s="121" t="s">
        <v>160</v>
      </c>
      <c r="C39" s="122"/>
      <c r="D39" s="378">
        <v>3000.0</v>
      </c>
      <c r="E39" s="378">
        <v>3000.0</v>
      </c>
      <c r="F39" s="378">
        <v>3000.0</v>
      </c>
      <c r="G39" s="378">
        <v>3000.0</v>
      </c>
      <c r="H39" s="378">
        <f t="shared" ref="H39:O39" si="18">G39</f>
        <v>3000</v>
      </c>
      <c r="I39" s="378">
        <f t="shared" si="18"/>
        <v>3000</v>
      </c>
      <c r="J39" s="378">
        <f t="shared" si="18"/>
        <v>3000</v>
      </c>
      <c r="K39" s="378">
        <f t="shared" si="18"/>
        <v>3000</v>
      </c>
      <c r="L39" s="378">
        <f t="shared" si="18"/>
        <v>3000</v>
      </c>
      <c r="M39" s="378">
        <f t="shared" si="18"/>
        <v>3000</v>
      </c>
      <c r="N39" s="123">
        <f t="shared" si="18"/>
        <v>3000</v>
      </c>
      <c r="O39" s="378">
        <f t="shared" si="18"/>
        <v>3000</v>
      </c>
      <c r="P39" s="409"/>
      <c r="Q39" s="126" t="s">
        <v>158</v>
      </c>
      <c r="R39" s="410"/>
      <c r="S39" s="410"/>
      <c r="T39" s="400"/>
      <c r="U39" s="400"/>
      <c r="V39" s="400"/>
      <c r="W39" s="400"/>
      <c r="X39" s="400"/>
      <c r="Y39" s="400"/>
      <c r="Z39" s="400"/>
    </row>
    <row r="40">
      <c r="B40" s="127" t="s">
        <v>184</v>
      </c>
      <c r="C40" s="128"/>
      <c r="D40" s="377">
        <v>1087.8499999999985</v>
      </c>
      <c r="E40" s="378">
        <v>700.0</v>
      </c>
      <c r="F40" s="378">
        <v>700.0</v>
      </c>
      <c r="G40" s="378">
        <v>700.0</v>
      </c>
      <c r="H40" s="378">
        <v>700.0</v>
      </c>
      <c r="I40" s="378">
        <v>700.0</v>
      </c>
      <c r="J40" s="378">
        <v>700.0</v>
      </c>
      <c r="K40" s="378">
        <v>700.0</v>
      </c>
      <c r="L40" s="378">
        <v>700.0</v>
      </c>
      <c r="M40" s="378">
        <v>700.0</v>
      </c>
      <c r="N40" s="129">
        <v>700.0</v>
      </c>
      <c r="O40" s="378">
        <v>700.0</v>
      </c>
      <c r="P40" s="409"/>
      <c r="Q40" s="126" t="s">
        <v>159</v>
      </c>
      <c r="R40" s="410">
        <v>400.0</v>
      </c>
      <c r="S40" s="410">
        <v>550.0</v>
      </c>
      <c r="T40" s="400"/>
      <c r="U40" s="400"/>
      <c r="V40" s="400"/>
      <c r="W40" s="400"/>
      <c r="X40" s="400"/>
      <c r="Y40" s="400"/>
      <c r="Z40" s="400"/>
    </row>
    <row r="41">
      <c r="B41" s="127" t="s">
        <v>3</v>
      </c>
      <c r="C41" s="128"/>
      <c r="D41" s="378">
        <v>500.0</v>
      </c>
      <c r="E41" s="378">
        <v>500.0</v>
      </c>
      <c r="F41" s="378">
        <v>500.0</v>
      </c>
      <c r="G41" s="378">
        <v>500.0</v>
      </c>
      <c r="H41" s="378">
        <v>500.0</v>
      </c>
      <c r="I41" s="378">
        <v>500.0</v>
      </c>
      <c r="J41" s="378">
        <v>500.0</v>
      </c>
      <c r="K41" s="378">
        <v>500.0</v>
      </c>
      <c r="L41" s="378">
        <v>500.0</v>
      </c>
      <c r="M41" s="378">
        <v>500.0</v>
      </c>
      <c r="N41" s="129">
        <v>500.0</v>
      </c>
      <c r="O41" s="378">
        <v>500.0</v>
      </c>
      <c r="P41" s="409"/>
      <c r="Q41" s="126" t="s">
        <v>160</v>
      </c>
      <c r="R41" s="410">
        <v>1500.0</v>
      </c>
      <c r="S41" s="410">
        <v>1500.0</v>
      </c>
      <c r="T41" s="400"/>
      <c r="U41" s="400"/>
      <c r="V41" s="400"/>
      <c r="W41" s="400"/>
      <c r="X41" s="400"/>
      <c r="Y41" s="400"/>
      <c r="Z41" s="400"/>
    </row>
    <row r="42">
      <c r="B42" s="67" t="s">
        <v>161</v>
      </c>
      <c r="C42" s="68"/>
      <c r="D42" s="132">
        <f t="shared" ref="D42:O42" si="19">SUM(D19:D41)*-1</f>
        <v>-12034.7</v>
      </c>
      <c r="E42" s="132">
        <f t="shared" si="19"/>
        <v>-11130.31</v>
      </c>
      <c r="F42" s="132">
        <f t="shared" si="19"/>
        <v>-10985.11</v>
      </c>
      <c r="G42" s="132">
        <f t="shared" si="19"/>
        <v>-10844.76</v>
      </c>
      <c r="H42" s="132">
        <f t="shared" si="19"/>
        <v>-12590.16</v>
      </c>
      <c r="I42" s="132">
        <f t="shared" si="19"/>
        <v>-12494.82</v>
      </c>
      <c r="J42" s="132">
        <f t="shared" si="19"/>
        <v>-11908.98</v>
      </c>
      <c r="K42" s="132">
        <f t="shared" si="19"/>
        <v>-11831.62</v>
      </c>
      <c r="L42" s="132">
        <f t="shared" si="19"/>
        <v>-11681.62</v>
      </c>
      <c r="M42" s="132">
        <f t="shared" si="19"/>
        <v>-12121.62</v>
      </c>
      <c r="N42" s="132">
        <f t="shared" si="19"/>
        <v>-11921.62</v>
      </c>
      <c r="O42" s="412">
        <f t="shared" si="19"/>
        <v>-11856.7</v>
      </c>
      <c r="P42" s="409"/>
      <c r="Q42" s="389" t="s">
        <v>184</v>
      </c>
      <c r="R42" s="398"/>
      <c r="S42" s="410"/>
      <c r="T42" s="400"/>
      <c r="U42" s="374">
        <v>700.0</v>
      </c>
      <c r="V42" s="400"/>
      <c r="W42" s="400"/>
      <c r="X42" s="400"/>
      <c r="Y42" s="400"/>
      <c r="Z42" s="400"/>
    </row>
    <row r="43">
      <c r="P43" s="409"/>
      <c r="Q43" s="389" t="s">
        <v>3</v>
      </c>
      <c r="R43" s="398"/>
      <c r="S43" s="400"/>
      <c r="T43" s="400"/>
      <c r="U43" s="404"/>
      <c r="V43" s="410">
        <v>500.0</v>
      </c>
      <c r="W43" s="400"/>
      <c r="X43" s="400"/>
      <c r="Y43" s="400"/>
      <c r="Z43" s="400"/>
    </row>
    <row r="44">
      <c r="B44" s="80" t="s">
        <v>162</v>
      </c>
      <c r="C44" s="81"/>
      <c r="D44" s="82">
        <f t="shared" ref="D44:O44" si="20">D16+D42</f>
        <v>1557.38</v>
      </c>
      <c r="E44" s="82">
        <f t="shared" si="20"/>
        <v>2733.61</v>
      </c>
      <c r="F44" s="82">
        <f t="shared" si="20"/>
        <v>3138.81</v>
      </c>
      <c r="G44" s="82">
        <f t="shared" si="20"/>
        <v>3295.36</v>
      </c>
      <c r="H44" s="82">
        <f t="shared" si="20"/>
        <v>1561.97</v>
      </c>
      <c r="I44" s="82">
        <f t="shared" si="20"/>
        <v>12253.51</v>
      </c>
      <c r="J44" s="82">
        <f t="shared" si="20"/>
        <v>2226.14</v>
      </c>
      <c r="K44" s="82">
        <f t="shared" si="20"/>
        <v>2194.5</v>
      </c>
      <c r="L44" s="82">
        <f t="shared" si="20"/>
        <v>2421.51</v>
      </c>
      <c r="M44" s="82">
        <f t="shared" si="20"/>
        <v>1983.51</v>
      </c>
      <c r="N44" s="82">
        <f t="shared" si="20"/>
        <v>2174.51</v>
      </c>
      <c r="O44" s="413">
        <f t="shared" si="20"/>
        <v>2189.66</v>
      </c>
      <c r="P44" s="18"/>
      <c r="Q44" s="18" t="s">
        <v>382</v>
      </c>
      <c r="R44" s="400"/>
      <c r="S44" s="400"/>
      <c r="T44" s="400"/>
      <c r="U44" s="404">
        <v>962.79</v>
      </c>
      <c r="V44" s="400"/>
      <c r="W44" s="400"/>
      <c r="X44" s="106">
        <v>1211.7200000000003</v>
      </c>
      <c r="Y44" s="400"/>
      <c r="Z44" s="400"/>
    </row>
    <row r="45">
      <c r="B45" s="83"/>
      <c r="C45" s="83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107"/>
      <c r="Q45" s="7" t="s">
        <v>26</v>
      </c>
      <c r="R45" s="325">
        <f t="shared" ref="R45:Z45" si="21">SUM(R21:R44)</f>
        <v>5028.72</v>
      </c>
      <c r="S45" s="373">
        <f t="shared" si="21"/>
        <v>2513</v>
      </c>
      <c r="T45" s="373">
        <f t="shared" si="21"/>
        <v>2019.9</v>
      </c>
      <c r="U45" s="373">
        <f t="shared" si="21"/>
        <v>1662.79</v>
      </c>
      <c r="V45" s="373">
        <f t="shared" si="21"/>
        <v>500</v>
      </c>
      <c r="W45" s="373">
        <f t="shared" si="21"/>
        <v>710</v>
      </c>
      <c r="X45" s="373">
        <f t="shared" si="21"/>
        <v>1211.72</v>
      </c>
      <c r="Y45" s="373">
        <f t="shared" si="21"/>
        <v>0</v>
      </c>
      <c r="Z45" s="373">
        <f t="shared" si="21"/>
        <v>450</v>
      </c>
    </row>
    <row r="46">
      <c r="B46" s="85" t="s">
        <v>163</v>
      </c>
      <c r="C46" s="86"/>
      <c r="D46" s="57" t="s">
        <v>123</v>
      </c>
      <c r="E46" s="57" t="s">
        <v>124</v>
      </c>
      <c r="F46" s="57" t="s">
        <v>125</v>
      </c>
      <c r="G46" s="57" t="s">
        <v>126</v>
      </c>
      <c r="H46" s="57" t="s">
        <v>127</v>
      </c>
      <c r="I46" s="57" t="s">
        <v>128</v>
      </c>
      <c r="J46" s="57" t="s">
        <v>129</v>
      </c>
      <c r="K46" s="57" t="s">
        <v>130</v>
      </c>
      <c r="L46" s="57" t="s">
        <v>131</v>
      </c>
      <c r="M46" s="57" t="s">
        <v>132</v>
      </c>
      <c r="N46" s="57" t="s">
        <v>133</v>
      </c>
      <c r="O46" s="57" t="s">
        <v>133</v>
      </c>
      <c r="P46" s="107"/>
      <c r="Q46" s="107" t="s">
        <v>371</v>
      </c>
      <c r="R46" s="391">
        <f>(M12)-R45</f>
        <v>3373.54</v>
      </c>
      <c r="S46" s="375"/>
      <c r="T46" s="287"/>
    </row>
    <row r="47">
      <c r="B47" s="87" t="s">
        <v>185</v>
      </c>
      <c r="C47" s="88"/>
      <c r="D47" s="89"/>
      <c r="E47" s="89"/>
      <c r="F47" s="89"/>
      <c r="G47" s="134">
        <v>512.46</v>
      </c>
      <c r="H47" s="134">
        <v>512.46</v>
      </c>
      <c r="I47" s="134">
        <v>512.46</v>
      </c>
      <c r="J47" s="134">
        <v>502.75</v>
      </c>
      <c r="K47" s="134"/>
      <c r="L47" s="134"/>
      <c r="M47" s="134"/>
      <c r="N47" s="134"/>
      <c r="O47" s="134"/>
      <c r="P47" s="248"/>
      <c r="Q47" s="325" t="s">
        <v>353</v>
      </c>
    </row>
    <row r="48">
      <c r="A48" s="298">
        <v>45020.0</v>
      </c>
      <c r="B48" s="87" t="s">
        <v>58</v>
      </c>
      <c r="C48" s="88"/>
      <c r="D48" s="91"/>
      <c r="E48" s="91"/>
      <c r="F48" s="91"/>
      <c r="G48" s="91"/>
      <c r="H48" s="91"/>
      <c r="I48" s="135"/>
      <c r="J48" s="135"/>
      <c r="K48" s="135"/>
      <c r="L48" s="135"/>
      <c r="M48" s="135"/>
      <c r="N48" s="135">
        <v>962.79</v>
      </c>
      <c r="O48" s="135">
        <v>1000.0</v>
      </c>
      <c r="P48" s="107"/>
      <c r="Q48" s="107"/>
    </row>
    <row r="49">
      <c r="B49" s="87" t="s">
        <v>381</v>
      </c>
      <c r="C49" s="88"/>
      <c r="D49" s="91"/>
      <c r="E49" s="91"/>
      <c r="F49" s="91"/>
      <c r="G49" s="91"/>
      <c r="H49" s="91"/>
      <c r="I49" s="91"/>
      <c r="J49" s="91"/>
      <c r="K49" s="91"/>
      <c r="L49" s="91"/>
      <c r="M49" s="135">
        <v>953.29</v>
      </c>
      <c r="N49" s="91"/>
      <c r="O49" s="91"/>
      <c r="P49" s="107"/>
      <c r="Q49" s="107"/>
    </row>
    <row r="50">
      <c r="B50" s="92"/>
      <c r="C50" s="93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107"/>
      <c r="Q50" s="107"/>
      <c r="U50" s="387"/>
      <c r="X50" s="387"/>
    </row>
    <row r="51">
      <c r="B51" s="67" t="s">
        <v>167</v>
      </c>
      <c r="C51" s="95">
        <f>SUM(C47:C50)</f>
        <v>0</v>
      </c>
      <c r="D51" s="78">
        <f t="shared" ref="D51:O51" si="22">SUM(D47:D50)*-1</f>
        <v>0</v>
      </c>
      <c r="E51" s="78">
        <f t="shared" si="22"/>
        <v>0</v>
      </c>
      <c r="F51" s="78">
        <f t="shared" si="22"/>
        <v>0</v>
      </c>
      <c r="G51" s="78">
        <f t="shared" si="22"/>
        <v>-512.46</v>
      </c>
      <c r="H51" s="78">
        <f t="shared" si="22"/>
        <v>-512.46</v>
      </c>
      <c r="I51" s="78">
        <f t="shared" si="22"/>
        <v>-512.46</v>
      </c>
      <c r="J51" s="78">
        <f t="shared" si="22"/>
        <v>-502.75</v>
      </c>
      <c r="K51" s="78">
        <f t="shared" si="22"/>
        <v>0</v>
      </c>
      <c r="L51" s="78">
        <f t="shared" si="22"/>
        <v>0</v>
      </c>
      <c r="M51" s="78">
        <f t="shared" si="22"/>
        <v>-953.29</v>
      </c>
      <c r="N51" s="78">
        <f t="shared" si="22"/>
        <v>-962.79</v>
      </c>
      <c r="O51" s="78">
        <f t="shared" si="22"/>
        <v>-1000</v>
      </c>
      <c r="P51" s="107"/>
      <c r="Q51" s="394" t="s">
        <v>48</v>
      </c>
      <c r="R51" s="395"/>
      <c r="S51" s="389" t="s">
        <v>370</v>
      </c>
      <c r="T51" s="389"/>
    </row>
    <row r="52">
      <c r="B52" s="83"/>
      <c r="C52" s="83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107"/>
      <c r="Q52" s="107"/>
    </row>
    <row r="53">
      <c r="B53" s="97" t="s">
        <v>168</v>
      </c>
      <c r="C53" s="98"/>
      <c r="D53" s="99">
        <f t="shared" ref="D53:O53" si="23">D44+D51</f>
        <v>1557.38</v>
      </c>
      <c r="E53" s="99">
        <f t="shared" si="23"/>
        <v>2733.61</v>
      </c>
      <c r="F53" s="99">
        <f t="shared" si="23"/>
        <v>3138.81</v>
      </c>
      <c r="G53" s="99">
        <f t="shared" si="23"/>
        <v>2782.9</v>
      </c>
      <c r="H53" s="99">
        <f t="shared" si="23"/>
        <v>1049.51</v>
      </c>
      <c r="I53" s="99">
        <f t="shared" si="23"/>
        <v>11741.05</v>
      </c>
      <c r="J53" s="99">
        <f t="shared" si="23"/>
        <v>1723.39</v>
      </c>
      <c r="K53" s="99">
        <f t="shared" si="23"/>
        <v>2194.5</v>
      </c>
      <c r="L53" s="99">
        <f t="shared" si="23"/>
        <v>2421.51</v>
      </c>
      <c r="M53" s="99">
        <f t="shared" si="23"/>
        <v>1030.22</v>
      </c>
      <c r="N53" s="99">
        <f t="shared" si="23"/>
        <v>1211.72</v>
      </c>
      <c r="O53" s="99">
        <f t="shared" si="23"/>
        <v>1189.66</v>
      </c>
      <c r="P53" s="107"/>
      <c r="Q53" s="107"/>
      <c r="R53" s="107"/>
    </row>
    <row r="54">
      <c r="B54" s="83"/>
      <c r="C54" s="83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107"/>
      <c r="Q54" s="107"/>
      <c r="R54" s="18"/>
    </row>
    <row r="55">
      <c r="B55" s="100" t="s">
        <v>169</v>
      </c>
      <c r="C55" s="101"/>
      <c r="D55" s="57" t="s">
        <v>123</v>
      </c>
      <c r="E55" s="57" t="s">
        <v>124</v>
      </c>
      <c r="F55" s="57" t="s">
        <v>125</v>
      </c>
      <c r="G55" s="57" t="s">
        <v>126</v>
      </c>
      <c r="H55" s="57" t="s">
        <v>127</v>
      </c>
      <c r="I55" s="57" t="s">
        <v>128</v>
      </c>
      <c r="J55" s="57" t="s">
        <v>129</v>
      </c>
      <c r="K55" s="57" t="s">
        <v>130</v>
      </c>
      <c r="L55" s="57" t="s">
        <v>131</v>
      </c>
      <c r="M55" s="57" t="s">
        <v>132</v>
      </c>
      <c r="N55" s="57" t="s">
        <v>132</v>
      </c>
      <c r="O55" s="57" t="s">
        <v>133</v>
      </c>
      <c r="P55" s="107"/>
      <c r="Q55" s="107"/>
      <c r="R55" s="18"/>
    </row>
    <row r="56">
      <c r="B56" s="102" t="s">
        <v>170</v>
      </c>
      <c r="C56" s="103"/>
      <c r="D56" s="104"/>
      <c r="E56" s="105">
        <v>0.0</v>
      </c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27"/>
      <c r="Q56" s="27"/>
    </row>
    <row r="57">
      <c r="B57" s="102" t="s">
        <v>171</v>
      </c>
      <c r="C57" s="103"/>
      <c r="D57" s="106">
        <f>+D53</f>
        <v>1557.38</v>
      </c>
      <c r="E57" s="106">
        <v>1572.02</v>
      </c>
      <c r="F57" s="106">
        <f t="shared" ref="F57:O57" si="24">+F53</f>
        <v>3138.81</v>
      </c>
      <c r="G57" s="106">
        <f t="shared" si="24"/>
        <v>2782.9</v>
      </c>
      <c r="H57" s="106">
        <f t="shared" si="24"/>
        <v>1049.51</v>
      </c>
      <c r="I57" s="106">
        <f t="shared" si="24"/>
        <v>11741.05</v>
      </c>
      <c r="J57" s="106">
        <f t="shared" si="24"/>
        <v>1723.39</v>
      </c>
      <c r="K57" s="106">
        <f t="shared" si="24"/>
        <v>2194.5</v>
      </c>
      <c r="L57" s="106">
        <f t="shared" si="24"/>
        <v>2421.51</v>
      </c>
      <c r="M57" s="106">
        <f t="shared" si="24"/>
        <v>1030.22</v>
      </c>
      <c r="N57" s="106">
        <f t="shared" si="24"/>
        <v>1211.72</v>
      </c>
      <c r="O57" s="106">
        <f t="shared" si="24"/>
        <v>1189.66</v>
      </c>
      <c r="P57" s="27"/>
      <c r="Q57" s="27"/>
    </row>
    <row r="58">
      <c r="B58" s="67" t="s">
        <v>173</v>
      </c>
      <c r="C58" s="68"/>
      <c r="D58" s="95">
        <f t="shared" ref="D58:O58" si="25">SUM(D56:D57)</f>
        <v>1557.38</v>
      </c>
      <c r="E58" s="95">
        <f t="shared" si="25"/>
        <v>1572.02</v>
      </c>
      <c r="F58" s="95">
        <f t="shared" si="25"/>
        <v>3138.81</v>
      </c>
      <c r="G58" s="95">
        <f t="shared" si="25"/>
        <v>2782.9</v>
      </c>
      <c r="H58" s="95">
        <f t="shared" si="25"/>
        <v>1049.51</v>
      </c>
      <c r="I58" s="95">
        <f t="shared" si="25"/>
        <v>11741.05</v>
      </c>
      <c r="J58" s="95">
        <f t="shared" si="25"/>
        <v>1723.39</v>
      </c>
      <c r="K58" s="95">
        <f t="shared" si="25"/>
        <v>2194.5</v>
      </c>
      <c r="L58" s="95">
        <f t="shared" si="25"/>
        <v>2421.51</v>
      </c>
      <c r="M58" s="95">
        <f t="shared" si="25"/>
        <v>1030.22</v>
      </c>
      <c r="N58" s="95">
        <f t="shared" si="25"/>
        <v>1211.72</v>
      </c>
      <c r="O58" s="95">
        <f t="shared" si="25"/>
        <v>1189.66</v>
      </c>
      <c r="P58" s="27"/>
      <c r="Q58" s="27"/>
    </row>
    <row r="59">
      <c r="D59" s="362"/>
      <c r="E59" s="362"/>
      <c r="N59" s="27"/>
      <c r="O59" s="27"/>
      <c r="P59" s="27"/>
      <c r="Q59" s="27"/>
    </row>
    <row r="60">
      <c r="I60" s="18">
        <v>1239.94</v>
      </c>
      <c r="N60" s="27"/>
      <c r="O60" s="27"/>
      <c r="P60" s="27"/>
      <c r="Q60" s="27"/>
    </row>
    <row r="61">
      <c r="N61" s="27"/>
      <c r="O61" s="27"/>
      <c r="P61" s="27"/>
      <c r="Q61" s="27"/>
    </row>
    <row r="62">
      <c r="N62" s="27"/>
      <c r="O62" s="27"/>
      <c r="P62" s="27"/>
      <c r="Q62" s="27"/>
    </row>
    <row r="63">
      <c r="N63" s="27"/>
      <c r="O63" s="27"/>
      <c r="P63" s="27"/>
      <c r="Q63" s="27"/>
    </row>
    <row r="64">
      <c r="N64" s="27"/>
      <c r="O64" s="27"/>
      <c r="P64" s="27"/>
      <c r="Q64" s="27"/>
    </row>
    <row r="65">
      <c r="N65" s="27"/>
      <c r="O65" s="27"/>
      <c r="P65" s="27"/>
      <c r="Q65" s="27"/>
    </row>
    <row r="66">
      <c r="N66" s="27"/>
      <c r="O66" s="27"/>
      <c r="P66" s="27"/>
      <c r="Q66" s="27"/>
    </row>
    <row r="67">
      <c r="N67" s="27"/>
      <c r="O67" s="27"/>
      <c r="P67" s="27"/>
      <c r="Q67" s="27"/>
    </row>
    <row r="68">
      <c r="N68" s="27"/>
      <c r="O68" s="27"/>
      <c r="P68" s="27"/>
      <c r="Q68" s="27"/>
    </row>
    <row r="69">
      <c r="N69" s="27"/>
      <c r="O69" s="27"/>
      <c r="P69" s="27"/>
      <c r="Q69" s="27"/>
    </row>
    <row r="70">
      <c r="N70" s="27"/>
      <c r="O70" s="27"/>
      <c r="P70" s="27"/>
      <c r="Q70" s="27"/>
    </row>
    <row r="71">
      <c r="N71" s="27"/>
      <c r="O71" s="27"/>
      <c r="P71" s="27"/>
      <c r="Q71" s="27"/>
    </row>
    <row r="72">
      <c r="N72" s="27"/>
      <c r="O72" s="27"/>
      <c r="P72" s="27"/>
      <c r="Q72" s="27"/>
    </row>
    <row r="73">
      <c r="N73" s="27"/>
      <c r="O73" s="27"/>
      <c r="P73" s="27"/>
      <c r="Q73" s="27"/>
    </row>
    <row r="74">
      <c r="N74" s="27"/>
      <c r="O74" s="27"/>
      <c r="P74" s="27"/>
      <c r="Q74" s="27"/>
    </row>
    <row r="75">
      <c r="N75" s="27"/>
      <c r="O75" s="27"/>
      <c r="P75" s="27"/>
      <c r="Q75" s="27"/>
    </row>
    <row r="76">
      <c r="N76" s="27"/>
      <c r="O76" s="27"/>
      <c r="P76" s="27"/>
      <c r="Q76" s="27"/>
    </row>
    <row r="77">
      <c r="N77" s="27"/>
      <c r="O77" s="27"/>
      <c r="P77" s="27"/>
      <c r="Q77" s="27"/>
    </row>
    <row r="78">
      <c r="N78" s="27"/>
      <c r="O78" s="27"/>
      <c r="P78" s="27"/>
      <c r="Q78" s="27"/>
    </row>
    <row r="79">
      <c r="N79" s="27"/>
      <c r="O79" s="27"/>
      <c r="P79" s="27"/>
      <c r="Q79" s="27"/>
    </row>
    <row r="80">
      <c r="N80" s="27"/>
      <c r="O80" s="27"/>
      <c r="P80" s="27"/>
      <c r="Q80" s="27"/>
    </row>
    <row r="81">
      <c r="N81" s="27"/>
      <c r="O81" s="27"/>
      <c r="P81" s="27"/>
      <c r="Q81" s="27"/>
    </row>
    <row r="82">
      <c r="N82" s="27"/>
      <c r="O82" s="27"/>
      <c r="P82" s="27"/>
      <c r="Q82" s="27"/>
    </row>
    <row r="83">
      <c r="N83" s="27"/>
      <c r="O83" s="27"/>
      <c r="P83" s="27"/>
      <c r="Q83" s="27"/>
    </row>
    <row r="84">
      <c r="N84" s="27"/>
      <c r="O84" s="27"/>
      <c r="P84" s="27"/>
      <c r="Q84" s="27"/>
    </row>
    <row r="85">
      <c r="N85" s="27"/>
      <c r="O85" s="27"/>
      <c r="P85" s="27"/>
      <c r="Q85" s="27"/>
    </row>
    <row r="86">
      <c r="N86" s="27"/>
      <c r="O86" s="27"/>
      <c r="P86" s="27"/>
      <c r="Q86" s="27"/>
    </row>
    <row r="87">
      <c r="N87" s="27"/>
      <c r="O87" s="27"/>
      <c r="P87" s="27"/>
      <c r="Q87" s="27"/>
    </row>
    <row r="88">
      <c r="N88" s="27"/>
      <c r="O88" s="27"/>
      <c r="P88" s="27"/>
      <c r="Q88" s="27"/>
    </row>
    <row r="89">
      <c r="N89" s="27"/>
      <c r="O89" s="27"/>
      <c r="P89" s="27"/>
      <c r="Q89" s="27"/>
    </row>
    <row r="90">
      <c r="N90" s="27"/>
      <c r="O90" s="27"/>
      <c r="P90" s="27"/>
      <c r="Q90" s="27"/>
    </row>
    <row r="91">
      <c r="N91" s="27"/>
      <c r="O91" s="27"/>
      <c r="P91" s="27"/>
      <c r="Q91" s="27"/>
    </row>
    <row r="92">
      <c r="N92" s="27"/>
      <c r="O92" s="27"/>
      <c r="P92" s="27"/>
      <c r="Q92" s="27"/>
    </row>
    <row r="93">
      <c r="N93" s="27"/>
      <c r="O93" s="27"/>
      <c r="P93" s="27"/>
      <c r="Q93" s="27"/>
    </row>
    <row r="94">
      <c r="N94" s="27"/>
      <c r="O94" s="27"/>
      <c r="P94" s="27"/>
      <c r="Q94" s="27"/>
    </row>
    <row r="95">
      <c r="N95" s="27"/>
      <c r="O95" s="27"/>
      <c r="P95" s="27"/>
      <c r="Q95" s="27"/>
    </row>
    <row r="96">
      <c r="N96" s="27"/>
      <c r="O96" s="27"/>
      <c r="P96" s="27"/>
      <c r="Q96" s="27"/>
    </row>
    <row r="97">
      <c r="N97" s="27"/>
      <c r="O97" s="27"/>
      <c r="P97" s="27"/>
      <c r="Q97" s="27"/>
    </row>
    <row r="98">
      <c r="N98" s="27"/>
      <c r="O98" s="27"/>
      <c r="P98" s="27"/>
      <c r="Q98" s="27"/>
    </row>
    <row r="99">
      <c r="N99" s="27"/>
      <c r="O99" s="27"/>
      <c r="P99" s="27"/>
      <c r="Q99" s="27"/>
    </row>
    <row r="100">
      <c r="N100" s="27"/>
      <c r="O100" s="27"/>
      <c r="P100" s="27"/>
      <c r="Q100" s="27"/>
    </row>
    <row r="101">
      <c r="N101" s="27"/>
      <c r="O101" s="27"/>
      <c r="P101" s="27"/>
      <c r="Q101" s="27"/>
    </row>
    <row r="102">
      <c r="N102" s="27"/>
      <c r="O102" s="27"/>
      <c r="P102" s="27"/>
      <c r="Q102" s="27"/>
    </row>
    <row r="103">
      <c r="N103" s="27"/>
      <c r="O103" s="27"/>
      <c r="P103" s="27"/>
      <c r="Q103" s="27"/>
    </row>
    <row r="104">
      <c r="N104" s="27"/>
      <c r="O104" s="27"/>
      <c r="P104" s="27"/>
      <c r="Q104" s="27"/>
    </row>
    <row r="105">
      <c r="N105" s="27"/>
      <c r="O105" s="27"/>
      <c r="P105" s="27"/>
      <c r="Q105" s="27"/>
    </row>
    <row r="106">
      <c r="N106" s="27"/>
      <c r="O106" s="27"/>
      <c r="P106" s="27"/>
      <c r="Q106" s="27"/>
    </row>
    <row r="107">
      <c r="N107" s="27"/>
      <c r="O107" s="27"/>
      <c r="P107" s="27"/>
      <c r="Q107" s="27"/>
    </row>
    <row r="108">
      <c r="N108" s="27"/>
      <c r="O108" s="27"/>
      <c r="P108" s="27"/>
      <c r="Q108" s="27"/>
    </row>
    <row r="109">
      <c r="N109" s="27"/>
      <c r="O109" s="27"/>
      <c r="P109" s="27"/>
      <c r="Q109" s="27"/>
    </row>
    <row r="110">
      <c r="N110" s="27"/>
      <c r="O110" s="27"/>
      <c r="P110" s="27"/>
      <c r="Q110" s="27"/>
    </row>
    <row r="111">
      <c r="N111" s="27"/>
      <c r="O111" s="27"/>
      <c r="P111" s="27"/>
      <c r="Q111" s="27"/>
    </row>
    <row r="112">
      <c r="N112" s="27"/>
      <c r="O112" s="27"/>
      <c r="P112" s="27"/>
      <c r="Q112" s="27"/>
    </row>
    <row r="113">
      <c r="N113" s="27"/>
      <c r="O113" s="27"/>
      <c r="P113" s="27"/>
      <c r="Q113" s="27"/>
    </row>
    <row r="114">
      <c r="N114" s="27"/>
      <c r="O114" s="27"/>
      <c r="P114" s="27"/>
      <c r="Q114" s="27"/>
    </row>
    <row r="115">
      <c r="N115" s="27"/>
      <c r="O115" s="27"/>
      <c r="P115" s="27"/>
      <c r="Q115" s="27"/>
    </row>
    <row r="116">
      <c r="N116" s="27"/>
      <c r="O116" s="27"/>
      <c r="P116" s="27"/>
      <c r="Q116" s="27"/>
    </row>
    <row r="117">
      <c r="N117" s="27"/>
      <c r="O117" s="27"/>
      <c r="P117" s="27"/>
      <c r="Q117" s="27"/>
    </row>
    <row r="118">
      <c r="N118" s="27"/>
      <c r="O118" s="27"/>
      <c r="P118" s="27"/>
      <c r="Q118" s="27"/>
    </row>
    <row r="119">
      <c r="N119" s="27"/>
      <c r="O119" s="27"/>
      <c r="P119" s="27"/>
      <c r="Q119" s="27"/>
    </row>
    <row r="120">
      <c r="N120" s="27"/>
      <c r="O120" s="27"/>
      <c r="P120" s="27"/>
      <c r="Q120" s="27"/>
    </row>
    <row r="121">
      <c r="N121" s="27"/>
      <c r="O121" s="27"/>
      <c r="P121" s="27"/>
      <c r="Q121" s="27"/>
    </row>
    <row r="122">
      <c r="N122" s="27"/>
      <c r="O122" s="27"/>
      <c r="P122" s="27"/>
      <c r="Q122" s="27"/>
    </row>
    <row r="123">
      <c r="N123" s="27"/>
      <c r="O123" s="27"/>
      <c r="P123" s="27"/>
      <c r="Q123" s="27"/>
    </row>
    <row r="124">
      <c r="N124" s="27"/>
      <c r="O124" s="27"/>
      <c r="P124" s="27"/>
      <c r="Q124" s="27"/>
    </row>
    <row r="125">
      <c r="N125" s="27"/>
      <c r="O125" s="27"/>
      <c r="P125" s="27"/>
      <c r="Q125" s="27"/>
    </row>
    <row r="126">
      <c r="N126" s="27"/>
      <c r="O126" s="27"/>
      <c r="P126" s="27"/>
      <c r="Q126" s="27"/>
    </row>
    <row r="127">
      <c r="N127" s="27"/>
      <c r="O127" s="27"/>
      <c r="P127" s="27"/>
      <c r="Q127" s="27"/>
    </row>
    <row r="128">
      <c r="N128" s="27"/>
      <c r="O128" s="27"/>
      <c r="P128" s="27"/>
      <c r="Q128" s="27"/>
    </row>
    <row r="129">
      <c r="N129" s="27"/>
      <c r="O129" s="27"/>
      <c r="P129" s="27"/>
      <c r="Q129" s="27"/>
    </row>
    <row r="130">
      <c r="N130" s="27"/>
      <c r="O130" s="27"/>
      <c r="P130" s="27"/>
      <c r="Q130" s="27"/>
    </row>
    <row r="131">
      <c r="N131" s="27"/>
      <c r="O131" s="27"/>
      <c r="P131" s="27"/>
      <c r="Q131" s="27"/>
    </row>
    <row r="132">
      <c r="N132" s="27"/>
      <c r="O132" s="27"/>
      <c r="P132" s="27"/>
      <c r="Q132" s="27"/>
    </row>
    <row r="133">
      <c r="N133" s="27"/>
      <c r="O133" s="27"/>
      <c r="P133" s="27"/>
      <c r="Q133" s="27"/>
    </row>
    <row r="134">
      <c r="N134" s="27"/>
      <c r="O134" s="27"/>
      <c r="P134" s="27"/>
      <c r="Q134" s="27"/>
    </row>
    <row r="135">
      <c r="N135" s="27"/>
      <c r="O135" s="27"/>
      <c r="P135" s="27"/>
      <c r="Q135" s="27"/>
    </row>
    <row r="136">
      <c r="N136" s="27"/>
      <c r="O136" s="27"/>
      <c r="P136" s="27"/>
      <c r="Q136" s="27"/>
    </row>
    <row r="137">
      <c r="N137" s="27"/>
      <c r="O137" s="27"/>
      <c r="P137" s="27"/>
      <c r="Q137" s="27"/>
    </row>
    <row r="138">
      <c r="N138" s="27"/>
      <c r="O138" s="27"/>
      <c r="P138" s="27"/>
      <c r="Q138" s="27"/>
    </row>
    <row r="139">
      <c r="N139" s="27"/>
      <c r="O139" s="27"/>
      <c r="P139" s="27"/>
      <c r="Q139" s="27"/>
    </row>
    <row r="140">
      <c r="N140" s="27"/>
      <c r="O140" s="27"/>
      <c r="P140" s="27"/>
      <c r="Q140" s="27"/>
    </row>
    <row r="141">
      <c r="N141" s="27"/>
      <c r="O141" s="27"/>
      <c r="P141" s="27"/>
      <c r="Q141" s="27"/>
    </row>
    <row r="142">
      <c r="N142" s="27"/>
      <c r="O142" s="27"/>
      <c r="P142" s="27"/>
      <c r="Q142" s="27"/>
    </row>
    <row r="143">
      <c r="N143" s="27"/>
      <c r="O143" s="27"/>
      <c r="P143" s="27"/>
      <c r="Q143" s="27"/>
    </row>
    <row r="144">
      <c r="N144" s="27"/>
      <c r="O144" s="27"/>
      <c r="P144" s="27"/>
      <c r="Q144" s="27"/>
    </row>
    <row r="145">
      <c r="N145" s="27"/>
      <c r="O145" s="27"/>
      <c r="P145" s="27"/>
      <c r="Q145" s="27"/>
    </row>
    <row r="146">
      <c r="N146" s="27"/>
      <c r="O146" s="27"/>
      <c r="P146" s="27"/>
      <c r="Q146" s="27"/>
    </row>
    <row r="147">
      <c r="N147" s="27"/>
      <c r="O147" s="27"/>
      <c r="P147" s="27"/>
      <c r="Q147" s="27"/>
    </row>
    <row r="148">
      <c r="N148" s="27"/>
      <c r="O148" s="27"/>
      <c r="P148" s="27"/>
      <c r="Q148" s="27"/>
    </row>
    <row r="149">
      <c r="N149" s="27"/>
      <c r="O149" s="27"/>
      <c r="P149" s="27"/>
      <c r="Q149" s="27"/>
    </row>
    <row r="150">
      <c r="N150" s="27"/>
      <c r="O150" s="27"/>
      <c r="P150" s="27"/>
      <c r="Q150" s="27"/>
    </row>
    <row r="151">
      <c r="N151" s="27"/>
      <c r="O151" s="27"/>
      <c r="P151" s="27"/>
      <c r="Q151" s="27"/>
    </row>
    <row r="152">
      <c r="N152" s="27"/>
      <c r="O152" s="27"/>
      <c r="P152" s="27"/>
      <c r="Q152" s="27"/>
    </row>
    <row r="153">
      <c r="N153" s="27"/>
      <c r="O153" s="27"/>
      <c r="P153" s="27"/>
      <c r="Q153" s="27"/>
    </row>
    <row r="154">
      <c r="N154" s="27"/>
      <c r="O154" s="27"/>
      <c r="P154" s="27"/>
      <c r="Q154" s="27"/>
    </row>
    <row r="155">
      <c r="N155" s="27"/>
      <c r="O155" s="27"/>
      <c r="P155" s="27"/>
      <c r="Q155" s="27"/>
    </row>
    <row r="156">
      <c r="N156" s="27"/>
      <c r="O156" s="27"/>
      <c r="P156" s="27"/>
      <c r="Q156" s="27"/>
    </row>
    <row r="157">
      <c r="N157" s="27"/>
      <c r="O157" s="27"/>
      <c r="P157" s="27"/>
      <c r="Q157" s="27"/>
    </row>
    <row r="158">
      <c r="N158" s="27"/>
      <c r="O158" s="27"/>
      <c r="P158" s="27"/>
      <c r="Q158" s="27"/>
    </row>
    <row r="159">
      <c r="N159" s="27"/>
      <c r="O159" s="27"/>
      <c r="P159" s="27"/>
      <c r="Q159" s="27"/>
    </row>
    <row r="160">
      <c r="N160" s="27"/>
      <c r="O160" s="27"/>
      <c r="P160" s="27"/>
      <c r="Q160" s="27"/>
    </row>
    <row r="161">
      <c r="N161" s="27"/>
      <c r="O161" s="27"/>
      <c r="P161" s="27"/>
      <c r="Q161" s="27"/>
    </row>
    <row r="162">
      <c r="N162" s="27"/>
      <c r="O162" s="27"/>
      <c r="P162" s="27"/>
      <c r="Q162" s="27"/>
    </row>
    <row r="163">
      <c r="N163" s="27"/>
      <c r="O163" s="27"/>
      <c r="P163" s="27"/>
      <c r="Q163" s="27"/>
    </row>
    <row r="164">
      <c r="N164" s="27"/>
      <c r="O164" s="27"/>
      <c r="P164" s="27"/>
      <c r="Q164" s="27"/>
    </row>
    <row r="165">
      <c r="N165" s="27"/>
      <c r="O165" s="27"/>
      <c r="P165" s="27"/>
      <c r="Q165" s="27"/>
    </row>
    <row r="166">
      <c r="N166" s="27"/>
      <c r="O166" s="27"/>
      <c r="P166" s="27"/>
      <c r="Q166" s="27"/>
    </row>
    <row r="167">
      <c r="N167" s="27"/>
      <c r="O167" s="27"/>
      <c r="P167" s="27"/>
      <c r="Q167" s="27"/>
    </row>
    <row r="168">
      <c r="N168" s="27"/>
      <c r="O168" s="27"/>
      <c r="P168" s="27"/>
      <c r="Q168" s="27"/>
    </row>
    <row r="169">
      <c r="N169" s="27"/>
      <c r="O169" s="27"/>
      <c r="P169" s="27"/>
      <c r="Q169" s="27"/>
    </row>
    <row r="170">
      <c r="N170" s="27"/>
      <c r="O170" s="27"/>
      <c r="P170" s="27"/>
      <c r="Q170" s="27"/>
    </row>
    <row r="171">
      <c r="N171" s="27"/>
      <c r="O171" s="27"/>
      <c r="P171" s="27"/>
      <c r="Q171" s="27"/>
    </row>
    <row r="172">
      <c r="N172" s="27"/>
      <c r="O172" s="27"/>
      <c r="P172" s="27"/>
      <c r="Q172" s="27"/>
    </row>
    <row r="173">
      <c r="N173" s="27"/>
      <c r="O173" s="27"/>
      <c r="P173" s="27"/>
      <c r="Q173" s="27"/>
    </row>
    <row r="174">
      <c r="N174" s="27"/>
      <c r="O174" s="27"/>
      <c r="P174" s="27"/>
      <c r="Q174" s="27"/>
    </row>
    <row r="175">
      <c r="N175" s="27"/>
      <c r="O175" s="27"/>
      <c r="P175" s="27"/>
      <c r="Q175" s="27"/>
    </row>
    <row r="176">
      <c r="N176" s="27"/>
      <c r="O176" s="27"/>
      <c r="P176" s="27"/>
      <c r="Q176" s="27"/>
    </row>
    <row r="177">
      <c r="N177" s="27"/>
      <c r="O177" s="27"/>
      <c r="P177" s="27"/>
      <c r="Q177" s="27"/>
    </row>
    <row r="178">
      <c r="N178" s="27"/>
      <c r="O178" s="27"/>
      <c r="P178" s="27"/>
      <c r="Q178" s="27"/>
    </row>
    <row r="179">
      <c r="N179" s="27"/>
      <c r="O179" s="27"/>
      <c r="P179" s="27"/>
      <c r="Q179" s="27"/>
    </row>
    <row r="180">
      <c r="N180" s="27"/>
      <c r="O180" s="27"/>
      <c r="P180" s="27"/>
      <c r="Q180" s="27"/>
    </row>
    <row r="181">
      <c r="N181" s="27"/>
      <c r="O181" s="27"/>
      <c r="P181" s="27"/>
      <c r="Q181" s="27"/>
    </row>
    <row r="182">
      <c r="N182" s="27"/>
      <c r="O182" s="27"/>
      <c r="P182" s="27"/>
      <c r="Q182" s="27"/>
    </row>
    <row r="183">
      <c r="N183" s="27"/>
      <c r="O183" s="27"/>
      <c r="P183" s="27"/>
      <c r="Q183" s="27"/>
    </row>
    <row r="184">
      <c r="N184" s="27"/>
      <c r="O184" s="27"/>
      <c r="P184" s="27"/>
      <c r="Q184" s="27"/>
    </row>
    <row r="185">
      <c r="N185" s="27"/>
      <c r="O185" s="27"/>
      <c r="P185" s="27"/>
      <c r="Q185" s="27"/>
    </row>
    <row r="186">
      <c r="N186" s="27"/>
      <c r="O186" s="27"/>
      <c r="P186" s="27"/>
      <c r="Q186" s="27"/>
    </row>
    <row r="187">
      <c r="N187" s="27"/>
      <c r="O187" s="27"/>
      <c r="P187" s="27"/>
      <c r="Q187" s="27"/>
    </row>
    <row r="188">
      <c r="N188" s="27"/>
      <c r="O188" s="27"/>
      <c r="P188" s="27"/>
      <c r="Q188" s="27"/>
    </row>
    <row r="189">
      <c r="N189" s="27"/>
      <c r="O189" s="27"/>
      <c r="P189" s="27"/>
      <c r="Q189" s="27"/>
    </row>
    <row r="190">
      <c r="N190" s="27"/>
      <c r="O190" s="27"/>
      <c r="P190" s="27"/>
      <c r="Q190" s="27"/>
    </row>
    <row r="191">
      <c r="N191" s="27"/>
      <c r="O191" s="27"/>
      <c r="P191" s="27"/>
      <c r="Q191" s="27"/>
    </row>
    <row r="192">
      <c r="N192" s="27"/>
      <c r="O192" s="27"/>
      <c r="P192" s="27"/>
      <c r="Q192" s="27"/>
    </row>
    <row r="193">
      <c r="N193" s="27"/>
      <c r="O193" s="27"/>
      <c r="P193" s="27"/>
      <c r="Q193" s="27"/>
    </row>
    <row r="194">
      <c r="N194" s="27"/>
      <c r="O194" s="27"/>
      <c r="P194" s="27"/>
      <c r="Q194" s="27"/>
    </row>
    <row r="195">
      <c r="N195" s="27"/>
      <c r="O195" s="27"/>
      <c r="P195" s="27"/>
      <c r="Q195" s="27"/>
    </row>
    <row r="196">
      <c r="N196" s="27"/>
      <c r="O196" s="27"/>
      <c r="P196" s="27"/>
      <c r="Q196" s="27"/>
    </row>
    <row r="197">
      <c r="N197" s="27"/>
      <c r="O197" s="27"/>
      <c r="P197" s="27"/>
      <c r="Q197" s="27"/>
    </row>
    <row r="198">
      <c r="N198" s="27"/>
      <c r="O198" s="27"/>
      <c r="P198" s="27"/>
      <c r="Q198" s="27"/>
    </row>
    <row r="199">
      <c r="N199" s="27"/>
      <c r="O199" s="27"/>
      <c r="P199" s="27"/>
      <c r="Q199" s="27"/>
    </row>
    <row r="200">
      <c r="N200" s="27"/>
      <c r="O200" s="27"/>
      <c r="P200" s="27"/>
      <c r="Q200" s="27"/>
    </row>
    <row r="201">
      <c r="N201" s="27"/>
      <c r="O201" s="27"/>
      <c r="P201" s="27"/>
      <c r="Q201" s="27"/>
    </row>
    <row r="202">
      <c r="N202" s="27"/>
      <c r="O202" s="27"/>
      <c r="P202" s="27"/>
      <c r="Q202" s="27"/>
    </row>
    <row r="203">
      <c r="N203" s="27"/>
      <c r="O203" s="27"/>
      <c r="P203" s="27"/>
      <c r="Q203" s="27"/>
    </row>
    <row r="204">
      <c r="N204" s="27"/>
      <c r="O204" s="27"/>
      <c r="P204" s="27"/>
      <c r="Q204" s="27"/>
    </row>
    <row r="205">
      <c r="N205" s="27"/>
      <c r="O205" s="27"/>
      <c r="P205" s="27"/>
      <c r="Q205" s="27"/>
    </row>
    <row r="206">
      <c r="N206" s="27"/>
      <c r="O206" s="27"/>
      <c r="P206" s="27"/>
      <c r="Q206" s="27"/>
    </row>
    <row r="207">
      <c r="N207" s="27"/>
      <c r="O207" s="27"/>
      <c r="P207" s="27"/>
      <c r="Q207" s="27"/>
    </row>
    <row r="208">
      <c r="N208" s="27"/>
      <c r="O208" s="27"/>
      <c r="P208" s="27"/>
      <c r="Q208" s="27"/>
    </row>
    <row r="209">
      <c r="N209" s="27"/>
      <c r="O209" s="27"/>
      <c r="P209" s="27"/>
      <c r="Q209" s="27"/>
    </row>
    <row r="210">
      <c r="N210" s="27"/>
      <c r="O210" s="27"/>
      <c r="P210" s="27"/>
      <c r="Q210" s="27"/>
    </row>
    <row r="211">
      <c r="N211" s="27"/>
      <c r="O211" s="27"/>
      <c r="P211" s="27"/>
      <c r="Q211" s="27"/>
    </row>
    <row r="212">
      <c r="N212" s="27"/>
      <c r="O212" s="27"/>
      <c r="P212" s="27"/>
      <c r="Q212" s="27"/>
    </row>
    <row r="213">
      <c r="N213" s="27"/>
      <c r="O213" s="27"/>
      <c r="P213" s="27"/>
      <c r="Q213" s="27"/>
    </row>
    <row r="214">
      <c r="N214" s="27"/>
      <c r="O214" s="27"/>
      <c r="P214" s="27"/>
      <c r="Q214" s="27"/>
    </row>
    <row r="215">
      <c r="N215" s="27"/>
      <c r="O215" s="27"/>
      <c r="P215" s="27"/>
      <c r="Q215" s="27"/>
    </row>
    <row r="216">
      <c r="N216" s="27"/>
      <c r="O216" s="27"/>
      <c r="P216" s="27"/>
      <c r="Q216" s="27"/>
    </row>
    <row r="217">
      <c r="N217" s="27"/>
      <c r="O217" s="27"/>
      <c r="P217" s="27"/>
      <c r="Q217" s="27"/>
    </row>
    <row r="218">
      <c r="N218" s="27"/>
      <c r="O218" s="27"/>
      <c r="P218" s="27"/>
      <c r="Q218" s="27"/>
    </row>
    <row r="219">
      <c r="N219" s="27"/>
      <c r="O219" s="27"/>
      <c r="P219" s="27"/>
      <c r="Q219" s="27"/>
    </row>
    <row r="220">
      <c r="N220" s="27"/>
      <c r="O220" s="27"/>
      <c r="P220" s="27"/>
      <c r="Q220" s="27"/>
    </row>
    <row r="221">
      <c r="N221" s="27"/>
      <c r="O221" s="27"/>
      <c r="P221" s="27"/>
      <c r="Q221" s="27"/>
    </row>
    <row r="222">
      <c r="N222" s="27"/>
      <c r="O222" s="27"/>
      <c r="P222" s="27"/>
      <c r="Q222" s="27"/>
    </row>
    <row r="223">
      <c r="N223" s="27"/>
      <c r="O223" s="27"/>
      <c r="P223" s="27"/>
      <c r="Q223" s="27"/>
    </row>
    <row r="224">
      <c r="N224" s="27"/>
      <c r="O224" s="27"/>
      <c r="P224" s="27"/>
      <c r="Q224" s="27"/>
    </row>
    <row r="225">
      <c r="N225" s="27"/>
      <c r="O225" s="27"/>
      <c r="P225" s="27"/>
      <c r="Q225" s="27"/>
    </row>
    <row r="226">
      <c r="N226" s="27"/>
      <c r="O226" s="27"/>
      <c r="P226" s="27"/>
      <c r="Q226" s="27"/>
    </row>
    <row r="227">
      <c r="N227" s="27"/>
      <c r="O227" s="27"/>
      <c r="P227" s="27"/>
      <c r="Q227" s="27"/>
    </row>
    <row r="228">
      <c r="N228" s="27"/>
      <c r="O228" s="27"/>
      <c r="P228" s="27"/>
      <c r="Q228" s="27"/>
    </row>
    <row r="229">
      <c r="N229" s="27"/>
      <c r="O229" s="27"/>
      <c r="P229" s="27"/>
      <c r="Q229" s="27"/>
    </row>
    <row r="230">
      <c r="N230" s="27"/>
      <c r="O230" s="27"/>
      <c r="P230" s="27"/>
      <c r="Q230" s="27"/>
    </row>
    <row r="231">
      <c r="N231" s="27"/>
      <c r="O231" s="27"/>
      <c r="P231" s="27"/>
      <c r="Q231" s="27"/>
    </row>
    <row r="232">
      <c r="N232" s="27"/>
      <c r="O232" s="27"/>
      <c r="P232" s="27"/>
      <c r="Q232" s="27"/>
    </row>
    <row r="233">
      <c r="N233" s="27"/>
      <c r="O233" s="27"/>
      <c r="P233" s="27"/>
      <c r="Q233" s="27"/>
    </row>
    <row r="234">
      <c r="N234" s="27"/>
      <c r="O234" s="27"/>
      <c r="P234" s="27"/>
      <c r="Q234" s="27"/>
    </row>
    <row r="235">
      <c r="N235" s="27"/>
      <c r="O235" s="27"/>
      <c r="P235" s="27"/>
      <c r="Q235" s="27"/>
    </row>
    <row r="236">
      <c r="N236" s="27"/>
      <c r="O236" s="27"/>
      <c r="P236" s="27"/>
      <c r="Q236" s="27"/>
    </row>
    <row r="237">
      <c r="N237" s="27"/>
      <c r="O237" s="27"/>
      <c r="P237" s="27"/>
      <c r="Q237" s="27"/>
    </row>
    <row r="238">
      <c r="N238" s="27"/>
      <c r="O238" s="27"/>
      <c r="P238" s="27"/>
      <c r="Q238" s="27"/>
    </row>
    <row r="239">
      <c r="N239" s="27"/>
      <c r="O239" s="27"/>
      <c r="P239" s="27"/>
      <c r="Q239" s="27"/>
    </row>
    <row r="240">
      <c r="N240" s="27"/>
      <c r="O240" s="27"/>
      <c r="P240" s="27"/>
      <c r="Q240" s="27"/>
    </row>
    <row r="241">
      <c r="N241" s="27"/>
      <c r="O241" s="27"/>
      <c r="P241" s="27"/>
      <c r="Q241" s="27"/>
    </row>
    <row r="242">
      <c r="N242" s="27"/>
      <c r="O242" s="27"/>
      <c r="P242" s="27"/>
      <c r="Q242" s="27"/>
    </row>
    <row r="243">
      <c r="N243" s="27"/>
      <c r="O243" s="27"/>
      <c r="P243" s="27"/>
      <c r="Q243" s="27"/>
    </row>
    <row r="244">
      <c r="N244" s="27"/>
      <c r="O244" s="27"/>
      <c r="P244" s="27"/>
      <c r="Q244" s="27"/>
    </row>
    <row r="245">
      <c r="N245" s="27"/>
      <c r="O245" s="27"/>
      <c r="P245" s="27"/>
      <c r="Q245" s="27"/>
    </row>
    <row r="246">
      <c r="N246" s="27"/>
      <c r="O246" s="27"/>
      <c r="P246" s="27"/>
      <c r="Q246" s="27"/>
    </row>
    <row r="247">
      <c r="N247" s="27"/>
      <c r="O247" s="27"/>
      <c r="P247" s="27"/>
      <c r="Q247" s="27"/>
    </row>
    <row r="248">
      <c r="N248" s="27"/>
      <c r="O248" s="27"/>
      <c r="P248" s="27"/>
      <c r="Q248" s="27"/>
    </row>
    <row r="249">
      <c r="N249" s="27"/>
      <c r="O249" s="27"/>
      <c r="P249" s="27"/>
      <c r="Q249" s="27"/>
    </row>
    <row r="250">
      <c r="N250" s="27"/>
      <c r="O250" s="27"/>
      <c r="P250" s="27"/>
      <c r="Q250" s="27"/>
    </row>
    <row r="251">
      <c r="N251" s="27"/>
      <c r="O251" s="27"/>
      <c r="P251" s="27"/>
      <c r="Q251" s="27"/>
    </row>
    <row r="252">
      <c r="N252" s="27"/>
      <c r="O252" s="27"/>
      <c r="P252" s="27"/>
      <c r="Q252" s="27"/>
    </row>
    <row r="253">
      <c r="N253" s="27"/>
      <c r="O253" s="27"/>
      <c r="P253" s="27"/>
      <c r="Q253" s="27"/>
    </row>
    <row r="254">
      <c r="N254" s="27"/>
      <c r="O254" s="27"/>
      <c r="P254" s="27"/>
      <c r="Q254" s="27"/>
    </row>
    <row r="255">
      <c r="N255" s="27"/>
      <c r="O255" s="27"/>
      <c r="P255" s="27"/>
      <c r="Q255" s="27"/>
    </row>
    <row r="256">
      <c r="N256" s="27"/>
      <c r="O256" s="27"/>
      <c r="P256" s="27"/>
      <c r="Q256" s="27"/>
    </row>
    <row r="257">
      <c r="N257" s="27"/>
      <c r="O257" s="27"/>
      <c r="P257" s="27"/>
      <c r="Q257" s="27"/>
    </row>
    <row r="258">
      <c r="N258" s="27"/>
      <c r="O258" s="27"/>
      <c r="P258" s="27"/>
      <c r="Q258" s="27"/>
    </row>
    <row r="259">
      <c r="N259" s="27"/>
      <c r="O259" s="27"/>
      <c r="P259" s="27"/>
      <c r="Q259" s="27"/>
    </row>
    <row r="260">
      <c r="N260" s="27"/>
      <c r="O260" s="27"/>
      <c r="P260" s="27"/>
      <c r="Q260" s="27"/>
    </row>
    <row r="261">
      <c r="N261" s="27"/>
      <c r="O261" s="27"/>
      <c r="P261" s="27"/>
      <c r="Q261" s="27"/>
    </row>
    <row r="262">
      <c r="N262" s="27"/>
      <c r="O262" s="27"/>
      <c r="P262" s="27"/>
      <c r="Q262" s="27"/>
    </row>
    <row r="263">
      <c r="N263" s="27"/>
      <c r="O263" s="27"/>
      <c r="P263" s="27"/>
      <c r="Q263" s="27"/>
    </row>
    <row r="264">
      <c r="N264" s="27"/>
      <c r="O264" s="27"/>
      <c r="P264" s="27"/>
      <c r="Q264" s="27"/>
    </row>
    <row r="265">
      <c r="N265" s="27"/>
      <c r="O265" s="27"/>
      <c r="P265" s="27"/>
      <c r="Q265" s="27"/>
    </row>
    <row r="266">
      <c r="N266" s="27"/>
      <c r="O266" s="27"/>
      <c r="P266" s="27"/>
      <c r="Q266" s="27"/>
    </row>
    <row r="267">
      <c r="N267" s="27"/>
      <c r="O267" s="27"/>
      <c r="P267" s="27"/>
      <c r="Q267" s="27"/>
    </row>
    <row r="268">
      <c r="N268" s="27"/>
      <c r="O268" s="27"/>
      <c r="P268" s="27"/>
      <c r="Q268" s="27"/>
    </row>
    <row r="269">
      <c r="N269" s="27"/>
      <c r="O269" s="27"/>
      <c r="P269" s="27"/>
      <c r="Q269" s="27"/>
    </row>
    <row r="270">
      <c r="N270" s="27"/>
      <c r="O270" s="27"/>
      <c r="P270" s="27"/>
      <c r="Q270" s="27"/>
    </row>
    <row r="271">
      <c r="N271" s="27"/>
      <c r="O271" s="27"/>
      <c r="P271" s="27"/>
      <c r="Q271" s="27"/>
    </row>
    <row r="272">
      <c r="N272" s="27"/>
      <c r="O272" s="27"/>
      <c r="P272" s="27"/>
      <c r="Q272" s="27"/>
    </row>
    <row r="273">
      <c r="N273" s="27"/>
      <c r="O273" s="27"/>
      <c r="P273" s="27"/>
      <c r="Q273" s="27"/>
    </row>
    <row r="274">
      <c r="N274" s="27"/>
      <c r="O274" s="27"/>
      <c r="P274" s="27"/>
      <c r="Q274" s="27"/>
    </row>
    <row r="275">
      <c r="N275" s="27"/>
      <c r="O275" s="27"/>
      <c r="P275" s="27"/>
      <c r="Q275" s="27"/>
    </row>
    <row r="276">
      <c r="N276" s="27"/>
      <c r="O276" s="27"/>
      <c r="P276" s="27"/>
      <c r="Q276" s="27"/>
    </row>
    <row r="277">
      <c r="N277" s="27"/>
      <c r="O277" s="27"/>
      <c r="P277" s="27"/>
      <c r="Q277" s="27"/>
    </row>
    <row r="278">
      <c r="N278" s="27"/>
      <c r="O278" s="27"/>
      <c r="P278" s="27"/>
      <c r="Q278" s="27"/>
    </row>
    <row r="279">
      <c r="N279" s="27"/>
      <c r="O279" s="27"/>
      <c r="P279" s="27"/>
      <c r="Q279" s="27"/>
    </row>
    <row r="280">
      <c r="N280" s="27"/>
      <c r="O280" s="27"/>
      <c r="P280" s="27"/>
      <c r="Q280" s="27"/>
    </row>
    <row r="281">
      <c r="N281" s="27"/>
      <c r="O281" s="27"/>
      <c r="P281" s="27"/>
      <c r="Q281" s="27"/>
    </row>
    <row r="282">
      <c r="N282" s="27"/>
      <c r="O282" s="27"/>
      <c r="P282" s="27"/>
      <c r="Q282" s="27"/>
    </row>
    <row r="283">
      <c r="N283" s="27"/>
      <c r="O283" s="27"/>
      <c r="P283" s="27"/>
      <c r="Q283" s="27"/>
    </row>
    <row r="284">
      <c r="N284" s="27"/>
      <c r="O284" s="27"/>
      <c r="P284" s="27"/>
      <c r="Q284" s="27"/>
    </row>
    <row r="285">
      <c r="N285" s="27"/>
      <c r="O285" s="27"/>
      <c r="P285" s="27"/>
      <c r="Q285" s="27"/>
    </row>
    <row r="286">
      <c r="N286" s="27"/>
      <c r="O286" s="27"/>
      <c r="P286" s="27"/>
      <c r="Q286" s="27"/>
    </row>
    <row r="287">
      <c r="N287" s="27"/>
      <c r="O287" s="27"/>
      <c r="P287" s="27"/>
      <c r="Q287" s="27"/>
    </row>
    <row r="288">
      <c r="N288" s="27"/>
      <c r="O288" s="27"/>
      <c r="P288" s="27"/>
      <c r="Q288" s="27"/>
    </row>
    <row r="289">
      <c r="N289" s="27"/>
      <c r="O289" s="27"/>
      <c r="P289" s="27"/>
      <c r="Q289" s="27"/>
    </row>
    <row r="290">
      <c r="N290" s="27"/>
      <c r="O290" s="27"/>
      <c r="P290" s="27"/>
      <c r="Q290" s="27"/>
    </row>
    <row r="291">
      <c r="N291" s="27"/>
      <c r="O291" s="27"/>
      <c r="P291" s="27"/>
      <c r="Q291" s="27"/>
    </row>
    <row r="292">
      <c r="N292" s="27"/>
      <c r="O292" s="27"/>
      <c r="P292" s="27"/>
      <c r="Q292" s="27"/>
    </row>
    <row r="293">
      <c r="N293" s="27"/>
      <c r="O293" s="27"/>
      <c r="P293" s="27"/>
      <c r="Q293" s="27"/>
    </row>
    <row r="294">
      <c r="N294" s="27"/>
      <c r="O294" s="27"/>
      <c r="P294" s="27"/>
      <c r="Q294" s="27"/>
    </row>
    <row r="295">
      <c r="N295" s="27"/>
      <c r="O295" s="27"/>
      <c r="P295" s="27"/>
      <c r="Q295" s="27"/>
    </row>
    <row r="296">
      <c r="N296" s="27"/>
      <c r="O296" s="27"/>
      <c r="P296" s="27"/>
      <c r="Q296" s="27"/>
    </row>
    <row r="297">
      <c r="N297" s="27"/>
      <c r="O297" s="27"/>
      <c r="P297" s="27"/>
      <c r="Q297" s="27"/>
    </row>
    <row r="298">
      <c r="N298" s="27"/>
      <c r="O298" s="27"/>
      <c r="P298" s="27"/>
      <c r="Q298" s="27"/>
    </row>
    <row r="299">
      <c r="N299" s="27"/>
      <c r="O299" s="27"/>
      <c r="P299" s="27"/>
      <c r="Q299" s="27"/>
    </row>
    <row r="300">
      <c r="N300" s="27"/>
      <c r="O300" s="27"/>
      <c r="P300" s="27"/>
      <c r="Q300" s="27"/>
    </row>
    <row r="301">
      <c r="N301" s="27"/>
      <c r="O301" s="27"/>
      <c r="P301" s="27"/>
      <c r="Q301" s="27"/>
    </row>
    <row r="302">
      <c r="N302" s="27"/>
      <c r="O302" s="27"/>
      <c r="P302" s="27"/>
      <c r="Q302" s="27"/>
    </row>
    <row r="303">
      <c r="N303" s="27"/>
      <c r="O303" s="27"/>
      <c r="P303" s="27"/>
      <c r="Q303" s="27"/>
    </row>
    <row r="304">
      <c r="N304" s="27"/>
      <c r="O304" s="27"/>
      <c r="P304" s="27"/>
      <c r="Q304" s="27"/>
    </row>
    <row r="305">
      <c r="N305" s="27"/>
      <c r="O305" s="27"/>
      <c r="P305" s="27"/>
      <c r="Q305" s="27"/>
    </row>
    <row r="306">
      <c r="N306" s="27"/>
      <c r="O306" s="27"/>
      <c r="P306" s="27"/>
      <c r="Q306" s="27"/>
    </row>
    <row r="307">
      <c r="N307" s="27"/>
      <c r="O307" s="27"/>
      <c r="P307" s="27"/>
      <c r="Q307" s="27"/>
    </row>
    <row r="308">
      <c r="N308" s="27"/>
      <c r="O308" s="27"/>
      <c r="P308" s="27"/>
      <c r="Q308" s="27"/>
    </row>
    <row r="309">
      <c r="N309" s="27"/>
      <c r="O309" s="27"/>
      <c r="P309" s="27"/>
      <c r="Q309" s="27"/>
    </row>
    <row r="310">
      <c r="N310" s="27"/>
      <c r="O310" s="27"/>
      <c r="P310" s="27"/>
      <c r="Q310" s="27"/>
    </row>
    <row r="311">
      <c r="N311" s="27"/>
      <c r="O311" s="27"/>
      <c r="P311" s="27"/>
      <c r="Q311" s="27"/>
    </row>
    <row r="312">
      <c r="N312" s="27"/>
      <c r="O312" s="27"/>
      <c r="P312" s="27"/>
      <c r="Q312" s="27"/>
    </row>
    <row r="313">
      <c r="N313" s="27"/>
      <c r="O313" s="27"/>
      <c r="P313" s="27"/>
      <c r="Q313" s="27"/>
    </row>
    <row r="314">
      <c r="N314" s="27"/>
      <c r="O314" s="27"/>
      <c r="P314" s="27"/>
      <c r="Q314" s="27"/>
    </row>
    <row r="315">
      <c r="N315" s="27"/>
      <c r="O315" s="27"/>
      <c r="P315" s="27"/>
      <c r="Q315" s="27"/>
    </row>
    <row r="316">
      <c r="N316" s="27"/>
      <c r="O316" s="27"/>
      <c r="P316" s="27"/>
      <c r="Q316" s="27"/>
    </row>
    <row r="317">
      <c r="N317" s="27"/>
      <c r="O317" s="27"/>
      <c r="P317" s="27"/>
      <c r="Q317" s="27"/>
    </row>
    <row r="318">
      <c r="N318" s="27"/>
      <c r="O318" s="27"/>
      <c r="P318" s="27"/>
      <c r="Q318" s="27"/>
    </row>
    <row r="319">
      <c r="N319" s="27"/>
      <c r="O319" s="27"/>
      <c r="P319" s="27"/>
      <c r="Q319" s="27"/>
    </row>
    <row r="320">
      <c r="N320" s="27"/>
      <c r="O320" s="27"/>
      <c r="P320" s="27"/>
      <c r="Q320" s="27"/>
    </row>
    <row r="321">
      <c r="N321" s="27"/>
      <c r="O321" s="27"/>
      <c r="P321" s="27"/>
      <c r="Q321" s="27"/>
    </row>
    <row r="322">
      <c r="N322" s="27"/>
      <c r="O322" s="27"/>
      <c r="P322" s="27"/>
      <c r="Q322" s="27"/>
    </row>
    <row r="323">
      <c r="N323" s="27"/>
      <c r="O323" s="27"/>
      <c r="P323" s="27"/>
      <c r="Q323" s="27"/>
    </row>
    <row r="324">
      <c r="N324" s="27"/>
      <c r="O324" s="27"/>
      <c r="P324" s="27"/>
      <c r="Q324" s="27"/>
    </row>
    <row r="325">
      <c r="N325" s="27"/>
      <c r="O325" s="27"/>
      <c r="P325" s="27"/>
      <c r="Q325" s="27"/>
    </row>
    <row r="326">
      <c r="N326" s="27"/>
      <c r="O326" s="27"/>
      <c r="P326" s="27"/>
      <c r="Q326" s="27"/>
    </row>
    <row r="327">
      <c r="N327" s="27"/>
      <c r="O327" s="27"/>
      <c r="P327" s="27"/>
      <c r="Q327" s="27"/>
    </row>
    <row r="328">
      <c r="N328" s="27"/>
      <c r="O328" s="27"/>
      <c r="P328" s="27"/>
      <c r="Q328" s="27"/>
    </row>
    <row r="329">
      <c r="N329" s="27"/>
      <c r="O329" s="27"/>
      <c r="P329" s="27"/>
      <c r="Q329" s="27"/>
    </row>
    <row r="330">
      <c r="N330" s="27"/>
      <c r="O330" s="27"/>
      <c r="P330" s="27"/>
      <c r="Q330" s="27"/>
    </row>
    <row r="331">
      <c r="N331" s="27"/>
      <c r="O331" s="27"/>
      <c r="P331" s="27"/>
      <c r="Q331" s="27"/>
    </row>
    <row r="332">
      <c r="N332" s="27"/>
      <c r="O332" s="27"/>
      <c r="P332" s="27"/>
      <c r="Q332" s="27"/>
    </row>
    <row r="333">
      <c r="N333" s="27"/>
      <c r="O333" s="27"/>
      <c r="P333" s="27"/>
      <c r="Q333" s="27"/>
    </row>
    <row r="334">
      <c r="N334" s="27"/>
      <c r="O334" s="27"/>
      <c r="P334" s="27"/>
      <c r="Q334" s="27"/>
    </row>
    <row r="335">
      <c r="N335" s="27"/>
      <c r="O335" s="27"/>
      <c r="P335" s="27"/>
      <c r="Q335" s="27"/>
    </row>
    <row r="336">
      <c r="N336" s="27"/>
      <c r="O336" s="27"/>
      <c r="P336" s="27"/>
      <c r="Q336" s="27"/>
    </row>
    <row r="337">
      <c r="N337" s="27"/>
      <c r="O337" s="27"/>
      <c r="P337" s="27"/>
      <c r="Q337" s="27"/>
    </row>
    <row r="338">
      <c r="N338" s="27"/>
      <c r="O338" s="27"/>
      <c r="P338" s="27"/>
      <c r="Q338" s="27"/>
    </row>
    <row r="339">
      <c r="N339" s="27"/>
      <c r="O339" s="27"/>
      <c r="P339" s="27"/>
      <c r="Q339" s="27"/>
    </row>
    <row r="340">
      <c r="N340" s="27"/>
      <c r="O340" s="27"/>
      <c r="P340" s="27"/>
      <c r="Q340" s="27"/>
    </row>
    <row r="341">
      <c r="N341" s="27"/>
      <c r="O341" s="27"/>
      <c r="P341" s="27"/>
      <c r="Q341" s="27"/>
    </row>
    <row r="342">
      <c r="N342" s="27"/>
      <c r="O342" s="27"/>
      <c r="P342" s="27"/>
      <c r="Q342" s="27"/>
    </row>
    <row r="343">
      <c r="N343" s="27"/>
      <c r="O343" s="27"/>
      <c r="P343" s="27"/>
      <c r="Q343" s="27"/>
    </row>
    <row r="344">
      <c r="N344" s="27"/>
      <c r="O344" s="27"/>
      <c r="P344" s="27"/>
      <c r="Q344" s="27"/>
    </row>
    <row r="345">
      <c r="N345" s="27"/>
      <c r="O345" s="27"/>
      <c r="P345" s="27"/>
      <c r="Q345" s="27"/>
    </row>
    <row r="346">
      <c r="N346" s="27"/>
      <c r="O346" s="27"/>
      <c r="P346" s="27"/>
      <c r="Q346" s="27"/>
    </row>
    <row r="347">
      <c r="N347" s="27"/>
      <c r="O347" s="27"/>
      <c r="P347" s="27"/>
      <c r="Q347" s="27"/>
    </row>
    <row r="348">
      <c r="N348" s="27"/>
      <c r="O348" s="27"/>
      <c r="P348" s="27"/>
      <c r="Q348" s="27"/>
    </row>
    <row r="349">
      <c r="N349" s="27"/>
      <c r="O349" s="27"/>
      <c r="P349" s="27"/>
      <c r="Q349" s="27"/>
    </row>
    <row r="350">
      <c r="N350" s="27"/>
      <c r="O350" s="27"/>
      <c r="P350" s="27"/>
      <c r="Q350" s="27"/>
    </row>
    <row r="351">
      <c r="N351" s="27"/>
      <c r="O351" s="27"/>
      <c r="P351" s="27"/>
      <c r="Q351" s="27"/>
    </row>
    <row r="352">
      <c r="N352" s="27"/>
      <c r="O352" s="27"/>
      <c r="P352" s="27"/>
      <c r="Q352" s="27"/>
    </row>
    <row r="353">
      <c r="N353" s="27"/>
      <c r="O353" s="27"/>
      <c r="P353" s="27"/>
      <c r="Q353" s="27"/>
    </row>
    <row r="354">
      <c r="N354" s="27"/>
      <c r="O354" s="27"/>
      <c r="P354" s="27"/>
      <c r="Q354" s="27"/>
    </row>
    <row r="355">
      <c r="N355" s="27"/>
      <c r="O355" s="27"/>
      <c r="P355" s="27"/>
      <c r="Q355" s="27"/>
    </row>
    <row r="356">
      <c r="N356" s="27"/>
      <c r="O356" s="27"/>
      <c r="P356" s="27"/>
      <c r="Q356" s="27"/>
    </row>
    <row r="357">
      <c r="N357" s="27"/>
      <c r="O357" s="27"/>
      <c r="P357" s="27"/>
      <c r="Q357" s="27"/>
    </row>
    <row r="358">
      <c r="N358" s="27"/>
      <c r="O358" s="27"/>
      <c r="P358" s="27"/>
      <c r="Q358" s="27"/>
    </row>
    <row r="359">
      <c r="N359" s="27"/>
      <c r="O359" s="27"/>
      <c r="P359" s="27"/>
      <c r="Q359" s="27"/>
    </row>
    <row r="360">
      <c r="N360" s="27"/>
      <c r="O360" s="27"/>
      <c r="P360" s="27"/>
      <c r="Q360" s="27"/>
    </row>
    <row r="361">
      <c r="N361" s="27"/>
      <c r="O361" s="27"/>
      <c r="P361" s="27"/>
      <c r="Q361" s="27"/>
    </row>
    <row r="362">
      <c r="N362" s="27"/>
      <c r="O362" s="27"/>
      <c r="P362" s="27"/>
      <c r="Q362" s="27"/>
    </row>
    <row r="363">
      <c r="N363" s="27"/>
      <c r="O363" s="27"/>
      <c r="P363" s="27"/>
      <c r="Q363" s="27"/>
    </row>
    <row r="364">
      <c r="N364" s="27"/>
      <c r="O364" s="27"/>
      <c r="P364" s="27"/>
      <c r="Q364" s="27"/>
    </row>
    <row r="365">
      <c r="N365" s="27"/>
      <c r="O365" s="27"/>
      <c r="P365" s="27"/>
      <c r="Q365" s="27"/>
    </row>
    <row r="366">
      <c r="N366" s="27"/>
      <c r="O366" s="27"/>
      <c r="P366" s="27"/>
      <c r="Q366" s="27"/>
    </row>
    <row r="367">
      <c r="N367" s="27"/>
      <c r="O367" s="27"/>
      <c r="P367" s="27"/>
      <c r="Q367" s="27"/>
    </row>
    <row r="368">
      <c r="N368" s="27"/>
      <c r="O368" s="27"/>
      <c r="P368" s="27"/>
      <c r="Q368" s="27"/>
    </row>
    <row r="369">
      <c r="N369" s="27"/>
      <c r="O369" s="27"/>
      <c r="P369" s="27"/>
      <c r="Q369" s="27"/>
    </row>
    <row r="370">
      <c r="N370" s="27"/>
      <c r="O370" s="27"/>
      <c r="P370" s="27"/>
      <c r="Q370" s="27"/>
    </row>
    <row r="371">
      <c r="N371" s="27"/>
      <c r="O371" s="27"/>
      <c r="P371" s="27"/>
      <c r="Q371" s="27"/>
    </row>
    <row r="372">
      <c r="N372" s="27"/>
      <c r="O372" s="27"/>
      <c r="P372" s="27"/>
      <c r="Q372" s="27"/>
    </row>
    <row r="373">
      <c r="N373" s="27"/>
      <c r="O373" s="27"/>
      <c r="P373" s="27"/>
      <c r="Q373" s="27"/>
    </row>
    <row r="374">
      <c r="N374" s="27"/>
      <c r="O374" s="27"/>
      <c r="P374" s="27"/>
      <c r="Q374" s="27"/>
    </row>
    <row r="375">
      <c r="N375" s="27"/>
      <c r="O375" s="27"/>
      <c r="P375" s="27"/>
      <c r="Q375" s="27"/>
    </row>
    <row r="376">
      <c r="N376" s="27"/>
      <c r="O376" s="27"/>
      <c r="P376" s="27"/>
      <c r="Q376" s="27"/>
    </row>
    <row r="377">
      <c r="N377" s="27"/>
      <c r="O377" s="27"/>
      <c r="P377" s="27"/>
      <c r="Q377" s="27"/>
    </row>
    <row r="378">
      <c r="N378" s="27"/>
      <c r="O378" s="27"/>
      <c r="P378" s="27"/>
      <c r="Q378" s="27"/>
    </row>
    <row r="379">
      <c r="N379" s="27"/>
      <c r="O379" s="27"/>
      <c r="P379" s="27"/>
      <c r="Q379" s="27"/>
    </row>
    <row r="380">
      <c r="N380" s="27"/>
      <c r="O380" s="27"/>
      <c r="P380" s="27"/>
      <c r="Q380" s="27"/>
    </row>
    <row r="381">
      <c r="N381" s="27"/>
      <c r="O381" s="27"/>
      <c r="P381" s="27"/>
      <c r="Q381" s="27"/>
    </row>
    <row r="382">
      <c r="N382" s="27"/>
      <c r="O382" s="27"/>
      <c r="P382" s="27"/>
      <c r="Q382" s="27"/>
    </row>
    <row r="383">
      <c r="N383" s="27"/>
      <c r="O383" s="27"/>
      <c r="P383" s="27"/>
      <c r="Q383" s="27"/>
    </row>
    <row r="384">
      <c r="N384" s="27"/>
      <c r="O384" s="27"/>
      <c r="P384" s="27"/>
      <c r="Q384" s="27"/>
    </row>
    <row r="385">
      <c r="N385" s="27"/>
      <c r="O385" s="27"/>
      <c r="P385" s="27"/>
      <c r="Q385" s="27"/>
    </row>
    <row r="386">
      <c r="N386" s="27"/>
      <c r="O386" s="27"/>
      <c r="P386" s="27"/>
      <c r="Q386" s="27"/>
    </row>
    <row r="387">
      <c r="N387" s="27"/>
      <c r="O387" s="27"/>
      <c r="P387" s="27"/>
      <c r="Q387" s="27"/>
    </row>
    <row r="388">
      <c r="N388" s="27"/>
      <c r="O388" s="27"/>
      <c r="P388" s="27"/>
      <c r="Q388" s="27"/>
    </row>
    <row r="389">
      <c r="N389" s="27"/>
      <c r="O389" s="27"/>
      <c r="P389" s="27"/>
      <c r="Q389" s="27"/>
    </row>
    <row r="390">
      <c r="N390" s="27"/>
      <c r="O390" s="27"/>
      <c r="P390" s="27"/>
      <c r="Q390" s="27"/>
    </row>
    <row r="391">
      <c r="N391" s="27"/>
      <c r="O391" s="27"/>
      <c r="P391" s="27"/>
      <c r="Q391" s="27"/>
    </row>
    <row r="392">
      <c r="N392" s="27"/>
      <c r="O392" s="27"/>
      <c r="P392" s="27"/>
      <c r="Q392" s="27"/>
    </row>
    <row r="393">
      <c r="N393" s="27"/>
      <c r="O393" s="27"/>
      <c r="P393" s="27"/>
      <c r="Q393" s="27"/>
    </row>
    <row r="394">
      <c r="N394" s="27"/>
      <c r="O394" s="27"/>
      <c r="P394" s="27"/>
      <c r="Q394" s="27"/>
    </row>
    <row r="395">
      <c r="N395" s="27"/>
      <c r="O395" s="27"/>
      <c r="P395" s="27"/>
      <c r="Q395" s="27"/>
    </row>
    <row r="396">
      <c r="N396" s="27"/>
      <c r="O396" s="27"/>
      <c r="P396" s="27"/>
      <c r="Q396" s="27"/>
    </row>
    <row r="397">
      <c r="N397" s="27"/>
      <c r="O397" s="27"/>
      <c r="P397" s="27"/>
      <c r="Q397" s="27"/>
    </row>
    <row r="398">
      <c r="N398" s="27"/>
      <c r="O398" s="27"/>
      <c r="P398" s="27"/>
      <c r="Q398" s="27"/>
    </row>
    <row r="399">
      <c r="N399" s="27"/>
      <c r="O399" s="27"/>
      <c r="P399" s="27"/>
      <c r="Q399" s="27"/>
    </row>
    <row r="400">
      <c r="N400" s="27"/>
      <c r="O400" s="27"/>
      <c r="P400" s="27"/>
      <c r="Q400" s="27"/>
    </row>
    <row r="401">
      <c r="N401" s="27"/>
      <c r="O401" s="27"/>
      <c r="P401" s="27"/>
      <c r="Q401" s="27"/>
    </row>
    <row r="402">
      <c r="N402" s="27"/>
      <c r="O402" s="27"/>
      <c r="P402" s="27"/>
      <c r="Q402" s="27"/>
    </row>
    <row r="403">
      <c r="N403" s="27"/>
      <c r="O403" s="27"/>
      <c r="P403" s="27"/>
      <c r="Q403" s="27"/>
    </row>
    <row r="404">
      <c r="N404" s="27"/>
      <c r="O404" s="27"/>
      <c r="P404" s="27"/>
      <c r="Q404" s="27"/>
    </row>
    <row r="405">
      <c r="N405" s="27"/>
      <c r="O405" s="27"/>
      <c r="P405" s="27"/>
      <c r="Q405" s="27"/>
    </row>
    <row r="406">
      <c r="N406" s="27"/>
      <c r="O406" s="27"/>
      <c r="P406" s="27"/>
      <c r="Q406" s="27"/>
    </row>
    <row r="407">
      <c r="N407" s="27"/>
      <c r="O407" s="27"/>
      <c r="P407" s="27"/>
      <c r="Q407" s="27"/>
    </row>
    <row r="408">
      <c r="N408" s="27"/>
      <c r="O408" s="27"/>
      <c r="P408" s="27"/>
      <c r="Q408" s="27"/>
    </row>
    <row r="409">
      <c r="N409" s="27"/>
      <c r="O409" s="27"/>
      <c r="P409" s="27"/>
      <c r="Q409" s="27"/>
    </row>
    <row r="410">
      <c r="N410" s="27"/>
      <c r="O410" s="27"/>
      <c r="P410" s="27"/>
      <c r="Q410" s="27"/>
    </row>
    <row r="411">
      <c r="N411" s="27"/>
      <c r="O411" s="27"/>
      <c r="P411" s="27"/>
      <c r="Q411" s="27"/>
    </row>
    <row r="412">
      <c r="N412" s="27"/>
      <c r="O412" s="27"/>
      <c r="P412" s="27"/>
      <c r="Q412" s="27"/>
    </row>
    <row r="413">
      <c r="N413" s="27"/>
      <c r="O413" s="27"/>
      <c r="P413" s="27"/>
      <c r="Q413" s="27"/>
    </row>
    <row r="414">
      <c r="N414" s="27"/>
      <c r="O414" s="27"/>
      <c r="P414" s="27"/>
      <c r="Q414" s="27"/>
    </row>
    <row r="415">
      <c r="N415" s="27"/>
      <c r="O415" s="27"/>
      <c r="P415" s="27"/>
      <c r="Q415" s="27"/>
    </row>
    <row r="416">
      <c r="N416" s="27"/>
      <c r="O416" s="27"/>
      <c r="P416" s="27"/>
      <c r="Q416" s="27"/>
    </row>
    <row r="417">
      <c r="N417" s="27"/>
      <c r="O417" s="27"/>
      <c r="P417" s="27"/>
      <c r="Q417" s="27"/>
    </row>
    <row r="418">
      <c r="N418" s="27"/>
      <c r="O418" s="27"/>
      <c r="P418" s="27"/>
      <c r="Q418" s="27"/>
    </row>
    <row r="419">
      <c r="N419" s="27"/>
      <c r="O419" s="27"/>
      <c r="P419" s="27"/>
      <c r="Q419" s="27"/>
    </row>
    <row r="420">
      <c r="N420" s="27"/>
      <c r="O420" s="27"/>
      <c r="P420" s="27"/>
      <c r="Q420" s="27"/>
    </row>
    <row r="421">
      <c r="N421" s="27"/>
      <c r="O421" s="27"/>
      <c r="P421" s="27"/>
      <c r="Q421" s="27"/>
    </row>
    <row r="422">
      <c r="N422" s="27"/>
      <c r="O422" s="27"/>
      <c r="P422" s="27"/>
      <c r="Q422" s="27"/>
    </row>
    <row r="423">
      <c r="N423" s="27"/>
      <c r="O423" s="27"/>
      <c r="P423" s="27"/>
      <c r="Q423" s="27"/>
    </row>
    <row r="424">
      <c r="N424" s="27"/>
      <c r="O424" s="27"/>
      <c r="P424" s="27"/>
      <c r="Q424" s="27"/>
    </row>
    <row r="425">
      <c r="N425" s="27"/>
      <c r="O425" s="27"/>
      <c r="P425" s="27"/>
      <c r="Q425" s="27"/>
    </row>
    <row r="426">
      <c r="N426" s="27"/>
      <c r="O426" s="27"/>
      <c r="P426" s="27"/>
      <c r="Q426" s="27"/>
    </row>
    <row r="427">
      <c r="N427" s="27"/>
      <c r="O427" s="27"/>
      <c r="P427" s="27"/>
      <c r="Q427" s="27"/>
    </row>
    <row r="428">
      <c r="N428" s="27"/>
      <c r="O428" s="27"/>
      <c r="P428" s="27"/>
      <c r="Q428" s="27"/>
    </row>
    <row r="429">
      <c r="N429" s="27"/>
      <c r="O429" s="27"/>
      <c r="P429" s="27"/>
      <c r="Q429" s="27"/>
    </row>
    <row r="430">
      <c r="N430" s="27"/>
      <c r="O430" s="27"/>
      <c r="P430" s="27"/>
      <c r="Q430" s="27"/>
    </row>
    <row r="431">
      <c r="N431" s="27"/>
      <c r="O431" s="27"/>
      <c r="P431" s="27"/>
      <c r="Q431" s="27"/>
    </row>
    <row r="432">
      <c r="N432" s="27"/>
      <c r="O432" s="27"/>
      <c r="P432" s="27"/>
      <c r="Q432" s="27"/>
    </row>
    <row r="433">
      <c r="N433" s="27"/>
      <c r="O433" s="27"/>
      <c r="P433" s="27"/>
      <c r="Q433" s="27"/>
    </row>
    <row r="434">
      <c r="N434" s="27"/>
      <c r="O434" s="27"/>
      <c r="P434" s="27"/>
      <c r="Q434" s="27"/>
    </row>
    <row r="435">
      <c r="N435" s="27"/>
      <c r="O435" s="27"/>
      <c r="P435" s="27"/>
      <c r="Q435" s="27"/>
    </row>
    <row r="436">
      <c r="N436" s="27"/>
      <c r="O436" s="27"/>
      <c r="P436" s="27"/>
      <c r="Q436" s="27"/>
    </row>
    <row r="437">
      <c r="N437" s="27"/>
      <c r="O437" s="27"/>
      <c r="P437" s="27"/>
      <c r="Q437" s="27"/>
    </row>
    <row r="438">
      <c r="N438" s="27"/>
      <c r="O438" s="27"/>
      <c r="P438" s="27"/>
      <c r="Q438" s="27"/>
    </row>
    <row r="439">
      <c r="N439" s="27"/>
      <c r="O439" s="27"/>
      <c r="P439" s="27"/>
      <c r="Q439" s="27"/>
    </row>
    <row r="440">
      <c r="N440" s="27"/>
      <c r="O440" s="27"/>
      <c r="P440" s="27"/>
      <c r="Q440" s="27"/>
    </row>
    <row r="441">
      <c r="N441" s="27"/>
      <c r="O441" s="27"/>
      <c r="P441" s="27"/>
      <c r="Q441" s="27"/>
    </row>
    <row r="442">
      <c r="N442" s="27"/>
      <c r="O442" s="27"/>
      <c r="P442" s="27"/>
      <c r="Q442" s="27"/>
    </row>
    <row r="443">
      <c r="N443" s="27"/>
      <c r="O443" s="27"/>
      <c r="P443" s="27"/>
      <c r="Q443" s="27"/>
    </row>
    <row r="444">
      <c r="N444" s="27"/>
      <c r="O444" s="27"/>
      <c r="P444" s="27"/>
      <c r="Q444" s="27"/>
    </row>
    <row r="445">
      <c r="N445" s="27"/>
      <c r="O445" s="27"/>
      <c r="P445" s="27"/>
      <c r="Q445" s="27"/>
    </row>
    <row r="446">
      <c r="N446" s="27"/>
      <c r="O446" s="27"/>
      <c r="P446" s="27"/>
      <c r="Q446" s="27"/>
    </row>
    <row r="447">
      <c r="N447" s="27"/>
      <c r="O447" s="27"/>
      <c r="P447" s="27"/>
      <c r="Q447" s="27"/>
    </row>
    <row r="448">
      <c r="N448" s="27"/>
      <c r="O448" s="27"/>
      <c r="P448" s="27"/>
      <c r="Q448" s="27"/>
    </row>
    <row r="449">
      <c r="N449" s="27"/>
      <c r="O449" s="27"/>
      <c r="P449" s="27"/>
      <c r="Q449" s="27"/>
    </row>
    <row r="450">
      <c r="N450" s="27"/>
      <c r="O450" s="27"/>
      <c r="P450" s="27"/>
      <c r="Q450" s="27"/>
    </row>
    <row r="451">
      <c r="N451" s="27"/>
      <c r="O451" s="27"/>
      <c r="P451" s="27"/>
      <c r="Q451" s="27"/>
    </row>
    <row r="452">
      <c r="N452" s="27"/>
      <c r="O452" s="27"/>
      <c r="P452" s="27"/>
      <c r="Q452" s="27"/>
    </row>
    <row r="453">
      <c r="N453" s="27"/>
      <c r="O453" s="27"/>
      <c r="P453" s="27"/>
      <c r="Q453" s="27"/>
    </row>
    <row r="454">
      <c r="N454" s="27"/>
      <c r="O454" s="27"/>
      <c r="P454" s="27"/>
      <c r="Q454" s="27"/>
    </row>
    <row r="455">
      <c r="N455" s="27"/>
      <c r="O455" s="27"/>
      <c r="P455" s="27"/>
      <c r="Q455" s="27"/>
    </row>
    <row r="456">
      <c r="N456" s="27"/>
      <c r="O456" s="27"/>
      <c r="P456" s="27"/>
      <c r="Q456" s="27"/>
    </row>
    <row r="457">
      <c r="N457" s="27"/>
      <c r="O457" s="27"/>
      <c r="P457" s="27"/>
      <c r="Q457" s="27"/>
    </row>
    <row r="458">
      <c r="N458" s="27"/>
      <c r="O458" s="27"/>
      <c r="P458" s="27"/>
      <c r="Q458" s="27"/>
    </row>
    <row r="459">
      <c r="N459" s="27"/>
      <c r="O459" s="27"/>
      <c r="P459" s="27"/>
      <c r="Q459" s="27"/>
    </row>
    <row r="460">
      <c r="N460" s="27"/>
      <c r="O460" s="27"/>
      <c r="P460" s="27"/>
      <c r="Q460" s="27"/>
    </row>
    <row r="461">
      <c r="N461" s="27"/>
      <c r="O461" s="27"/>
      <c r="P461" s="27"/>
      <c r="Q461" s="27"/>
    </row>
    <row r="462">
      <c r="N462" s="27"/>
      <c r="O462" s="27"/>
      <c r="P462" s="27"/>
      <c r="Q462" s="27"/>
    </row>
    <row r="463">
      <c r="N463" s="27"/>
      <c r="O463" s="27"/>
      <c r="P463" s="27"/>
      <c r="Q463" s="27"/>
    </row>
    <row r="464">
      <c r="N464" s="27"/>
      <c r="O464" s="27"/>
      <c r="P464" s="27"/>
      <c r="Q464" s="27"/>
    </row>
    <row r="465">
      <c r="N465" s="27"/>
      <c r="O465" s="27"/>
      <c r="P465" s="27"/>
      <c r="Q465" s="27"/>
    </row>
    <row r="466">
      <c r="N466" s="27"/>
      <c r="O466" s="27"/>
      <c r="P466" s="27"/>
      <c r="Q466" s="27"/>
    </row>
    <row r="467">
      <c r="N467" s="27"/>
      <c r="O467" s="27"/>
      <c r="P467" s="27"/>
      <c r="Q467" s="27"/>
    </row>
    <row r="468">
      <c r="N468" s="27"/>
      <c r="O468" s="27"/>
      <c r="P468" s="27"/>
      <c r="Q468" s="27"/>
    </row>
    <row r="469">
      <c r="N469" s="27"/>
      <c r="O469" s="27"/>
      <c r="P469" s="27"/>
      <c r="Q469" s="27"/>
    </row>
    <row r="470">
      <c r="N470" s="27"/>
      <c r="O470" s="27"/>
      <c r="P470" s="27"/>
      <c r="Q470" s="27"/>
    </row>
    <row r="471">
      <c r="N471" s="27"/>
      <c r="O471" s="27"/>
      <c r="P471" s="27"/>
      <c r="Q471" s="27"/>
    </row>
    <row r="472">
      <c r="N472" s="27"/>
      <c r="O472" s="27"/>
      <c r="P472" s="27"/>
      <c r="Q472" s="27"/>
    </row>
    <row r="473">
      <c r="N473" s="27"/>
      <c r="O473" s="27"/>
      <c r="P473" s="27"/>
      <c r="Q473" s="27"/>
    </row>
    <row r="474">
      <c r="N474" s="27"/>
      <c r="O474" s="27"/>
      <c r="P474" s="27"/>
      <c r="Q474" s="27"/>
    </row>
    <row r="475">
      <c r="N475" s="27"/>
      <c r="O475" s="27"/>
      <c r="P475" s="27"/>
      <c r="Q475" s="27"/>
    </row>
    <row r="476">
      <c r="N476" s="27"/>
      <c r="O476" s="27"/>
      <c r="P476" s="27"/>
      <c r="Q476" s="27"/>
    </row>
    <row r="477">
      <c r="N477" s="27"/>
      <c r="O477" s="27"/>
      <c r="P477" s="27"/>
      <c r="Q477" s="27"/>
    </row>
    <row r="478">
      <c r="N478" s="27"/>
      <c r="O478" s="27"/>
      <c r="P478" s="27"/>
      <c r="Q478" s="27"/>
    </row>
    <row r="479">
      <c r="N479" s="27"/>
      <c r="O479" s="27"/>
      <c r="P479" s="27"/>
      <c r="Q479" s="27"/>
    </row>
    <row r="480">
      <c r="N480" s="27"/>
      <c r="O480" s="27"/>
      <c r="P480" s="27"/>
      <c r="Q480" s="27"/>
    </row>
    <row r="481">
      <c r="N481" s="27"/>
      <c r="O481" s="27"/>
      <c r="P481" s="27"/>
      <c r="Q481" s="27"/>
    </row>
    <row r="482">
      <c r="N482" s="27"/>
      <c r="O482" s="27"/>
      <c r="P482" s="27"/>
      <c r="Q482" s="27"/>
    </row>
    <row r="483">
      <c r="N483" s="27"/>
      <c r="O483" s="27"/>
      <c r="P483" s="27"/>
      <c r="Q483" s="27"/>
    </row>
    <row r="484">
      <c r="N484" s="27"/>
      <c r="O484" s="27"/>
      <c r="P484" s="27"/>
      <c r="Q484" s="27"/>
    </row>
    <row r="485">
      <c r="N485" s="27"/>
      <c r="O485" s="27"/>
      <c r="P485" s="27"/>
      <c r="Q485" s="27"/>
    </row>
    <row r="486">
      <c r="N486" s="27"/>
      <c r="O486" s="27"/>
      <c r="P486" s="27"/>
      <c r="Q486" s="27"/>
    </row>
    <row r="487">
      <c r="N487" s="27"/>
      <c r="O487" s="27"/>
      <c r="P487" s="27"/>
      <c r="Q487" s="27"/>
    </row>
    <row r="488">
      <c r="N488" s="27"/>
      <c r="O488" s="27"/>
      <c r="P488" s="27"/>
      <c r="Q488" s="27"/>
    </row>
    <row r="489">
      <c r="N489" s="27"/>
      <c r="O489" s="27"/>
      <c r="P489" s="27"/>
      <c r="Q489" s="27"/>
    </row>
    <row r="490">
      <c r="N490" s="27"/>
      <c r="O490" s="27"/>
      <c r="P490" s="27"/>
      <c r="Q490" s="27"/>
    </row>
    <row r="491">
      <c r="N491" s="27"/>
      <c r="O491" s="27"/>
      <c r="P491" s="27"/>
      <c r="Q491" s="27"/>
    </row>
    <row r="492">
      <c r="N492" s="27"/>
      <c r="O492" s="27"/>
      <c r="P492" s="27"/>
      <c r="Q492" s="27"/>
    </row>
    <row r="493">
      <c r="N493" s="27"/>
      <c r="O493" s="27"/>
      <c r="P493" s="27"/>
      <c r="Q493" s="27"/>
    </row>
    <row r="494">
      <c r="N494" s="27"/>
      <c r="O494" s="27"/>
      <c r="P494" s="27"/>
      <c r="Q494" s="27"/>
    </row>
    <row r="495">
      <c r="N495" s="27"/>
      <c r="O495" s="27"/>
      <c r="P495" s="27"/>
      <c r="Q495" s="27"/>
    </row>
    <row r="496">
      <c r="N496" s="27"/>
      <c r="O496" s="27"/>
      <c r="P496" s="27"/>
      <c r="Q496" s="27"/>
    </row>
    <row r="497">
      <c r="N497" s="27"/>
      <c r="O497" s="27"/>
      <c r="P497" s="27"/>
      <c r="Q497" s="27"/>
    </row>
    <row r="498">
      <c r="N498" s="27"/>
      <c r="O498" s="27"/>
      <c r="P498" s="27"/>
      <c r="Q498" s="27"/>
    </row>
    <row r="499">
      <c r="N499" s="27"/>
      <c r="O499" s="27"/>
      <c r="P499" s="27"/>
      <c r="Q499" s="27"/>
    </row>
    <row r="500">
      <c r="N500" s="27"/>
      <c r="O500" s="27"/>
      <c r="P500" s="27"/>
      <c r="Q500" s="27"/>
    </row>
    <row r="501">
      <c r="N501" s="27"/>
      <c r="O501" s="27"/>
      <c r="P501" s="27"/>
      <c r="Q501" s="27"/>
    </row>
    <row r="502">
      <c r="N502" s="27"/>
      <c r="O502" s="27"/>
      <c r="P502" s="27"/>
      <c r="Q502" s="27"/>
    </row>
    <row r="503">
      <c r="N503" s="27"/>
      <c r="O503" s="27"/>
      <c r="P503" s="27"/>
      <c r="Q503" s="27"/>
    </row>
    <row r="504">
      <c r="N504" s="27"/>
      <c r="O504" s="27"/>
      <c r="P504" s="27"/>
      <c r="Q504" s="27"/>
    </row>
    <row r="505">
      <c r="N505" s="27"/>
      <c r="O505" s="27"/>
      <c r="P505" s="27"/>
      <c r="Q505" s="27"/>
    </row>
    <row r="506">
      <c r="N506" s="27"/>
      <c r="O506" s="27"/>
      <c r="P506" s="27"/>
      <c r="Q506" s="27"/>
    </row>
    <row r="507">
      <c r="N507" s="27"/>
      <c r="O507" s="27"/>
      <c r="P507" s="27"/>
      <c r="Q507" s="27"/>
    </row>
    <row r="508">
      <c r="N508" s="27"/>
      <c r="O508" s="27"/>
      <c r="P508" s="27"/>
      <c r="Q508" s="27"/>
    </row>
    <row r="509">
      <c r="N509" s="27"/>
      <c r="O509" s="27"/>
      <c r="P509" s="27"/>
      <c r="Q509" s="27"/>
    </row>
    <row r="510">
      <c r="N510" s="27"/>
      <c r="O510" s="27"/>
      <c r="P510" s="27"/>
      <c r="Q510" s="27"/>
    </row>
    <row r="511">
      <c r="N511" s="27"/>
      <c r="O511" s="27"/>
      <c r="P511" s="27"/>
      <c r="Q511" s="27"/>
    </row>
    <row r="512">
      <c r="N512" s="27"/>
      <c r="O512" s="27"/>
      <c r="P512" s="27"/>
      <c r="Q512" s="27"/>
    </row>
    <row r="513">
      <c r="N513" s="27"/>
      <c r="O513" s="27"/>
      <c r="P513" s="27"/>
      <c r="Q513" s="27"/>
    </row>
    <row r="514">
      <c r="N514" s="27"/>
      <c r="O514" s="27"/>
      <c r="P514" s="27"/>
      <c r="Q514" s="27"/>
    </row>
    <row r="515">
      <c r="N515" s="27"/>
      <c r="O515" s="27"/>
      <c r="P515" s="27"/>
      <c r="Q515" s="27"/>
    </row>
    <row r="516">
      <c r="N516" s="27"/>
      <c r="O516" s="27"/>
      <c r="P516" s="27"/>
      <c r="Q516" s="27"/>
    </row>
    <row r="517">
      <c r="N517" s="27"/>
      <c r="O517" s="27"/>
      <c r="P517" s="27"/>
      <c r="Q517" s="27"/>
    </row>
    <row r="518">
      <c r="N518" s="27"/>
      <c r="O518" s="27"/>
      <c r="P518" s="27"/>
      <c r="Q518" s="27"/>
    </row>
    <row r="519">
      <c r="N519" s="27"/>
      <c r="O519" s="27"/>
      <c r="P519" s="27"/>
      <c r="Q519" s="27"/>
    </row>
    <row r="520">
      <c r="N520" s="27"/>
      <c r="O520" s="27"/>
      <c r="P520" s="27"/>
      <c r="Q520" s="27"/>
    </row>
    <row r="521">
      <c r="N521" s="27"/>
      <c r="O521" s="27"/>
      <c r="P521" s="27"/>
      <c r="Q521" s="27"/>
    </row>
    <row r="522">
      <c r="N522" s="27"/>
      <c r="O522" s="27"/>
      <c r="P522" s="27"/>
      <c r="Q522" s="27"/>
    </row>
    <row r="523">
      <c r="N523" s="27"/>
      <c r="O523" s="27"/>
      <c r="P523" s="27"/>
      <c r="Q523" s="27"/>
    </row>
    <row r="524">
      <c r="N524" s="27"/>
      <c r="O524" s="27"/>
      <c r="P524" s="27"/>
      <c r="Q524" s="27"/>
    </row>
    <row r="525">
      <c r="N525" s="27"/>
      <c r="O525" s="27"/>
      <c r="P525" s="27"/>
      <c r="Q525" s="27"/>
    </row>
    <row r="526">
      <c r="N526" s="27"/>
      <c r="O526" s="27"/>
      <c r="P526" s="27"/>
      <c r="Q526" s="27"/>
    </row>
    <row r="527">
      <c r="N527" s="27"/>
      <c r="O527" s="27"/>
      <c r="P527" s="27"/>
      <c r="Q527" s="27"/>
    </row>
    <row r="528">
      <c r="N528" s="27"/>
      <c r="O528" s="27"/>
      <c r="P528" s="27"/>
      <c r="Q528" s="27"/>
    </row>
    <row r="529">
      <c r="N529" s="27"/>
      <c r="O529" s="27"/>
      <c r="P529" s="27"/>
      <c r="Q529" s="27"/>
    </row>
    <row r="530">
      <c r="N530" s="27"/>
      <c r="O530" s="27"/>
      <c r="P530" s="27"/>
      <c r="Q530" s="27"/>
    </row>
    <row r="531">
      <c r="N531" s="27"/>
      <c r="O531" s="27"/>
      <c r="P531" s="27"/>
      <c r="Q531" s="27"/>
    </row>
    <row r="532">
      <c r="N532" s="27"/>
      <c r="O532" s="27"/>
      <c r="P532" s="27"/>
      <c r="Q532" s="27"/>
    </row>
    <row r="533">
      <c r="N533" s="27"/>
      <c r="O533" s="27"/>
      <c r="P533" s="27"/>
      <c r="Q533" s="27"/>
    </row>
    <row r="534">
      <c r="N534" s="27"/>
      <c r="O534" s="27"/>
      <c r="P534" s="27"/>
      <c r="Q534" s="27"/>
    </row>
    <row r="535">
      <c r="N535" s="27"/>
      <c r="O535" s="27"/>
      <c r="P535" s="27"/>
      <c r="Q535" s="27"/>
    </row>
    <row r="536">
      <c r="N536" s="27"/>
      <c r="O536" s="27"/>
      <c r="P536" s="27"/>
      <c r="Q536" s="27"/>
    </row>
    <row r="537">
      <c r="N537" s="27"/>
      <c r="O537" s="27"/>
      <c r="P537" s="27"/>
      <c r="Q537" s="27"/>
    </row>
    <row r="538">
      <c r="N538" s="27"/>
      <c r="O538" s="27"/>
      <c r="P538" s="27"/>
      <c r="Q538" s="27"/>
    </row>
    <row r="539">
      <c r="N539" s="27"/>
      <c r="O539" s="27"/>
      <c r="P539" s="27"/>
      <c r="Q539" s="27"/>
    </row>
    <row r="540">
      <c r="N540" s="27"/>
      <c r="O540" s="27"/>
      <c r="P540" s="27"/>
      <c r="Q540" s="27"/>
    </row>
    <row r="541">
      <c r="N541" s="27"/>
      <c r="O541" s="27"/>
      <c r="P541" s="27"/>
      <c r="Q541" s="27"/>
    </row>
    <row r="542">
      <c r="N542" s="27"/>
      <c r="O542" s="27"/>
      <c r="P542" s="27"/>
      <c r="Q542" s="27"/>
    </row>
    <row r="543">
      <c r="N543" s="27"/>
      <c r="O543" s="27"/>
      <c r="P543" s="27"/>
      <c r="Q543" s="27"/>
    </row>
    <row r="544">
      <c r="N544" s="27"/>
      <c r="O544" s="27"/>
      <c r="P544" s="27"/>
      <c r="Q544" s="27"/>
    </row>
    <row r="545">
      <c r="N545" s="27"/>
      <c r="O545" s="27"/>
      <c r="P545" s="27"/>
      <c r="Q545" s="27"/>
    </row>
    <row r="546">
      <c r="N546" s="27"/>
      <c r="O546" s="27"/>
      <c r="P546" s="27"/>
      <c r="Q546" s="27"/>
    </row>
    <row r="547">
      <c r="N547" s="27"/>
      <c r="O547" s="27"/>
      <c r="P547" s="27"/>
      <c r="Q547" s="27"/>
    </row>
    <row r="548">
      <c r="N548" s="27"/>
      <c r="O548" s="27"/>
      <c r="P548" s="27"/>
      <c r="Q548" s="27"/>
    </row>
    <row r="549">
      <c r="N549" s="27"/>
      <c r="O549" s="27"/>
      <c r="P549" s="27"/>
      <c r="Q549" s="27"/>
    </row>
    <row r="550">
      <c r="N550" s="27"/>
      <c r="O550" s="27"/>
      <c r="P550" s="27"/>
      <c r="Q550" s="27"/>
    </row>
    <row r="551">
      <c r="N551" s="27"/>
      <c r="O551" s="27"/>
      <c r="P551" s="27"/>
      <c r="Q551" s="27"/>
    </row>
    <row r="552">
      <c r="N552" s="27"/>
      <c r="O552" s="27"/>
      <c r="P552" s="27"/>
      <c r="Q552" s="27"/>
    </row>
    <row r="553">
      <c r="N553" s="27"/>
      <c r="O553" s="27"/>
      <c r="P553" s="27"/>
      <c r="Q553" s="27"/>
    </row>
    <row r="554">
      <c r="N554" s="27"/>
      <c r="O554" s="27"/>
      <c r="P554" s="27"/>
      <c r="Q554" s="27"/>
    </row>
    <row r="555">
      <c r="N555" s="27"/>
      <c r="O555" s="27"/>
      <c r="P555" s="27"/>
      <c r="Q555" s="27"/>
    </row>
    <row r="556">
      <c r="N556" s="27"/>
      <c r="O556" s="27"/>
      <c r="P556" s="27"/>
      <c r="Q556" s="27"/>
    </row>
    <row r="557">
      <c r="N557" s="27"/>
      <c r="O557" s="27"/>
      <c r="P557" s="27"/>
      <c r="Q557" s="27"/>
    </row>
    <row r="558">
      <c r="N558" s="27"/>
      <c r="O558" s="27"/>
      <c r="P558" s="27"/>
      <c r="Q558" s="27"/>
    </row>
    <row r="559">
      <c r="N559" s="27"/>
      <c r="O559" s="27"/>
      <c r="P559" s="27"/>
      <c r="Q559" s="27"/>
    </row>
    <row r="560">
      <c r="N560" s="27"/>
      <c r="O560" s="27"/>
      <c r="P560" s="27"/>
      <c r="Q560" s="27"/>
    </row>
    <row r="561">
      <c r="N561" s="27"/>
      <c r="O561" s="27"/>
      <c r="P561" s="27"/>
      <c r="Q561" s="27"/>
    </row>
    <row r="562">
      <c r="N562" s="27"/>
      <c r="O562" s="27"/>
      <c r="P562" s="27"/>
      <c r="Q562" s="27"/>
    </row>
    <row r="563">
      <c r="N563" s="27"/>
      <c r="O563" s="27"/>
      <c r="P563" s="27"/>
      <c r="Q563" s="27"/>
    </row>
    <row r="564">
      <c r="N564" s="27"/>
      <c r="O564" s="27"/>
      <c r="P564" s="27"/>
      <c r="Q564" s="27"/>
    </row>
    <row r="565">
      <c r="N565" s="27"/>
      <c r="O565" s="27"/>
      <c r="P565" s="27"/>
      <c r="Q565" s="27"/>
    </row>
    <row r="566">
      <c r="N566" s="27"/>
      <c r="O566" s="27"/>
      <c r="P566" s="27"/>
      <c r="Q566" s="27"/>
    </row>
    <row r="567">
      <c r="N567" s="27"/>
      <c r="O567" s="27"/>
      <c r="P567" s="27"/>
      <c r="Q567" s="27"/>
    </row>
    <row r="568">
      <c r="N568" s="27"/>
      <c r="O568" s="27"/>
      <c r="P568" s="27"/>
      <c r="Q568" s="27"/>
    </row>
    <row r="569">
      <c r="N569" s="27"/>
      <c r="O569" s="27"/>
      <c r="P569" s="27"/>
      <c r="Q569" s="27"/>
    </row>
    <row r="570">
      <c r="N570" s="27"/>
      <c r="O570" s="27"/>
      <c r="P570" s="27"/>
      <c r="Q570" s="27"/>
    </row>
    <row r="571">
      <c r="N571" s="27"/>
      <c r="O571" s="27"/>
      <c r="P571" s="27"/>
      <c r="Q571" s="27"/>
    </row>
    <row r="572">
      <c r="N572" s="27"/>
      <c r="O572" s="27"/>
      <c r="P572" s="27"/>
      <c r="Q572" s="27"/>
    </row>
    <row r="573">
      <c r="N573" s="27"/>
      <c r="O573" s="27"/>
      <c r="P573" s="27"/>
      <c r="Q573" s="27"/>
    </row>
    <row r="574">
      <c r="N574" s="27"/>
      <c r="O574" s="27"/>
      <c r="P574" s="27"/>
      <c r="Q574" s="27"/>
    </row>
    <row r="575">
      <c r="N575" s="27"/>
      <c r="O575" s="27"/>
      <c r="P575" s="27"/>
      <c r="Q575" s="27"/>
    </row>
    <row r="576">
      <c r="N576" s="27"/>
      <c r="O576" s="27"/>
      <c r="P576" s="27"/>
      <c r="Q576" s="27"/>
    </row>
    <row r="577">
      <c r="N577" s="27"/>
      <c r="O577" s="27"/>
      <c r="P577" s="27"/>
      <c r="Q577" s="27"/>
    </row>
    <row r="578">
      <c r="N578" s="27"/>
      <c r="O578" s="27"/>
      <c r="P578" s="27"/>
      <c r="Q578" s="27"/>
    </row>
    <row r="579">
      <c r="N579" s="27"/>
      <c r="O579" s="27"/>
      <c r="P579" s="27"/>
      <c r="Q579" s="27"/>
    </row>
    <row r="580">
      <c r="N580" s="27"/>
      <c r="O580" s="27"/>
      <c r="P580" s="27"/>
      <c r="Q580" s="27"/>
    </row>
    <row r="581">
      <c r="N581" s="27"/>
      <c r="O581" s="27"/>
      <c r="P581" s="27"/>
      <c r="Q581" s="27"/>
    </row>
    <row r="582">
      <c r="N582" s="27"/>
      <c r="O582" s="27"/>
      <c r="P582" s="27"/>
      <c r="Q582" s="27"/>
    </row>
    <row r="583">
      <c r="N583" s="27"/>
      <c r="O583" s="27"/>
      <c r="P583" s="27"/>
      <c r="Q583" s="27"/>
    </row>
    <row r="584">
      <c r="N584" s="27"/>
      <c r="O584" s="27"/>
      <c r="P584" s="27"/>
      <c r="Q584" s="27"/>
    </row>
    <row r="585">
      <c r="N585" s="27"/>
      <c r="O585" s="27"/>
      <c r="P585" s="27"/>
      <c r="Q585" s="27"/>
    </row>
    <row r="586">
      <c r="N586" s="27"/>
      <c r="O586" s="27"/>
      <c r="P586" s="27"/>
      <c r="Q586" s="27"/>
    </row>
    <row r="587">
      <c r="N587" s="27"/>
      <c r="O587" s="27"/>
      <c r="P587" s="27"/>
      <c r="Q587" s="27"/>
    </row>
    <row r="588">
      <c r="N588" s="27"/>
      <c r="O588" s="27"/>
      <c r="P588" s="27"/>
      <c r="Q588" s="27"/>
    </row>
    <row r="589">
      <c r="N589" s="27"/>
      <c r="O589" s="27"/>
      <c r="P589" s="27"/>
      <c r="Q589" s="27"/>
    </row>
    <row r="590">
      <c r="N590" s="27"/>
      <c r="O590" s="27"/>
      <c r="P590" s="27"/>
      <c r="Q590" s="27"/>
    </row>
    <row r="591">
      <c r="N591" s="27"/>
      <c r="O591" s="27"/>
      <c r="P591" s="27"/>
      <c r="Q591" s="27"/>
    </row>
    <row r="592">
      <c r="N592" s="27"/>
      <c r="O592" s="27"/>
      <c r="P592" s="27"/>
      <c r="Q592" s="27"/>
    </row>
    <row r="593">
      <c r="N593" s="27"/>
      <c r="O593" s="27"/>
      <c r="P593" s="27"/>
      <c r="Q593" s="27"/>
    </row>
    <row r="594">
      <c r="N594" s="27"/>
      <c r="O594" s="27"/>
      <c r="P594" s="27"/>
      <c r="Q594" s="27"/>
    </row>
    <row r="595">
      <c r="N595" s="27"/>
      <c r="O595" s="27"/>
      <c r="P595" s="27"/>
      <c r="Q595" s="27"/>
    </row>
    <row r="596">
      <c r="N596" s="27"/>
      <c r="O596" s="27"/>
      <c r="P596" s="27"/>
      <c r="Q596" s="27"/>
    </row>
    <row r="597">
      <c r="N597" s="27"/>
      <c r="O597" s="27"/>
      <c r="P597" s="27"/>
      <c r="Q597" s="27"/>
    </row>
    <row r="598">
      <c r="N598" s="27"/>
      <c r="O598" s="27"/>
      <c r="P598" s="27"/>
      <c r="Q598" s="27"/>
    </row>
    <row r="599">
      <c r="N599" s="27"/>
      <c r="O599" s="27"/>
      <c r="P599" s="27"/>
      <c r="Q599" s="27"/>
    </row>
    <row r="600">
      <c r="N600" s="27"/>
      <c r="O600" s="27"/>
      <c r="P600" s="27"/>
      <c r="Q600" s="27"/>
    </row>
    <row r="601">
      <c r="N601" s="27"/>
      <c r="O601" s="27"/>
      <c r="P601" s="27"/>
      <c r="Q601" s="27"/>
    </row>
    <row r="602">
      <c r="N602" s="27"/>
      <c r="O602" s="27"/>
      <c r="P602" s="27"/>
      <c r="Q602" s="27"/>
    </row>
    <row r="603">
      <c r="N603" s="27"/>
      <c r="O603" s="27"/>
      <c r="P603" s="27"/>
      <c r="Q603" s="27"/>
    </row>
    <row r="604">
      <c r="N604" s="27"/>
      <c r="O604" s="27"/>
      <c r="P604" s="27"/>
      <c r="Q604" s="27"/>
    </row>
    <row r="605">
      <c r="N605" s="27"/>
      <c r="O605" s="27"/>
      <c r="P605" s="27"/>
      <c r="Q605" s="27"/>
    </row>
    <row r="606">
      <c r="N606" s="27"/>
      <c r="O606" s="27"/>
      <c r="P606" s="27"/>
      <c r="Q606" s="27"/>
    </row>
    <row r="607">
      <c r="N607" s="27"/>
      <c r="O607" s="27"/>
      <c r="P607" s="27"/>
      <c r="Q607" s="27"/>
    </row>
    <row r="608">
      <c r="N608" s="27"/>
      <c r="O608" s="27"/>
      <c r="P608" s="27"/>
      <c r="Q608" s="27"/>
    </row>
    <row r="609">
      <c r="N609" s="27"/>
      <c r="O609" s="27"/>
      <c r="P609" s="27"/>
      <c r="Q609" s="27"/>
    </row>
    <row r="610">
      <c r="N610" s="27"/>
      <c r="O610" s="27"/>
      <c r="P610" s="27"/>
      <c r="Q610" s="27"/>
    </row>
    <row r="611">
      <c r="N611" s="27"/>
      <c r="O611" s="27"/>
      <c r="P611" s="27"/>
      <c r="Q611" s="27"/>
    </row>
    <row r="612">
      <c r="N612" s="27"/>
      <c r="O612" s="27"/>
      <c r="P612" s="27"/>
      <c r="Q612" s="27"/>
    </row>
    <row r="613">
      <c r="N613" s="27"/>
      <c r="O613" s="27"/>
      <c r="P613" s="27"/>
      <c r="Q613" s="27"/>
    </row>
    <row r="614">
      <c r="N614" s="27"/>
      <c r="O614" s="27"/>
      <c r="P614" s="27"/>
      <c r="Q614" s="27"/>
    </row>
    <row r="615">
      <c r="N615" s="27"/>
      <c r="O615" s="27"/>
      <c r="P615" s="27"/>
      <c r="Q615" s="27"/>
    </row>
    <row r="616">
      <c r="N616" s="27"/>
      <c r="O616" s="27"/>
      <c r="P616" s="27"/>
      <c r="Q616" s="27"/>
    </row>
    <row r="617">
      <c r="N617" s="27"/>
      <c r="O617" s="27"/>
      <c r="P617" s="27"/>
      <c r="Q617" s="27"/>
    </row>
    <row r="618">
      <c r="N618" s="27"/>
      <c r="O618" s="27"/>
      <c r="P618" s="27"/>
      <c r="Q618" s="27"/>
    </row>
    <row r="619">
      <c r="N619" s="27"/>
      <c r="O619" s="27"/>
      <c r="P619" s="27"/>
      <c r="Q619" s="27"/>
    </row>
    <row r="620">
      <c r="N620" s="27"/>
      <c r="O620" s="27"/>
      <c r="P620" s="27"/>
      <c r="Q620" s="27"/>
    </row>
    <row r="621">
      <c r="N621" s="27"/>
      <c r="O621" s="27"/>
      <c r="P621" s="27"/>
      <c r="Q621" s="27"/>
    </row>
    <row r="622">
      <c r="N622" s="27"/>
      <c r="O622" s="27"/>
      <c r="P622" s="27"/>
      <c r="Q622" s="27"/>
    </row>
    <row r="623">
      <c r="N623" s="27"/>
      <c r="O623" s="27"/>
      <c r="P623" s="27"/>
      <c r="Q623" s="27"/>
    </row>
    <row r="624">
      <c r="N624" s="27"/>
      <c r="O624" s="27"/>
      <c r="P624" s="27"/>
      <c r="Q624" s="27"/>
    </row>
    <row r="625">
      <c r="N625" s="27"/>
      <c r="O625" s="27"/>
      <c r="P625" s="27"/>
      <c r="Q625" s="27"/>
    </row>
    <row r="626">
      <c r="N626" s="27"/>
      <c r="O626" s="27"/>
      <c r="P626" s="27"/>
      <c r="Q626" s="27"/>
    </row>
    <row r="627">
      <c r="N627" s="27"/>
      <c r="O627" s="27"/>
      <c r="P627" s="27"/>
      <c r="Q627" s="27"/>
    </row>
    <row r="628">
      <c r="N628" s="27"/>
      <c r="O628" s="27"/>
      <c r="P628" s="27"/>
      <c r="Q628" s="27"/>
    </row>
    <row r="629">
      <c r="N629" s="27"/>
      <c r="O629" s="27"/>
      <c r="P629" s="27"/>
      <c r="Q629" s="27"/>
    </row>
    <row r="630">
      <c r="N630" s="27"/>
      <c r="O630" s="27"/>
      <c r="P630" s="27"/>
      <c r="Q630" s="27"/>
    </row>
    <row r="631">
      <c r="N631" s="27"/>
      <c r="O631" s="27"/>
      <c r="P631" s="27"/>
      <c r="Q631" s="27"/>
    </row>
    <row r="632">
      <c r="N632" s="27"/>
      <c r="O632" s="27"/>
      <c r="P632" s="27"/>
      <c r="Q632" s="27"/>
    </row>
    <row r="633">
      <c r="N633" s="27"/>
      <c r="O633" s="27"/>
      <c r="P633" s="27"/>
      <c r="Q633" s="27"/>
    </row>
    <row r="634">
      <c r="N634" s="27"/>
      <c r="O634" s="27"/>
      <c r="P634" s="27"/>
      <c r="Q634" s="27"/>
    </row>
    <row r="635">
      <c r="N635" s="27"/>
      <c r="O635" s="27"/>
      <c r="P635" s="27"/>
      <c r="Q635" s="27"/>
    </row>
    <row r="636">
      <c r="N636" s="27"/>
      <c r="O636" s="27"/>
      <c r="P636" s="27"/>
      <c r="Q636" s="27"/>
    </row>
    <row r="637">
      <c r="N637" s="27"/>
      <c r="O637" s="27"/>
      <c r="P637" s="27"/>
      <c r="Q637" s="27"/>
    </row>
    <row r="638">
      <c r="N638" s="27"/>
      <c r="O638" s="27"/>
      <c r="P638" s="27"/>
      <c r="Q638" s="27"/>
    </row>
    <row r="639">
      <c r="N639" s="27"/>
      <c r="O639" s="27"/>
      <c r="P639" s="27"/>
      <c r="Q639" s="27"/>
    </row>
    <row r="640">
      <c r="N640" s="27"/>
      <c r="O640" s="27"/>
      <c r="P640" s="27"/>
      <c r="Q640" s="27"/>
    </row>
    <row r="641">
      <c r="N641" s="27"/>
      <c r="O641" s="27"/>
      <c r="P641" s="27"/>
      <c r="Q641" s="27"/>
    </row>
    <row r="642">
      <c r="N642" s="27"/>
      <c r="O642" s="27"/>
      <c r="P642" s="27"/>
      <c r="Q642" s="27"/>
    </row>
    <row r="643">
      <c r="N643" s="27"/>
      <c r="O643" s="27"/>
      <c r="P643" s="27"/>
      <c r="Q643" s="27"/>
    </row>
    <row r="644">
      <c r="N644" s="27"/>
      <c r="O644" s="27"/>
      <c r="P644" s="27"/>
      <c r="Q644" s="27"/>
    </row>
    <row r="645">
      <c r="N645" s="27"/>
      <c r="O645" s="27"/>
      <c r="P645" s="27"/>
      <c r="Q645" s="27"/>
    </row>
    <row r="646">
      <c r="N646" s="27"/>
      <c r="O646" s="27"/>
      <c r="P646" s="27"/>
      <c r="Q646" s="27"/>
    </row>
    <row r="647">
      <c r="N647" s="27"/>
      <c r="O647" s="27"/>
      <c r="P647" s="27"/>
      <c r="Q647" s="27"/>
    </row>
    <row r="648">
      <c r="N648" s="27"/>
      <c r="O648" s="27"/>
      <c r="P648" s="27"/>
      <c r="Q648" s="27"/>
    </row>
    <row r="649">
      <c r="N649" s="27"/>
      <c r="O649" s="27"/>
      <c r="P649" s="27"/>
      <c r="Q649" s="27"/>
    </row>
    <row r="650">
      <c r="N650" s="27"/>
      <c r="O650" s="27"/>
      <c r="P650" s="27"/>
      <c r="Q650" s="27"/>
    </row>
    <row r="651">
      <c r="N651" s="27"/>
      <c r="O651" s="27"/>
      <c r="P651" s="27"/>
      <c r="Q651" s="27"/>
    </row>
    <row r="652">
      <c r="N652" s="27"/>
      <c r="O652" s="27"/>
      <c r="P652" s="27"/>
      <c r="Q652" s="27"/>
    </row>
    <row r="653">
      <c r="N653" s="27"/>
      <c r="O653" s="27"/>
      <c r="P653" s="27"/>
      <c r="Q653" s="27"/>
    </row>
    <row r="654">
      <c r="N654" s="27"/>
      <c r="O654" s="27"/>
      <c r="P654" s="27"/>
      <c r="Q654" s="27"/>
    </row>
    <row r="655">
      <c r="N655" s="27"/>
      <c r="O655" s="27"/>
      <c r="P655" s="27"/>
      <c r="Q655" s="27"/>
    </row>
    <row r="656">
      <c r="N656" s="27"/>
      <c r="O656" s="27"/>
      <c r="P656" s="27"/>
      <c r="Q656" s="27"/>
    </row>
    <row r="657">
      <c r="N657" s="27"/>
      <c r="O657" s="27"/>
      <c r="P657" s="27"/>
      <c r="Q657" s="27"/>
    </row>
    <row r="658">
      <c r="N658" s="27"/>
      <c r="O658" s="27"/>
      <c r="P658" s="27"/>
      <c r="Q658" s="27"/>
    </row>
    <row r="659">
      <c r="N659" s="27"/>
      <c r="O659" s="27"/>
      <c r="P659" s="27"/>
      <c r="Q659" s="27"/>
    </row>
    <row r="660">
      <c r="N660" s="27"/>
      <c r="O660" s="27"/>
      <c r="P660" s="27"/>
      <c r="Q660" s="27"/>
    </row>
    <row r="661">
      <c r="N661" s="27"/>
      <c r="O661" s="27"/>
      <c r="P661" s="27"/>
      <c r="Q661" s="27"/>
    </row>
    <row r="662">
      <c r="N662" s="27"/>
      <c r="O662" s="27"/>
      <c r="P662" s="27"/>
      <c r="Q662" s="27"/>
    </row>
    <row r="663">
      <c r="N663" s="27"/>
      <c r="O663" s="27"/>
      <c r="P663" s="27"/>
      <c r="Q663" s="27"/>
    </row>
    <row r="664">
      <c r="N664" s="27"/>
      <c r="O664" s="27"/>
      <c r="P664" s="27"/>
      <c r="Q664" s="27"/>
    </row>
    <row r="665">
      <c r="N665" s="27"/>
      <c r="O665" s="27"/>
      <c r="P665" s="27"/>
      <c r="Q665" s="27"/>
    </row>
    <row r="666">
      <c r="N666" s="27"/>
      <c r="O666" s="27"/>
      <c r="P666" s="27"/>
      <c r="Q666" s="27"/>
    </row>
    <row r="667">
      <c r="N667" s="27"/>
      <c r="O667" s="27"/>
      <c r="P667" s="27"/>
      <c r="Q667" s="27"/>
    </row>
    <row r="668">
      <c r="N668" s="27"/>
      <c r="O668" s="27"/>
      <c r="P668" s="27"/>
      <c r="Q668" s="27"/>
    </row>
    <row r="669">
      <c r="N669" s="27"/>
      <c r="O669" s="27"/>
      <c r="P669" s="27"/>
      <c r="Q669" s="27"/>
    </row>
    <row r="670">
      <c r="N670" s="27"/>
      <c r="O670" s="27"/>
      <c r="P670" s="27"/>
      <c r="Q670" s="27"/>
    </row>
    <row r="671">
      <c r="N671" s="27"/>
      <c r="O671" s="27"/>
      <c r="P671" s="27"/>
      <c r="Q671" s="27"/>
    </row>
    <row r="672">
      <c r="N672" s="27"/>
      <c r="O672" s="27"/>
      <c r="P672" s="27"/>
      <c r="Q672" s="27"/>
    </row>
    <row r="673">
      <c r="N673" s="27"/>
      <c r="O673" s="27"/>
      <c r="P673" s="27"/>
      <c r="Q673" s="27"/>
    </row>
    <row r="674">
      <c r="N674" s="27"/>
      <c r="O674" s="27"/>
      <c r="P674" s="27"/>
      <c r="Q674" s="27"/>
    </row>
    <row r="675">
      <c r="N675" s="27"/>
      <c r="O675" s="27"/>
      <c r="P675" s="27"/>
      <c r="Q675" s="27"/>
    </row>
    <row r="676">
      <c r="N676" s="27"/>
      <c r="O676" s="27"/>
      <c r="P676" s="27"/>
      <c r="Q676" s="27"/>
    </row>
    <row r="677">
      <c r="N677" s="27"/>
      <c r="O677" s="27"/>
      <c r="P677" s="27"/>
      <c r="Q677" s="27"/>
    </row>
    <row r="678">
      <c r="N678" s="27"/>
      <c r="O678" s="27"/>
      <c r="P678" s="27"/>
      <c r="Q678" s="27"/>
    </row>
    <row r="679">
      <c r="N679" s="27"/>
      <c r="O679" s="27"/>
      <c r="P679" s="27"/>
      <c r="Q679" s="27"/>
    </row>
    <row r="680">
      <c r="N680" s="27"/>
      <c r="O680" s="27"/>
      <c r="P680" s="27"/>
      <c r="Q680" s="27"/>
    </row>
    <row r="681">
      <c r="N681" s="27"/>
      <c r="O681" s="27"/>
      <c r="P681" s="27"/>
      <c r="Q681" s="27"/>
    </row>
    <row r="682">
      <c r="N682" s="27"/>
      <c r="O682" s="27"/>
      <c r="P682" s="27"/>
      <c r="Q682" s="27"/>
    </row>
    <row r="683">
      <c r="N683" s="27"/>
      <c r="O683" s="27"/>
      <c r="P683" s="27"/>
      <c r="Q683" s="27"/>
    </row>
    <row r="684">
      <c r="N684" s="27"/>
      <c r="O684" s="27"/>
      <c r="P684" s="27"/>
      <c r="Q684" s="27"/>
    </row>
    <row r="685">
      <c r="N685" s="27"/>
      <c r="O685" s="27"/>
      <c r="P685" s="27"/>
      <c r="Q685" s="27"/>
    </row>
    <row r="686">
      <c r="N686" s="27"/>
      <c r="O686" s="27"/>
      <c r="P686" s="27"/>
      <c r="Q686" s="27"/>
    </row>
    <row r="687">
      <c r="N687" s="27"/>
      <c r="O687" s="27"/>
      <c r="P687" s="27"/>
      <c r="Q687" s="27"/>
    </row>
    <row r="688">
      <c r="N688" s="27"/>
      <c r="O688" s="27"/>
      <c r="P688" s="27"/>
      <c r="Q688" s="27"/>
    </row>
    <row r="689">
      <c r="N689" s="27"/>
      <c r="O689" s="27"/>
      <c r="P689" s="27"/>
      <c r="Q689" s="27"/>
    </row>
    <row r="690">
      <c r="N690" s="27"/>
      <c r="O690" s="27"/>
      <c r="P690" s="27"/>
      <c r="Q690" s="27"/>
    </row>
    <row r="691">
      <c r="N691" s="27"/>
      <c r="O691" s="27"/>
      <c r="P691" s="27"/>
      <c r="Q691" s="27"/>
    </row>
    <row r="692">
      <c r="N692" s="27"/>
      <c r="O692" s="27"/>
      <c r="P692" s="27"/>
      <c r="Q692" s="27"/>
    </row>
    <row r="693">
      <c r="N693" s="27"/>
      <c r="O693" s="27"/>
      <c r="P693" s="27"/>
      <c r="Q693" s="27"/>
    </row>
    <row r="694">
      <c r="N694" s="27"/>
      <c r="O694" s="27"/>
      <c r="P694" s="27"/>
      <c r="Q694" s="27"/>
    </row>
    <row r="695">
      <c r="N695" s="27"/>
      <c r="O695" s="27"/>
      <c r="P695" s="27"/>
      <c r="Q695" s="27"/>
    </row>
    <row r="696">
      <c r="N696" s="27"/>
      <c r="O696" s="27"/>
      <c r="P696" s="27"/>
      <c r="Q696" s="27"/>
    </row>
    <row r="697">
      <c r="N697" s="27"/>
      <c r="O697" s="27"/>
      <c r="P697" s="27"/>
      <c r="Q697" s="27"/>
    </row>
    <row r="698">
      <c r="N698" s="27"/>
      <c r="O698" s="27"/>
      <c r="P698" s="27"/>
      <c r="Q698" s="27"/>
    </row>
    <row r="699">
      <c r="N699" s="27"/>
      <c r="O699" s="27"/>
      <c r="P699" s="27"/>
      <c r="Q699" s="27"/>
    </row>
    <row r="700">
      <c r="N700" s="27"/>
      <c r="O700" s="27"/>
      <c r="P700" s="27"/>
      <c r="Q700" s="27"/>
    </row>
    <row r="701">
      <c r="N701" s="27"/>
      <c r="O701" s="27"/>
      <c r="P701" s="27"/>
      <c r="Q701" s="27"/>
    </row>
    <row r="702">
      <c r="N702" s="27"/>
      <c r="O702" s="27"/>
      <c r="P702" s="27"/>
      <c r="Q702" s="27"/>
    </row>
    <row r="703">
      <c r="N703" s="27"/>
      <c r="O703" s="27"/>
      <c r="P703" s="27"/>
      <c r="Q703" s="27"/>
    </row>
    <row r="704">
      <c r="N704" s="27"/>
      <c r="O704" s="27"/>
      <c r="P704" s="27"/>
      <c r="Q704" s="27"/>
    </row>
    <row r="705">
      <c r="N705" s="27"/>
      <c r="O705" s="27"/>
      <c r="P705" s="27"/>
      <c r="Q705" s="27"/>
    </row>
    <row r="706">
      <c r="N706" s="27"/>
      <c r="O706" s="27"/>
      <c r="P706" s="27"/>
      <c r="Q706" s="27"/>
    </row>
    <row r="707">
      <c r="N707" s="27"/>
      <c r="O707" s="27"/>
      <c r="P707" s="27"/>
      <c r="Q707" s="27"/>
    </row>
    <row r="708">
      <c r="N708" s="27"/>
      <c r="O708" s="27"/>
      <c r="P708" s="27"/>
      <c r="Q708" s="27"/>
    </row>
    <row r="709">
      <c r="N709" s="27"/>
      <c r="O709" s="27"/>
      <c r="P709" s="27"/>
      <c r="Q709" s="27"/>
    </row>
    <row r="710">
      <c r="N710" s="27"/>
      <c r="O710" s="27"/>
      <c r="P710" s="27"/>
      <c r="Q710" s="27"/>
    </row>
    <row r="711">
      <c r="N711" s="27"/>
      <c r="O711" s="27"/>
      <c r="P711" s="27"/>
      <c r="Q711" s="27"/>
    </row>
    <row r="712">
      <c r="N712" s="27"/>
      <c r="O712" s="27"/>
      <c r="P712" s="27"/>
      <c r="Q712" s="27"/>
    </row>
    <row r="713">
      <c r="N713" s="27"/>
      <c r="O713" s="27"/>
      <c r="P713" s="27"/>
      <c r="Q713" s="27"/>
    </row>
    <row r="714">
      <c r="N714" s="27"/>
      <c r="O714" s="27"/>
      <c r="P714" s="27"/>
      <c r="Q714" s="27"/>
    </row>
    <row r="715">
      <c r="N715" s="27"/>
      <c r="O715" s="27"/>
      <c r="P715" s="27"/>
      <c r="Q715" s="27"/>
    </row>
    <row r="716">
      <c r="N716" s="27"/>
      <c r="O716" s="27"/>
      <c r="P716" s="27"/>
      <c r="Q716" s="27"/>
    </row>
    <row r="717">
      <c r="N717" s="27"/>
      <c r="O717" s="27"/>
      <c r="P717" s="27"/>
      <c r="Q717" s="27"/>
    </row>
    <row r="718">
      <c r="N718" s="27"/>
      <c r="O718" s="27"/>
      <c r="P718" s="27"/>
      <c r="Q718" s="27"/>
    </row>
    <row r="719">
      <c r="N719" s="27"/>
      <c r="O719" s="27"/>
      <c r="P719" s="27"/>
      <c r="Q719" s="27"/>
    </row>
    <row r="720">
      <c r="N720" s="27"/>
      <c r="O720" s="27"/>
      <c r="P720" s="27"/>
      <c r="Q720" s="27"/>
    </row>
    <row r="721">
      <c r="N721" s="27"/>
      <c r="O721" s="27"/>
      <c r="P721" s="27"/>
      <c r="Q721" s="27"/>
    </row>
    <row r="722">
      <c r="N722" s="27"/>
      <c r="O722" s="27"/>
      <c r="P722" s="27"/>
      <c r="Q722" s="27"/>
    </row>
    <row r="723">
      <c r="N723" s="27"/>
      <c r="O723" s="27"/>
      <c r="P723" s="27"/>
      <c r="Q723" s="27"/>
    </row>
    <row r="724">
      <c r="N724" s="27"/>
      <c r="O724" s="27"/>
      <c r="P724" s="27"/>
      <c r="Q724" s="27"/>
    </row>
    <row r="725">
      <c r="N725" s="27"/>
      <c r="O725" s="27"/>
      <c r="P725" s="27"/>
      <c r="Q725" s="27"/>
    </row>
    <row r="726">
      <c r="N726" s="27"/>
      <c r="O726" s="27"/>
      <c r="P726" s="27"/>
      <c r="Q726" s="27"/>
    </row>
    <row r="727">
      <c r="N727" s="27"/>
      <c r="O727" s="27"/>
      <c r="P727" s="27"/>
      <c r="Q727" s="27"/>
    </row>
    <row r="728">
      <c r="N728" s="27"/>
      <c r="O728" s="27"/>
      <c r="P728" s="27"/>
      <c r="Q728" s="27"/>
    </row>
    <row r="729">
      <c r="N729" s="27"/>
      <c r="O729" s="27"/>
      <c r="P729" s="27"/>
      <c r="Q729" s="27"/>
    </row>
    <row r="730">
      <c r="N730" s="27"/>
      <c r="O730" s="27"/>
      <c r="P730" s="27"/>
      <c r="Q730" s="27"/>
    </row>
    <row r="731">
      <c r="N731" s="27"/>
      <c r="O731" s="27"/>
      <c r="P731" s="27"/>
      <c r="Q731" s="27"/>
    </row>
    <row r="732">
      <c r="N732" s="27"/>
      <c r="O732" s="27"/>
      <c r="P732" s="27"/>
      <c r="Q732" s="27"/>
    </row>
    <row r="733">
      <c r="N733" s="27"/>
      <c r="O733" s="27"/>
      <c r="P733" s="27"/>
      <c r="Q733" s="27"/>
    </row>
    <row r="734">
      <c r="N734" s="27"/>
      <c r="O734" s="27"/>
      <c r="P734" s="27"/>
      <c r="Q734" s="27"/>
    </row>
    <row r="735">
      <c r="N735" s="27"/>
      <c r="O735" s="27"/>
      <c r="P735" s="27"/>
      <c r="Q735" s="27"/>
    </row>
    <row r="736">
      <c r="N736" s="27"/>
      <c r="O736" s="27"/>
      <c r="P736" s="27"/>
      <c r="Q736" s="27"/>
    </row>
    <row r="737">
      <c r="N737" s="27"/>
      <c r="O737" s="27"/>
      <c r="P737" s="27"/>
      <c r="Q737" s="27"/>
    </row>
    <row r="738">
      <c r="N738" s="27"/>
      <c r="O738" s="27"/>
      <c r="P738" s="27"/>
      <c r="Q738" s="27"/>
    </row>
    <row r="739">
      <c r="N739" s="27"/>
      <c r="O739" s="27"/>
      <c r="P739" s="27"/>
      <c r="Q739" s="27"/>
    </row>
    <row r="740">
      <c r="N740" s="27"/>
      <c r="O740" s="27"/>
      <c r="P740" s="27"/>
      <c r="Q740" s="27"/>
    </row>
    <row r="741">
      <c r="N741" s="27"/>
      <c r="O741" s="27"/>
      <c r="P741" s="27"/>
      <c r="Q741" s="27"/>
    </row>
    <row r="742">
      <c r="N742" s="27"/>
      <c r="O742" s="27"/>
      <c r="P742" s="27"/>
      <c r="Q742" s="27"/>
    </row>
    <row r="743">
      <c r="N743" s="27"/>
      <c r="O743" s="27"/>
      <c r="P743" s="27"/>
      <c r="Q743" s="27"/>
    </row>
    <row r="744">
      <c r="N744" s="27"/>
      <c r="O744" s="27"/>
      <c r="P744" s="27"/>
      <c r="Q744" s="27"/>
    </row>
    <row r="745">
      <c r="N745" s="27"/>
      <c r="O745" s="27"/>
      <c r="P745" s="27"/>
      <c r="Q745" s="27"/>
    </row>
    <row r="746">
      <c r="N746" s="27"/>
      <c r="O746" s="27"/>
      <c r="P746" s="27"/>
      <c r="Q746" s="27"/>
    </row>
    <row r="747">
      <c r="N747" s="27"/>
      <c r="O747" s="27"/>
      <c r="P747" s="27"/>
      <c r="Q747" s="27"/>
    </row>
    <row r="748">
      <c r="N748" s="27"/>
      <c r="O748" s="27"/>
      <c r="P748" s="27"/>
      <c r="Q748" s="27"/>
    </row>
    <row r="749">
      <c r="N749" s="27"/>
      <c r="O749" s="27"/>
      <c r="P749" s="27"/>
      <c r="Q749" s="27"/>
    </row>
    <row r="750">
      <c r="N750" s="27"/>
      <c r="O750" s="27"/>
      <c r="P750" s="27"/>
      <c r="Q750" s="27"/>
    </row>
    <row r="751">
      <c r="N751" s="27"/>
      <c r="O751" s="27"/>
      <c r="P751" s="27"/>
      <c r="Q751" s="27"/>
    </row>
    <row r="752">
      <c r="N752" s="27"/>
      <c r="O752" s="27"/>
      <c r="P752" s="27"/>
      <c r="Q752" s="27"/>
    </row>
    <row r="753">
      <c r="N753" s="27"/>
      <c r="O753" s="27"/>
      <c r="P753" s="27"/>
      <c r="Q753" s="27"/>
    </row>
    <row r="754">
      <c r="N754" s="27"/>
      <c r="O754" s="27"/>
      <c r="P754" s="27"/>
      <c r="Q754" s="27"/>
    </row>
    <row r="755">
      <c r="N755" s="27"/>
      <c r="O755" s="27"/>
      <c r="P755" s="27"/>
      <c r="Q755" s="27"/>
    </row>
    <row r="756">
      <c r="N756" s="27"/>
      <c r="O756" s="27"/>
      <c r="P756" s="27"/>
      <c r="Q756" s="27"/>
    </row>
    <row r="757">
      <c r="N757" s="27"/>
      <c r="O757" s="27"/>
      <c r="P757" s="27"/>
      <c r="Q757" s="27"/>
    </row>
    <row r="758">
      <c r="N758" s="27"/>
      <c r="O758" s="27"/>
      <c r="P758" s="27"/>
      <c r="Q758" s="27"/>
    </row>
    <row r="759">
      <c r="N759" s="27"/>
      <c r="O759" s="27"/>
      <c r="P759" s="27"/>
      <c r="Q759" s="27"/>
    </row>
    <row r="760">
      <c r="N760" s="27"/>
      <c r="O760" s="27"/>
      <c r="P760" s="27"/>
      <c r="Q760" s="27"/>
    </row>
    <row r="761">
      <c r="N761" s="27"/>
      <c r="O761" s="27"/>
      <c r="P761" s="27"/>
      <c r="Q761" s="27"/>
    </row>
    <row r="762">
      <c r="N762" s="27"/>
      <c r="O762" s="27"/>
      <c r="P762" s="27"/>
      <c r="Q762" s="27"/>
    </row>
    <row r="763">
      <c r="N763" s="27"/>
      <c r="O763" s="27"/>
      <c r="P763" s="27"/>
      <c r="Q763" s="27"/>
    </row>
    <row r="764">
      <c r="N764" s="27"/>
      <c r="O764" s="27"/>
      <c r="P764" s="27"/>
      <c r="Q764" s="27"/>
    </row>
    <row r="765">
      <c r="N765" s="27"/>
      <c r="O765" s="27"/>
      <c r="P765" s="27"/>
      <c r="Q765" s="27"/>
    </row>
    <row r="766">
      <c r="N766" s="27"/>
      <c r="O766" s="27"/>
      <c r="P766" s="27"/>
      <c r="Q766" s="27"/>
    </row>
    <row r="767">
      <c r="N767" s="27"/>
      <c r="O767" s="27"/>
      <c r="P767" s="27"/>
      <c r="Q767" s="27"/>
    </row>
    <row r="768">
      <c r="N768" s="27"/>
      <c r="O768" s="27"/>
      <c r="P768" s="27"/>
      <c r="Q768" s="27"/>
    </row>
    <row r="769">
      <c r="N769" s="27"/>
      <c r="O769" s="27"/>
      <c r="P769" s="27"/>
      <c r="Q769" s="27"/>
    </row>
    <row r="770">
      <c r="N770" s="27"/>
      <c r="O770" s="27"/>
      <c r="P770" s="27"/>
      <c r="Q770" s="27"/>
    </row>
    <row r="771">
      <c r="N771" s="27"/>
      <c r="O771" s="27"/>
      <c r="P771" s="27"/>
      <c r="Q771" s="27"/>
    </row>
    <row r="772">
      <c r="N772" s="27"/>
      <c r="O772" s="27"/>
      <c r="P772" s="27"/>
      <c r="Q772" s="27"/>
    </row>
    <row r="773">
      <c r="N773" s="27"/>
      <c r="O773" s="27"/>
      <c r="P773" s="27"/>
      <c r="Q773" s="27"/>
    </row>
    <row r="774">
      <c r="N774" s="27"/>
      <c r="O774" s="27"/>
      <c r="P774" s="27"/>
      <c r="Q774" s="27"/>
    </row>
    <row r="775">
      <c r="N775" s="27"/>
      <c r="O775" s="27"/>
      <c r="P775" s="27"/>
      <c r="Q775" s="27"/>
    </row>
    <row r="776">
      <c r="N776" s="27"/>
      <c r="O776" s="27"/>
      <c r="P776" s="27"/>
      <c r="Q776" s="27"/>
    </row>
    <row r="777">
      <c r="N777" s="27"/>
      <c r="O777" s="27"/>
      <c r="P777" s="27"/>
      <c r="Q777" s="27"/>
    </row>
    <row r="778">
      <c r="N778" s="27"/>
      <c r="O778" s="27"/>
      <c r="P778" s="27"/>
      <c r="Q778" s="27"/>
    </row>
    <row r="779">
      <c r="N779" s="27"/>
      <c r="O779" s="27"/>
      <c r="P779" s="27"/>
      <c r="Q779" s="27"/>
    </row>
    <row r="780">
      <c r="N780" s="27"/>
      <c r="O780" s="27"/>
      <c r="P780" s="27"/>
      <c r="Q780" s="27"/>
    </row>
    <row r="781">
      <c r="N781" s="27"/>
      <c r="O781" s="27"/>
      <c r="P781" s="27"/>
      <c r="Q781" s="27"/>
    </row>
    <row r="782">
      <c r="N782" s="27"/>
      <c r="O782" s="27"/>
      <c r="P782" s="27"/>
      <c r="Q782" s="27"/>
    </row>
    <row r="783">
      <c r="N783" s="27"/>
      <c r="O783" s="27"/>
      <c r="P783" s="27"/>
      <c r="Q783" s="27"/>
    </row>
    <row r="784">
      <c r="N784" s="27"/>
      <c r="O784" s="27"/>
      <c r="P784" s="27"/>
      <c r="Q784" s="27"/>
    </row>
    <row r="785">
      <c r="N785" s="27"/>
      <c r="O785" s="27"/>
      <c r="P785" s="27"/>
      <c r="Q785" s="27"/>
    </row>
    <row r="786">
      <c r="N786" s="27"/>
      <c r="O786" s="27"/>
      <c r="P786" s="27"/>
      <c r="Q786" s="27"/>
    </row>
    <row r="787">
      <c r="N787" s="27"/>
      <c r="O787" s="27"/>
      <c r="P787" s="27"/>
      <c r="Q787" s="27"/>
    </row>
    <row r="788">
      <c r="N788" s="27"/>
      <c r="O788" s="27"/>
      <c r="P788" s="27"/>
      <c r="Q788" s="27"/>
    </row>
    <row r="789">
      <c r="N789" s="27"/>
      <c r="O789" s="27"/>
      <c r="P789" s="27"/>
      <c r="Q789" s="27"/>
    </row>
    <row r="790">
      <c r="N790" s="27"/>
      <c r="O790" s="27"/>
      <c r="P790" s="27"/>
      <c r="Q790" s="27"/>
    </row>
    <row r="791">
      <c r="N791" s="27"/>
      <c r="O791" s="27"/>
      <c r="P791" s="27"/>
      <c r="Q791" s="27"/>
    </row>
    <row r="792">
      <c r="N792" s="27"/>
      <c r="O792" s="27"/>
      <c r="P792" s="27"/>
      <c r="Q792" s="27"/>
    </row>
    <row r="793">
      <c r="N793" s="27"/>
      <c r="O793" s="27"/>
      <c r="P793" s="27"/>
      <c r="Q793" s="27"/>
    </row>
    <row r="794">
      <c r="N794" s="27"/>
      <c r="O794" s="27"/>
      <c r="P794" s="27"/>
      <c r="Q794" s="27"/>
    </row>
    <row r="795">
      <c r="N795" s="27"/>
      <c r="O795" s="27"/>
      <c r="P795" s="27"/>
      <c r="Q795" s="27"/>
    </row>
    <row r="796">
      <c r="N796" s="27"/>
      <c r="O796" s="27"/>
      <c r="P796" s="27"/>
      <c r="Q796" s="27"/>
    </row>
    <row r="797">
      <c r="N797" s="27"/>
      <c r="O797" s="27"/>
      <c r="P797" s="27"/>
      <c r="Q797" s="27"/>
    </row>
    <row r="798">
      <c r="N798" s="27"/>
      <c r="O798" s="27"/>
      <c r="P798" s="27"/>
      <c r="Q798" s="27"/>
    </row>
    <row r="799">
      <c r="N799" s="27"/>
      <c r="O799" s="27"/>
      <c r="P799" s="27"/>
      <c r="Q799" s="27"/>
    </row>
    <row r="800">
      <c r="N800" s="27"/>
      <c r="O800" s="27"/>
      <c r="P800" s="27"/>
      <c r="Q800" s="27"/>
    </row>
    <row r="801">
      <c r="N801" s="27"/>
      <c r="O801" s="27"/>
      <c r="P801" s="27"/>
      <c r="Q801" s="27"/>
    </row>
    <row r="802">
      <c r="N802" s="27"/>
      <c r="O802" s="27"/>
      <c r="P802" s="27"/>
      <c r="Q802" s="27"/>
    </row>
    <row r="803">
      <c r="N803" s="27"/>
      <c r="O803" s="27"/>
      <c r="P803" s="27"/>
      <c r="Q803" s="27"/>
    </row>
    <row r="804">
      <c r="N804" s="27"/>
      <c r="O804" s="27"/>
      <c r="P804" s="27"/>
      <c r="Q804" s="27"/>
    </row>
    <row r="805">
      <c r="N805" s="27"/>
      <c r="O805" s="27"/>
      <c r="P805" s="27"/>
      <c r="Q805" s="27"/>
    </row>
    <row r="806">
      <c r="N806" s="27"/>
      <c r="O806" s="27"/>
      <c r="P806" s="27"/>
      <c r="Q806" s="27"/>
    </row>
    <row r="807">
      <c r="N807" s="27"/>
      <c r="O807" s="27"/>
      <c r="P807" s="27"/>
      <c r="Q807" s="27"/>
    </row>
    <row r="808">
      <c r="N808" s="27"/>
      <c r="O808" s="27"/>
      <c r="P808" s="27"/>
      <c r="Q808" s="27"/>
    </row>
    <row r="809">
      <c r="N809" s="27"/>
      <c r="O809" s="27"/>
      <c r="P809" s="27"/>
      <c r="Q809" s="27"/>
    </row>
    <row r="810">
      <c r="N810" s="27"/>
      <c r="O810" s="27"/>
      <c r="P810" s="27"/>
      <c r="Q810" s="27"/>
    </row>
    <row r="811">
      <c r="N811" s="27"/>
      <c r="O811" s="27"/>
      <c r="P811" s="27"/>
      <c r="Q811" s="27"/>
    </row>
    <row r="812">
      <c r="N812" s="27"/>
      <c r="O812" s="27"/>
      <c r="P812" s="27"/>
      <c r="Q812" s="27"/>
    </row>
    <row r="813">
      <c r="N813" s="27"/>
      <c r="O813" s="27"/>
      <c r="P813" s="27"/>
      <c r="Q813" s="27"/>
    </row>
    <row r="814">
      <c r="N814" s="27"/>
      <c r="O814" s="27"/>
      <c r="P814" s="27"/>
      <c r="Q814" s="27"/>
    </row>
    <row r="815">
      <c r="N815" s="27"/>
      <c r="O815" s="27"/>
      <c r="P815" s="27"/>
      <c r="Q815" s="27"/>
    </row>
    <row r="816">
      <c r="N816" s="27"/>
      <c r="O816" s="27"/>
      <c r="P816" s="27"/>
      <c r="Q816" s="27"/>
    </row>
    <row r="817">
      <c r="N817" s="27"/>
      <c r="O817" s="27"/>
      <c r="P817" s="27"/>
      <c r="Q817" s="27"/>
    </row>
    <row r="818">
      <c r="N818" s="27"/>
      <c r="O818" s="27"/>
      <c r="P818" s="27"/>
      <c r="Q818" s="27"/>
    </row>
    <row r="819">
      <c r="N819" s="27"/>
      <c r="O819" s="27"/>
      <c r="P819" s="27"/>
      <c r="Q819" s="27"/>
    </row>
    <row r="820">
      <c r="N820" s="27"/>
      <c r="O820" s="27"/>
      <c r="P820" s="27"/>
      <c r="Q820" s="27"/>
    </row>
    <row r="821">
      <c r="N821" s="27"/>
      <c r="O821" s="27"/>
      <c r="P821" s="27"/>
      <c r="Q821" s="27"/>
    </row>
    <row r="822">
      <c r="N822" s="27"/>
      <c r="O822" s="27"/>
      <c r="P822" s="27"/>
      <c r="Q822" s="27"/>
    </row>
    <row r="823">
      <c r="N823" s="27"/>
      <c r="O823" s="27"/>
      <c r="P823" s="27"/>
      <c r="Q823" s="27"/>
    </row>
    <row r="824">
      <c r="N824" s="27"/>
      <c r="O824" s="27"/>
      <c r="P824" s="27"/>
      <c r="Q824" s="27"/>
    </row>
    <row r="825">
      <c r="N825" s="27"/>
      <c r="O825" s="27"/>
      <c r="P825" s="27"/>
      <c r="Q825" s="27"/>
    </row>
    <row r="826">
      <c r="N826" s="27"/>
      <c r="O826" s="27"/>
      <c r="P826" s="27"/>
      <c r="Q826" s="27"/>
    </row>
    <row r="827">
      <c r="N827" s="27"/>
      <c r="O827" s="27"/>
      <c r="P827" s="27"/>
      <c r="Q827" s="27"/>
    </row>
    <row r="828">
      <c r="N828" s="27"/>
      <c r="O828" s="27"/>
      <c r="P828" s="27"/>
      <c r="Q828" s="27"/>
    </row>
    <row r="829">
      <c r="N829" s="27"/>
      <c r="O829" s="27"/>
      <c r="P829" s="27"/>
      <c r="Q829" s="27"/>
    </row>
    <row r="830">
      <c r="N830" s="27"/>
      <c r="O830" s="27"/>
      <c r="P830" s="27"/>
      <c r="Q830" s="27"/>
    </row>
    <row r="831">
      <c r="N831" s="27"/>
      <c r="O831" s="27"/>
      <c r="P831" s="27"/>
      <c r="Q831" s="27"/>
    </row>
    <row r="832">
      <c r="N832" s="27"/>
      <c r="O832" s="27"/>
      <c r="P832" s="27"/>
      <c r="Q832" s="27"/>
    </row>
    <row r="833">
      <c r="N833" s="27"/>
      <c r="O833" s="27"/>
      <c r="P833" s="27"/>
      <c r="Q833" s="27"/>
    </row>
    <row r="834">
      <c r="N834" s="27"/>
      <c r="O834" s="27"/>
      <c r="P834" s="27"/>
      <c r="Q834" s="27"/>
    </row>
    <row r="835">
      <c r="N835" s="27"/>
      <c r="O835" s="27"/>
      <c r="P835" s="27"/>
      <c r="Q835" s="27"/>
    </row>
    <row r="836">
      <c r="N836" s="27"/>
      <c r="O836" s="27"/>
      <c r="P836" s="27"/>
      <c r="Q836" s="27"/>
    </row>
    <row r="837">
      <c r="N837" s="27"/>
      <c r="O837" s="27"/>
      <c r="P837" s="27"/>
      <c r="Q837" s="27"/>
    </row>
    <row r="838">
      <c r="N838" s="27"/>
      <c r="O838" s="27"/>
      <c r="P838" s="27"/>
      <c r="Q838" s="27"/>
    </row>
    <row r="839">
      <c r="N839" s="27"/>
      <c r="O839" s="27"/>
      <c r="P839" s="27"/>
      <c r="Q839" s="27"/>
    </row>
    <row r="840">
      <c r="N840" s="27"/>
      <c r="O840" s="27"/>
      <c r="P840" s="27"/>
      <c r="Q840" s="27"/>
    </row>
    <row r="841">
      <c r="N841" s="27"/>
      <c r="O841" s="27"/>
      <c r="P841" s="27"/>
      <c r="Q841" s="27"/>
    </row>
    <row r="842">
      <c r="N842" s="27"/>
      <c r="O842" s="27"/>
      <c r="P842" s="27"/>
      <c r="Q842" s="27"/>
    </row>
    <row r="843">
      <c r="N843" s="27"/>
      <c r="O843" s="27"/>
      <c r="P843" s="27"/>
      <c r="Q843" s="27"/>
    </row>
    <row r="844">
      <c r="N844" s="27"/>
      <c r="O844" s="27"/>
      <c r="P844" s="27"/>
      <c r="Q844" s="27"/>
    </row>
    <row r="845">
      <c r="N845" s="27"/>
      <c r="O845" s="27"/>
      <c r="P845" s="27"/>
      <c r="Q845" s="27"/>
    </row>
    <row r="846">
      <c r="N846" s="27"/>
      <c r="O846" s="27"/>
      <c r="P846" s="27"/>
      <c r="Q846" s="27"/>
    </row>
    <row r="847">
      <c r="N847" s="27"/>
      <c r="O847" s="27"/>
      <c r="P847" s="27"/>
      <c r="Q847" s="27"/>
    </row>
    <row r="848">
      <c r="N848" s="27"/>
      <c r="O848" s="27"/>
      <c r="P848" s="27"/>
      <c r="Q848" s="27"/>
    </row>
    <row r="849">
      <c r="N849" s="27"/>
      <c r="O849" s="27"/>
      <c r="P849" s="27"/>
      <c r="Q849" s="27"/>
    </row>
    <row r="850">
      <c r="N850" s="27"/>
      <c r="O850" s="27"/>
      <c r="P850" s="27"/>
      <c r="Q850" s="27"/>
    </row>
    <row r="851">
      <c r="N851" s="27"/>
      <c r="O851" s="27"/>
      <c r="P851" s="27"/>
      <c r="Q851" s="27"/>
    </row>
    <row r="852">
      <c r="N852" s="27"/>
      <c r="O852" s="27"/>
      <c r="P852" s="27"/>
      <c r="Q852" s="27"/>
    </row>
    <row r="853">
      <c r="N853" s="27"/>
      <c r="O853" s="27"/>
      <c r="P853" s="27"/>
      <c r="Q853" s="27"/>
    </row>
    <row r="854">
      <c r="N854" s="27"/>
      <c r="O854" s="27"/>
      <c r="P854" s="27"/>
      <c r="Q854" s="27"/>
    </row>
    <row r="855">
      <c r="N855" s="27"/>
      <c r="O855" s="27"/>
      <c r="P855" s="27"/>
      <c r="Q855" s="27"/>
    </row>
    <row r="856">
      <c r="N856" s="27"/>
      <c r="O856" s="27"/>
      <c r="P856" s="27"/>
      <c r="Q856" s="27"/>
    </row>
    <row r="857">
      <c r="N857" s="27"/>
      <c r="O857" s="27"/>
      <c r="P857" s="27"/>
      <c r="Q857" s="27"/>
    </row>
    <row r="858">
      <c r="N858" s="27"/>
      <c r="O858" s="27"/>
      <c r="P858" s="27"/>
      <c r="Q858" s="27"/>
    </row>
    <row r="859">
      <c r="N859" s="27"/>
      <c r="O859" s="27"/>
      <c r="P859" s="27"/>
      <c r="Q859" s="27"/>
    </row>
    <row r="860">
      <c r="N860" s="27"/>
      <c r="O860" s="27"/>
      <c r="P860" s="27"/>
      <c r="Q860" s="27"/>
    </row>
    <row r="861">
      <c r="N861" s="27"/>
      <c r="O861" s="27"/>
      <c r="P861" s="27"/>
      <c r="Q861" s="27"/>
    </row>
    <row r="862">
      <c r="N862" s="27"/>
      <c r="O862" s="27"/>
      <c r="P862" s="27"/>
      <c r="Q862" s="27"/>
    </row>
    <row r="863">
      <c r="N863" s="27"/>
      <c r="O863" s="27"/>
      <c r="P863" s="27"/>
      <c r="Q863" s="27"/>
    </row>
    <row r="864">
      <c r="N864" s="27"/>
      <c r="O864" s="27"/>
      <c r="P864" s="27"/>
      <c r="Q864" s="27"/>
    </row>
    <row r="865">
      <c r="N865" s="27"/>
      <c r="O865" s="27"/>
      <c r="P865" s="27"/>
      <c r="Q865" s="27"/>
    </row>
    <row r="866">
      <c r="N866" s="27"/>
      <c r="O866" s="27"/>
      <c r="P866" s="27"/>
      <c r="Q866" s="27"/>
    </row>
    <row r="867">
      <c r="N867" s="27"/>
      <c r="O867" s="27"/>
      <c r="P867" s="27"/>
      <c r="Q867" s="27"/>
    </row>
    <row r="868">
      <c r="N868" s="27"/>
      <c r="O868" s="27"/>
      <c r="P868" s="27"/>
      <c r="Q868" s="27"/>
    </row>
    <row r="869">
      <c r="N869" s="27"/>
      <c r="O869" s="27"/>
      <c r="P869" s="27"/>
      <c r="Q869" s="27"/>
    </row>
    <row r="870">
      <c r="N870" s="27"/>
      <c r="O870" s="27"/>
      <c r="P870" s="27"/>
      <c r="Q870" s="27"/>
    </row>
    <row r="871">
      <c r="N871" s="27"/>
      <c r="O871" s="27"/>
      <c r="P871" s="27"/>
      <c r="Q871" s="27"/>
    </row>
    <row r="872">
      <c r="N872" s="27"/>
      <c r="O872" s="27"/>
      <c r="P872" s="27"/>
      <c r="Q872" s="27"/>
    </row>
    <row r="873">
      <c r="N873" s="27"/>
      <c r="O873" s="27"/>
      <c r="P873" s="27"/>
      <c r="Q873" s="27"/>
    </row>
    <row r="874">
      <c r="N874" s="27"/>
      <c r="O874" s="27"/>
      <c r="P874" s="27"/>
      <c r="Q874" s="27"/>
    </row>
    <row r="875">
      <c r="N875" s="27"/>
      <c r="O875" s="27"/>
      <c r="P875" s="27"/>
      <c r="Q875" s="27"/>
    </row>
    <row r="876">
      <c r="N876" s="27"/>
      <c r="O876" s="27"/>
      <c r="P876" s="27"/>
      <c r="Q876" s="27"/>
    </row>
    <row r="877">
      <c r="N877" s="27"/>
      <c r="O877" s="27"/>
      <c r="P877" s="27"/>
      <c r="Q877" s="27"/>
    </row>
    <row r="878">
      <c r="N878" s="27"/>
      <c r="O878" s="27"/>
      <c r="P878" s="27"/>
      <c r="Q878" s="27"/>
    </row>
    <row r="879">
      <c r="N879" s="27"/>
      <c r="O879" s="27"/>
      <c r="P879" s="27"/>
      <c r="Q879" s="27"/>
    </row>
    <row r="880">
      <c r="N880" s="27"/>
      <c r="O880" s="27"/>
      <c r="P880" s="27"/>
      <c r="Q880" s="27"/>
    </row>
    <row r="881">
      <c r="N881" s="27"/>
      <c r="O881" s="27"/>
      <c r="P881" s="27"/>
      <c r="Q881" s="27"/>
    </row>
    <row r="882">
      <c r="N882" s="27"/>
      <c r="O882" s="27"/>
      <c r="P882" s="27"/>
      <c r="Q882" s="27"/>
    </row>
    <row r="883">
      <c r="N883" s="27"/>
      <c r="O883" s="27"/>
      <c r="P883" s="27"/>
      <c r="Q883" s="27"/>
    </row>
    <row r="884">
      <c r="N884" s="27"/>
      <c r="O884" s="27"/>
      <c r="P884" s="27"/>
      <c r="Q884" s="27"/>
    </row>
    <row r="885">
      <c r="N885" s="27"/>
      <c r="O885" s="27"/>
      <c r="P885" s="27"/>
      <c r="Q885" s="27"/>
    </row>
    <row r="886">
      <c r="N886" s="27"/>
      <c r="O886" s="27"/>
      <c r="P886" s="27"/>
      <c r="Q886" s="27"/>
    </row>
    <row r="887">
      <c r="N887" s="27"/>
      <c r="O887" s="27"/>
      <c r="P887" s="27"/>
      <c r="Q887" s="27"/>
    </row>
    <row r="888">
      <c r="N888" s="27"/>
      <c r="O888" s="27"/>
      <c r="P888" s="27"/>
      <c r="Q888" s="27"/>
    </row>
    <row r="889">
      <c r="N889" s="27"/>
      <c r="O889" s="27"/>
      <c r="P889" s="27"/>
      <c r="Q889" s="27"/>
    </row>
    <row r="890">
      <c r="N890" s="27"/>
      <c r="O890" s="27"/>
      <c r="P890" s="27"/>
      <c r="Q890" s="27"/>
    </row>
    <row r="891">
      <c r="N891" s="27"/>
      <c r="O891" s="27"/>
      <c r="P891" s="27"/>
      <c r="Q891" s="27"/>
    </row>
    <row r="892">
      <c r="N892" s="27"/>
      <c r="O892" s="27"/>
      <c r="P892" s="27"/>
      <c r="Q892" s="27"/>
    </row>
    <row r="893">
      <c r="N893" s="27"/>
      <c r="O893" s="27"/>
      <c r="P893" s="27"/>
      <c r="Q893" s="27"/>
    </row>
    <row r="894">
      <c r="N894" s="27"/>
      <c r="O894" s="27"/>
      <c r="P894" s="27"/>
      <c r="Q894" s="27"/>
    </row>
    <row r="895">
      <c r="N895" s="27"/>
      <c r="O895" s="27"/>
      <c r="P895" s="27"/>
      <c r="Q895" s="27"/>
    </row>
    <row r="896">
      <c r="N896" s="27"/>
      <c r="O896" s="27"/>
      <c r="P896" s="27"/>
      <c r="Q896" s="27"/>
    </row>
    <row r="897">
      <c r="N897" s="27"/>
      <c r="O897" s="27"/>
      <c r="P897" s="27"/>
      <c r="Q897" s="27"/>
    </row>
    <row r="898">
      <c r="N898" s="27"/>
      <c r="O898" s="27"/>
      <c r="P898" s="27"/>
      <c r="Q898" s="27"/>
    </row>
    <row r="899">
      <c r="N899" s="27"/>
      <c r="O899" s="27"/>
      <c r="P899" s="27"/>
      <c r="Q899" s="27"/>
    </row>
    <row r="900">
      <c r="N900" s="27"/>
      <c r="O900" s="27"/>
      <c r="P900" s="27"/>
      <c r="Q900" s="27"/>
    </row>
    <row r="901">
      <c r="N901" s="27"/>
      <c r="O901" s="27"/>
      <c r="P901" s="27"/>
      <c r="Q901" s="27"/>
    </row>
    <row r="902">
      <c r="N902" s="27"/>
      <c r="O902" s="27"/>
      <c r="P902" s="27"/>
      <c r="Q902" s="27"/>
    </row>
    <row r="903">
      <c r="N903" s="27"/>
      <c r="O903" s="27"/>
      <c r="P903" s="27"/>
      <c r="Q903" s="27"/>
    </row>
    <row r="904">
      <c r="N904" s="27"/>
      <c r="O904" s="27"/>
      <c r="P904" s="27"/>
      <c r="Q904" s="27"/>
    </row>
    <row r="905">
      <c r="N905" s="27"/>
      <c r="O905" s="27"/>
      <c r="P905" s="27"/>
      <c r="Q905" s="27"/>
    </row>
    <row r="906">
      <c r="N906" s="27"/>
      <c r="O906" s="27"/>
      <c r="P906" s="27"/>
      <c r="Q906" s="27"/>
    </row>
    <row r="907">
      <c r="N907" s="27"/>
      <c r="O907" s="27"/>
      <c r="P907" s="27"/>
      <c r="Q907" s="27"/>
    </row>
    <row r="908">
      <c r="N908" s="27"/>
      <c r="O908" s="27"/>
      <c r="P908" s="27"/>
      <c r="Q908" s="27"/>
    </row>
    <row r="909">
      <c r="N909" s="27"/>
      <c r="O909" s="27"/>
      <c r="P909" s="27"/>
      <c r="Q909" s="27"/>
    </row>
    <row r="910">
      <c r="N910" s="27"/>
      <c r="O910" s="27"/>
      <c r="P910" s="27"/>
      <c r="Q910" s="27"/>
    </row>
    <row r="911">
      <c r="N911" s="27"/>
      <c r="O911" s="27"/>
      <c r="P911" s="27"/>
      <c r="Q911" s="27"/>
    </row>
    <row r="912">
      <c r="N912" s="27"/>
      <c r="O912" s="27"/>
      <c r="P912" s="27"/>
      <c r="Q912" s="27"/>
    </row>
    <row r="913">
      <c r="N913" s="27"/>
      <c r="O913" s="27"/>
      <c r="P913" s="27"/>
      <c r="Q913" s="27"/>
    </row>
    <row r="914">
      <c r="N914" s="27"/>
      <c r="O914" s="27"/>
      <c r="P914" s="27"/>
      <c r="Q914" s="27"/>
    </row>
    <row r="915">
      <c r="N915" s="27"/>
      <c r="O915" s="27"/>
      <c r="P915" s="27"/>
      <c r="Q915" s="27"/>
    </row>
    <row r="916">
      <c r="N916" s="27"/>
      <c r="O916" s="27"/>
      <c r="P916" s="27"/>
      <c r="Q916" s="27"/>
    </row>
    <row r="917">
      <c r="N917" s="27"/>
      <c r="O917" s="27"/>
      <c r="P917" s="27"/>
      <c r="Q917" s="27"/>
    </row>
    <row r="918">
      <c r="N918" s="27"/>
      <c r="O918" s="27"/>
      <c r="P918" s="27"/>
      <c r="Q918" s="27"/>
    </row>
    <row r="919">
      <c r="N919" s="27"/>
      <c r="O919" s="27"/>
      <c r="P919" s="27"/>
      <c r="Q919" s="27"/>
    </row>
    <row r="920">
      <c r="N920" s="27"/>
      <c r="O920" s="27"/>
      <c r="P920" s="27"/>
      <c r="Q920" s="27"/>
    </row>
    <row r="921">
      <c r="N921" s="27"/>
      <c r="O921" s="27"/>
      <c r="P921" s="27"/>
      <c r="Q921" s="27"/>
    </row>
    <row r="922">
      <c r="N922" s="27"/>
      <c r="O922" s="27"/>
      <c r="P922" s="27"/>
      <c r="Q922" s="27"/>
    </row>
    <row r="923">
      <c r="N923" s="27"/>
      <c r="O923" s="27"/>
      <c r="P923" s="27"/>
      <c r="Q923" s="27"/>
    </row>
    <row r="924">
      <c r="N924" s="27"/>
      <c r="O924" s="27"/>
      <c r="P924" s="27"/>
      <c r="Q924" s="27"/>
    </row>
    <row r="925">
      <c r="N925" s="27"/>
      <c r="O925" s="27"/>
      <c r="P925" s="27"/>
      <c r="Q925" s="27"/>
    </row>
    <row r="926">
      <c r="N926" s="27"/>
      <c r="O926" s="27"/>
      <c r="P926" s="27"/>
      <c r="Q926" s="27"/>
    </row>
    <row r="927">
      <c r="N927" s="27"/>
      <c r="O927" s="27"/>
      <c r="P927" s="27"/>
      <c r="Q927" s="27"/>
    </row>
    <row r="928">
      <c r="N928" s="27"/>
      <c r="O928" s="27"/>
      <c r="P928" s="27"/>
      <c r="Q928" s="27"/>
    </row>
    <row r="929">
      <c r="N929" s="27"/>
      <c r="O929" s="27"/>
      <c r="P929" s="27"/>
      <c r="Q929" s="27"/>
    </row>
    <row r="930">
      <c r="N930" s="27"/>
      <c r="O930" s="27"/>
      <c r="P930" s="27"/>
      <c r="Q930" s="27"/>
    </row>
    <row r="931">
      <c r="N931" s="27"/>
      <c r="O931" s="27"/>
      <c r="P931" s="27"/>
      <c r="Q931" s="27"/>
    </row>
    <row r="932">
      <c r="N932" s="27"/>
      <c r="O932" s="27"/>
      <c r="P932" s="27"/>
      <c r="Q932" s="27"/>
    </row>
    <row r="933">
      <c r="N933" s="27"/>
      <c r="O933" s="27"/>
      <c r="P933" s="27"/>
      <c r="Q933" s="27"/>
    </row>
    <row r="934">
      <c r="N934" s="27"/>
      <c r="O934" s="27"/>
      <c r="P934" s="27"/>
      <c r="Q934" s="27"/>
    </row>
    <row r="935">
      <c r="N935" s="27"/>
      <c r="O935" s="27"/>
      <c r="P935" s="27"/>
      <c r="Q935" s="27"/>
    </row>
    <row r="936">
      <c r="N936" s="27"/>
      <c r="O936" s="27"/>
      <c r="P936" s="27"/>
      <c r="Q936" s="27"/>
    </row>
    <row r="937">
      <c r="N937" s="27"/>
      <c r="O937" s="27"/>
      <c r="P937" s="27"/>
      <c r="Q937" s="27"/>
    </row>
    <row r="938">
      <c r="N938" s="27"/>
      <c r="O938" s="27"/>
      <c r="P938" s="27"/>
      <c r="Q938" s="27"/>
    </row>
    <row r="939">
      <c r="N939" s="27"/>
      <c r="O939" s="27"/>
      <c r="P939" s="27"/>
      <c r="Q939" s="27"/>
    </row>
    <row r="940">
      <c r="N940" s="27"/>
      <c r="O940" s="27"/>
      <c r="P940" s="27"/>
      <c r="Q940" s="27"/>
    </row>
    <row r="941">
      <c r="N941" s="27"/>
      <c r="O941" s="27"/>
      <c r="P941" s="27"/>
      <c r="Q941" s="27"/>
    </row>
    <row r="942">
      <c r="N942" s="27"/>
      <c r="O942" s="27"/>
      <c r="P942" s="27"/>
      <c r="Q942" s="27"/>
    </row>
    <row r="943">
      <c r="N943" s="27"/>
      <c r="O943" s="27"/>
      <c r="P943" s="27"/>
      <c r="Q943" s="27"/>
    </row>
    <row r="944">
      <c r="N944" s="27"/>
      <c r="O944" s="27"/>
      <c r="P944" s="27"/>
      <c r="Q944" s="27"/>
    </row>
    <row r="945">
      <c r="N945" s="27"/>
      <c r="O945" s="27"/>
      <c r="P945" s="27"/>
      <c r="Q945" s="27"/>
    </row>
    <row r="946">
      <c r="N946" s="27"/>
      <c r="O946" s="27"/>
      <c r="P946" s="27"/>
      <c r="Q946" s="27"/>
    </row>
    <row r="947">
      <c r="N947" s="27"/>
      <c r="O947" s="27"/>
      <c r="P947" s="27"/>
      <c r="Q947" s="27"/>
    </row>
    <row r="948">
      <c r="N948" s="27"/>
      <c r="O948" s="27"/>
      <c r="P948" s="27"/>
      <c r="Q948" s="27"/>
    </row>
    <row r="949">
      <c r="N949" s="27"/>
      <c r="O949" s="27"/>
      <c r="P949" s="27"/>
      <c r="Q949" s="27"/>
    </row>
    <row r="950">
      <c r="N950" s="27"/>
      <c r="O950" s="27"/>
      <c r="P950" s="27"/>
      <c r="Q950" s="27"/>
    </row>
    <row r="951">
      <c r="N951" s="27"/>
      <c r="O951" s="27"/>
      <c r="P951" s="27"/>
      <c r="Q951" s="27"/>
    </row>
    <row r="952">
      <c r="N952" s="27"/>
      <c r="O952" s="27"/>
      <c r="P952" s="27"/>
      <c r="Q952" s="27"/>
    </row>
    <row r="953">
      <c r="N953" s="27"/>
      <c r="O953" s="27"/>
      <c r="P953" s="27"/>
      <c r="Q953" s="27"/>
    </row>
    <row r="954">
      <c r="N954" s="27"/>
      <c r="O954" s="27"/>
      <c r="P954" s="27"/>
      <c r="Q954" s="27"/>
    </row>
    <row r="955">
      <c r="N955" s="27"/>
      <c r="O955" s="27"/>
      <c r="P955" s="27"/>
      <c r="Q955" s="27"/>
    </row>
    <row r="956">
      <c r="N956" s="27"/>
      <c r="O956" s="27"/>
      <c r="P956" s="27"/>
      <c r="Q956" s="27"/>
    </row>
    <row r="957">
      <c r="N957" s="27"/>
      <c r="O957" s="27"/>
      <c r="P957" s="27"/>
      <c r="Q957" s="27"/>
    </row>
    <row r="958">
      <c r="N958" s="27"/>
      <c r="O958" s="27"/>
      <c r="P958" s="27"/>
      <c r="Q958" s="27"/>
    </row>
    <row r="959">
      <c r="N959" s="27"/>
      <c r="O959" s="27"/>
      <c r="P959" s="27"/>
      <c r="Q959" s="27"/>
    </row>
    <row r="960">
      <c r="N960" s="27"/>
      <c r="O960" s="27"/>
      <c r="P960" s="27"/>
      <c r="Q960" s="27"/>
    </row>
    <row r="961">
      <c r="N961" s="27"/>
      <c r="O961" s="27"/>
      <c r="P961" s="27"/>
      <c r="Q961" s="27"/>
    </row>
    <row r="962">
      <c r="N962" s="27"/>
      <c r="O962" s="27"/>
      <c r="P962" s="27"/>
      <c r="Q962" s="27"/>
    </row>
    <row r="963">
      <c r="N963" s="27"/>
      <c r="O963" s="27"/>
      <c r="P963" s="27"/>
      <c r="Q963" s="27"/>
    </row>
    <row r="964">
      <c r="N964" s="27"/>
      <c r="O964" s="27"/>
      <c r="P964" s="27"/>
      <c r="Q964" s="27"/>
    </row>
    <row r="965">
      <c r="N965" s="27"/>
      <c r="O965" s="27"/>
      <c r="P965" s="27"/>
      <c r="Q965" s="27"/>
    </row>
    <row r="966">
      <c r="N966" s="27"/>
      <c r="O966" s="27"/>
      <c r="P966" s="27"/>
      <c r="Q966" s="27"/>
    </row>
    <row r="967">
      <c r="N967" s="27"/>
      <c r="O967" s="27"/>
      <c r="P967" s="27"/>
      <c r="Q967" s="27"/>
    </row>
    <row r="968">
      <c r="N968" s="27"/>
      <c r="O968" s="27"/>
      <c r="P968" s="27"/>
      <c r="Q968" s="27"/>
    </row>
    <row r="969">
      <c r="N969" s="27"/>
      <c r="O969" s="27"/>
      <c r="P969" s="27"/>
      <c r="Q969" s="27"/>
    </row>
    <row r="970">
      <c r="N970" s="27"/>
      <c r="O970" s="27"/>
      <c r="P970" s="27"/>
      <c r="Q970" s="27"/>
    </row>
    <row r="971">
      <c r="N971" s="27"/>
      <c r="O971" s="27"/>
      <c r="P971" s="27"/>
      <c r="Q971" s="27"/>
    </row>
    <row r="972">
      <c r="N972" s="27"/>
      <c r="O972" s="27"/>
      <c r="P972" s="27"/>
      <c r="Q972" s="27"/>
    </row>
    <row r="973">
      <c r="N973" s="27"/>
      <c r="O973" s="27"/>
      <c r="P973" s="27"/>
      <c r="Q973" s="27"/>
    </row>
    <row r="974">
      <c r="N974" s="27"/>
      <c r="O974" s="27"/>
      <c r="P974" s="27"/>
      <c r="Q974" s="27"/>
    </row>
    <row r="975">
      <c r="N975" s="27"/>
      <c r="O975" s="27"/>
      <c r="P975" s="27"/>
      <c r="Q975" s="27"/>
    </row>
    <row r="976">
      <c r="N976" s="27"/>
      <c r="O976" s="27"/>
      <c r="P976" s="27"/>
      <c r="Q976" s="27"/>
    </row>
    <row r="977">
      <c r="N977" s="27"/>
      <c r="O977" s="27"/>
      <c r="P977" s="27"/>
      <c r="Q977" s="27"/>
    </row>
    <row r="978">
      <c r="N978" s="27"/>
      <c r="O978" s="27"/>
      <c r="P978" s="27"/>
      <c r="Q978" s="27"/>
    </row>
    <row r="979">
      <c r="N979" s="27"/>
      <c r="O979" s="27"/>
      <c r="P979" s="27"/>
      <c r="Q979" s="27"/>
    </row>
    <row r="980">
      <c r="N980" s="27"/>
      <c r="O980" s="27"/>
      <c r="P980" s="27"/>
      <c r="Q980" s="27"/>
    </row>
    <row r="981">
      <c r="N981" s="27"/>
      <c r="O981" s="27"/>
      <c r="P981" s="27"/>
      <c r="Q981" s="27"/>
    </row>
    <row r="982">
      <c r="N982" s="27"/>
      <c r="O982" s="27"/>
      <c r="P982" s="27"/>
      <c r="Q982" s="27"/>
    </row>
    <row r="983">
      <c r="N983" s="27"/>
      <c r="O983" s="27"/>
      <c r="P983" s="27"/>
      <c r="Q983" s="27"/>
    </row>
    <row r="984">
      <c r="N984" s="27"/>
      <c r="O984" s="27"/>
      <c r="P984" s="27"/>
      <c r="Q984" s="27"/>
    </row>
    <row r="985">
      <c r="N985" s="27"/>
      <c r="O985" s="27"/>
      <c r="P985" s="27"/>
      <c r="Q985" s="27"/>
    </row>
    <row r="986">
      <c r="N986" s="27"/>
      <c r="O986" s="27"/>
      <c r="P986" s="27"/>
      <c r="Q986" s="27"/>
    </row>
    <row r="987">
      <c r="N987" s="27"/>
      <c r="O987" s="27"/>
      <c r="P987" s="27"/>
      <c r="Q987" s="27"/>
    </row>
    <row r="988">
      <c r="N988" s="27"/>
      <c r="O988" s="27"/>
      <c r="P988" s="27"/>
      <c r="Q988" s="27"/>
    </row>
    <row r="989">
      <c r="N989" s="27"/>
      <c r="O989" s="27"/>
      <c r="P989" s="27"/>
      <c r="Q989" s="27"/>
    </row>
    <row r="990">
      <c r="N990" s="27"/>
      <c r="O990" s="27"/>
      <c r="P990" s="27"/>
      <c r="Q990" s="27"/>
    </row>
    <row r="991">
      <c r="N991" s="27"/>
      <c r="O991" s="27"/>
      <c r="P991" s="27"/>
      <c r="Q991" s="27"/>
    </row>
    <row r="992">
      <c r="N992" s="27"/>
      <c r="O992" s="27"/>
      <c r="P992" s="27"/>
      <c r="Q992" s="27"/>
    </row>
    <row r="993">
      <c r="N993" s="27"/>
      <c r="O993" s="27"/>
      <c r="P993" s="27"/>
      <c r="Q993" s="27"/>
    </row>
    <row r="994">
      <c r="N994" s="27"/>
      <c r="O994" s="27"/>
      <c r="P994" s="27"/>
      <c r="Q994" s="27"/>
    </row>
    <row r="995">
      <c r="N995" s="27"/>
      <c r="O995" s="27"/>
      <c r="P995" s="27"/>
      <c r="Q995" s="27"/>
    </row>
    <row r="996">
      <c r="N996" s="27"/>
      <c r="O996" s="27"/>
      <c r="P996" s="27"/>
      <c r="Q996" s="27"/>
    </row>
    <row r="997">
      <c r="N997" s="27"/>
      <c r="O997" s="27"/>
      <c r="P997" s="27"/>
      <c r="Q997" s="27"/>
    </row>
    <row r="998">
      <c r="N998" s="27"/>
      <c r="O998" s="27"/>
      <c r="P998" s="27"/>
      <c r="Q998" s="27"/>
    </row>
    <row r="999">
      <c r="N999" s="27"/>
      <c r="O999" s="27"/>
      <c r="P999" s="27"/>
      <c r="Q999" s="27"/>
    </row>
    <row r="1000">
      <c r="N1000" s="27"/>
      <c r="O1000" s="27"/>
      <c r="P1000" s="27"/>
      <c r="Q1000" s="27"/>
    </row>
    <row r="1001">
      <c r="N1001" s="27"/>
      <c r="O1001" s="27"/>
      <c r="P1001" s="27"/>
      <c r="Q1001" s="27"/>
    </row>
    <row r="1002">
      <c r="N1002" s="27"/>
      <c r="O1002" s="27"/>
      <c r="P1002" s="27"/>
      <c r="Q1002" s="27"/>
    </row>
    <row r="1003">
      <c r="N1003" s="27"/>
      <c r="O1003" s="27"/>
      <c r="P1003" s="27"/>
      <c r="Q1003" s="27"/>
    </row>
    <row r="1004">
      <c r="N1004" s="27"/>
      <c r="O1004" s="27"/>
      <c r="P1004" s="27"/>
      <c r="Q1004" s="27"/>
    </row>
  </sheetData>
  <conditionalFormatting sqref="D44:E44 F53:O53">
    <cfRule type="cellIs" dxfId="0" priority="1" operator="lessThan">
      <formula>0</formula>
    </cfRule>
  </conditionalFormatting>
  <conditionalFormatting sqref="D53:E53">
    <cfRule type="cellIs" dxfId="0" priority="2" operator="lessThan">
      <formula>0</formula>
    </cfRule>
  </conditionalFormatting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9.38"/>
    <col hidden="1" min="4" max="8" width="12.63"/>
    <col customWidth="1" min="14" max="14" width="14.0"/>
    <col customWidth="1" min="15" max="15" width="12.75"/>
    <col customWidth="1" min="16" max="17" width="20.63"/>
    <col customWidth="1" min="18" max="18" width="11.25"/>
    <col customWidth="1" min="19" max="19" width="9.25"/>
    <col customWidth="1" min="20" max="21" width="9.5"/>
    <col customWidth="1" min="25" max="25" width="9.88"/>
    <col customWidth="1" min="26" max="26" width="8.13"/>
  </cols>
  <sheetData>
    <row r="1">
      <c r="A1" s="18" t="s">
        <v>346</v>
      </c>
      <c r="B1" s="199" t="s">
        <v>296</v>
      </c>
      <c r="N1" s="107"/>
      <c r="O1" s="107"/>
      <c r="P1" s="107"/>
      <c r="Q1" s="107"/>
    </row>
    <row r="2">
      <c r="B2" s="18" t="s">
        <v>240</v>
      </c>
      <c r="C2" s="249">
        <v>13.0</v>
      </c>
      <c r="N2" s="27"/>
      <c r="O2" s="27"/>
      <c r="P2" s="27"/>
      <c r="Q2" s="27"/>
    </row>
    <row r="3">
      <c r="B3" s="18" t="s">
        <v>241</v>
      </c>
      <c r="C3" s="249">
        <f>62.92</f>
        <v>62.92</v>
      </c>
      <c r="N3" s="107"/>
      <c r="O3" s="107"/>
      <c r="P3" s="107"/>
      <c r="Q3" s="301" t="s">
        <v>325</v>
      </c>
      <c r="R3" s="107"/>
      <c r="V3" s="114">
        <f>4166.67+6417.54</f>
        <v>10584.21</v>
      </c>
    </row>
    <row r="4">
      <c r="B4" s="18" t="s">
        <v>377</v>
      </c>
      <c r="D4" s="249">
        <v>19.9</v>
      </c>
      <c r="N4" s="26"/>
      <c r="O4" s="26"/>
      <c r="P4" s="26"/>
      <c r="Q4" s="302" t="s">
        <v>119</v>
      </c>
      <c r="R4" s="302" t="s">
        <v>120</v>
      </c>
      <c r="S4" s="107"/>
      <c r="V4" s="17"/>
    </row>
    <row r="5">
      <c r="B5" s="18" t="s">
        <v>378</v>
      </c>
      <c r="D5" s="249">
        <v>29.9</v>
      </c>
      <c r="N5" s="107"/>
      <c r="O5" s="107"/>
      <c r="P5" s="107"/>
      <c r="Q5" s="7" t="s">
        <v>347</v>
      </c>
      <c r="R5" s="7" t="s">
        <v>348</v>
      </c>
      <c r="S5" s="107"/>
      <c r="V5" s="17"/>
    </row>
    <row r="6">
      <c r="B6" s="18" t="s">
        <v>242</v>
      </c>
      <c r="C6" s="249">
        <v>13.0</v>
      </c>
      <c r="N6" s="107"/>
      <c r="O6" s="107"/>
      <c r="P6" s="107"/>
      <c r="Q6" s="7" t="s">
        <v>328</v>
      </c>
      <c r="R6" s="7" t="s">
        <v>349</v>
      </c>
      <c r="S6" s="107"/>
      <c r="V6" s="17"/>
    </row>
    <row r="7">
      <c r="B7" s="18" t="s">
        <v>285</v>
      </c>
      <c r="C7" s="249">
        <v>42.0</v>
      </c>
      <c r="N7" s="107"/>
      <c r="O7" s="107"/>
      <c r="P7" s="107"/>
      <c r="Q7" s="7"/>
      <c r="R7" s="7" t="s">
        <v>192</v>
      </c>
      <c r="S7" s="107"/>
      <c r="V7" s="32"/>
    </row>
    <row r="8">
      <c r="B8" s="18" t="s">
        <v>324</v>
      </c>
      <c r="C8" s="249">
        <v>6.0</v>
      </c>
      <c r="S8" s="107"/>
      <c r="V8" s="30"/>
    </row>
    <row r="9">
      <c r="C9" s="276">
        <f>SUM(C2:C8)</f>
        <v>136.92</v>
      </c>
      <c r="S9" s="27"/>
    </row>
    <row r="10">
      <c r="N10" s="18" t="s">
        <v>366</v>
      </c>
      <c r="S10" s="107"/>
    </row>
    <row r="11">
      <c r="B11" s="55" t="s">
        <v>122</v>
      </c>
      <c r="C11" s="56"/>
      <c r="D11" s="254" t="s">
        <v>134</v>
      </c>
      <c r="E11" s="254" t="s">
        <v>123</v>
      </c>
      <c r="F11" s="254" t="s">
        <v>124</v>
      </c>
      <c r="G11" s="254" t="s">
        <v>125</v>
      </c>
      <c r="H11" s="254" t="s">
        <v>126</v>
      </c>
      <c r="I11" s="254" t="s">
        <v>127</v>
      </c>
      <c r="J11" s="254" t="s">
        <v>128</v>
      </c>
      <c r="K11" s="254" t="s">
        <v>129</v>
      </c>
      <c r="L11" s="254" t="s">
        <v>130</v>
      </c>
      <c r="M11" s="254" t="s">
        <v>131</v>
      </c>
      <c r="N11" s="254" t="s">
        <v>132</v>
      </c>
      <c r="O11" s="253" t="s">
        <v>133</v>
      </c>
      <c r="S11" s="107"/>
      <c r="U11" s="18"/>
      <c r="V11" s="18"/>
    </row>
    <row r="12">
      <c r="B12" s="59" t="s">
        <v>129</v>
      </c>
      <c r="C12" s="60"/>
      <c r="D12" s="113">
        <v>8257.5</v>
      </c>
      <c r="E12" s="113">
        <v>8402.25</v>
      </c>
      <c r="F12" s="113">
        <v>8402.25</v>
      </c>
      <c r="G12" s="113">
        <v>8402.25</v>
      </c>
      <c r="H12" s="113">
        <v>8402.26</v>
      </c>
      <c r="I12" s="113">
        <v>8402.25</v>
      </c>
      <c r="J12" s="113">
        <v>8402.25</v>
      </c>
      <c r="K12" s="113">
        <v>8402.25</v>
      </c>
      <c r="L12" s="113">
        <v>8402.26</v>
      </c>
      <c r="M12" s="113">
        <v>8402.26</v>
      </c>
      <c r="N12" s="113">
        <v>8402.26</v>
      </c>
      <c r="O12" s="113">
        <v>8402.26</v>
      </c>
      <c r="S12" s="107"/>
      <c r="U12" s="18"/>
    </row>
    <row r="13">
      <c r="B13" s="59" t="s">
        <v>136</v>
      </c>
      <c r="C13" s="60"/>
      <c r="D13" s="114">
        <f>2040+3294.58</f>
        <v>5334.58</v>
      </c>
      <c r="E13" s="114">
        <f>2040+3421.67</f>
        <v>5461.67</v>
      </c>
      <c r="F13" s="114">
        <v>5721.67</v>
      </c>
      <c r="G13" s="114">
        <f>2160+3065.41+512.46</f>
        <v>5737.87</v>
      </c>
      <c r="H13" s="114">
        <f>2160+3077.41+512.46</f>
        <v>5749.87</v>
      </c>
      <c r="I13" s="114">
        <f>2160+3089.41+512.46</f>
        <v>5761.87</v>
      </c>
      <c r="J13" s="114">
        <f>2160+3070.12+502.75</f>
        <v>5732.87</v>
      </c>
      <c r="K13" s="114">
        <f>2160+2961.12+502.75</f>
        <v>5623.87</v>
      </c>
      <c r="L13" s="114">
        <f>2160+3540.87</f>
        <v>5700.87</v>
      </c>
      <c r="M13" s="114">
        <f>2160+3542.87</f>
        <v>5702.87</v>
      </c>
      <c r="N13" s="114">
        <f>2160+3533.87</f>
        <v>5693.87</v>
      </c>
      <c r="O13" s="114">
        <f>2160+3544.87</f>
        <v>5704.87</v>
      </c>
      <c r="P13" s="407"/>
      <c r="Q13" s="303"/>
      <c r="R13" s="107"/>
      <c r="S13" s="27"/>
      <c r="U13" s="18"/>
    </row>
    <row r="14">
      <c r="B14" s="59" t="s">
        <v>137</v>
      </c>
      <c r="C14" s="60"/>
      <c r="D14" s="313"/>
      <c r="E14" s="114"/>
      <c r="F14" s="114"/>
      <c r="G14" s="114"/>
      <c r="H14" s="114"/>
      <c r="I14" s="114"/>
      <c r="J14" s="114"/>
      <c r="K14" s="114"/>
      <c r="L14" s="115"/>
      <c r="M14" s="114"/>
      <c r="N14" s="114"/>
      <c r="O14" s="114"/>
      <c r="P14" s="363"/>
      <c r="Q14" s="363"/>
      <c r="R14" s="107"/>
      <c r="S14" s="107"/>
      <c r="U14" s="18"/>
    </row>
    <row r="15">
      <c r="B15" s="59" t="s">
        <v>138</v>
      </c>
      <c r="C15" s="60"/>
      <c r="D15" s="348"/>
      <c r="E15" s="117"/>
      <c r="F15" s="117"/>
      <c r="G15" s="114"/>
      <c r="H15" s="114"/>
      <c r="I15" s="114">
        <f>4166.67+6417.54</f>
        <v>10584.21</v>
      </c>
      <c r="J15" s="117"/>
      <c r="K15" s="118"/>
      <c r="L15" s="118"/>
      <c r="M15" s="118"/>
      <c r="N15" s="118"/>
      <c r="O15" s="118"/>
      <c r="P15" s="32"/>
      <c r="Q15" s="32"/>
      <c r="R15" s="107"/>
      <c r="S15" s="107"/>
      <c r="U15" s="18"/>
    </row>
    <row r="16">
      <c r="B16" s="67" t="s">
        <v>139</v>
      </c>
      <c r="C16" s="68"/>
      <c r="D16" s="315">
        <f t="shared" ref="D16:O16" si="1">SUM(D12:D15)</f>
        <v>13592.08</v>
      </c>
      <c r="E16" s="315">
        <f t="shared" si="1"/>
        <v>13863.92</v>
      </c>
      <c r="F16" s="119">
        <f t="shared" si="1"/>
        <v>14123.92</v>
      </c>
      <c r="G16" s="119">
        <f t="shared" si="1"/>
        <v>14140.12</v>
      </c>
      <c r="H16" s="119">
        <f t="shared" si="1"/>
        <v>14152.13</v>
      </c>
      <c r="I16" s="119">
        <f t="shared" si="1"/>
        <v>24748.33</v>
      </c>
      <c r="J16" s="119">
        <f t="shared" si="1"/>
        <v>14135.12</v>
      </c>
      <c r="K16" s="119">
        <f t="shared" si="1"/>
        <v>14026.12</v>
      </c>
      <c r="L16" s="119">
        <f t="shared" si="1"/>
        <v>14103.13</v>
      </c>
      <c r="M16" s="119">
        <f t="shared" si="1"/>
        <v>14105.13</v>
      </c>
      <c r="N16" s="119">
        <f t="shared" si="1"/>
        <v>14096.13</v>
      </c>
      <c r="O16" s="119">
        <f t="shared" si="1"/>
        <v>14107.13</v>
      </c>
      <c r="P16" s="248"/>
      <c r="Q16" s="248"/>
      <c r="U16" s="18"/>
      <c r="X16" s="107"/>
    </row>
    <row r="17">
      <c r="D17" s="311"/>
      <c r="E17" s="311"/>
      <c r="P17" s="32"/>
      <c r="Q17" s="32"/>
      <c r="R17" s="107"/>
      <c r="U17" s="18"/>
      <c r="X17" s="27"/>
    </row>
    <row r="18">
      <c r="B18" s="70" t="s">
        <v>140</v>
      </c>
      <c r="C18" s="71"/>
      <c r="D18" s="316" t="s">
        <v>123</v>
      </c>
      <c r="E18" s="316" t="s">
        <v>124</v>
      </c>
      <c r="F18" s="316" t="s">
        <v>125</v>
      </c>
      <c r="G18" s="316" t="s">
        <v>126</v>
      </c>
      <c r="H18" s="316" t="s">
        <v>127</v>
      </c>
      <c r="I18" s="58" t="s">
        <v>128</v>
      </c>
      <c r="J18" s="58" t="s">
        <v>129</v>
      </c>
      <c r="K18" s="58" t="s">
        <v>130</v>
      </c>
      <c r="L18" s="58" t="s">
        <v>131</v>
      </c>
      <c r="M18" s="58" t="s">
        <v>132</v>
      </c>
      <c r="N18" s="58" t="s">
        <v>133</v>
      </c>
      <c r="O18" s="58" t="s">
        <v>134</v>
      </c>
      <c r="P18" s="107"/>
      <c r="Q18" s="107"/>
      <c r="R18" s="26"/>
      <c r="S18" s="107"/>
      <c r="U18" s="18"/>
    </row>
    <row r="19">
      <c r="B19" s="121" t="s">
        <v>141</v>
      </c>
      <c r="C19" s="122"/>
      <c r="D19" s="378">
        <v>350.0</v>
      </c>
      <c r="E19" s="378">
        <v>350.0</v>
      </c>
      <c r="F19" s="378">
        <v>350.0</v>
      </c>
      <c r="G19" s="378">
        <v>0.0</v>
      </c>
      <c r="H19" s="378">
        <v>350.0</v>
      </c>
      <c r="I19" s="378">
        <v>370.0</v>
      </c>
      <c r="J19" s="378">
        <f t="shared" ref="J19:L19" si="2">I19</f>
        <v>370</v>
      </c>
      <c r="K19" s="378">
        <f t="shared" si="2"/>
        <v>370</v>
      </c>
      <c r="L19" s="378">
        <f t="shared" si="2"/>
        <v>370</v>
      </c>
      <c r="M19" s="378">
        <v>410.0</v>
      </c>
      <c r="N19" s="378">
        <f t="shared" ref="N19:O19" si="3">M19</f>
        <v>410</v>
      </c>
      <c r="O19" s="123">
        <f t="shared" si="3"/>
        <v>410</v>
      </c>
      <c r="P19" s="107"/>
      <c r="Q19" s="107" t="s">
        <v>331</v>
      </c>
      <c r="R19" s="192"/>
      <c r="U19" s="18"/>
    </row>
    <row r="20">
      <c r="B20" s="121" t="s">
        <v>142</v>
      </c>
      <c r="C20" s="122"/>
      <c r="D20" s="378">
        <v>200.0</v>
      </c>
      <c r="E20" s="378">
        <v>200.0</v>
      </c>
      <c r="F20" s="378">
        <v>200.0</v>
      </c>
      <c r="G20" s="378">
        <v>200.0</v>
      </c>
      <c r="H20" s="378">
        <v>200.0</v>
      </c>
      <c r="I20" s="378">
        <v>213.2</v>
      </c>
      <c r="J20" s="378">
        <v>220.0</v>
      </c>
      <c r="K20" s="378">
        <f t="shared" ref="K20:O20" si="4">J20</f>
        <v>220</v>
      </c>
      <c r="L20" s="378">
        <f t="shared" si="4"/>
        <v>220</v>
      </c>
      <c r="M20" s="378">
        <f t="shared" si="4"/>
        <v>220</v>
      </c>
      <c r="N20" s="378">
        <f t="shared" si="4"/>
        <v>220</v>
      </c>
      <c r="O20" s="123">
        <f t="shared" si="4"/>
        <v>220</v>
      </c>
      <c r="P20" s="192"/>
      <c r="Q20" s="192"/>
      <c r="R20" s="26" t="s">
        <v>27</v>
      </c>
      <c r="S20" s="26" t="s">
        <v>274</v>
      </c>
      <c r="T20" s="26" t="s">
        <v>351</v>
      </c>
      <c r="U20" s="26" t="s">
        <v>333</v>
      </c>
      <c r="V20" s="26" t="s">
        <v>367</v>
      </c>
      <c r="W20" s="376" t="s">
        <v>368</v>
      </c>
      <c r="X20" s="26" t="s">
        <v>48</v>
      </c>
      <c r="Y20" s="26" t="s">
        <v>369</v>
      </c>
      <c r="Z20" s="26" t="s">
        <v>380</v>
      </c>
    </row>
    <row r="21">
      <c r="B21" s="121" t="s">
        <v>143</v>
      </c>
      <c r="C21" s="122"/>
      <c r="D21" s="379">
        <v>174.85</v>
      </c>
      <c r="E21" s="379">
        <v>174.85</v>
      </c>
      <c r="F21" s="379">
        <v>174.85</v>
      </c>
      <c r="G21" s="396">
        <v>79.3</v>
      </c>
      <c r="H21" s="396">
        <v>69.9</v>
      </c>
      <c r="I21" s="396">
        <v>139.9</v>
      </c>
      <c r="J21" s="396">
        <v>139.9</v>
      </c>
      <c r="K21" s="379">
        <v>139.9</v>
      </c>
      <c r="L21" s="396">
        <v>139.9</v>
      </c>
      <c r="M21" s="396">
        <v>139.9</v>
      </c>
      <c r="N21" s="396">
        <v>139.9</v>
      </c>
      <c r="O21" s="397">
        <v>139.9</v>
      </c>
      <c r="P21" s="409"/>
      <c r="Q21" s="126" t="s">
        <v>141</v>
      </c>
      <c r="R21" s="398"/>
      <c r="S21" s="400"/>
      <c r="T21" s="374">
        <v>410.0</v>
      </c>
      <c r="U21" s="400"/>
      <c r="V21" s="400"/>
      <c r="W21" s="400"/>
      <c r="X21" s="400"/>
      <c r="Y21" s="400"/>
      <c r="Z21" s="400"/>
    </row>
    <row r="22">
      <c r="B22" s="121" t="s">
        <v>144</v>
      </c>
      <c r="C22" s="122"/>
      <c r="D22" s="378">
        <v>100.0</v>
      </c>
      <c r="E22" s="378">
        <v>100.0</v>
      </c>
      <c r="F22" s="378">
        <v>100.0</v>
      </c>
      <c r="G22" s="378">
        <v>100.0</v>
      </c>
      <c r="H22" s="378">
        <v>100.0</v>
      </c>
      <c r="I22" s="378">
        <f t="shared" ref="I22:O22" si="5">H22</f>
        <v>100</v>
      </c>
      <c r="J22" s="378">
        <f t="shared" si="5"/>
        <v>100</v>
      </c>
      <c r="K22" s="378">
        <f t="shared" si="5"/>
        <v>100</v>
      </c>
      <c r="L22" s="378">
        <f t="shared" si="5"/>
        <v>100</v>
      </c>
      <c r="M22" s="378">
        <f t="shared" si="5"/>
        <v>100</v>
      </c>
      <c r="N22" s="378">
        <f t="shared" si="5"/>
        <v>100</v>
      </c>
      <c r="O22" s="123">
        <f t="shared" si="5"/>
        <v>100</v>
      </c>
      <c r="P22" s="409"/>
      <c r="Q22" s="126" t="s">
        <v>142</v>
      </c>
      <c r="R22" s="398"/>
      <c r="S22" s="400"/>
      <c r="T22" s="374">
        <v>220.0</v>
      </c>
      <c r="U22" s="400"/>
      <c r="V22" s="400"/>
      <c r="W22" s="400"/>
      <c r="X22" s="400"/>
      <c r="Y22" s="400"/>
      <c r="Z22" s="400"/>
    </row>
    <row r="23">
      <c r="B23" s="121" t="s">
        <v>145</v>
      </c>
      <c r="C23" s="122"/>
      <c r="D23" s="378">
        <v>2500.0</v>
      </c>
      <c r="E23" s="378">
        <v>2500.0</v>
      </c>
      <c r="F23" s="378">
        <v>2500.0</v>
      </c>
      <c r="G23" s="378">
        <v>2500.0</v>
      </c>
      <c r="H23" s="378">
        <v>3000.0</v>
      </c>
      <c r="I23" s="378">
        <f t="shared" ref="I23:L23" si="6">H23</f>
        <v>3000</v>
      </c>
      <c r="J23" s="378">
        <f t="shared" si="6"/>
        <v>3000</v>
      </c>
      <c r="K23" s="378">
        <f t="shared" si="6"/>
        <v>3000</v>
      </c>
      <c r="L23" s="378">
        <f t="shared" si="6"/>
        <v>3000</v>
      </c>
      <c r="M23" s="378">
        <v>3004.8</v>
      </c>
      <c r="N23" s="378">
        <f t="shared" ref="N23:O23" si="7">M23</f>
        <v>3004.8</v>
      </c>
      <c r="O23" s="123">
        <f t="shared" si="7"/>
        <v>3004.8</v>
      </c>
      <c r="P23" s="409"/>
      <c r="Q23" s="126" t="s">
        <v>143</v>
      </c>
      <c r="R23" s="398"/>
      <c r="S23" s="400"/>
      <c r="T23" s="374">
        <v>139.9</v>
      </c>
      <c r="U23" s="400"/>
      <c r="V23" s="400"/>
      <c r="W23" s="400"/>
      <c r="X23" s="400"/>
      <c r="Y23" s="400"/>
      <c r="Z23" s="400"/>
    </row>
    <row r="24">
      <c r="B24" s="121" t="s">
        <v>146</v>
      </c>
      <c r="C24" s="126" t="s">
        <v>147</v>
      </c>
      <c r="D24" s="378">
        <v>400.0</v>
      </c>
      <c r="E24" s="378">
        <v>400.0</v>
      </c>
      <c r="F24" s="378">
        <v>404.8</v>
      </c>
      <c r="G24" s="378">
        <v>400.0</v>
      </c>
      <c r="H24" s="378">
        <v>404.8</v>
      </c>
      <c r="I24" s="378">
        <v>404.8</v>
      </c>
      <c r="J24" s="378">
        <v>404.8</v>
      </c>
      <c r="K24" s="378">
        <f t="shared" ref="K24:L24" si="8">J24</f>
        <v>404.8</v>
      </c>
      <c r="L24" s="378">
        <f t="shared" si="8"/>
        <v>404.8</v>
      </c>
      <c r="M24" s="378">
        <v>100.0</v>
      </c>
      <c r="N24" s="378">
        <v>50.0</v>
      </c>
      <c r="O24" s="123">
        <f>N24</f>
        <v>50</v>
      </c>
      <c r="P24" s="409"/>
      <c r="Q24" s="126" t="s">
        <v>144</v>
      </c>
      <c r="R24" s="398"/>
      <c r="S24" s="400"/>
      <c r="T24" s="374">
        <v>100.0</v>
      </c>
      <c r="U24" s="400"/>
      <c r="V24" s="400"/>
      <c r="W24" s="400"/>
      <c r="X24" s="400"/>
      <c r="Y24" s="400"/>
      <c r="Z24" s="400"/>
    </row>
    <row r="25">
      <c r="B25" s="127" t="s">
        <v>180</v>
      </c>
      <c r="C25" s="128"/>
      <c r="D25" s="378">
        <v>0.0</v>
      </c>
      <c r="E25" s="378">
        <v>0.0</v>
      </c>
      <c r="F25" s="378">
        <v>0.0</v>
      </c>
      <c r="G25" s="378">
        <v>0.0</v>
      </c>
      <c r="H25" s="378">
        <v>0.0</v>
      </c>
      <c r="I25" s="378">
        <v>0.0</v>
      </c>
      <c r="J25" s="378">
        <v>0.0</v>
      </c>
      <c r="K25" s="378">
        <v>0.0</v>
      </c>
      <c r="L25" s="378">
        <v>0.0</v>
      </c>
      <c r="M25" s="378">
        <v>400.0</v>
      </c>
      <c r="N25" s="378">
        <v>400.0</v>
      </c>
      <c r="O25" s="123">
        <v>400.0</v>
      </c>
      <c r="P25" s="409"/>
      <c r="Q25" s="126" t="s">
        <v>145</v>
      </c>
      <c r="R25" s="374">
        <v>3004.8</v>
      </c>
      <c r="S25" s="410"/>
      <c r="U25" s="400"/>
      <c r="V25" s="400"/>
      <c r="W25" s="400"/>
      <c r="X25" s="400"/>
      <c r="Y25" s="400"/>
      <c r="Z25" s="400"/>
    </row>
    <row r="26">
      <c r="B26" s="121" t="s">
        <v>148</v>
      </c>
      <c r="C26" s="122"/>
      <c r="D26" s="378">
        <v>500.0</v>
      </c>
      <c r="E26" s="378">
        <v>500.0</v>
      </c>
      <c r="F26" s="378">
        <v>500.0</v>
      </c>
      <c r="G26" s="378">
        <v>500.0</v>
      </c>
      <c r="H26" s="378">
        <v>600.0</v>
      </c>
      <c r="I26" s="378">
        <v>500.0</v>
      </c>
      <c r="J26" s="378">
        <f t="shared" ref="J26:O26" si="9">I26</f>
        <v>500</v>
      </c>
      <c r="K26" s="378">
        <f t="shared" si="9"/>
        <v>500</v>
      </c>
      <c r="L26" s="378">
        <f t="shared" si="9"/>
        <v>500</v>
      </c>
      <c r="M26" s="378">
        <f t="shared" si="9"/>
        <v>500</v>
      </c>
      <c r="N26" s="378">
        <f t="shared" si="9"/>
        <v>500</v>
      </c>
      <c r="O26" s="123">
        <f t="shared" si="9"/>
        <v>500</v>
      </c>
      <c r="P26" s="409"/>
      <c r="Q26" s="126" t="s">
        <v>146</v>
      </c>
      <c r="S26" s="374">
        <v>50.0</v>
      </c>
      <c r="T26" s="404"/>
      <c r="U26" s="400"/>
      <c r="V26" s="400"/>
      <c r="W26" s="400"/>
      <c r="X26" s="400"/>
      <c r="Y26" s="400"/>
      <c r="Z26" s="400"/>
    </row>
    <row r="27">
      <c r="B27" s="121" t="s">
        <v>149</v>
      </c>
      <c r="C27" s="122"/>
      <c r="D27" s="378">
        <v>500.0</v>
      </c>
      <c r="E27" s="378">
        <v>500.0</v>
      </c>
      <c r="F27" s="378">
        <v>500.0</v>
      </c>
      <c r="G27" s="378">
        <v>500.0</v>
      </c>
      <c r="H27" s="378">
        <v>500.0</v>
      </c>
      <c r="I27" s="378">
        <f t="shared" ref="I27:O27" si="10">H27</f>
        <v>500</v>
      </c>
      <c r="J27" s="378">
        <f t="shared" si="10"/>
        <v>500</v>
      </c>
      <c r="K27" s="378">
        <f t="shared" si="10"/>
        <v>500</v>
      </c>
      <c r="L27" s="378">
        <f t="shared" si="10"/>
        <v>500</v>
      </c>
      <c r="M27" s="378">
        <f t="shared" si="10"/>
        <v>500</v>
      </c>
      <c r="N27" s="378">
        <f t="shared" si="10"/>
        <v>500</v>
      </c>
      <c r="O27" s="123">
        <f t="shared" si="10"/>
        <v>500</v>
      </c>
      <c r="P27" s="409"/>
      <c r="Q27" s="389" t="s">
        <v>180</v>
      </c>
      <c r="S27" s="374"/>
      <c r="T27" s="404"/>
      <c r="U27" s="400"/>
      <c r="V27" s="400"/>
      <c r="W27" s="400"/>
      <c r="X27" s="400"/>
      <c r="Y27" s="404"/>
      <c r="Z27" s="374">
        <v>400.0</v>
      </c>
    </row>
    <row r="28">
      <c r="B28" s="127" t="s">
        <v>181</v>
      </c>
      <c r="C28" s="128"/>
      <c r="D28" s="378">
        <v>650.0</v>
      </c>
      <c r="E28" s="378">
        <v>150.0</v>
      </c>
      <c r="F28" s="378">
        <v>150.0</v>
      </c>
      <c r="G28" s="378">
        <v>150.0</v>
      </c>
      <c r="H28" s="378">
        <v>150.0</v>
      </c>
      <c r="I28" s="378">
        <v>150.0</v>
      </c>
      <c r="J28" s="378">
        <v>150.0</v>
      </c>
      <c r="K28" s="378">
        <v>150.0</v>
      </c>
      <c r="L28" s="378">
        <v>150.0</v>
      </c>
      <c r="M28" s="378">
        <v>150.0</v>
      </c>
      <c r="N28" s="378">
        <v>150.0</v>
      </c>
      <c r="O28" s="129">
        <v>150.0</v>
      </c>
      <c r="P28" s="409"/>
      <c r="Q28" s="126" t="s">
        <v>148</v>
      </c>
      <c r="S28" s="374"/>
      <c r="T28" s="374">
        <v>500.0</v>
      </c>
      <c r="U28" s="400"/>
      <c r="V28" s="400"/>
      <c r="W28" s="400"/>
      <c r="X28" s="400"/>
      <c r="Y28" s="404"/>
      <c r="Z28" s="404"/>
    </row>
    <row r="29">
      <c r="B29" s="121" t="s">
        <v>150</v>
      </c>
      <c r="C29" s="122"/>
      <c r="D29" s="378">
        <v>400.0</v>
      </c>
      <c r="E29" s="378">
        <v>400.0</v>
      </c>
      <c r="F29" s="378">
        <v>400.0</v>
      </c>
      <c r="G29" s="378">
        <v>400.0</v>
      </c>
      <c r="H29" s="378">
        <v>400.0</v>
      </c>
      <c r="I29" s="378">
        <f t="shared" ref="I29:O29" si="11">H29</f>
        <v>400</v>
      </c>
      <c r="J29" s="378">
        <f t="shared" si="11"/>
        <v>400</v>
      </c>
      <c r="K29" s="378">
        <f t="shared" si="11"/>
        <v>400</v>
      </c>
      <c r="L29" s="378">
        <f t="shared" si="11"/>
        <v>400</v>
      </c>
      <c r="M29" s="378">
        <f t="shared" si="11"/>
        <v>400</v>
      </c>
      <c r="N29" s="378">
        <f t="shared" si="11"/>
        <v>400</v>
      </c>
      <c r="O29" s="123">
        <f t="shared" si="11"/>
        <v>400</v>
      </c>
      <c r="P29" s="409"/>
      <c r="Q29" s="126" t="s">
        <v>149</v>
      </c>
      <c r="S29" s="374"/>
      <c r="T29" s="374">
        <v>500.0</v>
      </c>
      <c r="U29" s="400"/>
      <c r="V29" s="400"/>
      <c r="W29" s="400"/>
      <c r="X29" s="400"/>
      <c r="Y29" s="404"/>
      <c r="Z29" s="404"/>
    </row>
    <row r="30">
      <c r="B30" s="127" t="s">
        <v>182</v>
      </c>
      <c r="C30" s="128"/>
      <c r="D30" s="378"/>
      <c r="E30" s="378"/>
      <c r="F30" s="378"/>
      <c r="G30" s="378">
        <v>160.0</v>
      </c>
      <c r="H30" s="378">
        <v>160.0</v>
      </c>
      <c r="I30" s="378">
        <v>180.0</v>
      </c>
      <c r="J30" s="378">
        <v>87.36</v>
      </c>
      <c r="K30" s="378">
        <v>160.0</v>
      </c>
      <c r="L30" s="378">
        <v>160.0</v>
      </c>
      <c r="M30" s="378">
        <v>160.0</v>
      </c>
      <c r="N30" s="378">
        <v>160.0</v>
      </c>
      <c r="O30" s="129">
        <v>160.0</v>
      </c>
      <c r="P30" s="409"/>
      <c r="Q30" s="389" t="s">
        <v>181</v>
      </c>
      <c r="S30" s="374"/>
      <c r="T30" s="374">
        <v>150.0</v>
      </c>
      <c r="U30" s="400"/>
      <c r="V30" s="400"/>
      <c r="W30" s="400"/>
      <c r="X30" s="400"/>
      <c r="Y30" s="404"/>
      <c r="Z30" s="404"/>
    </row>
    <row r="31">
      <c r="B31" s="127" t="s">
        <v>183</v>
      </c>
      <c r="C31" s="128"/>
      <c r="D31" s="378">
        <v>400.0</v>
      </c>
      <c r="E31" s="378">
        <v>400.0</v>
      </c>
      <c r="F31" s="378">
        <v>400.0</v>
      </c>
      <c r="G31" s="378">
        <v>400.0</v>
      </c>
      <c r="H31" s="378">
        <v>400.0</v>
      </c>
      <c r="I31" s="378">
        <v>400.0</v>
      </c>
      <c r="J31" s="378">
        <v>400.0</v>
      </c>
      <c r="K31" s="378">
        <v>400.0</v>
      </c>
      <c r="L31" s="378">
        <v>400.0</v>
      </c>
      <c r="M31" s="378">
        <v>400.0</v>
      </c>
      <c r="N31" s="378">
        <v>400.0</v>
      </c>
      <c r="O31" s="129">
        <v>400.0</v>
      </c>
      <c r="P31" s="409"/>
      <c r="Q31" s="126" t="s">
        <v>150</v>
      </c>
      <c r="S31" s="374">
        <v>400.0</v>
      </c>
      <c r="T31" s="404"/>
      <c r="U31" s="400"/>
      <c r="V31" s="400"/>
      <c r="W31" s="400"/>
      <c r="X31" s="400"/>
      <c r="Y31" s="404"/>
      <c r="Z31" s="404"/>
    </row>
    <row r="32">
      <c r="B32" s="121" t="s">
        <v>152</v>
      </c>
      <c r="C32" s="122"/>
      <c r="D32" s="390"/>
      <c r="E32" s="390"/>
      <c r="F32" s="378"/>
      <c r="G32" s="378"/>
      <c r="H32" s="378"/>
      <c r="I32" s="390"/>
      <c r="J32" s="390"/>
      <c r="K32" s="378"/>
      <c r="L32" s="378"/>
      <c r="M32" s="390"/>
      <c r="N32" s="390"/>
      <c r="O32" s="131"/>
      <c r="P32" s="409"/>
      <c r="Q32" s="389" t="s">
        <v>182</v>
      </c>
      <c r="S32" s="374"/>
      <c r="T32" s="404"/>
      <c r="U32" s="400"/>
      <c r="V32" s="404"/>
      <c r="W32" s="374">
        <v>160.0</v>
      </c>
      <c r="X32" s="400"/>
      <c r="Y32" s="404"/>
      <c r="Z32" s="404"/>
    </row>
    <row r="33">
      <c r="B33" s="121" t="s">
        <v>154</v>
      </c>
      <c r="C33" s="122"/>
      <c r="D33" s="378">
        <v>122.0</v>
      </c>
      <c r="E33" s="378">
        <v>105.46</v>
      </c>
      <c r="F33" s="378">
        <v>105.46</v>
      </c>
      <c r="G33" s="378">
        <v>105.46</v>
      </c>
      <c r="H33" s="378">
        <v>105.46</v>
      </c>
      <c r="I33" s="378">
        <v>136.92</v>
      </c>
      <c r="J33" s="378">
        <v>136.92</v>
      </c>
      <c r="K33" s="378">
        <f t="shared" ref="K33:M33" si="12">J33</f>
        <v>136.92</v>
      </c>
      <c r="L33" s="378">
        <f t="shared" si="12"/>
        <v>136.92</v>
      </c>
      <c r="M33" s="378">
        <f t="shared" si="12"/>
        <v>136.92</v>
      </c>
      <c r="N33" s="378">
        <v>136.92</v>
      </c>
      <c r="O33" s="131">
        <v>136.92</v>
      </c>
      <c r="P33" s="409"/>
      <c r="Q33" s="389" t="s">
        <v>183</v>
      </c>
      <c r="S33" s="27"/>
      <c r="T33" s="404"/>
      <c r="U33" s="400"/>
      <c r="V33" s="404"/>
      <c r="W33" s="374">
        <v>400.0</v>
      </c>
      <c r="X33" s="400"/>
      <c r="Y33" s="404"/>
      <c r="Z33" s="404"/>
    </row>
    <row r="34">
      <c r="B34" s="121" t="s">
        <v>155</v>
      </c>
      <c r="C34" s="122"/>
      <c r="D34" s="390"/>
      <c r="E34" s="390"/>
      <c r="F34" s="390"/>
      <c r="G34" s="390"/>
      <c r="H34" s="390"/>
      <c r="I34" s="378" t="str">
        <f t="shared" ref="I34:O34" si="13">H34</f>
        <v/>
      </c>
      <c r="J34" s="378" t="str">
        <f t="shared" si="13"/>
        <v/>
      </c>
      <c r="K34" s="378" t="str">
        <f t="shared" si="13"/>
        <v/>
      </c>
      <c r="L34" s="378" t="str">
        <f t="shared" si="13"/>
        <v/>
      </c>
      <c r="M34" s="378" t="str">
        <f t="shared" si="13"/>
        <v/>
      </c>
      <c r="N34" s="378" t="str">
        <f t="shared" si="13"/>
        <v/>
      </c>
      <c r="O34" s="123" t="str">
        <f t="shared" si="13"/>
        <v/>
      </c>
      <c r="P34" s="409"/>
      <c r="Q34" s="126" t="s">
        <v>152</v>
      </c>
      <c r="R34" s="414"/>
      <c r="S34" s="374"/>
      <c r="T34" s="404"/>
      <c r="U34" s="400"/>
      <c r="V34" s="404"/>
      <c r="W34" s="404"/>
      <c r="X34" s="400"/>
      <c r="Y34" s="404"/>
      <c r="Z34" s="404"/>
    </row>
    <row r="35">
      <c r="B35" s="121" t="s">
        <v>156</v>
      </c>
      <c r="C35" s="122"/>
      <c r="D35" s="378">
        <v>150.0</v>
      </c>
      <c r="E35" s="378">
        <v>150.0</v>
      </c>
      <c r="F35" s="378"/>
      <c r="G35" s="378">
        <v>150.0</v>
      </c>
      <c r="H35" s="378">
        <f>400+400+150</f>
        <v>950</v>
      </c>
      <c r="I35" s="378">
        <v>800.0</v>
      </c>
      <c r="J35" s="378">
        <v>300.0</v>
      </c>
      <c r="K35" s="390">
        <v>150.0</v>
      </c>
      <c r="L35" s="390"/>
      <c r="M35" s="378">
        <v>300.0</v>
      </c>
      <c r="N35" s="378">
        <v>150.0</v>
      </c>
      <c r="O35" s="123">
        <v>300.0</v>
      </c>
      <c r="P35" s="409"/>
      <c r="Q35" s="126" t="s">
        <v>154</v>
      </c>
      <c r="R35" s="374">
        <f>136.92-13</f>
        <v>123.92</v>
      </c>
      <c r="S35" s="374">
        <v>13.0</v>
      </c>
      <c r="T35" s="404"/>
      <c r="U35" s="400"/>
      <c r="V35" s="404"/>
      <c r="W35" s="404"/>
      <c r="X35" s="400"/>
      <c r="Y35" s="404"/>
      <c r="Z35" s="404"/>
    </row>
    <row r="36">
      <c r="B36" s="121" t="s">
        <v>157</v>
      </c>
      <c r="C36" s="122"/>
      <c r="D36" s="378">
        <v>50.0</v>
      </c>
      <c r="E36" s="378">
        <v>50.0</v>
      </c>
      <c r="F36" s="378">
        <v>50.0</v>
      </c>
      <c r="G36" s="378">
        <v>50.0</v>
      </c>
      <c r="H36" s="378">
        <f t="shared" ref="H36:O36" si="14">G36</f>
        <v>50</v>
      </c>
      <c r="I36" s="378">
        <f t="shared" si="14"/>
        <v>50</v>
      </c>
      <c r="J36" s="378">
        <f t="shared" si="14"/>
        <v>50</v>
      </c>
      <c r="K36" s="378">
        <f t="shared" si="14"/>
        <v>50</v>
      </c>
      <c r="L36" s="378">
        <f t="shared" si="14"/>
        <v>50</v>
      </c>
      <c r="M36" s="378">
        <f t="shared" si="14"/>
        <v>50</v>
      </c>
      <c r="N36" s="378">
        <f t="shared" si="14"/>
        <v>50</v>
      </c>
      <c r="O36" s="123">
        <f t="shared" si="14"/>
        <v>50</v>
      </c>
      <c r="P36" s="409"/>
      <c r="Q36" s="126" t="s">
        <v>155</v>
      </c>
      <c r="R36" s="374"/>
      <c r="S36" s="374"/>
      <c r="T36" s="404"/>
      <c r="U36" s="400"/>
      <c r="V36" s="404"/>
      <c r="W36" s="404"/>
      <c r="X36" s="400"/>
      <c r="Y36" s="404"/>
      <c r="Z36" s="404"/>
      <c r="AA36" s="18"/>
    </row>
    <row r="37">
      <c r="B37" s="121" t="s">
        <v>158</v>
      </c>
      <c r="C37" s="122"/>
      <c r="D37" s="390"/>
      <c r="E37" s="390"/>
      <c r="F37" s="390"/>
      <c r="G37" s="390"/>
      <c r="H37" s="378" t="str">
        <f t="shared" ref="H37:O37" si="15">G37</f>
        <v/>
      </c>
      <c r="I37" s="378" t="str">
        <f t="shared" si="15"/>
        <v/>
      </c>
      <c r="J37" s="378" t="str">
        <f t="shared" si="15"/>
        <v/>
      </c>
      <c r="K37" s="378" t="str">
        <f t="shared" si="15"/>
        <v/>
      </c>
      <c r="L37" s="378" t="str">
        <f t="shared" si="15"/>
        <v/>
      </c>
      <c r="M37" s="378" t="str">
        <f t="shared" si="15"/>
        <v/>
      </c>
      <c r="N37" s="378" t="str">
        <f t="shared" si="15"/>
        <v/>
      </c>
      <c r="O37" s="123" t="str">
        <f t="shared" si="15"/>
        <v/>
      </c>
      <c r="P37" s="409"/>
      <c r="Q37" s="126" t="s">
        <v>156</v>
      </c>
      <c r="S37" s="374"/>
      <c r="T37" s="404"/>
      <c r="U37" s="400"/>
      <c r="V37" s="404"/>
      <c r="W37" s="374">
        <v>300.0</v>
      </c>
      <c r="X37" s="400"/>
      <c r="Y37" s="404"/>
      <c r="Z37" s="404"/>
      <c r="AA37" s="18"/>
    </row>
    <row r="38">
      <c r="B38" s="121" t="s">
        <v>159</v>
      </c>
      <c r="C38" s="122"/>
      <c r="D38" s="378">
        <f t="shared" ref="D38:E38" si="16">400+400+150</f>
        <v>950</v>
      </c>
      <c r="E38" s="378">
        <f t="shared" si="16"/>
        <v>950</v>
      </c>
      <c r="F38" s="378">
        <v>950.0</v>
      </c>
      <c r="G38" s="378">
        <v>950.0</v>
      </c>
      <c r="H38" s="378">
        <f t="shared" ref="H38:N38" si="17">400+400+150</f>
        <v>950</v>
      </c>
      <c r="I38" s="378">
        <f t="shared" si="17"/>
        <v>950</v>
      </c>
      <c r="J38" s="378">
        <f t="shared" si="17"/>
        <v>950</v>
      </c>
      <c r="K38" s="378">
        <f t="shared" si="17"/>
        <v>950</v>
      </c>
      <c r="L38" s="378">
        <f t="shared" si="17"/>
        <v>950</v>
      </c>
      <c r="M38" s="378">
        <f t="shared" si="17"/>
        <v>950</v>
      </c>
      <c r="N38" s="378">
        <f t="shared" si="17"/>
        <v>950</v>
      </c>
      <c r="O38" s="123">
        <v>950.0</v>
      </c>
      <c r="P38" s="409"/>
      <c r="Q38" s="126" t="s">
        <v>157</v>
      </c>
      <c r="S38" s="374"/>
      <c r="T38" s="404"/>
      <c r="U38" s="400"/>
      <c r="V38" s="404"/>
      <c r="W38" s="404"/>
      <c r="X38" s="400"/>
      <c r="Y38" s="374">
        <v>50.0</v>
      </c>
      <c r="Z38" s="374"/>
    </row>
    <row r="39">
      <c r="B39" s="121" t="s">
        <v>160</v>
      </c>
      <c r="C39" s="122"/>
      <c r="D39" s="378">
        <v>3000.0</v>
      </c>
      <c r="E39" s="378">
        <v>3000.0</v>
      </c>
      <c r="F39" s="378">
        <v>3000.0</v>
      </c>
      <c r="G39" s="378">
        <v>3000.0</v>
      </c>
      <c r="H39" s="378">
        <f t="shared" ref="H39:O39" si="18">G39</f>
        <v>3000</v>
      </c>
      <c r="I39" s="378">
        <f t="shared" si="18"/>
        <v>3000</v>
      </c>
      <c r="J39" s="378">
        <f t="shared" si="18"/>
        <v>3000</v>
      </c>
      <c r="K39" s="378">
        <f t="shared" si="18"/>
        <v>3000</v>
      </c>
      <c r="L39" s="378">
        <f t="shared" si="18"/>
        <v>3000</v>
      </c>
      <c r="M39" s="378">
        <f t="shared" si="18"/>
        <v>3000</v>
      </c>
      <c r="N39" s="378">
        <f t="shared" si="18"/>
        <v>3000</v>
      </c>
      <c r="O39" s="123">
        <f t="shared" si="18"/>
        <v>3000</v>
      </c>
      <c r="P39" s="409"/>
      <c r="Q39" s="126" t="s">
        <v>158</v>
      </c>
      <c r="R39" s="374"/>
      <c r="S39" s="374"/>
      <c r="T39" s="404"/>
      <c r="U39" s="400"/>
      <c r="V39" s="404"/>
      <c r="W39" s="404"/>
      <c r="X39" s="400"/>
      <c r="Y39" s="400"/>
      <c r="Z39" s="400"/>
    </row>
    <row r="40">
      <c r="B40" s="127" t="s">
        <v>184</v>
      </c>
      <c r="C40" s="128"/>
      <c r="D40" s="377">
        <v>1087.8499999999985</v>
      </c>
      <c r="E40" s="378">
        <v>700.0</v>
      </c>
      <c r="F40" s="378">
        <v>700.0</v>
      </c>
      <c r="G40" s="378">
        <v>700.0</v>
      </c>
      <c r="H40" s="378">
        <v>700.0</v>
      </c>
      <c r="I40" s="378">
        <v>700.0</v>
      </c>
      <c r="J40" s="378">
        <v>700.0</v>
      </c>
      <c r="K40" s="378">
        <v>700.0</v>
      </c>
      <c r="L40" s="378">
        <v>700.0</v>
      </c>
      <c r="M40" s="378">
        <v>700.0</v>
      </c>
      <c r="N40" s="378">
        <v>700.0</v>
      </c>
      <c r="O40" s="129">
        <v>700.0</v>
      </c>
      <c r="P40" s="409"/>
      <c r="Q40" s="126" t="s">
        <v>159</v>
      </c>
      <c r="R40" s="374">
        <v>400.0</v>
      </c>
      <c r="S40" s="374">
        <v>550.0</v>
      </c>
      <c r="T40" s="404"/>
      <c r="U40" s="400"/>
      <c r="V40" s="404"/>
      <c r="W40" s="404"/>
      <c r="X40" s="400"/>
      <c r="Y40" s="400"/>
      <c r="Z40" s="400"/>
    </row>
    <row r="41">
      <c r="B41" s="127" t="s">
        <v>3</v>
      </c>
      <c r="C41" s="128"/>
      <c r="D41" s="378">
        <v>500.0</v>
      </c>
      <c r="E41" s="378">
        <v>500.0</v>
      </c>
      <c r="F41" s="378">
        <v>500.0</v>
      </c>
      <c r="G41" s="378">
        <v>500.0</v>
      </c>
      <c r="H41" s="378">
        <v>500.0</v>
      </c>
      <c r="I41" s="378">
        <v>500.0</v>
      </c>
      <c r="J41" s="378">
        <v>500.0</v>
      </c>
      <c r="K41" s="378">
        <v>500.0</v>
      </c>
      <c r="L41" s="378">
        <v>500.0</v>
      </c>
      <c r="M41" s="378">
        <v>500.0</v>
      </c>
      <c r="N41" s="378">
        <v>500.0</v>
      </c>
      <c r="O41" s="129">
        <v>500.0</v>
      </c>
      <c r="P41" s="409"/>
      <c r="Q41" s="126" t="s">
        <v>160</v>
      </c>
      <c r="R41" s="374">
        <v>1500.0</v>
      </c>
      <c r="S41" s="374">
        <v>1500.0</v>
      </c>
      <c r="T41" s="404"/>
      <c r="U41" s="400"/>
      <c r="V41" s="404"/>
      <c r="W41" s="404"/>
      <c r="X41" s="400"/>
      <c r="Y41" s="400"/>
      <c r="Z41" s="400"/>
    </row>
    <row r="42">
      <c r="B42" s="67" t="s">
        <v>161</v>
      </c>
      <c r="C42" s="68"/>
      <c r="D42" s="132">
        <f t="shared" ref="D42:O42" si="19">SUM(D19:D41)*-1</f>
        <v>-12034.7</v>
      </c>
      <c r="E42" s="132">
        <f t="shared" si="19"/>
        <v>-11130.31</v>
      </c>
      <c r="F42" s="132">
        <f t="shared" si="19"/>
        <v>-10985.11</v>
      </c>
      <c r="G42" s="132">
        <f t="shared" si="19"/>
        <v>-10844.76</v>
      </c>
      <c r="H42" s="132">
        <f t="shared" si="19"/>
        <v>-12590.16</v>
      </c>
      <c r="I42" s="132">
        <f t="shared" si="19"/>
        <v>-12494.82</v>
      </c>
      <c r="J42" s="132">
        <f t="shared" si="19"/>
        <v>-11908.98</v>
      </c>
      <c r="K42" s="132">
        <f t="shared" si="19"/>
        <v>-11831.62</v>
      </c>
      <c r="L42" s="132">
        <f t="shared" si="19"/>
        <v>-11681.62</v>
      </c>
      <c r="M42" s="132">
        <f t="shared" si="19"/>
        <v>-12121.62</v>
      </c>
      <c r="N42" s="132">
        <f t="shared" si="19"/>
        <v>-11921.62</v>
      </c>
      <c r="O42" s="412">
        <f t="shared" si="19"/>
        <v>-12071.62</v>
      </c>
      <c r="P42" s="409"/>
      <c r="Q42" s="389" t="s">
        <v>184</v>
      </c>
      <c r="S42" s="410"/>
      <c r="T42" s="400"/>
      <c r="U42" s="404">
        <v>700.0</v>
      </c>
      <c r="V42" s="404"/>
      <c r="W42" s="404"/>
      <c r="X42" s="400"/>
      <c r="Y42" s="400"/>
      <c r="Z42" s="400"/>
    </row>
    <row r="43">
      <c r="P43" s="409"/>
      <c r="Q43" s="389" t="s">
        <v>3</v>
      </c>
      <c r="R43" s="398"/>
      <c r="S43" s="400"/>
      <c r="T43" s="400"/>
      <c r="U43" s="400"/>
      <c r="V43" s="374">
        <v>500.0</v>
      </c>
      <c r="W43" s="404"/>
      <c r="X43" s="400"/>
      <c r="Y43" s="400"/>
      <c r="Z43" s="400"/>
    </row>
    <row r="44">
      <c r="B44" s="80" t="s">
        <v>162</v>
      </c>
      <c r="C44" s="81"/>
      <c r="D44" s="82">
        <f t="shared" ref="D44:O44" si="20">D16+D42</f>
        <v>1557.38</v>
      </c>
      <c r="E44" s="82">
        <f t="shared" si="20"/>
        <v>2733.61</v>
      </c>
      <c r="F44" s="82">
        <f t="shared" si="20"/>
        <v>3138.81</v>
      </c>
      <c r="G44" s="82">
        <f t="shared" si="20"/>
        <v>3295.36</v>
      </c>
      <c r="H44" s="82">
        <f t="shared" si="20"/>
        <v>1561.97</v>
      </c>
      <c r="I44" s="82">
        <f t="shared" si="20"/>
        <v>12253.51</v>
      </c>
      <c r="J44" s="82">
        <f t="shared" si="20"/>
        <v>2226.14</v>
      </c>
      <c r="K44" s="82">
        <f t="shared" si="20"/>
        <v>2194.5</v>
      </c>
      <c r="L44" s="82">
        <f t="shared" si="20"/>
        <v>2421.51</v>
      </c>
      <c r="M44" s="82">
        <f t="shared" si="20"/>
        <v>1983.51</v>
      </c>
      <c r="N44" s="82">
        <f t="shared" si="20"/>
        <v>2174.51</v>
      </c>
      <c r="O44" s="413">
        <f t="shared" si="20"/>
        <v>2035.51</v>
      </c>
      <c r="P44" s="18"/>
      <c r="Q44" s="18" t="s">
        <v>382</v>
      </c>
      <c r="R44" s="400"/>
      <c r="S44" s="400"/>
      <c r="T44" s="400"/>
      <c r="U44" s="404">
        <v>962.79</v>
      </c>
      <c r="V44" s="400"/>
      <c r="W44" s="400"/>
      <c r="X44" s="404">
        <v>1072.72</v>
      </c>
      <c r="Y44" s="400"/>
      <c r="Z44" s="400"/>
    </row>
    <row r="45">
      <c r="B45" s="83"/>
      <c r="C45" s="83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107"/>
      <c r="Q45" s="7" t="s">
        <v>26</v>
      </c>
      <c r="R45" s="325">
        <f t="shared" ref="R45:Z45" si="21">SUM(R21:R44)</f>
        <v>5028.72</v>
      </c>
      <c r="S45" s="373">
        <f t="shared" si="21"/>
        <v>2513</v>
      </c>
      <c r="T45" s="373">
        <f t="shared" si="21"/>
        <v>2019.9</v>
      </c>
      <c r="U45" s="373">
        <f t="shared" si="21"/>
        <v>1662.79</v>
      </c>
      <c r="V45" s="373">
        <f t="shared" si="21"/>
        <v>500</v>
      </c>
      <c r="W45" s="373">
        <f t="shared" si="21"/>
        <v>860</v>
      </c>
      <c r="X45" s="373">
        <f t="shared" si="21"/>
        <v>1072.72</v>
      </c>
      <c r="Y45" s="373">
        <f t="shared" si="21"/>
        <v>50</v>
      </c>
      <c r="Z45" s="373">
        <f t="shared" si="21"/>
        <v>400</v>
      </c>
    </row>
    <row r="46">
      <c r="B46" s="85" t="s">
        <v>163</v>
      </c>
      <c r="C46" s="86"/>
      <c r="D46" s="57" t="s">
        <v>123</v>
      </c>
      <c r="E46" s="57" t="s">
        <v>124</v>
      </c>
      <c r="F46" s="57" t="s">
        <v>125</v>
      </c>
      <c r="G46" s="57" t="s">
        <v>126</v>
      </c>
      <c r="H46" s="57" t="s">
        <v>127</v>
      </c>
      <c r="I46" s="57" t="s">
        <v>128</v>
      </c>
      <c r="J46" s="57" t="s">
        <v>129</v>
      </c>
      <c r="K46" s="57" t="s">
        <v>130</v>
      </c>
      <c r="L46" s="57" t="s">
        <v>131</v>
      </c>
      <c r="M46" s="57" t="s">
        <v>132</v>
      </c>
      <c r="N46" s="57" t="s">
        <v>133</v>
      </c>
      <c r="O46" s="57" t="s">
        <v>134</v>
      </c>
      <c r="P46" s="107"/>
      <c r="Q46" s="107" t="s">
        <v>371</v>
      </c>
      <c r="R46" s="415">
        <f>(O12)-R45</f>
        <v>3373.54</v>
      </c>
      <c r="S46" s="375"/>
      <c r="T46" s="287"/>
    </row>
    <row r="47">
      <c r="B47" s="87" t="s">
        <v>185</v>
      </c>
      <c r="C47" s="88"/>
      <c r="D47" s="89"/>
      <c r="E47" s="89"/>
      <c r="F47" s="89"/>
      <c r="G47" s="134">
        <v>512.46</v>
      </c>
      <c r="H47" s="134">
        <v>512.46</v>
      </c>
      <c r="I47" s="134">
        <v>512.46</v>
      </c>
      <c r="J47" s="134">
        <v>502.75</v>
      </c>
      <c r="K47" s="134"/>
      <c r="L47" s="134"/>
      <c r="M47" s="134"/>
      <c r="N47" s="134"/>
      <c r="O47" s="134"/>
      <c r="P47" s="248"/>
      <c r="Q47" s="325" t="s">
        <v>353</v>
      </c>
    </row>
    <row r="48">
      <c r="A48" s="298">
        <v>45020.0</v>
      </c>
      <c r="B48" s="87" t="s">
        <v>58</v>
      </c>
      <c r="C48" s="88"/>
      <c r="D48" s="91"/>
      <c r="E48" s="91"/>
      <c r="F48" s="91"/>
      <c r="G48" s="91"/>
      <c r="H48" s="91"/>
      <c r="I48" s="135"/>
      <c r="J48" s="135"/>
      <c r="K48" s="135"/>
      <c r="L48" s="135"/>
      <c r="M48" s="135"/>
      <c r="N48" s="135">
        <v>962.79</v>
      </c>
      <c r="O48" s="135">
        <v>962.79</v>
      </c>
      <c r="P48" s="107"/>
      <c r="Q48" s="107"/>
    </row>
    <row r="49">
      <c r="B49" s="87" t="s">
        <v>381</v>
      </c>
      <c r="C49" s="88"/>
      <c r="D49" s="91"/>
      <c r="E49" s="91"/>
      <c r="F49" s="91"/>
      <c r="G49" s="91"/>
      <c r="H49" s="91"/>
      <c r="I49" s="91"/>
      <c r="J49" s="91"/>
      <c r="K49" s="91"/>
      <c r="L49" s="91"/>
      <c r="M49" s="135">
        <v>953.29</v>
      </c>
      <c r="N49" s="91"/>
      <c r="O49" s="91"/>
      <c r="P49" s="107"/>
      <c r="Q49" s="107"/>
    </row>
    <row r="50">
      <c r="B50" s="92"/>
      <c r="C50" s="93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107"/>
      <c r="Q50" s="107"/>
      <c r="U50" s="387"/>
      <c r="X50" s="387"/>
    </row>
    <row r="51">
      <c r="B51" s="67" t="s">
        <v>167</v>
      </c>
      <c r="C51" s="95">
        <f>SUM(C47:C50)</f>
        <v>0</v>
      </c>
      <c r="D51" s="78">
        <f t="shared" ref="D51:O51" si="22">SUM(D47:D50)*-1</f>
        <v>0</v>
      </c>
      <c r="E51" s="78">
        <f t="shared" si="22"/>
        <v>0</v>
      </c>
      <c r="F51" s="78">
        <f t="shared" si="22"/>
        <v>0</v>
      </c>
      <c r="G51" s="78">
        <f t="shared" si="22"/>
        <v>-512.46</v>
      </c>
      <c r="H51" s="78">
        <f t="shared" si="22"/>
        <v>-512.46</v>
      </c>
      <c r="I51" s="78">
        <f t="shared" si="22"/>
        <v>-512.46</v>
      </c>
      <c r="J51" s="78">
        <f t="shared" si="22"/>
        <v>-502.75</v>
      </c>
      <c r="K51" s="78">
        <f t="shared" si="22"/>
        <v>0</v>
      </c>
      <c r="L51" s="78">
        <f t="shared" si="22"/>
        <v>0</v>
      </c>
      <c r="M51" s="78">
        <f t="shared" si="22"/>
        <v>-953.29</v>
      </c>
      <c r="N51" s="78">
        <f t="shared" si="22"/>
        <v>-962.79</v>
      </c>
      <c r="O51" s="78">
        <f t="shared" si="22"/>
        <v>-962.79</v>
      </c>
      <c r="P51" s="107"/>
      <c r="Q51" s="394" t="s">
        <v>48</v>
      </c>
      <c r="R51" s="395"/>
      <c r="S51" s="389" t="s">
        <v>370</v>
      </c>
      <c r="T51" s="389"/>
    </row>
    <row r="52">
      <c r="B52" s="83"/>
      <c r="C52" s="83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107"/>
      <c r="Q52" s="107"/>
    </row>
    <row r="53">
      <c r="B53" s="97" t="s">
        <v>168</v>
      </c>
      <c r="C53" s="98"/>
      <c r="D53" s="99">
        <f t="shared" ref="D53:O53" si="23">D44+D51</f>
        <v>1557.38</v>
      </c>
      <c r="E53" s="99">
        <f t="shared" si="23"/>
        <v>2733.61</v>
      </c>
      <c r="F53" s="99">
        <f t="shared" si="23"/>
        <v>3138.81</v>
      </c>
      <c r="G53" s="99">
        <f t="shared" si="23"/>
        <v>2782.9</v>
      </c>
      <c r="H53" s="99">
        <f t="shared" si="23"/>
        <v>1049.51</v>
      </c>
      <c r="I53" s="99">
        <f t="shared" si="23"/>
        <v>11741.05</v>
      </c>
      <c r="J53" s="99">
        <f t="shared" si="23"/>
        <v>1723.39</v>
      </c>
      <c r="K53" s="99">
        <f t="shared" si="23"/>
        <v>2194.5</v>
      </c>
      <c r="L53" s="99">
        <f t="shared" si="23"/>
        <v>2421.51</v>
      </c>
      <c r="M53" s="99">
        <f t="shared" si="23"/>
        <v>1030.22</v>
      </c>
      <c r="N53" s="99">
        <f t="shared" si="23"/>
        <v>1211.72</v>
      </c>
      <c r="O53" s="99">
        <f t="shared" si="23"/>
        <v>1072.72</v>
      </c>
      <c r="P53" s="107"/>
      <c r="Q53" s="107"/>
      <c r="R53" s="107"/>
    </row>
    <row r="54">
      <c r="B54" s="83"/>
      <c r="C54" s="83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107"/>
      <c r="Q54" s="107"/>
      <c r="R54" s="18"/>
    </row>
    <row r="55">
      <c r="B55" s="100" t="s">
        <v>169</v>
      </c>
      <c r="C55" s="101"/>
      <c r="D55" s="57" t="s">
        <v>123</v>
      </c>
      <c r="E55" s="57" t="s">
        <v>124</v>
      </c>
      <c r="F55" s="57" t="s">
        <v>125</v>
      </c>
      <c r="G55" s="57" t="s">
        <v>126</v>
      </c>
      <c r="H55" s="57" t="s">
        <v>127</v>
      </c>
      <c r="I55" s="57" t="s">
        <v>128</v>
      </c>
      <c r="J55" s="57" t="s">
        <v>129</v>
      </c>
      <c r="K55" s="57" t="s">
        <v>130</v>
      </c>
      <c r="L55" s="57" t="s">
        <v>131</v>
      </c>
      <c r="M55" s="57" t="s">
        <v>132</v>
      </c>
      <c r="N55" s="57" t="s">
        <v>132</v>
      </c>
      <c r="O55" s="57" t="s">
        <v>133</v>
      </c>
      <c r="P55" s="107"/>
      <c r="Q55" s="107"/>
      <c r="R55" s="18"/>
    </row>
    <row r="56">
      <c r="B56" s="102" t="s">
        <v>170</v>
      </c>
      <c r="C56" s="103"/>
      <c r="D56" s="104"/>
      <c r="E56" s="105">
        <v>0.0</v>
      </c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27"/>
      <c r="Q56" s="27"/>
    </row>
    <row r="57">
      <c r="B57" s="102" t="s">
        <v>171</v>
      </c>
      <c r="C57" s="103"/>
      <c r="D57" s="106">
        <f>+D53</f>
        <v>1557.38</v>
      </c>
      <c r="E57" s="106">
        <v>1572.02</v>
      </c>
      <c r="F57" s="106">
        <f t="shared" ref="F57:O57" si="24">+F53</f>
        <v>3138.81</v>
      </c>
      <c r="G57" s="106">
        <f t="shared" si="24"/>
        <v>2782.9</v>
      </c>
      <c r="H57" s="106">
        <f t="shared" si="24"/>
        <v>1049.51</v>
      </c>
      <c r="I57" s="106">
        <f t="shared" si="24"/>
        <v>11741.05</v>
      </c>
      <c r="J57" s="106">
        <f t="shared" si="24"/>
        <v>1723.39</v>
      </c>
      <c r="K57" s="106">
        <f t="shared" si="24"/>
        <v>2194.5</v>
      </c>
      <c r="L57" s="106">
        <f t="shared" si="24"/>
        <v>2421.51</v>
      </c>
      <c r="M57" s="106">
        <f t="shared" si="24"/>
        <v>1030.22</v>
      </c>
      <c r="N57" s="106">
        <f t="shared" si="24"/>
        <v>1211.72</v>
      </c>
      <c r="O57" s="106">
        <f t="shared" si="24"/>
        <v>1072.72</v>
      </c>
      <c r="P57" s="27"/>
      <c r="Q57" s="27"/>
    </row>
    <row r="58">
      <c r="B58" s="67" t="s">
        <v>173</v>
      </c>
      <c r="C58" s="68"/>
      <c r="D58" s="95">
        <f t="shared" ref="D58:O58" si="25">SUM(D56:D57)</f>
        <v>1557.38</v>
      </c>
      <c r="E58" s="95">
        <f t="shared" si="25"/>
        <v>1572.02</v>
      </c>
      <c r="F58" s="95">
        <f t="shared" si="25"/>
        <v>3138.81</v>
      </c>
      <c r="G58" s="95">
        <f t="shared" si="25"/>
        <v>2782.9</v>
      </c>
      <c r="H58" s="95">
        <f t="shared" si="25"/>
        <v>1049.51</v>
      </c>
      <c r="I58" s="95">
        <f t="shared" si="25"/>
        <v>11741.05</v>
      </c>
      <c r="J58" s="95">
        <f t="shared" si="25"/>
        <v>1723.39</v>
      </c>
      <c r="K58" s="95">
        <f t="shared" si="25"/>
        <v>2194.5</v>
      </c>
      <c r="L58" s="95">
        <f t="shared" si="25"/>
        <v>2421.51</v>
      </c>
      <c r="M58" s="95">
        <f t="shared" si="25"/>
        <v>1030.22</v>
      </c>
      <c r="N58" s="95">
        <f t="shared" si="25"/>
        <v>1211.72</v>
      </c>
      <c r="O58" s="95">
        <f t="shared" si="25"/>
        <v>1072.72</v>
      </c>
      <c r="P58" s="27"/>
      <c r="Q58" s="27"/>
    </row>
    <row r="59">
      <c r="D59" s="362"/>
      <c r="E59" s="362"/>
      <c r="N59" s="27"/>
      <c r="O59" s="27"/>
      <c r="P59" s="27"/>
      <c r="Q59" s="27"/>
    </row>
    <row r="60">
      <c r="I60" s="18">
        <v>1239.94</v>
      </c>
      <c r="N60" s="27"/>
      <c r="O60" s="27"/>
      <c r="P60" s="27"/>
      <c r="Q60" s="27"/>
    </row>
    <row r="61">
      <c r="N61" s="27"/>
      <c r="O61" s="27"/>
      <c r="P61" s="27"/>
      <c r="Q61" s="27"/>
    </row>
    <row r="62">
      <c r="N62" s="27"/>
      <c r="O62" s="27"/>
      <c r="P62" s="27"/>
      <c r="Q62" s="27"/>
    </row>
    <row r="63">
      <c r="N63" s="27"/>
      <c r="O63" s="27"/>
      <c r="P63" s="27"/>
      <c r="Q63" s="27"/>
    </row>
    <row r="64">
      <c r="N64" s="27"/>
      <c r="O64" s="27"/>
      <c r="P64" s="27"/>
      <c r="Q64" s="27"/>
    </row>
    <row r="65">
      <c r="N65" s="27"/>
      <c r="O65" s="27"/>
      <c r="P65" s="27"/>
      <c r="Q65" s="27"/>
    </row>
    <row r="66">
      <c r="N66" s="27"/>
      <c r="O66" s="27"/>
      <c r="P66" s="27"/>
      <c r="Q66" s="27"/>
    </row>
    <row r="67">
      <c r="N67" s="27"/>
      <c r="O67" s="27"/>
      <c r="P67" s="27"/>
      <c r="Q67" s="27"/>
    </row>
    <row r="68">
      <c r="N68" s="27"/>
      <c r="O68" s="27"/>
      <c r="P68" s="27"/>
      <c r="Q68" s="27"/>
    </row>
    <row r="69">
      <c r="N69" s="27"/>
      <c r="O69" s="27"/>
      <c r="P69" s="27"/>
      <c r="Q69" s="27"/>
    </row>
    <row r="70">
      <c r="N70" s="27"/>
      <c r="O70" s="27"/>
      <c r="P70" s="27"/>
      <c r="Q70" s="27"/>
    </row>
    <row r="71">
      <c r="N71" s="27"/>
      <c r="O71" s="27"/>
      <c r="P71" s="27"/>
      <c r="Q71" s="27"/>
    </row>
    <row r="72">
      <c r="N72" s="27"/>
      <c r="O72" s="27"/>
      <c r="P72" s="27"/>
      <c r="Q72" s="27"/>
    </row>
    <row r="73">
      <c r="N73" s="27"/>
      <c r="O73" s="27"/>
      <c r="P73" s="27"/>
      <c r="Q73" s="27"/>
    </row>
    <row r="74">
      <c r="N74" s="27"/>
      <c r="O74" s="27"/>
      <c r="P74" s="27"/>
      <c r="Q74" s="27"/>
    </row>
    <row r="75">
      <c r="N75" s="27"/>
      <c r="O75" s="27"/>
      <c r="P75" s="27"/>
      <c r="Q75" s="27"/>
    </row>
    <row r="76">
      <c r="N76" s="27"/>
      <c r="O76" s="27"/>
      <c r="P76" s="27"/>
      <c r="Q76" s="27"/>
    </row>
    <row r="77">
      <c r="N77" s="27"/>
      <c r="O77" s="27"/>
      <c r="P77" s="27"/>
      <c r="Q77" s="27"/>
    </row>
    <row r="78">
      <c r="N78" s="27"/>
      <c r="O78" s="27"/>
      <c r="P78" s="27"/>
      <c r="Q78" s="27"/>
    </row>
    <row r="79">
      <c r="N79" s="27"/>
      <c r="O79" s="27"/>
      <c r="P79" s="27"/>
      <c r="Q79" s="27"/>
    </row>
    <row r="80">
      <c r="N80" s="27"/>
      <c r="O80" s="27"/>
      <c r="P80" s="27"/>
      <c r="Q80" s="27"/>
    </row>
    <row r="81">
      <c r="N81" s="27"/>
      <c r="O81" s="27"/>
      <c r="P81" s="27"/>
      <c r="Q81" s="27"/>
    </row>
    <row r="82">
      <c r="N82" s="27"/>
      <c r="O82" s="27"/>
      <c r="P82" s="27"/>
      <c r="Q82" s="27"/>
    </row>
    <row r="83">
      <c r="N83" s="27"/>
      <c r="O83" s="27"/>
      <c r="P83" s="27"/>
      <c r="Q83" s="27"/>
    </row>
    <row r="84">
      <c r="N84" s="27"/>
      <c r="O84" s="27"/>
      <c r="P84" s="27"/>
      <c r="Q84" s="27"/>
    </row>
    <row r="85">
      <c r="N85" s="27"/>
      <c r="O85" s="27"/>
      <c r="P85" s="27"/>
      <c r="Q85" s="27"/>
    </row>
    <row r="86">
      <c r="N86" s="27"/>
      <c r="O86" s="27"/>
      <c r="P86" s="27"/>
      <c r="Q86" s="27"/>
    </row>
    <row r="87">
      <c r="N87" s="27"/>
      <c r="O87" s="27"/>
      <c r="P87" s="27"/>
      <c r="Q87" s="27"/>
    </row>
    <row r="88">
      <c r="N88" s="27"/>
      <c r="O88" s="27"/>
      <c r="P88" s="27"/>
      <c r="Q88" s="27"/>
    </row>
    <row r="89">
      <c r="N89" s="27"/>
      <c r="O89" s="27"/>
      <c r="P89" s="27"/>
      <c r="Q89" s="27"/>
    </row>
    <row r="90">
      <c r="N90" s="27"/>
      <c r="O90" s="27"/>
      <c r="P90" s="27"/>
      <c r="Q90" s="27"/>
    </row>
    <row r="91">
      <c r="N91" s="27"/>
      <c r="O91" s="27"/>
      <c r="P91" s="27"/>
      <c r="Q91" s="27"/>
    </row>
    <row r="92">
      <c r="N92" s="27"/>
      <c r="O92" s="27"/>
      <c r="P92" s="27"/>
      <c r="Q92" s="27"/>
    </row>
    <row r="93">
      <c r="N93" s="27"/>
      <c r="O93" s="27"/>
      <c r="P93" s="27"/>
      <c r="Q93" s="27"/>
    </row>
    <row r="94">
      <c r="N94" s="27"/>
      <c r="O94" s="27"/>
      <c r="P94" s="27"/>
      <c r="Q94" s="27"/>
    </row>
    <row r="95">
      <c r="N95" s="27"/>
      <c r="O95" s="27"/>
      <c r="P95" s="27"/>
      <c r="Q95" s="27"/>
    </row>
    <row r="96">
      <c r="N96" s="27"/>
      <c r="O96" s="27"/>
      <c r="P96" s="27"/>
      <c r="Q96" s="27"/>
    </row>
    <row r="97">
      <c r="N97" s="27"/>
      <c r="O97" s="27"/>
      <c r="P97" s="27"/>
      <c r="Q97" s="27"/>
    </row>
    <row r="98">
      <c r="N98" s="27"/>
      <c r="O98" s="27"/>
      <c r="P98" s="27"/>
      <c r="Q98" s="27"/>
    </row>
    <row r="99">
      <c r="N99" s="27"/>
      <c r="O99" s="27"/>
      <c r="P99" s="27"/>
      <c r="Q99" s="27"/>
    </row>
    <row r="100">
      <c r="N100" s="27"/>
      <c r="O100" s="27"/>
      <c r="P100" s="27"/>
      <c r="Q100" s="27"/>
    </row>
    <row r="101">
      <c r="N101" s="27"/>
      <c r="O101" s="27"/>
      <c r="P101" s="27"/>
      <c r="Q101" s="27"/>
    </row>
    <row r="102">
      <c r="N102" s="27"/>
      <c r="O102" s="27"/>
      <c r="P102" s="27"/>
      <c r="Q102" s="27"/>
    </row>
    <row r="103">
      <c r="N103" s="27"/>
      <c r="O103" s="27"/>
      <c r="P103" s="27"/>
      <c r="Q103" s="27"/>
    </row>
    <row r="104">
      <c r="N104" s="27"/>
      <c r="O104" s="27"/>
      <c r="P104" s="27"/>
      <c r="Q104" s="27"/>
    </row>
    <row r="105">
      <c r="N105" s="27"/>
      <c r="O105" s="27"/>
      <c r="P105" s="27"/>
      <c r="Q105" s="27"/>
    </row>
    <row r="106">
      <c r="N106" s="27"/>
      <c r="O106" s="27"/>
      <c r="P106" s="27"/>
      <c r="Q106" s="27"/>
    </row>
    <row r="107">
      <c r="N107" s="27"/>
      <c r="O107" s="27"/>
      <c r="P107" s="27"/>
      <c r="Q107" s="27"/>
    </row>
    <row r="108">
      <c r="N108" s="27"/>
      <c r="O108" s="27"/>
      <c r="P108" s="27"/>
      <c r="Q108" s="27"/>
    </row>
    <row r="109">
      <c r="N109" s="27"/>
      <c r="O109" s="27"/>
      <c r="P109" s="27"/>
      <c r="Q109" s="27"/>
    </row>
    <row r="110">
      <c r="N110" s="27"/>
      <c r="O110" s="27"/>
      <c r="P110" s="27"/>
      <c r="Q110" s="27"/>
    </row>
    <row r="111">
      <c r="N111" s="27"/>
      <c r="O111" s="27"/>
      <c r="P111" s="27"/>
      <c r="Q111" s="27"/>
    </row>
    <row r="112">
      <c r="N112" s="27"/>
      <c r="O112" s="27"/>
      <c r="P112" s="27"/>
      <c r="Q112" s="27"/>
    </row>
    <row r="113">
      <c r="N113" s="27"/>
      <c r="O113" s="27"/>
      <c r="P113" s="27"/>
      <c r="Q113" s="27"/>
    </row>
    <row r="114">
      <c r="N114" s="27"/>
      <c r="O114" s="27"/>
      <c r="P114" s="27"/>
      <c r="Q114" s="27"/>
    </row>
    <row r="115">
      <c r="N115" s="27"/>
      <c r="O115" s="27"/>
      <c r="P115" s="27"/>
      <c r="Q115" s="27"/>
    </row>
    <row r="116">
      <c r="N116" s="27"/>
      <c r="O116" s="27"/>
      <c r="P116" s="27"/>
      <c r="Q116" s="27"/>
    </row>
    <row r="117">
      <c r="N117" s="27"/>
      <c r="O117" s="27"/>
      <c r="P117" s="27"/>
      <c r="Q117" s="27"/>
    </row>
    <row r="118">
      <c r="N118" s="27"/>
      <c r="O118" s="27"/>
      <c r="P118" s="27"/>
      <c r="Q118" s="27"/>
    </row>
    <row r="119">
      <c r="N119" s="27"/>
      <c r="O119" s="27"/>
      <c r="P119" s="27"/>
      <c r="Q119" s="27"/>
    </row>
    <row r="120">
      <c r="N120" s="27"/>
      <c r="O120" s="27"/>
      <c r="P120" s="27"/>
      <c r="Q120" s="27"/>
    </row>
    <row r="121">
      <c r="N121" s="27"/>
      <c r="O121" s="27"/>
      <c r="P121" s="27"/>
      <c r="Q121" s="27"/>
    </row>
    <row r="122">
      <c r="N122" s="27"/>
      <c r="O122" s="27"/>
      <c r="P122" s="27"/>
      <c r="Q122" s="27"/>
    </row>
    <row r="123">
      <c r="N123" s="27"/>
      <c r="O123" s="27"/>
      <c r="P123" s="27"/>
      <c r="Q123" s="27"/>
    </row>
    <row r="124">
      <c r="N124" s="27"/>
      <c r="O124" s="27"/>
      <c r="P124" s="27"/>
      <c r="Q124" s="27"/>
    </row>
    <row r="125">
      <c r="N125" s="27"/>
      <c r="O125" s="27"/>
      <c r="P125" s="27"/>
      <c r="Q125" s="27"/>
    </row>
    <row r="126">
      <c r="N126" s="27"/>
      <c r="O126" s="27"/>
      <c r="P126" s="27"/>
      <c r="Q126" s="27"/>
    </row>
    <row r="127">
      <c r="N127" s="27"/>
      <c r="O127" s="27"/>
      <c r="P127" s="27"/>
      <c r="Q127" s="27"/>
    </row>
    <row r="128">
      <c r="N128" s="27"/>
      <c r="O128" s="27"/>
      <c r="P128" s="27"/>
      <c r="Q128" s="27"/>
    </row>
    <row r="129">
      <c r="N129" s="27"/>
      <c r="O129" s="27"/>
      <c r="P129" s="27"/>
      <c r="Q129" s="27"/>
    </row>
    <row r="130">
      <c r="N130" s="27"/>
      <c r="O130" s="27"/>
      <c r="P130" s="27"/>
      <c r="Q130" s="27"/>
    </row>
    <row r="131">
      <c r="N131" s="27"/>
      <c r="O131" s="27"/>
      <c r="P131" s="27"/>
      <c r="Q131" s="27"/>
    </row>
    <row r="132">
      <c r="N132" s="27"/>
      <c r="O132" s="27"/>
      <c r="P132" s="27"/>
      <c r="Q132" s="27"/>
    </row>
    <row r="133">
      <c r="N133" s="27"/>
      <c r="O133" s="27"/>
      <c r="P133" s="27"/>
      <c r="Q133" s="27"/>
    </row>
    <row r="134">
      <c r="N134" s="27"/>
      <c r="O134" s="27"/>
      <c r="P134" s="27"/>
      <c r="Q134" s="27"/>
    </row>
    <row r="135">
      <c r="N135" s="27"/>
      <c r="O135" s="27"/>
      <c r="P135" s="27"/>
      <c r="Q135" s="27"/>
    </row>
    <row r="136">
      <c r="N136" s="27"/>
      <c r="O136" s="27"/>
      <c r="P136" s="27"/>
      <c r="Q136" s="27"/>
    </row>
    <row r="137">
      <c r="N137" s="27"/>
      <c r="O137" s="27"/>
      <c r="P137" s="27"/>
      <c r="Q137" s="27"/>
    </row>
    <row r="138">
      <c r="N138" s="27"/>
      <c r="O138" s="27"/>
      <c r="P138" s="27"/>
      <c r="Q138" s="27"/>
    </row>
    <row r="139">
      <c r="N139" s="27"/>
      <c r="O139" s="27"/>
      <c r="P139" s="27"/>
      <c r="Q139" s="27"/>
    </row>
    <row r="140">
      <c r="N140" s="27"/>
      <c r="O140" s="27"/>
      <c r="P140" s="27"/>
      <c r="Q140" s="27"/>
    </row>
    <row r="141">
      <c r="N141" s="27"/>
      <c r="O141" s="27"/>
      <c r="P141" s="27"/>
      <c r="Q141" s="27"/>
    </row>
    <row r="142">
      <c r="N142" s="27"/>
      <c r="O142" s="27"/>
      <c r="P142" s="27"/>
      <c r="Q142" s="27"/>
    </row>
    <row r="143">
      <c r="N143" s="27"/>
      <c r="O143" s="27"/>
      <c r="P143" s="27"/>
      <c r="Q143" s="27"/>
    </row>
    <row r="144">
      <c r="N144" s="27"/>
      <c r="O144" s="27"/>
      <c r="P144" s="27"/>
      <c r="Q144" s="27"/>
    </row>
    <row r="145">
      <c r="N145" s="27"/>
      <c r="O145" s="27"/>
      <c r="P145" s="27"/>
      <c r="Q145" s="27"/>
    </row>
    <row r="146">
      <c r="N146" s="27"/>
      <c r="O146" s="27"/>
      <c r="P146" s="27"/>
      <c r="Q146" s="27"/>
    </row>
    <row r="147">
      <c r="N147" s="27"/>
      <c r="O147" s="27"/>
      <c r="P147" s="27"/>
      <c r="Q147" s="27"/>
    </row>
    <row r="148">
      <c r="N148" s="27"/>
      <c r="O148" s="27"/>
      <c r="P148" s="27"/>
      <c r="Q148" s="27"/>
    </row>
    <row r="149">
      <c r="N149" s="27"/>
      <c r="O149" s="27"/>
      <c r="P149" s="27"/>
      <c r="Q149" s="27"/>
    </row>
    <row r="150">
      <c r="N150" s="27"/>
      <c r="O150" s="27"/>
      <c r="P150" s="27"/>
      <c r="Q150" s="27"/>
    </row>
    <row r="151">
      <c r="N151" s="27"/>
      <c r="O151" s="27"/>
      <c r="P151" s="27"/>
      <c r="Q151" s="27"/>
    </row>
    <row r="152">
      <c r="N152" s="27"/>
      <c r="O152" s="27"/>
      <c r="P152" s="27"/>
      <c r="Q152" s="27"/>
    </row>
    <row r="153">
      <c r="N153" s="27"/>
      <c r="O153" s="27"/>
      <c r="P153" s="27"/>
      <c r="Q153" s="27"/>
    </row>
    <row r="154">
      <c r="N154" s="27"/>
      <c r="O154" s="27"/>
      <c r="P154" s="27"/>
      <c r="Q154" s="27"/>
    </row>
    <row r="155">
      <c r="N155" s="27"/>
      <c r="O155" s="27"/>
      <c r="P155" s="27"/>
      <c r="Q155" s="27"/>
    </row>
    <row r="156">
      <c r="N156" s="27"/>
      <c r="O156" s="27"/>
      <c r="P156" s="27"/>
      <c r="Q156" s="27"/>
    </row>
    <row r="157">
      <c r="N157" s="27"/>
      <c r="O157" s="27"/>
      <c r="P157" s="27"/>
      <c r="Q157" s="27"/>
    </row>
    <row r="158">
      <c r="N158" s="27"/>
      <c r="O158" s="27"/>
      <c r="P158" s="27"/>
      <c r="Q158" s="27"/>
    </row>
    <row r="159">
      <c r="N159" s="27"/>
      <c r="O159" s="27"/>
      <c r="P159" s="27"/>
      <c r="Q159" s="27"/>
    </row>
    <row r="160">
      <c r="N160" s="27"/>
      <c r="O160" s="27"/>
      <c r="P160" s="27"/>
      <c r="Q160" s="27"/>
    </row>
    <row r="161">
      <c r="N161" s="27"/>
      <c r="O161" s="27"/>
      <c r="P161" s="27"/>
      <c r="Q161" s="27"/>
    </row>
    <row r="162">
      <c r="N162" s="27"/>
      <c r="O162" s="27"/>
      <c r="P162" s="27"/>
      <c r="Q162" s="27"/>
    </row>
    <row r="163">
      <c r="N163" s="27"/>
      <c r="O163" s="27"/>
      <c r="P163" s="27"/>
      <c r="Q163" s="27"/>
    </row>
    <row r="164">
      <c r="N164" s="27"/>
      <c r="O164" s="27"/>
      <c r="P164" s="27"/>
      <c r="Q164" s="27"/>
    </row>
    <row r="165">
      <c r="N165" s="27"/>
      <c r="O165" s="27"/>
      <c r="P165" s="27"/>
      <c r="Q165" s="27"/>
    </row>
    <row r="166">
      <c r="N166" s="27"/>
      <c r="O166" s="27"/>
      <c r="P166" s="27"/>
      <c r="Q166" s="27"/>
    </row>
    <row r="167">
      <c r="N167" s="27"/>
      <c r="O167" s="27"/>
      <c r="P167" s="27"/>
      <c r="Q167" s="27"/>
    </row>
    <row r="168">
      <c r="N168" s="27"/>
      <c r="O168" s="27"/>
      <c r="P168" s="27"/>
      <c r="Q168" s="27"/>
    </row>
    <row r="169">
      <c r="N169" s="27"/>
      <c r="O169" s="27"/>
      <c r="P169" s="27"/>
      <c r="Q169" s="27"/>
    </row>
    <row r="170">
      <c r="N170" s="27"/>
      <c r="O170" s="27"/>
      <c r="P170" s="27"/>
      <c r="Q170" s="27"/>
    </row>
    <row r="171">
      <c r="N171" s="27"/>
      <c r="O171" s="27"/>
      <c r="P171" s="27"/>
      <c r="Q171" s="27"/>
    </row>
    <row r="172">
      <c r="N172" s="27"/>
      <c r="O172" s="27"/>
      <c r="P172" s="27"/>
      <c r="Q172" s="27"/>
    </row>
    <row r="173">
      <c r="N173" s="27"/>
      <c r="O173" s="27"/>
      <c r="P173" s="27"/>
      <c r="Q173" s="27"/>
    </row>
    <row r="174">
      <c r="N174" s="27"/>
      <c r="O174" s="27"/>
      <c r="P174" s="27"/>
      <c r="Q174" s="27"/>
    </row>
    <row r="175">
      <c r="N175" s="27"/>
      <c r="O175" s="27"/>
      <c r="P175" s="27"/>
      <c r="Q175" s="27"/>
    </row>
    <row r="176">
      <c r="N176" s="27"/>
      <c r="O176" s="27"/>
      <c r="P176" s="27"/>
      <c r="Q176" s="27"/>
    </row>
    <row r="177">
      <c r="N177" s="27"/>
      <c r="O177" s="27"/>
      <c r="P177" s="27"/>
      <c r="Q177" s="27"/>
    </row>
    <row r="178">
      <c r="N178" s="27"/>
      <c r="O178" s="27"/>
      <c r="P178" s="27"/>
      <c r="Q178" s="27"/>
    </row>
    <row r="179">
      <c r="N179" s="27"/>
      <c r="O179" s="27"/>
      <c r="P179" s="27"/>
      <c r="Q179" s="27"/>
    </row>
    <row r="180">
      <c r="N180" s="27"/>
      <c r="O180" s="27"/>
      <c r="P180" s="27"/>
      <c r="Q180" s="27"/>
    </row>
    <row r="181">
      <c r="N181" s="27"/>
      <c r="O181" s="27"/>
      <c r="P181" s="27"/>
      <c r="Q181" s="27"/>
    </row>
    <row r="182">
      <c r="N182" s="27"/>
      <c r="O182" s="27"/>
      <c r="P182" s="27"/>
      <c r="Q182" s="27"/>
    </row>
    <row r="183">
      <c r="N183" s="27"/>
      <c r="O183" s="27"/>
      <c r="P183" s="27"/>
      <c r="Q183" s="27"/>
    </row>
    <row r="184">
      <c r="N184" s="27"/>
      <c r="O184" s="27"/>
      <c r="P184" s="27"/>
      <c r="Q184" s="27"/>
    </row>
    <row r="185">
      <c r="N185" s="27"/>
      <c r="O185" s="27"/>
      <c r="P185" s="27"/>
      <c r="Q185" s="27"/>
    </row>
    <row r="186">
      <c r="N186" s="27"/>
      <c r="O186" s="27"/>
      <c r="P186" s="27"/>
      <c r="Q186" s="27"/>
    </row>
    <row r="187">
      <c r="N187" s="27"/>
      <c r="O187" s="27"/>
      <c r="P187" s="27"/>
      <c r="Q187" s="27"/>
    </row>
    <row r="188">
      <c r="N188" s="27"/>
      <c r="O188" s="27"/>
      <c r="P188" s="27"/>
      <c r="Q188" s="27"/>
    </row>
    <row r="189">
      <c r="N189" s="27"/>
      <c r="O189" s="27"/>
      <c r="P189" s="27"/>
      <c r="Q189" s="27"/>
    </row>
    <row r="190">
      <c r="N190" s="27"/>
      <c r="O190" s="27"/>
      <c r="P190" s="27"/>
      <c r="Q190" s="27"/>
    </row>
    <row r="191">
      <c r="N191" s="27"/>
      <c r="O191" s="27"/>
      <c r="P191" s="27"/>
      <c r="Q191" s="27"/>
    </row>
    <row r="192">
      <c r="N192" s="27"/>
      <c r="O192" s="27"/>
      <c r="P192" s="27"/>
      <c r="Q192" s="27"/>
    </row>
    <row r="193">
      <c r="N193" s="27"/>
      <c r="O193" s="27"/>
      <c r="P193" s="27"/>
      <c r="Q193" s="27"/>
    </row>
    <row r="194">
      <c r="N194" s="27"/>
      <c r="O194" s="27"/>
      <c r="P194" s="27"/>
      <c r="Q194" s="27"/>
    </row>
    <row r="195">
      <c r="N195" s="27"/>
      <c r="O195" s="27"/>
      <c r="P195" s="27"/>
      <c r="Q195" s="27"/>
    </row>
    <row r="196">
      <c r="N196" s="27"/>
      <c r="O196" s="27"/>
      <c r="P196" s="27"/>
      <c r="Q196" s="27"/>
    </row>
    <row r="197">
      <c r="N197" s="27"/>
      <c r="O197" s="27"/>
      <c r="P197" s="27"/>
      <c r="Q197" s="27"/>
    </row>
    <row r="198">
      <c r="N198" s="27"/>
      <c r="O198" s="27"/>
      <c r="P198" s="27"/>
      <c r="Q198" s="27"/>
    </row>
    <row r="199">
      <c r="N199" s="27"/>
      <c r="O199" s="27"/>
      <c r="P199" s="27"/>
      <c r="Q199" s="27"/>
    </row>
    <row r="200">
      <c r="N200" s="27"/>
      <c r="O200" s="27"/>
      <c r="P200" s="27"/>
      <c r="Q200" s="27"/>
    </row>
    <row r="201">
      <c r="N201" s="27"/>
      <c r="O201" s="27"/>
      <c r="P201" s="27"/>
      <c r="Q201" s="27"/>
    </row>
    <row r="202">
      <c r="N202" s="27"/>
      <c r="O202" s="27"/>
      <c r="P202" s="27"/>
      <c r="Q202" s="27"/>
    </row>
    <row r="203">
      <c r="N203" s="27"/>
      <c r="O203" s="27"/>
      <c r="P203" s="27"/>
      <c r="Q203" s="27"/>
    </row>
    <row r="204">
      <c r="N204" s="27"/>
      <c r="O204" s="27"/>
      <c r="P204" s="27"/>
      <c r="Q204" s="27"/>
    </row>
    <row r="205">
      <c r="N205" s="27"/>
      <c r="O205" s="27"/>
      <c r="P205" s="27"/>
      <c r="Q205" s="27"/>
    </row>
    <row r="206">
      <c r="N206" s="27"/>
      <c r="O206" s="27"/>
      <c r="P206" s="27"/>
      <c r="Q206" s="27"/>
    </row>
    <row r="207">
      <c r="N207" s="27"/>
      <c r="O207" s="27"/>
      <c r="P207" s="27"/>
      <c r="Q207" s="27"/>
    </row>
    <row r="208">
      <c r="N208" s="27"/>
      <c r="O208" s="27"/>
      <c r="P208" s="27"/>
      <c r="Q208" s="27"/>
    </row>
    <row r="209">
      <c r="N209" s="27"/>
      <c r="O209" s="27"/>
      <c r="P209" s="27"/>
      <c r="Q209" s="27"/>
    </row>
    <row r="210">
      <c r="N210" s="27"/>
      <c r="O210" s="27"/>
      <c r="P210" s="27"/>
      <c r="Q210" s="27"/>
    </row>
    <row r="211">
      <c r="N211" s="27"/>
      <c r="O211" s="27"/>
      <c r="P211" s="27"/>
      <c r="Q211" s="27"/>
    </row>
    <row r="212">
      <c r="N212" s="27"/>
      <c r="O212" s="27"/>
      <c r="P212" s="27"/>
      <c r="Q212" s="27"/>
    </row>
    <row r="213">
      <c r="N213" s="27"/>
      <c r="O213" s="27"/>
      <c r="P213" s="27"/>
      <c r="Q213" s="27"/>
    </row>
    <row r="214">
      <c r="N214" s="27"/>
      <c r="O214" s="27"/>
      <c r="P214" s="27"/>
      <c r="Q214" s="27"/>
    </row>
    <row r="215">
      <c r="N215" s="27"/>
      <c r="O215" s="27"/>
      <c r="P215" s="27"/>
      <c r="Q215" s="27"/>
    </row>
    <row r="216">
      <c r="N216" s="27"/>
      <c r="O216" s="27"/>
      <c r="P216" s="27"/>
      <c r="Q216" s="27"/>
    </row>
    <row r="217">
      <c r="N217" s="27"/>
      <c r="O217" s="27"/>
      <c r="P217" s="27"/>
      <c r="Q217" s="27"/>
    </row>
    <row r="218">
      <c r="N218" s="27"/>
      <c r="O218" s="27"/>
      <c r="P218" s="27"/>
      <c r="Q218" s="27"/>
    </row>
    <row r="219">
      <c r="N219" s="27"/>
      <c r="O219" s="27"/>
      <c r="P219" s="27"/>
      <c r="Q219" s="27"/>
    </row>
    <row r="220">
      <c r="N220" s="27"/>
      <c r="O220" s="27"/>
      <c r="P220" s="27"/>
      <c r="Q220" s="27"/>
    </row>
    <row r="221">
      <c r="N221" s="27"/>
      <c r="O221" s="27"/>
      <c r="P221" s="27"/>
      <c r="Q221" s="27"/>
    </row>
    <row r="222">
      <c r="N222" s="27"/>
      <c r="O222" s="27"/>
      <c r="P222" s="27"/>
      <c r="Q222" s="27"/>
    </row>
    <row r="223">
      <c r="N223" s="27"/>
      <c r="O223" s="27"/>
      <c r="P223" s="27"/>
      <c r="Q223" s="27"/>
    </row>
    <row r="224">
      <c r="N224" s="27"/>
      <c r="O224" s="27"/>
      <c r="P224" s="27"/>
      <c r="Q224" s="27"/>
    </row>
    <row r="225">
      <c r="N225" s="27"/>
      <c r="O225" s="27"/>
      <c r="P225" s="27"/>
      <c r="Q225" s="27"/>
    </row>
    <row r="226">
      <c r="N226" s="27"/>
      <c r="O226" s="27"/>
      <c r="P226" s="27"/>
      <c r="Q226" s="27"/>
    </row>
    <row r="227">
      <c r="N227" s="27"/>
      <c r="O227" s="27"/>
      <c r="P227" s="27"/>
      <c r="Q227" s="27"/>
    </row>
    <row r="228">
      <c r="N228" s="27"/>
      <c r="O228" s="27"/>
      <c r="P228" s="27"/>
      <c r="Q228" s="27"/>
    </row>
    <row r="229">
      <c r="N229" s="27"/>
      <c r="O229" s="27"/>
      <c r="P229" s="27"/>
      <c r="Q229" s="27"/>
    </row>
    <row r="230">
      <c r="N230" s="27"/>
      <c r="O230" s="27"/>
      <c r="P230" s="27"/>
      <c r="Q230" s="27"/>
    </row>
    <row r="231">
      <c r="N231" s="27"/>
      <c r="O231" s="27"/>
      <c r="P231" s="27"/>
      <c r="Q231" s="27"/>
    </row>
    <row r="232">
      <c r="N232" s="27"/>
      <c r="O232" s="27"/>
      <c r="P232" s="27"/>
      <c r="Q232" s="27"/>
    </row>
    <row r="233">
      <c r="N233" s="27"/>
      <c r="O233" s="27"/>
      <c r="P233" s="27"/>
      <c r="Q233" s="27"/>
    </row>
    <row r="234">
      <c r="N234" s="27"/>
      <c r="O234" s="27"/>
      <c r="P234" s="27"/>
      <c r="Q234" s="27"/>
    </row>
    <row r="235">
      <c r="N235" s="27"/>
      <c r="O235" s="27"/>
      <c r="P235" s="27"/>
      <c r="Q235" s="27"/>
    </row>
    <row r="236">
      <c r="N236" s="27"/>
      <c r="O236" s="27"/>
      <c r="P236" s="27"/>
      <c r="Q236" s="27"/>
    </row>
    <row r="237">
      <c r="N237" s="27"/>
      <c r="O237" s="27"/>
      <c r="P237" s="27"/>
      <c r="Q237" s="27"/>
    </row>
    <row r="238">
      <c r="N238" s="27"/>
      <c r="O238" s="27"/>
      <c r="P238" s="27"/>
      <c r="Q238" s="27"/>
    </row>
    <row r="239">
      <c r="N239" s="27"/>
      <c r="O239" s="27"/>
      <c r="P239" s="27"/>
      <c r="Q239" s="27"/>
    </row>
    <row r="240">
      <c r="N240" s="27"/>
      <c r="O240" s="27"/>
      <c r="P240" s="27"/>
      <c r="Q240" s="27"/>
    </row>
    <row r="241">
      <c r="N241" s="27"/>
      <c r="O241" s="27"/>
      <c r="P241" s="27"/>
      <c r="Q241" s="27"/>
    </row>
    <row r="242">
      <c r="N242" s="27"/>
      <c r="O242" s="27"/>
      <c r="P242" s="27"/>
      <c r="Q242" s="27"/>
    </row>
    <row r="243">
      <c r="N243" s="27"/>
      <c r="O243" s="27"/>
      <c r="P243" s="27"/>
      <c r="Q243" s="27"/>
    </row>
    <row r="244">
      <c r="N244" s="27"/>
      <c r="O244" s="27"/>
      <c r="P244" s="27"/>
      <c r="Q244" s="27"/>
    </row>
    <row r="245">
      <c r="N245" s="27"/>
      <c r="O245" s="27"/>
      <c r="P245" s="27"/>
      <c r="Q245" s="27"/>
    </row>
    <row r="246">
      <c r="N246" s="27"/>
      <c r="O246" s="27"/>
      <c r="P246" s="27"/>
      <c r="Q246" s="27"/>
    </row>
    <row r="247">
      <c r="N247" s="27"/>
      <c r="O247" s="27"/>
      <c r="P247" s="27"/>
      <c r="Q247" s="27"/>
    </row>
    <row r="248">
      <c r="N248" s="27"/>
      <c r="O248" s="27"/>
      <c r="P248" s="27"/>
      <c r="Q248" s="27"/>
    </row>
    <row r="249">
      <c r="N249" s="27"/>
      <c r="O249" s="27"/>
      <c r="P249" s="27"/>
      <c r="Q249" s="27"/>
    </row>
    <row r="250">
      <c r="N250" s="27"/>
      <c r="O250" s="27"/>
      <c r="P250" s="27"/>
      <c r="Q250" s="27"/>
    </row>
    <row r="251">
      <c r="N251" s="27"/>
      <c r="O251" s="27"/>
      <c r="P251" s="27"/>
      <c r="Q251" s="27"/>
    </row>
    <row r="252">
      <c r="N252" s="27"/>
      <c r="O252" s="27"/>
      <c r="P252" s="27"/>
      <c r="Q252" s="27"/>
    </row>
    <row r="253">
      <c r="N253" s="27"/>
      <c r="O253" s="27"/>
      <c r="P253" s="27"/>
      <c r="Q253" s="27"/>
    </row>
    <row r="254">
      <c r="N254" s="27"/>
      <c r="O254" s="27"/>
      <c r="P254" s="27"/>
      <c r="Q254" s="27"/>
    </row>
    <row r="255">
      <c r="N255" s="27"/>
      <c r="O255" s="27"/>
      <c r="P255" s="27"/>
      <c r="Q255" s="27"/>
    </row>
    <row r="256">
      <c r="N256" s="27"/>
      <c r="O256" s="27"/>
      <c r="P256" s="27"/>
      <c r="Q256" s="27"/>
    </row>
    <row r="257">
      <c r="N257" s="27"/>
      <c r="O257" s="27"/>
      <c r="P257" s="27"/>
      <c r="Q257" s="27"/>
    </row>
    <row r="258">
      <c r="N258" s="27"/>
      <c r="O258" s="27"/>
      <c r="P258" s="27"/>
      <c r="Q258" s="27"/>
    </row>
    <row r="259">
      <c r="N259" s="27"/>
      <c r="O259" s="27"/>
      <c r="P259" s="27"/>
      <c r="Q259" s="27"/>
    </row>
    <row r="260">
      <c r="N260" s="27"/>
      <c r="O260" s="27"/>
      <c r="P260" s="27"/>
      <c r="Q260" s="27"/>
    </row>
    <row r="261">
      <c r="N261" s="27"/>
      <c r="O261" s="27"/>
      <c r="P261" s="27"/>
      <c r="Q261" s="27"/>
    </row>
    <row r="262">
      <c r="N262" s="27"/>
      <c r="O262" s="27"/>
      <c r="P262" s="27"/>
      <c r="Q262" s="27"/>
    </row>
    <row r="263">
      <c r="N263" s="27"/>
      <c r="O263" s="27"/>
      <c r="P263" s="27"/>
      <c r="Q263" s="27"/>
    </row>
    <row r="264">
      <c r="N264" s="27"/>
      <c r="O264" s="27"/>
      <c r="P264" s="27"/>
      <c r="Q264" s="27"/>
    </row>
    <row r="265">
      <c r="N265" s="27"/>
      <c r="O265" s="27"/>
      <c r="P265" s="27"/>
      <c r="Q265" s="27"/>
    </row>
    <row r="266">
      <c r="N266" s="27"/>
      <c r="O266" s="27"/>
      <c r="P266" s="27"/>
      <c r="Q266" s="27"/>
    </row>
    <row r="267">
      <c r="N267" s="27"/>
      <c r="O267" s="27"/>
      <c r="P267" s="27"/>
      <c r="Q267" s="27"/>
    </row>
    <row r="268">
      <c r="N268" s="27"/>
      <c r="O268" s="27"/>
      <c r="P268" s="27"/>
      <c r="Q268" s="27"/>
    </row>
    <row r="269">
      <c r="N269" s="27"/>
      <c r="O269" s="27"/>
      <c r="P269" s="27"/>
      <c r="Q269" s="27"/>
    </row>
    <row r="270">
      <c r="N270" s="27"/>
      <c r="O270" s="27"/>
      <c r="P270" s="27"/>
      <c r="Q270" s="27"/>
    </row>
    <row r="271">
      <c r="N271" s="27"/>
      <c r="O271" s="27"/>
      <c r="P271" s="27"/>
      <c r="Q271" s="27"/>
    </row>
    <row r="272">
      <c r="N272" s="27"/>
      <c r="O272" s="27"/>
      <c r="P272" s="27"/>
      <c r="Q272" s="27"/>
    </row>
    <row r="273">
      <c r="N273" s="27"/>
      <c r="O273" s="27"/>
      <c r="P273" s="27"/>
      <c r="Q273" s="27"/>
    </row>
    <row r="274">
      <c r="N274" s="27"/>
      <c r="O274" s="27"/>
      <c r="P274" s="27"/>
      <c r="Q274" s="27"/>
    </row>
    <row r="275">
      <c r="N275" s="27"/>
      <c r="O275" s="27"/>
      <c r="P275" s="27"/>
      <c r="Q275" s="27"/>
    </row>
    <row r="276">
      <c r="N276" s="27"/>
      <c r="O276" s="27"/>
      <c r="P276" s="27"/>
      <c r="Q276" s="27"/>
    </row>
    <row r="277">
      <c r="N277" s="27"/>
      <c r="O277" s="27"/>
      <c r="P277" s="27"/>
      <c r="Q277" s="27"/>
    </row>
    <row r="278">
      <c r="N278" s="27"/>
      <c r="O278" s="27"/>
      <c r="P278" s="27"/>
      <c r="Q278" s="27"/>
    </row>
    <row r="279">
      <c r="N279" s="27"/>
      <c r="O279" s="27"/>
      <c r="P279" s="27"/>
      <c r="Q279" s="27"/>
    </row>
    <row r="280">
      <c r="N280" s="27"/>
      <c r="O280" s="27"/>
      <c r="P280" s="27"/>
      <c r="Q280" s="27"/>
    </row>
    <row r="281">
      <c r="N281" s="27"/>
      <c r="O281" s="27"/>
      <c r="P281" s="27"/>
      <c r="Q281" s="27"/>
    </row>
    <row r="282">
      <c r="N282" s="27"/>
      <c r="O282" s="27"/>
      <c r="P282" s="27"/>
      <c r="Q282" s="27"/>
    </row>
    <row r="283">
      <c r="N283" s="27"/>
      <c r="O283" s="27"/>
      <c r="P283" s="27"/>
      <c r="Q283" s="27"/>
    </row>
    <row r="284">
      <c r="N284" s="27"/>
      <c r="O284" s="27"/>
      <c r="P284" s="27"/>
      <c r="Q284" s="27"/>
    </row>
    <row r="285">
      <c r="N285" s="27"/>
      <c r="O285" s="27"/>
      <c r="P285" s="27"/>
      <c r="Q285" s="27"/>
    </row>
    <row r="286">
      <c r="N286" s="27"/>
      <c r="O286" s="27"/>
      <c r="P286" s="27"/>
      <c r="Q286" s="27"/>
    </row>
    <row r="287">
      <c r="N287" s="27"/>
      <c r="O287" s="27"/>
      <c r="P287" s="27"/>
      <c r="Q287" s="27"/>
    </row>
    <row r="288">
      <c r="N288" s="27"/>
      <c r="O288" s="27"/>
      <c r="P288" s="27"/>
      <c r="Q288" s="27"/>
    </row>
    <row r="289">
      <c r="N289" s="27"/>
      <c r="O289" s="27"/>
      <c r="P289" s="27"/>
      <c r="Q289" s="27"/>
    </row>
    <row r="290">
      <c r="N290" s="27"/>
      <c r="O290" s="27"/>
      <c r="P290" s="27"/>
      <c r="Q290" s="27"/>
    </row>
    <row r="291">
      <c r="N291" s="27"/>
      <c r="O291" s="27"/>
      <c r="P291" s="27"/>
      <c r="Q291" s="27"/>
    </row>
    <row r="292">
      <c r="N292" s="27"/>
      <c r="O292" s="27"/>
      <c r="P292" s="27"/>
      <c r="Q292" s="27"/>
    </row>
    <row r="293">
      <c r="N293" s="27"/>
      <c r="O293" s="27"/>
      <c r="P293" s="27"/>
      <c r="Q293" s="27"/>
    </row>
    <row r="294">
      <c r="N294" s="27"/>
      <c r="O294" s="27"/>
      <c r="P294" s="27"/>
      <c r="Q294" s="27"/>
    </row>
    <row r="295">
      <c r="N295" s="27"/>
      <c r="O295" s="27"/>
      <c r="P295" s="27"/>
      <c r="Q295" s="27"/>
    </row>
    <row r="296">
      <c r="N296" s="27"/>
      <c r="O296" s="27"/>
      <c r="P296" s="27"/>
      <c r="Q296" s="27"/>
    </row>
    <row r="297">
      <c r="N297" s="27"/>
      <c r="O297" s="27"/>
      <c r="P297" s="27"/>
      <c r="Q297" s="27"/>
    </row>
    <row r="298">
      <c r="N298" s="27"/>
      <c r="O298" s="27"/>
      <c r="P298" s="27"/>
      <c r="Q298" s="27"/>
    </row>
    <row r="299">
      <c r="N299" s="27"/>
      <c r="O299" s="27"/>
      <c r="P299" s="27"/>
      <c r="Q299" s="27"/>
    </row>
    <row r="300">
      <c r="N300" s="27"/>
      <c r="O300" s="27"/>
      <c r="P300" s="27"/>
      <c r="Q300" s="27"/>
    </row>
    <row r="301">
      <c r="N301" s="27"/>
      <c r="O301" s="27"/>
      <c r="P301" s="27"/>
      <c r="Q301" s="27"/>
    </row>
    <row r="302">
      <c r="N302" s="27"/>
      <c r="O302" s="27"/>
      <c r="P302" s="27"/>
      <c r="Q302" s="27"/>
    </row>
    <row r="303">
      <c r="N303" s="27"/>
      <c r="O303" s="27"/>
      <c r="P303" s="27"/>
      <c r="Q303" s="27"/>
    </row>
    <row r="304">
      <c r="N304" s="27"/>
      <c r="O304" s="27"/>
      <c r="P304" s="27"/>
      <c r="Q304" s="27"/>
    </row>
    <row r="305">
      <c r="N305" s="27"/>
      <c r="O305" s="27"/>
      <c r="P305" s="27"/>
      <c r="Q305" s="27"/>
    </row>
    <row r="306">
      <c r="N306" s="27"/>
      <c r="O306" s="27"/>
      <c r="P306" s="27"/>
      <c r="Q306" s="27"/>
    </row>
    <row r="307">
      <c r="N307" s="27"/>
      <c r="O307" s="27"/>
      <c r="P307" s="27"/>
      <c r="Q307" s="27"/>
    </row>
    <row r="308">
      <c r="N308" s="27"/>
      <c r="O308" s="27"/>
      <c r="P308" s="27"/>
      <c r="Q308" s="27"/>
    </row>
    <row r="309">
      <c r="N309" s="27"/>
      <c r="O309" s="27"/>
      <c r="P309" s="27"/>
      <c r="Q309" s="27"/>
    </row>
    <row r="310">
      <c r="N310" s="27"/>
      <c r="O310" s="27"/>
      <c r="P310" s="27"/>
      <c r="Q310" s="27"/>
    </row>
    <row r="311">
      <c r="N311" s="27"/>
      <c r="O311" s="27"/>
      <c r="P311" s="27"/>
      <c r="Q311" s="27"/>
    </row>
    <row r="312">
      <c r="N312" s="27"/>
      <c r="O312" s="27"/>
      <c r="P312" s="27"/>
      <c r="Q312" s="27"/>
    </row>
    <row r="313">
      <c r="N313" s="27"/>
      <c r="O313" s="27"/>
      <c r="P313" s="27"/>
      <c r="Q313" s="27"/>
    </row>
    <row r="314">
      <c r="N314" s="27"/>
      <c r="O314" s="27"/>
      <c r="P314" s="27"/>
      <c r="Q314" s="27"/>
    </row>
    <row r="315">
      <c r="N315" s="27"/>
      <c r="O315" s="27"/>
      <c r="P315" s="27"/>
      <c r="Q315" s="27"/>
    </row>
    <row r="316">
      <c r="N316" s="27"/>
      <c r="O316" s="27"/>
      <c r="P316" s="27"/>
      <c r="Q316" s="27"/>
    </row>
    <row r="317">
      <c r="N317" s="27"/>
      <c r="O317" s="27"/>
      <c r="P317" s="27"/>
      <c r="Q317" s="27"/>
    </row>
    <row r="318">
      <c r="N318" s="27"/>
      <c r="O318" s="27"/>
      <c r="P318" s="27"/>
      <c r="Q318" s="27"/>
    </row>
    <row r="319">
      <c r="N319" s="27"/>
      <c r="O319" s="27"/>
      <c r="P319" s="27"/>
      <c r="Q319" s="27"/>
    </row>
    <row r="320">
      <c r="N320" s="27"/>
      <c r="O320" s="27"/>
      <c r="P320" s="27"/>
      <c r="Q320" s="27"/>
    </row>
    <row r="321">
      <c r="N321" s="27"/>
      <c r="O321" s="27"/>
      <c r="P321" s="27"/>
      <c r="Q321" s="27"/>
    </row>
    <row r="322">
      <c r="N322" s="27"/>
      <c r="O322" s="27"/>
      <c r="P322" s="27"/>
      <c r="Q322" s="27"/>
    </row>
    <row r="323">
      <c r="N323" s="27"/>
      <c r="O323" s="27"/>
      <c r="P323" s="27"/>
      <c r="Q323" s="27"/>
    </row>
    <row r="324">
      <c r="N324" s="27"/>
      <c r="O324" s="27"/>
      <c r="P324" s="27"/>
      <c r="Q324" s="27"/>
    </row>
    <row r="325">
      <c r="N325" s="27"/>
      <c r="O325" s="27"/>
      <c r="P325" s="27"/>
      <c r="Q325" s="27"/>
    </row>
    <row r="326">
      <c r="N326" s="27"/>
      <c r="O326" s="27"/>
      <c r="P326" s="27"/>
      <c r="Q326" s="27"/>
    </row>
    <row r="327">
      <c r="N327" s="27"/>
      <c r="O327" s="27"/>
      <c r="P327" s="27"/>
      <c r="Q327" s="27"/>
    </row>
    <row r="328">
      <c r="N328" s="27"/>
      <c r="O328" s="27"/>
      <c r="P328" s="27"/>
      <c r="Q328" s="27"/>
    </row>
    <row r="329">
      <c r="N329" s="27"/>
      <c r="O329" s="27"/>
      <c r="P329" s="27"/>
      <c r="Q329" s="27"/>
    </row>
    <row r="330">
      <c r="N330" s="27"/>
      <c r="O330" s="27"/>
      <c r="P330" s="27"/>
      <c r="Q330" s="27"/>
    </row>
    <row r="331">
      <c r="N331" s="27"/>
      <c r="O331" s="27"/>
      <c r="P331" s="27"/>
      <c r="Q331" s="27"/>
    </row>
    <row r="332">
      <c r="N332" s="27"/>
      <c r="O332" s="27"/>
      <c r="P332" s="27"/>
      <c r="Q332" s="27"/>
    </row>
    <row r="333">
      <c r="N333" s="27"/>
      <c r="O333" s="27"/>
      <c r="P333" s="27"/>
      <c r="Q333" s="27"/>
    </row>
    <row r="334">
      <c r="N334" s="27"/>
      <c r="O334" s="27"/>
      <c r="P334" s="27"/>
      <c r="Q334" s="27"/>
    </row>
    <row r="335">
      <c r="N335" s="27"/>
      <c r="O335" s="27"/>
      <c r="P335" s="27"/>
      <c r="Q335" s="27"/>
    </row>
    <row r="336">
      <c r="N336" s="27"/>
      <c r="O336" s="27"/>
      <c r="P336" s="27"/>
      <c r="Q336" s="27"/>
    </row>
    <row r="337">
      <c r="N337" s="27"/>
      <c r="O337" s="27"/>
      <c r="P337" s="27"/>
      <c r="Q337" s="27"/>
    </row>
    <row r="338">
      <c r="N338" s="27"/>
      <c r="O338" s="27"/>
      <c r="P338" s="27"/>
      <c r="Q338" s="27"/>
    </row>
    <row r="339">
      <c r="N339" s="27"/>
      <c r="O339" s="27"/>
      <c r="P339" s="27"/>
      <c r="Q339" s="27"/>
    </row>
    <row r="340">
      <c r="N340" s="27"/>
      <c r="O340" s="27"/>
      <c r="P340" s="27"/>
      <c r="Q340" s="27"/>
    </row>
    <row r="341">
      <c r="N341" s="27"/>
      <c r="O341" s="27"/>
      <c r="P341" s="27"/>
      <c r="Q341" s="27"/>
    </row>
    <row r="342">
      <c r="N342" s="27"/>
      <c r="O342" s="27"/>
      <c r="P342" s="27"/>
      <c r="Q342" s="27"/>
    </row>
    <row r="343">
      <c r="N343" s="27"/>
      <c r="O343" s="27"/>
      <c r="P343" s="27"/>
      <c r="Q343" s="27"/>
    </row>
    <row r="344">
      <c r="N344" s="27"/>
      <c r="O344" s="27"/>
      <c r="P344" s="27"/>
      <c r="Q344" s="27"/>
    </row>
    <row r="345">
      <c r="N345" s="27"/>
      <c r="O345" s="27"/>
      <c r="P345" s="27"/>
      <c r="Q345" s="27"/>
    </row>
    <row r="346">
      <c r="N346" s="27"/>
      <c r="O346" s="27"/>
      <c r="P346" s="27"/>
      <c r="Q346" s="27"/>
    </row>
    <row r="347">
      <c r="N347" s="27"/>
      <c r="O347" s="27"/>
      <c r="P347" s="27"/>
      <c r="Q347" s="27"/>
    </row>
    <row r="348">
      <c r="N348" s="27"/>
      <c r="O348" s="27"/>
      <c r="P348" s="27"/>
      <c r="Q348" s="27"/>
    </row>
    <row r="349">
      <c r="N349" s="27"/>
      <c r="O349" s="27"/>
      <c r="P349" s="27"/>
      <c r="Q349" s="27"/>
    </row>
    <row r="350">
      <c r="N350" s="27"/>
      <c r="O350" s="27"/>
      <c r="P350" s="27"/>
      <c r="Q350" s="27"/>
    </row>
    <row r="351">
      <c r="N351" s="27"/>
      <c r="O351" s="27"/>
      <c r="P351" s="27"/>
      <c r="Q351" s="27"/>
    </row>
    <row r="352">
      <c r="N352" s="27"/>
      <c r="O352" s="27"/>
      <c r="P352" s="27"/>
      <c r="Q352" s="27"/>
    </row>
    <row r="353">
      <c r="N353" s="27"/>
      <c r="O353" s="27"/>
      <c r="P353" s="27"/>
      <c r="Q353" s="27"/>
    </row>
    <row r="354">
      <c r="N354" s="27"/>
      <c r="O354" s="27"/>
      <c r="P354" s="27"/>
      <c r="Q354" s="27"/>
    </row>
    <row r="355">
      <c r="N355" s="27"/>
      <c r="O355" s="27"/>
      <c r="P355" s="27"/>
      <c r="Q355" s="27"/>
    </row>
    <row r="356">
      <c r="N356" s="27"/>
      <c r="O356" s="27"/>
      <c r="P356" s="27"/>
      <c r="Q356" s="27"/>
    </row>
    <row r="357">
      <c r="N357" s="27"/>
      <c r="O357" s="27"/>
      <c r="P357" s="27"/>
      <c r="Q357" s="27"/>
    </row>
    <row r="358">
      <c r="N358" s="27"/>
      <c r="O358" s="27"/>
      <c r="P358" s="27"/>
      <c r="Q358" s="27"/>
    </row>
    <row r="359">
      <c r="N359" s="27"/>
      <c r="O359" s="27"/>
      <c r="P359" s="27"/>
      <c r="Q359" s="27"/>
    </row>
    <row r="360">
      <c r="N360" s="27"/>
      <c r="O360" s="27"/>
      <c r="P360" s="27"/>
      <c r="Q360" s="27"/>
    </row>
    <row r="361">
      <c r="N361" s="27"/>
      <c r="O361" s="27"/>
      <c r="P361" s="27"/>
      <c r="Q361" s="27"/>
    </row>
    <row r="362">
      <c r="N362" s="27"/>
      <c r="O362" s="27"/>
      <c r="P362" s="27"/>
      <c r="Q362" s="27"/>
    </row>
    <row r="363">
      <c r="N363" s="27"/>
      <c r="O363" s="27"/>
      <c r="P363" s="27"/>
      <c r="Q363" s="27"/>
    </row>
    <row r="364">
      <c r="N364" s="27"/>
      <c r="O364" s="27"/>
      <c r="P364" s="27"/>
      <c r="Q364" s="27"/>
    </row>
    <row r="365">
      <c r="N365" s="27"/>
      <c r="O365" s="27"/>
      <c r="P365" s="27"/>
      <c r="Q365" s="27"/>
    </row>
    <row r="366">
      <c r="N366" s="27"/>
      <c r="O366" s="27"/>
      <c r="P366" s="27"/>
      <c r="Q366" s="27"/>
    </row>
    <row r="367">
      <c r="N367" s="27"/>
      <c r="O367" s="27"/>
      <c r="P367" s="27"/>
      <c r="Q367" s="27"/>
    </row>
    <row r="368">
      <c r="N368" s="27"/>
      <c r="O368" s="27"/>
      <c r="P368" s="27"/>
      <c r="Q368" s="27"/>
    </row>
    <row r="369">
      <c r="N369" s="27"/>
      <c r="O369" s="27"/>
      <c r="P369" s="27"/>
      <c r="Q369" s="27"/>
    </row>
    <row r="370">
      <c r="N370" s="27"/>
      <c r="O370" s="27"/>
      <c r="P370" s="27"/>
      <c r="Q370" s="27"/>
    </row>
    <row r="371">
      <c r="N371" s="27"/>
      <c r="O371" s="27"/>
      <c r="P371" s="27"/>
      <c r="Q371" s="27"/>
    </row>
    <row r="372">
      <c r="N372" s="27"/>
      <c r="O372" s="27"/>
      <c r="P372" s="27"/>
      <c r="Q372" s="27"/>
    </row>
    <row r="373">
      <c r="N373" s="27"/>
      <c r="O373" s="27"/>
      <c r="P373" s="27"/>
      <c r="Q373" s="27"/>
    </row>
    <row r="374">
      <c r="N374" s="27"/>
      <c r="O374" s="27"/>
      <c r="P374" s="27"/>
      <c r="Q374" s="27"/>
    </row>
    <row r="375">
      <c r="N375" s="27"/>
      <c r="O375" s="27"/>
      <c r="P375" s="27"/>
      <c r="Q375" s="27"/>
    </row>
    <row r="376">
      <c r="N376" s="27"/>
      <c r="O376" s="27"/>
      <c r="P376" s="27"/>
      <c r="Q376" s="27"/>
    </row>
    <row r="377">
      <c r="N377" s="27"/>
      <c r="O377" s="27"/>
      <c r="P377" s="27"/>
      <c r="Q377" s="27"/>
    </row>
    <row r="378">
      <c r="N378" s="27"/>
      <c r="O378" s="27"/>
      <c r="P378" s="27"/>
      <c r="Q378" s="27"/>
    </row>
    <row r="379">
      <c r="N379" s="27"/>
      <c r="O379" s="27"/>
      <c r="P379" s="27"/>
      <c r="Q379" s="27"/>
    </row>
    <row r="380">
      <c r="N380" s="27"/>
      <c r="O380" s="27"/>
      <c r="P380" s="27"/>
      <c r="Q380" s="27"/>
    </row>
    <row r="381">
      <c r="N381" s="27"/>
      <c r="O381" s="27"/>
      <c r="P381" s="27"/>
      <c r="Q381" s="27"/>
    </row>
    <row r="382">
      <c r="N382" s="27"/>
      <c r="O382" s="27"/>
      <c r="P382" s="27"/>
      <c r="Q382" s="27"/>
    </row>
    <row r="383">
      <c r="N383" s="27"/>
      <c r="O383" s="27"/>
      <c r="P383" s="27"/>
      <c r="Q383" s="27"/>
    </row>
    <row r="384">
      <c r="N384" s="27"/>
      <c r="O384" s="27"/>
      <c r="P384" s="27"/>
      <c r="Q384" s="27"/>
    </row>
    <row r="385">
      <c r="N385" s="27"/>
      <c r="O385" s="27"/>
      <c r="P385" s="27"/>
      <c r="Q385" s="27"/>
    </row>
    <row r="386">
      <c r="N386" s="27"/>
      <c r="O386" s="27"/>
      <c r="P386" s="27"/>
      <c r="Q386" s="27"/>
    </row>
    <row r="387">
      <c r="N387" s="27"/>
      <c r="O387" s="27"/>
      <c r="P387" s="27"/>
      <c r="Q387" s="27"/>
    </row>
    <row r="388">
      <c r="N388" s="27"/>
      <c r="O388" s="27"/>
      <c r="P388" s="27"/>
      <c r="Q388" s="27"/>
    </row>
    <row r="389">
      <c r="N389" s="27"/>
      <c r="O389" s="27"/>
      <c r="P389" s="27"/>
      <c r="Q389" s="27"/>
    </row>
    <row r="390">
      <c r="N390" s="27"/>
      <c r="O390" s="27"/>
      <c r="P390" s="27"/>
      <c r="Q390" s="27"/>
    </row>
    <row r="391">
      <c r="N391" s="27"/>
      <c r="O391" s="27"/>
      <c r="P391" s="27"/>
      <c r="Q391" s="27"/>
    </row>
    <row r="392">
      <c r="N392" s="27"/>
      <c r="O392" s="27"/>
      <c r="P392" s="27"/>
      <c r="Q392" s="27"/>
    </row>
    <row r="393">
      <c r="N393" s="27"/>
      <c r="O393" s="27"/>
      <c r="P393" s="27"/>
      <c r="Q393" s="27"/>
    </row>
    <row r="394">
      <c r="N394" s="27"/>
      <c r="O394" s="27"/>
      <c r="P394" s="27"/>
      <c r="Q394" s="27"/>
    </row>
    <row r="395">
      <c r="N395" s="27"/>
      <c r="O395" s="27"/>
      <c r="P395" s="27"/>
      <c r="Q395" s="27"/>
    </row>
    <row r="396">
      <c r="N396" s="27"/>
      <c r="O396" s="27"/>
      <c r="P396" s="27"/>
      <c r="Q396" s="27"/>
    </row>
    <row r="397">
      <c r="N397" s="27"/>
      <c r="O397" s="27"/>
      <c r="P397" s="27"/>
      <c r="Q397" s="27"/>
    </row>
    <row r="398">
      <c r="N398" s="27"/>
      <c r="O398" s="27"/>
      <c r="P398" s="27"/>
      <c r="Q398" s="27"/>
    </row>
    <row r="399">
      <c r="N399" s="27"/>
      <c r="O399" s="27"/>
      <c r="P399" s="27"/>
      <c r="Q399" s="27"/>
    </row>
    <row r="400">
      <c r="N400" s="27"/>
      <c r="O400" s="27"/>
      <c r="P400" s="27"/>
      <c r="Q400" s="27"/>
    </row>
    <row r="401">
      <c r="N401" s="27"/>
      <c r="O401" s="27"/>
      <c r="P401" s="27"/>
      <c r="Q401" s="27"/>
    </row>
    <row r="402">
      <c r="N402" s="27"/>
      <c r="O402" s="27"/>
      <c r="P402" s="27"/>
      <c r="Q402" s="27"/>
    </row>
    <row r="403">
      <c r="N403" s="27"/>
      <c r="O403" s="27"/>
      <c r="P403" s="27"/>
      <c r="Q403" s="27"/>
    </row>
    <row r="404">
      <c r="N404" s="27"/>
      <c r="O404" s="27"/>
      <c r="P404" s="27"/>
      <c r="Q404" s="27"/>
    </row>
    <row r="405">
      <c r="N405" s="27"/>
      <c r="O405" s="27"/>
      <c r="P405" s="27"/>
      <c r="Q405" s="27"/>
    </row>
    <row r="406">
      <c r="N406" s="27"/>
      <c r="O406" s="27"/>
      <c r="P406" s="27"/>
      <c r="Q406" s="27"/>
    </row>
    <row r="407">
      <c r="N407" s="27"/>
      <c r="O407" s="27"/>
      <c r="P407" s="27"/>
      <c r="Q407" s="27"/>
    </row>
    <row r="408">
      <c r="N408" s="27"/>
      <c r="O408" s="27"/>
      <c r="P408" s="27"/>
      <c r="Q408" s="27"/>
    </row>
    <row r="409">
      <c r="N409" s="27"/>
      <c r="O409" s="27"/>
      <c r="P409" s="27"/>
      <c r="Q409" s="27"/>
    </row>
    <row r="410">
      <c r="N410" s="27"/>
      <c r="O410" s="27"/>
      <c r="P410" s="27"/>
      <c r="Q410" s="27"/>
    </row>
    <row r="411">
      <c r="N411" s="27"/>
      <c r="O411" s="27"/>
      <c r="P411" s="27"/>
      <c r="Q411" s="27"/>
    </row>
    <row r="412">
      <c r="N412" s="27"/>
      <c r="O412" s="27"/>
      <c r="P412" s="27"/>
      <c r="Q412" s="27"/>
    </row>
    <row r="413">
      <c r="N413" s="27"/>
      <c r="O413" s="27"/>
      <c r="P413" s="27"/>
      <c r="Q413" s="27"/>
    </row>
    <row r="414">
      <c r="N414" s="27"/>
      <c r="O414" s="27"/>
      <c r="P414" s="27"/>
      <c r="Q414" s="27"/>
    </row>
    <row r="415">
      <c r="N415" s="27"/>
      <c r="O415" s="27"/>
      <c r="P415" s="27"/>
      <c r="Q415" s="27"/>
    </row>
    <row r="416">
      <c r="N416" s="27"/>
      <c r="O416" s="27"/>
      <c r="P416" s="27"/>
      <c r="Q416" s="27"/>
    </row>
    <row r="417">
      <c r="N417" s="27"/>
      <c r="O417" s="27"/>
      <c r="P417" s="27"/>
      <c r="Q417" s="27"/>
    </row>
    <row r="418">
      <c r="N418" s="27"/>
      <c r="O418" s="27"/>
      <c r="P418" s="27"/>
      <c r="Q418" s="27"/>
    </row>
    <row r="419">
      <c r="N419" s="27"/>
      <c r="O419" s="27"/>
      <c r="P419" s="27"/>
      <c r="Q419" s="27"/>
    </row>
    <row r="420">
      <c r="N420" s="27"/>
      <c r="O420" s="27"/>
      <c r="P420" s="27"/>
      <c r="Q420" s="27"/>
    </row>
    <row r="421">
      <c r="N421" s="27"/>
      <c r="O421" s="27"/>
      <c r="P421" s="27"/>
      <c r="Q421" s="27"/>
    </row>
    <row r="422">
      <c r="N422" s="27"/>
      <c r="O422" s="27"/>
      <c r="P422" s="27"/>
      <c r="Q422" s="27"/>
    </row>
    <row r="423">
      <c r="N423" s="27"/>
      <c r="O423" s="27"/>
      <c r="P423" s="27"/>
      <c r="Q423" s="27"/>
    </row>
    <row r="424">
      <c r="N424" s="27"/>
      <c r="O424" s="27"/>
      <c r="P424" s="27"/>
      <c r="Q424" s="27"/>
    </row>
    <row r="425">
      <c r="N425" s="27"/>
      <c r="O425" s="27"/>
      <c r="P425" s="27"/>
      <c r="Q425" s="27"/>
    </row>
    <row r="426">
      <c r="N426" s="27"/>
      <c r="O426" s="27"/>
      <c r="P426" s="27"/>
      <c r="Q426" s="27"/>
    </row>
    <row r="427">
      <c r="N427" s="27"/>
      <c r="O427" s="27"/>
      <c r="P427" s="27"/>
      <c r="Q427" s="27"/>
    </row>
    <row r="428">
      <c r="N428" s="27"/>
      <c r="O428" s="27"/>
      <c r="P428" s="27"/>
      <c r="Q428" s="27"/>
    </row>
    <row r="429">
      <c r="N429" s="27"/>
      <c r="O429" s="27"/>
      <c r="P429" s="27"/>
      <c r="Q429" s="27"/>
    </row>
    <row r="430">
      <c r="N430" s="27"/>
      <c r="O430" s="27"/>
      <c r="P430" s="27"/>
      <c r="Q430" s="27"/>
    </row>
    <row r="431">
      <c r="N431" s="27"/>
      <c r="O431" s="27"/>
      <c r="P431" s="27"/>
      <c r="Q431" s="27"/>
    </row>
    <row r="432">
      <c r="N432" s="27"/>
      <c r="O432" s="27"/>
      <c r="P432" s="27"/>
      <c r="Q432" s="27"/>
    </row>
    <row r="433">
      <c r="N433" s="27"/>
      <c r="O433" s="27"/>
      <c r="P433" s="27"/>
      <c r="Q433" s="27"/>
    </row>
    <row r="434">
      <c r="N434" s="27"/>
      <c r="O434" s="27"/>
      <c r="P434" s="27"/>
      <c r="Q434" s="27"/>
    </row>
    <row r="435">
      <c r="N435" s="27"/>
      <c r="O435" s="27"/>
      <c r="P435" s="27"/>
      <c r="Q435" s="27"/>
    </row>
    <row r="436">
      <c r="N436" s="27"/>
      <c r="O436" s="27"/>
      <c r="P436" s="27"/>
      <c r="Q436" s="27"/>
    </row>
    <row r="437">
      <c r="N437" s="27"/>
      <c r="O437" s="27"/>
      <c r="P437" s="27"/>
      <c r="Q437" s="27"/>
    </row>
    <row r="438">
      <c r="N438" s="27"/>
      <c r="O438" s="27"/>
      <c r="P438" s="27"/>
      <c r="Q438" s="27"/>
    </row>
    <row r="439">
      <c r="N439" s="27"/>
      <c r="O439" s="27"/>
      <c r="P439" s="27"/>
      <c r="Q439" s="27"/>
    </row>
    <row r="440">
      <c r="N440" s="27"/>
      <c r="O440" s="27"/>
      <c r="P440" s="27"/>
      <c r="Q440" s="27"/>
    </row>
    <row r="441">
      <c r="N441" s="27"/>
      <c r="O441" s="27"/>
      <c r="P441" s="27"/>
      <c r="Q441" s="27"/>
    </row>
    <row r="442">
      <c r="N442" s="27"/>
      <c r="O442" s="27"/>
      <c r="P442" s="27"/>
      <c r="Q442" s="27"/>
    </row>
    <row r="443">
      <c r="N443" s="27"/>
      <c r="O443" s="27"/>
      <c r="P443" s="27"/>
      <c r="Q443" s="27"/>
    </row>
    <row r="444">
      <c r="N444" s="27"/>
      <c r="O444" s="27"/>
      <c r="P444" s="27"/>
      <c r="Q444" s="27"/>
    </row>
    <row r="445">
      <c r="N445" s="27"/>
      <c r="O445" s="27"/>
      <c r="P445" s="27"/>
      <c r="Q445" s="27"/>
    </row>
    <row r="446">
      <c r="N446" s="27"/>
      <c r="O446" s="27"/>
      <c r="P446" s="27"/>
      <c r="Q446" s="27"/>
    </row>
    <row r="447">
      <c r="N447" s="27"/>
      <c r="O447" s="27"/>
      <c r="P447" s="27"/>
      <c r="Q447" s="27"/>
    </row>
    <row r="448">
      <c r="N448" s="27"/>
      <c r="O448" s="27"/>
      <c r="P448" s="27"/>
      <c r="Q448" s="27"/>
    </row>
    <row r="449">
      <c r="N449" s="27"/>
      <c r="O449" s="27"/>
      <c r="P449" s="27"/>
      <c r="Q449" s="27"/>
    </row>
    <row r="450">
      <c r="N450" s="27"/>
      <c r="O450" s="27"/>
      <c r="P450" s="27"/>
      <c r="Q450" s="27"/>
    </row>
    <row r="451">
      <c r="N451" s="27"/>
      <c r="O451" s="27"/>
      <c r="P451" s="27"/>
      <c r="Q451" s="27"/>
    </row>
    <row r="452">
      <c r="N452" s="27"/>
      <c r="O452" s="27"/>
      <c r="P452" s="27"/>
      <c r="Q452" s="27"/>
    </row>
    <row r="453">
      <c r="N453" s="27"/>
      <c r="O453" s="27"/>
      <c r="P453" s="27"/>
      <c r="Q453" s="27"/>
    </row>
    <row r="454">
      <c r="N454" s="27"/>
      <c r="O454" s="27"/>
      <c r="P454" s="27"/>
      <c r="Q454" s="27"/>
    </row>
    <row r="455">
      <c r="N455" s="27"/>
      <c r="O455" s="27"/>
      <c r="P455" s="27"/>
      <c r="Q455" s="27"/>
    </row>
    <row r="456">
      <c r="N456" s="27"/>
      <c r="O456" s="27"/>
      <c r="P456" s="27"/>
      <c r="Q456" s="27"/>
    </row>
    <row r="457">
      <c r="N457" s="27"/>
      <c r="O457" s="27"/>
      <c r="P457" s="27"/>
      <c r="Q457" s="27"/>
    </row>
    <row r="458">
      <c r="N458" s="27"/>
      <c r="O458" s="27"/>
      <c r="P458" s="27"/>
      <c r="Q458" s="27"/>
    </row>
    <row r="459">
      <c r="N459" s="27"/>
      <c r="O459" s="27"/>
      <c r="P459" s="27"/>
      <c r="Q459" s="27"/>
    </row>
    <row r="460">
      <c r="N460" s="27"/>
      <c r="O460" s="27"/>
      <c r="P460" s="27"/>
      <c r="Q460" s="27"/>
    </row>
    <row r="461">
      <c r="N461" s="27"/>
      <c r="O461" s="27"/>
      <c r="P461" s="27"/>
      <c r="Q461" s="27"/>
    </row>
    <row r="462">
      <c r="N462" s="27"/>
      <c r="O462" s="27"/>
      <c r="P462" s="27"/>
      <c r="Q462" s="27"/>
    </row>
    <row r="463">
      <c r="N463" s="27"/>
      <c r="O463" s="27"/>
      <c r="P463" s="27"/>
      <c r="Q463" s="27"/>
    </row>
    <row r="464">
      <c r="N464" s="27"/>
      <c r="O464" s="27"/>
      <c r="P464" s="27"/>
      <c r="Q464" s="27"/>
    </row>
    <row r="465">
      <c r="N465" s="27"/>
      <c r="O465" s="27"/>
      <c r="P465" s="27"/>
      <c r="Q465" s="27"/>
    </row>
    <row r="466">
      <c r="N466" s="27"/>
      <c r="O466" s="27"/>
      <c r="P466" s="27"/>
      <c r="Q466" s="27"/>
    </row>
    <row r="467">
      <c r="N467" s="27"/>
      <c r="O467" s="27"/>
      <c r="P467" s="27"/>
      <c r="Q467" s="27"/>
    </row>
    <row r="468">
      <c r="N468" s="27"/>
      <c r="O468" s="27"/>
      <c r="P468" s="27"/>
      <c r="Q468" s="27"/>
    </row>
    <row r="469">
      <c r="N469" s="27"/>
      <c r="O469" s="27"/>
      <c r="P469" s="27"/>
      <c r="Q469" s="27"/>
    </row>
    <row r="470">
      <c r="N470" s="27"/>
      <c r="O470" s="27"/>
      <c r="P470" s="27"/>
      <c r="Q470" s="27"/>
    </row>
    <row r="471">
      <c r="N471" s="27"/>
      <c r="O471" s="27"/>
      <c r="P471" s="27"/>
      <c r="Q471" s="27"/>
    </row>
    <row r="472">
      <c r="N472" s="27"/>
      <c r="O472" s="27"/>
      <c r="P472" s="27"/>
      <c r="Q472" s="27"/>
    </row>
    <row r="473">
      <c r="N473" s="27"/>
      <c r="O473" s="27"/>
      <c r="P473" s="27"/>
      <c r="Q473" s="27"/>
    </row>
    <row r="474">
      <c r="N474" s="27"/>
      <c r="O474" s="27"/>
      <c r="P474" s="27"/>
      <c r="Q474" s="27"/>
    </row>
    <row r="475">
      <c r="N475" s="27"/>
      <c r="O475" s="27"/>
      <c r="P475" s="27"/>
      <c r="Q475" s="27"/>
    </row>
    <row r="476">
      <c r="N476" s="27"/>
      <c r="O476" s="27"/>
      <c r="P476" s="27"/>
      <c r="Q476" s="27"/>
    </row>
    <row r="477">
      <c r="N477" s="27"/>
      <c r="O477" s="27"/>
      <c r="P477" s="27"/>
      <c r="Q477" s="27"/>
    </row>
    <row r="478">
      <c r="N478" s="27"/>
      <c r="O478" s="27"/>
      <c r="P478" s="27"/>
      <c r="Q478" s="27"/>
    </row>
    <row r="479">
      <c r="N479" s="27"/>
      <c r="O479" s="27"/>
      <c r="P479" s="27"/>
      <c r="Q479" s="27"/>
    </row>
    <row r="480">
      <c r="N480" s="27"/>
      <c r="O480" s="27"/>
      <c r="P480" s="27"/>
      <c r="Q480" s="27"/>
    </row>
    <row r="481">
      <c r="N481" s="27"/>
      <c r="O481" s="27"/>
      <c r="P481" s="27"/>
      <c r="Q481" s="27"/>
    </row>
    <row r="482">
      <c r="N482" s="27"/>
      <c r="O482" s="27"/>
      <c r="P482" s="27"/>
      <c r="Q482" s="27"/>
    </row>
    <row r="483">
      <c r="N483" s="27"/>
      <c r="O483" s="27"/>
      <c r="P483" s="27"/>
      <c r="Q483" s="27"/>
    </row>
    <row r="484">
      <c r="N484" s="27"/>
      <c r="O484" s="27"/>
      <c r="P484" s="27"/>
      <c r="Q484" s="27"/>
    </row>
    <row r="485">
      <c r="N485" s="27"/>
      <c r="O485" s="27"/>
      <c r="P485" s="27"/>
      <c r="Q485" s="27"/>
    </row>
    <row r="486">
      <c r="N486" s="27"/>
      <c r="O486" s="27"/>
      <c r="P486" s="27"/>
      <c r="Q486" s="27"/>
    </row>
    <row r="487">
      <c r="N487" s="27"/>
      <c r="O487" s="27"/>
      <c r="P487" s="27"/>
      <c r="Q487" s="27"/>
    </row>
    <row r="488">
      <c r="N488" s="27"/>
      <c r="O488" s="27"/>
      <c r="P488" s="27"/>
      <c r="Q488" s="27"/>
    </row>
    <row r="489">
      <c r="N489" s="27"/>
      <c r="O489" s="27"/>
      <c r="P489" s="27"/>
      <c r="Q489" s="27"/>
    </row>
    <row r="490">
      <c r="N490" s="27"/>
      <c r="O490" s="27"/>
      <c r="P490" s="27"/>
      <c r="Q490" s="27"/>
    </row>
    <row r="491">
      <c r="N491" s="27"/>
      <c r="O491" s="27"/>
      <c r="P491" s="27"/>
      <c r="Q491" s="27"/>
    </row>
    <row r="492">
      <c r="N492" s="27"/>
      <c r="O492" s="27"/>
      <c r="P492" s="27"/>
      <c r="Q492" s="27"/>
    </row>
    <row r="493">
      <c r="N493" s="27"/>
      <c r="O493" s="27"/>
      <c r="P493" s="27"/>
      <c r="Q493" s="27"/>
    </row>
    <row r="494">
      <c r="N494" s="27"/>
      <c r="O494" s="27"/>
      <c r="P494" s="27"/>
      <c r="Q494" s="27"/>
    </row>
    <row r="495">
      <c r="N495" s="27"/>
      <c r="O495" s="27"/>
      <c r="P495" s="27"/>
      <c r="Q495" s="27"/>
    </row>
    <row r="496">
      <c r="N496" s="27"/>
      <c r="O496" s="27"/>
      <c r="P496" s="27"/>
      <c r="Q496" s="27"/>
    </row>
    <row r="497">
      <c r="N497" s="27"/>
      <c r="O497" s="27"/>
      <c r="P497" s="27"/>
      <c r="Q497" s="27"/>
    </row>
    <row r="498">
      <c r="N498" s="27"/>
      <c r="O498" s="27"/>
      <c r="P498" s="27"/>
      <c r="Q498" s="27"/>
    </row>
    <row r="499">
      <c r="N499" s="27"/>
      <c r="O499" s="27"/>
      <c r="P499" s="27"/>
      <c r="Q499" s="27"/>
    </row>
    <row r="500">
      <c r="N500" s="27"/>
      <c r="O500" s="27"/>
      <c r="P500" s="27"/>
      <c r="Q500" s="27"/>
    </row>
    <row r="501">
      <c r="N501" s="27"/>
      <c r="O501" s="27"/>
      <c r="P501" s="27"/>
      <c r="Q501" s="27"/>
    </row>
    <row r="502">
      <c r="N502" s="27"/>
      <c r="O502" s="27"/>
      <c r="P502" s="27"/>
      <c r="Q502" s="27"/>
    </row>
    <row r="503">
      <c r="N503" s="27"/>
      <c r="O503" s="27"/>
      <c r="P503" s="27"/>
      <c r="Q503" s="27"/>
    </row>
    <row r="504">
      <c r="N504" s="27"/>
      <c r="O504" s="27"/>
      <c r="P504" s="27"/>
      <c r="Q504" s="27"/>
    </row>
    <row r="505">
      <c r="N505" s="27"/>
      <c r="O505" s="27"/>
      <c r="P505" s="27"/>
      <c r="Q505" s="27"/>
    </row>
    <row r="506">
      <c r="N506" s="27"/>
      <c r="O506" s="27"/>
      <c r="P506" s="27"/>
      <c r="Q506" s="27"/>
    </row>
    <row r="507">
      <c r="N507" s="27"/>
      <c r="O507" s="27"/>
      <c r="P507" s="27"/>
      <c r="Q507" s="27"/>
    </row>
    <row r="508">
      <c r="N508" s="27"/>
      <c r="O508" s="27"/>
      <c r="P508" s="27"/>
      <c r="Q508" s="27"/>
    </row>
    <row r="509">
      <c r="N509" s="27"/>
      <c r="O509" s="27"/>
      <c r="P509" s="27"/>
      <c r="Q509" s="27"/>
    </row>
    <row r="510">
      <c r="N510" s="27"/>
      <c r="O510" s="27"/>
      <c r="P510" s="27"/>
      <c r="Q510" s="27"/>
    </row>
    <row r="511">
      <c r="N511" s="27"/>
      <c r="O511" s="27"/>
      <c r="P511" s="27"/>
      <c r="Q511" s="27"/>
    </row>
    <row r="512">
      <c r="N512" s="27"/>
      <c r="O512" s="27"/>
      <c r="P512" s="27"/>
      <c r="Q512" s="27"/>
    </row>
    <row r="513">
      <c r="N513" s="27"/>
      <c r="O513" s="27"/>
      <c r="P513" s="27"/>
      <c r="Q513" s="27"/>
    </row>
    <row r="514">
      <c r="N514" s="27"/>
      <c r="O514" s="27"/>
      <c r="P514" s="27"/>
      <c r="Q514" s="27"/>
    </row>
    <row r="515">
      <c r="N515" s="27"/>
      <c r="O515" s="27"/>
      <c r="P515" s="27"/>
      <c r="Q515" s="27"/>
    </row>
    <row r="516">
      <c r="N516" s="27"/>
      <c r="O516" s="27"/>
      <c r="P516" s="27"/>
      <c r="Q516" s="27"/>
    </row>
    <row r="517">
      <c r="N517" s="27"/>
      <c r="O517" s="27"/>
      <c r="P517" s="27"/>
      <c r="Q517" s="27"/>
    </row>
    <row r="518">
      <c r="N518" s="27"/>
      <c r="O518" s="27"/>
      <c r="P518" s="27"/>
      <c r="Q518" s="27"/>
    </row>
    <row r="519">
      <c r="N519" s="27"/>
      <c r="O519" s="27"/>
      <c r="P519" s="27"/>
      <c r="Q519" s="27"/>
    </row>
    <row r="520">
      <c r="N520" s="27"/>
      <c r="O520" s="27"/>
      <c r="P520" s="27"/>
      <c r="Q520" s="27"/>
    </row>
    <row r="521">
      <c r="N521" s="27"/>
      <c r="O521" s="27"/>
      <c r="P521" s="27"/>
      <c r="Q521" s="27"/>
    </row>
    <row r="522">
      <c r="N522" s="27"/>
      <c r="O522" s="27"/>
      <c r="P522" s="27"/>
      <c r="Q522" s="27"/>
    </row>
    <row r="523">
      <c r="N523" s="27"/>
      <c r="O523" s="27"/>
      <c r="P523" s="27"/>
      <c r="Q523" s="27"/>
    </row>
    <row r="524">
      <c r="N524" s="27"/>
      <c r="O524" s="27"/>
      <c r="P524" s="27"/>
      <c r="Q524" s="27"/>
    </row>
    <row r="525">
      <c r="N525" s="27"/>
      <c r="O525" s="27"/>
      <c r="P525" s="27"/>
      <c r="Q525" s="27"/>
    </row>
    <row r="526">
      <c r="N526" s="27"/>
      <c r="O526" s="27"/>
      <c r="P526" s="27"/>
      <c r="Q526" s="27"/>
    </row>
    <row r="527">
      <c r="N527" s="27"/>
      <c r="O527" s="27"/>
      <c r="P527" s="27"/>
      <c r="Q527" s="27"/>
    </row>
    <row r="528">
      <c r="N528" s="27"/>
      <c r="O528" s="27"/>
      <c r="P528" s="27"/>
      <c r="Q528" s="27"/>
    </row>
    <row r="529">
      <c r="N529" s="27"/>
      <c r="O529" s="27"/>
      <c r="P529" s="27"/>
      <c r="Q529" s="27"/>
    </row>
    <row r="530">
      <c r="N530" s="27"/>
      <c r="O530" s="27"/>
      <c r="P530" s="27"/>
      <c r="Q530" s="27"/>
    </row>
    <row r="531">
      <c r="N531" s="27"/>
      <c r="O531" s="27"/>
      <c r="P531" s="27"/>
      <c r="Q531" s="27"/>
    </row>
    <row r="532">
      <c r="N532" s="27"/>
      <c r="O532" s="27"/>
      <c r="P532" s="27"/>
      <c r="Q532" s="27"/>
    </row>
    <row r="533">
      <c r="N533" s="27"/>
      <c r="O533" s="27"/>
      <c r="P533" s="27"/>
      <c r="Q533" s="27"/>
    </row>
    <row r="534">
      <c r="N534" s="27"/>
      <c r="O534" s="27"/>
      <c r="P534" s="27"/>
      <c r="Q534" s="27"/>
    </row>
    <row r="535">
      <c r="N535" s="27"/>
      <c r="O535" s="27"/>
      <c r="P535" s="27"/>
      <c r="Q535" s="27"/>
    </row>
    <row r="536">
      <c r="N536" s="27"/>
      <c r="O536" s="27"/>
      <c r="P536" s="27"/>
      <c r="Q536" s="27"/>
    </row>
    <row r="537">
      <c r="N537" s="27"/>
      <c r="O537" s="27"/>
      <c r="P537" s="27"/>
      <c r="Q537" s="27"/>
    </row>
    <row r="538">
      <c r="N538" s="27"/>
      <c r="O538" s="27"/>
      <c r="P538" s="27"/>
      <c r="Q538" s="27"/>
    </row>
    <row r="539">
      <c r="N539" s="27"/>
      <c r="O539" s="27"/>
      <c r="P539" s="27"/>
      <c r="Q539" s="27"/>
    </row>
    <row r="540">
      <c r="N540" s="27"/>
      <c r="O540" s="27"/>
      <c r="P540" s="27"/>
      <c r="Q540" s="27"/>
    </row>
    <row r="541">
      <c r="N541" s="27"/>
      <c r="O541" s="27"/>
      <c r="P541" s="27"/>
      <c r="Q541" s="27"/>
    </row>
    <row r="542">
      <c r="N542" s="27"/>
      <c r="O542" s="27"/>
      <c r="P542" s="27"/>
      <c r="Q542" s="27"/>
    </row>
    <row r="543">
      <c r="N543" s="27"/>
      <c r="O543" s="27"/>
      <c r="P543" s="27"/>
      <c r="Q543" s="27"/>
    </row>
    <row r="544">
      <c r="N544" s="27"/>
      <c r="O544" s="27"/>
      <c r="P544" s="27"/>
      <c r="Q544" s="27"/>
    </row>
    <row r="545">
      <c r="N545" s="27"/>
      <c r="O545" s="27"/>
      <c r="P545" s="27"/>
      <c r="Q545" s="27"/>
    </row>
    <row r="546">
      <c r="N546" s="27"/>
      <c r="O546" s="27"/>
      <c r="P546" s="27"/>
      <c r="Q546" s="27"/>
    </row>
    <row r="547">
      <c r="N547" s="27"/>
      <c r="O547" s="27"/>
      <c r="P547" s="27"/>
      <c r="Q547" s="27"/>
    </row>
    <row r="548">
      <c r="N548" s="27"/>
      <c r="O548" s="27"/>
      <c r="P548" s="27"/>
      <c r="Q548" s="27"/>
    </row>
    <row r="549">
      <c r="N549" s="27"/>
      <c r="O549" s="27"/>
      <c r="P549" s="27"/>
      <c r="Q549" s="27"/>
    </row>
    <row r="550">
      <c r="N550" s="27"/>
      <c r="O550" s="27"/>
      <c r="P550" s="27"/>
      <c r="Q550" s="27"/>
    </row>
    <row r="551">
      <c r="N551" s="27"/>
      <c r="O551" s="27"/>
      <c r="P551" s="27"/>
      <c r="Q551" s="27"/>
    </row>
    <row r="552">
      <c r="N552" s="27"/>
      <c r="O552" s="27"/>
      <c r="P552" s="27"/>
      <c r="Q552" s="27"/>
    </row>
    <row r="553">
      <c r="N553" s="27"/>
      <c r="O553" s="27"/>
      <c r="P553" s="27"/>
      <c r="Q553" s="27"/>
    </row>
    <row r="554">
      <c r="N554" s="27"/>
      <c r="O554" s="27"/>
      <c r="P554" s="27"/>
      <c r="Q554" s="27"/>
    </row>
    <row r="555">
      <c r="N555" s="27"/>
      <c r="O555" s="27"/>
      <c r="P555" s="27"/>
      <c r="Q555" s="27"/>
    </row>
    <row r="556">
      <c r="N556" s="27"/>
      <c r="O556" s="27"/>
      <c r="P556" s="27"/>
      <c r="Q556" s="27"/>
    </row>
    <row r="557">
      <c r="N557" s="27"/>
      <c r="O557" s="27"/>
      <c r="P557" s="27"/>
      <c r="Q557" s="27"/>
    </row>
    <row r="558">
      <c r="N558" s="27"/>
      <c r="O558" s="27"/>
      <c r="P558" s="27"/>
      <c r="Q558" s="27"/>
    </row>
    <row r="559">
      <c r="N559" s="27"/>
      <c r="O559" s="27"/>
      <c r="P559" s="27"/>
      <c r="Q559" s="27"/>
    </row>
    <row r="560">
      <c r="N560" s="27"/>
      <c r="O560" s="27"/>
      <c r="P560" s="27"/>
      <c r="Q560" s="27"/>
    </row>
    <row r="561">
      <c r="N561" s="27"/>
      <c r="O561" s="27"/>
      <c r="P561" s="27"/>
      <c r="Q561" s="27"/>
    </row>
    <row r="562">
      <c r="N562" s="27"/>
      <c r="O562" s="27"/>
      <c r="P562" s="27"/>
      <c r="Q562" s="27"/>
    </row>
    <row r="563">
      <c r="N563" s="27"/>
      <c r="O563" s="27"/>
      <c r="P563" s="27"/>
      <c r="Q563" s="27"/>
    </row>
    <row r="564">
      <c r="N564" s="27"/>
      <c r="O564" s="27"/>
      <c r="P564" s="27"/>
      <c r="Q564" s="27"/>
    </row>
    <row r="565">
      <c r="N565" s="27"/>
      <c r="O565" s="27"/>
      <c r="P565" s="27"/>
      <c r="Q565" s="27"/>
    </row>
    <row r="566">
      <c r="N566" s="27"/>
      <c r="O566" s="27"/>
      <c r="P566" s="27"/>
      <c r="Q566" s="27"/>
    </row>
    <row r="567">
      <c r="N567" s="27"/>
      <c r="O567" s="27"/>
      <c r="P567" s="27"/>
      <c r="Q567" s="27"/>
    </row>
    <row r="568">
      <c r="N568" s="27"/>
      <c r="O568" s="27"/>
      <c r="P568" s="27"/>
      <c r="Q568" s="27"/>
    </row>
    <row r="569">
      <c r="N569" s="27"/>
      <c r="O569" s="27"/>
      <c r="P569" s="27"/>
      <c r="Q569" s="27"/>
    </row>
    <row r="570">
      <c r="N570" s="27"/>
      <c r="O570" s="27"/>
      <c r="P570" s="27"/>
      <c r="Q570" s="27"/>
    </row>
    <row r="571">
      <c r="N571" s="27"/>
      <c r="O571" s="27"/>
      <c r="P571" s="27"/>
      <c r="Q571" s="27"/>
    </row>
    <row r="572">
      <c r="N572" s="27"/>
      <c r="O572" s="27"/>
      <c r="P572" s="27"/>
      <c r="Q572" s="27"/>
    </row>
    <row r="573">
      <c r="N573" s="27"/>
      <c r="O573" s="27"/>
      <c r="P573" s="27"/>
      <c r="Q573" s="27"/>
    </row>
    <row r="574">
      <c r="N574" s="27"/>
      <c r="O574" s="27"/>
      <c r="P574" s="27"/>
      <c r="Q574" s="27"/>
    </row>
    <row r="575">
      <c r="N575" s="27"/>
      <c r="O575" s="27"/>
      <c r="P575" s="27"/>
      <c r="Q575" s="27"/>
    </row>
    <row r="576">
      <c r="N576" s="27"/>
      <c r="O576" s="27"/>
      <c r="P576" s="27"/>
      <c r="Q576" s="27"/>
    </row>
    <row r="577">
      <c r="N577" s="27"/>
      <c r="O577" s="27"/>
      <c r="P577" s="27"/>
      <c r="Q577" s="27"/>
    </row>
    <row r="578">
      <c r="N578" s="27"/>
      <c r="O578" s="27"/>
      <c r="P578" s="27"/>
      <c r="Q578" s="27"/>
    </row>
    <row r="579">
      <c r="N579" s="27"/>
      <c r="O579" s="27"/>
      <c r="P579" s="27"/>
      <c r="Q579" s="27"/>
    </row>
    <row r="580">
      <c r="N580" s="27"/>
      <c r="O580" s="27"/>
      <c r="P580" s="27"/>
      <c r="Q580" s="27"/>
    </row>
    <row r="581">
      <c r="N581" s="27"/>
      <c r="O581" s="27"/>
      <c r="P581" s="27"/>
      <c r="Q581" s="27"/>
    </row>
    <row r="582">
      <c r="N582" s="27"/>
      <c r="O582" s="27"/>
      <c r="P582" s="27"/>
      <c r="Q582" s="27"/>
    </row>
    <row r="583">
      <c r="N583" s="27"/>
      <c r="O583" s="27"/>
      <c r="P583" s="27"/>
      <c r="Q583" s="27"/>
    </row>
    <row r="584">
      <c r="N584" s="27"/>
      <c r="O584" s="27"/>
      <c r="P584" s="27"/>
      <c r="Q584" s="27"/>
    </row>
    <row r="585">
      <c r="N585" s="27"/>
      <c r="O585" s="27"/>
      <c r="P585" s="27"/>
      <c r="Q585" s="27"/>
    </row>
    <row r="586">
      <c r="N586" s="27"/>
      <c r="O586" s="27"/>
      <c r="P586" s="27"/>
      <c r="Q586" s="27"/>
    </row>
    <row r="587">
      <c r="N587" s="27"/>
      <c r="O587" s="27"/>
      <c r="P587" s="27"/>
      <c r="Q587" s="27"/>
    </row>
    <row r="588">
      <c r="N588" s="27"/>
      <c r="O588" s="27"/>
      <c r="P588" s="27"/>
      <c r="Q588" s="27"/>
    </row>
    <row r="589">
      <c r="N589" s="27"/>
      <c r="O589" s="27"/>
      <c r="P589" s="27"/>
      <c r="Q589" s="27"/>
    </row>
    <row r="590">
      <c r="N590" s="27"/>
      <c r="O590" s="27"/>
      <c r="P590" s="27"/>
      <c r="Q590" s="27"/>
    </row>
    <row r="591">
      <c r="N591" s="27"/>
      <c r="O591" s="27"/>
      <c r="P591" s="27"/>
      <c r="Q591" s="27"/>
    </row>
    <row r="592">
      <c r="N592" s="27"/>
      <c r="O592" s="27"/>
      <c r="P592" s="27"/>
      <c r="Q592" s="27"/>
    </row>
    <row r="593">
      <c r="N593" s="27"/>
      <c r="O593" s="27"/>
      <c r="P593" s="27"/>
      <c r="Q593" s="27"/>
    </row>
    <row r="594">
      <c r="N594" s="27"/>
      <c r="O594" s="27"/>
      <c r="P594" s="27"/>
      <c r="Q594" s="27"/>
    </row>
    <row r="595">
      <c r="N595" s="27"/>
      <c r="O595" s="27"/>
      <c r="P595" s="27"/>
      <c r="Q595" s="27"/>
    </row>
    <row r="596">
      <c r="N596" s="27"/>
      <c r="O596" s="27"/>
      <c r="P596" s="27"/>
      <c r="Q596" s="27"/>
    </row>
    <row r="597">
      <c r="N597" s="27"/>
      <c r="O597" s="27"/>
      <c r="P597" s="27"/>
      <c r="Q597" s="27"/>
    </row>
    <row r="598">
      <c r="N598" s="27"/>
      <c r="O598" s="27"/>
      <c r="P598" s="27"/>
      <c r="Q598" s="27"/>
    </row>
    <row r="599">
      <c r="N599" s="27"/>
      <c r="O599" s="27"/>
      <c r="P599" s="27"/>
      <c r="Q599" s="27"/>
    </row>
    <row r="600">
      <c r="N600" s="27"/>
      <c r="O600" s="27"/>
      <c r="P600" s="27"/>
      <c r="Q600" s="27"/>
    </row>
    <row r="601">
      <c r="N601" s="27"/>
      <c r="O601" s="27"/>
      <c r="P601" s="27"/>
      <c r="Q601" s="27"/>
    </row>
    <row r="602">
      <c r="N602" s="27"/>
      <c r="O602" s="27"/>
      <c r="P602" s="27"/>
      <c r="Q602" s="27"/>
    </row>
    <row r="603">
      <c r="N603" s="27"/>
      <c r="O603" s="27"/>
      <c r="P603" s="27"/>
      <c r="Q603" s="27"/>
    </row>
    <row r="604">
      <c r="N604" s="27"/>
      <c r="O604" s="27"/>
      <c r="P604" s="27"/>
      <c r="Q604" s="27"/>
    </row>
    <row r="605">
      <c r="N605" s="27"/>
      <c r="O605" s="27"/>
      <c r="P605" s="27"/>
      <c r="Q605" s="27"/>
    </row>
    <row r="606">
      <c r="N606" s="27"/>
      <c r="O606" s="27"/>
      <c r="P606" s="27"/>
      <c r="Q606" s="27"/>
    </row>
    <row r="607">
      <c r="N607" s="27"/>
      <c r="O607" s="27"/>
      <c r="P607" s="27"/>
      <c r="Q607" s="27"/>
    </row>
    <row r="608">
      <c r="N608" s="27"/>
      <c r="O608" s="27"/>
      <c r="P608" s="27"/>
      <c r="Q608" s="27"/>
    </row>
    <row r="609">
      <c r="N609" s="27"/>
      <c r="O609" s="27"/>
      <c r="P609" s="27"/>
      <c r="Q609" s="27"/>
    </row>
    <row r="610">
      <c r="N610" s="27"/>
      <c r="O610" s="27"/>
      <c r="P610" s="27"/>
      <c r="Q610" s="27"/>
    </row>
    <row r="611">
      <c r="N611" s="27"/>
      <c r="O611" s="27"/>
      <c r="P611" s="27"/>
      <c r="Q611" s="27"/>
    </row>
    <row r="612">
      <c r="N612" s="27"/>
      <c r="O612" s="27"/>
      <c r="P612" s="27"/>
      <c r="Q612" s="27"/>
    </row>
    <row r="613">
      <c r="N613" s="27"/>
      <c r="O613" s="27"/>
      <c r="P613" s="27"/>
      <c r="Q613" s="27"/>
    </row>
    <row r="614">
      <c r="N614" s="27"/>
      <c r="O614" s="27"/>
      <c r="P614" s="27"/>
      <c r="Q614" s="27"/>
    </row>
    <row r="615">
      <c r="N615" s="27"/>
      <c r="O615" s="27"/>
      <c r="P615" s="27"/>
      <c r="Q615" s="27"/>
    </row>
    <row r="616">
      <c r="N616" s="27"/>
      <c r="O616" s="27"/>
      <c r="P616" s="27"/>
      <c r="Q616" s="27"/>
    </row>
    <row r="617">
      <c r="N617" s="27"/>
      <c r="O617" s="27"/>
      <c r="P617" s="27"/>
      <c r="Q617" s="27"/>
    </row>
    <row r="618">
      <c r="N618" s="27"/>
      <c r="O618" s="27"/>
      <c r="P618" s="27"/>
      <c r="Q618" s="27"/>
    </row>
    <row r="619">
      <c r="N619" s="27"/>
      <c r="O619" s="27"/>
      <c r="P619" s="27"/>
      <c r="Q619" s="27"/>
    </row>
    <row r="620">
      <c r="N620" s="27"/>
      <c r="O620" s="27"/>
      <c r="P620" s="27"/>
      <c r="Q620" s="27"/>
    </row>
    <row r="621">
      <c r="N621" s="27"/>
      <c r="O621" s="27"/>
      <c r="P621" s="27"/>
      <c r="Q621" s="27"/>
    </row>
    <row r="622">
      <c r="N622" s="27"/>
      <c r="O622" s="27"/>
      <c r="P622" s="27"/>
      <c r="Q622" s="27"/>
    </row>
    <row r="623">
      <c r="N623" s="27"/>
      <c r="O623" s="27"/>
      <c r="P623" s="27"/>
      <c r="Q623" s="27"/>
    </row>
    <row r="624">
      <c r="N624" s="27"/>
      <c r="O624" s="27"/>
      <c r="P624" s="27"/>
      <c r="Q624" s="27"/>
    </row>
    <row r="625">
      <c r="N625" s="27"/>
      <c r="O625" s="27"/>
      <c r="P625" s="27"/>
      <c r="Q625" s="27"/>
    </row>
    <row r="626">
      <c r="N626" s="27"/>
      <c r="O626" s="27"/>
      <c r="P626" s="27"/>
      <c r="Q626" s="27"/>
    </row>
    <row r="627">
      <c r="N627" s="27"/>
      <c r="O627" s="27"/>
      <c r="P627" s="27"/>
      <c r="Q627" s="27"/>
    </row>
    <row r="628">
      <c r="N628" s="27"/>
      <c r="O628" s="27"/>
      <c r="P628" s="27"/>
      <c r="Q628" s="27"/>
    </row>
    <row r="629">
      <c r="N629" s="27"/>
      <c r="O629" s="27"/>
      <c r="P629" s="27"/>
      <c r="Q629" s="27"/>
    </row>
    <row r="630">
      <c r="N630" s="27"/>
      <c r="O630" s="27"/>
      <c r="P630" s="27"/>
      <c r="Q630" s="27"/>
    </row>
    <row r="631">
      <c r="N631" s="27"/>
      <c r="O631" s="27"/>
      <c r="P631" s="27"/>
      <c r="Q631" s="27"/>
    </row>
    <row r="632">
      <c r="N632" s="27"/>
      <c r="O632" s="27"/>
      <c r="P632" s="27"/>
      <c r="Q632" s="27"/>
    </row>
    <row r="633">
      <c r="N633" s="27"/>
      <c r="O633" s="27"/>
      <c r="P633" s="27"/>
      <c r="Q633" s="27"/>
    </row>
    <row r="634">
      <c r="N634" s="27"/>
      <c r="O634" s="27"/>
      <c r="P634" s="27"/>
      <c r="Q634" s="27"/>
    </row>
    <row r="635">
      <c r="N635" s="27"/>
      <c r="O635" s="27"/>
      <c r="P635" s="27"/>
      <c r="Q635" s="27"/>
    </row>
    <row r="636">
      <c r="N636" s="27"/>
      <c r="O636" s="27"/>
      <c r="P636" s="27"/>
      <c r="Q636" s="27"/>
    </row>
    <row r="637">
      <c r="N637" s="27"/>
      <c r="O637" s="27"/>
      <c r="P637" s="27"/>
      <c r="Q637" s="27"/>
    </row>
    <row r="638">
      <c r="N638" s="27"/>
      <c r="O638" s="27"/>
      <c r="P638" s="27"/>
      <c r="Q638" s="27"/>
    </row>
    <row r="639">
      <c r="N639" s="27"/>
      <c r="O639" s="27"/>
      <c r="P639" s="27"/>
      <c r="Q639" s="27"/>
    </row>
    <row r="640">
      <c r="N640" s="27"/>
      <c r="O640" s="27"/>
      <c r="P640" s="27"/>
      <c r="Q640" s="27"/>
    </row>
    <row r="641">
      <c r="N641" s="27"/>
      <c r="O641" s="27"/>
      <c r="P641" s="27"/>
      <c r="Q641" s="27"/>
    </row>
    <row r="642">
      <c r="N642" s="27"/>
      <c r="O642" s="27"/>
      <c r="P642" s="27"/>
      <c r="Q642" s="27"/>
    </row>
    <row r="643">
      <c r="N643" s="27"/>
      <c r="O643" s="27"/>
      <c r="P643" s="27"/>
      <c r="Q643" s="27"/>
    </row>
    <row r="644">
      <c r="N644" s="27"/>
      <c r="O644" s="27"/>
      <c r="P644" s="27"/>
      <c r="Q644" s="27"/>
    </row>
    <row r="645">
      <c r="N645" s="27"/>
      <c r="O645" s="27"/>
      <c r="P645" s="27"/>
      <c r="Q645" s="27"/>
    </row>
    <row r="646">
      <c r="N646" s="27"/>
      <c r="O646" s="27"/>
      <c r="P646" s="27"/>
      <c r="Q646" s="27"/>
    </row>
    <row r="647">
      <c r="N647" s="27"/>
      <c r="O647" s="27"/>
      <c r="P647" s="27"/>
      <c r="Q647" s="27"/>
    </row>
    <row r="648">
      <c r="N648" s="27"/>
      <c r="O648" s="27"/>
      <c r="P648" s="27"/>
      <c r="Q648" s="27"/>
    </row>
    <row r="649">
      <c r="N649" s="27"/>
      <c r="O649" s="27"/>
      <c r="P649" s="27"/>
      <c r="Q649" s="27"/>
    </row>
    <row r="650">
      <c r="N650" s="27"/>
      <c r="O650" s="27"/>
      <c r="P650" s="27"/>
      <c r="Q650" s="27"/>
    </row>
    <row r="651">
      <c r="N651" s="27"/>
      <c r="O651" s="27"/>
      <c r="P651" s="27"/>
      <c r="Q651" s="27"/>
    </row>
    <row r="652">
      <c r="N652" s="27"/>
      <c r="O652" s="27"/>
      <c r="P652" s="27"/>
      <c r="Q652" s="27"/>
    </row>
    <row r="653">
      <c r="N653" s="27"/>
      <c r="O653" s="27"/>
      <c r="P653" s="27"/>
      <c r="Q653" s="27"/>
    </row>
    <row r="654">
      <c r="N654" s="27"/>
      <c r="O654" s="27"/>
      <c r="P654" s="27"/>
      <c r="Q654" s="27"/>
    </row>
    <row r="655">
      <c r="N655" s="27"/>
      <c r="O655" s="27"/>
      <c r="P655" s="27"/>
      <c r="Q655" s="27"/>
    </row>
    <row r="656">
      <c r="N656" s="27"/>
      <c r="O656" s="27"/>
      <c r="P656" s="27"/>
      <c r="Q656" s="27"/>
    </row>
    <row r="657">
      <c r="N657" s="27"/>
      <c r="O657" s="27"/>
      <c r="P657" s="27"/>
      <c r="Q657" s="27"/>
    </row>
    <row r="658">
      <c r="N658" s="27"/>
      <c r="O658" s="27"/>
      <c r="P658" s="27"/>
      <c r="Q658" s="27"/>
    </row>
    <row r="659">
      <c r="N659" s="27"/>
      <c r="O659" s="27"/>
      <c r="P659" s="27"/>
      <c r="Q659" s="27"/>
    </row>
    <row r="660">
      <c r="N660" s="27"/>
      <c r="O660" s="27"/>
      <c r="P660" s="27"/>
      <c r="Q660" s="27"/>
    </row>
    <row r="661">
      <c r="N661" s="27"/>
      <c r="O661" s="27"/>
      <c r="P661" s="27"/>
      <c r="Q661" s="27"/>
    </row>
    <row r="662">
      <c r="N662" s="27"/>
      <c r="O662" s="27"/>
      <c r="P662" s="27"/>
      <c r="Q662" s="27"/>
    </row>
    <row r="663">
      <c r="N663" s="27"/>
      <c r="O663" s="27"/>
      <c r="P663" s="27"/>
      <c r="Q663" s="27"/>
    </row>
    <row r="664">
      <c r="N664" s="27"/>
      <c r="O664" s="27"/>
      <c r="P664" s="27"/>
      <c r="Q664" s="27"/>
    </row>
    <row r="665">
      <c r="N665" s="27"/>
      <c r="O665" s="27"/>
      <c r="P665" s="27"/>
      <c r="Q665" s="27"/>
    </row>
    <row r="666">
      <c r="N666" s="27"/>
      <c r="O666" s="27"/>
      <c r="P666" s="27"/>
      <c r="Q666" s="27"/>
    </row>
    <row r="667">
      <c r="N667" s="27"/>
      <c r="O667" s="27"/>
      <c r="P667" s="27"/>
      <c r="Q667" s="27"/>
    </row>
    <row r="668">
      <c r="N668" s="27"/>
      <c r="O668" s="27"/>
      <c r="P668" s="27"/>
      <c r="Q668" s="27"/>
    </row>
    <row r="669">
      <c r="N669" s="27"/>
      <c r="O669" s="27"/>
      <c r="P669" s="27"/>
      <c r="Q669" s="27"/>
    </row>
    <row r="670">
      <c r="N670" s="27"/>
      <c r="O670" s="27"/>
      <c r="P670" s="27"/>
      <c r="Q670" s="27"/>
    </row>
    <row r="671">
      <c r="N671" s="27"/>
      <c r="O671" s="27"/>
      <c r="P671" s="27"/>
      <c r="Q671" s="27"/>
    </row>
    <row r="672">
      <c r="N672" s="27"/>
      <c r="O672" s="27"/>
      <c r="P672" s="27"/>
      <c r="Q672" s="27"/>
    </row>
    <row r="673">
      <c r="N673" s="27"/>
      <c r="O673" s="27"/>
      <c r="P673" s="27"/>
      <c r="Q673" s="27"/>
    </row>
    <row r="674">
      <c r="N674" s="27"/>
      <c r="O674" s="27"/>
      <c r="P674" s="27"/>
      <c r="Q674" s="27"/>
    </row>
    <row r="675">
      <c r="N675" s="27"/>
      <c r="O675" s="27"/>
      <c r="P675" s="27"/>
      <c r="Q675" s="27"/>
    </row>
    <row r="676">
      <c r="N676" s="27"/>
      <c r="O676" s="27"/>
      <c r="P676" s="27"/>
      <c r="Q676" s="27"/>
    </row>
    <row r="677">
      <c r="N677" s="27"/>
      <c r="O677" s="27"/>
      <c r="P677" s="27"/>
      <c r="Q677" s="27"/>
    </row>
    <row r="678">
      <c r="N678" s="27"/>
      <c r="O678" s="27"/>
      <c r="P678" s="27"/>
      <c r="Q678" s="27"/>
    </row>
    <row r="679">
      <c r="N679" s="27"/>
      <c r="O679" s="27"/>
      <c r="P679" s="27"/>
      <c r="Q679" s="27"/>
    </row>
    <row r="680">
      <c r="N680" s="27"/>
      <c r="O680" s="27"/>
      <c r="P680" s="27"/>
      <c r="Q680" s="27"/>
    </row>
    <row r="681">
      <c r="N681" s="27"/>
      <c r="O681" s="27"/>
      <c r="P681" s="27"/>
      <c r="Q681" s="27"/>
    </row>
    <row r="682">
      <c r="N682" s="27"/>
      <c r="O682" s="27"/>
      <c r="P682" s="27"/>
      <c r="Q682" s="27"/>
    </row>
    <row r="683">
      <c r="N683" s="27"/>
      <c r="O683" s="27"/>
      <c r="P683" s="27"/>
      <c r="Q683" s="27"/>
    </row>
    <row r="684">
      <c r="N684" s="27"/>
      <c r="O684" s="27"/>
      <c r="P684" s="27"/>
      <c r="Q684" s="27"/>
    </row>
    <row r="685">
      <c r="N685" s="27"/>
      <c r="O685" s="27"/>
      <c r="P685" s="27"/>
      <c r="Q685" s="27"/>
    </row>
    <row r="686">
      <c r="N686" s="27"/>
      <c r="O686" s="27"/>
      <c r="P686" s="27"/>
      <c r="Q686" s="27"/>
    </row>
    <row r="687">
      <c r="N687" s="27"/>
      <c r="O687" s="27"/>
      <c r="P687" s="27"/>
      <c r="Q687" s="27"/>
    </row>
    <row r="688">
      <c r="N688" s="27"/>
      <c r="O688" s="27"/>
      <c r="P688" s="27"/>
      <c r="Q688" s="27"/>
    </row>
    <row r="689">
      <c r="N689" s="27"/>
      <c r="O689" s="27"/>
      <c r="P689" s="27"/>
      <c r="Q689" s="27"/>
    </row>
    <row r="690">
      <c r="N690" s="27"/>
      <c r="O690" s="27"/>
      <c r="P690" s="27"/>
      <c r="Q690" s="27"/>
    </row>
    <row r="691">
      <c r="N691" s="27"/>
      <c r="O691" s="27"/>
      <c r="P691" s="27"/>
      <c r="Q691" s="27"/>
    </row>
    <row r="692">
      <c r="N692" s="27"/>
      <c r="O692" s="27"/>
      <c r="P692" s="27"/>
      <c r="Q692" s="27"/>
    </row>
    <row r="693">
      <c r="N693" s="27"/>
      <c r="O693" s="27"/>
      <c r="P693" s="27"/>
      <c r="Q693" s="27"/>
    </row>
    <row r="694">
      <c r="N694" s="27"/>
      <c r="O694" s="27"/>
      <c r="P694" s="27"/>
      <c r="Q694" s="27"/>
    </row>
    <row r="695">
      <c r="N695" s="27"/>
      <c r="O695" s="27"/>
      <c r="P695" s="27"/>
      <c r="Q695" s="27"/>
    </row>
    <row r="696">
      <c r="N696" s="27"/>
      <c r="O696" s="27"/>
      <c r="P696" s="27"/>
      <c r="Q696" s="27"/>
    </row>
    <row r="697">
      <c r="N697" s="27"/>
      <c r="O697" s="27"/>
      <c r="P697" s="27"/>
      <c r="Q697" s="27"/>
    </row>
    <row r="698">
      <c r="N698" s="27"/>
      <c r="O698" s="27"/>
      <c r="P698" s="27"/>
      <c r="Q698" s="27"/>
    </row>
    <row r="699">
      <c r="N699" s="27"/>
      <c r="O699" s="27"/>
      <c r="P699" s="27"/>
      <c r="Q699" s="27"/>
    </row>
    <row r="700">
      <c r="N700" s="27"/>
      <c r="O700" s="27"/>
      <c r="P700" s="27"/>
      <c r="Q700" s="27"/>
    </row>
    <row r="701">
      <c r="N701" s="27"/>
      <c r="O701" s="27"/>
      <c r="P701" s="27"/>
      <c r="Q701" s="27"/>
    </row>
    <row r="702">
      <c r="N702" s="27"/>
      <c r="O702" s="27"/>
      <c r="P702" s="27"/>
      <c r="Q702" s="27"/>
    </row>
    <row r="703">
      <c r="N703" s="27"/>
      <c r="O703" s="27"/>
      <c r="P703" s="27"/>
      <c r="Q703" s="27"/>
    </row>
    <row r="704">
      <c r="N704" s="27"/>
      <c r="O704" s="27"/>
      <c r="P704" s="27"/>
      <c r="Q704" s="27"/>
    </row>
    <row r="705">
      <c r="N705" s="27"/>
      <c r="O705" s="27"/>
      <c r="P705" s="27"/>
      <c r="Q705" s="27"/>
    </row>
    <row r="706">
      <c r="N706" s="27"/>
      <c r="O706" s="27"/>
      <c r="P706" s="27"/>
      <c r="Q706" s="27"/>
    </row>
    <row r="707">
      <c r="N707" s="27"/>
      <c r="O707" s="27"/>
      <c r="P707" s="27"/>
      <c r="Q707" s="27"/>
    </row>
    <row r="708">
      <c r="N708" s="27"/>
      <c r="O708" s="27"/>
      <c r="P708" s="27"/>
      <c r="Q708" s="27"/>
    </row>
    <row r="709">
      <c r="N709" s="27"/>
      <c r="O709" s="27"/>
      <c r="P709" s="27"/>
      <c r="Q709" s="27"/>
    </row>
    <row r="710">
      <c r="N710" s="27"/>
      <c r="O710" s="27"/>
      <c r="P710" s="27"/>
      <c r="Q710" s="27"/>
    </row>
    <row r="711">
      <c r="N711" s="27"/>
      <c r="O711" s="27"/>
      <c r="P711" s="27"/>
      <c r="Q711" s="27"/>
    </row>
    <row r="712">
      <c r="N712" s="27"/>
      <c r="O712" s="27"/>
      <c r="P712" s="27"/>
      <c r="Q712" s="27"/>
    </row>
    <row r="713">
      <c r="N713" s="27"/>
      <c r="O713" s="27"/>
      <c r="P713" s="27"/>
      <c r="Q713" s="27"/>
    </row>
    <row r="714">
      <c r="N714" s="27"/>
      <c r="O714" s="27"/>
      <c r="P714" s="27"/>
      <c r="Q714" s="27"/>
    </row>
    <row r="715">
      <c r="N715" s="27"/>
      <c r="O715" s="27"/>
      <c r="P715" s="27"/>
      <c r="Q715" s="27"/>
    </row>
    <row r="716">
      <c r="N716" s="27"/>
      <c r="O716" s="27"/>
      <c r="P716" s="27"/>
      <c r="Q716" s="27"/>
    </row>
    <row r="717">
      <c r="N717" s="27"/>
      <c r="O717" s="27"/>
      <c r="P717" s="27"/>
      <c r="Q717" s="27"/>
    </row>
    <row r="718">
      <c r="N718" s="27"/>
      <c r="O718" s="27"/>
      <c r="P718" s="27"/>
      <c r="Q718" s="27"/>
    </row>
    <row r="719">
      <c r="N719" s="27"/>
      <c r="O719" s="27"/>
      <c r="P719" s="27"/>
      <c r="Q719" s="27"/>
    </row>
    <row r="720">
      <c r="N720" s="27"/>
      <c r="O720" s="27"/>
      <c r="P720" s="27"/>
      <c r="Q720" s="27"/>
    </row>
    <row r="721">
      <c r="N721" s="27"/>
      <c r="O721" s="27"/>
      <c r="P721" s="27"/>
      <c r="Q721" s="27"/>
    </row>
    <row r="722">
      <c r="N722" s="27"/>
      <c r="O722" s="27"/>
      <c r="P722" s="27"/>
      <c r="Q722" s="27"/>
    </row>
    <row r="723">
      <c r="N723" s="27"/>
      <c r="O723" s="27"/>
      <c r="P723" s="27"/>
      <c r="Q723" s="27"/>
    </row>
    <row r="724">
      <c r="N724" s="27"/>
      <c r="O724" s="27"/>
      <c r="P724" s="27"/>
      <c r="Q724" s="27"/>
    </row>
    <row r="725">
      <c r="N725" s="27"/>
      <c r="O725" s="27"/>
      <c r="P725" s="27"/>
      <c r="Q725" s="27"/>
    </row>
    <row r="726">
      <c r="N726" s="27"/>
      <c r="O726" s="27"/>
      <c r="P726" s="27"/>
      <c r="Q726" s="27"/>
    </row>
    <row r="727">
      <c r="N727" s="27"/>
      <c r="O727" s="27"/>
      <c r="P727" s="27"/>
      <c r="Q727" s="27"/>
    </row>
    <row r="728">
      <c r="N728" s="27"/>
      <c r="O728" s="27"/>
      <c r="P728" s="27"/>
      <c r="Q728" s="27"/>
    </row>
    <row r="729">
      <c r="N729" s="27"/>
      <c r="O729" s="27"/>
      <c r="P729" s="27"/>
      <c r="Q729" s="27"/>
    </row>
    <row r="730">
      <c r="N730" s="27"/>
      <c r="O730" s="27"/>
      <c r="P730" s="27"/>
      <c r="Q730" s="27"/>
    </row>
    <row r="731">
      <c r="N731" s="27"/>
      <c r="O731" s="27"/>
      <c r="P731" s="27"/>
      <c r="Q731" s="27"/>
    </row>
    <row r="732">
      <c r="N732" s="27"/>
      <c r="O732" s="27"/>
      <c r="P732" s="27"/>
      <c r="Q732" s="27"/>
    </row>
    <row r="733">
      <c r="N733" s="27"/>
      <c r="O733" s="27"/>
      <c r="P733" s="27"/>
      <c r="Q733" s="27"/>
    </row>
    <row r="734">
      <c r="N734" s="27"/>
      <c r="O734" s="27"/>
      <c r="P734" s="27"/>
      <c r="Q734" s="27"/>
    </row>
    <row r="735">
      <c r="N735" s="27"/>
      <c r="O735" s="27"/>
      <c r="P735" s="27"/>
      <c r="Q735" s="27"/>
    </row>
    <row r="736">
      <c r="N736" s="27"/>
      <c r="O736" s="27"/>
      <c r="P736" s="27"/>
      <c r="Q736" s="27"/>
    </row>
    <row r="737">
      <c r="N737" s="27"/>
      <c r="O737" s="27"/>
      <c r="P737" s="27"/>
      <c r="Q737" s="27"/>
    </row>
    <row r="738">
      <c r="N738" s="27"/>
      <c r="O738" s="27"/>
      <c r="P738" s="27"/>
      <c r="Q738" s="27"/>
    </row>
    <row r="739">
      <c r="N739" s="27"/>
      <c r="O739" s="27"/>
      <c r="P739" s="27"/>
      <c r="Q739" s="27"/>
    </row>
    <row r="740">
      <c r="N740" s="27"/>
      <c r="O740" s="27"/>
      <c r="P740" s="27"/>
      <c r="Q740" s="27"/>
    </row>
    <row r="741">
      <c r="N741" s="27"/>
      <c r="O741" s="27"/>
      <c r="P741" s="27"/>
      <c r="Q741" s="27"/>
    </row>
    <row r="742">
      <c r="N742" s="27"/>
      <c r="O742" s="27"/>
      <c r="P742" s="27"/>
      <c r="Q742" s="27"/>
    </row>
    <row r="743">
      <c r="N743" s="27"/>
      <c r="O743" s="27"/>
      <c r="P743" s="27"/>
      <c r="Q743" s="27"/>
    </row>
    <row r="744">
      <c r="N744" s="27"/>
      <c r="O744" s="27"/>
      <c r="P744" s="27"/>
      <c r="Q744" s="27"/>
    </row>
    <row r="745">
      <c r="N745" s="27"/>
      <c r="O745" s="27"/>
      <c r="P745" s="27"/>
      <c r="Q745" s="27"/>
    </row>
    <row r="746">
      <c r="N746" s="27"/>
      <c r="O746" s="27"/>
      <c r="P746" s="27"/>
      <c r="Q746" s="27"/>
    </row>
    <row r="747">
      <c r="N747" s="27"/>
      <c r="O747" s="27"/>
      <c r="P747" s="27"/>
      <c r="Q747" s="27"/>
    </row>
    <row r="748">
      <c r="N748" s="27"/>
      <c r="O748" s="27"/>
      <c r="P748" s="27"/>
      <c r="Q748" s="27"/>
    </row>
    <row r="749">
      <c r="N749" s="27"/>
      <c r="O749" s="27"/>
      <c r="P749" s="27"/>
      <c r="Q749" s="27"/>
    </row>
    <row r="750">
      <c r="N750" s="27"/>
      <c r="O750" s="27"/>
      <c r="P750" s="27"/>
      <c r="Q750" s="27"/>
    </row>
    <row r="751">
      <c r="N751" s="27"/>
      <c r="O751" s="27"/>
      <c r="P751" s="27"/>
      <c r="Q751" s="27"/>
    </row>
    <row r="752">
      <c r="N752" s="27"/>
      <c r="O752" s="27"/>
      <c r="P752" s="27"/>
      <c r="Q752" s="27"/>
    </row>
    <row r="753">
      <c r="N753" s="27"/>
      <c r="O753" s="27"/>
      <c r="P753" s="27"/>
      <c r="Q753" s="27"/>
    </row>
    <row r="754">
      <c r="N754" s="27"/>
      <c r="O754" s="27"/>
      <c r="P754" s="27"/>
      <c r="Q754" s="27"/>
    </row>
    <row r="755">
      <c r="N755" s="27"/>
      <c r="O755" s="27"/>
      <c r="P755" s="27"/>
      <c r="Q755" s="27"/>
    </row>
    <row r="756">
      <c r="N756" s="27"/>
      <c r="O756" s="27"/>
      <c r="P756" s="27"/>
      <c r="Q756" s="27"/>
    </row>
    <row r="757">
      <c r="N757" s="27"/>
      <c r="O757" s="27"/>
      <c r="P757" s="27"/>
      <c r="Q757" s="27"/>
    </row>
    <row r="758">
      <c r="N758" s="27"/>
      <c r="O758" s="27"/>
      <c r="P758" s="27"/>
      <c r="Q758" s="27"/>
    </row>
    <row r="759">
      <c r="N759" s="27"/>
      <c r="O759" s="27"/>
      <c r="P759" s="27"/>
      <c r="Q759" s="27"/>
    </row>
    <row r="760">
      <c r="N760" s="27"/>
      <c r="O760" s="27"/>
      <c r="P760" s="27"/>
      <c r="Q760" s="27"/>
    </row>
    <row r="761">
      <c r="N761" s="27"/>
      <c r="O761" s="27"/>
      <c r="P761" s="27"/>
      <c r="Q761" s="27"/>
    </row>
    <row r="762">
      <c r="N762" s="27"/>
      <c r="O762" s="27"/>
      <c r="P762" s="27"/>
      <c r="Q762" s="27"/>
    </row>
    <row r="763">
      <c r="N763" s="27"/>
      <c r="O763" s="27"/>
      <c r="P763" s="27"/>
      <c r="Q763" s="27"/>
    </row>
    <row r="764">
      <c r="N764" s="27"/>
      <c r="O764" s="27"/>
      <c r="P764" s="27"/>
      <c r="Q764" s="27"/>
    </row>
    <row r="765">
      <c r="N765" s="27"/>
      <c r="O765" s="27"/>
      <c r="P765" s="27"/>
      <c r="Q765" s="27"/>
    </row>
    <row r="766">
      <c r="N766" s="27"/>
      <c r="O766" s="27"/>
      <c r="P766" s="27"/>
      <c r="Q766" s="27"/>
    </row>
    <row r="767">
      <c r="N767" s="27"/>
      <c r="O767" s="27"/>
      <c r="P767" s="27"/>
      <c r="Q767" s="27"/>
    </row>
    <row r="768">
      <c r="N768" s="27"/>
      <c r="O768" s="27"/>
      <c r="P768" s="27"/>
      <c r="Q768" s="27"/>
    </row>
    <row r="769">
      <c r="N769" s="27"/>
      <c r="O769" s="27"/>
      <c r="P769" s="27"/>
      <c r="Q769" s="27"/>
    </row>
    <row r="770">
      <c r="N770" s="27"/>
      <c r="O770" s="27"/>
      <c r="P770" s="27"/>
      <c r="Q770" s="27"/>
    </row>
    <row r="771">
      <c r="N771" s="27"/>
      <c r="O771" s="27"/>
      <c r="P771" s="27"/>
      <c r="Q771" s="27"/>
    </row>
    <row r="772">
      <c r="N772" s="27"/>
      <c r="O772" s="27"/>
      <c r="P772" s="27"/>
      <c r="Q772" s="27"/>
    </row>
    <row r="773">
      <c r="N773" s="27"/>
      <c r="O773" s="27"/>
      <c r="P773" s="27"/>
      <c r="Q773" s="27"/>
    </row>
    <row r="774">
      <c r="N774" s="27"/>
      <c r="O774" s="27"/>
      <c r="P774" s="27"/>
      <c r="Q774" s="27"/>
    </row>
    <row r="775">
      <c r="N775" s="27"/>
      <c r="O775" s="27"/>
      <c r="P775" s="27"/>
      <c r="Q775" s="27"/>
    </row>
    <row r="776">
      <c r="N776" s="27"/>
      <c r="O776" s="27"/>
      <c r="P776" s="27"/>
      <c r="Q776" s="27"/>
    </row>
    <row r="777">
      <c r="N777" s="27"/>
      <c r="O777" s="27"/>
      <c r="P777" s="27"/>
      <c r="Q777" s="27"/>
    </row>
    <row r="778">
      <c r="N778" s="27"/>
      <c r="O778" s="27"/>
      <c r="P778" s="27"/>
      <c r="Q778" s="27"/>
    </row>
    <row r="779">
      <c r="N779" s="27"/>
      <c r="O779" s="27"/>
      <c r="P779" s="27"/>
      <c r="Q779" s="27"/>
    </row>
    <row r="780">
      <c r="N780" s="27"/>
      <c r="O780" s="27"/>
      <c r="P780" s="27"/>
      <c r="Q780" s="27"/>
    </row>
    <row r="781">
      <c r="N781" s="27"/>
      <c r="O781" s="27"/>
      <c r="P781" s="27"/>
      <c r="Q781" s="27"/>
    </row>
    <row r="782">
      <c r="N782" s="27"/>
      <c r="O782" s="27"/>
      <c r="P782" s="27"/>
      <c r="Q782" s="27"/>
    </row>
    <row r="783">
      <c r="N783" s="27"/>
      <c r="O783" s="27"/>
      <c r="P783" s="27"/>
      <c r="Q783" s="27"/>
    </row>
    <row r="784">
      <c r="N784" s="27"/>
      <c r="O784" s="27"/>
      <c r="P784" s="27"/>
      <c r="Q784" s="27"/>
    </row>
    <row r="785">
      <c r="N785" s="27"/>
      <c r="O785" s="27"/>
      <c r="P785" s="27"/>
      <c r="Q785" s="27"/>
    </row>
    <row r="786">
      <c r="N786" s="27"/>
      <c r="O786" s="27"/>
      <c r="P786" s="27"/>
      <c r="Q786" s="27"/>
    </row>
    <row r="787">
      <c r="N787" s="27"/>
      <c r="O787" s="27"/>
      <c r="P787" s="27"/>
      <c r="Q787" s="27"/>
    </row>
    <row r="788">
      <c r="N788" s="27"/>
      <c r="O788" s="27"/>
      <c r="P788" s="27"/>
      <c r="Q788" s="27"/>
    </row>
    <row r="789">
      <c r="N789" s="27"/>
      <c r="O789" s="27"/>
      <c r="P789" s="27"/>
      <c r="Q789" s="27"/>
    </row>
    <row r="790">
      <c r="N790" s="27"/>
      <c r="O790" s="27"/>
      <c r="P790" s="27"/>
      <c r="Q790" s="27"/>
    </row>
    <row r="791">
      <c r="N791" s="27"/>
      <c r="O791" s="27"/>
      <c r="P791" s="27"/>
      <c r="Q791" s="27"/>
    </row>
    <row r="792">
      <c r="N792" s="27"/>
      <c r="O792" s="27"/>
      <c r="P792" s="27"/>
      <c r="Q792" s="27"/>
    </row>
    <row r="793">
      <c r="N793" s="27"/>
      <c r="O793" s="27"/>
      <c r="P793" s="27"/>
      <c r="Q793" s="27"/>
    </row>
    <row r="794">
      <c r="N794" s="27"/>
      <c r="O794" s="27"/>
      <c r="P794" s="27"/>
      <c r="Q794" s="27"/>
    </row>
    <row r="795">
      <c r="N795" s="27"/>
      <c r="O795" s="27"/>
      <c r="P795" s="27"/>
      <c r="Q795" s="27"/>
    </row>
    <row r="796">
      <c r="N796" s="27"/>
      <c r="O796" s="27"/>
      <c r="P796" s="27"/>
      <c r="Q796" s="27"/>
    </row>
    <row r="797">
      <c r="N797" s="27"/>
      <c r="O797" s="27"/>
      <c r="P797" s="27"/>
      <c r="Q797" s="27"/>
    </row>
    <row r="798">
      <c r="N798" s="27"/>
      <c r="O798" s="27"/>
      <c r="P798" s="27"/>
      <c r="Q798" s="27"/>
    </row>
    <row r="799">
      <c r="N799" s="27"/>
      <c r="O799" s="27"/>
      <c r="P799" s="27"/>
      <c r="Q799" s="27"/>
    </row>
    <row r="800">
      <c r="N800" s="27"/>
      <c r="O800" s="27"/>
      <c r="P800" s="27"/>
      <c r="Q800" s="27"/>
    </row>
    <row r="801">
      <c r="N801" s="27"/>
      <c r="O801" s="27"/>
      <c r="P801" s="27"/>
      <c r="Q801" s="27"/>
    </row>
    <row r="802">
      <c r="N802" s="27"/>
      <c r="O802" s="27"/>
      <c r="P802" s="27"/>
      <c r="Q802" s="27"/>
    </row>
    <row r="803">
      <c r="N803" s="27"/>
      <c r="O803" s="27"/>
      <c r="P803" s="27"/>
      <c r="Q803" s="27"/>
    </row>
    <row r="804">
      <c r="N804" s="27"/>
      <c r="O804" s="27"/>
      <c r="P804" s="27"/>
      <c r="Q804" s="27"/>
    </row>
    <row r="805">
      <c r="N805" s="27"/>
      <c r="O805" s="27"/>
      <c r="P805" s="27"/>
      <c r="Q805" s="27"/>
    </row>
    <row r="806">
      <c r="N806" s="27"/>
      <c r="O806" s="27"/>
      <c r="P806" s="27"/>
      <c r="Q806" s="27"/>
    </row>
    <row r="807">
      <c r="N807" s="27"/>
      <c r="O807" s="27"/>
      <c r="P807" s="27"/>
      <c r="Q807" s="27"/>
    </row>
    <row r="808">
      <c r="N808" s="27"/>
      <c r="O808" s="27"/>
      <c r="P808" s="27"/>
      <c r="Q808" s="27"/>
    </row>
    <row r="809">
      <c r="N809" s="27"/>
      <c r="O809" s="27"/>
      <c r="P809" s="27"/>
      <c r="Q809" s="27"/>
    </row>
    <row r="810">
      <c r="N810" s="27"/>
      <c r="O810" s="27"/>
      <c r="P810" s="27"/>
      <c r="Q810" s="27"/>
    </row>
    <row r="811">
      <c r="N811" s="27"/>
      <c r="O811" s="27"/>
      <c r="P811" s="27"/>
      <c r="Q811" s="27"/>
    </row>
    <row r="812">
      <c r="N812" s="27"/>
      <c r="O812" s="27"/>
      <c r="P812" s="27"/>
      <c r="Q812" s="27"/>
    </row>
    <row r="813">
      <c r="N813" s="27"/>
      <c r="O813" s="27"/>
      <c r="P813" s="27"/>
      <c r="Q813" s="27"/>
    </row>
    <row r="814">
      <c r="N814" s="27"/>
      <c r="O814" s="27"/>
      <c r="P814" s="27"/>
      <c r="Q814" s="27"/>
    </row>
    <row r="815">
      <c r="N815" s="27"/>
      <c r="O815" s="27"/>
      <c r="P815" s="27"/>
      <c r="Q815" s="27"/>
    </row>
    <row r="816">
      <c r="N816" s="27"/>
      <c r="O816" s="27"/>
      <c r="P816" s="27"/>
      <c r="Q816" s="27"/>
    </row>
    <row r="817">
      <c r="N817" s="27"/>
      <c r="O817" s="27"/>
      <c r="P817" s="27"/>
      <c r="Q817" s="27"/>
    </row>
    <row r="818">
      <c r="N818" s="27"/>
      <c r="O818" s="27"/>
      <c r="P818" s="27"/>
      <c r="Q818" s="27"/>
    </row>
    <row r="819">
      <c r="N819" s="27"/>
      <c r="O819" s="27"/>
      <c r="P819" s="27"/>
      <c r="Q819" s="27"/>
    </row>
    <row r="820">
      <c r="N820" s="27"/>
      <c r="O820" s="27"/>
      <c r="P820" s="27"/>
      <c r="Q820" s="27"/>
    </row>
    <row r="821">
      <c r="N821" s="27"/>
      <c r="O821" s="27"/>
      <c r="P821" s="27"/>
      <c r="Q821" s="27"/>
    </row>
    <row r="822">
      <c r="N822" s="27"/>
      <c r="O822" s="27"/>
      <c r="P822" s="27"/>
      <c r="Q822" s="27"/>
    </row>
    <row r="823">
      <c r="N823" s="27"/>
      <c r="O823" s="27"/>
      <c r="P823" s="27"/>
      <c r="Q823" s="27"/>
    </row>
    <row r="824">
      <c r="N824" s="27"/>
      <c r="O824" s="27"/>
      <c r="P824" s="27"/>
      <c r="Q824" s="27"/>
    </row>
    <row r="825">
      <c r="N825" s="27"/>
      <c r="O825" s="27"/>
      <c r="P825" s="27"/>
      <c r="Q825" s="27"/>
    </row>
    <row r="826">
      <c r="N826" s="27"/>
      <c r="O826" s="27"/>
      <c r="P826" s="27"/>
      <c r="Q826" s="27"/>
    </row>
    <row r="827">
      <c r="N827" s="27"/>
      <c r="O827" s="27"/>
      <c r="P827" s="27"/>
      <c r="Q827" s="27"/>
    </row>
    <row r="828">
      <c r="N828" s="27"/>
      <c r="O828" s="27"/>
      <c r="P828" s="27"/>
      <c r="Q828" s="27"/>
    </row>
    <row r="829">
      <c r="N829" s="27"/>
      <c r="O829" s="27"/>
      <c r="P829" s="27"/>
      <c r="Q829" s="27"/>
    </row>
    <row r="830">
      <c r="N830" s="27"/>
      <c r="O830" s="27"/>
      <c r="P830" s="27"/>
      <c r="Q830" s="27"/>
    </row>
    <row r="831">
      <c r="N831" s="27"/>
      <c r="O831" s="27"/>
      <c r="P831" s="27"/>
      <c r="Q831" s="27"/>
    </row>
    <row r="832">
      <c r="N832" s="27"/>
      <c r="O832" s="27"/>
      <c r="P832" s="27"/>
      <c r="Q832" s="27"/>
    </row>
    <row r="833">
      <c r="N833" s="27"/>
      <c r="O833" s="27"/>
      <c r="P833" s="27"/>
      <c r="Q833" s="27"/>
    </row>
    <row r="834">
      <c r="N834" s="27"/>
      <c r="O834" s="27"/>
      <c r="P834" s="27"/>
      <c r="Q834" s="27"/>
    </row>
    <row r="835">
      <c r="N835" s="27"/>
      <c r="O835" s="27"/>
      <c r="P835" s="27"/>
      <c r="Q835" s="27"/>
    </row>
    <row r="836">
      <c r="N836" s="27"/>
      <c r="O836" s="27"/>
      <c r="P836" s="27"/>
      <c r="Q836" s="27"/>
    </row>
    <row r="837">
      <c r="N837" s="27"/>
      <c r="O837" s="27"/>
      <c r="P837" s="27"/>
      <c r="Q837" s="27"/>
    </row>
    <row r="838">
      <c r="N838" s="27"/>
      <c r="O838" s="27"/>
      <c r="P838" s="27"/>
      <c r="Q838" s="27"/>
    </row>
    <row r="839">
      <c r="N839" s="27"/>
      <c r="O839" s="27"/>
      <c r="P839" s="27"/>
      <c r="Q839" s="27"/>
    </row>
    <row r="840">
      <c r="N840" s="27"/>
      <c r="O840" s="27"/>
      <c r="P840" s="27"/>
      <c r="Q840" s="27"/>
    </row>
    <row r="841">
      <c r="N841" s="27"/>
      <c r="O841" s="27"/>
      <c r="P841" s="27"/>
      <c r="Q841" s="27"/>
    </row>
    <row r="842">
      <c r="N842" s="27"/>
      <c r="O842" s="27"/>
      <c r="P842" s="27"/>
      <c r="Q842" s="27"/>
    </row>
    <row r="843">
      <c r="N843" s="27"/>
      <c r="O843" s="27"/>
      <c r="P843" s="27"/>
      <c r="Q843" s="27"/>
    </row>
    <row r="844">
      <c r="N844" s="27"/>
      <c r="O844" s="27"/>
      <c r="P844" s="27"/>
      <c r="Q844" s="27"/>
    </row>
    <row r="845">
      <c r="N845" s="27"/>
      <c r="O845" s="27"/>
      <c r="P845" s="27"/>
      <c r="Q845" s="27"/>
    </row>
    <row r="846">
      <c r="N846" s="27"/>
      <c r="O846" s="27"/>
      <c r="P846" s="27"/>
      <c r="Q846" s="27"/>
    </row>
    <row r="847">
      <c r="N847" s="27"/>
      <c r="O847" s="27"/>
      <c r="P847" s="27"/>
      <c r="Q847" s="27"/>
    </row>
    <row r="848">
      <c r="N848" s="27"/>
      <c r="O848" s="27"/>
      <c r="P848" s="27"/>
      <c r="Q848" s="27"/>
    </row>
    <row r="849">
      <c r="N849" s="27"/>
      <c r="O849" s="27"/>
      <c r="P849" s="27"/>
      <c r="Q849" s="27"/>
    </row>
    <row r="850">
      <c r="N850" s="27"/>
      <c r="O850" s="27"/>
      <c r="P850" s="27"/>
      <c r="Q850" s="27"/>
    </row>
    <row r="851">
      <c r="N851" s="27"/>
      <c r="O851" s="27"/>
      <c r="P851" s="27"/>
      <c r="Q851" s="27"/>
    </row>
    <row r="852">
      <c r="N852" s="27"/>
      <c r="O852" s="27"/>
      <c r="P852" s="27"/>
      <c r="Q852" s="27"/>
    </row>
    <row r="853">
      <c r="N853" s="27"/>
      <c r="O853" s="27"/>
      <c r="P853" s="27"/>
      <c r="Q853" s="27"/>
    </row>
    <row r="854">
      <c r="N854" s="27"/>
      <c r="O854" s="27"/>
      <c r="P854" s="27"/>
      <c r="Q854" s="27"/>
    </row>
    <row r="855">
      <c r="N855" s="27"/>
      <c r="O855" s="27"/>
      <c r="P855" s="27"/>
      <c r="Q855" s="27"/>
    </row>
    <row r="856">
      <c r="N856" s="27"/>
      <c r="O856" s="27"/>
      <c r="P856" s="27"/>
      <c r="Q856" s="27"/>
    </row>
    <row r="857">
      <c r="N857" s="27"/>
      <c r="O857" s="27"/>
      <c r="P857" s="27"/>
      <c r="Q857" s="27"/>
    </row>
    <row r="858">
      <c r="N858" s="27"/>
      <c r="O858" s="27"/>
      <c r="P858" s="27"/>
      <c r="Q858" s="27"/>
    </row>
    <row r="859">
      <c r="N859" s="27"/>
      <c r="O859" s="27"/>
      <c r="P859" s="27"/>
      <c r="Q859" s="27"/>
    </row>
    <row r="860">
      <c r="N860" s="27"/>
      <c r="O860" s="27"/>
      <c r="P860" s="27"/>
      <c r="Q860" s="27"/>
    </row>
    <row r="861">
      <c r="N861" s="27"/>
      <c r="O861" s="27"/>
      <c r="P861" s="27"/>
      <c r="Q861" s="27"/>
    </row>
    <row r="862">
      <c r="N862" s="27"/>
      <c r="O862" s="27"/>
      <c r="P862" s="27"/>
      <c r="Q862" s="27"/>
    </row>
    <row r="863">
      <c r="N863" s="27"/>
      <c r="O863" s="27"/>
      <c r="P863" s="27"/>
      <c r="Q863" s="27"/>
    </row>
    <row r="864">
      <c r="N864" s="27"/>
      <c r="O864" s="27"/>
      <c r="P864" s="27"/>
      <c r="Q864" s="27"/>
    </row>
    <row r="865">
      <c r="N865" s="27"/>
      <c r="O865" s="27"/>
      <c r="P865" s="27"/>
      <c r="Q865" s="27"/>
    </row>
    <row r="866">
      <c r="N866" s="27"/>
      <c r="O866" s="27"/>
      <c r="P866" s="27"/>
      <c r="Q866" s="27"/>
    </row>
    <row r="867">
      <c r="N867" s="27"/>
      <c r="O867" s="27"/>
      <c r="P867" s="27"/>
      <c r="Q867" s="27"/>
    </row>
    <row r="868">
      <c r="N868" s="27"/>
      <c r="O868" s="27"/>
      <c r="P868" s="27"/>
      <c r="Q868" s="27"/>
    </row>
    <row r="869">
      <c r="N869" s="27"/>
      <c r="O869" s="27"/>
      <c r="P869" s="27"/>
      <c r="Q869" s="27"/>
    </row>
    <row r="870">
      <c r="N870" s="27"/>
      <c r="O870" s="27"/>
      <c r="P870" s="27"/>
      <c r="Q870" s="27"/>
    </row>
    <row r="871">
      <c r="N871" s="27"/>
      <c r="O871" s="27"/>
      <c r="P871" s="27"/>
      <c r="Q871" s="27"/>
    </row>
    <row r="872">
      <c r="N872" s="27"/>
      <c r="O872" s="27"/>
      <c r="P872" s="27"/>
      <c r="Q872" s="27"/>
    </row>
    <row r="873">
      <c r="N873" s="27"/>
      <c r="O873" s="27"/>
      <c r="P873" s="27"/>
      <c r="Q873" s="27"/>
    </row>
    <row r="874">
      <c r="N874" s="27"/>
      <c r="O874" s="27"/>
      <c r="P874" s="27"/>
      <c r="Q874" s="27"/>
    </row>
    <row r="875">
      <c r="N875" s="27"/>
      <c r="O875" s="27"/>
      <c r="P875" s="27"/>
      <c r="Q875" s="27"/>
    </row>
    <row r="876">
      <c r="N876" s="27"/>
      <c r="O876" s="27"/>
      <c r="P876" s="27"/>
      <c r="Q876" s="27"/>
    </row>
    <row r="877">
      <c r="N877" s="27"/>
      <c r="O877" s="27"/>
      <c r="P877" s="27"/>
      <c r="Q877" s="27"/>
    </row>
    <row r="878">
      <c r="N878" s="27"/>
      <c r="O878" s="27"/>
      <c r="P878" s="27"/>
      <c r="Q878" s="27"/>
    </row>
    <row r="879">
      <c r="N879" s="27"/>
      <c r="O879" s="27"/>
      <c r="P879" s="27"/>
      <c r="Q879" s="27"/>
    </row>
    <row r="880">
      <c r="N880" s="27"/>
      <c r="O880" s="27"/>
      <c r="P880" s="27"/>
      <c r="Q880" s="27"/>
    </row>
    <row r="881">
      <c r="N881" s="27"/>
      <c r="O881" s="27"/>
      <c r="P881" s="27"/>
      <c r="Q881" s="27"/>
    </row>
    <row r="882">
      <c r="N882" s="27"/>
      <c r="O882" s="27"/>
      <c r="P882" s="27"/>
      <c r="Q882" s="27"/>
    </row>
    <row r="883">
      <c r="N883" s="27"/>
      <c r="O883" s="27"/>
      <c r="P883" s="27"/>
      <c r="Q883" s="27"/>
    </row>
    <row r="884">
      <c r="N884" s="27"/>
      <c r="O884" s="27"/>
      <c r="P884" s="27"/>
      <c r="Q884" s="27"/>
    </row>
    <row r="885">
      <c r="N885" s="27"/>
      <c r="O885" s="27"/>
      <c r="P885" s="27"/>
      <c r="Q885" s="27"/>
    </row>
    <row r="886">
      <c r="N886" s="27"/>
      <c r="O886" s="27"/>
      <c r="P886" s="27"/>
      <c r="Q886" s="27"/>
    </row>
    <row r="887">
      <c r="N887" s="27"/>
      <c r="O887" s="27"/>
      <c r="P887" s="27"/>
      <c r="Q887" s="27"/>
    </row>
    <row r="888">
      <c r="N888" s="27"/>
      <c r="O888" s="27"/>
      <c r="P888" s="27"/>
      <c r="Q888" s="27"/>
    </row>
    <row r="889">
      <c r="N889" s="27"/>
      <c r="O889" s="27"/>
      <c r="P889" s="27"/>
      <c r="Q889" s="27"/>
    </row>
    <row r="890">
      <c r="N890" s="27"/>
      <c r="O890" s="27"/>
      <c r="P890" s="27"/>
      <c r="Q890" s="27"/>
    </row>
    <row r="891">
      <c r="N891" s="27"/>
      <c r="O891" s="27"/>
      <c r="P891" s="27"/>
      <c r="Q891" s="27"/>
    </row>
    <row r="892">
      <c r="N892" s="27"/>
      <c r="O892" s="27"/>
      <c r="P892" s="27"/>
      <c r="Q892" s="27"/>
    </row>
    <row r="893">
      <c r="N893" s="27"/>
      <c r="O893" s="27"/>
      <c r="P893" s="27"/>
      <c r="Q893" s="27"/>
    </row>
    <row r="894">
      <c r="N894" s="27"/>
      <c r="O894" s="27"/>
      <c r="P894" s="27"/>
      <c r="Q894" s="27"/>
    </row>
    <row r="895">
      <c r="N895" s="27"/>
      <c r="O895" s="27"/>
      <c r="P895" s="27"/>
      <c r="Q895" s="27"/>
    </row>
    <row r="896">
      <c r="N896" s="27"/>
      <c r="O896" s="27"/>
      <c r="P896" s="27"/>
      <c r="Q896" s="27"/>
    </row>
    <row r="897">
      <c r="N897" s="27"/>
      <c r="O897" s="27"/>
      <c r="P897" s="27"/>
      <c r="Q897" s="27"/>
    </row>
    <row r="898">
      <c r="N898" s="27"/>
      <c r="O898" s="27"/>
      <c r="P898" s="27"/>
      <c r="Q898" s="27"/>
    </row>
    <row r="899">
      <c r="N899" s="27"/>
      <c r="O899" s="27"/>
      <c r="P899" s="27"/>
      <c r="Q899" s="27"/>
    </row>
    <row r="900">
      <c r="N900" s="27"/>
      <c r="O900" s="27"/>
      <c r="P900" s="27"/>
      <c r="Q900" s="27"/>
    </row>
    <row r="901">
      <c r="N901" s="27"/>
      <c r="O901" s="27"/>
      <c r="P901" s="27"/>
      <c r="Q901" s="27"/>
    </row>
    <row r="902">
      <c r="N902" s="27"/>
      <c r="O902" s="27"/>
      <c r="P902" s="27"/>
      <c r="Q902" s="27"/>
    </row>
    <row r="903">
      <c r="N903" s="27"/>
      <c r="O903" s="27"/>
      <c r="P903" s="27"/>
      <c r="Q903" s="27"/>
    </row>
    <row r="904">
      <c r="N904" s="27"/>
      <c r="O904" s="27"/>
      <c r="P904" s="27"/>
      <c r="Q904" s="27"/>
    </row>
    <row r="905">
      <c r="N905" s="27"/>
      <c r="O905" s="27"/>
      <c r="P905" s="27"/>
      <c r="Q905" s="27"/>
    </row>
    <row r="906">
      <c r="N906" s="27"/>
      <c r="O906" s="27"/>
      <c r="P906" s="27"/>
      <c r="Q906" s="27"/>
    </row>
    <row r="907">
      <c r="N907" s="27"/>
      <c r="O907" s="27"/>
      <c r="P907" s="27"/>
      <c r="Q907" s="27"/>
    </row>
    <row r="908">
      <c r="N908" s="27"/>
      <c r="O908" s="27"/>
      <c r="P908" s="27"/>
      <c r="Q908" s="27"/>
    </row>
    <row r="909">
      <c r="N909" s="27"/>
      <c r="O909" s="27"/>
      <c r="P909" s="27"/>
      <c r="Q909" s="27"/>
    </row>
    <row r="910">
      <c r="N910" s="27"/>
      <c r="O910" s="27"/>
      <c r="P910" s="27"/>
      <c r="Q910" s="27"/>
    </row>
    <row r="911">
      <c r="N911" s="27"/>
      <c r="O911" s="27"/>
      <c r="P911" s="27"/>
      <c r="Q911" s="27"/>
    </row>
    <row r="912">
      <c r="N912" s="27"/>
      <c r="O912" s="27"/>
      <c r="P912" s="27"/>
      <c r="Q912" s="27"/>
    </row>
    <row r="913">
      <c r="N913" s="27"/>
      <c r="O913" s="27"/>
      <c r="P913" s="27"/>
      <c r="Q913" s="27"/>
    </row>
    <row r="914">
      <c r="N914" s="27"/>
      <c r="O914" s="27"/>
      <c r="P914" s="27"/>
      <c r="Q914" s="27"/>
    </row>
    <row r="915">
      <c r="N915" s="27"/>
      <c r="O915" s="27"/>
      <c r="P915" s="27"/>
      <c r="Q915" s="27"/>
    </row>
    <row r="916">
      <c r="N916" s="27"/>
      <c r="O916" s="27"/>
      <c r="P916" s="27"/>
      <c r="Q916" s="27"/>
    </row>
    <row r="917">
      <c r="N917" s="27"/>
      <c r="O917" s="27"/>
      <c r="P917" s="27"/>
      <c r="Q917" s="27"/>
    </row>
    <row r="918">
      <c r="N918" s="27"/>
      <c r="O918" s="27"/>
      <c r="P918" s="27"/>
      <c r="Q918" s="27"/>
    </row>
    <row r="919">
      <c r="N919" s="27"/>
      <c r="O919" s="27"/>
      <c r="P919" s="27"/>
      <c r="Q919" s="27"/>
    </row>
    <row r="920">
      <c r="N920" s="27"/>
      <c r="O920" s="27"/>
      <c r="P920" s="27"/>
      <c r="Q920" s="27"/>
    </row>
    <row r="921">
      <c r="N921" s="27"/>
      <c r="O921" s="27"/>
      <c r="P921" s="27"/>
      <c r="Q921" s="27"/>
    </row>
    <row r="922">
      <c r="N922" s="27"/>
      <c r="O922" s="27"/>
      <c r="P922" s="27"/>
      <c r="Q922" s="27"/>
    </row>
    <row r="923">
      <c r="N923" s="27"/>
      <c r="O923" s="27"/>
      <c r="P923" s="27"/>
      <c r="Q923" s="27"/>
    </row>
    <row r="924">
      <c r="N924" s="27"/>
      <c r="O924" s="27"/>
      <c r="P924" s="27"/>
      <c r="Q924" s="27"/>
    </row>
    <row r="925">
      <c r="N925" s="27"/>
      <c r="O925" s="27"/>
      <c r="P925" s="27"/>
      <c r="Q925" s="27"/>
    </row>
    <row r="926">
      <c r="N926" s="27"/>
      <c r="O926" s="27"/>
      <c r="P926" s="27"/>
      <c r="Q926" s="27"/>
    </row>
    <row r="927">
      <c r="N927" s="27"/>
      <c r="O927" s="27"/>
      <c r="P927" s="27"/>
      <c r="Q927" s="27"/>
    </row>
    <row r="928">
      <c r="N928" s="27"/>
      <c r="O928" s="27"/>
      <c r="P928" s="27"/>
      <c r="Q928" s="27"/>
    </row>
    <row r="929">
      <c r="N929" s="27"/>
      <c r="O929" s="27"/>
      <c r="P929" s="27"/>
      <c r="Q929" s="27"/>
    </row>
    <row r="930">
      <c r="N930" s="27"/>
      <c r="O930" s="27"/>
      <c r="P930" s="27"/>
      <c r="Q930" s="27"/>
    </row>
    <row r="931">
      <c r="N931" s="27"/>
      <c r="O931" s="27"/>
      <c r="P931" s="27"/>
      <c r="Q931" s="27"/>
    </row>
    <row r="932">
      <c r="N932" s="27"/>
      <c r="O932" s="27"/>
      <c r="P932" s="27"/>
      <c r="Q932" s="27"/>
    </row>
    <row r="933">
      <c r="N933" s="27"/>
      <c r="O933" s="27"/>
      <c r="P933" s="27"/>
      <c r="Q933" s="27"/>
    </row>
    <row r="934">
      <c r="N934" s="27"/>
      <c r="O934" s="27"/>
      <c r="P934" s="27"/>
      <c r="Q934" s="27"/>
    </row>
    <row r="935">
      <c r="N935" s="27"/>
      <c r="O935" s="27"/>
      <c r="P935" s="27"/>
      <c r="Q935" s="27"/>
    </row>
    <row r="936">
      <c r="N936" s="27"/>
      <c r="O936" s="27"/>
      <c r="P936" s="27"/>
      <c r="Q936" s="27"/>
    </row>
    <row r="937">
      <c r="N937" s="27"/>
      <c r="O937" s="27"/>
      <c r="P937" s="27"/>
      <c r="Q937" s="27"/>
    </row>
    <row r="938">
      <c r="N938" s="27"/>
      <c r="O938" s="27"/>
      <c r="P938" s="27"/>
      <c r="Q938" s="27"/>
    </row>
    <row r="939">
      <c r="N939" s="27"/>
      <c r="O939" s="27"/>
      <c r="P939" s="27"/>
      <c r="Q939" s="27"/>
    </row>
    <row r="940">
      <c r="N940" s="27"/>
      <c r="O940" s="27"/>
      <c r="P940" s="27"/>
      <c r="Q940" s="27"/>
    </row>
    <row r="941">
      <c r="N941" s="27"/>
      <c r="O941" s="27"/>
      <c r="P941" s="27"/>
      <c r="Q941" s="27"/>
    </row>
    <row r="942">
      <c r="N942" s="27"/>
      <c r="O942" s="27"/>
      <c r="P942" s="27"/>
      <c r="Q942" s="27"/>
    </row>
    <row r="943">
      <c r="N943" s="27"/>
      <c r="O943" s="27"/>
      <c r="P943" s="27"/>
      <c r="Q943" s="27"/>
    </row>
    <row r="944">
      <c r="N944" s="27"/>
      <c r="O944" s="27"/>
      <c r="P944" s="27"/>
      <c r="Q944" s="27"/>
    </row>
    <row r="945">
      <c r="N945" s="27"/>
      <c r="O945" s="27"/>
      <c r="P945" s="27"/>
      <c r="Q945" s="27"/>
    </row>
    <row r="946">
      <c r="N946" s="27"/>
      <c r="O946" s="27"/>
      <c r="P946" s="27"/>
      <c r="Q946" s="27"/>
    </row>
    <row r="947">
      <c r="N947" s="27"/>
      <c r="O947" s="27"/>
      <c r="P947" s="27"/>
      <c r="Q947" s="27"/>
    </row>
    <row r="948">
      <c r="N948" s="27"/>
      <c r="O948" s="27"/>
      <c r="P948" s="27"/>
      <c r="Q948" s="27"/>
    </row>
    <row r="949">
      <c r="N949" s="27"/>
      <c r="O949" s="27"/>
      <c r="P949" s="27"/>
      <c r="Q949" s="27"/>
    </row>
    <row r="950">
      <c r="N950" s="27"/>
      <c r="O950" s="27"/>
      <c r="P950" s="27"/>
      <c r="Q950" s="27"/>
    </row>
    <row r="951">
      <c r="N951" s="27"/>
      <c r="O951" s="27"/>
      <c r="P951" s="27"/>
      <c r="Q951" s="27"/>
    </row>
    <row r="952">
      <c r="N952" s="27"/>
      <c r="O952" s="27"/>
      <c r="P952" s="27"/>
      <c r="Q952" s="27"/>
    </row>
    <row r="953">
      <c r="N953" s="27"/>
      <c r="O953" s="27"/>
      <c r="P953" s="27"/>
      <c r="Q953" s="27"/>
    </row>
    <row r="954">
      <c r="N954" s="27"/>
      <c r="O954" s="27"/>
      <c r="P954" s="27"/>
      <c r="Q954" s="27"/>
    </row>
    <row r="955">
      <c r="N955" s="27"/>
      <c r="O955" s="27"/>
      <c r="P955" s="27"/>
      <c r="Q955" s="27"/>
    </row>
    <row r="956">
      <c r="N956" s="27"/>
      <c r="O956" s="27"/>
      <c r="P956" s="27"/>
      <c r="Q956" s="27"/>
    </row>
    <row r="957">
      <c r="N957" s="27"/>
      <c r="O957" s="27"/>
      <c r="P957" s="27"/>
      <c r="Q957" s="27"/>
    </row>
    <row r="958">
      <c r="N958" s="27"/>
      <c r="O958" s="27"/>
      <c r="P958" s="27"/>
      <c r="Q958" s="27"/>
    </row>
    <row r="959">
      <c r="N959" s="27"/>
      <c r="O959" s="27"/>
      <c r="P959" s="27"/>
      <c r="Q959" s="27"/>
    </row>
    <row r="960">
      <c r="N960" s="27"/>
      <c r="O960" s="27"/>
      <c r="P960" s="27"/>
      <c r="Q960" s="27"/>
    </row>
    <row r="961">
      <c r="N961" s="27"/>
      <c r="O961" s="27"/>
      <c r="P961" s="27"/>
      <c r="Q961" s="27"/>
    </row>
    <row r="962">
      <c r="N962" s="27"/>
      <c r="O962" s="27"/>
      <c r="P962" s="27"/>
      <c r="Q962" s="27"/>
    </row>
    <row r="963">
      <c r="N963" s="27"/>
      <c r="O963" s="27"/>
      <c r="P963" s="27"/>
      <c r="Q963" s="27"/>
    </row>
    <row r="964">
      <c r="N964" s="27"/>
      <c r="O964" s="27"/>
      <c r="P964" s="27"/>
      <c r="Q964" s="27"/>
    </row>
    <row r="965">
      <c r="N965" s="27"/>
      <c r="O965" s="27"/>
      <c r="P965" s="27"/>
      <c r="Q965" s="27"/>
    </row>
    <row r="966">
      <c r="N966" s="27"/>
      <c r="O966" s="27"/>
      <c r="P966" s="27"/>
      <c r="Q966" s="27"/>
    </row>
    <row r="967">
      <c r="N967" s="27"/>
      <c r="O967" s="27"/>
      <c r="P967" s="27"/>
      <c r="Q967" s="27"/>
    </row>
    <row r="968">
      <c r="N968" s="27"/>
      <c r="O968" s="27"/>
      <c r="P968" s="27"/>
      <c r="Q968" s="27"/>
    </row>
    <row r="969">
      <c r="N969" s="27"/>
      <c r="O969" s="27"/>
      <c r="P969" s="27"/>
      <c r="Q969" s="27"/>
    </row>
    <row r="970">
      <c r="N970" s="27"/>
      <c r="O970" s="27"/>
      <c r="P970" s="27"/>
      <c r="Q970" s="27"/>
    </row>
    <row r="971">
      <c r="N971" s="27"/>
      <c r="O971" s="27"/>
      <c r="P971" s="27"/>
      <c r="Q971" s="27"/>
    </row>
    <row r="972">
      <c r="N972" s="27"/>
      <c r="O972" s="27"/>
      <c r="P972" s="27"/>
      <c r="Q972" s="27"/>
    </row>
    <row r="973">
      <c r="N973" s="27"/>
      <c r="O973" s="27"/>
      <c r="P973" s="27"/>
      <c r="Q973" s="27"/>
    </row>
    <row r="974">
      <c r="N974" s="27"/>
      <c r="O974" s="27"/>
      <c r="P974" s="27"/>
      <c r="Q974" s="27"/>
    </row>
    <row r="975">
      <c r="N975" s="27"/>
      <c r="O975" s="27"/>
      <c r="P975" s="27"/>
      <c r="Q975" s="27"/>
    </row>
    <row r="976">
      <c r="N976" s="27"/>
      <c r="O976" s="27"/>
      <c r="P976" s="27"/>
      <c r="Q976" s="27"/>
    </row>
    <row r="977">
      <c r="N977" s="27"/>
      <c r="O977" s="27"/>
      <c r="P977" s="27"/>
      <c r="Q977" s="27"/>
    </row>
    <row r="978">
      <c r="N978" s="27"/>
      <c r="O978" s="27"/>
      <c r="P978" s="27"/>
      <c r="Q978" s="27"/>
    </row>
    <row r="979">
      <c r="N979" s="27"/>
      <c r="O979" s="27"/>
      <c r="P979" s="27"/>
      <c r="Q979" s="27"/>
    </row>
    <row r="980">
      <c r="N980" s="27"/>
      <c r="O980" s="27"/>
      <c r="P980" s="27"/>
      <c r="Q980" s="27"/>
    </row>
    <row r="981">
      <c r="N981" s="27"/>
      <c r="O981" s="27"/>
      <c r="P981" s="27"/>
      <c r="Q981" s="27"/>
    </row>
    <row r="982">
      <c r="N982" s="27"/>
      <c r="O982" s="27"/>
      <c r="P982" s="27"/>
      <c r="Q982" s="27"/>
    </row>
    <row r="983">
      <c r="N983" s="27"/>
      <c r="O983" s="27"/>
      <c r="P983" s="27"/>
      <c r="Q983" s="27"/>
    </row>
    <row r="984">
      <c r="N984" s="27"/>
      <c r="O984" s="27"/>
      <c r="P984" s="27"/>
      <c r="Q984" s="27"/>
    </row>
    <row r="985">
      <c r="N985" s="27"/>
      <c r="O985" s="27"/>
      <c r="P985" s="27"/>
      <c r="Q985" s="27"/>
    </row>
    <row r="986">
      <c r="N986" s="27"/>
      <c r="O986" s="27"/>
      <c r="P986" s="27"/>
      <c r="Q986" s="27"/>
    </row>
    <row r="987">
      <c r="N987" s="27"/>
      <c r="O987" s="27"/>
      <c r="P987" s="27"/>
      <c r="Q987" s="27"/>
    </row>
    <row r="988">
      <c r="N988" s="27"/>
      <c r="O988" s="27"/>
      <c r="P988" s="27"/>
      <c r="Q988" s="27"/>
    </row>
    <row r="989">
      <c r="N989" s="27"/>
      <c r="O989" s="27"/>
      <c r="P989" s="27"/>
      <c r="Q989" s="27"/>
    </row>
    <row r="990">
      <c r="N990" s="27"/>
      <c r="O990" s="27"/>
      <c r="P990" s="27"/>
      <c r="Q990" s="27"/>
    </row>
    <row r="991">
      <c r="N991" s="27"/>
      <c r="O991" s="27"/>
      <c r="P991" s="27"/>
      <c r="Q991" s="27"/>
    </row>
    <row r="992">
      <c r="N992" s="27"/>
      <c r="O992" s="27"/>
      <c r="P992" s="27"/>
      <c r="Q992" s="27"/>
    </row>
    <row r="993">
      <c r="N993" s="27"/>
      <c r="O993" s="27"/>
      <c r="P993" s="27"/>
      <c r="Q993" s="27"/>
    </row>
    <row r="994">
      <c r="N994" s="27"/>
      <c r="O994" s="27"/>
      <c r="P994" s="27"/>
      <c r="Q994" s="27"/>
    </row>
    <row r="995">
      <c r="N995" s="27"/>
      <c r="O995" s="27"/>
      <c r="P995" s="27"/>
      <c r="Q995" s="27"/>
    </row>
    <row r="996">
      <c r="N996" s="27"/>
      <c r="O996" s="27"/>
      <c r="P996" s="27"/>
      <c r="Q996" s="27"/>
    </row>
    <row r="997">
      <c r="N997" s="27"/>
      <c r="O997" s="27"/>
      <c r="P997" s="27"/>
      <c r="Q997" s="27"/>
    </row>
    <row r="998">
      <c r="N998" s="27"/>
      <c r="O998" s="27"/>
      <c r="P998" s="27"/>
      <c r="Q998" s="27"/>
    </row>
    <row r="999">
      <c r="N999" s="27"/>
      <c r="O999" s="27"/>
      <c r="P999" s="27"/>
      <c r="Q999" s="27"/>
    </row>
    <row r="1000">
      <c r="N1000" s="27"/>
      <c r="O1000" s="27"/>
      <c r="P1000" s="27"/>
      <c r="Q1000" s="27"/>
    </row>
    <row r="1001">
      <c r="N1001" s="27"/>
      <c r="O1001" s="27"/>
      <c r="P1001" s="27"/>
      <c r="Q1001" s="27"/>
    </row>
    <row r="1002">
      <c r="N1002" s="27"/>
      <c r="O1002" s="27"/>
      <c r="P1002" s="27"/>
      <c r="Q1002" s="27"/>
    </row>
    <row r="1003">
      <c r="N1003" s="27"/>
      <c r="O1003" s="27"/>
      <c r="P1003" s="27"/>
      <c r="Q1003" s="27"/>
    </row>
    <row r="1004">
      <c r="N1004" s="27"/>
      <c r="O1004" s="27"/>
      <c r="P1004" s="27"/>
      <c r="Q1004" s="27"/>
    </row>
  </sheetData>
  <conditionalFormatting sqref="D44:E44 F53:O53">
    <cfRule type="cellIs" dxfId="0" priority="1" operator="lessThan">
      <formula>0</formula>
    </cfRule>
  </conditionalFormatting>
  <conditionalFormatting sqref="D53:E53">
    <cfRule type="cellIs" dxfId="0" priority="2" operator="lessThan">
      <formula>0</formula>
    </cfRule>
  </conditionalFormatting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9.38"/>
    <col customWidth="1" min="5" max="5" width="14.0"/>
    <col customWidth="1" min="6" max="7" width="20.63"/>
    <col customWidth="1" min="8" max="8" width="11.25"/>
    <col customWidth="1" min="9" max="9" width="9.25"/>
    <col customWidth="1" min="10" max="11" width="9.5"/>
    <col customWidth="1" min="14" max="14" width="9.88"/>
    <col customWidth="1" min="15" max="15" width="8.13"/>
  </cols>
  <sheetData>
    <row r="1">
      <c r="A1" s="18" t="s">
        <v>346</v>
      </c>
      <c r="B1" s="416" t="s">
        <v>296</v>
      </c>
      <c r="F1" s="107"/>
      <c r="G1" s="417" t="s">
        <v>325</v>
      </c>
      <c r="H1" s="107"/>
    </row>
    <row r="2">
      <c r="B2" s="18" t="s">
        <v>240</v>
      </c>
      <c r="C2" s="249">
        <v>13.0</v>
      </c>
      <c r="F2" s="27"/>
      <c r="G2" s="302" t="s">
        <v>119</v>
      </c>
      <c r="H2" s="302" t="s">
        <v>120</v>
      </c>
    </row>
    <row r="3">
      <c r="B3" s="18" t="s">
        <v>241</v>
      </c>
      <c r="C3" s="249">
        <f>62.92</f>
        <v>62.92</v>
      </c>
      <c r="F3" s="107"/>
      <c r="G3" s="7" t="s">
        <v>326</v>
      </c>
      <c r="H3" s="7" t="s">
        <v>327</v>
      </c>
    </row>
    <row r="4">
      <c r="B4" s="18" t="s">
        <v>242</v>
      </c>
      <c r="C4" s="249">
        <v>13.0</v>
      </c>
      <c r="D4" s="249"/>
      <c r="F4" s="26"/>
      <c r="G4" s="7" t="s">
        <v>328</v>
      </c>
      <c r="H4" s="7" t="s">
        <v>329</v>
      </c>
      <c r="I4" s="107"/>
    </row>
    <row r="5">
      <c r="B5" s="18" t="s">
        <v>285</v>
      </c>
      <c r="C5" s="249">
        <v>42.0</v>
      </c>
      <c r="D5" s="249"/>
      <c r="F5" s="107"/>
      <c r="G5" s="7"/>
      <c r="H5" s="7" t="s">
        <v>192</v>
      </c>
      <c r="I5" s="107"/>
    </row>
    <row r="6">
      <c r="B6" s="18" t="s">
        <v>324</v>
      </c>
      <c r="C6" s="249">
        <v>6.0</v>
      </c>
      <c r="F6" s="107"/>
      <c r="I6" s="107"/>
    </row>
    <row r="7">
      <c r="C7" s="276">
        <f>SUM(C2:C6)</f>
        <v>136.92</v>
      </c>
      <c r="F7" s="107"/>
      <c r="I7" s="107"/>
    </row>
    <row r="8">
      <c r="I8" s="107"/>
    </row>
    <row r="9">
      <c r="I9" s="27"/>
    </row>
    <row r="10">
      <c r="E10" s="18" t="s">
        <v>366</v>
      </c>
      <c r="I10" s="107"/>
    </row>
    <row r="11">
      <c r="B11" s="55" t="s">
        <v>122</v>
      </c>
      <c r="C11" s="56"/>
      <c r="D11" s="140" t="s">
        <v>123</v>
      </c>
      <c r="E11" s="140" t="s">
        <v>124</v>
      </c>
      <c r="I11" s="107"/>
      <c r="K11" s="18"/>
    </row>
    <row r="12">
      <c r="B12" s="59" t="s">
        <v>129</v>
      </c>
      <c r="C12" s="141"/>
      <c r="D12" s="113">
        <v>8402.26</v>
      </c>
      <c r="E12" s="113">
        <v>8402.26</v>
      </c>
      <c r="G12" s="28">
        <f>8715.24-D12</f>
        <v>312.98</v>
      </c>
      <c r="I12" s="107"/>
      <c r="K12" s="18"/>
    </row>
    <row r="13">
      <c r="B13" s="59" t="s">
        <v>136</v>
      </c>
      <c r="C13" s="141"/>
      <c r="D13" s="114">
        <f>2160+3349.61</f>
        <v>5509.61</v>
      </c>
      <c r="E13" s="114">
        <f>2160+3544.87</f>
        <v>5704.87</v>
      </c>
      <c r="F13" s="407"/>
      <c r="G13" s="303"/>
      <c r="H13" s="107"/>
      <c r="I13" s="27"/>
      <c r="K13" s="18"/>
    </row>
    <row r="14">
      <c r="B14" s="59" t="s">
        <v>137</v>
      </c>
      <c r="C14" s="141"/>
      <c r="D14" s="115"/>
      <c r="E14" s="114"/>
      <c r="F14" s="363"/>
      <c r="G14" s="363"/>
      <c r="H14" s="107"/>
      <c r="I14" s="107"/>
      <c r="K14" s="18"/>
    </row>
    <row r="15">
      <c r="B15" s="59" t="s">
        <v>138</v>
      </c>
      <c r="C15" s="141"/>
      <c r="D15" s="116"/>
      <c r="E15" s="117">
        <f>7000+1500</f>
        <v>8500</v>
      </c>
      <c r="F15" s="32"/>
      <c r="G15" s="32"/>
      <c r="H15" s="107"/>
      <c r="I15" s="107"/>
      <c r="K15" s="18"/>
    </row>
    <row r="16">
      <c r="B16" s="142" t="s">
        <v>139</v>
      </c>
      <c r="C16" s="143"/>
      <c r="D16" s="144">
        <f t="shared" ref="D16:E16" si="1">SUM(D12:D15)</f>
        <v>13911.87</v>
      </c>
      <c r="E16" s="144">
        <f t="shared" si="1"/>
        <v>22607.13</v>
      </c>
      <c r="F16" s="248"/>
      <c r="G16" s="248"/>
      <c r="K16" s="18"/>
      <c r="M16" s="107"/>
    </row>
    <row r="17">
      <c r="C17" s="27"/>
      <c r="F17" s="32"/>
      <c r="G17" s="32"/>
      <c r="H17" s="107"/>
      <c r="K17" s="18"/>
      <c r="M17" s="27"/>
    </row>
    <row r="18">
      <c r="B18" s="70" t="s">
        <v>140</v>
      </c>
      <c r="C18" s="71"/>
      <c r="D18" s="58" t="s">
        <v>123</v>
      </c>
      <c r="E18" s="58" t="s">
        <v>124</v>
      </c>
      <c r="F18" s="107"/>
      <c r="G18" s="418" t="s">
        <v>331</v>
      </c>
      <c r="H18" s="192"/>
      <c r="K18" s="18"/>
    </row>
    <row r="19">
      <c r="B19" s="145" t="s">
        <v>141</v>
      </c>
      <c r="C19" s="146"/>
      <c r="D19" s="147">
        <v>410.0</v>
      </c>
      <c r="E19" s="378">
        <v>410.0</v>
      </c>
      <c r="F19" s="107"/>
      <c r="G19" s="192"/>
      <c r="H19" s="26" t="s">
        <v>27</v>
      </c>
      <c r="I19" s="26" t="s">
        <v>274</v>
      </c>
      <c r="J19" s="26" t="s">
        <v>351</v>
      </c>
      <c r="K19" s="26" t="s">
        <v>333</v>
      </c>
      <c r="L19" s="376" t="s">
        <v>368</v>
      </c>
      <c r="M19" s="26" t="s">
        <v>48</v>
      </c>
      <c r="N19" s="26" t="s">
        <v>383</v>
      </c>
      <c r="O19" s="26" t="s">
        <v>380</v>
      </c>
    </row>
    <row r="20">
      <c r="B20" s="145" t="s">
        <v>142</v>
      </c>
      <c r="C20" s="146"/>
      <c r="D20" s="147">
        <v>220.0</v>
      </c>
      <c r="E20" s="378">
        <v>220.0</v>
      </c>
      <c r="F20" s="192"/>
      <c r="G20" s="145" t="s">
        <v>141</v>
      </c>
      <c r="I20" s="404"/>
      <c r="J20" s="147">
        <v>410.0</v>
      </c>
      <c r="K20" s="404"/>
      <c r="L20" s="404"/>
      <c r="M20" s="404"/>
      <c r="N20" s="404"/>
      <c r="O20" s="404"/>
    </row>
    <row r="21">
      <c r="B21" s="145" t="s">
        <v>143</v>
      </c>
      <c r="C21" s="146"/>
      <c r="D21" s="149">
        <v>139.9</v>
      </c>
      <c r="E21" s="396">
        <v>139.9</v>
      </c>
      <c r="F21" s="409"/>
      <c r="G21" s="145" t="s">
        <v>142</v>
      </c>
      <c r="I21" s="404"/>
      <c r="J21" s="147">
        <v>220.0</v>
      </c>
      <c r="K21" s="404"/>
      <c r="L21" s="404"/>
      <c r="M21" s="404"/>
      <c r="N21" s="404"/>
      <c r="O21" s="404"/>
    </row>
    <row r="22">
      <c r="B22" s="145" t="s">
        <v>144</v>
      </c>
      <c r="C22" s="146"/>
      <c r="D22" s="147">
        <v>100.0</v>
      </c>
      <c r="E22" s="378">
        <v>100.0</v>
      </c>
      <c r="F22" s="409"/>
      <c r="G22" s="145" t="s">
        <v>143</v>
      </c>
      <c r="I22" s="404"/>
      <c r="J22" s="149">
        <v>139.9</v>
      </c>
      <c r="K22" s="404"/>
      <c r="L22" s="404"/>
      <c r="M22" s="404"/>
      <c r="N22" s="404"/>
      <c r="O22" s="404"/>
    </row>
    <row r="23">
      <c r="B23" s="145" t="s">
        <v>145</v>
      </c>
      <c r="C23" s="146"/>
      <c r="D23" s="147">
        <v>3004.8</v>
      </c>
      <c r="E23" s="378">
        <v>3000.0</v>
      </c>
      <c r="F23" s="409"/>
      <c r="G23" s="145" t="s">
        <v>144</v>
      </c>
      <c r="I23" s="404"/>
      <c r="J23" s="147">
        <v>100.0</v>
      </c>
      <c r="K23" s="404"/>
      <c r="L23" s="404"/>
      <c r="M23" s="404"/>
      <c r="N23" s="404"/>
      <c r="O23" s="404"/>
    </row>
    <row r="24">
      <c r="B24" s="145" t="s">
        <v>146</v>
      </c>
      <c r="C24" s="150" t="s">
        <v>136</v>
      </c>
      <c r="D24" s="147">
        <v>50.0</v>
      </c>
      <c r="E24" s="378">
        <v>50.0</v>
      </c>
      <c r="F24" s="409"/>
      <c r="G24" s="145" t="s">
        <v>145</v>
      </c>
      <c r="H24" s="147">
        <v>3004.8</v>
      </c>
      <c r="I24" s="374"/>
      <c r="K24" s="404"/>
      <c r="L24" s="404"/>
      <c r="M24" s="404"/>
      <c r="N24" s="404"/>
      <c r="O24" s="404"/>
    </row>
    <row r="25">
      <c r="B25" s="145" t="s">
        <v>180</v>
      </c>
      <c r="C25" s="146"/>
      <c r="D25" s="147">
        <v>400.0</v>
      </c>
      <c r="E25" s="378">
        <v>400.0</v>
      </c>
      <c r="F25" s="409"/>
      <c r="G25" s="145" t="s">
        <v>146</v>
      </c>
      <c r="I25" s="378">
        <v>50.0</v>
      </c>
      <c r="J25" s="404"/>
      <c r="K25" s="404"/>
      <c r="L25" s="404"/>
      <c r="M25" s="404"/>
      <c r="N25" s="404"/>
      <c r="O25" s="404"/>
    </row>
    <row r="26">
      <c r="B26" s="145" t="s">
        <v>148</v>
      </c>
      <c r="C26" s="146"/>
      <c r="D26" s="147">
        <v>600.0</v>
      </c>
      <c r="E26" s="378">
        <v>600.0</v>
      </c>
      <c r="F26" s="409"/>
      <c r="G26" s="145" t="s">
        <v>180</v>
      </c>
      <c r="I26" s="374"/>
      <c r="J26" s="404"/>
      <c r="K26" s="404"/>
      <c r="L26" s="404"/>
      <c r="M26" s="404"/>
      <c r="N26" s="404"/>
      <c r="O26" s="147">
        <v>400.0</v>
      </c>
    </row>
    <row r="27">
      <c r="B27" s="145" t="s">
        <v>149</v>
      </c>
      <c r="C27" s="146"/>
      <c r="D27" s="147">
        <v>500.0</v>
      </c>
      <c r="E27" s="378">
        <v>500.0</v>
      </c>
      <c r="F27" s="409"/>
      <c r="G27" s="145" t="s">
        <v>148</v>
      </c>
      <c r="I27" s="374"/>
      <c r="J27" s="147">
        <v>600.0</v>
      </c>
      <c r="K27" s="404"/>
      <c r="L27" s="404"/>
      <c r="M27" s="404"/>
      <c r="N27" s="404"/>
      <c r="O27" s="404"/>
    </row>
    <row r="28">
      <c r="B28" s="145" t="s">
        <v>181</v>
      </c>
      <c r="C28" s="146"/>
      <c r="D28" s="147">
        <v>150.0</v>
      </c>
      <c r="E28" s="378">
        <v>150.0</v>
      </c>
      <c r="F28" s="409"/>
      <c r="G28" s="145" t="s">
        <v>149</v>
      </c>
      <c r="I28" s="374"/>
      <c r="J28" s="147">
        <v>500.0</v>
      </c>
      <c r="K28" s="404"/>
      <c r="L28" s="404"/>
      <c r="M28" s="404"/>
      <c r="N28" s="404"/>
      <c r="O28" s="404"/>
    </row>
    <row r="29">
      <c r="B29" s="145" t="s">
        <v>150</v>
      </c>
      <c r="C29" s="146"/>
      <c r="D29" s="147">
        <v>400.0</v>
      </c>
      <c r="E29" s="378">
        <v>400.0</v>
      </c>
      <c r="F29" s="409"/>
      <c r="G29" s="145" t="s">
        <v>181</v>
      </c>
      <c r="I29" s="374"/>
      <c r="J29" s="147">
        <v>150.0</v>
      </c>
      <c r="K29" s="404"/>
      <c r="L29" s="404"/>
      <c r="M29" s="404"/>
      <c r="N29" s="404"/>
      <c r="O29" s="404"/>
    </row>
    <row r="30">
      <c r="B30" s="145" t="s">
        <v>182</v>
      </c>
      <c r="C30" s="146"/>
      <c r="D30" s="147">
        <v>160.0</v>
      </c>
      <c r="E30" s="378">
        <v>160.0</v>
      </c>
      <c r="F30" s="409"/>
      <c r="G30" s="145" t="s">
        <v>150</v>
      </c>
      <c r="I30" s="378">
        <v>400.0</v>
      </c>
      <c r="J30" s="404"/>
      <c r="K30" s="404"/>
      <c r="L30" s="404"/>
      <c r="M30" s="404"/>
      <c r="N30" s="404"/>
      <c r="O30" s="404"/>
    </row>
    <row r="31">
      <c r="B31" s="145" t="s">
        <v>183</v>
      </c>
      <c r="C31" s="146"/>
      <c r="D31" s="147">
        <v>400.0</v>
      </c>
      <c r="E31" s="378">
        <v>400.0</v>
      </c>
      <c r="F31" s="409"/>
      <c r="G31" s="145" t="s">
        <v>182</v>
      </c>
      <c r="I31" s="374"/>
      <c r="J31" s="404"/>
      <c r="K31" s="404"/>
      <c r="L31" s="147">
        <v>160.0</v>
      </c>
      <c r="M31" s="404"/>
      <c r="N31" s="404"/>
      <c r="O31" s="404"/>
    </row>
    <row r="32">
      <c r="B32" s="145" t="s">
        <v>152</v>
      </c>
      <c r="C32" s="146"/>
      <c r="D32" s="151"/>
      <c r="E32" s="378"/>
      <c r="F32" s="409"/>
      <c r="G32" s="145" t="s">
        <v>183</v>
      </c>
      <c r="I32" s="27"/>
      <c r="J32" s="404"/>
      <c r="K32" s="404"/>
      <c r="L32" s="147">
        <v>400.0</v>
      </c>
      <c r="M32" s="404"/>
      <c r="N32" s="404"/>
      <c r="O32" s="404"/>
    </row>
    <row r="33">
      <c r="B33" s="145" t="s">
        <v>154</v>
      </c>
      <c r="C33" s="146"/>
      <c r="D33" s="151">
        <v>136.92</v>
      </c>
      <c r="E33" s="390">
        <v>136.92</v>
      </c>
      <c r="F33" s="409"/>
      <c r="G33" s="145" t="s">
        <v>152</v>
      </c>
      <c r="H33" s="151"/>
      <c r="I33" s="374"/>
      <c r="J33" s="404"/>
      <c r="K33" s="404"/>
      <c r="L33" s="404"/>
      <c r="M33" s="404"/>
      <c r="N33" s="404"/>
      <c r="O33" s="404"/>
    </row>
    <row r="34">
      <c r="B34" s="145" t="s">
        <v>155</v>
      </c>
      <c r="C34" s="146"/>
      <c r="D34" s="151"/>
      <c r="E34" s="390"/>
      <c r="F34" s="409"/>
      <c r="G34" s="145" t="s">
        <v>154</v>
      </c>
      <c r="H34" s="147">
        <v>123.92</v>
      </c>
      <c r="I34" s="378">
        <v>13.0</v>
      </c>
      <c r="J34" s="404"/>
      <c r="K34" s="404"/>
      <c r="L34" s="404"/>
      <c r="M34" s="404"/>
      <c r="N34" s="404"/>
      <c r="O34" s="404"/>
    </row>
    <row r="35">
      <c r="B35" s="145" t="s">
        <v>156</v>
      </c>
      <c r="C35" s="146"/>
      <c r="D35" s="147">
        <v>100.0</v>
      </c>
      <c r="E35" s="378">
        <v>100.0</v>
      </c>
      <c r="F35" s="409"/>
      <c r="G35" s="145" t="s">
        <v>155</v>
      </c>
      <c r="H35" s="151"/>
      <c r="I35" s="374"/>
      <c r="J35" s="404"/>
      <c r="K35" s="404"/>
      <c r="L35" s="404"/>
      <c r="M35" s="404"/>
      <c r="N35" s="404"/>
      <c r="O35" s="404"/>
    </row>
    <row r="36">
      <c r="B36" s="145" t="s">
        <v>157</v>
      </c>
      <c r="C36" s="146"/>
      <c r="D36" s="147">
        <v>50.0</v>
      </c>
      <c r="E36" s="378">
        <v>50.0</v>
      </c>
      <c r="F36" s="409"/>
      <c r="G36" s="145" t="s">
        <v>156</v>
      </c>
      <c r="I36" s="374"/>
      <c r="J36" s="404"/>
      <c r="K36" s="404"/>
      <c r="L36" s="147">
        <v>100.0</v>
      </c>
      <c r="M36" s="404"/>
      <c r="N36" s="404"/>
      <c r="O36" s="404"/>
      <c r="P36" s="18"/>
    </row>
    <row r="37">
      <c r="B37" s="145" t="s">
        <v>158</v>
      </c>
      <c r="C37" s="146"/>
      <c r="D37" s="151"/>
      <c r="E37" s="390"/>
      <c r="F37" s="409"/>
      <c r="G37" s="145" t="s">
        <v>157</v>
      </c>
      <c r="I37" s="374"/>
      <c r="J37" s="404"/>
      <c r="K37" s="404"/>
      <c r="L37" s="404"/>
      <c r="M37" s="404"/>
      <c r="N37" s="147">
        <v>50.0</v>
      </c>
      <c r="O37" s="374"/>
      <c r="P37" s="18"/>
    </row>
    <row r="38">
      <c r="B38" s="145" t="s">
        <v>159</v>
      </c>
      <c r="C38" s="146"/>
      <c r="D38" s="147">
        <v>800.0</v>
      </c>
      <c r="E38" s="378">
        <v>800.0</v>
      </c>
      <c r="F38" s="409"/>
      <c r="G38" s="145" t="s">
        <v>158</v>
      </c>
      <c r="H38" s="151"/>
      <c r="I38" s="374"/>
      <c r="J38" s="404"/>
      <c r="K38" s="404"/>
      <c r="L38" s="404"/>
      <c r="M38" s="404"/>
      <c r="N38" s="404"/>
      <c r="O38" s="404"/>
    </row>
    <row r="39">
      <c r="B39" s="145" t="s">
        <v>160</v>
      </c>
      <c r="C39" s="146"/>
      <c r="D39" s="147">
        <v>3000.0</v>
      </c>
      <c r="E39" s="378">
        <v>3000.0</v>
      </c>
      <c r="F39" s="409"/>
      <c r="G39" s="145" t="s">
        <v>159</v>
      </c>
      <c r="H39" s="147">
        <v>400.0</v>
      </c>
      <c r="I39" s="378">
        <v>400.0</v>
      </c>
      <c r="J39" s="404"/>
      <c r="K39" s="404"/>
      <c r="L39" s="404"/>
      <c r="M39" s="404"/>
      <c r="N39" s="404"/>
      <c r="O39" s="404"/>
    </row>
    <row r="40">
      <c r="B40" s="145" t="s">
        <v>184</v>
      </c>
      <c r="C40" s="146"/>
      <c r="D40" s="147">
        <v>700.0</v>
      </c>
      <c r="E40" s="378">
        <v>700.0</v>
      </c>
      <c r="F40" s="409"/>
      <c r="G40" s="145" t="s">
        <v>160</v>
      </c>
      <c r="H40" s="147">
        <v>1500.0</v>
      </c>
      <c r="I40" s="378">
        <v>1500.0</v>
      </c>
      <c r="J40" s="404"/>
      <c r="K40" s="404"/>
      <c r="L40" s="404"/>
      <c r="M40" s="404"/>
      <c r="N40" s="404"/>
      <c r="O40" s="404"/>
    </row>
    <row r="41">
      <c r="B41" s="145" t="s">
        <v>3</v>
      </c>
      <c r="C41" s="146"/>
      <c r="D41" s="147">
        <v>500.0</v>
      </c>
      <c r="E41" s="378">
        <v>500.0</v>
      </c>
      <c r="F41" s="409"/>
      <c r="G41" s="145" t="s">
        <v>184</v>
      </c>
      <c r="I41" s="374"/>
      <c r="J41" s="404"/>
      <c r="K41" s="378">
        <v>700.0</v>
      </c>
      <c r="L41" s="404"/>
      <c r="M41" s="404"/>
      <c r="N41" s="404"/>
      <c r="O41" s="404"/>
    </row>
    <row r="42">
      <c r="B42" s="152" t="s">
        <v>161</v>
      </c>
      <c r="C42" s="153"/>
      <c r="D42" s="154">
        <f t="shared" ref="D42:E42" si="2">SUM(D19:D41)*-1</f>
        <v>-11821.62</v>
      </c>
      <c r="E42" s="154">
        <f t="shared" si="2"/>
        <v>-11816.82</v>
      </c>
      <c r="F42" s="409"/>
      <c r="G42" s="145" t="s">
        <v>3</v>
      </c>
      <c r="I42" s="404"/>
      <c r="J42" s="404"/>
      <c r="K42" s="378">
        <v>500.0</v>
      </c>
      <c r="L42" s="404"/>
      <c r="M42" s="404"/>
      <c r="N42" s="404"/>
      <c r="O42" s="404"/>
    </row>
    <row r="43">
      <c r="C43" s="27"/>
      <c r="F43" s="409"/>
      <c r="G43" s="18" t="s">
        <v>382</v>
      </c>
      <c r="I43" s="404"/>
      <c r="J43" s="404">
        <v>1127.46</v>
      </c>
      <c r="K43" s="419">
        <v>962.79</v>
      </c>
      <c r="L43" s="404"/>
      <c r="M43" s="404"/>
      <c r="N43" s="404"/>
      <c r="O43" s="404"/>
    </row>
    <row r="44">
      <c r="B44" s="156" t="s">
        <v>162</v>
      </c>
      <c r="C44" s="157"/>
      <c r="D44" s="158">
        <f t="shared" ref="D44:E44" si="3">D16+D42</f>
        <v>2090.25</v>
      </c>
      <c r="E44" s="158">
        <f t="shared" si="3"/>
        <v>10790.31</v>
      </c>
      <c r="F44" s="18"/>
      <c r="G44" s="7" t="s">
        <v>26</v>
      </c>
      <c r="H44" s="325">
        <f t="shared" ref="H44:O44" si="4">SUM(H20:H43)</f>
        <v>5028.72</v>
      </c>
      <c r="I44" s="373">
        <f t="shared" si="4"/>
        <v>2363</v>
      </c>
      <c r="J44" s="373">
        <f t="shared" si="4"/>
        <v>3247.36</v>
      </c>
      <c r="K44" s="373">
        <f t="shared" si="4"/>
        <v>2162.79</v>
      </c>
      <c r="L44" s="373">
        <f t="shared" si="4"/>
        <v>660</v>
      </c>
      <c r="M44" s="373">
        <f t="shared" si="4"/>
        <v>0</v>
      </c>
      <c r="N44" s="373">
        <f t="shared" si="4"/>
        <v>50</v>
      </c>
      <c r="O44" s="373">
        <f t="shared" si="4"/>
        <v>400</v>
      </c>
    </row>
    <row r="45">
      <c r="B45" s="83"/>
      <c r="C45" s="159"/>
      <c r="D45" s="84"/>
      <c r="E45" s="84"/>
      <c r="F45" s="107"/>
      <c r="G45" s="107" t="s">
        <v>371</v>
      </c>
      <c r="H45" s="415">
        <f>(D12)-H44</f>
        <v>3373.54</v>
      </c>
      <c r="I45" s="375"/>
      <c r="J45" s="287"/>
    </row>
    <row r="46">
      <c r="B46" s="85" t="s">
        <v>163</v>
      </c>
      <c r="C46" s="160"/>
      <c r="D46" s="161" t="s">
        <v>123</v>
      </c>
      <c r="E46" s="161" t="s">
        <v>124</v>
      </c>
      <c r="F46" s="107"/>
      <c r="G46" s="325" t="s">
        <v>353</v>
      </c>
    </row>
    <row r="47">
      <c r="B47" s="162"/>
      <c r="C47" s="163"/>
      <c r="D47" s="164"/>
      <c r="E47" s="164"/>
      <c r="F47" s="248"/>
      <c r="G47" s="107"/>
    </row>
    <row r="48">
      <c r="A48" s="298"/>
      <c r="B48" s="162" t="s">
        <v>58</v>
      </c>
      <c r="C48" s="163"/>
      <c r="D48" s="167">
        <v>962.79</v>
      </c>
      <c r="E48" s="167">
        <v>962.79</v>
      </c>
      <c r="F48" s="107"/>
      <c r="G48" s="107"/>
    </row>
    <row r="49">
      <c r="B49" s="162"/>
      <c r="C49" s="163"/>
      <c r="D49" s="166"/>
      <c r="E49" s="166"/>
      <c r="F49" s="107"/>
      <c r="G49" s="107"/>
      <c r="K49" s="387"/>
      <c r="M49" s="387"/>
    </row>
    <row r="50">
      <c r="B50" s="168"/>
      <c r="C50" s="169"/>
      <c r="D50" s="170"/>
      <c r="E50" s="170"/>
      <c r="F50" s="107"/>
      <c r="G50" s="107"/>
    </row>
    <row r="51">
      <c r="B51" s="152" t="s">
        <v>167</v>
      </c>
      <c r="C51" s="171"/>
      <c r="D51" s="172">
        <f t="shared" ref="D51:E51" si="5">SUM(D47:D50)*-1</f>
        <v>-962.79</v>
      </c>
      <c r="E51" s="172">
        <f t="shared" si="5"/>
        <v>-962.79</v>
      </c>
      <c r="F51" s="107"/>
    </row>
    <row r="52">
      <c r="B52" s="83"/>
      <c r="C52" s="159"/>
      <c r="D52" s="96"/>
      <c r="E52" s="96"/>
      <c r="F52" s="107"/>
      <c r="G52" s="107"/>
    </row>
    <row r="53">
      <c r="B53" s="173" t="s">
        <v>168</v>
      </c>
      <c r="C53" s="174"/>
      <c r="D53" s="175">
        <f t="shared" ref="D53:E53" si="6">D44+D51</f>
        <v>1127.46</v>
      </c>
      <c r="E53" s="175">
        <f t="shared" si="6"/>
        <v>9827.52</v>
      </c>
      <c r="F53" s="107"/>
      <c r="G53" s="107"/>
      <c r="H53" s="107"/>
    </row>
    <row r="54">
      <c r="B54" s="83"/>
      <c r="C54" s="159"/>
      <c r="D54" s="96"/>
      <c r="E54" s="96"/>
      <c r="F54" s="107"/>
      <c r="G54" s="107"/>
      <c r="H54" s="18"/>
    </row>
    <row r="55">
      <c r="B55" s="100" t="s">
        <v>169</v>
      </c>
      <c r="C55" s="176"/>
      <c r="D55" s="177" t="s">
        <v>123</v>
      </c>
      <c r="E55" s="177" t="s">
        <v>124</v>
      </c>
      <c r="F55" s="107"/>
      <c r="G55" s="107"/>
      <c r="H55" s="18"/>
    </row>
    <row r="56">
      <c r="B56" s="152" t="s">
        <v>171</v>
      </c>
      <c r="C56" s="153"/>
      <c r="D56" s="178">
        <f t="shared" ref="D56:E56" si="7">+D53</f>
        <v>1127.46</v>
      </c>
      <c r="E56" s="178">
        <f t="shared" si="7"/>
        <v>9827.52</v>
      </c>
      <c r="F56" s="27"/>
      <c r="G56" s="27"/>
    </row>
    <row r="57">
      <c r="D57" s="362"/>
      <c r="E57" s="362"/>
      <c r="F57" s="27"/>
      <c r="G57" s="27"/>
    </row>
    <row r="58">
      <c r="F58" s="27"/>
      <c r="G58" s="27"/>
    </row>
    <row r="59">
      <c r="F59" s="27"/>
      <c r="G59" s="27"/>
    </row>
    <row r="60">
      <c r="F60" s="27"/>
      <c r="G60" s="27"/>
    </row>
    <row r="61">
      <c r="F61" s="27"/>
      <c r="G61" s="27"/>
    </row>
    <row r="62">
      <c r="F62" s="27"/>
      <c r="G62" s="27"/>
    </row>
    <row r="63">
      <c r="F63" s="27"/>
      <c r="G63" s="27"/>
    </row>
    <row r="64">
      <c r="F64" s="27"/>
      <c r="G64" s="27"/>
    </row>
    <row r="65">
      <c r="F65" s="27"/>
      <c r="G65" s="27"/>
    </row>
    <row r="66">
      <c r="F66" s="27"/>
      <c r="G66" s="27"/>
    </row>
    <row r="67">
      <c r="F67" s="27"/>
      <c r="G67" s="27"/>
    </row>
    <row r="68">
      <c r="F68" s="27"/>
      <c r="G68" s="27"/>
    </row>
    <row r="69">
      <c r="F69" s="27"/>
      <c r="G69" s="27"/>
    </row>
    <row r="70">
      <c r="F70" s="27"/>
      <c r="G70" s="27"/>
    </row>
    <row r="71">
      <c r="F71" s="27"/>
      <c r="G71" s="27"/>
    </row>
    <row r="72">
      <c r="F72" s="27"/>
      <c r="G72" s="27"/>
    </row>
    <row r="73">
      <c r="F73" s="27"/>
      <c r="G73" s="27"/>
    </row>
    <row r="74">
      <c r="F74" s="27"/>
      <c r="G74" s="27"/>
    </row>
    <row r="75">
      <c r="F75" s="27"/>
      <c r="G75" s="27"/>
    </row>
    <row r="76">
      <c r="F76" s="27"/>
      <c r="G76" s="27"/>
    </row>
    <row r="77">
      <c r="F77" s="27"/>
      <c r="G77" s="27"/>
    </row>
    <row r="78">
      <c r="F78" s="27"/>
      <c r="G78" s="27"/>
    </row>
    <row r="79">
      <c r="F79" s="27"/>
      <c r="G79" s="27"/>
    </row>
    <row r="80">
      <c r="F80" s="27"/>
      <c r="G80" s="27"/>
    </row>
    <row r="81">
      <c r="F81" s="27"/>
      <c r="G81" s="27"/>
    </row>
    <row r="82">
      <c r="F82" s="27"/>
      <c r="G82" s="27"/>
    </row>
    <row r="83">
      <c r="F83" s="27"/>
      <c r="G83" s="27"/>
    </row>
    <row r="84">
      <c r="F84" s="27"/>
      <c r="G84" s="27"/>
    </row>
    <row r="85">
      <c r="F85" s="27"/>
      <c r="G85" s="27"/>
    </row>
    <row r="86">
      <c r="F86" s="27"/>
      <c r="G86" s="27"/>
    </row>
    <row r="87">
      <c r="F87" s="27"/>
      <c r="G87" s="27"/>
    </row>
    <row r="88">
      <c r="F88" s="27"/>
      <c r="G88" s="27"/>
    </row>
    <row r="89">
      <c r="F89" s="27"/>
      <c r="G89" s="27"/>
    </row>
    <row r="90">
      <c r="F90" s="27"/>
      <c r="G90" s="27"/>
    </row>
    <row r="91">
      <c r="F91" s="27"/>
      <c r="G91" s="27"/>
    </row>
    <row r="92">
      <c r="F92" s="27"/>
      <c r="G92" s="27"/>
    </row>
    <row r="93">
      <c r="F93" s="27"/>
      <c r="G93" s="27"/>
    </row>
    <row r="94">
      <c r="F94" s="27"/>
      <c r="G94" s="27"/>
    </row>
    <row r="95">
      <c r="F95" s="27"/>
      <c r="G95" s="27"/>
    </row>
    <row r="96">
      <c r="F96" s="27"/>
      <c r="G96" s="27"/>
    </row>
    <row r="97">
      <c r="F97" s="27"/>
      <c r="G97" s="27"/>
    </row>
    <row r="98">
      <c r="F98" s="27"/>
      <c r="G98" s="27"/>
    </row>
    <row r="99">
      <c r="F99" s="27"/>
      <c r="G99" s="27"/>
    </row>
    <row r="100">
      <c r="F100" s="27"/>
      <c r="G100" s="27"/>
    </row>
    <row r="101">
      <c r="F101" s="27"/>
      <c r="G101" s="27"/>
    </row>
    <row r="102">
      <c r="F102" s="27"/>
      <c r="G102" s="27"/>
    </row>
    <row r="103">
      <c r="F103" s="27"/>
      <c r="G103" s="27"/>
    </row>
    <row r="104">
      <c r="F104" s="27"/>
      <c r="G104" s="27"/>
    </row>
    <row r="105">
      <c r="F105" s="27"/>
      <c r="G105" s="27"/>
    </row>
    <row r="106">
      <c r="F106" s="27"/>
      <c r="G106" s="27"/>
    </row>
    <row r="107">
      <c r="F107" s="27"/>
      <c r="G107" s="27"/>
    </row>
    <row r="108">
      <c r="F108" s="27"/>
      <c r="G108" s="27"/>
    </row>
    <row r="109">
      <c r="F109" s="27"/>
      <c r="G109" s="27"/>
    </row>
    <row r="110">
      <c r="F110" s="27"/>
      <c r="G110" s="27"/>
    </row>
    <row r="111">
      <c r="F111" s="27"/>
      <c r="G111" s="27"/>
    </row>
    <row r="112">
      <c r="F112" s="27"/>
      <c r="G112" s="27"/>
    </row>
    <row r="113">
      <c r="F113" s="27"/>
      <c r="G113" s="27"/>
    </row>
    <row r="114">
      <c r="F114" s="27"/>
      <c r="G114" s="27"/>
    </row>
    <row r="115">
      <c r="F115" s="27"/>
      <c r="G115" s="27"/>
    </row>
    <row r="116">
      <c r="F116" s="27"/>
      <c r="G116" s="27"/>
    </row>
    <row r="117">
      <c r="F117" s="27"/>
      <c r="G117" s="27"/>
    </row>
    <row r="118">
      <c r="F118" s="27"/>
      <c r="G118" s="27"/>
    </row>
    <row r="119">
      <c r="F119" s="27"/>
      <c r="G119" s="27"/>
    </row>
    <row r="120">
      <c r="F120" s="27"/>
      <c r="G120" s="27"/>
    </row>
    <row r="121">
      <c r="F121" s="27"/>
      <c r="G121" s="27"/>
    </row>
    <row r="122">
      <c r="F122" s="27"/>
      <c r="G122" s="27"/>
    </row>
    <row r="123">
      <c r="F123" s="27"/>
      <c r="G123" s="27"/>
    </row>
    <row r="124">
      <c r="F124" s="27"/>
      <c r="G124" s="27"/>
    </row>
    <row r="125">
      <c r="F125" s="27"/>
      <c r="G125" s="27"/>
    </row>
    <row r="126">
      <c r="F126" s="27"/>
      <c r="G126" s="27"/>
    </row>
    <row r="127">
      <c r="F127" s="27"/>
      <c r="G127" s="27"/>
    </row>
    <row r="128">
      <c r="F128" s="27"/>
      <c r="G128" s="27"/>
    </row>
    <row r="129">
      <c r="F129" s="27"/>
      <c r="G129" s="27"/>
    </row>
    <row r="130">
      <c r="F130" s="27"/>
      <c r="G130" s="27"/>
    </row>
    <row r="131">
      <c r="F131" s="27"/>
      <c r="G131" s="27"/>
    </row>
    <row r="132">
      <c r="F132" s="27"/>
      <c r="G132" s="27"/>
    </row>
    <row r="133">
      <c r="F133" s="27"/>
      <c r="G133" s="27"/>
    </row>
    <row r="134">
      <c r="F134" s="27"/>
      <c r="G134" s="27"/>
    </row>
    <row r="135">
      <c r="F135" s="27"/>
      <c r="G135" s="27"/>
    </row>
    <row r="136">
      <c r="F136" s="27"/>
      <c r="G136" s="27"/>
    </row>
    <row r="137">
      <c r="F137" s="27"/>
      <c r="G137" s="27"/>
    </row>
    <row r="138">
      <c r="F138" s="27"/>
      <c r="G138" s="27"/>
    </row>
    <row r="139">
      <c r="F139" s="27"/>
      <c r="G139" s="27"/>
    </row>
    <row r="140">
      <c r="F140" s="27"/>
      <c r="G140" s="27"/>
    </row>
    <row r="141">
      <c r="F141" s="27"/>
      <c r="G141" s="27"/>
    </row>
    <row r="142">
      <c r="F142" s="27"/>
      <c r="G142" s="27"/>
    </row>
    <row r="143">
      <c r="F143" s="27"/>
      <c r="G143" s="27"/>
    </row>
    <row r="144">
      <c r="F144" s="27"/>
      <c r="G144" s="27"/>
    </row>
    <row r="145">
      <c r="F145" s="27"/>
      <c r="G145" s="27"/>
    </row>
    <row r="146">
      <c r="F146" s="27"/>
      <c r="G146" s="27"/>
    </row>
    <row r="147">
      <c r="F147" s="27"/>
      <c r="G147" s="27"/>
    </row>
    <row r="148">
      <c r="F148" s="27"/>
      <c r="G148" s="27"/>
    </row>
    <row r="149">
      <c r="F149" s="27"/>
      <c r="G149" s="27"/>
    </row>
    <row r="150">
      <c r="F150" s="27"/>
      <c r="G150" s="27"/>
    </row>
    <row r="151">
      <c r="F151" s="27"/>
      <c r="G151" s="27"/>
    </row>
    <row r="152">
      <c r="F152" s="27"/>
      <c r="G152" s="27"/>
    </row>
    <row r="153">
      <c r="F153" s="27"/>
      <c r="G153" s="27"/>
    </row>
    <row r="154">
      <c r="F154" s="27"/>
      <c r="G154" s="27"/>
    </row>
    <row r="155">
      <c r="F155" s="27"/>
      <c r="G155" s="27"/>
    </row>
    <row r="156">
      <c r="F156" s="27"/>
      <c r="G156" s="27"/>
    </row>
    <row r="157">
      <c r="F157" s="27"/>
      <c r="G157" s="27"/>
    </row>
    <row r="158">
      <c r="F158" s="27"/>
      <c r="G158" s="27"/>
    </row>
    <row r="159">
      <c r="F159" s="27"/>
      <c r="G159" s="27"/>
    </row>
    <row r="160">
      <c r="F160" s="27"/>
      <c r="G160" s="27"/>
    </row>
    <row r="161">
      <c r="F161" s="27"/>
      <c r="G161" s="27"/>
    </row>
    <row r="162">
      <c r="F162" s="27"/>
      <c r="G162" s="27"/>
    </row>
    <row r="163">
      <c r="F163" s="27"/>
      <c r="G163" s="27"/>
    </row>
    <row r="164">
      <c r="F164" s="27"/>
      <c r="G164" s="27"/>
    </row>
    <row r="165">
      <c r="F165" s="27"/>
      <c r="G165" s="27"/>
    </row>
    <row r="166">
      <c r="F166" s="27"/>
      <c r="G166" s="27"/>
    </row>
    <row r="167">
      <c r="F167" s="27"/>
      <c r="G167" s="27"/>
    </row>
    <row r="168">
      <c r="F168" s="27"/>
      <c r="G168" s="27"/>
    </row>
    <row r="169">
      <c r="F169" s="27"/>
      <c r="G169" s="27"/>
    </row>
    <row r="170">
      <c r="F170" s="27"/>
      <c r="G170" s="27"/>
    </row>
    <row r="171">
      <c r="F171" s="27"/>
      <c r="G171" s="27"/>
    </row>
    <row r="172">
      <c r="F172" s="27"/>
      <c r="G172" s="27"/>
    </row>
    <row r="173">
      <c r="F173" s="27"/>
      <c r="G173" s="27"/>
    </row>
    <row r="174">
      <c r="F174" s="27"/>
      <c r="G174" s="27"/>
    </row>
    <row r="175">
      <c r="F175" s="27"/>
      <c r="G175" s="27"/>
    </row>
    <row r="176">
      <c r="F176" s="27"/>
      <c r="G176" s="27"/>
    </row>
    <row r="177">
      <c r="F177" s="27"/>
      <c r="G177" s="27"/>
    </row>
    <row r="178">
      <c r="F178" s="27"/>
      <c r="G178" s="27"/>
    </row>
    <row r="179">
      <c r="F179" s="27"/>
      <c r="G179" s="27"/>
    </row>
    <row r="180">
      <c r="F180" s="27"/>
      <c r="G180" s="27"/>
    </row>
    <row r="181">
      <c r="F181" s="27"/>
      <c r="G181" s="27"/>
    </row>
    <row r="182">
      <c r="F182" s="27"/>
      <c r="G182" s="27"/>
    </row>
    <row r="183">
      <c r="F183" s="27"/>
      <c r="G183" s="27"/>
    </row>
    <row r="184">
      <c r="F184" s="27"/>
      <c r="G184" s="27"/>
    </row>
    <row r="185">
      <c r="F185" s="27"/>
      <c r="G185" s="27"/>
    </row>
    <row r="186">
      <c r="F186" s="27"/>
      <c r="G186" s="27"/>
    </row>
    <row r="187">
      <c r="F187" s="27"/>
      <c r="G187" s="27"/>
    </row>
    <row r="188">
      <c r="F188" s="27"/>
      <c r="G188" s="27"/>
    </row>
    <row r="189">
      <c r="F189" s="27"/>
      <c r="G189" s="27"/>
    </row>
    <row r="190">
      <c r="F190" s="27"/>
      <c r="G190" s="27"/>
    </row>
    <row r="191">
      <c r="F191" s="27"/>
      <c r="G191" s="27"/>
    </row>
    <row r="192">
      <c r="F192" s="27"/>
      <c r="G192" s="27"/>
    </row>
    <row r="193">
      <c r="F193" s="27"/>
      <c r="G193" s="27"/>
    </row>
    <row r="194">
      <c r="F194" s="27"/>
      <c r="G194" s="27"/>
    </row>
    <row r="195">
      <c r="F195" s="27"/>
      <c r="G195" s="27"/>
    </row>
    <row r="196">
      <c r="F196" s="27"/>
      <c r="G196" s="27"/>
    </row>
    <row r="197">
      <c r="F197" s="27"/>
      <c r="G197" s="27"/>
    </row>
    <row r="198">
      <c r="F198" s="27"/>
      <c r="G198" s="27"/>
    </row>
    <row r="199">
      <c r="F199" s="27"/>
      <c r="G199" s="27"/>
    </row>
    <row r="200">
      <c r="F200" s="27"/>
      <c r="G200" s="27"/>
    </row>
    <row r="201">
      <c r="F201" s="27"/>
      <c r="G201" s="27"/>
    </row>
    <row r="202">
      <c r="F202" s="27"/>
      <c r="G202" s="27"/>
    </row>
    <row r="203">
      <c r="F203" s="27"/>
      <c r="G203" s="27"/>
    </row>
    <row r="204">
      <c r="F204" s="27"/>
      <c r="G204" s="27"/>
    </row>
    <row r="205">
      <c r="F205" s="27"/>
      <c r="G205" s="27"/>
    </row>
    <row r="206">
      <c r="F206" s="27"/>
      <c r="G206" s="27"/>
    </row>
    <row r="207">
      <c r="F207" s="27"/>
      <c r="G207" s="27"/>
    </row>
    <row r="208">
      <c r="F208" s="27"/>
      <c r="G208" s="27"/>
    </row>
    <row r="209">
      <c r="F209" s="27"/>
      <c r="G209" s="27"/>
    </row>
    <row r="210">
      <c r="F210" s="27"/>
      <c r="G210" s="27"/>
    </row>
    <row r="211">
      <c r="F211" s="27"/>
      <c r="G211" s="27"/>
    </row>
    <row r="212">
      <c r="F212" s="27"/>
      <c r="G212" s="27"/>
    </row>
    <row r="213">
      <c r="F213" s="27"/>
      <c r="G213" s="27"/>
    </row>
    <row r="214">
      <c r="F214" s="27"/>
      <c r="G214" s="27"/>
    </row>
    <row r="215">
      <c r="F215" s="27"/>
      <c r="G215" s="27"/>
    </row>
    <row r="216">
      <c r="F216" s="27"/>
      <c r="G216" s="27"/>
    </row>
    <row r="217">
      <c r="F217" s="27"/>
      <c r="G217" s="27"/>
    </row>
    <row r="218">
      <c r="F218" s="27"/>
      <c r="G218" s="27"/>
    </row>
    <row r="219">
      <c r="F219" s="27"/>
      <c r="G219" s="27"/>
    </row>
    <row r="220">
      <c r="F220" s="27"/>
      <c r="G220" s="27"/>
    </row>
    <row r="221">
      <c r="F221" s="27"/>
      <c r="G221" s="27"/>
    </row>
    <row r="222">
      <c r="F222" s="27"/>
      <c r="G222" s="27"/>
    </row>
    <row r="223">
      <c r="F223" s="27"/>
      <c r="G223" s="27"/>
    </row>
    <row r="224">
      <c r="F224" s="27"/>
      <c r="G224" s="27"/>
    </row>
    <row r="225">
      <c r="F225" s="27"/>
      <c r="G225" s="27"/>
    </row>
    <row r="226">
      <c r="F226" s="27"/>
      <c r="G226" s="27"/>
    </row>
    <row r="227">
      <c r="F227" s="27"/>
      <c r="G227" s="27"/>
    </row>
    <row r="228">
      <c r="F228" s="27"/>
      <c r="G228" s="27"/>
    </row>
    <row r="229">
      <c r="F229" s="27"/>
      <c r="G229" s="27"/>
    </row>
    <row r="230">
      <c r="F230" s="27"/>
      <c r="G230" s="27"/>
    </row>
    <row r="231">
      <c r="F231" s="27"/>
      <c r="G231" s="27"/>
    </row>
    <row r="232">
      <c r="F232" s="27"/>
      <c r="G232" s="27"/>
    </row>
    <row r="233">
      <c r="F233" s="27"/>
      <c r="G233" s="27"/>
    </row>
    <row r="234">
      <c r="F234" s="27"/>
      <c r="G234" s="27"/>
    </row>
    <row r="235">
      <c r="F235" s="27"/>
      <c r="G235" s="27"/>
    </row>
    <row r="236">
      <c r="F236" s="27"/>
      <c r="G236" s="27"/>
    </row>
    <row r="237">
      <c r="F237" s="27"/>
      <c r="G237" s="27"/>
    </row>
    <row r="238">
      <c r="F238" s="27"/>
      <c r="G238" s="27"/>
    </row>
    <row r="239">
      <c r="F239" s="27"/>
      <c r="G239" s="27"/>
    </row>
    <row r="240">
      <c r="F240" s="27"/>
      <c r="G240" s="27"/>
    </row>
    <row r="241">
      <c r="F241" s="27"/>
      <c r="G241" s="27"/>
    </row>
    <row r="242">
      <c r="F242" s="27"/>
      <c r="G242" s="27"/>
    </row>
    <row r="243">
      <c r="F243" s="27"/>
      <c r="G243" s="27"/>
    </row>
    <row r="244">
      <c r="F244" s="27"/>
      <c r="G244" s="27"/>
    </row>
    <row r="245">
      <c r="F245" s="27"/>
      <c r="G245" s="27"/>
    </row>
    <row r="246">
      <c r="F246" s="27"/>
      <c r="G246" s="27"/>
    </row>
    <row r="247">
      <c r="F247" s="27"/>
      <c r="G247" s="27"/>
    </row>
    <row r="248">
      <c r="F248" s="27"/>
      <c r="G248" s="27"/>
    </row>
    <row r="249">
      <c r="F249" s="27"/>
      <c r="G249" s="27"/>
    </row>
    <row r="250">
      <c r="F250" s="27"/>
      <c r="G250" s="27"/>
    </row>
    <row r="251">
      <c r="F251" s="27"/>
      <c r="G251" s="27"/>
    </row>
    <row r="252">
      <c r="F252" s="27"/>
      <c r="G252" s="27"/>
    </row>
    <row r="253">
      <c r="F253" s="27"/>
      <c r="G253" s="27"/>
    </row>
    <row r="254">
      <c r="F254" s="27"/>
      <c r="G254" s="27"/>
    </row>
    <row r="255">
      <c r="F255" s="27"/>
      <c r="G255" s="27"/>
    </row>
    <row r="256">
      <c r="F256" s="27"/>
      <c r="G256" s="27"/>
    </row>
    <row r="257">
      <c r="F257" s="27"/>
      <c r="G257" s="27"/>
    </row>
    <row r="258">
      <c r="F258" s="27"/>
      <c r="G258" s="27"/>
    </row>
    <row r="259">
      <c r="F259" s="27"/>
      <c r="G259" s="27"/>
    </row>
    <row r="260">
      <c r="F260" s="27"/>
      <c r="G260" s="27"/>
    </row>
    <row r="261">
      <c r="F261" s="27"/>
      <c r="G261" s="27"/>
    </row>
    <row r="262">
      <c r="F262" s="27"/>
      <c r="G262" s="27"/>
    </row>
    <row r="263">
      <c r="F263" s="27"/>
      <c r="G263" s="27"/>
    </row>
    <row r="264">
      <c r="F264" s="27"/>
      <c r="G264" s="27"/>
    </row>
    <row r="265">
      <c r="F265" s="27"/>
      <c r="G265" s="27"/>
    </row>
    <row r="266">
      <c r="F266" s="27"/>
      <c r="G266" s="27"/>
    </row>
    <row r="267">
      <c r="F267" s="27"/>
      <c r="G267" s="27"/>
    </row>
    <row r="268">
      <c r="F268" s="27"/>
      <c r="G268" s="27"/>
    </row>
    <row r="269">
      <c r="F269" s="27"/>
      <c r="G269" s="27"/>
    </row>
    <row r="270">
      <c r="F270" s="27"/>
      <c r="G270" s="27"/>
    </row>
    <row r="271">
      <c r="F271" s="27"/>
      <c r="G271" s="27"/>
    </row>
    <row r="272">
      <c r="F272" s="27"/>
      <c r="G272" s="27"/>
    </row>
    <row r="273">
      <c r="F273" s="27"/>
      <c r="G273" s="27"/>
    </row>
    <row r="274">
      <c r="F274" s="27"/>
      <c r="G274" s="27"/>
    </row>
    <row r="275">
      <c r="F275" s="27"/>
      <c r="G275" s="27"/>
    </row>
    <row r="276">
      <c r="F276" s="27"/>
      <c r="G276" s="27"/>
    </row>
    <row r="277">
      <c r="F277" s="27"/>
      <c r="G277" s="27"/>
    </row>
    <row r="278">
      <c r="F278" s="27"/>
      <c r="G278" s="27"/>
    </row>
    <row r="279">
      <c r="F279" s="27"/>
      <c r="G279" s="27"/>
    </row>
    <row r="280">
      <c r="F280" s="27"/>
      <c r="G280" s="27"/>
    </row>
    <row r="281">
      <c r="F281" s="27"/>
      <c r="G281" s="27"/>
    </row>
    <row r="282">
      <c r="F282" s="27"/>
      <c r="G282" s="27"/>
    </row>
    <row r="283">
      <c r="F283" s="27"/>
      <c r="G283" s="27"/>
    </row>
    <row r="284">
      <c r="F284" s="27"/>
      <c r="G284" s="27"/>
    </row>
    <row r="285">
      <c r="F285" s="27"/>
      <c r="G285" s="27"/>
    </row>
    <row r="286">
      <c r="F286" s="27"/>
      <c r="G286" s="27"/>
    </row>
    <row r="287">
      <c r="F287" s="27"/>
      <c r="G287" s="27"/>
    </row>
    <row r="288">
      <c r="F288" s="27"/>
      <c r="G288" s="27"/>
    </row>
    <row r="289">
      <c r="F289" s="27"/>
      <c r="G289" s="27"/>
    </row>
    <row r="290">
      <c r="F290" s="27"/>
      <c r="G290" s="27"/>
    </row>
    <row r="291">
      <c r="F291" s="27"/>
      <c r="G291" s="27"/>
    </row>
    <row r="292">
      <c r="F292" s="27"/>
      <c r="G292" s="27"/>
    </row>
    <row r="293">
      <c r="F293" s="27"/>
      <c r="G293" s="27"/>
    </row>
    <row r="294">
      <c r="F294" s="27"/>
      <c r="G294" s="27"/>
    </row>
    <row r="295">
      <c r="F295" s="27"/>
      <c r="G295" s="27"/>
    </row>
    <row r="296">
      <c r="F296" s="27"/>
      <c r="G296" s="27"/>
    </row>
    <row r="297">
      <c r="F297" s="27"/>
      <c r="G297" s="27"/>
    </row>
    <row r="298">
      <c r="F298" s="27"/>
      <c r="G298" s="27"/>
    </row>
    <row r="299">
      <c r="F299" s="27"/>
      <c r="G299" s="27"/>
    </row>
    <row r="300">
      <c r="F300" s="27"/>
      <c r="G300" s="27"/>
    </row>
    <row r="301">
      <c r="F301" s="27"/>
      <c r="G301" s="27"/>
    </row>
    <row r="302">
      <c r="F302" s="27"/>
      <c r="G302" s="27"/>
    </row>
    <row r="303">
      <c r="F303" s="27"/>
      <c r="G303" s="27"/>
    </row>
    <row r="304">
      <c r="F304" s="27"/>
      <c r="G304" s="27"/>
    </row>
    <row r="305">
      <c r="F305" s="27"/>
      <c r="G305" s="27"/>
    </row>
    <row r="306">
      <c r="F306" s="27"/>
      <c r="G306" s="27"/>
    </row>
    <row r="307">
      <c r="F307" s="27"/>
      <c r="G307" s="27"/>
    </row>
    <row r="308">
      <c r="F308" s="27"/>
      <c r="G308" s="27"/>
    </row>
    <row r="309">
      <c r="F309" s="27"/>
      <c r="G309" s="27"/>
    </row>
    <row r="310">
      <c r="F310" s="27"/>
      <c r="G310" s="27"/>
    </row>
    <row r="311">
      <c r="F311" s="27"/>
      <c r="G311" s="27"/>
    </row>
    <row r="312">
      <c r="F312" s="27"/>
      <c r="G312" s="27"/>
    </row>
    <row r="313">
      <c r="F313" s="27"/>
      <c r="G313" s="27"/>
    </row>
    <row r="314">
      <c r="F314" s="27"/>
      <c r="G314" s="27"/>
    </row>
    <row r="315">
      <c r="F315" s="27"/>
      <c r="G315" s="27"/>
    </row>
    <row r="316">
      <c r="F316" s="27"/>
      <c r="G316" s="27"/>
    </row>
    <row r="317">
      <c r="F317" s="27"/>
      <c r="G317" s="27"/>
    </row>
    <row r="318">
      <c r="F318" s="27"/>
      <c r="G318" s="27"/>
    </row>
    <row r="319">
      <c r="F319" s="27"/>
      <c r="G319" s="27"/>
    </row>
    <row r="320">
      <c r="F320" s="27"/>
      <c r="G320" s="27"/>
    </row>
    <row r="321">
      <c r="F321" s="27"/>
      <c r="G321" s="27"/>
    </row>
    <row r="322">
      <c r="F322" s="27"/>
      <c r="G322" s="27"/>
    </row>
    <row r="323">
      <c r="F323" s="27"/>
      <c r="G323" s="27"/>
    </row>
    <row r="324">
      <c r="F324" s="27"/>
      <c r="G324" s="27"/>
    </row>
    <row r="325">
      <c r="F325" s="27"/>
      <c r="G325" s="27"/>
    </row>
    <row r="326">
      <c r="F326" s="27"/>
      <c r="G326" s="27"/>
    </row>
    <row r="327">
      <c r="F327" s="27"/>
      <c r="G327" s="27"/>
    </row>
    <row r="328">
      <c r="F328" s="27"/>
      <c r="G328" s="27"/>
    </row>
    <row r="329">
      <c r="F329" s="27"/>
      <c r="G329" s="27"/>
    </row>
    <row r="330">
      <c r="F330" s="27"/>
      <c r="G330" s="27"/>
    </row>
    <row r="331">
      <c r="F331" s="27"/>
      <c r="G331" s="27"/>
    </row>
    <row r="332">
      <c r="F332" s="27"/>
      <c r="G332" s="27"/>
    </row>
    <row r="333">
      <c r="F333" s="27"/>
      <c r="G333" s="27"/>
    </row>
    <row r="334">
      <c r="F334" s="27"/>
      <c r="G334" s="27"/>
    </row>
    <row r="335">
      <c r="F335" s="27"/>
      <c r="G335" s="27"/>
    </row>
    <row r="336">
      <c r="F336" s="27"/>
      <c r="G336" s="27"/>
    </row>
    <row r="337">
      <c r="F337" s="27"/>
      <c r="G337" s="27"/>
    </row>
    <row r="338">
      <c r="F338" s="27"/>
      <c r="G338" s="27"/>
    </row>
    <row r="339">
      <c r="F339" s="27"/>
      <c r="G339" s="27"/>
    </row>
    <row r="340">
      <c r="F340" s="27"/>
      <c r="G340" s="27"/>
    </row>
    <row r="341">
      <c r="F341" s="27"/>
      <c r="G341" s="27"/>
    </row>
    <row r="342">
      <c r="F342" s="27"/>
      <c r="G342" s="27"/>
    </row>
    <row r="343">
      <c r="F343" s="27"/>
      <c r="G343" s="27"/>
    </row>
    <row r="344">
      <c r="F344" s="27"/>
      <c r="G344" s="27"/>
    </row>
    <row r="345">
      <c r="F345" s="27"/>
      <c r="G345" s="27"/>
    </row>
    <row r="346">
      <c r="F346" s="27"/>
      <c r="G346" s="27"/>
    </row>
    <row r="347">
      <c r="F347" s="27"/>
      <c r="G347" s="27"/>
    </row>
    <row r="348">
      <c r="F348" s="27"/>
      <c r="G348" s="27"/>
    </row>
    <row r="349">
      <c r="F349" s="27"/>
      <c r="G349" s="27"/>
    </row>
    <row r="350">
      <c r="F350" s="27"/>
      <c r="G350" s="27"/>
    </row>
    <row r="351">
      <c r="F351" s="27"/>
      <c r="G351" s="27"/>
    </row>
    <row r="352">
      <c r="F352" s="27"/>
      <c r="G352" s="27"/>
    </row>
    <row r="353">
      <c r="F353" s="27"/>
      <c r="G353" s="27"/>
    </row>
    <row r="354">
      <c r="F354" s="27"/>
      <c r="G354" s="27"/>
    </row>
    <row r="355">
      <c r="F355" s="27"/>
      <c r="G355" s="27"/>
    </row>
    <row r="356">
      <c r="F356" s="27"/>
      <c r="G356" s="27"/>
    </row>
    <row r="357">
      <c r="F357" s="27"/>
      <c r="G357" s="27"/>
    </row>
    <row r="358">
      <c r="F358" s="27"/>
      <c r="G358" s="27"/>
    </row>
    <row r="359">
      <c r="F359" s="27"/>
      <c r="G359" s="27"/>
    </row>
    <row r="360">
      <c r="F360" s="27"/>
      <c r="G360" s="27"/>
    </row>
    <row r="361">
      <c r="F361" s="27"/>
      <c r="G361" s="27"/>
    </row>
    <row r="362">
      <c r="F362" s="27"/>
      <c r="G362" s="27"/>
    </row>
    <row r="363">
      <c r="F363" s="27"/>
      <c r="G363" s="27"/>
    </row>
    <row r="364">
      <c r="F364" s="27"/>
      <c r="G364" s="27"/>
    </row>
    <row r="365">
      <c r="F365" s="27"/>
      <c r="G365" s="27"/>
    </row>
    <row r="366">
      <c r="F366" s="27"/>
      <c r="G366" s="27"/>
    </row>
    <row r="367">
      <c r="F367" s="27"/>
      <c r="G367" s="27"/>
    </row>
    <row r="368">
      <c r="F368" s="27"/>
      <c r="G368" s="27"/>
    </row>
    <row r="369">
      <c r="F369" s="27"/>
      <c r="G369" s="27"/>
    </row>
    <row r="370">
      <c r="F370" s="27"/>
      <c r="G370" s="27"/>
    </row>
    <row r="371">
      <c r="F371" s="27"/>
      <c r="G371" s="27"/>
    </row>
    <row r="372">
      <c r="F372" s="27"/>
      <c r="G372" s="27"/>
    </row>
    <row r="373">
      <c r="F373" s="27"/>
      <c r="G373" s="27"/>
    </row>
    <row r="374">
      <c r="F374" s="27"/>
      <c r="G374" s="27"/>
    </row>
    <row r="375">
      <c r="F375" s="27"/>
      <c r="G375" s="27"/>
    </row>
    <row r="376">
      <c r="F376" s="27"/>
      <c r="G376" s="27"/>
    </row>
    <row r="377">
      <c r="F377" s="27"/>
      <c r="G377" s="27"/>
    </row>
    <row r="378">
      <c r="F378" s="27"/>
      <c r="G378" s="27"/>
    </row>
    <row r="379">
      <c r="F379" s="27"/>
      <c r="G379" s="27"/>
    </row>
    <row r="380">
      <c r="F380" s="27"/>
      <c r="G380" s="27"/>
    </row>
    <row r="381">
      <c r="F381" s="27"/>
      <c r="G381" s="27"/>
    </row>
    <row r="382">
      <c r="F382" s="27"/>
      <c r="G382" s="27"/>
    </row>
    <row r="383">
      <c r="F383" s="27"/>
      <c r="G383" s="27"/>
    </row>
    <row r="384">
      <c r="F384" s="27"/>
      <c r="G384" s="27"/>
    </row>
    <row r="385">
      <c r="F385" s="27"/>
      <c r="G385" s="27"/>
    </row>
    <row r="386">
      <c r="F386" s="27"/>
      <c r="G386" s="27"/>
    </row>
    <row r="387">
      <c r="F387" s="27"/>
      <c r="G387" s="27"/>
    </row>
    <row r="388">
      <c r="F388" s="27"/>
      <c r="G388" s="27"/>
    </row>
    <row r="389">
      <c r="F389" s="27"/>
      <c r="G389" s="27"/>
    </row>
    <row r="390">
      <c r="F390" s="27"/>
      <c r="G390" s="27"/>
    </row>
    <row r="391">
      <c r="F391" s="27"/>
      <c r="G391" s="27"/>
    </row>
    <row r="392">
      <c r="F392" s="27"/>
      <c r="G392" s="27"/>
    </row>
    <row r="393">
      <c r="F393" s="27"/>
      <c r="G393" s="27"/>
    </row>
    <row r="394">
      <c r="F394" s="27"/>
      <c r="G394" s="27"/>
    </row>
    <row r="395">
      <c r="F395" s="27"/>
      <c r="G395" s="27"/>
    </row>
    <row r="396">
      <c r="F396" s="27"/>
      <c r="G396" s="27"/>
    </row>
    <row r="397">
      <c r="F397" s="27"/>
      <c r="G397" s="27"/>
    </row>
    <row r="398">
      <c r="F398" s="27"/>
      <c r="G398" s="27"/>
    </row>
    <row r="399">
      <c r="F399" s="27"/>
      <c r="G399" s="27"/>
    </row>
    <row r="400">
      <c r="F400" s="27"/>
      <c r="G400" s="27"/>
    </row>
    <row r="401">
      <c r="F401" s="27"/>
      <c r="G401" s="27"/>
    </row>
    <row r="402">
      <c r="F402" s="27"/>
      <c r="G402" s="27"/>
    </row>
    <row r="403">
      <c r="F403" s="27"/>
      <c r="G403" s="27"/>
    </row>
    <row r="404">
      <c r="F404" s="27"/>
      <c r="G404" s="27"/>
    </row>
    <row r="405">
      <c r="F405" s="27"/>
      <c r="G405" s="27"/>
    </row>
    <row r="406">
      <c r="F406" s="27"/>
      <c r="G406" s="27"/>
    </row>
    <row r="407">
      <c r="F407" s="27"/>
      <c r="G407" s="27"/>
    </row>
    <row r="408">
      <c r="F408" s="27"/>
      <c r="G408" s="27"/>
    </row>
    <row r="409">
      <c r="F409" s="27"/>
      <c r="G409" s="27"/>
    </row>
    <row r="410">
      <c r="F410" s="27"/>
      <c r="G410" s="27"/>
    </row>
    <row r="411">
      <c r="F411" s="27"/>
      <c r="G411" s="27"/>
    </row>
    <row r="412">
      <c r="F412" s="27"/>
      <c r="G412" s="27"/>
    </row>
    <row r="413">
      <c r="F413" s="27"/>
      <c r="G413" s="27"/>
    </row>
    <row r="414">
      <c r="F414" s="27"/>
      <c r="G414" s="27"/>
    </row>
    <row r="415">
      <c r="F415" s="27"/>
      <c r="G415" s="27"/>
    </row>
    <row r="416">
      <c r="F416" s="27"/>
      <c r="G416" s="27"/>
    </row>
    <row r="417">
      <c r="F417" s="27"/>
      <c r="G417" s="27"/>
    </row>
    <row r="418">
      <c r="F418" s="27"/>
      <c r="G418" s="27"/>
    </row>
    <row r="419">
      <c r="F419" s="27"/>
      <c r="G419" s="27"/>
    </row>
    <row r="420">
      <c r="F420" s="27"/>
      <c r="G420" s="27"/>
    </row>
    <row r="421">
      <c r="F421" s="27"/>
      <c r="G421" s="27"/>
    </row>
    <row r="422">
      <c r="F422" s="27"/>
      <c r="G422" s="27"/>
    </row>
    <row r="423">
      <c r="F423" s="27"/>
      <c r="G423" s="27"/>
    </row>
    <row r="424">
      <c r="F424" s="27"/>
      <c r="G424" s="27"/>
    </row>
    <row r="425">
      <c r="F425" s="27"/>
      <c r="G425" s="27"/>
    </row>
    <row r="426">
      <c r="F426" s="27"/>
      <c r="G426" s="27"/>
    </row>
    <row r="427">
      <c r="F427" s="27"/>
      <c r="G427" s="27"/>
    </row>
    <row r="428">
      <c r="F428" s="27"/>
      <c r="G428" s="27"/>
    </row>
    <row r="429">
      <c r="F429" s="27"/>
      <c r="G429" s="27"/>
    </row>
    <row r="430">
      <c r="F430" s="27"/>
      <c r="G430" s="27"/>
    </row>
    <row r="431">
      <c r="F431" s="27"/>
      <c r="G431" s="27"/>
    </row>
    <row r="432">
      <c r="F432" s="27"/>
      <c r="G432" s="27"/>
    </row>
    <row r="433">
      <c r="F433" s="27"/>
      <c r="G433" s="27"/>
    </row>
    <row r="434">
      <c r="F434" s="27"/>
      <c r="G434" s="27"/>
    </row>
    <row r="435">
      <c r="F435" s="27"/>
      <c r="G435" s="27"/>
    </row>
    <row r="436">
      <c r="F436" s="27"/>
      <c r="G436" s="27"/>
    </row>
    <row r="437">
      <c r="F437" s="27"/>
      <c r="G437" s="27"/>
    </row>
    <row r="438">
      <c r="F438" s="27"/>
      <c r="G438" s="27"/>
    </row>
    <row r="439">
      <c r="F439" s="27"/>
      <c r="G439" s="27"/>
    </row>
    <row r="440">
      <c r="F440" s="27"/>
      <c r="G440" s="27"/>
    </row>
    <row r="441">
      <c r="F441" s="27"/>
      <c r="G441" s="27"/>
    </row>
    <row r="442">
      <c r="F442" s="27"/>
      <c r="G442" s="27"/>
    </row>
    <row r="443">
      <c r="F443" s="27"/>
      <c r="G443" s="27"/>
    </row>
    <row r="444">
      <c r="F444" s="27"/>
      <c r="G444" s="27"/>
    </row>
    <row r="445">
      <c r="F445" s="27"/>
      <c r="G445" s="27"/>
    </row>
    <row r="446">
      <c r="F446" s="27"/>
      <c r="G446" s="27"/>
    </row>
    <row r="447">
      <c r="F447" s="27"/>
      <c r="G447" s="27"/>
    </row>
    <row r="448">
      <c r="F448" s="27"/>
      <c r="G448" s="27"/>
    </row>
    <row r="449">
      <c r="F449" s="27"/>
      <c r="G449" s="27"/>
    </row>
    <row r="450">
      <c r="F450" s="27"/>
      <c r="G450" s="27"/>
    </row>
    <row r="451">
      <c r="F451" s="27"/>
      <c r="G451" s="27"/>
    </row>
    <row r="452">
      <c r="F452" s="27"/>
      <c r="G452" s="27"/>
    </row>
    <row r="453">
      <c r="F453" s="27"/>
      <c r="G453" s="27"/>
    </row>
    <row r="454">
      <c r="F454" s="27"/>
      <c r="G454" s="27"/>
    </row>
    <row r="455">
      <c r="F455" s="27"/>
      <c r="G455" s="27"/>
    </row>
    <row r="456">
      <c r="F456" s="27"/>
      <c r="G456" s="27"/>
    </row>
    <row r="457">
      <c r="F457" s="27"/>
      <c r="G457" s="27"/>
    </row>
    <row r="458">
      <c r="F458" s="27"/>
      <c r="G458" s="27"/>
    </row>
    <row r="459">
      <c r="F459" s="27"/>
      <c r="G459" s="27"/>
    </row>
    <row r="460">
      <c r="F460" s="27"/>
      <c r="G460" s="27"/>
    </row>
    <row r="461">
      <c r="F461" s="27"/>
      <c r="G461" s="27"/>
    </row>
    <row r="462">
      <c r="F462" s="27"/>
      <c r="G462" s="27"/>
    </row>
    <row r="463">
      <c r="F463" s="27"/>
      <c r="G463" s="27"/>
    </row>
    <row r="464">
      <c r="F464" s="27"/>
      <c r="G464" s="27"/>
    </row>
    <row r="465">
      <c r="F465" s="27"/>
      <c r="G465" s="27"/>
    </row>
    <row r="466">
      <c r="F466" s="27"/>
      <c r="G466" s="27"/>
    </row>
    <row r="467">
      <c r="F467" s="27"/>
      <c r="G467" s="27"/>
    </row>
    <row r="468">
      <c r="F468" s="27"/>
      <c r="G468" s="27"/>
    </row>
    <row r="469">
      <c r="F469" s="27"/>
      <c r="G469" s="27"/>
    </row>
    <row r="470">
      <c r="F470" s="27"/>
      <c r="G470" s="27"/>
    </row>
    <row r="471">
      <c r="F471" s="27"/>
      <c r="G471" s="27"/>
    </row>
    <row r="472">
      <c r="F472" s="27"/>
      <c r="G472" s="27"/>
    </row>
    <row r="473">
      <c r="F473" s="27"/>
      <c r="G473" s="27"/>
    </row>
    <row r="474">
      <c r="F474" s="27"/>
      <c r="G474" s="27"/>
    </row>
    <row r="475">
      <c r="F475" s="27"/>
      <c r="G475" s="27"/>
    </row>
    <row r="476">
      <c r="F476" s="27"/>
      <c r="G476" s="27"/>
    </row>
    <row r="477">
      <c r="F477" s="27"/>
      <c r="G477" s="27"/>
    </row>
    <row r="478">
      <c r="F478" s="27"/>
      <c r="G478" s="27"/>
    </row>
    <row r="479">
      <c r="F479" s="27"/>
      <c r="G479" s="27"/>
    </row>
    <row r="480">
      <c r="F480" s="27"/>
      <c r="G480" s="27"/>
    </row>
    <row r="481">
      <c r="F481" s="27"/>
      <c r="G481" s="27"/>
    </row>
    <row r="482">
      <c r="F482" s="27"/>
      <c r="G482" s="27"/>
    </row>
    <row r="483">
      <c r="F483" s="27"/>
      <c r="G483" s="27"/>
    </row>
    <row r="484">
      <c r="F484" s="27"/>
      <c r="G484" s="27"/>
    </row>
    <row r="485">
      <c r="F485" s="27"/>
      <c r="G485" s="27"/>
    </row>
    <row r="486">
      <c r="F486" s="27"/>
      <c r="G486" s="27"/>
    </row>
    <row r="487">
      <c r="F487" s="27"/>
      <c r="G487" s="27"/>
    </row>
    <row r="488">
      <c r="F488" s="27"/>
      <c r="G488" s="27"/>
    </row>
    <row r="489">
      <c r="F489" s="27"/>
      <c r="G489" s="27"/>
    </row>
    <row r="490">
      <c r="F490" s="27"/>
      <c r="G490" s="27"/>
    </row>
    <row r="491">
      <c r="F491" s="27"/>
      <c r="G491" s="27"/>
    </row>
    <row r="492">
      <c r="F492" s="27"/>
      <c r="G492" s="27"/>
    </row>
    <row r="493">
      <c r="F493" s="27"/>
      <c r="G493" s="27"/>
    </row>
    <row r="494">
      <c r="F494" s="27"/>
      <c r="G494" s="27"/>
    </row>
    <row r="495">
      <c r="F495" s="27"/>
      <c r="G495" s="27"/>
    </row>
    <row r="496">
      <c r="F496" s="27"/>
      <c r="G496" s="27"/>
    </row>
    <row r="497">
      <c r="F497" s="27"/>
      <c r="G497" s="27"/>
    </row>
    <row r="498">
      <c r="F498" s="27"/>
      <c r="G498" s="27"/>
    </row>
    <row r="499">
      <c r="F499" s="27"/>
      <c r="G499" s="27"/>
    </row>
    <row r="500">
      <c r="F500" s="27"/>
      <c r="G500" s="27"/>
    </row>
    <row r="501">
      <c r="F501" s="27"/>
      <c r="G501" s="27"/>
    </row>
    <row r="502">
      <c r="F502" s="27"/>
      <c r="G502" s="27"/>
    </row>
    <row r="503">
      <c r="F503" s="27"/>
      <c r="G503" s="27"/>
    </row>
    <row r="504">
      <c r="F504" s="27"/>
      <c r="G504" s="27"/>
    </row>
    <row r="505">
      <c r="F505" s="27"/>
      <c r="G505" s="27"/>
    </row>
    <row r="506">
      <c r="F506" s="27"/>
      <c r="G506" s="27"/>
    </row>
    <row r="507">
      <c r="F507" s="27"/>
      <c r="G507" s="27"/>
    </row>
    <row r="508">
      <c r="F508" s="27"/>
      <c r="G508" s="27"/>
    </row>
    <row r="509">
      <c r="F509" s="27"/>
      <c r="G509" s="27"/>
    </row>
    <row r="510">
      <c r="F510" s="27"/>
      <c r="G510" s="27"/>
    </row>
    <row r="511">
      <c r="F511" s="27"/>
      <c r="G511" s="27"/>
    </row>
    <row r="512">
      <c r="F512" s="27"/>
      <c r="G512" s="27"/>
    </row>
    <row r="513">
      <c r="F513" s="27"/>
      <c r="G513" s="27"/>
    </row>
    <row r="514">
      <c r="F514" s="27"/>
      <c r="G514" s="27"/>
    </row>
    <row r="515">
      <c r="F515" s="27"/>
      <c r="G515" s="27"/>
    </row>
    <row r="516">
      <c r="F516" s="27"/>
      <c r="G516" s="27"/>
    </row>
    <row r="517">
      <c r="F517" s="27"/>
      <c r="G517" s="27"/>
    </row>
    <row r="518">
      <c r="F518" s="27"/>
      <c r="G518" s="27"/>
    </row>
    <row r="519">
      <c r="F519" s="27"/>
      <c r="G519" s="27"/>
    </row>
    <row r="520">
      <c r="F520" s="27"/>
      <c r="G520" s="27"/>
    </row>
    <row r="521">
      <c r="F521" s="27"/>
      <c r="G521" s="27"/>
    </row>
    <row r="522">
      <c r="F522" s="27"/>
      <c r="G522" s="27"/>
    </row>
    <row r="523">
      <c r="F523" s="27"/>
      <c r="G523" s="27"/>
    </row>
    <row r="524">
      <c r="F524" s="27"/>
      <c r="G524" s="27"/>
    </row>
    <row r="525">
      <c r="F525" s="27"/>
      <c r="G525" s="27"/>
    </row>
    <row r="526">
      <c r="F526" s="27"/>
      <c r="G526" s="27"/>
    </row>
    <row r="527">
      <c r="F527" s="27"/>
      <c r="G527" s="27"/>
    </row>
    <row r="528">
      <c r="F528" s="27"/>
      <c r="G528" s="27"/>
    </row>
    <row r="529">
      <c r="F529" s="27"/>
      <c r="G529" s="27"/>
    </row>
    <row r="530">
      <c r="F530" s="27"/>
      <c r="G530" s="27"/>
    </row>
    <row r="531">
      <c r="F531" s="27"/>
      <c r="G531" s="27"/>
    </row>
    <row r="532">
      <c r="F532" s="27"/>
      <c r="G532" s="27"/>
    </row>
    <row r="533">
      <c r="F533" s="27"/>
      <c r="G533" s="27"/>
    </row>
    <row r="534">
      <c r="F534" s="27"/>
      <c r="G534" s="27"/>
    </row>
    <row r="535">
      <c r="F535" s="27"/>
      <c r="G535" s="27"/>
    </row>
    <row r="536">
      <c r="F536" s="27"/>
      <c r="G536" s="27"/>
    </row>
    <row r="537">
      <c r="F537" s="27"/>
      <c r="G537" s="27"/>
    </row>
    <row r="538">
      <c r="F538" s="27"/>
      <c r="G538" s="27"/>
    </row>
    <row r="539">
      <c r="F539" s="27"/>
      <c r="G539" s="27"/>
    </row>
    <row r="540">
      <c r="F540" s="27"/>
      <c r="G540" s="27"/>
    </row>
    <row r="541">
      <c r="F541" s="27"/>
      <c r="G541" s="27"/>
    </row>
    <row r="542">
      <c r="F542" s="27"/>
      <c r="G542" s="27"/>
    </row>
    <row r="543">
      <c r="F543" s="27"/>
      <c r="G543" s="27"/>
    </row>
    <row r="544">
      <c r="F544" s="27"/>
      <c r="G544" s="27"/>
    </row>
    <row r="545">
      <c r="F545" s="27"/>
      <c r="G545" s="27"/>
    </row>
    <row r="546">
      <c r="F546" s="27"/>
      <c r="G546" s="27"/>
    </row>
    <row r="547">
      <c r="F547" s="27"/>
      <c r="G547" s="27"/>
    </row>
    <row r="548">
      <c r="F548" s="27"/>
      <c r="G548" s="27"/>
    </row>
    <row r="549">
      <c r="F549" s="27"/>
      <c r="G549" s="27"/>
    </row>
    <row r="550">
      <c r="F550" s="27"/>
      <c r="G550" s="27"/>
    </row>
    <row r="551">
      <c r="F551" s="27"/>
      <c r="G551" s="27"/>
    </row>
    <row r="552">
      <c r="F552" s="27"/>
      <c r="G552" s="27"/>
    </row>
    <row r="553">
      <c r="F553" s="27"/>
      <c r="G553" s="27"/>
    </row>
    <row r="554">
      <c r="F554" s="27"/>
      <c r="G554" s="27"/>
    </row>
    <row r="555">
      <c r="F555" s="27"/>
      <c r="G555" s="27"/>
    </row>
    <row r="556">
      <c r="F556" s="27"/>
      <c r="G556" s="27"/>
    </row>
    <row r="557">
      <c r="F557" s="27"/>
      <c r="G557" s="27"/>
    </row>
    <row r="558">
      <c r="F558" s="27"/>
      <c r="G558" s="27"/>
    </row>
    <row r="559">
      <c r="F559" s="27"/>
      <c r="G559" s="27"/>
    </row>
    <row r="560">
      <c r="F560" s="27"/>
      <c r="G560" s="27"/>
    </row>
    <row r="561">
      <c r="F561" s="27"/>
      <c r="G561" s="27"/>
    </row>
    <row r="562">
      <c r="F562" s="27"/>
      <c r="G562" s="27"/>
    </row>
    <row r="563">
      <c r="F563" s="27"/>
      <c r="G563" s="27"/>
    </row>
    <row r="564">
      <c r="F564" s="27"/>
      <c r="G564" s="27"/>
    </row>
    <row r="565">
      <c r="F565" s="27"/>
      <c r="G565" s="27"/>
    </row>
    <row r="566">
      <c r="F566" s="27"/>
      <c r="G566" s="27"/>
    </row>
    <row r="567">
      <c r="F567" s="27"/>
      <c r="G567" s="27"/>
    </row>
    <row r="568">
      <c r="F568" s="27"/>
      <c r="G568" s="27"/>
    </row>
    <row r="569">
      <c r="F569" s="27"/>
      <c r="G569" s="27"/>
    </row>
    <row r="570">
      <c r="F570" s="27"/>
      <c r="G570" s="27"/>
    </row>
    <row r="571">
      <c r="F571" s="27"/>
      <c r="G571" s="27"/>
    </row>
    <row r="572">
      <c r="F572" s="27"/>
      <c r="G572" s="27"/>
    </row>
    <row r="573">
      <c r="F573" s="27"/>
      <c r="G573" s="27"/>
    </row>
    <row r="574">
      <c r="F574" s="27"/>
      <c r="G574" s="27"/>
    </row>
    <row r="575">
      <c r="F575" s="27"/>
      <c r="G575" s="27"/>
    </row>
    <row r="576">
      <c r="F576" s="27"/>
      <c r="G576" s="27"/>
    </row>
    <row r="577">
      <c r="F577" s="27"/>
      <c r="G577" s="27"/>
    </row>
    <row r="578">
      <c r="F578" s="27"/>
      <c r="G578" s="27"/>
    </row>
    <row r="579">
      <c r="F579" s="27"/>
      <c r="G579" s="27"/>
    </row>
    <row r="580">
      <c r="F580" s="27"/>
      <c r="G580" s="27"/>
    </row>
    <row r="581">
      <c r="F581" s="27"/>
      <c r="G581" s="27"/>
    </row>
    <row r="582">
      <c r="F582" s="27"/>
      <c r="G582" s="27"/>
    </row>
    <row r="583">
      <c r="F583" s="27"/>
      <c r="G583" s="27"/>
    </row>
    <row r="584">
      <c r="F584" s="27"/>
      <c r="G584" s="27"/>
    </row>
    <row r="585">
      <c r="F585" s="27"/>
      <c r="G585" s="27"/>
    </row>
    <row r="586">
      <c r="F586" s="27"/>
      <c r="G586" s="27"/>
    </row>
    <row r="587">
      <c r="F587" s="27"/>
      <c r="G587" s="27"/>
    </row>
    <row r="588">
      <c r="F588" s="27"/>
      <c r="G588" s="27"/>
    </row>
    <row r="589">
      <c r="F589" s="27"/>
      <c r="G589" s="27"/>
    </row>
    <row r="590">
      <c r="F590" s="27"/>
      <c r="G590" s="27"/>
    </row>
    <row r="591">
      <c r="F591" s="27"/>
      <c r="G591" s="27"/>
    </row>
    <row r="592">
      <c r="F592" s="27"/>
      <c r="G592" s="27"/>
    </row>
    <row r="593">
      <c r="F593" s="27"/>
      <c r="G593" s="27"/>
    </row>
    <row r="594">
      <c r="F594" s="27"/>
      <c r="G594" s="27"/>
    </row>
    <row r="595">
      <c r="F595" s="27"/>
      <c r="G595" s="27"/>
    </row>
    <row r="596">
      <c r="F596" s="27"/>
      <c r="G596" s="27"/>
    </row>
    <row r="597">
      <c r="F597" s="27"/>
      <c r="G597" s="27"/>
    </row>
    <row r="598">
      <c r="F598" s="27"/>
      <c r="G598" s="27"/>
    </row>
    <row r="599">
      <c r="F599" s="27"/>
      <c r="G599" s="27"/>
    </row>
    <row r="600">
      <c r="F600" s="27"/>
      <c r="G600" s="27"/>
    </row>
    <row r="601">
      <c r="F601" s="27"/>
      <c r="G601" s="27"/>
    </row>
    <row r="602">
      <c r="F602" s="27"/>
      <c r="G602" s="27"/>
    </row>
    <row r="603">
      <c r="F603" s="27"/>
      <c r="G603" s="27"/>
    </row>
    <row r="604">
      <c r="F604" s="27"/>
      <c r="G604" s="27"/>
    </row>
    <row r="605">
      <c r="F605" s="27"/>
      <c r="G605" s="27"/>
    </row>
    <row r="606">
      <c r="F606" s="27"/>
      <c r="G606" s="27"/>
    </row>
    <row r="607">
      <c r="F607" s="27"/>
      <c r="G607" s="27"/>
    </row>
    <row r="608">
      <c r="F608" s="27"/>
      <c r="G608" s="27"/>
    </row>
    <row r="609">
      <c r="F609" s="27"/>
      <c r="G609" s="27"/>
    </row>
    <row r="610">
      <c r="F610" s="27"/>
      <c r="G610" s="27"/>
    </row>
    <row r="611">
      <c r="F611" s="27"/>
      <c r="G611" s="27"/>
    </row>
    <row r="612">
      <c r="F612" s="27"/>
      <c r="G612" s="27"/>
    </row>
    <row r="613">
      <c r="F613" s="27"/>
      <c r="G613" s="27"/>
    </row>
    <row r="614">
      <c r="F614" s="27"/>
      <c r="G614" s="27"/>
    </row>
    <row r="615">
      <c r="F615" s="27"/>
      <c r="G615" s="27"/>
    </row>
    <row r="616">
      <c r="F616" s="27"/>
      <c r="G616" s="27"/>
    </row>
    <row r="617">
      <c r="F617" s="27"/>
      <c r="G617" s="27"/>
    </row>
    <row r="618">
      <c r="F618" s="27"/>
      <c r="G618" s="27"/>
    </row>
    <row r="619">
      <c r="F619" s="27"/>
      <c r="G619" s="27"/>
    </row>
    <row r="620">
      <c r="F620" s="27"/>
      <c r="G620" s="27"/>
    </row>
    <row r="621">
      <c r="F621" s="27"/>
      <c r="G621" s="27"/>
    </row>
    <row r="622">
      <c r="F622" s="27"/>
      <c r="G622" s="27"/>
    </row>
    <row r="623">
      <c r="F623" s="27"/>
      <c r="G623" s="27"/>
    </row>
    <row r="624">
      <c r="F624" s="27"/>
      <c r="G624" s="27"/>
    </row>
    <row r="625">
      <c r="F625" s="27"/>
      <c r="G625" s="27"/>
    </row>
    <row r="626">
      <c r="F626" s="27"/>
      <c r="G626" s="27"/>
    </row>
    <row r="627">
      <c r="F627" s="27"/>
      <c r="G627" s="27"/>
    </row>
    <row r="628">
      <c r="F628" s="27"/>
      <c r="G628" s="27"/>
    </row>
    <row r="629">
      <c r="F629" s="27"/>
      <c r="G629" s="27"/>
    </row>
    <row r="630">
      <c r="F630" s="27"/>
      <c r="G630" s="27"/>
    </row>
    <row r="631">
      <c r="F631" s="27"/>
      <c r="G631" s="27"/>
    </row>
    <row r="632">
      <c r="F632" s="27"/>
      <c r="G632" s="27"/>
    </row>
    <row r="633">
      <c r="F633" s="27"/>
      <c r="G633" s="27"/>
    </row>
    <row r="634">
      <c r="F634" s="27"/>
      <c r="G634" s="27"/>
    </row>
    <row r="635">
      <c r="F635" s="27"/>
      <c r="G635" s="27"/>
    </row>
    <row r="636">
      <c r="F636" s="27"/>
      <c r="G636" s="27"/>
    </row>
    <row r="637">
      <c r="F637" s="27"/>
      <c r="G637" s="27"/>
    </row>
    <row r="638">
      <c r="F638" s="27"/>
      <c r="G638" s="27"/>
    </row>
    <row r="639">
      <c r="F639" s="27"/>
      <c r="G639" s="27"/>
    </row>
    <row r="640">
      <c r="F640" s="27"/>
      <c r="G640" s="27"/>
    </row>
    <row r="641">
      <c r="F641" s="27"/>
      <c r="G641" s="27"/>
    </row>
    <row r="642">
      <c r="F642" s="27"/>
      <c r="G642" s="27"/>
    </row>
    <row r="643">
      <c r="F643" s="27"/>
      <c r="G643" s="27"/>
    </row>
    <row r="644">
      <c r="F644" s="27"/>
      <c r="G644" s="27"/>
    </row>
    <row r="645">
      <c r="F645" s="27"/>
      <c r="G645" s="27"/>
    </row>
    <row r="646">
      <c r="F646" s="27"/>
      <c r="G646" s="27"/>
    </row>
    <row r="647">
      <c r="F647" s="27"/>
      <c r="G647" s="27"/>
    </row>
    <row r="648">
      <c r="F648" s="27"/>
      <c r="G648" s="27"/>
    </row>
    <row r="649">
      <c r="F649" s="27"/>
      <c r="G649" s="27"/>
    </row>
    <row r="650">
      <c r="F650" s="27"/>
      <c r="G650" s="27"/>
    </row>
    <row r="651">
      <c r="F651" s="27"/>
      <c r="G651" s="27"/>
    </row>
    <row r="652">
      <c r="F652" s="27"/>
      <c r="G652" s="27"/>
    </row>
    <row r="653">
      <c r="F653" s="27"/>
      <c r="G653" s="27"/>
    </row>
    <row r="654">
      <c r="F654" s="27"/>
      <c r="G654" s="27"/>
    </row>
    <row r="655">
      <c r="F655" s="27"/>
      <c r="G655" s="27"/>
    </row>
    <row r="656">
      <c r="F656" s="27"/>
      <c r="G656" s="27"/>
    </row>
    <row r="657">
      <c r="F657" s="27"/>
      <c r="G657" s="27"/>
    </row>
    <row r="658">
      <c r="F658" s="27"/>
      <c r="G658" s="27"/>
    </row>
    <row r="659">
      <c r="F659" s="27"/>
      <c r="G659" s="27"/>
    </row>
    <row r="660">
      <c r="F660" s="27"/>
      <c r="G660" s="27"/>
    </row>
    <row r="661">
      <c r="F661" s="27"/>
      <c r="G661" s="27"/>
    </row>
    <row r="662">
      <c r="F662" s="27"/>
      <c r="G662" s="27"/>
    </row>
    <row r="663">
      <c r="F663" s="27"/>
      <c r="G663" s="27"/>
    </row>
    <row r="664">
      <c r="F664" s="27"/>
      <c r="G664" s="27"/>
    </row>
    <row r="665">
      <c r="F665" s="27"/>
      <c r="G665" s="27"/>
    </row>
    <row r="666">
      <c r="F666" s="27"/>
      <c r="G666" s="27"/>
    </row>
    <row r="667">
      <c r="F667" s="27"/>
      <c r="G667" s="27"/>
    </row>
    <row r="668">
      <c r="F668" s="27"/>
      <c r="G668" s="27"/>
    </row>
    <row r="669">
      <c r="F669" s="27"/>
      <c r="G669" s="27"/>
    </row>
    <row r="670">
      <c r="F670" s="27"/>
      <c r="G670" s="27"/>
    </row>
    <row r="671">
      <c r="F671" s="27"/>
      <c r="G671" s="27"/>
    </row>
    <row r="672">
      <c r="F672" s="27"/>
      <c r="G672" s="27"/>
    </row>
    <row r="673">
      <c r="F673" s="27"/>
      <c r="G673" s="27"/>
    </row>
    <row r="674">
      <c r="F674" s="27"/>
      <c r="G674" s="27"/>
    </row>
    <row r="675">
      <c r="F675" s="27"/>
      <c r="G675" s="27"/>
    </row>
    <row r="676">
      <c r="F676" s="27"/>
      <c r="G676" s="27"/>
    </row>
    <row r="677">
      <c r="F677" s="27"/>
      <c r="G677" s="27"/>
    </row>
    <row r="678">
      <c r="F678" s="27"/>
      <c r="G678" s="27"/>
    </row>
    <row r="679">
      <c r="F679" s="27"/>
      <c r="G679" s="27"/>
    </row>
    <row r="680">
      <c r="F680" s="27"/>
      <c r="G680" s="27"/>
    </row>
    <row r="681">
      <c r="F681" s="27"/>
      <c r="G681" s="27"/>
    </row>
    <row r="682">
      <c r="F682" s="27"/>
      <c r="G682" s="27"/>
    </row>
    <row r="683">
      <c r="F683" s="27"/>
      <c r="G683" s="27"/>
    </row>
    <row r="684">
      <c r="F684" s="27"/>
      <c r="G684" s="27"/>
    </row>
    <row r="685">
      <c r="F685" s="27"/>
      <c r="G685" s="27"/>
    </row>
    <row r="686">
      <c r="F686" s="27"/>
      <c r="G686" s="27"/>
    </row>
    <row r="687">
      <c r="F687" s="27"/>
      <c r="G687" s="27"/>
    </row>
    <row r="688">
      <c r="F688" s="27"/>
      <c r="G688" s="27"/>
    </row>
    <row r="689">
      <c r="F689" s="27"/>
      <c r="G689" s="27"/>
    </row>
    <row r="690">
      <c r="F690" s="27"/>
      <c r="G690" s="27"/>
    </row>
    <row r="691">
      <c r="F691" s="27"/>
      <c r="G691" s="27"/>
    </row>
    <row r="692">
      <c r="F692" s="27"/>
      <c r="G692" s="27"/>
    </row>
    <row r="693">
      <c r="F693" s="27"/>
      <c r="G693" s="27"/>
    </row>
    <row r="694">
      <c r="F694" s="27"/>
      <c r="G694" s="27"/>
    </row>
    <row r="695">
      <c r="F695" s="27"/>
      <c r="G695" s="27"/>
    </row>
    <row r="696">
      <c r="F696" s="27"/>
      <c r="G696" s="27"/>
    </row>
    <row r="697">
      <c r="F697" s="27"/>
      <c r="G697" s="27"/>
    </row>
    <row r="698">
      <c r="F698" s="27"/>
      <c r="G698" s="27"/>
    </row>
    <row r="699">
      <c r="F699" s="27"/>
      <c r="G699" s="27"/>
    </row>
    <row r="700">
      <c r="F700" s="27"/>
      <c r="G700" s="27"/>
    </row>
    <row r="701">
      <c r="F701" s="27"/>
      <c r="G701" s="27"/>
    </row>
    <row r="702">
      <c r="F702" s="27"/>
      <c r="G702" s="27"/>
    </row>
    <row r="703">
      <c r="F703" s="27"/>
      <c r="G703" s="27"/>
    </row>
    <row r="704">
      <c r="F704" s="27"/>
      <c r="G704" s="27"/>
    </row>
    <row r="705">
      <c r="F705" s="27"/>
      <c r="G705" s="27"/>
    </row>
    <row r="706">
      <c r="F706" s="27"/>
      <c r="G706" s="27"/>
    </row>
    <row r="707">
      <c r="F707" s="27"/>
      <c r="G707" s="27"/>
    </row>
    <row r="708">
      <c r="F708" s="27"/>
      <c r="G708" s="27"/>
    </row>
    <row r="709">
      <c r="F709" s="27"/>
      <c r="G709" s="27"/>
    </row>
    <row r="710">
      <c r="F710" s="27"/>
      <c r="G710" s="27"/>
    </row>
    <row r="711">
      <c r="F711" s="27"/>
      <c r="G711" s="27"/>
    </row>
    <row r="712">
      <c r="F712" s="27"/>
      <c r="G712" s="27"/>
    </row>
    <row r="713">
      <c r="F713" s="27"/>
      <c r="G713" s="27"/>
    </row>
    <row r="714">
      <c r="F714" s="27"/>
      <c r="G714" s="27"/>
    </row>
    <row r="715">
      <c r="F715" s="27"/>
      <c r="G715" s="27"/>
    </row>
    <row r="716">
      <c r="F716" s="27"/>
      <c r="G716" s="27"/>
    </row>
    <row r="717">
      <c r="F717" s="27"/>
      <c r="G717" s="27"/>
    </row>
    <row r="718">
      <c r="F718" s="27"/>
      <c r="G718" s="27"/>
    </row>
    <row r="719">
      <c r="F719" s="27"/>
      <c r="G719" s="27"/>
    </row>
    <row r="720">
      <c r="F720" s="27"/>
      <c r="G720" s="27"/>
    </row>
    <row r="721">
      <c r="F721" s="27"/>
      <c r="G721" s="27"/>
    </row>
    <row r="722">
      <c r="F722" s="27"/>
      <c r="G722" s="27"/>
    </row>
    <row r="723">
      <c r="F723" s="27"/>
      <c r="G723" s="27"/>
    </row>
    <row r="724">
      <c r="F724" s="27"/>
      <c r="G724" s="27"/>
    </row>
    <row r="725">
      <c r="F725" s="27"/>
      <c r="G725" s="27"/>
    </row>
    <row r="726">
      <c r="F726" s="27"/>
      <c r="G726" s="27"/>
    </row>
    <row r="727">
      <c r="F727" s="27"/>
      <c r="G727" s="27"/>
    </row>
    <row r="728">
      <c r="F728" s="27"/>
      <c r="G728" s="27"/>
    </row>
    <row r="729">
      <c r="F729" s="27"/>
      <c r="G729" s="27"/>
    </row>
    <row r="730">
      <c r="F730" s="27"/>
      <c r="G730" s="27"/>
    </row>
    <row r="731">
      <c r="F731" s="27"/>
      <c r="G731" s="27"/>
    </row>
    <row r="732">
      <c r="F732" s="27"/>
      <c r="G732" s="27"/>
    </row>
    <row r="733">
      <c r="F733" s="27"/>
      <c r="G733" s="27"/>
    </row>
    <row r="734">
      <c r="F734" s="27"/>
      <c r="G734" s="27"/>
    </row>
    <row r="735">
      <c r="F735" s="27"/>
      <c r="G735" s="27"/>
    </row>
    <row r="736">
      <c r="F736" s="27"/>
      <c r="G736" s="27"/>
    </row>
    <row r="737">
      <c r="F737" s="27"/>
      <c r="G737" s="27"/>
    </row>
    <row r="738">
      <c r="F738" s="27"/>
      <c r="G738" s="27"/>
    </row>
    <row r="739">
      <c r="F739" s="27"/>
      <c r="G739" s="27"/>
    </row>
    <row r="740">
      <c r="F740" s="27"/>
      <c r="G740" s="27"/>
    </row>
    <row r="741">
      <c r="F741" s="27"/>
      <c r="G741" s="27"/>
    </row>
    <row r="742">
      <c r="F742" s="27"/>
      <c r="G742" s="27"/>
    </row>
    <row r="743">
      <c r="F743" s="27"/>
      <c r="G743" s="27"/>
    </row>
    <row r="744">
      <c r="F744" s="27"/>
      <c r="G744" s="27"/>
    </row>
    <row r="745">
      <c r="F745" s="27"/>
      <c r="G745" s="27"/>
    </row>
    <row r="746">
      <c r="F746" s="27"/>
      <c r="G746" s="27"/>
    </row>
    <row r="747">
      <c r="F747" s="27"/>
      <c r="G747" s="27"/>
    </row>
    <row r="748">
      <c r="F748" s="27"/>
      <c r="G748" s="27"/>
    </row>
    <row r="749">
      <c r="F749" s="27"/>
      <c r="G749" s="27"/>
    </row>
    <row r="750">
      <c r="F750" s="27"/>
      <c r="G750" s="27"/>
    </row>
    <row r="751">
      <c r="F751" s="27"/>
      <c r="G751" s="27"/>
    </row>
    <row r="752">
      <c r="F752" s="27"/>
      <c r="G752" s="27"/>
    </row>
    <row r="753">
      <c r="F753" s="27"/>
      <c r="G753" s="27"/>
    </row>
    <row r="754">
      <c r="F754" s="27"/>
      <c r="G754" s="27"/>
    </row>
    <row r="755">
      <c r="F755" s="27"/>
      <c r="G755" s="27"/>
    </row>
    <row r="756">
      <c r="F756" s="27"/>
      <c r="G756" s="27"/>
    </row>
    <row r="757">
      <c r="F757" s="27"/>
      <c r="G757" s="27"/>
    </row>
    <row r="758">
      <c r="F758" s="27"/>
      <c r="G758" s="27"/>
    </row>
    <row r="759">
      <c r="F759" s="27"/>
      <c r="G759" s="27"/>
    </row>
    <row r="760">
      <c r="F760" s="27"/>
      <c r="G760" s="27"/>
    </row>
    <row r="761">
      <c r="F761" s="27"/>
      <c r="G761" s="27"/>
    </row>
    <row r="762">
      <c r="F762" s="27"/>
      <c r="G762" s="27"/>
    </row>
    <row r="763">
      <c r="F763" s="27"/>
      <c r="G763" s="27"/>
    </row>
    <row r="764">
      <c r="F764" s="27"/>
      <c r="G764" s="27"/>
    </row>
    <row r="765">
      <c r="F765" s="27"/>
      <c r="G765" s="27"/>
    </row>
    <row r="766">
      <c r="F766" s="27"/>
      <c r="G766" s="27"/>
    </row>
    <row r="767">
      <c r="F767" s="27"/>
      <c r="G767" s="27"/>
    </row>
    <row r="768">
      <c r="F768" s="27"/>
      <c r="G768" s="27"/>
    </row>
    <row r="769">
      <c r="F769" s="27"/>
      <c r="G769" s="27"/>
    </row>
    <row r="770">
      <c r="F770" s="27"/>
      <c r="G770" s="27"/>
    </row>
    <row r="771">
      <c r="F771" s="27"/>
      <c r="G771" s="27"/>
    </row>
    <row r="772">
      <c r="F772" s="27"/>
      <c r="G772" s="27"/>
    </row>
    <row r="773">
      <c r="F773" s="27"/>
      <c r="G773" s="27"/>
    </row>
    <row r="774">
      <c r="F774" s="27"/>
      <c r="G774" s="27"/>
    </row>
    <row r="775">
      <c r="F775" s="27"/>
      <c r="G775" s="27"/>
    </row>
    <row r="776">
      <c r="F776" s="27"/>
      <c r="G776" s="27"/>
    </row>
    <row r="777">
      <c r="F777" s="27"/>
      <c r="G777" s="27"/>
    </row>
    <row r="778">
      <c r="F778" s="27"/>
      <c r="G778" s="27"/>
    </row>
    <row r="779">
      <c r="F779" s="27"/>
      <c r="G779" s="27"/>
    </row>
    <row r="780">
      <c r="F780" s="27"/>
      <c r="G780" s="27"/>
    </row>
    <row r="781">
      <c r="F781" s="27"/>
      <c r="G781" s="27"/>
    </row>
    <row r="782">
      <c r="F782" s="27"/>
      <c r="G782" s="27"/>
    </row>
    <row r="783">
      <c r="F783" s="27"/>
      <c r="G783" s="27"/>
    </row>
    <row r="784">
      <c r="F784" s="27"/>
      <c r="G784" s="27"/>
    </row>
    <row r="785">
      <c r="F785" s="27"/>
      <c r="G785" s="27"/>
    </row>
    <row r="786">
      <c r="F786" s="27"/>
      <c r="G786" s="27"/>
    </row>
    <row r="787">
      <c r="F787" s="27"/>
      <c r="G787" s="27"/>
    </row>
    <row r="788">
      <c r="F788" s="27"/>
      <c r="G788" s="27"/>
    </row>
    <row r="789">
      <c r="F789" s="27"/>
      <c r="G789" s="27"/>
    </row>
    <row r="790">
      <c r="F790" s="27"/>
      <c r="G790" s="27"/>
    </row>
    <row r="791">
      <c r="F791" s="27"/>
      <c r="G791" s="27"/>
    </row>
    <row r="792">
      <c r="F792" s="27"/>
      <c r="G792" s="27"/>
    </row>
    <row r="793">
      <c r="F793" s="27"/>
      <c r="G793" s="27"/>
    </row>
    <row r="794">
      <c r="F794" s="27"/>
      <c r="G794" s="27"/>
    </row>
    <row r="795">
      <c r="F795" s="27"/>
      <c r="G795" s="27"/>
    </row>
    <row r="796">
      <c r="F796" s="27"/>
      <c r="G796" s="27"/>
    </row>
    <row r="797">
      <c r="F797" s="27"/>
      <c r="G797" s="27"/>
    </row>
    <row r="798">
      <c r="F798" s="27"/>
      <c r="G798" s="27"/>
    </row>
    <row r="799">
      <c r="F799" s="27"/>
      <c r="G799" s="27"/>
    </row>
    <row r="800">
      <c r="F800" s="27"/>
      <c r="G800" s="27"/>
    </row>
    <row r="801">
      <c r="F801" s="27"/>
      <c r="G801" s="27"/>
    </row>
    <row r="802">
      <c r="F802" s="27"/>
      <c r="G802" s="27"/>
    </row>
    <row r="803">
      <c r="F803" s="27"/>
      <c r="G803" s="27"/>
    </row>
    <row r="804">
      <c r="F804" s="27"/>
      <c r="G804" s="27"/>
    </row>
    <row r="805">
      <c r="F805" s="27"/>
      <c r="G805" s="27"/>
    </row>
    <row r="806">
      <c r="F806" s="27"/>
      <c r="G806" s="27"/>
    </row>
    <row r="807">
      <c r="F807" s="27"/>
      <c r="G807" s="27"/>
    </row>
    <row r="808">
      <c r="F808" s="27"/>
      <c r="G808" s="27"/>
    </row>
    <row r="809">
      <c r="F809" s="27"/>
      <c r="G809" s="27"/>
    </row>
    <row r="810">
      <c r="F810" s="27"/>
      <c r="G810" s="27"/>
    </row>
    <row r="811">
      <c r="F811" s="27"/>
      <c r="G811" s="27"/>
    </row>
    <row r="812">
      <c r="F812" s="27"/>
      <c r="G812" s="27"/>
    </row>
    <row r="813">
      <c r="F813" s="27"/>
      <c r="G813" s="27"/>
    </row>
    <row r="814">
      <c r="F814" s="27"/>
      <c r="G814" s="27"/>
    </row>
    <row r="815">
      <c r="F815" s="27"/>
      <c r="G815" s="27"/>
    </row>
    <row r="816">
      <c r="F816" s="27"/>
      <c r="G816" s="27"/>
    </row>
    <row r="817">
      <c r="F817" s="27"/>
      <c r="G817" s="27"/>
    </row>
    <row r="818">
      <c r="F818" s="27"/>
      <c r="G818" s="27"/>
    </row>
    <row r="819">
      <c r="F819" s="27"/>
      <c r="G819" s="27"/>
    </row>
    <row r="820">
      <c r="F820" s="27"/>
      <c r="G820" s="27"/>
    </row>
    <row r="821">
      <c r="F821" s="27"/>
      <c r="G821" s="27"/>
    </row>
    <row r="822">
      <c r="F822" s="27"/>
      <c r="G822" s="27"/>
    </row>
    <row r="823">
      <c r="F823" s="27"/>
      <c r="G823" s="27"/>
    </row>
    <row r="824">
      <c r="F824" s="27"/>
      <c r="G824" s="27"/>
    </row>
    <row r="825">
      <c r="F825" s="27"/>
      <c r="G825" s="27"/>
    </row>
    <row r="826">
      <c r="F826" s="27"/>
      <c r="G826" s="27"/>
    </row>
    <row r="827">
      <c r="F827" s="27"/>
      <c r="G827" s="27"/>
    </row>
    <row r="828">
      <c r="F828" s="27"/>
      <c r="G828" s="27"/>
    </row>
    <row r="829">
      <c r="F829" s="27"/>
      <c r="G829" s="27"/>
    </row>
    <row r="830">
      <c r="F830" s="27"/>
      <c r="G830" s="27"/>
    </row>
    <row r="831">
      <c r="F831" s="27"/>
      <c r="G831" s="27"/>
    </row>
    <row r="832">
      <c r="F832" s="27"/>
      <c r="G832" s="27"/>
    </row>
    <row r="833">
      <c r="F833" s="27"/>
      <c r="G833" s="27"/>
    </row>
    <row r="834">
      <c r="F834" s="27"/>
      <c r="G834" s="27"/>
    </row>
    <row r="835">
      <c r="F835" s="27"/>
      <c r="G835" s="27"/>
    </row>
    <row r="836">
      <c r="F836" s="27"/>
      <c r="G836" s="27"/>
    </row>
    <row r="837">
      <c r="F837" s="27"/>
      <c r="G837" s="27"/>
    </row>
    <row r="838">
      <c r="F838" s="27"/>
      <c r="G838" s="27"/>
    </row>
    <row r="839">
      <c r="F839" s="27"/>
      <c r="G839" s="27"/>
    </row>
    <row r="840">
      <c r="F840" s="27"/>
      <c r="G840" s="27"/>
    </row>
    <row r="841">
      <c r="F841" s="27"/>
      <c r="G841" s="27"/>
    </row>
    <row r="842">
      <c r="F842" s="27"/>
      <c r="G842" s="27"/>
    </row>
    <row r="843">
      <c r="F843" s="27"/>
      <c r="G843" s="27"/>
    </row>
    <row r="844">
      <c r="F844" s="27"/>
      <c r="G844" s="27"/>
    </row>
    <row r="845">
      <c r="F845" s="27"/>
      <c r="G845" s="27"/>
    </row>
    <row r="846">
      <c r="F846" s="27"/>
      <c r="G846" s="27"/>
    </row>
    <row r="847">
      <c r="F847" s="27"/>
      <c r="G847" s="27"/>
    </row>
    <row r="848">
      <c r="F848" s="27"/>
      <c r="G848" s="27"/>
    </row>
    <row r="849">
      <c r="F849" s="27"/>
      <c r="G849" s="27"/>
    </row>
    <row r="850">
      <c r="F850" s="27"/>
      <c r="G850" s="27"/>
    </row>
    <row r="851">
      <c r="F851" s="27"/>
      <c r="G851" s="27"/>
    </row>
    <row r="852">
      <c r="F852" s="27"/>
      <c r="G852" s="27"/>
    </row>
    <row r="853">
      <c r="F853" s="27"/>
      <c r="G853" s="27"/>
    </row>
    <row r="854">
      <c r="F854" s="27"/>
      <c r="G854" s="27"/>
    </row>
    <row r="855">
      <c r="F855" s="27"/>
      <c r="G855" s="27"/>
    </row>
    <row r="856">
      <c r="F856" s="27"/>
      <c r="G856" s="27"/>
    </row>
    <row r="857">
      <c r="F857" s="27"/>
      <c r="G857" s="27"/>
    </row>
    <row r="858">
      <c r="F858" s="27"/>
      <c r="G858" s="27"/>
    </row>
    <row r="859">
      <c r="F859" s="27"/>
      <c r="G859" s="27"/>
    </row>
    <row r="860">
      <c r="F860" s="27"/>
      <c r="G860" s="27"/>
    </row>
    <row r="861">
      <c r="F861" s="27"/>
      <c r="G861" s="27"/>
    </row>
    <row r="862">
      <c r="F862" s="27"/>
      <c r="G862" s="27"/>
    </row>
    <row r="863">
      <c r="F863" s="27"/>
      <c r="G863" s="27"/>
    </row>
    <row r="864">
      <c r="F864" s="27"/>
      <c r="G864" s="27"/>
    </row>
    <row r="865">
      <c r="F865" s="27"/>
      <c r="G865" s="27"/>
    </row>
    <row r="866">
      <c r="F866" s="27"/>
      <c r="G866" s="27"/>
    </row>
    <row r="867">
      <c r="F867" s="27"/>
      <c r="G867" s="27"/>
    </row>
    <row r="868">
      <c r="F868" s="27"/>
      <c r="G868" s="27"/>
    </row>
    <row r="869">
      <c r="F869" s="27"/>
      <c r="G869" s="27"/>
    </row>
    <row r="870">
      <c r="F870" s="27"/>
      <c r="G870" s="27"/>
    </row>
    <row r="871">
      <c r="F871" s="27"/>
      <c r="G871" s="27"/>
    </row>
    <row r="872">
      <c r="F872" s="27"/>
      <c r="G872" s="27"/>
    </row>
    <row r="873">
      <c r="F873" s="27"/>
      <c r="G873" s="27"/>
    </row>
    <row r="874">
      <c r="F874" s="27"/>
      <c r="G874" s="27"/>
    </row>
    <row r="875">
      <c r="F875" s="27"/>
      <c r="G875" s="27"/>
    </row>
    <row r="876">
      <c r="F876" s="27"/>
      <c r="G876" s="27"/>
    </row>
    <row r="877">
      <c r="F877" s="27"/>
      <c r="G877" s="27"/>
    </row>
    <row r="878">
      <c r="F878" s="27"/>
      <c r="G878" s="27"/>
    </row>
    <row r="879">
      <c r="F879" s="27"/>
      <c r="G879" s="27"/>
    </row>
    <row r="880">
      <c r="F880" s="27"/>
      <c r="G880" s="27"/>
    </row>
    <row r="881">
      <c r="F881" s="27"/>
      <c r="G881" s="27"/>
    </row>
    <row r="882">
      <c r="F882" s="27"/>
      <c r="G882" s="27"/>
    </row>
    <row r="883">
      <c r="F883" s="27"/>
      <c r="G883" s="27"/>
    </row>
    <row r="884">
      <c r="F884" s="27"/>
      <c r="G884" s="27"/>
    </row>
    <row r="885">
      <c r="F885" s="27"/>
      <c r="G885" s="27"/>
    </row>
    <row r="886">
      <c r="F886" s="27"/>
      <c r="G886" s="27"/>
    </row>
    <row r="887">
      <c r="F887" s="27"/>
      <c r="G887" s="27"/>
    </row>
    <row r="888">
      <c r="F888" s="27"/>
      <c r="G888" s="27"/>
    </row>
    <row r="889">
      <c r="F889" s="27"/>
      <c r="G889" s="27"/>
    </row>
    <row r="890">
      <c r="F890" s="27"/>
      <c r="G890" s="27"/>
    </row>
    <row r="891">
      <c r="F891" s="27"/>
      <c r="G891" s="27"/>
    </row>
    <row r="892">
      <c r="F892" s="27"/>
      <c r="G892" s="27"/>
    </row>
    <row r="893">
      <c r="F893" s="27"/>
      <c r="G893" s="27"/>
    </row>
    <row r="894">
      <c r="F894" s="27"/>
      <c r="G894" s="27"/>
    </row>
    <row r="895">
      <c r="F895" s="27"/>
      <c r="G895" s="27"/>
    </row>
    <row r="896">
      <c r="F896" s="27"/>
      <c r="G896" s="27"/>
    </row>
    <row r="897">
      <c r="F897" s="27"/>
      <c r="G897" s="27"/>
    </row>
    <row r="898">
      <c r="F898" s="27"/>
      <c r="G898" s="27"/>
    </row>
    <row r="899">
      <c r="F899" s="27"/>
      <c r="G899" s="27"/>
    </row>
    <row r="900">
      <c r="F900" s="27"/>
      <c r="G900" s="27"/>
    </row>
    <row r="901">
      <c r="F901" s="27"/>
      <c r="G901" s="27"/>
    </row>
    <row r="902">
      <c r="F902" s="27"/>
      <c r="G902" s="27"/>
    </row>
    <row r="903">
      <c r="F903" s="27"/>
      <c r="G903" s="27"/>
    </row>
    <row r="904">
      <c r="F904" s="27"/>
      <c r="G904" s="27"/>
    </row>
    <row r="905">
      <c r="F905" s="27"/>
      <c r="G905" s="27"/>
    </row>
    <row r="906">
      <c r="F906" s="27"/>
      <c r="G906" s="27"/>
    </row>
    <row r="907">
      <c r="F907" s="27"/>
      <c r="G907" s="27"/>
    </row>
    <row r="908">
      <c r="F908" s="27"/>
      <c r="G908" s="27"/>
    </row>
    <row r="909">
      <c r="F909" s="27"/>
      <c r="G909" s="27"/>
    </row>
    <row r="910">
      <c r="F910" s="27"/>
      <c r="G910" s="27"/>
    </row>
    <row r="911">
      <c r="F911" s="27"/>
      <c r="G911" s="27"/>
    </row>
    <row r="912">
      <c r="F912" s="27"/>
      <c r="G912" s="27"/>
    </row>
    <row r="913">
      <c r="F913" s="27"/>
      <c r="G913" s="27"/>
    </row>
    <row r="914">
      <c r="F914" s="27"/>
      <c r="G914" s="27"/>
    </row>
    <row r="915">
      <c r="F915" s="27"/>
      <c r="G915" s="27"/>
    </row>
    <row r="916">
      <c r="F916" s="27"/>
      <c r="G916" s="27"/>
    </row>
    <row r="917">
      <c r="F917" s="27"/>
      <c r="G917" s="27"/>
    </row>
    <row r="918">
      <c r="F918" s="27"/>
      <c r="G918" s="27"/>
    </row>
    <row r="919">
      <c r="F919" s="27"/>
      <c r="G919" s="27"/>
    </row>
    <row r="920">
      <c r="F920" s="27"/>
      <c r="G920" s="27"/>
    </row>
    <row r="921">
      <c r="F921" s="27"/>
      <c r="G921" s="27"/>
    </row>
    <row r="922">
      <c r="F922" s="27"/>
      <c r="G922" s="27"/>
    </row>
    <row r="923">
      <c r="F923" s="27"/>
      <c r="G923" s="27"/>
    </row>
    <row r="924">
      <c r="F924" s="27"/>
      <c r="G924" s="27"/>
    </row>
    <row r="925">
      <c r="F925" s="27"/>
      <c r="G925" s="27"/>
    </row>
    <row r="926">
      <c r="F926" s="27"/>
      <c r="G926" s="27"/>
    </row>
    <row r="927">
      <c r="F927" s="27"/>
      <c r="G927" s="27"/>
    </row>
    <row r="928">
      <c r="F928" s="27"/>
      <c r="G928" s="27"/>
    </row>
    <row r="929">
      <c r="F929" s="27"/>
      <c r="G929" s="27"/>
    </row>
    <row r="930">
      <c r="F930" s="27"/>
      <c r="G930" s="27"/>
    </row>
    <row r="931">
      <c r="F931" s="27"/>
      <c r="G931" s="27"/>
    </row>
    <row r="932">
      <c r="F932" s="27"/>
      <c r="G932" s="27"/>
    </row>
    <row r="933">
      <c r="F933" s="27"/>
      <c r="G933" s="27"/>
    </row>
    <row r="934">
      <c r="F934" s="27"/>
      <c r="G934" s="27"/>
    </row>
    <row r="935">
      <c r="F935" s="27"/>
      <c r="G935" s="27"/>
    </row>
    <row r="936">
      <c r="F936" s="27"/>
      <c r="G936" s="27"/>
    </row>
    <row r="937">
      <c r="F937" s="27"/>
      <c r="G937" s="27"/>
    </row>
    <row r="938">
      <c r="F938" s="27"/>
      <c r="G938" s="27"/>
    </row>
    <row r="939">
      <c r="F939" s="27"/>
      <c r="G939" s="27"/>
    </row>
    <row r="940">
      <c r="F940" s="27"/>
      <c r="G940" s="27"/>
    </row>
    <row r="941">
      <c r="F941" s="27"/>
      <c r="G941" s="27"/>
    </row>
    <row r="942">
      <c r="F942" s="27"/>
      <c r="G942" s="27"/>
    </row>
    <row r="943">
      <c r="F943" s="27"/>
      <c r="G943" s="27"/>
    </row>
    <row r="944">
      <c r="F944" s="27"/>
      <c r="G944" s="27"/>
    </row>
    <row r="945">
      <c r="F945" s="27"/>
      <c r="G945" s="27"/>
    </row>
    <row r="946">
      <c r="F946" s="27"/>
      <c r="G946" s="27"/>
    </row>
    <row r="947">
      <c r="F947" s="27"/>
      <c r="G947" s="27"/>
    </row>
    <row r="948">
      <c r="F948" s="27"/>
      <c r="G948" s="27"/>
    </row>
    <row r="949">
      <c r="F949" s="27"/>
      <c r="G949" s="27"/>
    </row>
    <row r="950">
      <c r="F950" s="27"/>
      <c r="G950" s="27"/>
    </row>
    <row r="951">
      <c r="F951" s="27"/>
      <c r="G951" s="27"/>
    </row>
    <row r="952">
      <c r="F952" s="27"/>
      <c r="G952" s="27"/>
    </row>
    <row r="953">
      <c r="F953" s="27"/>
      <c r="G953" s="27"/>
    </row>
    <row r="954">
      <c r="F954" s="27"/>
      <c r="G954" s="27"/>
    </row>
    <row r="955">
      <c r="F955" s="27"/>
      <c r="G955" s="27"/>
    </row>
    <row r="956">
      <c r="F956" s="27"/>
      <c r="G956" s="27"/>
    </row>
    <row r="957">
      <c r="F957" s="27"/>
      <c r="G957" s="27"/>
    </row>
    <row r="958">
      <c r="F958" s="27"/>
      <c r="G958" s="27"/>
    </row>
    <row r="959">
      <c r="F959" s="27"/>
      <c r="G959" s="27"/>
    </row>
    <row r="960">
      <c r="F960" s="27"/>
      <c r="G960" s="27"/>
    </row>
    <row r="961">
      <c r="F961" s="27"/>
      <c r="G961" s="27"/>
    </row>
    <row r="962">
      <c r="F962" s="27"/>
      <c r="G962" s="27"/>
    </row>
    <row r="963">
      <c r="F963" s="27"/>
      <c r="G963" s="27"/>
    </row>
    <row r="964">
      <c r="F964" s="27"/>
      <c r="G964" s="27"/>
    </row>
    <row r="965">
      <c r="F965" s="27"/>
      <c r="G965" s="27"/>
    </row>
    <row r="966">
      <c r="F966" s="27"/>
      <c r="G966" s="27"/>
    </row>
    <row r="967">
      <c r="F967" s="27"/>
      <c r="G967" s="27"/>
    </row>
    <row r="968">
      <c r="F968" s="27"/>
      <c r="G968" s="27"/>
    </row>
    <row r="969">
      <c r="F969" s="27"/>
      <c r="G969" s="27"/>
    </row>
    <row r="970">
      <c r="F970" s="27"/>
      <c r="G970" s="27"/>
    </row>
    <row r="971">
      <c r="F971" s="27"/>
      <c r="G971" s="27"/>
    </row>
    <row r="972">
      <c r="F972" s="27"/>
      <c r="G972" s="27"/>
    </row>
    <row r="973">
      <c r="F973" s="27"/>
      <c r="G973" s="27"/>
    </row>
    <row r="974">
      <c r="F974" s="27"/>
      <c r="G974" s="27"/>
    </row>
    <row r="975">
      <c r="F975" s="27"/>
      <c r="G975" s="27"/>
    </row>
    <row r="976">
      <c r="F976" s="27"/>
      <c r="G976" s="27"/>
    </row>
    <row r="977">
      <c r="F977" s="27"/>
      <c r="G977" s="27"/>
    </row>
    <row r="978">
      <c r="F978" s="27"/>
      <c r="G978" s="27"/>
    </row>
    <row r="979">
      <c r="F979" s="27"/>
      <c r="G979" s="27"/>
    </row>
    <row r="980">
      <c r="F980" s="27"/>
      <c r="G980" s="27"/>
    </row>
    <row r="981">
      <c r="F981" s="27"/>
      <c r="G981" s="27"/>
    </row>
    <row r="982">
      <c r="F982" s="27"/>
      <c r="G982" s="27"/>
    </row>
    <row r="983">
      <c r="F983" s="27"/>
      <c r="G983" s="27"/>
    </row>
    <row r="984">
      <c r="F984" s="27"/>
      <c r="G984" s="27"/>
    </row>
    <row r="985">
      <c r="F985" s="27"/>
      <c r="G985" s="27"/>
    </row>
    <row r="986">
      <c r="F986" s="27"/>
      <c r="G986" s="27"/>
    </row>
    <row r="987">
      <c r="F987" s="27"/>
      <c r="G987" s="27"/>
    </row>
    <row r="988">
      <c r="F988" s="27"/>
      <c r="G988" s="27"/>
    </row>
    <row r="989">
      <c r="F989" s="27"/>
      <c r="G989" s="27"/>
    </row>
    <row r="990">
      <c r="F990" s="27"/>
      <c r="G990" s="27"/>
    </row>
    <row r="991">
      <c r="F991" s="27"/>
      <c r="G991" s="27"/>
    </row>
    <row r="992">
      <c r="F992" s="27"/>
      <c r="G992" s="27"/>
    </row>
    <row r="993">
      <c r="F993" s="27"/>
      <c r="G993" s="27"/>
    </row>
    <row r="994">
      <c r="F994" s="27"/>
      <c r="G994" s="27"/>
    </row>
    <row r="995">
      <c r="F995" s="27"/>
      <c r="G995" s="27"/>
    </row>
    <row r="996">
      <c r="F996" s="27"/>
      <c r="G996" s="27"/>
    </row>
    <row r="997">
      <c r="F997" s="27"/>
      <c r="G997" s="27"/>
    </row>
    <row r="998">
      <c r="F998" s="27"/>
      <c r="G998" s="27"/>
    </row>
    <row r="999">
      <c r="F999" s="27"/>
      <c r="G999" s="27"/>
    </row>
    <row r="1000">
      <c r="F1000" s="27"/>
      <c r="G1000" s="27"/>
    </row>
    <row r="1001">
      <c r="F1001" s="27"/>
      <c r="G1001" s="27"/>
    </row>
    <row r="1002">
      <c r="F1002" s="27"/>
      <c r="G1002" s="27"/>
    </row>
  </sheetData>
  <conditionalFormatting sqref="D44:E44 D53:E53">
    <cfRule type="cellIs" dxfId="0" priority="1" operator="lessThan">
      <formula>0</formula>
    </cfRule>
  </conditionalFormatting>
  <conditionalFormatting sqref="D53:E53">
    <cfRule type="cellIs" dxfId="0" priority="2" operator="lessThan">
      <formula>0</formula>
    </cfRule>
  </conditionalFormatting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9.38"/>
    <col customWidth="1" min="5" max="5" width="14.0"/>
    <col customWidth="1" min="6" max="7" width="20.63"/>
    <col customWidth="1" min="8" max="8" width="11.25"/>
    <col customWidth="1" min="9" max="9" width="9.25"/>
    <col customWidth="1" min="10" max="11" width="9.5"/>
    <col customWidth="1" min="14" max="14" width="9.88"/>
    <col customWidth="1" min="15" max="15" width="8.13"/>
  </cols>
  <sheetData>
    <row r="1">
      <c r="A1" s="18" t="s">
        <v>346</v>
      </c>
      <c r="B1" s="416" t="s">
        <v>296</v>
      </c>
      <c r="F1" s="107"/>
      <c r="G1" s="417" t="s">
        <v>325</v>
      </c>
      <c r="H1" s="107"/>
    </row>
    <row r="2">
      <c r="B2" s="18" t="s">
        <v>240</v>
      </c>
      <c r="C2" s="249">
        <v>13.0</v>
      </c>
      <c r="F2" s="27"/>
      <c r="G2" s="302" t="s">
        <v>119</v>
      </c>
      <c r="H2" s="302" t="s">
        <v>120</v>
      </c>
    </row>
    <row r="3">
      <c r="B3" s="18" t="s">
        <v>241</v>
      </c>
      <c r="C3" s="249">
        <f>62.92</f>
        <v>62.92</v>
      </c>
      <c r="F3" s="107"/>
      <c r="G3" s="7" t="s">
        <v>326</v>
      </c>
      <c r="H3" s="7" t="s">
        <v>327</v>
      </c>
    </row>
    <row r="4">
      <c r="B4" s="18" t="s">
        <v>242</v>
      </c>
      <c r="C4" s="249">
        <v>13.0</v>
      </c>
      <c r="D4" s="249"/>
      <c r="F4" s="26"/>
      <c r="G4" s="7" t="s">
        <v>328</v>
      </c>
      <c r="H4" s="7" t="s">
        <v>329</v>
      </c>
      <c r="I4" s="107"/>
    </row>
    <row r="5">
      <c r="B5" s="18" t="s">
        <v>285</v>
      </c>
      <c r="C5" s="249">
        <v>42.0</v>
      </c>
      <c r="D5" s="249"/>
      <c r="F5" s="107"/>
      <c r="G5" s="7"/>
      <c r="H5" s="7" t="s">
        <v>192</v>
      </c>
      <c r="I5" s="107"/>
    </row>
    <row r="6">
      <c r="B6" s="18" t="s">
        <v>324</v>
      </c>
      <c r="C6" s="249">
        <v>6.0</v>
      </c>
      <c r="F6" s="107"/>
      <c r="I6" s="107"/>
    </row>
    <row r="7">
      <c r="C7" s="276">
        <f>SUM(C2:C6)</f>
        <v>136.92</v>
      </c>
      <c r="F7" s="107"/>
      <c r="I7" s="107"/>
    </row>
    <row r="8">
      <c r="I8" s="107"/>
    </row>
    <row r="9">
      <c r="I9" s="27"/>
    </row>
    <row r="10">
      <c r="E10" s="18" t="s">
        <v>366</v>
      </c>
      <c r="I10" s="107"/>
    </row>
    <row r="11">
      <c r="B11" s="55" t="s">
        <v>122</v>
      </c>
      <c r="C11" s="56"/>
      <c r="D11" s="140" t="s">
        <v>123</v>
      </c>
      <c r="E11" s="140" t="s">
        <v>124</v>
      </c>
      <c r="I11" s="107"/>
      <c r="K11" s="18"/>
    </row>
    <row r="12">
      <c r="B12" s="59" t="s">
        <v>129</v>
      </c>
      <c r="C12" s="141"/>
      <c r="D12" s="113">
        <v>8402.26</v>
      </c>
      <c r="E12" s="113">
        <v>8473.39</v>
      </c>
      <c r="I12" s="107"/>
      <c r="K12" s="18"/>
    </row>
    <row r="13">
      <c r="B13" s="59" t="s">
        <v>136</v>
      </c>
      <c r="C13" s="141"/>
      <c r="D13" s="114">
        <f>2160+3349.61</f>
        <v>5509.61</v>
      </c>
      <c r="E13" s="114">
        <f>2160+3570.51</f>
        <v>5730.51</v>
      </c>
      <c r="F13" s="407"/>
      <c r="G13" s="303"/>
      <c r="H13" s="107"/>
      <c r="I13" s="27"/>
      <c r="K13" s="18"/>
    </row>
    <row r="14">
      <c r="B14" s="59" t="s">
        <v>137</v>
      </c>
      <c r="C14" s="141"/>
      <c r="D14" s="115"/>
      <c r="E14" s="114"/>
      <c r="F14" s="363"/>
      <c r="G14" s="363"/>
      <c r="H14" s="107"/>
      <c r="I14" s="107"/>
      <c r="K14" s="18"/>
    </row>
    <row r="15">
      <c r="B15" s="59" t="s">
        <v>138</v>
      </c>
      <c r="C15" s="141"/>
      <c r="D15" s="116"/>
      <c r="E15" s="117"/>
      <c r="F15" s="32"/>
      <c r="G15" s="32"/>
      <c r="H15" s="107"/>
      <c r="I15" s="107"/>
      <c r="K15" s="18"/>
    </row>
    <row r="16">
      <c r="B16" s="142" t="s">
        <v>139</v>
      </c>
      <c r="C16" s="143"/>
      <c r="D16" s="144">
        <f t="shared" ref="D16:E16" si="1">SUM(D12:D15)</f>
        <v>13911.87</v>
      </c>
      <c r="E16" s="144">
        <f t="shared" si="1"/>
        <v>14203.9</v>
      </c>
      <c r="F16" s="248"/>
      <c r="G16" s="248"/>
      <c r="J16" s="27"/>
      <c r="K16" s="18"/>
      <c r="M16" s="107"/>
    </row>
    <row r="17">
      <c r="C17" s="27"/>
      <c r="F17" s="32"/>
      <c r="G17" s="32"/>
      <c r="H17" s="107"/>
      <c r="K17" s="18"/>
      <c r="M17" s="27"/>
    </row>
    <row r="18">
      <c r="B18" s="70" t="s">
        <v>140</v>
      </c>
      <c r="C18" s="71"/>
      <c r="D18" s="58" t="s">
        <v>123</v>
      </c>
      <c r="E18" s="58" t="s">
        <v>124</v>
      </c>
      <c r="F18" s="107"/>
      <c r="G18" s="418" t="s">
        <v>331</v>
      </c>
      <c r="H18" s="192"/>
      <c r="K18" s="18"/>
    </row>
    <row r="19">
      <c r="B19" s="145" t="s">
        <v>141</v>
      </c>
      <c r="C19" s="146"/>
      <c r="D19" s="147">
        <v>410.0</v>
      </c>
      <c r="E19" s="147">
        <v>450.0</v>
      </c>
      <c r="F19" s="107"/>
      <c r="G19" s="192"/>
      <c r="H19" s="26" t="s">
        <v>27</v>
      </c>
      <c r="I19" s="26" t="s">
        <v>274</v>
      </c>
      <c r="J19" s="26" t="s">
        <v>351</v>
      </c>
      <c r="K19" s="26" t="s">
        <v>333</v>
      </c>
      <c r="L19" s="376" t="s">
        <v>368</v>
      </c>
      <c r="M19" s="26" t="s">
        <v>48</v>
      </c>
      <c r="N19" s="26" t="s">
        <v>383</v>
      </c>
      <c r="O19" s="26" t="s">
        <v>380</v>
      </c>
    </row>
    <row r="20">
      <c r="B20" s="145" t="s">
        <v>142</v>
      </c>
      <c r="C20" s="146"/>
      <c r="D20" s="147">
        <v>220.0</v>
      </c>
      <c r="E20" s="147">
        <v>220.0</v>
      </c>
      <c r="F20" s="192"/>
      <c r="G20" s="145" t="s">
        <v>141</v>
      </c>
      <c r="I20" s="404"/>
      <c r="J20" s="147">
        <v>450.0</v>
      </c>
      <c r="K20" s="404"/>
      <c r="L20" s="404"/>
      <c r="M20" s="404"/>
      <c r="N20" s="404"/>
      <c r="O20" s="404"/>
    </row>
    <row r="21">
      <c r="B21" s="145" t="s">
        <v>143</v>
      </c>
      <c r="C21" s="146"/>
      <c r="D21" s="149">
        <v>139.9</v>
      </c>
      <c r="E21" s="149">
        <v>147.9</v>
      </c>
      <c r="F21" s="409"/>
      <c r="G21" s="145" t="s">
        <v>142</v>
      </c>
      <c r="I21" s="404"/>
      <c r="J21" s="378">
        <v>220.0</v>
      </c>
      <c r="K21" s="404"/>
      <c r="L21" s="404"/>
      <c r="M21" s="404"/>
      <c r="N21" s="404"/>
      <c r="O21" s="404"/>
    </row>
    <row r="22">
      <c r="B22" s="145" t="s">
        <v>144</v>
      </c>
      <c r="C22" s="146"/>
      <c r="D22" s="147">
        <v>100.0</v>
      </c>
      <c r="E22" s="147">
        <v>100.0</v>
      </c>
      <c r="F22" s="409"/>
      <c r="G22" s="145" t="s">
        <v>143</v>
      </c>
      <c r="I22" s="404"/>
      <c r="J22" s="396">
        <v>147.9</v>
      </c>
      <c r="K22" s="404"/>
      <c r="L22" s="404"/>
      <c r="M22" s="404"/>
      <c r="N22" s="404"/>
      <c r="O22" s="404"/>
    </row>
    <row r="23">
      <c r="B23" s="145" t="s">
        <v>145</v>
      </c>
      <c r="C23" s="146"/>
      <c r="D23" s="147">
        <v>3004.8</v>
      </c>
      <c r="E23" s="147">
        <v>3004.8</v>
      </c>
      <c r="F23" s="409"/>
      <c r="G23" s="145" t="s">
        <v>144</v>
      </c>
      <c r="I23" s="404"/>
      <c r="J23" s="147">
        <v>100.0</v>
      </c>
      <c r="K23" s="404"/>
      <c r="L23" s="404"/>
      <c r="M23" s="404"/>
      <c r="N23" s="404"/>
      <c r="O23" s="404"/>
    </row>
    <row r="24">
      <c r="B24" s="145" t="s">
        <v>146</v>
      </c>
      <c r="C24" s="150" t="s">
        <v>136</v>
      </c>
      <c r="D24" s="147">
        <v>50.0</v>
      </c>
      <c r="E24" s="147">
        <v>0.0</v>
      </c>
      <c r="F24" s="409"/>
      <c r="G24" s="145" t="s">
        <v>145</v>
      </c>
      <c r="H24" s="147">
        <v>3004.8</v>
      </c>
      <c r="I24" s="374"/>
      <c r="K24" s="404"/>
      <c r="L24" s="404"/>
      <c r="M24" s="404"/>
      <c r="N24" s="404"/>
      <c r="O24" s="404"/>
    </row>
    <row r="25">
      <c r="B25" s="145" t="s">
        <v>180</v>
      </c>
      <c r="C25" s="146"/>
      <c r="D25" s="147">
        <v>400.0</v>
      </c>
      <c r="E25" s="147">
        <v>400.0</v>
      </c>
      <c r="F25" s="409"/>
      <c r="G25" s="145" t="s">
        <v>146</v>
      </c>
      <c r="H25" s="147">
        <v>0.0</v>
      </c>
      <c r="I25" s="378"/>
      <c r="J25" s="404"/>
      <c r="K25" s="404"/>
      <c r="L25" s="404"/>
      <c r="M25" s="404"/>
      <c r="N25" s="404"/>
      <c r="O25" s="404"/>
    </row>
    <row r="26">
      <c r="B26" s="145" t="s">
        <v>148</v>
      </c>
      <c r="C26" s="146"/>
      <c r="D26" s="147">
        <v>600.0</v>
      </c>
      <c r="E26" s="147">
        <v>600.0</v>
      </c>
      <c r="F26" s="409"/>
      <c r="G26" s="145" t="s">
        <v>180</v>
      </c>
      <c r="I26" s="374"/>
      <c r="J26" s="404"/>
      <c r="K26" s="404"/>
      <c r="L26" s="404"/>
      <c r="M26" s="404"/>
      <c r="N26" s="404"/>
      <c r="O26" s="147">
        <v>400.0</v>
      </c>
    </row>
    <row r="27">
      <c r="B27" s="145" t="s">
        <v>149</v>
      </c>
      <c r="C27" s="146"/>
      <c r="D27" s="147">
        <v>500.0</v>
      </c>
      <c r="E27" s="147">
        <v>500.0</v>
      </c>
      <c r="F27" s="409"/>
      <c r="G27" s="145" t="s">
        <v>148</v>
      </c>
      <c r="I27" s="374"/>
      <c r="J27" s="147">
        <v>600.0</v>
      </c>
      <c r="K27" s="404"/>
      <c r="L27" s="404"/>
      <c r="M27" s="404"/>
      <c r="N27" s="404"/>
      <c r="O27" s="404"/>
    </row>
    <row r="28">
      <c r="B28" s="145" t="s">
        <v>181</v>
      </c>
      <c r="C28" s="146"/>
      <c r="D28" s="147">
        <v>150.0</v>
      </c>
      <c r="E28" s="147">
        <v>150.0</v>
      </c>
      <c r="F28" s="409"/>
      <c r="G28" s="145" t="s">
        <v>149</v>
      </c>
      <c r="I28" s="374"/>
      <c r="J28" s="147">
        <v>500.0</v>
      </c>
      <c r="K28" s="404"/>
      <c r="L28" s="404"/>
      <c r="M28" s="404"/>
      <c r="N28" s="404"/>
      <c r="O28" s="404"/>
    </row>
    <row r="29">
      <c r="B29" s="145" t="s">
        <v>150</v>
      </c>
      <c r="C29" s="146"/>
      <c r="D29" s="147">
        <v>400.0</v>
      </c>
      <c r="E29" s="147">
        <v>400.0</v>
      </c>
      <c r="F29" s="409"/>
      <c r="G29" s="145" t="s">
        <v>181</v>
      </c>
      <c r="I29" s="374"/>
      <c r="J29" s="147">
        <v>150.0</v>
      </c>
      <c r="K29" s="404"/>
      <c r="L29" s="404"/>
      <c r="M29" s="404"/>
      <c r="N29" s="404"/>
      <c r="O29" s="404"/>
    </row>
    <row r="30">
      <c r="B30" s="145" t="s">
        <v>182</v>
      </c>
      <c r="C30" s="146"/>
      <c r="D30" s="147">
        <v>160.0</v>
      </c>
      <c r="E30" s="147">
        <v>160.0</v>
      </c>
      <c r="F30" s="409"/>
      <c r="G30" s="145" t="s">
        <v>150</v>
      </c>
      <c r="I30" s="147">
        <v>400.0</v>
      </c>
      <c r="J30" s="404"/>
      <c r="K30" s="404"/>
      <c r="L30" s="404"/>
      <c r="M30" s="404"/>
      <c r="N30" s="404"/>
      <c r="O30" s="404"/>
    </row>
    <row r="31">
      <c r="B31" s="145" t="s">
        <v>183</v>
      </c>
      <c r="C31" s="146"/>
      <c r="D31" s="147">
        <v>400.0</v>
      </c>
      <c r="E31" s="147">
        <v>400.0</v>
      </c>
      <c r="F31" s="409"/>
      <c r="G31" s="145" t="s">
        <v>182</v>
      </c>
      <c r="I31" s="374"/>
      <c r="J31" s="404"/>
      <c r="K31" s="404"/>
      <c r="L31" s="147">
        <v>160.0</v>
      </c>
      <c r="M31" s="404"/>
      <c r="N31" s="404"/>
      <c r="O31" s="404"/>
    </row>
    <row r="32">
      <c r="B32" s="145" t="s">
        <v>152</v>
      </c>
      <c r="C32" s="146"/>
      <c r="D32" s="151"/>
      <c r="E32" s="147"/>
      <c r="F32" s="409"/>
      <c r="G32" s="145" t="s">
        <v>183</v>
      </c>
      <c r="I32" s="27"/>
      <c r="J32" s="404"/>
      <c r="K32" s="404"/>
      <c r="L32" s="147">
        <v>400.0</v>
      </c>
      <c r="M32" s="404"/>
      <c r="N32" s="404"/>
      <c r="O32" s="404"/>
    </row>
    <row r="33">
      <c r="B33" s="145" t="s">
        <v>154</v>
      </c>
      <c r="C33" s="146"/>
      <c r="D33" s="151">
        <v>136.92</v>
      </c>
      <c r="E33" s="151">
        <v>136.92</v>
      </c>
      <c r="F33" s="409"/>
      <c r="G33" s="145" t="s">
        <v>152</v>
      </c>
      <c r="H33" s="147"/>
      <c r="I33" s="374"/>
      <c r="J33" s="404"/>
      <c r="K33" s="404"/>
      <c r="L33" s="404"/>
      <c r="M33" s="404"/>
      <c r="N33" s="404"/>
      <c r="O33" s="404"/>
    </row>
    <row r="34">
      <c r="B34" s="145" t="s">
        <v>155</v>
      </c>
      <c r="C34" s="146"/>
      <c r="D34" s="151"/>
      <c r="E34" s="151"/>
      <c r="F34" s="409"/>
      <c r="G34" s="145" t="s">
        <v>154</v>
      </c>
      <c r="H34" s="147">
        <v>123.92</v>
      </c>
      <c r="I34" s="147">
        <v>13.0</v>
      </c>
      <c r="J34" s="404"/>
      <c r="K34" s="404"/>
      <c r="L34" s="404"/>
      <c r="M34" s="404"/>
      <c r="N34" s="404"/>
      <c r="O34" s="404"/>
    </row>
    <row r="35">
      <c r="B35" s="145" t="s">
        <v>156</v>
      </c>
      <c r="C35" s="146"/>
      <c r="D35" s="147">
        <v>100.0</v>
      </c>
      <c r="E35" s="147">
        <v>100.0</v>
      </c>
      <c r="F35" s="409"/>
      <c r="G35" s="145" t="s">
        <v>155</v>
      </c>
      <c r="H35" s="151"/>
      <c r="I35" s="374"/>
      <c r="J35" s="404"/>
      <c r="K35" s="404"/>
      <c r="L35" s="404"/>
      <c r="M35" s="404"/>
      <c r="N35" s="404"/>
      <c r="O35" s="404"/>
    </row>
    <row r="36">
      <c r="B36" s="145" t="s">
        <v>157</v>
      </c>
      <c r="C36" s="146"/>
      <c r="D36" s="147">
        <v>50.0</v>
      </c>
      <c r="E36" s="147">
        <v>50.0</v>
      </c>
      <c r="F36" s="409"/>
      <c r="G36" s="145" t="s">
        <v>156</v>
      </c>
      <c r="I36" s="374"/>
      <c r="J36" s="404"/>
      <c r="K36" s="404"/>
      <c r="L36" s="147">
        <v>100.0</v>
      </c>
      <c r="M36" s="404"/>
      <c r="N36" s="404"/>
      <c r="O36" s="404"/>
      <c r="P36" s="18"/>
    </row>
    <row r="37">
      <c r="B37" s="145" t="s">
        <v>158</v>
      </c>
      <c r="C37" s="146"/>
      <c r="D37" s="151"/>
      <c r="E37" s="151"/>
      <c r="F37" s="409"/>
      <c r="G37" s="145" t="s">
        <v>157</v>
      </c>
      <c r="I37" s="374"/>
      <c r="J37" s="404"/>
      <c r="K37" s="404"/>
      <c r="L37" s="404"/>
      <c r="M37" s="404"/>
      <c r="N37" s="147">
        <v>50.0</v>
      </c>
      <c r="O37" s="374"/>
      <c r="P37" s="18"/>
    </row>
    <row r="38">
      <c r="B38" s="145" t="s">
        <v>159</v>
      </c>
      <c r="C38" s="146"/>
      <c r="D38" s="147">
        <v>800.0</v>
      </c>
      <c r="E38" s="147">
        <v>800.0</v>
      </c>
      <c r="F38" s="409"/>
      <c r="G38" s="145" t="s">
        <v>158</v>
      </c>
      <c r="H38" s="151"/>
      <c r="I38" s="374"/>
      <c r="J38" s="404"/>
      <c r="K38" s="404"/>
      <c r="L38" s="404"/>
      <c r="M38" s="404"/>
      <c r="N38" s="404"/>
      <c r="O38" s="404"/>
    </row>
    <row r="39">
      <c r="B39" s="145" t="s">
        <v>160</v>
      </c>
      <c r="C39" s="146"/>
      <c r="D39" s="147">
        <v>3000.0</v>
      </c>
      <c r="E39" s="147">
        <v>3000.0</v>
      </c>
      <c r="F39" s="409"/>
      <c r="G39" s="145" t="s">
        <v>159</v>
      </c>
      <c r="H39" s="147">
        <v>400.0</v>
      </c>
      <c r="I39" s="378">
        <v>400.0</v>
      </c>
      <c r="J39" s="404"/>
      <c r="K39" s="404"/>
      <c r="L39" s="404"/>
      <c r="M39" s="404"/>
      <c r="N39" s="404"/>
      <c r="O39" s="404"/>
    </row>
    <row r="40">
      <c r="B40" s="145" t="s">
        <v>184</v>
      </c>
      <c r="C40" s="146"/>
      <c r="D40" s="147">
        <v>700.0</v>
      </c>
      <c r="E40" s="147">
        <v>700.0</v>
      </c>
      <c r="F40" s="409"/>
      <c r="G40" s="145" t="s">
        <v>160</v>
      </c>
      <c r="H40" s="147">
        <v>1500.0</v>
      </c>
      <c r="I40" s="147">
        <v>1500.0</v>
      </c>
      <c r="J40" s="404"/>
      <c r="K40" s="404"/>
      <c r="L40" s="404"/>
      <c r="M40" s="404"/>
      <c r="N40" s="404"/>
      <c r="O40" s="404"/>
    </row>
    <row r="41">
      <c r="B41" s="145" t="s">
        <v>3</v>
      </c>
      <c r="C41" s="146"/>
      <c r="D41" s="147">
        <v>500.0</v>
      </c>
      <c r="E41" s="147">
        <v>500.0</v>
      </c>
      <c r="F41" s="409"/>
      <c r="G41" s="145" t="s">
        <v>184</v>
      </c>
      <c r="I41" s="374"/>
      <c r="J41" s="404"/>
      <c r="K41" s="147">
        <v>700.0</v>
      </c>
      <c r="L41" s="404"/>
      <c r="M41" s="404"/>
      <c r="N41" s="404"/>
      <c r="O41" s="404"/>
    </row>
    <row r="42">
      <c r="B42" s="152" t="s">
        <v>161</v>
      </c>
      <c r="C42" s="153"/>
      <c r="D42" s="154">
        <f t="shared" ref="D42:E42" si="2">SUM(D19:D41)*-1</f>
        <v>-11821.62</v>
      </c>
      <c r="E42" s="154">
        <f t="shared" si="2"/>
        <v>-11819.62</v>
      </c>
      <c r="F42" s="409"/>
      <c r="G42" s="145" t="s">
        <v>3</v>
      </c>
      <c r="I42" s="404"/>
      <c r="J42" s="404"/>
      <c r="K42" s="147">
        <v>500.0</v>
      </c>
      <c r="L42" s="404"/>
      <c r="M42" s="404"/>
      <c r="N42" s="404"/>
      <c r="O42" s="404"/>
    </row>
    <row r="43">
      <c r="C43" s="27"/>
      <c r="F43" s="409"/>
      <c r="G43" s="18" t="s">
        <v>382</v>
      </c>
      <c r="I43" s="404"/>
      <c r="J43" s="404"/>
      <c r="K43" s="147">
        <v>962.79</v>
      </c>
      <c r="L43" s="404"/>
      <c r="M43" s="147">
        <v>1421.49</v>
      </c>
      <c r="N43" s="404"/>
      <c r="O43" s="404"/>
    </row>
    <row r="44">
      <c r="B44" s="156" t="s">
        <v>162</v>
      </c>
      <c r="C44" s="157"/>
      <c r="D44" s="158">
        <f t="shared" ref="D44:E44" si="3">D16+D42</f>
        <v>2090.25</v>
      </c>
      <c r="E44" s="158">
        <f t="shared" si="3"/>
        <v>2384.28</v>
      </c>
      <c r="F44" s="18"/>
      <c r="G44" s="7" t="s">
        <v>26</v>
      </c>
      <c r="H44" s="325">
        <f t="shared" ref="H44:O44" si="4">SUM(H20:H43)</f>
        <v>5028.72</v>
      </c>
      <c r="I44" s="373">
        <f t="shared" si="4"/>
        <v>2313</v>
      </c>
      <c r="J44" s="373">
        <f t="shared" si="4"/>
        <v>2167.9</v>
      </c>
      <c r="K44" s="373">
        <f t="shared" si="4"/>
        <v>2162.79</v>
      </c>
      <c r="L44" s="373">
        <f t="shared" si="4"/>
        <v>660</v>
      </c>
      <c r="M44" s="373">
        <f t="shared" si="4"/>
        <v>1421.49</v>
      </c>
      <c r="N44" s="373">
        <f t="shared" si="4"/>
        <v>50</v>
      </c>
      <c r="O44" s="373">
        <f t="shared" si="4"/>
        <v>400</v>
      </c>
    </row>
    <row r="45">
      <c r="B45" s="83"/>
      <c r="C45" s="159"/>
      <c r="D45" s="84"/>
      <c r="E45" s="84"/>
      <c r="F45" s="107"/>
      <c r="G45" s="107" t="s">
        <v>371</v>
      </c>
      <c r="H45" s="415">
        <f>(E12)-H44</f>
        <v>3444.67</v>
      </c>
      <c r="I45" s="375"/>
      <c r="J45" s="287"/>
    </row>
    <row r="46">
      <c r="B46" s="85" t="s">
        <v>163</v>
      </c>
      <c r="C46" s="160"/>
      <c r="D46" s="161" t="s">
        <v>123</v>
      </c>
      <c r="E46" s="161" t="s">
        <v>124</v>
      </c>
      <c r="F46" s="107"/>
      <c r="G46" s="325" t="s">
        <v>353</v>
      </c>
    </row>
    <row r="47">
      <c r="B47" s="162"/>
      <c r="C47" s="163"/>
      <c r="D47" s="164"/>
      <c r="E47" s="164"/>
      <c r="F47" s="248"/>
      <c r="G47" s="107"/>
    </row>
    <row r="48">
      <c r="A48" s="298"/>
      <c r="B48" s="162" t="s">
        <v>58</v>
      </c>
      <c r="C48" s="163"/>
      <c r="D48" s="167">
        <v>962.79</v>
      </c>
      <c r="E48" s="167">
        <v>962.79</v>
      </c>
      <c r="F48" s="107"/>
      <c r="G48" s="107"/>
    </row>
    <row r="49">
      <c r="B49" s="162"/>
      <c r="C49" s="163"/>
      <c r="D49" s="166"/>
      <c r="E49" s="166"/>
      <c r="F49" s="107"/>
      <c r="G49" s="107"/>
      <c r="K49" s="387"/>
      <c r="M49" s="387"/>
    </row>
    <row r="50">
      <c r="B50" s="168"/>
      <c r="C50" s="169"/>
      <c r="D50" s="170"/>
      <c r="E50" s="170"/>
      <c r="F50" s="107"/>
      <c r="G50" s="107"/>
    </row>
    <row r="51">
      <c r="B51" s="152" t="s">
        <v>167</v>
      </c>
      <c r="C51" s="171"/>
      <c r="D51" s="172">
        <f t="shared" ref="D51:E51" si="5">SUM(D47:D50)*-1</f>
        <v>-962.79</v>
      </c>
      <c r="E51" s="172">
        <f t="shared" si="5"/>
        <v>-962.79</v>
      </c>
      <c r="F51" s="107"/>
    </row>
    <row r="52">
      <c r="B52" s="83"/>
      <c r="C52" s="159"/>
      <c r="D52" s="96"/>
      <c r="E52" s="96"/>
      <c r="F52" s="107"/>
      <c r="G52" s="107"/>
    </row>
    <row r="53">
      <c r="B53" s="173" t="s">
        <v>168</v>
      </c>
      <c r="C53" s="174"/>
      <c r="D53" s="175">
        <f t="shared" ref="D53:E53" si="6">D44+D51</f>
        <v>1127.46</v>
      </c>
      <c r="E53" s="175">
        <f t="shared" si="6"/>
        <v>1421.49</v>
      </c>
      <c r="F53" s="107"/>
      <c r="G53" s="107"/>
      <c r="H53" s="107"/>
    </row>
    <row r="54">
      <c r="B54" s="83"/>
      <c r="C54" s="159"/>
      <c r="D54" s="96"/>
      <c r="E54" s="96"/>
      <c r="F54" s="107"/>
      <c r="G54" s="107"/>
      <c r="H54" s="18"/>
    </row>
    <row r="55">
      <c r="B55" s="100" t="s">
        <v>169</v>
      </c>
      <c r="C55" s="176"/>
      <c r="D55" s="177" t="s">
        <v>123</v>
      </c>
      <c r="E55" s="177" t="s">
        <v>124</v>
      </c>
      <c r="F55" s="107"/>
      <c r="G55" s="107"/>
      <c r="H55" s="18"/>
    </row>
    <row r="56">
      <c r="B56" s="152" t="s">
        <v>171</v>
      </c>
      <c r="C56" s="153"/>
      <c r="D56" s="178">
        <f t="shared" ref="D56:E56" si="7">+D53</f>
        <v>1127.46</v>
      </c>
      <c r="E56" s="178">
        <f t="shared" si="7"/>
        <v>1421.49</v>
      </c>
      <c r="F56" s="27"/>
      <c r="G56" s="27"/>
    </row>
    <row r="57">
      <c r="D57" s="362"/>
      <c r="E57" s="362"/>
      <c r="F57" s="27"/>
      <c r="G57" s="27"/>
    </row>
    <row r="58">
      <c r="F58" s="27"/>
      <c r="G58" s="27"/>
    </row>
    <row r="59">
      <c r="F59" s="27"/>
      <c r="G59" s="27"/>
    </row>
    <row r="60">
      <c r="F60" s="27"/>
      <c r="G60" s="27"/>
    </row>
    <row r="61">
      <c r="F61" s="27"/>
      <c r="G61" s="27"/>
    </row>
    <row r="62">
      <c r="F62" s="27"/>
      <c r="G62" s="27"/>
    </row>
    <row r="63">
      <c r="F63" s="27"/>
      <c r="G63" s="27"/>
    </row>
    <row r="64">
      <c r="F64" s="27"/>
      <c r="G64" s="27"/>
    </row>
    <row r="65">
      <c r="F65" s="27"/>
      <c r="G65" s="27"/>
    </row>
    <row r="66">
      <c r="F66" s="27"/>
      <c r="G66" s="27"/>
    </row>
    <row r="67">
      <c r="F67" s="27"/>
      <c r="G67" s="27"/>
    </row>
    <row r="68">
      <c r="F68" s="27"/>
      <c r="G68" s="27"/>
    </row>
    <row r="69">
      <c r="F69" s="27"/>
      <c r="G69" s="27"/>
    </row>
    <row r="70">
      <c r="F70" s="27"/>
      <c r="G70" s="27"/>
    </row>
    <row r="71">
      <c r="F71" s="27"/>
      <c r="G71" s="27"/>
    </row>
    <row r="72">
      <c r="F72" s="27"/>
      <c r="G72" s="27"/>
    </row>
    <row r="73">
      <c r="F73" s="27"/>
      <c r="G73" s="27"/>
    </row>
    <row r="74">
      <c r="F74" s="27"/>
      <c r="G74" s="27"/>
    </row>
    <row r="75">
      <c r="F75" s="27"/>
      <c r="G75" s="27"/>
    </row>
    <row r="76">
      <c r="F76" s="27"/>
      <c r="G76" s="27"/>
    </row>
    <row r="77">
      <c r="F77" s="27"/>
      <c r="G77" s="27"/>
    </row>
    <row r="78">
      <c r="F78" s="27"/>
      <c r="G78" s="27"/>
    </row>
    <row r="79">
      <c r="F79" s="27"/>
      <c r="G79" s="27"/>
    </row>
    <row r="80">
      <c r="F80" s="27"/>
      <c r="G80" s="27"/>
    </row>
    <row r="81">
      <c r="F81" s="27"/>
      <c r="G81" s="27"/>
    </row>
    <row r="82">
      <c r="F82" s="27"/>
      <c r="G82" s="27"/>
    </row>
    <row r="83">
      <c r="F83" s="27"/>
      <c r="G83" s="27"/>
    </row>
    <row r="84">
      <c r="F84" s="27"/>
      <c r="G84" s="27"/>
    </row>
    <row r="85">
      <c r="F85" s="27"/>
      <c r="G85" s="27"/>
    </row>
    <row r="86">
      <c r="F86" s="27"/>
      <c r="G86" s="27"/>
    </row>
    <row r="87">
      <c r="F87" s="27"/>
      <c r="G87" s="27"/>
    </row>
    <row r="88">
      <c r="F88" s="27"/>
      <c r="G88" s="27"/>
    </row>
    <row r="89">
      <c r="F89" s="27"/>
      <c r="G89" s="27"/>
    </row>
    <row r="90">
      <c r="F90" s="27"/>
      <c r="G90" s="27"/>
    </row>
    <row r="91">
      <c r="F91" s="27"/>
      <c r="G91" s="27"/>
    </row>
    <row r="92">
      <c r="F92" s="27"/>
      <c r="G92" s="27"/>
    </row>
    <row r="93">
      <c r="F93" s="27"/>
      <c r="G93" s="27"/>
    </row>
    <row r="94">
      <c r="F94" s="27"/>
      <c r="G94" s="27"/>
    </row>
    <row r="95">
      <c r="F95" s="27"/>
      <c r="G95" s="27"/>
    </row>
    <row r="96">
      <c r="F96" s="27"/>
      <c r="G96" s="27"/>
    </row>
    <row r="97">
      <c r="F97" s="27"/>
      <c r="G97" s="27"/>
    </row>
    <row r="98">
      <c r="F98" s="27"/>
      <c r="G98" s="27"/>
    </row>
    <row r="99">
      <c r="F99" s="27"/>
      <c r="G99" s="27"/>
    </row>
    <row r="100">
      <c r="F100" s="27"/>
      <c r="G100" s="27"/>
    </row>
    <row r="101">
      <c r="F101" s="27"/>
      <c r="G101" s="27"/>
    </row>
    <row r="102">
      <c r="F102" s="27"/>
      <c r="G102" s="27"/>
    </row>
    <row r="103">
      <c r="F103" s="27"/>
      <c r="G103" s="27"/>
    </row>
    <row r="104">
      <c r="F104" s="27"/>
      <c r="G104" s="27"/>
    </row>
    <row r="105">
      <c r="F105" s="27"/>
      <c r="G105" s="27"/>
    </row>
    <row r="106">
      <c r="F106" s="27"/>
      <c r="G106" s="27"/>
    </row>
    <row r="107">
      <c r="F107" s="27"/>
      <c r="G107" s="27"/>
    </row>
    <row r="108">
      <c r="F108" s="27"/>
      <c r="G108" s="27"/>
    </row>
    <row r="109">
      <c r="F109" s="27"/>
      <c r="G109" s="27"/>
    </row>
    <row r="110">
      <c r="F110" s="27"/>
      <c r="G110" s="27"/>
    </row>
    <row r="111">
      <c r="F111" s="27"/>
      <c r="G111" s="27"/>
    </row>
    <row r="112">
      <c r="F112" s="27"/>
      <c r="G112" s="27"/>
    </row>
    <row r="113">
      <c r="F113" s="27"/>
      <c r="G113" s="27"/>
    </row>
    <row r="114">
      <c r="F114" s="27"/>
      <c r="G114" s="27"/>
    </row>
    <row r="115">
      <c r="F115" s="27"/>
      <c r="G115" s="27"/>
    </row>
    <row r="116">
      <c r="F116" s="27"/>
      <c r="G116" s="27"/>
    </row>
    <row r="117">
      <c r="F117" s="27"/>
      <c r="G117" s="27"/>
    </row>
    <row r="118">
      <c r="F118" s="27"/>
      <c r="G118" s="27"/>
    </row>
    <row r="119">
      <c r="F119" s="27"/>
      <c r="G119" s="27"/>
    </row>
    <row r="120">
      <c r="F120" s="27"/>
      <c r="G120" s="27"/>
    </row>
    <row r="121">
      <c r="F121" s="27"/>
      <c r="G121" s="27"/>
    </row>
    <row r="122">
      <c r="F122" s="27"/>
      <c r="G122" s="27"/>
    </row>
    <row r="123">
      <c r="F123" s="27"/>
      <c r="G123" s="27"/>
    </row>
    <row r="124">
      <c r="F124" s="27"/>
      <c r="G124" s="27"/>
    </row>
    <row r="125">
      <c r="F125" s="27"/>
      <c r="G125" s="27"/>
    </row>
    <row r="126">
      <c r="F126" s="27"/>
      <c r="G126" s="27"/>
    </row>
    <row r="127">
      <c r="F127" s="27"/>
      <c r="G127" s="27"/>
    </row>
    <row r="128">
      <c r="F128" s="27"/>
      <c r="G128" s="27"/>
    </row>
    <row r="129">
      <c r="F129" s="27"/>
      <c r="G129" s="27"/>
    </row>
    <row r="130">
      <c r="F130" s="27"/>
      <c r="G130" s="27"/>
    </row>
    <row r="131">
      <c r="F131" s="27"/>
      <c r="G131" s="27"/>
    </row>
    <row r="132">
      <c r="F132" s="27"/>
      <c r="G132" s="27"/>
    </row>
    <row r="133">
      <c r="F133" s="27"/>
      <c r="G133" s="27"/>
    </row>
    <row r="134">
      <c r="F134" s="27"/>
      <c r="G134" s="27"/>
    </row>
    <row r="135">
      <c r="F135" s="27"/>
      <c r="G135" s="27"/>
    </row>
    <row r="136">
      <c r="F136" s="27"/>
      <c r="G136" s="27"/>
    </row>
    <row r="137">
      <c r="F137" s="27"/>
      <c r="G137" s="27"/>
    </row>
    <row r="138">
      <c r="F138" s="27"/>
      <c r="G138" s="27"/>
    </row>
    <row r="139">
      <c r="F139" s="27"/>
      <c r="G139" s="27"/>
    </row>
    <row r="140">
      <c r="F140" s="27"/>
      <c r="G140" s="27"/>
    </row>
    <row r="141">
      <c r="F141" s="27"/>
      <c r="G141" s="27"/>
    </row>
    <row r="142">
      <c r="F142" s="27"/>
      <c r="G142" s="27"/>
    </row>
    <row r="143">
      <c r="F143" s="27"/>
      <c r="G143" s="27"/>
    </row>
    <row r="144">
      <c r="F144" s="27"/>
      <c r="G144" s="27"/>
    </row>
    <row r="145">
      <c r="F145" s="27"/>
      <c r="G145" s="27"/>
    </row>
    <row r="146">
      <c r="F146" s="27"/>
      <c r="G146" s="27"/>
    </row>
    <row r="147">
      <c r="F147" s="27"/>
      <c r="G147" s="27"/>
    </row>
    <row r="148">
      <c r="F148" s="27"/>
      <c r="G148" s="27"/>
    </row>
    <row r="149">
      <c r="F149" s="27"/>
      <c r="G149" s="27"/>
    </row>
    <row r="150">
      <c r="F150" s="27"/>
      <c r="G150" s="27"/>
    </row>
    <row r="151">
      <c r="F151" s="27"/>
      <c r="G151" s="27"/>
    </row>
    <row r="152">
      <c r="F152" s="27"/>
      <c r="G152" s="27"/>
    </row>
    <row r="153">
      <c r="F153" s="27"/>
      <c r="G153" s="27"/>
    </row>
    <row r="154">
      <c r="F154" s="27"/>
      <c r="G154" s="27"/>
    </row>
    <row r="155">
      <c r="F155" s="27"/>
      <c r="G155" s="27"/>
    </row>
    <row r="156">
      <c r="F156" s="27"/>
      <c r="G156" s="27"/>
    </row>
    <row r="157">
      <c r="F157" s="27"/>
      <c r="G157" s="27"/>
    </row>
    <row r="158">
      <c r="F158" s="27"/>
      <c r="G158" s="27"/>
    </row>
    <row r="159">
      <c r="F159" s="27"/>
      <c r="G159" s="27"/>
    </row>
    <row r="160">
      <c r="F160" s="27"/>
      <c r="G160" s="27"/>
    </row>
    <row r="161">
      <c r="F161" s="27"/>
      <c r="G161" s="27"/>
    </row>
    <row r="162">
      <c r="F162" s="27"/>
      <c r="G162" s="27"/>
    </row>
    <row r="163">
      <c r="F163" s="27"/>
      <c r="G163" s="27"/>
    </row>
    <row r="164">
      <c r="F164" s="27"/>
      <c r="G164" s="27"/>
    </row>
    <row r="165">
      <c r="F165" s="27"/>
      <c r="G165" s="27"/>
    </row>
    <row r="166">
      <c r="F166" s="27"/>
      <c r="G166" s="27"/>
    </row>
    <row r="167">
      <c r="F167" s="27"/>
      <c r="G167" s="27"/>
    </row>
    <row r="168">
      <c r="F168" s="27"/>
      <c r="G168" s="27"/>
    </row>
    <row r="169">
      <c r="F169" s="27"/>
      <c r="G169" s="27"/>
    </row>
    <row r="170">
      <c r="F170" s="27"/>
      <c r="G170" s="27"/>
    </row>
    <row r="171">
      <c r="F171" s="27"/>
      <c r="G171" s="27"/>
    </row>
    <row r="172">
      <c r="F172" s="27"/>
      <c r="G172" s="27"/>
    </row>
    <row r="173">
      <c r="F173" s="27"/>
      <c r="G173" s="27"/>
    </row>
    <row r="174">
      <c r="F174" s="27"/>
      <c r="G174" s="27"/>
    </row>
    <row r="175">
      <c r="F175" s="27"/>
      <c r="G175" s="27"/>
    </row>
    <row r="176">
      <c r="F176" s="27"/>
      <c r="G176" s="27"/>
    </row>
    <row r="177">
      <c r="F177" s="27"/>
      <c r="G177" s="27"/>
    </row>
    <row r="178">
      <c r="F178" s="27"/>
      <c r="G178" s="27"/>
    </row>
    <row r="179">
      <c r="F179" s="27"/>
      <c r="G179" s="27"/>
    </row>
    <row r="180">
      <c r="F180" s="27"/>
      <c r="G180" s="27"/>
    </row>
    <row r="181">
      <c r="F181" s="27"/>
      <c r="G181" s="27"/>
    </row>
    <row r="182">
      <c r="F182" s="27"/>
      <c r="G182" s="27"/>
    </row>
    <row r="183">
      <c r="F183" s="27"/>
      <c r="G183" s="27"/>
    </row>
    <row r="184">
      <c r="F184" s="27"/>
      <c r="G184" s="27"/>
    </row>
    <row r="185">
      <c r="F185" s="27"/>
      <c r="G185" s="27"/>
    </row>
    <row r="186">
      <c r="F186" s="27"/>
      <c r="G186" s="27"/>
    </row>
    <row r="187">
      <c r="F187" s="27"/>
      <c r="G187" s="27"/>
    </row>
    <row r="188">
      <c r="F188" s="27"/>
      <c r="G188" s="27"/>
    </row>
    <row r="189">
      <c r="F189" s="27"/>
      <c r="G189" s="27"/>
    </row>
    <row r="190">
      <c r="F190" s="27"/>
      <c r="G190" s="27"/>
    </row>
    <row r="191">
      <c r="F191" s="27"/>
      <c r="G191" s="27"/>
    </row>
    <row r="192">
      <c r="F192" s="27"/>
      <c r="G192" s="27"/>
    </row>
    <row r="193">
      <c r="F193" s="27"/>
      <c r="G193" s="27"/>
    </row>
    <row r="194">
      <c r="F194" s="27"/>
      <c r="G194" s="27"/>
    </row>
    <row r="195">
      <c r="F195" s="27"/>
      <c r="G195" s="27"/>
    </row>
    <row r="196">
      <c r="F196" s="27"/>
      <c r="G196" s="27"/>
    </row>
    <row r="197">
      <c r="F197" s="27"/>
      <c r="G197" s="27"/>
    </row>
    <row r="198">
      <c r="F198" s="27"/>
      <c r="G198" s="27"/>
    </row>
    <row r="199">
      <c r="F199" s="27"/>
      <c r="G199" s="27"/>
    </row>
    <row r="200">
      <c r="F200" s="27"/>
      <c r="G200" s="27"/>
    </row>
    <row r="201">
      <c r="F201" s="27"/>
      <c r="G201" s="27"/>
    </row>
    <row r="202">
      <c r="F202" s="27"/>
      <c r="G202" s="27"/>
    </row>
    <row r="203">
      <c r="F203" s="27"/>
      <c r="G203" s="27"/>
    </row>
    <row r="204">
      <c r="F204" s="27"/>
      <c r="G204" s="27"/>
    </row>
    <row r="205">
      <c r="F205" s="27"/>
      <c r="G205" s="27"/>
    </row>
    <row r="206">
      <c r="F206" s="27"/>
      <c r="G206" s="27"/>
    </row>
    <row r="207">
      <c r="F207" s="27"/>
      <c r="G207" s="27"/>
    </row>
    <row r="208">
      <c r="F208" s="27"/>
      <c r="G208" s="27"/>
    </row>
    <row r="209">
      <c r="F209" s="27"/>
      <c r="G209" s="27"/>
    </row>
    <row r="210">
      <c r="F210" s="27"/>
      <c r="G210" s="27"/>
    </row>
    <row r="211">
      <c r="F211" s="27"/>
      <c r="G211" s="27"/>
    </row>
    <row r="212">
      <c r="F212" s="27"/>
      <c r="G212" s="27"/>
    </row>
    <row r="213">
      <c r="F213" s="27"/>
      <c r="G213" s="27"/>
    </row>
    <row r="214">
      <c r="F214" s="27"/>
      <c r="G214" s="27"/>
    </row>
    <row r="215">
      <c r="F215" s="27"/>
      <c r="G215" s="27"/>
    </row>
    <row r="216">
      <c r="F216" s="27"/>
      <c r="G216" s="27"/>
    </row>
    <row r="217">
      <c r="F217" s="27"/>
      <c r="G217" s="27"/>
    </row>
    <row r="218">
      <c r="F218" s="27"/>
      <c r="G218" s="27"/>
    </row>
    <row r="219">
      <c r="F219" s="27"/>
      <c r="G219" s="27"/>
    </row>
    <row r="220">
      <c r="F220" s="27"/>
      <c r="G220" s="27"/>
    </row>
    <row r="221">
      <c r="F221" s="27"/>
      <c r="G221" s="27"/>
    </row>
    <row r="222">
      <c r="F222" s="27"/>
      <c r="G222" s="27"/>
    </row>
    <row r="223">
      <c r="F223" s="27"/>
      <c r="G223" s="27"/>
    </row>
    <row r="224">
      <c r="F224" s="27"/>
      <c r="G224" s="27"/>
    </row>
    <row r="225">
      <c r="F225" s="27"/>
      <c r="G225" s="27"/>
    </row>
    <row r="226">
      <c r="F226" s="27"/>
      <c r="G226" s="27"/>
    </row>
    <row r="227">
      <c r="F227" s="27"/>
      <c r="G227" s="27"/>
    </row>
    <row r="228">
      <c r="F228" s="27"/>
      <c r="G228" s="27"/>
    </row>
    <row r="229">
      <c r="F229" s="27"/>
      <c r="G229" s="27"/>
    </row>
    <row r="230">
      <c r="F230" s="27"/>
      <c r="G230" s="27"/>
    </row>
    <row r="231">
      <c r="F231" s="27"/>
      <c r="G231" s="27"/>
    </row>
    <row r="232">
      <c r="F232" s="27"/>
      <c r="G232" s="27"/>
    </row>
    <row r="233">
      <c r="F233" s="27"/>
      <c r="G233" s="27"/>
    </row>
    <row r="234">
      <c r="F234" s="27"/>
      <c r="G234" s="27"/>
    </row>
    <row r="235">
      <c r="F235" s="27"/>
      <c r="G235" s="27"/>
    </row>
    <row r="236">
      <c r="F236" s="27"/>
      <c r="G236" s="27"/>
    </row>
    <row r="237">
      <c r="F237" s="27"/>
      <c r="G237" s="27"/>
    </row>
    <row r="238">
      <c r="F238" s="27"/>
      <c r="G238" s="27"/>
    </row>
    <row r="239">
      <c r="F239" s="27"/>
      <c r="G239" s="27"/>
    </row>
    <row r="240">
      <c r="F240" s="27"/>
      <c r="G240" s="27"/>
    </row>
    <row r="241">
      <c r="F241" s="27"/>
      <c r="G241" s="27"/>
    </row>
    <row r="242">
      <c r="F242" s="27"/>
      <c r="G242" s="27"/>
    </row>
    <row r="243">
      <c r="F243" s="27"/>
      <c r="G243" s="27"/>
    </row>
    <row r="244">
      <c r="F244" s="27"/>
      <c r="G244" s="27"/>
    </row>
    <row r="245">
      <c r="F245" s="27"/>
      <c r="G245" s="27"/>
    </row>
    <row r="246">
      <c r="F246" s="27"/>
      <c r="G246" s="27"/>
    </row>
    <row r="247">
      <c r="F247" s="27"/>
      <c r="G247" s="27"/>
    </row>
    <row r="248">
      <c r="F248" s="27"/>
      <c r="G248" s="27"/>
    </row>
    <row r="249">
      <c r="F249" s="27"/>
      <c r="G249" s="27"/>
    </row>
    <row r="250">
      <c r="F250" s="27"/>
      <c r="G250" s="27"/>
    </row>
    <row r="251">
      <c r="F251" s="27"/>
      <c r="G251" s="27"/>
    </row>
    <row r="252">
      <c r="F252" s="27"/>
      <c r="G252" s="27"/>
    </row>
    <row r="253">
      <c r="F253" s="27"/>
      <c r="G253" s="27"/>
    </row>
    <row r="254">
      <c r="F254" s="27"/>
      <c r="G254" s="27"/>
    </row>
    <row r="255">
      <c r="F255" s="27"/>
      <c r="G255" s="27"/>
    </row>
    <row r="256">
      <c r="F256" s="27"/>
      <c r="G256" s="27"/>
    </row>
    <row r="257">
      <c r="F257" s="27"/>
      <c r="G257" s="27"/>
    </row>
    <row r="258">
      <c r="F258" s="27"/>
      <c r="G258" s="27"/>
    </row>
    <row r="259">
      <c r="F259" s="27"/>
      <c r="G259" s="27"/>
    </row>
    <row r="260">
      <c r="F260" s="27"/>
      <c r="G260" s="27"/>
    </row>
    <row r="261">
      <c r="F261" s="27"/>
      <c r="G261" s="27"/>
    </row>
    <row r="262">
      <c r="F262" s="27"/>
      <c r="G262" s="27"/>
    </row>
    <row r="263">
      <c r="F263" s="27"/>
      <c r="G263" s="27"/>
    </row>
    <row r="264">
      <c r="F264" s="27"/>
      <c r="G264" s="27"/>
    </row>
    <row r="265">
      <c r="F265" s="27"/>
      <c r="G265" s="27"/>
    </row>
    <row r="266">
      <c r="F266" s="27"/>
      <c r="G266" s="27"/>
    </row>
    <row r="267">
      <c r="F267" s="27"/>
      <c r="G267" s="27"/>
    </row>
    <row r="268">
      <c r="F268" s="27"/>
      <c r="G268" s="27"/>
    </row>
    <row r="269">
      <c r="F269" s="27"/>
      <c r="G269" s="27"/>
    </row>
    <row r="270">
      <c r="F270" s="27"/>
      <c r="G270" s="27"/>
    </row>
    <row r="271">
      <c r="F271" s="27"/>
      <c r="G271" s="27"/>
    </row>
    <row r="272">
      <c r="F272" s="27"/>
      <c r="G272" s="27"/>
    </row>
    <row r="273">
      <c r="F273" s="27"/>
      <c r="G273" s="27"/>
    </row>
    <row r="274">
      <c r="F274" s="27"/>
      <c r="G274" s="27"/>
    </row>
    <row r="275">
      <c r="F275" s="27"/>
      <c r="G275" s="27"/>
    </row>
    <row r="276">
      <c r="F276" s="27"/>
      <c r="G276" s="27"/>
    </row>
    <row r="277">
      <c r="F277" s="27"/>
      <c r="G277" s="27"/>
    </row>
    <row r="278">
      <c r="F278" s="27"/>
      <c r="G278" s="27"/>
    </row>
    <row r="279">
      <c r="F279" s="27"/>
      <c r="G279" s="27"/>
    </row>
    <row r="280">
      <c r="F280" s="27"/>
      <c r="G280" s="27"/>
    </row>
    <row r="281">
      <c r="F281" s="27"/>
      <c r="G281" s="27"/>
    </row>
    <row r="282">
      <c r="F282" s="27"/>
      <c r="G282" s="27"/>
    </row>
    <row r="283">
      <c r="F283" s="27"/>
      <c r="G283" s="27"/>
    </row>
    <row r="284">
      <c r="F284" s="27"/>
      <c r="G284" s="27"/>
    </row>
    <row r="285">
      <c r="F285" s="27"/>
      <c r="G285" s="27"/>
    </row>
    <row r="286">
      <c r="F286" s="27"/>
      <c r="G286" s="27"/>
    </row>
    <row r="287">
      <c r="F287" s="27"/>
      <c r="G287" s="27"/>
    </row>
    <row r="288">
      <c r="F288" s="27"/>
      <c r="G288" s="27"/>
    </row>
    <row r="289">
      <c r="F289" s="27"/>
      <c r="G289" s="27"/>
    </row>
    <row r="290">
      <c r="F290" s="27"/>
      <c r="G290" s="27"/>
    </row>
    <row r="291">
      <c r="F291" s="27"/>
      <c r="G291" s="27"/>
    </row>
    <row r="292">
      <c r="F292" s="27"/>
      <c r="G292" s="27"/>
    </row>
    <row r="293">
      <c r="F293" s="27"/>
      <c r="G293" s="27"/>
    </row>
    <row r="294">
      <c r="F294" s="27"/>
      <c r="G294" s="27"/>
    </row>
    <row r="295">
      <c r="F295" s="27"/>
      <c r="G295" s="27"/>
    </row>
    <row r="296">
      <c r="F296" s="27"/>
      <c r="G296" s="27"/>
    </row>
    <row r="297">
      <c r="F297" s="27"/>
      <c r="G297" s="27"/>
    </row>
    <row r="298">
      <c r="F298" s="27"/>
      <c r="G298" s="27"/>
    </row>
    <row r="299">
      <c r="F299" s="27"/>
      <c r="G299" s="27"/>
    </row>
    <row r="300">
      <c r="F300" s="27"/>
      <c r="G300" s="27"/>
    </row>
    <row r="301">
      <c r="F301" s="27"/>
      <c r="G301" s="27"/>
    </row>
    <row r="302">
      <c r="F302" s="27"/>
      <c r="G302" s="27"/>
    </row>
    <row r="303">
      <c r="F303" s="27"/>
      <c r="G303" s="27"/>
    </row>
    <row r="304">
      <c r="F304" s="27"/>
      <c r="G304" s="27"/>
    </row>
    <row r="305">
      <c r="F305" s="27"/>
      <c r="G305" s="27"/>
    </row>
    <row r="306">
      <c r="F306" s="27"/>
      <c r="G306" s="27"/>
    </row>
    <row r="307">
      <c r="F307" s="27"/>
      <c r="G307" s="27"/>
    </row>
    <row r="308">
      <c r="F308" s="27"/>
      <c r="G308" s="27"/>
    </row>
    <row r="309">
      <c r="F309" s="27"/>
      <c r="G309" s="27"/>
    </row>
    <row r="310">
      <c r="F310" s="27"/>
      <c r="G310" s="27"/>
    </row>
    <row r="311">
      <c r="F311" s="27"/>
      <c r="G311" s="27"/>
    </row>
    <row r="312">
      <c r="F312" s="27"/>
      <c r="G312" s="27"/>
    </row>
    <row r="313">
      <c r="F313" s="27"/>
      <c r="G313" s="27"/>
    </row>
    <row r="314">
      <c r="F314" s="27"/>
      <c r="G314" s="27"/>
    </row>
    <row r="315">
      <c r="F315" s="27"/>
      <c r="G315" s="27"/>
    </row>
    <row r="316">
      <c r="F316" s="27"/>
      <c r="G316" s="27"/>
    </row>
    <row r="317">
      <c r="F317" s="27"/>
      <c r="G317" s="27"/>
    </row>
    <row r="318">
      <c r="F318" s="27"/>
      <c r="G318" s="27"/>
    </row>
    <row r="319">
      <c r="F319" s="27"/>
      <c r="G319" s="27"/>
    </row>
    <row r="320">
      <c r="F320" s="27"/>
      <c r="G320" s="27"/>
    </row>
    <row r="321">
      <c r="F321" s="27"/>
      <c r="G321" s="27"/>
    </row>
    <row r="322">
      <c r="F322" s="27"/>
      <c r="G322" s="27"/>
    </row>
    <row r="323">
      <c r="F323" s="27"/>
      <c r="G323" s="27"/>
    </row>
    <row r="324">
      <c r="F324" s="27"/>
      <c r="G324" s="27"/>
    </row>
    <row r="325">
      <c r="F325" s="27"/>
      <c r="G325" s="27"/>
    </row>
    <row r="326">
      <c r="F326" s="27"/>
      <c r="G326" s="27"/>
    </row>
    <row r="327">
      <c r="F327" s="27"/>
      <c r="G327" s="27"/>
    </row>
    <row r="328">
      <c r="F328" s="27"/>
      <c r="G328" s="27"/>
    </row>
    <row r="329">
      <c r="F329" s="27"/>
      <c r="G329" s="27"/>
    </row>
    <row r="330">
      <c r="F330" s="27"/>
      <c r="G330" s="27"/>
    </row>
    <row r="331">
      <c r="F331" s="27"/>
      <c r="G331" s="27"/>
    </row>
    <row r="332">
      <c r="F332" s="27"/>
      <c r="G332" s="27"/>
    </row>
    <row r="333">
      <c r="F333" s="27"/>
      <c r="G333" s="27"/>
    </row>
    <row r="334">
      <c r="F334" s="27"/>
      <c r="G334" s="27"/>
    </row>
    <row r="335">
      <c r="F335" s="27"/>
      <c r="G335" s="27"/>
    </row>
    <row r="336">
      <c r="F336" s="27"/>
      <c r="G336" s="27"/>
    </row>
    <row r="337">
      <c r="F337" s="27"/>
      <c r="G337" s="27"/>
    </row>
    <row r="338">
      <c r="F338" s="27"/>
      <c r="G338" s="27"/>
    </row>
    <row r="339">
      <c r="F339" s="27"/>
      <c r="G339" s="27"/>
    </row>
    <row r="340">
      <c r="F340" s="27"/>
      <c r="G340" s="27"/>
    </row>
    <row r="341">
      <c r="F341" s="27"/>
      <c r="G341" s="27"/>
    </row>
    <row r="342">
      <c r="F342" s="27"/>
      <c r="G342" s="27"/>
    </row>
    <row r="343">
      <c r="F343" s="27"/>
      <c r="G343" s="27"/>
    </row>
    <row r="344">
      <c r="F344" s="27"/>
      <c r="G344" s="27"/>
    </row>
    <row r="345">
      <c r="F345" s="27"/>
      <c r="G345" s="27"/>
    </row>
    <row r="346">
      <c r="F346" s="27"/>
      <c r="G346" s="27"/>
    </row>
    <row r="347">
      <c r="F347" s="27"/>
      <c r="G347" s="27"/>
    </row>
    <row r="348">
      <c r="F348" s="27"/>
      <c r="G348" s="27"/>
    </row>
    <row r="349">
      <c r="F349" s="27"/>
      <c r="G349" s="27"/>
    </row>
    <row r="350">
      <c r="F350" s="27"/>
      <c r="G350" s="27"/>
    </row>
    <row r="351">
      <c r="F351" s="27"/>
      <c r="G351" s="27"/>
    </row>
    <row r="352">
      <c r="F352" s="27"/>
      <c r="G352" s="27"/>
    </row>
    <row r="353">
      <c r="F353" s="27"/>
      <c r="G353" s="27"/>
    </row>
    <row r="354">
      <c r="F354" s="27"/>
      <c r="G354" s="27"/>
    </row>
    <row r="355">
      <c r="F355" s="27"/>
      <c r="G355" s="27"/>
    </row>
    <row r="356">
      <c r="F356" s="27"/>
      <c r="G356" s="27"/>
    </row>
    <row r="357">
      <c r="F357" s="27"/>
      <c r="G357" s="27"/>
    </row>
    <row r="358">
      <c r="F358" s="27"/>
      <c r="G358" s="27"/>
    </row>
    <row r="359">
      <c r="F359" s="27"/>
      <c r="G359" s="27"/>
    </row>
    <row r="360">
      <c r="F360" s="27"/>
      <c r="G360" s="27"/>
    </row>
    <row r="361">
      <c r="F361" s="27"/>
      <c r="G361" s="27"/>
    </row>
    <row r="362">
      <c r="F362" s="27"/>
      <c r="G362" s="27"/>
    </row>
    <row r="363">
      <c r="F363" s="27"/>
      <c r="G363" s="27"/>
    </row>
    <row r="364">
      <c r="F364" s="27"/>
      <c r="G364" s="27"/>
    </row>
    <row r="365">
      <c r="F365" s="27"/>
      <c r="G365" s="27"/>
    </row>
    <row r="366">
      <c r="F366" s="27"/>
      <c r="G366" s="27"/>
    </row>
    <row r="367">
      <c r="F367" s="27"/>
      <c r="G367" s="27"/>
    </row>
    <row r="368">
      <c r="F368" s="27"/>
      <c r="G368" s="27"/>
    </row>
    <row r="369">
      <c r="F369" s="27"/>
      <c r="G369" s="27"/>
    </row>
    <row r="370">
      <c r="F370" s="27"/>
      <c r="G370" s="27"/>
    </row>
    <row r="371">
      <c r="F371" s="27"/>
      <c r="G371" s="27"/>
    </row>
    <row r="372">
      <c r="F372" s="27"/>
      <c r="G372" s="27"/>
    </row>
    <row r="373">
      <c r="F373" s="27"/>
      <c r="G373" s="27"/>
    </row>
    <row r="374">
      <c r="F374" s="27"/>
      <c r="G374" s="27"/>
    </row>
    <row r="375">
      <c r="F375" s="27"/>
      <c r="G375" s="27"/>
    </row>
    <row r="376">
      <c r="F376" s="27"/>
      <c r="G376" s="27"/>
    </row>
    <row r="377">
      <c r="F377" s="27"/>
      <c r="G377" s="27"/>
    </row>
    <row r="378">
      <c r="F378" s="27"/>
      <c r="G378" s="27"/>
    </row>
    <row r="379">
      <c r="F379" s="27"/>
      <c r="G379" s="27"/>
    </row>
    <row r="380">
      <c r="F380" s="27"/>
      <c r="G380" s="27"/>
    </row>
    <row r="381">
      <c r="F381" s="27"/>
      <c r="G381" s="27"/>
    </row>
    <row r="382">
      <c r="F382" s="27"/>
      <c r="G382" s="27"/>
    </row>
    <row r="383">
      <c r="F383" s="27"/>
      <c r="G383" s="27"/>
    </row>
    <row r="384">
      <c r="F384" s="27"/>
      <c r="G384" s="27"/>
    </row>
    <row r="385">
      <c r="F385" s="27"/>
      <c r="G385" s="27"/>
    </row>
    <row r="386">
      <c r="F386" s="27"/>
      <c r="G386" s="27"/>
    </row>
    <row r="387">
      <c r="F387" s="27"/>
      <c r="G387" s="27"/>
    </row>
    <row r="388">
      <c r="F388" s="27"/>
      <c r="G388" s="27"/>
    </row>
    <row r="389">
      <c r="F389" s="27"/>
      <c r="G389" s="27"/>
    </row>
    <row r="390">
      <c r="F390" s="27"/>
      <c r="G390" s="27"/>
    </row>
    <row r="391">
      <c r="F391" s="27"/>
      <c r="G391" s="27"/>
    </row>
    <row r="392">
      <c r="F392" s="27"/>
      <c r="G392" s="27"/>
    </row>
    <row r="393">
      <c r="F393" s="27"/>
      <c r="G393" s="27"/>
    </row>
    <row r="394">
      <c r="F394" s="27"/>
      <c r="G394" s="27"/>
    </row>
    <row r="395">
      <c r="F395" s="27"/>
      <c r="G395" s="27"/>
    </row>
    <row r="396">
      <c r="F396" s="27"/>
      <c r="G396" s="27"/>
    </row>
    <row r="397">
      <c r="F397" s="27"/>
      <c r="G397" s="27"/>
    </row>
    <row r="398">
      <c r="F398" s="27"/>
      <c r="G398" s="27"/>
    </row>
    <row r="399">
      <c r="F399" s="27"/>
      <c r="G399" s="27"/>
    </row>
    <row r="400">
      <c r="F400" s="27"/>
      <c r="G400" s="27"/>
    </row>
    <row r="401">
      <c r="F401" s="27"/>
      <c r="G401" s="27"/>
    </row>
    <row r="402">
      <c r="F402" s="27"/>
      <c r="G402" s="27"/>
    </row>
    <row r="403">
      <c r="F403" s="27"/>
      <c r="G403" s="27"/>
    </row>
    <row r="404">
      <c r="F404" s="27"/>
      <c r="G404" s="27"/>
    </row>
    <row r="405">
      <c r="F405" s="27"/>
      <c r="G405" s="27"/>
    </row>
    <row r="406">
      <c r="F406" s="27"/>
      <c r="G406" s="27"/>
    </row>
    <row r="407">
      <c r="F407" s="27"/>
      <c r="G407" s="27"/>
    </row>
    <row r="408">
      <c r="F408" s="27"/>
      <c r="G408" s="27"/>
    </row>
    <row r="409">
      <c r="F409" s="27"/>
      <c r="G409" s="27"/>
    </row>
    <row r="410">
      <c r="F410" s="27"/>
      <c r="G410" s="27"/>
    </row>
    <row r="411">
      <c r="F411" s="27"/>
      <c r="G411" s="27"/>
    </row>
    <row r="412">
      <c r="F412" s="27"/>
      <c r="G412" s="27"/>
    </row>
    <row r="413">
      <c r="F413" s="27"/>
      <c r="G413" s="27"/>
    </row>
    <row r="414">
      <c r="F414" s="27"/>
      <c r="G414" s="27"/>
    </row>
    <row r="415">
      <c r="F415" s="27"/>
      <c r="G415" s="27"/>
    </row>
    <row r="416">
      <c r="F416" s="27"/>
      <c r="G416" s="27"/>
    </row>
    <row r="417">
      <c r="F417" s="27"/>
      <c r="G417" s="27"/>
    </row>
    <row r="418">
      <c r="F418" s="27"/>
      <c r="G418" s="27"/>
    </row>
    <row r="419">
      <c r="F419" s="27"/>
      <c r="G419" s="27"/>
    </row>
    <row r="420">
      <c r="F420" s="27"/>
      <c r="G420" s="27"/>
    </row>
    <row r="421">
      <c r="F421" s="27"/>
      <c r="G421" s="27"/>
    </row>
    <row r="422">
      <c r="F422" s="27"/>
      <c r="G422" s="27"/>
    </row>
    <row r="423">
      <c r="F423" s="27"/>
      <c r="G423" s="27"/>
    </row>
    <row r="424">
      <c r="F424" s="27"/>
      <c r="G424" s="27"/>
    </row>
    <row r="425">
      <c r="F425" s="27"/>
      <c r="G425" s="27"/>
    </row>
    <row r="426">
      <c r="F426" s="27"/>
      <c r="G426" s="27"/>
    </row>
    <row r="427">
      <c r="F427" s="27"/>
      <c r="G427" s="27"/>
    </row>
    <row r="428">
      <c r="F428" s="27"/>
      <c r="G428" s="27"/>
    </row>
    <row r="429">
      <c r="F429" s="27"/>
      <c r="G429" s="27"/>
    </row>
    <row r="430">
      <c r="F430" s="27"/>
      <c r="G430" s="27"/>
    </row>
    <row r="431">
      <c r="F431" s="27"/>
      <c r="G431" s="27"/>
    </row>
    <row r="432">
      <c r="F432" s="27"/>
      <c r="G432" s="27"/>
    </row>
    <row r="433">
      <c r="F433" s="27"/>
      <c r="G433" s="27"/>
    </row>
    <row r="434">
      <c r="F434" s="27"/>
      <c r="G434" s="27"/>
    </row>
    <row r="435">
      <c r="F435" s="27"/>
      <c r="G435" s="27"/>
    </row>
    <row r="436">
      <c r="F436" s="27"/>
      <c r="G436" s="27"/>
    </row>
    <row r="437">
      <c r="F437" s="27"/>
      <c r="G437" s="27"/>
    </row>
    <row r="438">
      <c r="F438" s="27"/>
      <c r="G438" s="27"/>
    </row>
    <row r="439">
      <c r="F439" s="27"/>
      <c r="G439" s="27"/>
    </row>
    <row r="440">
      <c r="F440" s="27"/>
      <c r="G440" s="27"/>
    </row>
    <row r="441">
      <c r="F441" s="27"/>
      <c r="G441" s="27"/>
    </row>
    <row r="442">
      <c r="F442" s="27"/>
      <c r="G442" s="27"/>
    </row>
    <row r="443">
      <c r="F443" s="27"/>
      <c r="G443" s="27"/>
    </row>
    <row r="444">
      <c r="F444" s="27"/>
      <c r="G444" s="27"/>
    </row>
    <row r="445">
      <c r="F445" s="27"/>
      <c r="G445" s="27"/>
    </row>
    <row r="446">
      <c r="F446" s="27"/>
      <c r="G446" s="27"/>
    </row>
    <row r="447">
      <c r="F447" s="27"/>
      <c r="G447" s="27"/>
    </row>
    <row r="448">
      <c r="F448" s="27"/>
      <c r="G448" s="27"/>
    </row>
    <row r="449">
      <c r="F449" s="27"/>
      <c r="G449" s="27"/>
    </row>
    <row r="450">
      <c r="F450" s="27"/>
      <c r="G450" s="27"/>
    </row>
    <row r="451">
      <c r="F451" s="27"/>
      <c r="G451" s="27"/>
    </row>
    <row r="452">
      <c r="F452" s="27"/>
      <c r="G452" s="27"/>
    </row>
    <row r="453">
      <c r="F453" s="27"/>
      <c r="G453" s="27"/>
    </row>
    <row r="454">
      <c r="F454" s="27"/>
      <c r="G454" s="27"/>
    </row>
    <row r="455">
      <c r="F455" s="27"/>
      <c r="G455" s="27"/>
    </row>
    <row r="456">
      <c r="F456" s="27"/>
      <c r="G456" s="27"/>
    </row>
    <row r="457">
      <c r="F457" s="27"/>
      <c r="G457" s="27"/>
    </row>
    <row r="458">
      <c r="F458" s="27"/>
      <c r="G458" s="27"/>
    </row>
    <row r="459">
      <c r="F459" s="27"/>
      <c r="G459" s="27"/>
    </row>
    <row r="460">
      <c r="F460" s="27"/>
      <c r="G460" s="27"/>
    </row>
    <row r="461">
      <c r="F461" s="27"/>
      <c r="G461" s="27"/>
    </row>
    <row r="462">
      <c r="F462" s="27"/>
      <c r="G462" s="27"/>
    </row>
    <row r="463">
      <c r="F463" s="27"/>
      <c r="G463" s="27"/>
    </row>
    <row r="464">
      <c r="F464" s="27"/>
      <c r="G464" s="27"/>
    </row>
    <row r="465">
      <c r="F465" s="27"/>
      <c r="G465" s="27"/>
    </row>
    <row r="466">
      <c r="F466" s="27"/>
      <c r="G466" s="27"/>
    </row>
    <row r="467">
      <c r="F467" s="27"/>
      <c r="G467" s="27"/>
    </row>
    <row r="468">
      <c r="F468" s="27"/>
      <c r="G468" s="27"/>
    </row>
    <row r="469">
      <c r="F469" s="27"/>
      <c r="G469" s="27"/>
    </row>
    <row r="470">
      <c r="F470" s="27"/>
      <c r="G470" s="27"/>
    </row>
    <row r="471">
      <c r="F471" s="27"/>
      <c r="G471" s="27"/>
    </row>
    <row r="472">
      <c r="F472" s="27"/>
      <c r="G472" s="27"/>
    </row>
    <row r="473">
      <c r="F473" s="27"/>
      <c r="G473" s="27"/>
    </row>
    <row r="474">
      <c r="F474" s="27"/>
      <c r="G474" s="27"/>
    </row>
    <row r="475">
      <c r="F475" s="27"/>
      <c r="G475" s="27"/>
    </row>
    <row r="476">
      <c r="F476" s="27"/>
      <c r="G476" s="27"/>
    </row>
    <row r="477">
      <c r="F477" s="27"/>
      <c r="G477" s="27"/>
    </row>
    <row r="478">
      <c r="F478" s="27"/>
      <c r="G478" s="27"/>
    </row>
    <row r="479">
      <c r="F479" s="27"/>
      <c r="G479" s="27"/>
    </row>
    <row r="480">
      <c r="F480" s="27"/>
      <c r="G480" s="27"/>
    </row>
    <row r="481">
      <c r="F481" s="27"/>
      <c r="G481" s="27"/>
    </row>
    <row r="482">
      <c r="F482" s="27"/>
      <c r="G482" s="27"/>
    </row>
    <row r="483">
      <c r="F483" s="27"/>
      <c r="G483" s="27"/>
    </row>
    <row r="484">
      <c r="F484" s="27"/>
      <c r="G484" s="27"/>
    </row>
    <row r="485">
      <c r="F485" s="27"/>
      <c r="G485" s="27"/>
    </row>
    <row r="486">
      <c r="F486" s="27"/>
      <c r="G486" s="27"/>
    </row>
    <row r="487">
      <c r="F487" s="27"/>
      <c r="G487" s="27"/>
    </row>
    <row r="488">
      <c r="F488" s="27"/>
      <c r="G488" s="27"/>
    </row>
    <row r="489">
      <c r="F489" s="27"/>
      <c r="G489" s="27"/>
    </row>
    <row r="490">
      <c r="F490" s="27"/>
      <c r="G490" s="27"/>
    </row>
    <row r="491">
      <c r="F491" s="27"/>
      <c r="G491" s="27"/>
    </row>
    <row r="492">
      <c r="F492" s="27"/>
      <c r="G492" s="27"/>
    </row>
    <row r="493">
      <c r="F493" s="27"/>
      <c r="G493" s="27"/>
    </row>
    <row r="494">
      <c r="F494" s="27"/>
      <c r="G494" s="27"/>
    </row>
    <row r="495">
      <c r="F495" s="27"/>
      <c r="G495" s="27"/>
    </row>
    <row r="496">
      <c r="F496" s="27"/>
      <c r="G496" s="27"/>
    </row>
    <row r="497">
      <c r="F497" s="27"/>
      <c r="G497" s="27"/>
    </row>
    <row r="498">
      <c r="F498" s="27"/>
      <c r="G498" s="27"/>
    </row>
    <row r="499">
      <c r="F499" s="27"/>
      <c r="G499" s="27"/>
    </row>
    <row r="500">
      <c r="F500" s="27"/>
      <c r="G500" s="27"/>
    </row>
    <row r="501">
      <c r="F501" s="27"/>
      <c r="G501" s="27"/>
    </row>
    <row r="502">
      <c r="F502" s="27"/>
      <c r="G502" s="27"/>
    </row>
    <row r="503">
      <c r="F503" s="27"/>
      <c r="G503" s="27"/>
    </row>
    <row r="504">
      <c r="F504" s="27"/>
      <c r="G504" s="27"/>
    </row>
    <row r="505">
      <c r="F505" s="27"/>
      <c r="G505" s="27"/>
    </row>
    <row r="506">
      <c r="F506" s="27"/>
      <c r="G506" s="27"/>
    </row>
    <row r="507">
      <c r="F507" s="27"/>
      <c r="G507" s="27"/>
    </row>
    <row r="508">
      <c r="F508" s="27"/>
      <c r="G508" s="27"/>
    </row>
    <row r="509">
      <c r="F509" s="27"/>
      <c r="G509" s="27"/>
    </row>
    <row r="510">
      <c r="F510" s="27"/>
      <c r="G510" s="27"/>
    </row>
    <row r="511">
      <c r="F511" s="27"/>
      <c r="G511" s="27"/>
    </row>
    <row r="512">
      <c r="F512" s="27"/>
      <c r="G512" s="27"/>
    </row>
    <row r="513">
      <c r="F513" s="27"/>
      <c r="G513" s="27"/>
    </row>
    <row r="514">
      <c r="F514" s="27"/>
      <c r="G514" s="27"/>
    </row>
    <row r="515">
      <c r="F515" s="27"/>
      <c r="G515" s="27"/>
    </row>
    <row r="516">
      <c r="F516" s="27"/>
      <c r="G516" s="27"/>
    </row>
    <row r="517">
      <c r="F517" s="27"/>
      <c r="G517" s="27"/>
    </row>
    <row r="518">
      <c r="F518" s="27"/>
      <c r="G518" s="27"/>
    </row>
    <row r="519">
      <c r="F519" s="27"/>
      <c r="G519" s="27"/>
    </row>
    <row r="520">
      <c r="F520" s="27"/>
      <c r="G520" s="27"/>
    </row>
    <row r="521">
      <c r="F521" s="27"/>
      <c r="G521" s="27"/>
    </row>
    <row r="522">
      <c r="F522" s="27"/>
      <c r="G522" s="27"/>
    </row>
    <row r="523">
      <c r="F523" s="27"/>
      <c r="G523" s="27"/>
    </row>
    <row r="524">
      <c r="F524" s="27"/>
      <c r="G524" s="27"/>
    </row>
    <row r="525">
      <c r="F525" s="27"/>
      <c r="G525" s="27"/>
    </row>
    <row r="526">
      <c r="F526" s="27"/>
      <c r="G526" s="27"/>
    </row>
    <row r="527">
      <c r="F527" s="27"/>
      <c r="G527" s="27"/>
    </row>
    <row r="528">
      <c r="F528" s="27"/>
      <c r="G528" s="27"/>
    </row>
    <row r="529">
      <c r="F529" s="27"/>
      <c r="G529" s="27"/>
    </row>
    <row r="530">
      <c r="F530" s="27"/>
      <c r="G530" s="27"/>
    </row>
    <row r="531">
      <c r="F531" s="27"/>
      <c r="G531" s="27"/>
    </row>
    <row r="532">
      <c r="F532" s="27"/>
      <c r="G532" s="27"/>
    </row>
    <row r="533">
      <c r="F533" s="27"/>
      <c r="G533" s="27"/>
    </row>
    <row r="534">
      <c r="F534" s="27"/>
      <c r="G534" s="27"/>
    </row>
    <row r="535">
      <c r="F535" s="27"/>
      <c r="G535" s="27"/>
    </row>
    <row r="536">
      <c r="F536" s="27"/>
      <c r="G536" s="27"/>
    </row>
    <row r="537">
      <c r="F537" s="27"/>
      <c r="G537" s="27"/>
    </row>
    <row r="538">
      <c r="F538" s="27"/>
      <c r="G538" s="27"/>
    </row>
    <row r="539">
      <c r="F539" s="27"/>
      <c r="G539" s="27"/>
    </row>
    <row r="540">
      <c r="F540" s="27"/>
      <c r="G540" s="27"/>
    </row>
    <row r="541">
      <c r="F541" s="27"/>
      <c r="G541" s="27"/>
    </row>
    <row r="542">
      <c r="F542" s="27"/>
      <c r="G542" s="27"/>
    </row>
    <row r="543">
      <c r="F543" s="27"/>
      <c r="G543" s="27"/>
    </row>
    <row r="544">
      <c r="F544" s="27"/>
      <c r="G544" s="27"/>
    </row>
    <row r="545">
      <c r="F545" s="27"/>
      <c r="G545" s="27"/>
    </row>
    <row r="546">
      <c r="F546" s="27"/>
      <c r="G546" s="27"/>
    </row>
    <row r="547">
      <c r="F547" s="27"/>
      <c r="G547" s="27"/>
    </row>
    <row r="548">
      <c r="F548" s="27"/>
      <c r="G548" s="27"/>
    </row>
    <row r="549">
      <c r="F549" s="27"/>
      <c r="G549" s="27"/>
    </row>
    <row r="550">
      <c r="F550" s="27"/>
      <c r="G550" s="27"/>
    </row>
    <row r="551">
      <c r="F551" s="27"/>
      <c r="G551" s="27"/>
    </row>
    <row r="552">
      <c r="F552" s="27"/>
      <c r="G552" s="27"/>
    </row>
    <row r="553">
      <c r="F553" s="27"/>
      <c r="G553" s="27"/>
    </row>
    <row r="554">
      <c r="F554" s="27"/>
      <c r="G554" s="27"/>
    </row>
    <row r="555">
      <c r="F555" s="27"/>
      <c r="G555" s="27"/>
    </row>
    <row r="556">
      <c r="F556" s="27"/>
      <c r="G556" s="27"/>
    </row>
    <row r="557">
      <c r="F557" s="27"/>
      <c r="G557" s="27"/>
    </row>
    <row r="558">
      <c r="F558" s="27"/>
      <c r="G558" s="27"/>
    </row>
    <row r="559">
      <c r="F559" s="27"/>
      <c r="G559" s="27"/>
    </row>
    <row r="560">
      <c r="F560" s="27"/>
      <c r="G560" s="27"/>
    </row>
    <row r="561">
      <c r="F561" s="27"/>
      <c r="G561" s="27"/>
    </row>
    <row r="562">
      <c r="F562" s="27"/>
      <c r="G562" s="27"/>
    </row>
    <row r="563">
      <c r="F563" s="27"/>
      <c r="G563" s="27"/>
    </row>
    <row r="564">
      <c r="F564" s="27"/>
      <c r="G564" s="27"/>
    </row>
    <row r="565">
      <c r="F565" s="27"/>
      <c r="G565" s="27"/>
    </row>
    <row r="566">
      <c r="F566" s="27"/>
      <c r="G566" s="27"/>
    </row>
    <row r="567">
      <c r="F567" s="27"/>
      <c r="G567" s="27"/>
    </row>
    <row r="568">
      <c r="F568" s="27"/>
      <c r="G568" s="27"/>
    </row>
    <row r="569">
      <c r="F569" s="27"/>
      <c r="G569" s="27"/>
    </row>
    <row r="570">
      <c r="F570" s="27"/>
      <c r="G570" s="27"/>
    </row>
    <row r="571">
      <c r="F571" s="27"/>
      <c r="G571" s="27"/>
    </row>
    <row r="572">
      <c r="F572" s="27"/>
      <c r="G572" s="27"/>
    </row>
    <row r="573">
      <c r="F573" s="27"/>
      <c r="G573" s="27"/>
    </row>
    <row r="574">
      <c r="F574" s="27"/>
      <c r="G574" s="27"/>
    </row>
    <row r="575">
      <c r="F575" s="27"/>
      <c r="G575" s="27"/>
    </row>
    <row r="576">
      <c r="F576" s="27"/>
      <c r="G576" s="27"/>
    </row>
    <row r="577">
      <c r="F577" s="27"/>
      <c r="G577" s="27"/>
    </row>
    <row r="578">
      <c r="F578" s="27"/>
      <c r="G578" s="27"/>
    </row>
    <row r="579">
      <c r="F579" s="27"/>
      <c r="G579" s="27"/>
    </row>
    <row r="580">
      <c r="F580" s="27"/>
      <c r="G580" s="27"/>
    </row>
    <row r="581">
      <c r="F581" s="27"/>
      <c r="G581" s="27"/>
    </row>
    <row r="582">
      <c r="F582" s="27"/>
      <c r="G582" s="27"/>
    </row>
    <row r="583">
      <c r="F583" s="27"/>
      <c r="G583" s="27"/>
    </row>
    <row r="584">
      <c r="F584" s="27"/>
      <c r="G584" s="27"/>
    </row>
    <row r="585">
      <c r="F585" s="27"/>
      <c r="G585" s="27"/>
    </row>
    <row r="586">
      <c r="F586" s="27"/>
      <c r="G586" s="27"/>
    </row>
    <row r="587">
      <c r="F587" s="27"/>
      <c r="G587" s="27"/>
    </row>
    <row r="588">
      <c r="F588" s="27"/>
      <c r="G588" s="27"/>
    </row>
    <row r="589">
      <c r="F589" s="27"/>
      <c r="G589" s="27"/>
    </row>
    <row r="590">
      <c r="F590" s="27"/>
      <c r="G590" s="27"/>
    </row>
    <row r="591">
      <c r="F591" s="27"/>
      <c r="G591" s="27"/>
    </row>
    <row r="592">
      <c r="F592" s="27"/>
      <c r="G592" s="27"/>
    </row>
    <row r="593">
      <c r="F593" s="27"/>
      <c r="G593" s="27"/>
    </row>
    <row r="594">
      <c r="F594" s="27"/>
      <c r="G594" s="27"/>
    </row>
    <row r="595">
      <c r="F595" s="27"/>
      <c r="G595" s="27"/>
    </row>
    <row r="596">
      <c r="F596" s="27"/>
      <c r="G596" s="27"/>
    </row>
    <row r="597">
      <c r="F597" s="27"/>
      <c r="G597" s="27"/>
    </row>
    <row r="598">
      <c r="F598" s="27"/>
      <c r="G598" s="27"/>
    </row>
    <row r="599">
      <c r="F599" s="27"/>
      <c r="G599" s="27"/>
    </row>
    <row r="600">
      <c r="F600" s="27"/>
      <c r="G600" s="27"/>
    </row>
    <row r="601">
      <c r="F601" s="27"/>
      <c r="G601" s="27"/>
    </row>
    <row r="602">
      <c r="F602" s="27"/>
      <c r="G602" s="27"/>
    </row>
    <row r="603">
      <c r="F603" s="27"/>
      <c r="G603" s="27"/>
    </row>
    <row r="604">
      <c r="F604" s="27"/>
      <c r="G604" s="27"/>
    </row>
    <row r="605">
      <c r="F605" s="27"/>
      <c r="G605" s="27"/>
    </row>
    <row r="606">
      <c r="F606" s="27"/>
      <c r="G606" s="27"/>
    </row>
    <row r="607">
      <c r="F607" s="27"/>
      <c r="G607" s="27"/>
    </row>
    <row r="608">
      <c r="F608" s="27"/>
      <c r="G608" s="27"/>
    </row>
    <row r="609">
      <c r="F609" s="27"/>
      <c r="G609" s="27"/>
    </row>
    <row r="610">
      <c r="F610" s="27"/>
      <c r="G610" s="27"/>
    </row>
    <row r="611">
      <c r="F611" s="27"/>
      <c r="G611" s="27"/>
    </row>
    <row r="612">
      <c r="F612" s="27"/>
      <c r="G612" s="27"/>
    </row>
    <row r="613">
      <c r="F613" s="27"/>
      <c r="G613" s="27"/>
    </row>
    <row r="614">
      <c r="F614" s="27"/>
      <c r="G614" s="27"/>
    </row>
    <row r="615">
      <c r="F615" s="27"/>
      <c r="G615" s="27"/>
    </row>
    <row r="616">
      <c r="F616" s="27"/>
      <c r="G616" s="27"/>
    </row>
    <row r="617">
      <c r="F617" s="27"/>
      <c r="G617" s="27"/>
    </row>
    <row r="618">
      <c r="F618" s="27"/>
      <c r="G618" s="27"/>
    </row>
    <row r="619">
      <c r="F619" s="27"/>
      <c r="G619" s="27"/>
    </row>
    <row r="620">
      <c r="F620" s="27"/>
      <c r="G620" s="27"/>
    </row>
    <row r="621">
      <c r="F621" s="27"/>
      <c r="G621" s="27"/>
    </row>
    <row r="622">
      <c r="F622" s="27"/>
      <c r="G622" s="27"/>
    </row>
    <row r="623">
      <c r="F623" s="27"/>
      <c r="G623" s="27"/>
    </row>
    <row r="624">
      <c r="F624" s="27"/>
      <c r="G624" s="27"/>
    </row>
    <row r="625">
      <c r="F625" s="27"/>
      <c r="G625" s="27"/>
    </row>
    <row r="626">
      <c r="F626" s="27"/>
      <c r="G626" s="27"/>
    </row>
    <row r="627">
      <c r="F627" s="27"/>
      <c r="G627" s="27"/>
    </row>
    <row r="628">
      <c r="F628" s="27"/>
      <c r="G628" s="27"/>
    </row>
    <row r="629">
      <c r="F629" s="27"/>
      <c r="G629" s="27"/>
    </row>
    <row r="630">
      <c r="F630" s="27"/>
      <c r="G630" s="27"/>
    </row>
    <row r="631">
      <c r="F631" s="27"/>
      <c r="G631" s="27"/>
    </row>
    <row r="632">
      <c r="F632" s="27"/>
      <c r="G632" s="27"/>
    </row>
    <row r="633">
      <c r="F633" s="27"/>
      <c r="G633" s="27"/>
    </row>
    <row r="634">
      <c r="F634" s="27"/>
      <c r="G634" s="27"/>
    </row>
    <row r="635">
      <c r="F635" s="27"/>
      <c r="G635" s="27"/>
    </row>
    <row r="636">
      <c r="F636" s="27"/>
      <c r="G636" s="27"/>
    </row>
    <row r="637">
      <c r="F637" s="27"/>
      <c r="G637" s="27"/>
    </row>
    <row r="638">
      <c r="F638" s="27"/>
      <c r="G638" s="27"/>
    </row>
    <row r="639">
      <c r="F639" s="27"/>
      <c r="G639" s="27"/>
    </row>
    <row r="640">
      <c r="F640" s="27"/>
      <c r="G640" s="27"/>
    </row>
    <row r="641">
      <c r="F641" s="27"/>
      <c r="G641" s="27"/>
    </row>
    <row r="642">
      <c r="F642" s="27"/>
      <c r="G642" s="27"/>
    </row>
    <row r="643">
      <c r="F643" s="27"/>
      <c r="G643" s="27"/>
    </row>
    <row r="644">
      <c r="F644" s="27"/>
      <c r="G644" s="27"/>
    </row>
    <row r="645">
      <c r="F645" s="27"/>
      <c r="G645" s="27"/>
    </row>
    <row r="646">
      <c r="F646" s="27"/>
      <c r="G646" s="27"/>
    </row>
    <row r="647">
      <c r="F647" s="27"/>
      <c r="G647" s="27"/>
    </row>
    <row r="648">
      <c r="F648" s="27"/>
      <c r="G648" s="27"/>
    </row>
    <row r="649">
      <c r="F649" s="27"/>
      <c r="G649" s="27"/>
    </row>
    <row r="650">
      <c r="F650" s="27"/>
      <c r="G650" s="27"/>
    </row>
    <row r="651">
      <c r="F651" s="27"/>
      <c r="G651" s="27"/>
    </row>
    <row r="652">
      <c r="F652" s="27"/>
      <c r="G652" s="27"/>
    </row>
    <row r="653">
      <c r="F653" s="27"/>
      <c r="G653" s="27"/>
    </row>
    <row r="654">
      <c r="F654" s="27"/>
      <c r="G654" s="27"/>
    </row>
    <row r="655">
      <c r="F655" s="27"/>
      <c r="G655" s="27"/>
    </row>
    <row r="656">
      <c r="F656" s="27"/>
      <c r="G656" s="27"/>
    </row>
    <row r="657">
      <c r="F657" s="27"/>
      <c r="G657" s="27"/>
    </row>
    <row r="658">
      <c r="F658" s="27"/>
      <c r="G658" s="27"/>
    </row>
    <row r="659">
      <c r="F659" s="27"/>
      <c r="G659" s="27"/>
    </row>
    <row r="660">
      <c r="F660" s="27"/>
      <c r="G660" s="27"/>
    </row>
    <row r="661">
      <c r="F661" s="27"/>
      <c r="G661" s="27"/>
    </row>
    <row r="662">
      <c r="F662" s="27"/>
      <c r="G662" s="27"/>
    </row>
    <row r="663">
      <c r="F663" s="27"/>
      <c r="G663" s="27"/>
    </row>
    <row r="664">
      <c r="F664" s="27"/>
      <c r="G664" s="27"/>
    </row>
    <row r="665">
      <c r="F665" s="27"/>
      <c r="G665" s="27"/>
    </row>
    <row r="666">
      <c r="F666" s="27"/>
      <c r="G666" s="27"/>
    </row>
    <row r="667">
      <c r="F667" s="27"/>
      <c r="G667" s="27"/>
    </row>
    <row r="668">
      <c r="F668" s="27"/>
      <c r="G668" s="27"/>
    </row>
    <row r="669">
      <c r="F669" s="27"/>
      <c r="G669" s="27"/>
    </row>
    <row r="670">
      <c r="F670" s="27"/>
      <c r="G670" s="27"/>
    </row>
    <row r="671">
      <c r="F671" s="27"/>
      <c r="G671" s="27"/>
    </row>
    <row r="672">
      <c r="F672" s="27"/>
      <c r="G672" s="27"/>
    </row>
    <row r="673">
      <c r="F673" s="27"/>
      <c r="G673" s="27"/>
    </row>
    <row r="674">
      <c r="F674" s="27"/>
      <c r="G674" s="27"/>
    </row>
    <row r="675">
      <c r="F675" s="27"/>
      <c r="G675" s="27"/>
    </row>
    <row r="676">
      <c r="F676" s="27"/>
      <c r="G676" s="27"/>
    </row>
    <row r="677">
      <c r="F677" s="27"/>
      <c r="G677" s="27"/>
    </row>
    <row r="678">
      <c r="F678" s="27"/>
      <c r="G678" s="27"/>
    </row>
    <row r="679">
      <c r="F679" s="27"/>
      <c r="G679" s="27"/>
    </row>
    <row r="680">
      <c r="F680" s="27"/>
      <c r="G680" s="27"/>
    </row>
    <row r="681">
      <c r="F681" s="27"/>
      <c r="G681" s="27"/>
    </row>
    <row r="682">
      <c r="F682" s="27"/>
      <c r="G682" s="27"/>
    </row>
    <row r="683">
      <c r="F683" s="27"/>
      <c r="G683" s="27"/>
    </row>
    <row r="684">
      <c r="F684" s="27"/>
      <c r="G684" s="27"/>
    </row>
    <row r="685">
      <c r="F685" s="27"/>
      <c r="G685" s="27"/>
    </row>
    <row r="686">
      <c r="F686" s="27"/>
      <c r="G686" s="27"/>
    </row>
    <row r="687">
      <c r="F687" s="27"/>
      <c r="G687" s="27"/>
    </row>
    <row r="688">
      <c r="F688" s="27"/>
      <c r="G688" s="27"/>
    </row>
    <row r="689">
      <c r="F689" s="27"/>
      <c r="G689" s="27"/>
    </row>
    <row r="690">
      <c r="F690" s="27"/>
      <c r="G690" s="27"/>
    </row>
    <row r="691">
      <c r="F691" s="27"/>
      <c r="G691" s="27"/>
    </row>
    <row r="692">
      <c r="F692" s="27"/>
      <c r="G692" s="27"/>
    </row>
    <row r="693">
      <c r="F693" s="27"/>
      <c r="G693" s="27"/>
    </row>
    <row r="694">
      <c r="F694" s="27"/>
      <c r="G694" s="27"/>
    </row>
    <row r="695">
      <c r="F695" s="27"/>
      <c r="G695" s="27"/>
    </row>
    <row r="696">
      <c r="F696" s="27"/>
      <c r="G696" s="27"/>
    </row>
    <row r="697">
      <c r="F697" s="27"/>
      <c r="G697" s="27"/>
    </row>
    <row r="698">
      <c r="F698" s="27"/>
      <c r="G698" s="27"/>
    </row>
    <row r="699">
      <c r="F699" s="27"/>
      <c r="G699" s="27"/>
    </row>
    <row r="700">
      <c r="F700" s="27"/>
      <c r="G700" s="27"/>
    </row>
    <row r="701">
      <c r="F701" s="27"/>
      <c r="G701" s="27"/>
    </row>
    <row r="702">
      <c r="F702" s="27"/>
      <c r="G702" s="27"/>
    </row>
    <row r="703">
      <c r="F703" s="27"/>
      <c r="G703" s="27"/>
    </row>
    <row r="704">
      <c r="F704" s="27"/>
      <c r="G704" s="27"/>
    </row>
    <row r="705">
      <c r="F705" s="27"/>
      <c r="G705" s="27"/>
    </row>
    <row r="706">
      <c r="F706" s="27"/>
      <c r="G706" s="27"/>
    </row>
    <row r="707">
      <c r="F707" s="27"/>
      <c r="G707" s="27"/>
    </row>
    <row r="708">
      <c r="F708" s="27"/>
      <c r="G708" s="27"/>
    </row>
    <row r="709">
      <c r="F709" s="27"/>
      <c r="G709" s="27"/>
    </row>
    <row r="710">
      <c r="F710" s="27"/>
      <c r="G710" s="27"/>
    </row>
    <row r="711">
      <c r="F711" s="27"/>
      <c r="G711" s="27"/>
    </row>
    <row r="712">
      <c r="F712" s="27"/>
      <c r="G712" s="27"/>
    </row>
    <row r="713">
      <c r="F713" s="27"/>
      <c r="G713" s="27"/>
    </row>
    <row r="714">
      <c r="F714" s="27"/>
      <c r="G714" s="27"/>
    </row>
    <row r="715">
      <c r="F715" s="27"/>
      <c r="G715" s="27"/>
    </row>
    <row r="716">
      <c r="F716" s="27"/>
      <c r="G716" s="27"/>
    </row>
    <row r="717">
      <c r="F717" s="27"/>
      <c r="G717" s="27"/>
    </row>
    <row r="718">
      <c r="F718" s="27"/>
      <c r="G718" s="27"/>
    </row>
    <row r="719">
      <c r="F719" s="27"/>
      <c r="G719" s="27"/>
    </row>
    <row r="720">
      <c r="F720" s="27"/>
      <c r="G720" s="27"/>
    </row>
    <row r="721">
      <c r="F721" s="27"/>
      <c r="G721" s="27"/>
    </row>
    <row r="722">
      <c r="F722" s="27"/>
      <c r="G722" s="27"/>
    </row>
    <row r="723">
      <c r="F723" s="27"/>
      <c r="G723" s="27"/>
    </row>
    <row r="724">
      <c r="F724" s="27"/>
      <c r="G724" s="27"/>
    </row>
    <row r="725">
      <c r="F725" s="27"/>
      <c r="G725" s="27"/>
    </row>
    <row r="726">
      <c r="F726" s="27"/>
      <c r="G726" s="27"/>
    </row>
    <row r="727">
      <c r="F727" s="27"/>
      <c r="G727" s="27"/>
    </row>
    <row r="728">
      <c r="F728" s="27"/>
      <c r="G728" s="27"/>
    </row>
    <row r="729">
      <c r="F729" s="27"/>
      <c r="G729" s="27"/>
    </row>
    <row r="730">
      <c r="F730" s="27"/>
      <c r="G730" s="27"/>
    </row>
    <row r="731">
      <c r="F731" s="27"/>
      <c r="G731" s="27"/>
    </row>
    <row r="732">
      <c r="F732" s="27"/>
      <c r="G732" s="27"/>
    </row>
    <row r="733">
      <c r="F733" s="27"/>
      <c r="G733" s="27"/>
    </row>
    <row r="734">
      <c r="F734" s="27"/>
      <c r="G734" s="27"/>
    </row>
    <row r="735">
      <c r="F735" s="27"/>
      <c r="G735" s="27"/>
    </row>
    <row r="736">
      <c r="F736" s="27"/>
      <c r="G736" s="27"/>
    </row>
    <row r="737">
      <c r="F737" s="27"/>
      <c r="G737" s="27"/>
    </row>
    <row r="738">
      <c r="F738" s="27"/>
      <c r="G738" s="27"/>
    </row>
    <row r="739">
      <c r="F739" s="27"/>
      <c r="G739" s="27"/>
    </row>
    <row r="740">
      <c r="F740" s="27"/>
      <c r="G740" s="27"/>
    </row>
    <row r="741">
      <c r="F741" s="27"/>
      <c r="G741" s="27"/>
    </row>
    <row r="742">
      <c r="F742" s="27"/>
      <c r="G742" s="27"/>
    </row>
    <row r="743">
      <c r="F743" s="27"/>
      <c r="G743" s="27"/>
    </row>
    <row r="744">
      <c r="F744" s="27"/>
      <c r="G744" s="27"/>
    </row>
    <row r="745">
      <c r="F745" s="27"/>
      <c r="G745" s="27"/>
    </row>
    <row r="746">
      <c r="F746" s="27"/>
      <c r="G746" s="27"/>
    </row>
    <row r="747">
      <c r="F747" s="27"/>
      <c r="G747" s="27"/>
    </row>
    <row r="748">
      <c r="F748" s="27"/>
      <c r="G748" s="27"/>
    </row>
    <row r="749">
      <c r="F749" s="27"/>
      <c r="G749" s="27"/>
    </row>
    <row r="750">
      <c r="F750" s="27"/>
      <c r="G750" s="27"/>
    </row>
    <row r="751">
      <c r="F751" s="27"/>
      <c r="G751" s="27"/>
    </row>
    <row r="752">
      <c r="F752" s="27"/>
      <c r="G752" s="27"/>
    </row>
    <row r="753">
      <c r="F753" s="27"/>
      <c r="G753" s="27"/>
    </row>
    <row r="754">
      <c r="F754" s="27"/>
      <c r="G754" s="27"/>
    </row>
    <row r="755">
      <c r="F755" s="27"/>
      <c r="G755" s="27"/>
    </row>
    <row r="756">
      <c r="F756" s="27"/>
      <c r="G756" s="27"/>
    </row>
    <row r="757">
      <c r="F757" s="27"/>
      <c r="G757" s="27"/>
    </row>
    <row r="758">
      <c r="F758" s="27"/>
      <c r="G758" s="27"/>
    </row>
    <row r="759">
      <c r="F759" s="27"/>
      <c r="G759" s="27"/>
    </row>
    <row r="760">
      <c r="F760" s="27"/>
      <c r="G760" s="27"/>
    </row>
    <row r="761">
      <c r="F761" s="27"/>
      <c r="G761" s="27"/>
    </row>
    <row r="762">
      <c r="F762" s="27"/>
      <c r="G762" s="27"/>
    </row>
    <row r="763">
      <c r="F763" s="27"/>
      <c r="G763" s="27"/>
    </row>
    <row r="764">
      <c r="F764" s="27"/>
      <c r="G764" s="27"/>
    </row>
    <row r="765">
      <c r="F765" s="27"/>
      <c r="G765" s="27"/>
    </row>
    <row r="766">
      <c r="F766" s="27"/>
      <c r="G766" s="27"/>
    </row>
    <row r="767">
      <c r="F767" s="27"/>
      <c r="G767" s="27"/>
    </row>
    <row r="768">
      <c r="F768" s="27"/>
      <c r="G768" s="27"/>
    </row>
    <row r="769">
      <c r="F769" s="27"/>
      <c r="G769" s="27"/>
    </row>
    <row r="770">
      <c r="F770" s="27"/>
      <c r="G770" s="27"/>
    </row>
    <row r="771">
      <c r="F771" s="27"/>
      <c r="G771" s="27"/>
    </row>
    <row r="772">
      <c r="F772" s="27"/>
      <c r="G772" s="27"/>
    </row>
    <row r="773">
      <c r="F773" s="27"/>
      <c r="G773" s="27"/>
    </row>
    <row r="774">
      <c r="F774" s="27"/>
      <c r="G774" s="27"/>
    </row>
    <row r="775">
      <c r="F775" s="27"/>
      <c r="G775" s="27"/>
    </row>
    <row r="776">
      <c r="F776" s="27"/>
      <c r="G776" s="27"/>
    </row>
    <row r="777">
      <c r="F777" s="27"/>
      <c r="G777" s="27"/>
    </row>
    <row r="778">
      <c r="F778" s="27"/>
      <c r="G778" s="27"/>
    </row>
    <row r="779">
      <c r="F779" s="27"/>
      <c r="G779" s="27"/>
    </row>
    <row r="780">
      <c r="F780" s="27"/>
      <c r="G780" s="27"/>
    </row>
    <row r="781">
      <c r="F781" s="27"/>
      <c r="G781" s="27"/>
    </row>
    <row r="782">
      <c r="F782" s="27"/>
      <c r="G782" s="27"/>
    </row>
    <row r="783">
      <c r="F783" s="27"/>
      <c r="G783" s="27"/>
    </row>
    <row r="784">
      <c r="F784" s="27"/>
      <c r="G784" s="27"/>
    </row>
    <row r="785">
      <c r="F785" s="27"/>
      <c r="G785" s="27"/>
    </row>
    <row r="786">
      <c r="F786" s="27"/>
      <c r="G786" s="27"/>
    </row>
    <row r="787">
      <c r="F787" s="27"/>
      <c r="G787" s="27"/>
    </row>
    <row r="788">
      <c r="F788" s="27"/>
      <c r="G788" s="27"/>
    </row>
    <row r="789">
      <c r="F789" s="27"/>
      <c r="G789" s="27"/>
    </row>
    <row r="790">
      <c r="F790" s="27"/>
      <c r="G790" s="27"/>
    </row>
    <row r="791">
      <c r="F791" s="27"/>
      <c r="G791" s="27"/>
    </row>
    <row r="792">
      <c r="F792" s="27"/>
      <c r="G792" s="27"/>
    </row>
    <row r="793">
      <c r="F793" s="27"/>
      <c r="G793" s="27"/>
    </row>
    <row r="794">
      <c r="F794" s="27"/>
      <c r="G794" s="27"/>
    </row>
    <row r="795">
      <c r="F795" s="27"/>
      <c r="G795" s="27"/>
    </row>
    <row r="796">
      <c r="F796" s="27"/>
      <c r="G796" s="27"/>
    </row>
    <row r="797">
      <c r="F797" s="27"/>
      <c r="G797" s="27"/>
    </row>
    <row r="798">
      <c r="F798" s="27"/>
      <c r="G798" s="27"/>
    </row>
    <row r="799">
      <c r="F799" s="27"/>
      <c r="G799" s="27"/>
    </row>
    <row r="800">
      <c r="F800" s="27"/>
      <c r="G800" s="27"/>
    </row>
    <row r="801">
      <c r="F801" s="27"/>
      <c r="G801" s="27"/>
    </row>
    <row r="802">
      <c r="F802" s="27"/>
      <c r="G802" s="27"/>
    </row>
    <row r="803">
      <c r="F803" s="27"/>
      <c r="G803" s="27"/>
    </row>
    <row r="804">
      <c r="F804" s="27"/>
      <c r="G804" s="27"/>
    </row>
    <row r="805">
      <c r="F805" s="27"/>
      <c r="G805" s="27"/>
    </row>
    <row r="806">
      <c r="F806" s="27"/>
      <c r="G806" s="27"/>
    </row>
    <row r="807">
      <c r="F807" s="27"/>
      <c r="G807" s="27"/>
    </row>
    <row r="808">
      <c r="F808" s="27"/>
      <c r="G808" s="27"/>
    </row>
    <row r="809">
      <c r="F809" s="27"/>
      <c r="G809" s="27"/>
    </row>
    <row r="810">
      <c r="F810" s="27"/>
      <c r="G810" s="27"/>
    </row>
    <row r="811">
      <c r="F811" s="27"/>
      <c r="G811" s="27"/>
    </row>
    <row r="812">
      <c r="F812" s="27"/>
      <c r="G812" s="27"/>
    </row>
    <row r="813">
      <c r="F813" s="27"/>
      <c r="G813" s="27"/>
    </row>
    <row r="814">
      <c r="F814" s="27"/>
      <c r="G814" s="27"/>
    </row>
    <row r="815">
      <c r="F815" s="27"/>
      <c r="G815" s="27"/>
    </row>
    <row r="816">
      <c r="F816" s="27"/>
      <c r="G816" s="27"/>
    </row>
    <row r="817">
      <c r="F817" s="27"/>
      <c r="G817" s="27"/>
    </row>
    <row r="818">
      <c r="F818" s="27"/>
      <c r="G818" s="27"/>
    </row>
    <row r="819">
      <c r="F819" s="27"/>
      <c r="G819" s="27"/>
    </row>
    <row r="820">
      <c r="F820" s="27"/>
      <c r="G820" s="27"/>
    </row>
    <row r="821">
      <c r="F821" s="27"/>
      <c r="G821" s="27"/>
    </row>
    <row r="822">
      <c r="F822" s="27"/>
      <c r="G822" s="27"/>
    </row>
    <row r="823">
      <c r="F823" s="27"/>
      <c r="G823" s="27"/>
    </row>
    <row r="824">
      <c r="F824" s="27"/>
      <c r="G824" s="27"/>
    </row>
    <row r="825">
      <c r="F825" s="27"/>
      <c r="G825" s="27"/>
    </row>
    <row r="826">
      <c r="F826" s="27"/>
      <c r="G826" s="27"/>
    </row>
    <row r="827">
      <c r="F827" s="27"/>
      <c r="G827" s="27"/>
    </row>
    <row r="828">
      <c r="F828" s="27"/>
      <c r="G828" s="27"/>
    </row>
    <row r="829">
      <c r="F829" s="27"/>
      <c r="G829" s="27"/>
    </row>
    <row r="830">
      <c r="F830" s="27"/>
      <c r="G830" s="27"/>
    </row>
    <row r="831">
      <c r="F831" s="27"/>
      <c r="G831" s="27"/>
    </row>
    <row r="832">
      <c r="F832" s="27"/>
      <c r="G832" s="27"/>
    </row>
    <row r="833">
      <c r="F833" s="27"/>
      <c r="G833" s="27"/>
    </row>
    <row r="834">
      <c r="F834" s="27"/>
      <c r="G834" s="27"/>
    </row>
    <row r="835">
      <c r="F835" s="27"/>
      <c r="G835" s="27"/>
    </row>
    <row r="836">
      <c r="F836" s="27"/>
      <c r="G836" s="27"/>
    </row>
    <row r="837">
      <c r="F837" s="27"/>
      <c r="G837" s="27"/>
    </row>
    <row r="838">
      <c r="F838" s="27"/>
      <c r="G838" s="27"/>
    </row>
    <row r="839">
      <c r="F839" s="27"/>
      <c r="G839" s="27"/>
    </row>
    <row r="840">
      <c r="F840" s="27"/>
      <c r="G840" s="27"/>
    </row>
    <row r="841">
      <c r="F841" s="27"/>
      <c r="G841" s="27"/>
    </row>
    <row r="842">
      <c r="F842" s="27"/>
      <c r="G842" s="27"/>
    </row>
    <row r="843">
      <c r="F843" s="27"/>
      <c r="G843" s="27"/>
    </row>
    <row r="844">
      <c r="F844" s="27"/>
      <c r="G844" s="27"/>
    </row>
    <row r="845">
      <c r="F845" s="27"/>
      <c r="G845" s="27"/>
    </row>
    <row r="846">
      <c r="F846" s="27"/>
      <c r="G846" s="27"/>
    </row>
    <row r="847">
      <c r="F847" s="27"/>
      <c r="G847" s="27"/>
    </row>
    <row r="848">
      <c r="F848" s="27"/>
      <c r="G848" s="27"/>
    </row>
    <row r="849">
      <c r="F849" s="27"/>
      <c r="G849" s="27"/>
    </row>
    <row r="850">
      <c r="F850" s="27"/>
      <c r="G850" s="27"/>
    </row>
    <row r="851">
      <c r="F851" s="27"/>
      <c r="G851" s="27"/>
    </row>
    <row r="852">
      <c r="F852" s="27"/>
      <c r="G852" s="27"/>
    </row>
    <row r="853">
      <c r="F853" s="27"/>
      <c r="G853" s="27"/>
    </row>
    <row r="854">
      <c r="F854" s="27"/>
      <c r="G854" s="27"/>
    </row>
    <row r="855">
      <c r="F855" s="27"/>
      <c r="G855" s="27"/>
    </row>
    <row r="856">
      <c r="F856" s="27"/>
      <c r="G856" s="27"/>
    </row>
    <row r="857">
      <c r="F857" s="27"/>
      <c r="G857" s="27"/>
    </row>
    <row r="858">
      <c r="F858" s="27"/>
      <c r="G858" s="27"/>
    </row>
    <row r="859">
      <c r="F859" s="27"/>
      <c r="G859" s="27"/>
    </row>
    <row r="860">
      <c r="F860" s="27"/>
      <c r="G860" s="27"/>
    </row>
    <row r="861">
      <c r="F861" s="27"/>
      <c r="G861" s="27"/>
    </row>
    <row r="862">
      <c r="F862" s="27"/>
      <c r="G862" s="27"/>
    </row>
    <row r="863">
      <c r="F863" s="27"/>
      <c r="G863" s="27"/>
    </row>
    <row r="864">
      <c r="F864" s="27"/>
      <c r="G864" s="27"/>
    </row>
    <row r="865">
      <c r="F865" s="27"/>
      <c r="G865" s="27"/>
    </row>
    <row r="866">
      <c r="F866" s="27"/>
      <c r="G866" s="27"/>
    </row>
    <row r="867">
      <c r="F867" s="27"/>
      <c r="G867" s="27"/>
    </row>
    <row r="868">
      <c r="F868" s="27"/>
      <c r="G868" s="27"/>
    </row>
    <row r="869">
      <c r="F869" s="27"/>
      <c r="G869" s="27"/>
    </row>
    <row r="870">
      <c r="F870" s="27"/>
      <c r="G870" s="27"/>
    </row>
    <row r="871">
      <c r="F871" s="27"/>
      <c r="G871" s="27"/>
    </row>
    <row r="872">
      <c r="F872" s="27"/>
      <c r="G872" s="27"/>
    </row>
    <row r="873">
      <c r="F873" s="27"/>
      <c r="G873" s="27"/>
    </row>
    <row r="874">
      <c r="F874" s="27"/>
      <c r="G874" s="27"/>
    </row>
    <row r="875">
      <c r="F875" s="27"/>
      <c r="G875" s="27"/>
    </row>
    <row r="876">
      <c r="F876" s="27"/>
      <c r="G876" s="27"/>
    </row>
    <row r="877">
      <c r="F877" s="27"/>
      <c r="G877" s="27"/>
    </row>
    <row r="878">
      <c r="F878" s="27"/>
      <c r="G878" s="27"/>
    </row>
    <row r="879">
      <c r="F879" s="27"/>
      <c r="G879" s="27"/>
    </row>
    <row r="880">
      <c r="F880" s="27"/>
      <c r="G880" s="27"/>
    </row>
    <row r="881">
      <c r="F881" s="27"/>
      <c r="G881" s="27"/>
    </row>
    <row r="882">
      <c r="F882" s="27"/>
      <c r="G882" s="27"/>
    </row>
    <row r="883">
      <c r="F883" s="27"/>
      <c r="G883" s="27"/>
    </row>
    <row r="884">
      <c r="F884" s="27"/>
      <c r="G884" s="27"/>
    </row>
    <row r="885">
      <c r="F885" s="27"/>
      <c r="G885" s="27"/>
    </row>
    <row r="886">
      <c r="F886" s="27"/>
      <c r="G886" s="27"/>
    </row>
    <row r="887">
      <c r="F887" s="27"/>
      <c r="G887" s="27"/>
    </row>
    <row r="888">
      <c r="F888" s="27"/>
      <c r="G888" s="27"/>
    </row>
    <row r="889">
      <c r="F889" s="27"/>
      <c r="G889" s="27"/>
    </row>
    <row r="890">
      <c r="F890" s="27"/>
      <c r="G890" s="27"/>
    </row>
    <row r="891">
      <c r="F891" s="27"/>
      <c r="G891" s="27"/>
    </row>
    <row r="892">
      <c r="F892" s="27"/>
      <c r="G892" s="27"/>
    </row>
    <row r="893">
      <c r="F893" s="27"/>
      <c r="G893" s="27"/>
    </row>
    <row r="894">
      <c r="F894" s="27"/>
      <c r="G894" s="27"/>
    </row>
    <row r="895">
      <c r="F895" s="27"/>
      <c r="G895" s="27"/>
    </row>
    <row r="896">
      <c r="F896" s="27"/>
      <c r="G896" s="27"/>
    </row>
    <row r="897">
      <c r="F897" s="27"/>
      <c r="G897" s="27"/>
    </row>
    <row r="898">
      <c r="F898" s="27"/>
      <c r="G898" s="27"/>
    </row>
    <row r="899">
      <c r="F899" s="27"/>
      <c r="G899" s="27"/>
    </row>
    <row r="900">
      <c r="F900" s="27"/>
      <c r="G900" s="27"/>
    </row>
    <row r="901">
      <c r="F901" s="27"/>
      <c r="G901" s="27"/>
    </row>
    <row r="902">
      <c r="F902" s="27"/>
      <c r="G902" s="27"/>
    </row>
    <row r="903">
      <c r="F903" s="27"/>
      <c r="G903" s="27"/>
    </row>
    <row r="904">
      <c r="F904" s="27"/>
      <c r="G904" s="27"/>
    </row>
    <row r="905">
      <c r="F905" s="27"/>
      <c r="G905" s="27"/>
    </row>
    <row r="906">
      <c r="F906" s="27"/>
      <c r="G906" s="27"/>
    </row>
    <row r="907">
      <c r="F907" s="27"/>
      <c r="G907" s="27"/>
    </row>
    <row r="908">
      <c r="F908" s="27"/>
      <c r="G908" s="27"/>
    </row>
    <row r="909">
      <c r="F909" s="27"/>
      <c r="G909" s="27"/>
    </row>
    <row r="910">
      <c r="F910" s="27"/>
      <c r="G910" s="27"/>
    </row>
    <row r="911">
      <c r="F911" s="27"/>
      <c r="G911" s="27"/>
    </row>
    <row r="912">
      <c r="F912" s="27"/>
      <c r="G912" s="27"/>
    </row>
    <row r="913">
      <c r="F913" s="27"/>
      <c r="G913" s="27"/>
    </row>
    <row r="914">
      <c r="F914" s="27"/>
      <c r="G914" s="27"/>
    </row>
    <row r="915">
      <c r="F915" s="27"/>
      <c r="G915" s="27"/>
    </row>
    <row r="916">
      <c r="F916" s="27"/>
      <c r="G916" s="27"/>
    </row>
    <row r="917">
      <c r="F917" s="27"/>
      <c r="G917" s="27"/>
    </row>
    <row r="918">
      <c r="F918" s="27"/>
      <c r="G918" s="27"/>
    </row>
    <row r="919">
      <c r="F919" s="27"/>
      <c r="G919" s="27"/>
    </row>
    <row r="920">
      <c r="F920" s="27"/>
      <c r="G920" s="27"/>
    </row>
    <row r="921">
      <c r="F921" s="27"/>
      <c r="G921" s="27"/>
    </row>
    <row r="922">
      <c r="F922" s="27"/>
      <c r="G922" s="27"/>
    </row>
    <row r="923">
      <c r="F923" s="27"/>
      <c r="G923" s="27"/>
    </row>
    <row r="924">
      <c r="F924" s="27"/>
      <c r="G924" s="27"/>
    </row>
    <row r="925">
      <c r="F925" s="27"/>
      <c r="G925" s="27"/>
    </row>
    <row r="926">
      <c r="F926" s="27"/>
      <c r="G926" s="27"/>
    </row>
    <row r="927">
      <c r="F927" s="27"/>
      <c r="G927" s="27"/>
    </row>
    <row r="928">
      <c r="F928" s="27"/>
      <c r="G928" s="27"/>
    </row>
    <row r="929">
      <c r="F929" s="27"/>
      <c r="G929" s="27"/>
    </row>
    <row r="930">
      <c r="F930" s="27"/>
      <c r="G930" s="27"/>
    </row>
    <row r="931">
      <c r="F931" s="27"/>
      <c r="G931" s="27"/>
    </row>
    <row r="932">
      <c r="F932" s="27"/>
      <c r="G932" s="27"/>
    </row>
    <row r="933">
      <c r="F933" s="27"/>
      <c r="G933" s="27"/>
    </row>
    <row r="934">
      <c r="F934" s="27"/>
      <c r="G934" s="27"/>
    </row>
    <row r="935">
      <c r="F935" s="27"/>
      <c r="G935" s="27"/>
    </row>
    <row r="936">
      <c r="F936" s="27"/>
      <c r="G936" s="27"/>
    </row>
    <row r="937">
      <c r="F937" s="27"/>
      <c r="G937" s="27"/>
    </row>
    <row r="938">
      <c r="F938" s="27"/>
      <c r="G938" s="27"/>
    </row>
    <row r="939">
      <c r="F939" s="27"/>
      <c r="G939" s="27"/>
    </row>
    <row r="940">
      <c r="F940" s="27"/>
      <c r="G940" s="27"/>
    </row>
    <row r="941">
      <c r="F941" s="27"/>
      <c r="G941" s="27"/>
    </row>
    <row r="942">
      <c r="F942" s="27"/>
      <c r="G942" s="27"/>
    </row>
    <row r="943">
      <c r="F943" s="27"/>
      <c r="G943" s="27"/>
    </row>
    <row r="944">
      <c r="F944" s="27"/>
      <c r="G944" s="27"/>
    </row>
    <row r="945">
      <c r="F945" s="27"/>
      <c r="G945" s="27"/>
    </row>
    <row r="946">
      <c r="F946" s="27"/>
      <c r="G946" s="27"/>
    </row>
    <row r="947">
      <c r="F947" s="27"/>
      <c r="G947" s="27"/>
    </row>
    <row r="948">
      <c r="F948" s="27"/>
      <c r="G948" s="27"/>
    </row>
    <row r="949">
      <c r="F949" s="27"/>
      <c r="G949" s="27"/>
    </row>
    <row r="950">
      <c r="F950" s="27"/>
      <c r="G950" s="27"/>
    </row>
    <row r="951">
      <c r="F951" s="27"/>
      <c r="G951" s="27"/>
    </row>
    <row r="952">
      <c r="F952" s="27"/>
      <c r="G952" s="27"/>
    </row>
    <row r="953">
      <c r="F953" s="27"/>
      <c r="G953" s="27"/>
    </row>
    <row r="954">
      <c r="F954" s="27"/>
      <c r="G954" s="27"/>
    </row>
    <row r="955">
      <c r="F955" s="27"/>
      <c r="G955" s="27"/>
    </row>
    <row r="956">
      <c r="F956" s="27"/>
      <c r="G956" s="27"/>
    </row>
    <row r="957">
      <c r="F957" s="27"/>
      <c r="G957" s="27"/>
    </row>
    <row r="958">
      <c r="F958" s="27"/>
      <c r="G958" s="27"/>
    </row>
    <row r="959">
      <c r="F959" s="27"/>
      <c r="G959" s="27"/>
    </row>
    <row r="960">
      <c r="F960" s="27"/>
      <c r="G960" s="27"/>
    </row>
    <row r="961">
      <c r="F961" s="27"/>
      <c r="G961" s="27"/>
    </row>
    <row r="962">
      <c r="F962" s="27"/>
      <c r="G962" s="27"/>
    </row>
    <row r="963">
      <c r="F963" s="27"/>
      <c r="G963" s="27"/>
    </row>
    <row r="964">
      <c r="F964" s="27"/>
      <c r="G964" s="27"/>
    </row>
    <row r="965">
      <c r="F965" s="27"/>
      <c r="G965" s="27"/>
    </row>
    <row r="966">
      <c r="F966" s="27"/>
      <c r="G966" s="27"/>
    </row>
    <row r="967">
      <c r="F967" s="27"/>
      <c r="G967" s="27"/>
    </row>
    <row r="968">
      <c r="F968" s="27"/>
      <c r="G968" s="27"/>
    </row>
    <row r="969">
      <c r="F969" s="27"/>
      <c r="G969" s="27"/>
    </row>
    <row r="970">
      <c r="F970" s="27"/>
      <c r="G970" s="27"/>
    </row>
    <row r="971">
      <c r="F971" s="27"/>
      <c r="G971" s="27"/>
    </row>
    <row r="972">
      <c r="F972" s="27"/>
      <c r="G972" s="27"/>
    </row>
    <row r="973">
      <c r="F973" s="27"/>
      <c r="G973" s="27"/>
    </row>
    <row r="974">
      <c r="F974" s="27"/>
      <c r="G974" s="27"/>
    </row>
    <row r="975">
      <c r="F975" s="27"/>
      <c r="G975" s="27"/>
    </row>
    <row r="976">
      <c r="F976" s="27"/>
      <c r="G976" s="27"/>
    </row>
    <row r="977">
      <c r="F977" s="27"/>
      <c r="G977" s="27"/>
    </row>
    <row r="978">
      <c r="F978" s="27"/>
      <c r="G978" s="27"/>
    </row>
    <row r="979">
      <c r="F979" s="27"/>
      <c r="G979" s="27"/>
    </row>
    <row r="980">
      <c r="F980" s="27"/>
      <c r="G980" s="27"/>
    </row>
    <row r="981">
      <c r="F981" s="27"/>
      <c r="G981" s="27"/>
    </row>
    <row r="982">
      <c r="F982" s="27"/>
      <c r="G982" s="27"/>
    </row>
    <row r="983">
      <c r="F983" s="27"/>
      <c r="G983" s="27"/>
    </row>
    <row r="984">
      <c r="F984" s="27"/>
      <c r="G984" s="27"/>
    </row>
    <row r="985">
      <c r="F985" s="27"/>
      <c r="G985" s="27"/>
    </row>
    <row r="986">
      <c r="F986" s="27"/>
      <c r="G986" s="27"/>
    </row>
    <row r="987">
      <c r="F987" s="27"/>
      <c r="G987" s="27"/>
    </row>
    <row r="988">
      <c r="F988" s="27"/>
      <c r="G988" s="27"/>
    </row>
    <row r="989">
      <c r="F989" s="27"/>
      <c r="G989" s="27"/>
    </row>
    <row r="990">
      <c r="F990" s="27"/>
      <c r="G990" s="27"/>
    </row>
    <row r="991">
      <c r="F991" s="27"/>
      <c r="G991" s="27"/>
    </row>
    <row r="992">
      <c r="F992" s="27"/>
      <c r="G992" s="27"/>
    </row>
    <row r="993">
      <c r="F993" s="27"/>
      <c r="G993" s="27"/>
    </row>
    <row r="994">
      <c r="F994" s="27"/>
      <c r="G994" s="27"/>
    </row>
    <row r="995">
      <c r="F995" s="27"/>
      <c r="G995" s="27"/>
    </row>
    <row r="996">
      <c r="F996" s="27"/>
      <c r="G996" s="27"/>
    </row>
    <row r="997">
      <c r="F997" s="27"/>
      <c r="G997" s="27"/>
    </row>
    <row r="998">
      <c r="F998" s="27"/>
      <c r="G998" s="27"/>
    </row>
    <row r="999">
      <c r="F999" s="27"/>
      <c r="G999" s="27"/>
    </row>
    <row r="1000">
      <c r="F1000" s="27"/>
      <c r="G1000" s="27"/>
    </row>
    <row r="1001">
      <c r="F1001" s="27"/>
      <c r="G1001" s="27"/>
    </row>
    <row r="1002">
      <c r="F1002" s="27"/>
      <c r="G1002" s="27"/>
    </row>
  </sheetData>
  <conditionalFormatting sqref="D44:E44 D53:E53">
    <cfRule type="cellIs" dxfId="0" priority="1" operator="lessThan">
      <formula>0</formula>
    </cfRule>
  </conditionalFormatting>
  <conditionalFormatting sqref="D53:E53">
    <cfRule type="cellIs" dxfId="0" priority="2" operator="lessThan">
      <formula>0</formula>
    </cfRule>
  </conditionalFormatting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9.38"/>
    <col customWidth="1" min="5" max="5" width="14.0"/>
    <col customWidth="1" min="6" max="6" width="14.63"/>
    <col customWidth="1" min="7" max="7" width="12.38"/>
    <col customWidth="1" min="8" max="8" width="20.63"/>
    <col customWidth="1" min="9" max="9" width="11.25"/>
    <col customWidth="1" min="10" max="10" width="9.25"/>
    <col customWidth="1" min="11" max="12" width="9.5"/>
    <col customWidth="1" min="15" max="15" width="9.88"/>
    <col customWidth="1" min="16" max="16" width="8.13"/>
  </cols>
  <sheetData>
    <row r="1">
      <c r="A1" s="18" t="s">
        <v>346</v>
      </c>
      <c r="B1" s="416" t="s">
        <v>296</v>
      </c>
      <c r="F1" s="107"/>
      <c r="G1" s="107"/>
      <c r="H1" s="417" t="s">
        <v>325</v>
      </c>
      <c r="I1" s="107"/>
    </row>
    <row r="2">
      <c r="B2" s="18" t="s">
        <v>240</v>
      </c>
      <c r="C2" s="249">
        <v>13.0</v>
      </c>
      <c r="F2" s="27"/>
      <c r="G2" s="26"/>
      <c r="H2" s="302" t="s">
        <v>119</v>
      </c>
      <c r="I2" s="302" t="s">
        <v>120</v>
      </c>
    </row>
    <row r="3">
      <c r="B3" s="18" t="s">
        <v>241</v>
      </c>
      <c r="C3" s="249">
        <f>62.92</f>
        <v>62.92</v>
      </c>
      <c r="F3" s="107"/>
      <c r="G3" s="107"/>
      <c r="H3" s="7" t="s">
        <v>326</v>
      </c>
      <c r="I3" s="7" t="s">
        <v>327</v>
      </c>
    </row>
    <row r="4">
      <c r="B4" s="18" t="s">
        <v>242</v>
      </c>
      <c r="C4" s="249">
        <v>13.0</v>
      </c>
      <c r="D4" s="249"/>
      <c r="F4" s="26"/>
      <c r="G4" s="107"/>
      <c r="H4" s="7" t="s">
        <v>328</v>
      </c>
      <c r="I4" s="7" t="s">
        <v>329</v>
      </c>
      <c r="J4" s="107"/>
    </row>
    <row r="5">
      <c r="B5" s="18" t="s">
        <v>285</v>
      </c>
      <c r="C5" s="249">
        <v>42.0</v>
      </c>
      <c r="D5" s="249"/>
      <c r="F5" s="107"/>
      <c r="G5" s="107"/>
      <c r="H5" s="7"/>
      <c r="I5" s="7" t="s">
        <v>192</v>
      </c>
      <c r="J5" s="107"/>
    </row>
    <row r="6">
      <c r="B6" s="18" t="s">
        <v>324</v>
      </c>
      <c r="C6" s="249">
        <v>6.0</v>
      </c>
      <c r="F6" s="107"/>
      <c r="J6" s="107"/>
    </row>
    <row r="7">
      <c r="C7" s="276">
        <f>SUM(C2:C6)</f>
        <v>136.92</v>
      </c>
      <c r="F7" s="107"/>
      <c r="J7" s="107"/>
    </row>
    <row r="8">
      <c r="J8" s="107"/>
    </row>
    <row r="9">
      <c r="J9" s="27"/>
    </row>
    <row r="10">
      <c r="F10" s="18" t="s">
        <v>366</v>
      </c>
      <c r="J10" s="107"/>
    </row>
    <row r="11">
      <c r="B11" s="55" t="s">
        <v>122</v>
      </c>
      <c r="C11" s="56"/>
      <c r="D11" s="140" t="s">
        <v>123</v>
      </c>
      <c r="E11" s="140" t="s">
        <v>124</v>
      </c>
      <c r="F11" s="140" t="s">
        <v>125</v>
      </c>
      <c r="J11" s="107"/>
      <c r="L11" s="18"/>
    </row>
    <row r="12">
      <c r="B12" s="59" t="s">
        <v>129</v>
      </c>
      <c r="C12" s="141"/>
      <c r="D12" s="113">
        <v>8402.26</v>
      </c>
      <c r="E12" s="113">
        <v>8473.39</v>
      </c>
      <c r="F12" s="113">
        <v>8402.26</v>
      </c>
      <c r="J12" s="107"/>
      <c r="L12" s="18"/>
    </row>
    <row r="13">
      <c r="B13" s="59" t="s">
        <v>136</v>
      </c>
      <c r="C13" s="141"/>
      <c r="D13" s="114">
        <f>2160+3349.61</f>
        <v>5509.61</v>
      </c>
      <c r="E13" s="114">
        <f>2160+3570.51</f>
        <v>5730.51</v>
      </c>
      <c r="F13" s="114">
        <f>2160+3544.87</f>
        <v>5704.87</v>
      </c>
      <c r="G13" s="407"/>
      <c r="H13" s="303"/>
      <c r="I13" s="107"/>
      <c r="J13" s="27"/>
      <c r="L13" s="18"/>
    </row>
    <row r="14">
      <c r="B14" s="59" t="s">
        <v>137</v>
      </c>
      <c r="C14" s="141"/>
      <c r="D14" s="115"/>
      <c r="E14" s="114"/>
      <c r="F14" s="115"/>
      <c r="G14" s="363"/>
      <c r="H14" s="363"/>
      <c r="I14" s="107"/>
      <c r="J14" s="107"/>
      <c r="L14" s="18"/>
    </row>
    <row r="15">
      <c r="B15" s="59" t="s">
        <v>138</v>
      </c>
      <c r="C15" s="141"/>
      <c r="D15" s="116"/>
      <c r="E15" s="117"/>
      <c r="F15" s="114">
        <f>16458.02+8673.34</f>
        <v>25131.36</v>
      </c>
      <c r="G15" s="32"/>
      <c r="H15" s="32"/>
      <c r="I15" s="107"/>
      <c r="J15" s="107"/>
      <c r="L15" s="18"/>
    </row>
    <row r="16">
      <c r="B16" s="142" t="s">
        <v>139</v>
      </c>
      <c r="C16" s="143"/>
      <c r="D16" s="144">
        <f t="shared" ref="D16:E16" si="1">SUM(D12:D15)</f>
        <v>13911.87</v>
      </c>
      <c r="E16" s="144">
        <f t="shared" si="1"/>
        <v>14203.9</v>
      </c>
      <c r="F16" s="144">
        <f>SUM(F12:F14)</f>
        <v>14107.13</v>
      </c>
      <c r="G16" s="248"/>
      <c r="H16" s="248"/>
      <c r="K16" s="27"/>
      <c r="L16" s="18"/>
      <c r="N16" s="107"/>
    </row>
    <row r="17">
      <c r="C17" s="27"/>
      <c r="G17" s="32"/>
      <c r="H17" s="32"/>
      <c r="I17" s="107"/>
      <c r="L17" s="18"/>
      <c r="N17" s="27"/>
    </row>
    <row r="18">
      <c r="B18" s="70" t="s">
        <v>140</v>
      </c>
      <c r="C18" s="71"/>
      <c r="D18" s="58" t="s">
        <v>123</v>
      </c>
      <c r="E18" s="58" t="s">
        <v>124</v>
      </c>
      <c r="F18" s="58" t="s">
        <v>125</v>
      </c>
      <c r="G18" s="418"/>
      <c r="H18" s="418" t="s">
        <v>331</v>
      </c>
      <c r="I18" s="192"/>
      <c r="L18" s="18"/>
    </row>
    <row r="19">
      <c r="B19" s="145" t="s">
        <v>141</v>
      </c>
      <c r="C19" s="146"/>
      <c r="D19" s="378">
        <v>410.0</v>
      </c>
      <c r="E19" s="378">
        <v>450.0</v>
      </c>
      <c r="F19" s="147">
        <v>450.0</v>
      </c>
      <c r="G19" s="192"/>
      <c r="H19" s="192"/>
      <c r="I19" s="26" t="s">
        <v>27</v>
      </c>
      <c r="J19" s="26" t="s">
        <v>274</v>
      </c>
      <c r="K19" s="26" t="s">
        <v>351</v>
      </c>
      <c r="L19" s="26" t="s">
        <v>333</v>
      </c>
      <c r="M19" s="376" t="s">
        <v>368</v>
      </c>
      <c r="N19" s="26" t="s">
        <v>48</v>
      </c>
      <c r="O19" s="26" t="s">
        <v>383</v>
      </c>
      <c r="P19" s="26" t="s">
        <v>380</v>
      </c>
    </row>
    <row r="20">
      <c r="B20" s="145" t="s">
        <v>142</v>
      </c>
      <c r="C20" s="146"/>
      <c r="D20" s="378">
        <v>220.0</v>
      </c>
      <c r="E20" s="378">
        <v>220.0</v>
      </c>
      <c r="F20" s="147">
        <v>220.0</v>
      </c>
      <c r="G20" s="408"/>
      <c r="H20" s="145" t="s">
        <v>141</v>
      </c>
      <c r="I20" s="404"/>
      <c r="J20" s="404"/>
      <c r="K20" s="420">
        <v>450.0</v>
      </c>
      <c r="L20" s="404"/>
      <c r="M20" s="404"/>
      <c r="N20" s="404"/>
      <c r="O20" s="404"/>
      <c r="P20" s="404"/>
    </row>
    <row r="21">
      <c r="B21" s="145" t="s">
        <v>143</v>
      </c>
      <c r="C21" s="146"/>
      <c r="D21" s="396">
        <v>139.9</v>
      </c>
      <c r="E21" s="396">
        <v>147.9</v>
      </c>
      <c r="F21" s="149">
        <v>147.9</v>
      </c>
      <c r="G21" s="102"/>
      <c r="H21" s="145" t="s">
        <v>142</v>
      </c>
      <c r="I21" s="404"/>
      <c r="J21" s="404"/>
      <c r="K21" s="420">
        <v>220.0</v>
      </c>
      <c r="L21" s="404"/>
      <c r="M21" s="404"/>
      <c r="N21" s="404"/>
      <c r="O21" s="404"/>
      <c r="P21" s="404"/>
    </row>
    <row r="22">
      <c r="B22" s="145" t="s">
        <v>144</v>
      </c>
      <c r="C22" s="146"/>
      <c r="D22" s="378">
        <v>100.0</v>
      </c>
      <c r="E22" s="378">
        <v>100.0</v>
      </c>
      <c r="F22" s="147">
        <f>E22</f>
        <v>100</v>
      </c>
      <c r="G22" s="408"/>
      <c r="H22" s="145" t="s">
        <v>143</v>
      </c>
      <c r="I22" s="404"/>
      <c r="J22" s="404"/>
      <c r="K22" s="420">
        <v>147.9</v>
      </c>
      <c r="L22" s="404"/>
      <c r="M22" s="404"/>
      <c r="N22" s="404"/>
      <c r="O22" s="404"/>
      <c r="P22" s="404"/>
    </row>
    <row r="23">
      <c r="B23" s="145" t="s">
        <v>145</v>
      </c>
      <c r="C23" s="146"/>
      <c r="D23" s="378">
        <v>3004.8</v>
      </c>
      <c r="E23" s="378">
        <v>3004.8</v>
      </c>
      <c r="F23" s="147">
        <v>3004.8</v>
      </c>
      <c r="G23" s="408"/>
      <c r="H23" s="145" t="s">
        <v>144</v>
      </c>
      <c r="I23" s="404"/>
      <c r="J23" s="404"/>
      <c r="K23" s="420">
        <v>100.0</v>
      </c>
      <c r="L23" s="404"/>
      <c r="M23" s="404"/>
      <c r="N23" s="404"/>
      <c r="O23" s="404"/>
      <c r="P23" s="404"/>
    </row>
    <row r="24">
      <c r="B24" s="145" t="s">
        <v>146</v>
      </c>
      <c r="C24" s="150" t="s">
        <v>136</v>
      </c>
      <c r="D24" s="378">
        <v>50.0</v>
      </c>
      <c r="E24" s="378">
        <v>0.0</v>
      </c>
      <c r="F24" s="147">
        <v>0.0</v>
      </c>
      <c r="G24" s="408"/>
      <c r="H24" s="145" t="s">
        <v>145</v>
      </c>
      <c r="I24" s="147">
        <v>4.8</v>
      </c>
      <c r="J24" s="374"/>
      <c r="L24" s="404"/>
      <c r="M24" s="404"/>
      <c r="N24" s="404"/>
      <c r="O24" s="404"/>
      <c r="P24" s="404"/>
    </row>
    <row r="25">
      <c r="B25" s="145" t="s">
        <v>180</v>
      </c>
      <c r="C25" s="146"/>
      <c r="D25" s="378">
        <v>400.0</v>
      </c>
      <c r="E25" s="378">
        <v>400.0</v>
      </c>
      <c r="F25" s="147">
        <v>400.0</v>
      </c>
      <c r="G25" s="408"/>
      <c r="H25" s="145" t="s">
        <v>146</v>
      </c>
      <c r="I25" s="147">
        <v>0.0</v>
      </c>
      <c r="J25" s="378"/>
      <c r="K25" s="404"/>
      <c r="L25" s="404"/>
      <c r="M25" s="404"/>
      <c r="N25" s="404"/>
      <c r="O25" s="404"/>
      <c r="P25" s="404"/>
    </row>
    <row r="26">
      <c r="B26" s="145" t="s">
        <v>148</v>
      </c>
      <c r="C26" s="146"/>
      <c r="D26" s="378">
        <v>600.0</v>
      </c>
      <c r="E26" s="378">
        <v>600.0</v>
      </c>
      <c r="F26" s="147">
        <v>600.0</v>
      </c>
      <c r="G26" s="408"/>
      <c r="H26" s="145" t="s">
        <v>180</v>
      </c>
      <c r="J26" s="374"/>
      <c r="K26" s="404"/>
      <c r="L26" s="404"/>
      <c r="M26" s="404"/>
      <c r="N26" s="404"/>
      <c r="O26" s="404"/>
      <c r="P26" s="374">
        <v>400.0</v>
      </c>
    </row>
    <row r="27">
      <c r="B27" s="145" t="s">
        <v>149</v>
      </c>
      <c r="C27" s="146"/>
      <c r="D27" s="378">
        <v>500.0</v>
      </c>
      <c r="E27" s="378">
        <v>500.0</v>
      </c>
      <c r="F27" s="147">
        <f>E27</f>
        <v>500</v>
      </c>
      <c r="G27" s="408"/>
      <c r="H27" s="145" t="s">
        <v>148</v>
      </c>
      <c r="J27" s="374"/>
      <c r="K27" s="420">
        <v>600.0</v>
      </c>
      <c r="L27" s="404"/>
      <c r="M27" s="404"/>
      <c r="N27" s="404"/>
      <c r="O27" s="404"/>
      <c r="P27" s="404"/>
    </row>
    <row r="28">
      <c r="B28" s="145" t="s">
        <v>181</v>
      </c>
      <c r="C28" s="146"/>
      <c r="D28" s="378">
        <v>150.0</v>
      </c>
      <c r="E28" s="378">
        <v>150.0</v>
      </c>
      <c r="F28" s="147">
        <v>150.0</v>
      </c>
      <c r="G28" s="408"/>
      <c r="H28" s="145" t="s">
        <v>149</v>
      </c>
      <c r="J28" s="374"/>
      <c r="K28" s="420">
        <v>500.0</v>
      </c>
      <c r="L28" s="404"/>
      <c r="M28" s="404"/>
      <c r="N28" s="404"/>
      <c r="O28" s="404"/>
      <c r="P28" s="404"/>
    </row>
    <row r="29">
      <c r="B29" s="145" t="s">
        <v>150</v>
      </c>
      <c r="C29" s="146"/>
      <c r="D29" s="378">
        <v>400.0</v>
      </c>
      <c r="E29" s="378">
        <v>400.0</v>
      </c>
      <c r="F29" s="147">
        <f>E29</f>
        <v>400</v>
      </c>
      <c r="G29" s="408"/>
      <c r="H29" s="145" t="s">
        <v>181</v>
      </c>
      <c r="J29" s="374"/>
      <c r="K29" s="420">
        <v>150.0</v>
      </c>
      <c r="L29" s="404"/>
      <c r="M29" s="404"/>
      <c r="N29" s="404"/>
      <c r="O29" s="404"/>
      <c r="P29" s="404"/>
    </row>
    <row r="30">
      <c r="B30" s="145" t="s">
        <v>182</v>
      </c>
      <c r="C30" s="146"/>
      <c r="D30" s="378">
        <v>160.0</v>
      </c>
      <c r="E30" s="378">
        <v>160.0</v>
      </c>
      <c r="F30" s="147">
        <v>160.0</v>
      </c>
      <c r="G30" s="408"/>
      <c r="H30" s="145" t="s">
        <v>150</v>
      </c>
      <c r="J30" s="420">
        <v>400.0</v>
      </c>
      <c r="K30" s="404"/>
      <c r="L30" s="404"/>
      <c r="M30" s="404"/>
      <c r="N30" s="404"/>
      <c r="O30" s="404"/>
      <c r="P30" s="404"/>
    </row>
    <row r="31">
      <c r="B31" s="145" t="s">
        <v>183</v>
      </c>
      <c r="C31" s="146"/>
      <c r="D31" s="378">
        <v>400.0</v>
      </c>
      <c r="E31" s="378">
        <v>400.0</v>
      </c>
      <c r="F31" s="147">
        <v>400.0</v>
      </c>
      <c r="G31" s="408"/>
      <c r="H31" s="145" t="s">
        <v>182</v>
      </c>
      <c r="J31" s="374"/>
      <c r="K31" s="404"/>
      <c r="L31" s="404"/>
      <c r="M31" s="374">
        <v>160.0</v>
      </c>
      <c r="N31" s="404"/>
      <c r="O31" s="404"/>
      <c r="P31" s="404"/>
    </row>
    <row r="32">
      <c r="B32" s="145" t="s">
        <v>152</v>
      </c>
      <c r="C32" s="146"/>
      <c r="D32" s="390"/>
      <c r="E32" s="378"/>
      <c r="F32" s="147"/>
      <c r="G32" s="408"/>
      <c r="H32" s="145" t="s">
        <v>183</v>
      </c>
      <c r="J32" s="27"/>
      <c r="K32" s="404"/>
      <c r="L32" s="404"/>
      <c r="M32" s="374">
        <v>400.0</v>
      </c>
      <c r="N32" s="404"/>
      <c r="O32" s="404"/>
      <c r="P32" s="404"/>
    </row>
    <row r="33">
      <c r="B33" s="145" t="s">
        <v>154</v>
      </c>
      <c r="C33" s="146"/>
      <c r="D33" s="390">
        <v>136.92</v>
      </c>
      <c r="E33" s="390">
        <v>136.92</v>
      </c>
      <c r="F33" s="151">
        <v>136.92</v>
      </c>
      <c r="G33" s="408"/>
      <c r="H33" s="145" t="s">
        <v>152</v>
      </c>
      <c r="I33" s="147"/>
      <c r="J33" s="374"/>
      <c r="K33" s="404"/>
      <c r="L33" s="404"/>
      <c r="M33" s="404"/>
      <c r="N33" s="404"/>
      <c r="O33" s="404"/>
      <c r="P33" s="404"/>
    </row>
    <row r="34">
      <c r="B34" s="145" t="s">
        <v>155</v>
      </c>
      <c r="C34" s="146"/>
      <c r="D34" s="390"/>
      <c r="E34" s="390"/>
      <c r="F34" s="147" t="str">
        <f>E34</f>
        <v/>
      </c>
      <c r="G34" s="408"/>
      <c r="H34" s="145" t="s">
        <v>154</v>
      </c>
      <c r="I34" s="147">
        <v>123.92</v>
      </c>
      <c r="J34" s="147">
        <v>13.0</v>
      </c>
      <c r="K34" s="404"/>
      <c r="L34" s="404"/>
      <c r="M34" s="404"/>
      <c r="N34" s="404"/>
      <c r="O34" s="404"/>
      <c r="P34" s="404"/>
    </row>
    <row r="35">
      <c r="B35" s="145" t="s">
        <v>156</v>
      </c>
      <c r="C35" s="146"/>
      <c r="D35" s="378">
        <v>100.0</v>
      </c>
      <c r="E35" s="378">
        <v>100.0</v>
      </c>
      <c r="F35" s="151"/>
      <c r="G35" s="408"/>
      <c r="H35" s="145" t="s">
        <v>155</v>
      </c>
      <c r="I35" s="147"/>
      <c r="J35" s="374"/>
      <c r="K35" s="404"/>
      <c r="L35" s="404"/>
      <c r="M35" s="404"/>
      <c r="N35" s="404"/>
      <c r="O35" s="404"/>
      <c r="P35" s="404"/>
    </row>
    <row r="36">
      <c r="B36" s="145" t="s">
        <v>157</v>
      </c>
      <c r="C36" s="146"/>
      <c r="D36" s="378">
        <v>50.0</v>
      </c>
      <c r="E36" s="378">
        <v>50.0</v>
      </c>
      <c r="F36" s="147">
        <f t="shared" ref="F36:F37" si="2">E36</f>
        <v>50</v>
      </c>
      <c r="G36" s="408"/>
      <c r="H36" s="145" t="s">
        <v>156</v>
      </c>
      <c r="I36" s="421"/>
      <c r="J36" s="374"/>
      <c r="K36" s="404"/>
      <c r="L36" s="404"/>
      <c r="M36" s="147"/>
      <c r="N36" s="404"/>
      <c r="O36" s="404"/>
      <c r="P36" s="404"/>
      <c r="Q36" s="18"/>
    </row>
    <row r="37">
      <c r="B37" s="145" t="s">
        <v>158</v>
      </c>
      <c r="C37" s="146"/>
      <c r="D37" s="390"/>
      <c r="E37" s="390"/>
      <c r="F37" s="147" t="str">
        <f t="shared" si="2"/>
        <v/>
      </c>
      <c r="G37" s="408"/>
      <c r="H37" s="145" t="s">
        <v>157</v>
      </c>
      <c r="J37" s="374"/>
      <c r="K37" s="404"/>
      <c r="L37" s="404"/>
      <c r="M37" s="404"/>
      <c r="N37" s="404"/>
      <c r="O37" s="374">
        <v>50.0</v>
      </c>
      <c r="P37" s="374"/>
      <c r="Q37" s="18"/>
    </row>
    <row r="38">
      <c r="B38" s="145" t="s">
        <v>159</v>
      </c>
      <c r="C38" s="146"/>
      <c r="D38" s="378">
        <v>800.0</v>
      </c>
      <c r="E38" s="378">
        <v>800.0</v>
      </c>
      <c r="F38" s="147">
        <v>800.0</v>
      </c>
      <c r="G38" s="408"/>
      <c r="H38" s="145" t="s">
        <v>158</v>
      </c>
      <c r="I38" s="147"/>
      <c r="J38" s="374"/>
      <c r="K38" s="404"/>
      <c r="L38" s="404"/>
      <c r="M38" s="404"/>
      <c r="N38" s="404"/>
      <c r="O38" s="404"/>
      <c r="P38" s="404"/>
    </row>
    <row r="39">
      <c r="B39" s="145" t="s">
        <v>160</v>
      </c>
      <c r="C39" s="146"/>
      <c r="D39" s="378">
        <v>3000.0</v>
      </c>
      <c r="E39" s="378">
        <v>3000.0</v>
      </c>
      <c r="F39" s="147">
        <f>E39</f>
        <v>3000</v>
      </c>
      <c r="G39" s="408"/>
      <c r="H39" s="145" t="s">
        <v>159</v>
      </c>
      <c r="I39" s="147">
        <v>400.0</v>
      </c>
      <c r="J39" s="378">
        <v>0.0</v>
      </c>
      <c r="K39" s="404"/>
      <c r="L39" s="404"/>
      <c r="M39" s="404"/>
      <c r="N39" s="404"/>
      <c r="O39" s="404"/>
      <c r="P39" s="404"/>
    </row>
    <row r="40">
      <c r="B40" s="145" t="s">
        <v>184</v>
      </c>
      <c r="C40" s="146"/>
      <c r="D40" s="378">
        <v>700.0</v>
      </c>
      <c r="E40" s="378">
        <v>700.0</v>
      </c>
      <c r="F40" s="147">
        <v>700.0</v>
      </c>
      <c r="G40" s="408"/>
      <c r="H40" s="145" t="s">
        <v>160</v>
      </c>
      <c r="I40" s="147">
        <v>1500.0</v>
      </c>
      <c r="J40" s="147">
        <v>1500.0</v>
      </c>
      <c r="K40" s="404"/>
      <c r="L40" s="404"/>
      <c r="M40" s="404"/>
      <c r="N40" s="404"/>
      <c r="O40" s="404"/>
      <c r="P40" s="404"/>
    </row>
    <row r="41">
      <c r="B41" s="145" t="s">
        <v>3</v>
      </c>
      <c r="C41" s="146"/>
      <c r="D41" s="378">
        <v>500.0</v>
      </c>
      <c r="E41" s="378">
        <v>500.0</v>
      </c>
      <c r="F41" s="147">
        <v>500.0</v>
      </c>
      <c r="G41" s="408"/>
      <c r="H41" s="145" t="s">
        <v>184</v>
      </c>
      <c r="J41" s="374"/>
      <c r="K41" s="404"/>
      <c r="L41" s="374">
        <v>700.0</v>
      </c>
      <c r="M41" s="404"/>
      <c r="N41" s="404"/>
      <c r="O41" s="404"/>
      <c r="P41" s="404"/>
    </row>
    <row r="42">
      <c r="B42" s="152" t="s">
        <v>161</v>
      </c>
      <c r="C42" s="153"/>
      <c r="D42" s="154">
        <f t="shared" ref="D42:F42" si="3">SUM(D19:D41)*-1</f>
        <v>-11821.62</v>
      </c>
      <c r="E42" s="154">
        <f t="shared" si="3"/>
        <v>-11819.62</v>
      </c>
      <c r="F42" s="154">
        <f t="shared" si="3"/>
        <v>-11719.62</v>
      </c>
      <c r="G42" s="408"/>
      <c r="H42" s="145" t="s">
        <v>3</v>
      </c>
      <c r="J42" s="404"/>
      <c r="K42" s="404"/>
      <c r="L42" s="374">
        <v>500.0</v>
      </c>
      <c r="M42" s="404"/>
      <c r="N42" s="404"/>
      <c r="O42" s="404"/>
      <c r="P42" s="404"/>
    </row>
    <row r="43">
      <c r="C43" s="27"/>
      <c r="G43" s="18"/>
      <c r="H43" s="18" t="s">
        <v>382</v>
      </c>
      <c r="J43" s="404"/>
      <c r="K43" s="404"/>
      <c r="L43" s="107">
        <v>962.79</v>
      </c>
      <c r="M43" s="404"/>
      <c r="N43" s="378">
        <v>1424.72</v>
      </c>
      <c r="O43" s="404"/>
      <c r="P43" s="404"/>
    </row>
    <row r="44">
      <c r="B44" s="156" t="s">
        <v>162</v>
      </c>
      <c r="C44" s="157"/>
      <c r="D44" s="158">
        <f t="shared" ref="D44:F44" si="4">D16+D42</f>
        <v>2090.25</v>
      </c>
      <c r="E44" s="158">
        <f t="shared" si="4"/>
        <v>2384.28</v>
      </c>
      <c r="F44" s="158">
        <f t="shared" si="4"/>
        <v>2387.51</v>
      </c>
      <c r="G44" s="107"/>
      <c r="H44" s="7" t="s">
        <v>26</v>
      </c>
      <c r="I44" s="373">
        <f t="shared" ref="I44:P44" si="5">SUM(I20:I43)</f>
        <v>2028.72</v>
      </c>
      <c r="J44" s="373">
        <f t="shared" si="5"/>
        <v>1913</v>
      </c>
      <c r="K44" s="373">
        <f t="shared" si="5"/>
        <v>2167.9</v>
      </c>
      <c r="L44" s="373">
        <f t="shared" si="5"/>
        <v>2162.79</v>
      </c>
      <c r="M44" s="373">
        <f t="shared" si="5"/>
        <v>560</v>
      </c>
      <c r="N44" s="373">
        <f t="shared" si="5"/>
        <v>1424.72</v>
      </c>
      <c r="O44" s="373">
        <f t="shared" si="5"/>
        <v>50</v>
      </c>
      <c r="P44" s="373">
        <f t="shared" si="5"/>
        <v>400</v>
      </c>
    </row>
    <row r="45">
      <c r="B45" s="83"/>
      <c r="C45" s="159"/>
      <c r="D45" s="84"/>
      <c r="E45" s="84"/>
      <c r="F45" s="84"/>
      <c r="G45" s="107"/>
      <c r="H45" s="107" t="s">
        <v>371</v>
      </c>
      <c r="I45" s="415">
        <f>(E12)-I44-3000</f>
        <v>3444.67</v>
      </c>
      <c r="J45" s="375">
        <f>J46-J44</f>
        <v>3387.51</v>
      </c>
      <c r="K45" s="287"/>
    </row>
    <row r="46">
      <c r="B46" s="85" t="s">
        <v>163</v>
      </c>
      <c r="C46" s="160"/>
      <c r="D46" s="161" t="s">
        <v>123</v>
      </c>
      <c r="E46" s="161" t="s">
        <v>124</v>
      </c>
      <c r="F46" s="161" t="s">
        <v>125</v>
      </c>
      <c r="G46" s="248"/>
      <c r="H46" s="325" t="s">
        <v>353</v>
      </c>
      <c r="J46" s="18">
        <v>5300.51</v>
      </c>
    </row>
    <row r="47">
      <c r="B47" s="162"/>
      <c r="C47" s="163"/>
      <c r="D47" s="164"/>
      <c r="E47" s="164"/>
      <c r="F47" s="165"/>
      <c r="G47" s="107"/>
      <c r="H47" s="107"/>
    </row>
    <row r="48">
      <c r="A48" s="298"/>
      <c r="B48" s="162" t="s">
        <v>58</v>
      </c>
      <c r="C48" s="163"/>
      <c r="D48" s="167">
        <v>962.79</v>
      </c>
      <c r="E48" s="167">
        <v>962.79</v>
      </c>
      <c r="F48" s="167">
        <v>962.79</v>
      </c>
      <c r="G48" s="107"/>
      <c r="H48" s="107"/>
      <c r="I48" s="28">
        <f>16458.02+I45</f>
        <v>19902.69</v>
      </c>
    </row>
    <row r="49">
      <c r="B49" s="162"/>
      <c r="C49" s="163"/>
      <c r="D49" s="166"/>
      <c r="E49" s="166"/>
      <c r="F49" s="166"/>
      <c r="G49" s="107"/>
      <c r="H49" s="107"/>
      <c r="K49" s="18">
        <v>218.84</v>
      </c>
      <c r="L49" s="387"/>
      <c r="N49" s="387"/>
    </row>
    <row r="50">
      <c r="B50" s="168"/>
      <c r="C50" s="169"/>
      <c r="D50" s="170"/>
      <c r="E50" s="170"/>
      <c r="F50" s="170"/>
      <c r="G50" s="107"/>
      <c r="H50" s="107"/>
      <c r="K50" s="185" t="s">
        <v>384</v>
      </c>
    </row>
    <row r="51">
      <c r="B51" s="152" t="s">
        <v>167</v>
      </c>
      <c r="C51" s="171"/>
      <c r="D51" s="172">
        <f t="shared" ref="D51:F51" si="6">SUM(D47:D50)*-1</f>
        <v>-962.79</v>
      </c>
      <c r="E51" s="172">
        <f t="shared" si="6"/>
        <v>-962.79</v>
      </c>
      <c r="F51" s="172">
        <f t="shared" si="6"/>
        <v>-962.79</v>
      </c>
    </row>
    <row r="52">
      <c r="B52" s="83"/>
      <c r="C52" s="159"/>
      <c r="D52" s="96"/>
      <c r="E52" s="96"/>
      <c r="F52" s="96"/>
      <c r="G52" s="107"/>
      <c r="H52" s="107"/>
    </row>
    <row r="53">
      <c r="B53" s="173" t="s">
        <v>168</v>
      </c>
      <c r="C53" s="174"/>
      <c r="D53" s="175">
        <f t="shared" ref="D53:F53" si="7">D44+D51</f>
        <v>1127.46</v>
      </c>
      <c r="E53" s="175">
        <f t="shared" si="7"/>
        <v>1421.49</v>
      </c>
      <c r="F53" s="175">
        <f t="shared" si="7"/>
        <v>1424.72</v>
      </c>
      <c r="G53" s="107"/>
      <c r="H53" s="107"/>
      <c r="I53" s="107"/>
    </row>
    <row r="54">
      <c r="B54" s="83"/>
      <c r="C54" s="159"/>
      <c r="D54" s="96"/>
      <c r="E54" s="96"/>
      <c r="F54" s="96"/>
      <c r="G54" s="107"/>
      <c r="H54" s="107"/>
      <c r="I54" s="18"/>
    </row>
    <row r="55">
      <c r="B55" s="100" t="s">
        <v>169</v>
      </c>
      <c r="C55" s="176"/>
      <c r="D55" s="177" t="s">
        <v>123</v>
      </c>
      <c r="E55" s="177" t="s">
        <v>124</v>
      </c>
      <c r="F55" s="177" t="s">
        <v>125</v>
      </c>
      <c r="G55" s="107"/>
      <c r="H55" s="107"/>
      <c r="I55" s="18"/>
    </row>
    <row r="56">
      <c r="B56" s="152" t="s">
        <v>171</v>
      </c>
      <c r="C56" s="153"/>
      <c r="D56" s="178">
        <f t="shared" ref="D56:F56" si="8">+D53</f>
        <v>1127.46</v>
      </c>
      <c r="E56" s="178">
        <f t="shared" si="8"/>
        <v>1421.49</v>
      </c>
      <c r="F56" s="178">
        <f t="shared" si="8"/>
        <v>1424.72</v>
      </c>
      <c r="G56" s="27"/>
      <c r="H56" s="27"/>
    </row>
    <row r="57">
      <c r="D57" s="362"/>
      <c r="E57" s="362"/>
      <c r="F57" s="27"/>
      <c r="G57" s="27"/>
      <c r="H57" s="27"/>
    </row>
    <row r="58">
      <c r="F58" s="27"/>
      <c r="G58" s="27"/>
      <c r="H58" s="27"/>
    </row>
    <row r="59">
      <c r="F59" s="27"/>
      <c r="G59" s="27"/>
      <c r="H59" s="27"/>
    </row>
    <row r="60">
      <c r="F60" s="27"/>
      <c r="G60" s="27"/>
      <c r="H60" s="27"/>
    </row>
    <row r="61">
      <c r="F61" s="27"/>
      <c r="G61" s="27"/>
      <c r="H61" s="27"/>
    </row>
    <row r="62">
      <c r="F62" s="27"/>
      <c r="G62" s="27"/>
      <c r="H62" s="27"/>
    </row>
    <row r="63">
      <c r="F63" s="27"/>
      <c r="G63" s="27"/>
      <c r="H63" s="27"/>
    </row>
    <row r="64">
      <c r="F64" s="27"/>
      <c r="G64" s="27"/>
      <c r="H64" s="27"/>
    </row>
    <row r="65">
      <c r="F65" s="27"/>
      <c r="G65" s="27"/>
      <c r="H65" s="27"/>
    </row>
    <row r="66">
      <c r="F66" s="27"/>
      <c r="G66" s="27"/>
      <c r="H66" s="27"/>
    </row>
    <row r="67">
      <c r="F67" s="27"/>
      <c r="G67" s="27"/>
      <c r="H67" s="27"/>
    </row>
    <row r="68">
      <c r="F68" s="27"/>
      <c r="G68" s="27"/>
      <c r="H68" s="27"/>
    </row>
    <row r="69">
      <c r="F69" s="27"/>
      <c r="G69" s="27"/>
      <c r="H69" s="27"/>
    </row>
    <row r="70">
      <c r="F70" s="27"/>
      <c r="G70" s="27"/>
      <c r="H70" s="27"/>
    </row>
    <row r="71">
      <c r="F71" s="27"/>
      <c r="G71" s="27"/>
      <c r="H71" s="27"/>
    </row>
    <row r="72">
      <c r="F72" s="27"/>
      <c r="G72" s="27"/>
      <c r="H72" s="27"/>
    </row>
    <row r="73">
      <c r="F73" s="27"/>
      <c r="G73" s="27"/>
      <c r="H73" s="27"/>
    </row>
    <row r="74">
      <c r="F74" s="27"/>
      <c r="G74" s="27"/>
      <c r="H74" s="27"/>
    </row>
    <row r="75">
      <c r="F75" s="27"/>
      <c r="G75" s="27"/>
      <c r="H75" s="27"/>
    </row>
    <row r="76">
      <c r="F76" s="27"/>
      <c r="G76" s="27"/>
      <c r="H76" s="27"/>
    </row>
    <row r="77">
      <c r="F77" s="27"/>
      <c r="G77" s="27"/>
      <c r="H77" s="27"/>
    </row>
    <row r="78">
      <c r="F78" s="27"/>
      <c r="G78" s="27"/>
      <c r="H78" s="27"/>
    </row>
    <row r="79">
      <c r="F79" s="27"/>
      <c r="G79" s="27"/>
      <c r="H79" s="27"/>
    </row>
    <row r="80">
      <c r="F80" s="27"/>
      <c r="G80" s="27"/>
      <c r="H80" s="27"/>
    </row>
    <row r="81">
      <c r="F81" s="27"/>
      <c r="G81" s="27"/>
      <c r="H81" s="27"/>
    </row>
    <row r="82">
      <c r="F82" s="27"/>
      <c r="G82" s="27"/>
      <c r="H82" s="27"/>
    </row>
    <row r="83">
      <c r="F83" s="27"/>
      <c r="G83" s="27"/>
      <c r="H83" s="27"/>
    </row>
    <row r="84">
      <c r="F84" s="27"/>
      <c r="G84" s="27"/>
      <c r="H84" s="27"/>
    </row>
    <row r="85">
      <c r="F85" s="27"/>
      <c r="G85" s="27"/>
      <c r="H85" s="27"/>
    </row>
    <row r="86">
      <c r="F86" s="27"/>
      <c r="G86" s="27"/>
      <c r="H86" s="27"/>
    </row>
    <row r="87">
      <c r="F87" s="27"/>
      <c r="G87" s="27"/>
      <c r="H87" s="27"/>
    </row>
    <row r="88">
      <c r="F88" s="27"/>
      <c r="G88" s="27"/>
      <c r="H88" s="27"/>
    </row>
    <row r="89">
      <c r="F89" s="27"/>
      <c r="G89" s="27"/>
      <c r="H89" s="27"/>
    </row>
    <row r="90">
      <c r="F90" s="27"/>
      <c r="G90" s="27"/>
      <c r="H90" s="27"/>
    </row>
    <row r="91">
      <c r="F91" s="27"/>
      <c r="G91" s="27"/>
      <c r="H91" s="27"/>
    </row>
    <row r="92">
      <c r="F92" s="27"/>
      <c r="G92" s="27"/>
      <c r="H92" s="27"/>
    </row>
    <row r="93">
      <c r="F93" s="27"/>
      <c r="G93" s="27"/>
      <c r="H93" s="27"/>
    </row>
    <row r="94">
      <c r="F94" s="27"/>
      <c r="G94" s="27"/>
      <c r="H94" s="27"/>
    </row>
    <row r="95">
      <c r="F95" s="27"/>
      <c r="G95" s="27"/>
      <c r="H95" s="27"/>
    </row>
    <row r="96">
      <c r="F96" s="27"/>
      <c r="G96" s="27"/>
      <c r="H96" s="27"/>
    </row>
    <row r="97">
      <c r="F97" s="27"/>
      <c r="G97" s="27"/>
      <c r="H97" s="27"/>
    </row>
    <row r="98">
      <c r="F98" s="27"/>
      <c r="G98" s="27"/>
      <c r="H98" s="27"/>
    </row>
    <row r="99">
      <c r="F99" s="27"/>
      <c r="G99" s="27"/>
      <c r="H99" s="27"/>
    </row>
    <row r="100">
      <c r="F100" s="27"/>
      <c r="G100" s="27"/>
      <c r="H100" s="27"/>
    </row>
    <row r="101">
      <c r="F101" s="27"/>
      <c r="G101" s="27"/>
      <c r="H101" s="27"/>
    </row>
    <row r="102">
      <c r="F102" s="27"/>
      <c r="G102" s="27"/>
      <c r="H102" s="27"/>
    </row>
    <row r="103">
      <c r="F103" s="27"/>
      <c r="G103" s="27"/>
      <c r="H103" s="27"/>
    </row>
    <row r="104">
      <c r="F104" s="27"/>
      <c r="G104" s="27"/>
      <c r="H104" s="27"/>
    </row>
    <row r="105">
      <c r="F105" s="27"/>
      <c r="G105" s="27"/>
      <c r="H105" s="27"/>
    </row>
    <row r="106">
      <c r="F106" s="27"/>
      <c r="G106" s="27"/>
      <c r="H106" s="27"/>
    </row>
    <row r="107">
      <c r="F107" s="27"/>
      <c r="G107" s="27"/>
      <c r="H107" s="27"/>
    </row>
    <row r="108">
      <c r="F108" s="27"/>
      <c r="G108" s="27"/>
      <c r="H108" s="27"/>
    </row>
    <row r="109">
      <c r="F109" s="27"/>
      <c r="G109" s="27"/>
      <c r="H109" s="27"/>
    </row>
    <row r="110">
      <c r="F110" s="27"/>
      <c r="G110" s="27"/>
      <c r="H110" s="27"/>
    </row>
    <row r="111">
      <c r="F111" s="27"/>
      <c r="G111" s="27"/>
      <c r="H111" s="27"/>
    </row>
    <row r="112">
      <c r="F112" s="27"/>
      <c r="G112" s="27"/>
      <c r="H112" s="27"/>
    </row>
    <row r="113">
      <c r="F113" s="27"/>
      <c r="G113" s="27"/>
      <c r="H113" s="27"/>
    </row>
    <row r="114">
      <c r="F114" s="27"/>
      <c r="G114" s="27"/>
      <c r="H114" s="27"/>
    </row>
    <row r="115">
      <c r="F115" s="27"/>
      <c r="G115" s="27"/>
      <c r="H115" s="27"/>
    </row>
    <row r="116">
      <c r="F116" s="27"/>
      <c r="G116" s="27"/>
      <c r="H116" s="27"/>
    </row>
    <row r="117">
      <c r="F117" s="27"/>
      <c r="G117" s="27"/>
      <c r="H117" s="27"/>
    </row>
    <row r="118">
      <c r="F118" s="27"/>
      <c r="G118" s="27"/>
      <c r="H118" s="27"/>
    </row>
    <row r="119">
      <c r="F119" s="27"/>
      <c r="G119" s="27"/>
      <c r="H119" s="27"/>
    </row>
    <row r="120">
      <c r="F120" s="27"/>
      <c r="G120" s="27"/>
      <c r="H120" s="27"/>
    </row>
    <row r="121">
      <c r="F121" s="27"/>
      <c r="G121" s="27"/>
      <c r="H121" s="27"/>
    </row>
    <row r="122">
      <c r="F122" s="27"/>
      <c r="G122" s="27"/>
      <c r="H122" s="27"/>
    </row>
    <row r="123">
      <c r="F123" s="27"/>
      <c r="G123" s="27"/>
      <c r="H123" s="27"/>
    </row>
    <row r="124">
      <c r="F124" s="27"/>
      <c r="G124" s="27"/>
      <c r="H124" s="27"/>
    </row>
    <row r="125">
      <c r="F125" s="27"/>
      <c r="G125" s="27"/>
      <c r="H125" s="27"/>
    </row>
    <row r="126">
      <c r="F126" s="27"/>
      <c r="G126" s="27"/>
      <c r="H126" s="27"/>
    </row>
    <row r="127">
      <c r="F127" s="27"/>
      <c r="G127" s="27"/>
      <c r="H127" s="27"/>
    </row>
    <row r="128">
      <c r="F128" s="27"/>
      <c r="G128" s="27"/>
      <c r="H128" s="27"/>
    </row>
    <row r="129">
      <c r="F129" s="27"/>
      <c r="G129" s="27"/>
      <c r="H129" s="27"/>
    </row>
    <row r="130">
      <c r="F130" s="27"/>
      <c r="G130" s="27"/>
      <c r="H130" s="27"/>
    </row>
    <row r="131">
      <c r="F131" s="27"/>
      <c r="G131" s="27"/>
      <c r="H131" s="27"/>
    </row>
    <row r="132">
      <c r="F132" s="27"/>
      <c r="G132" s="27"/>
      <c r="H132" s="27"/>
    </row>
    <row r="133">
      <c r="F133" s="27"/>
      <c r="G133" s="27"/>
      <c r="H133" s="27"/>
    </row>
    <row r="134">
      <c r="F134" s="27"/>
      <c r="G134" s="27"/>
      <c r="H134" s="27"/>
    </row>
    <row r="135">
      <c r="F135" s="27"/>
      <c r="G135" s="27"/>
      <c r="H135" s="27"/>
    </row>
    <row r="136">
      <c r="F136" s="27"/>
      <c r="G136" s="27"/>
      <c r="H136" s="27"/>
    </row>
    <row r="137">
      <c r="F137" s="27"/>
      <c r="G137" s="27"/>
      <c r="H137" s="27"/>
    </row>
    <row r="138">
      <c r="F138" s="27"/>
      <c r="G138" s="27"/>
      <c r="H138" s="27"/>
    </row>
    <row r="139">
      <c r="F139" s="27"/>
      <c r="G139" s="27"/>
      <c r="H139" s="27"/>
    </row>
    <row r="140">
      <c r="F140" s="27"/>
      <c r="G140" s="27"/>
      <c r="H140" s="27"/>
    </row>
    <row r="141">
      <c r="F141" s="27"/>
      <c r="G141" s="27"/>
      <c r="H141" s="27"/>
    </row>
    <row r="142">
      <c r="F142" s="27"/>
      <c r="G142" s="27"/>
      <c r="H142" s="27"/>
    </row>
    <row r="143">
      <c r="F143" s="27"/>
      <c r="G143" s="27"/>
      <c r="H143" s="27"/>
    </row>
    <row r="144">
      <c r="F144" s="27"/>
      <c r="G144" s="27"/>
      <c r="H144" s="27"/>
    </row>
    <row r="145">
      <c r="F145" s="27"/>
      <c r="G145" s="27"/>
      <c r="H145" s="27"/>
    </row>
    <row r="146">
      <c r="F146" s="27"/>
      <c r="G146" s="27"/>
      <c r="H146" s="27"/>
    </row>
    <row r="147">
      <c r="F147" s="27"/>
      <c r="G147" s="27"/>
      <c r="H147" s="27"/>
    </row>
    <row r="148">
      <c r="F148" s="27"/>
      <c r="G148" s="27"/>
      <c r="H148" s="27"/>
    </row>
    <row r="149">
      <c r="F149" s="27"/>
      <c r="G149" s="27"/>
      <c r="H149" s="27"/>
    </row>
    <row r="150">
      <c r="F150" s="27"/>
      <c r="G150" s="27"/>
      <c r="H150" s="27"/>
    </row>
    <row r="151">
      <c r="F151" s="27"/>
      <c r="G151" s="27"/>
      <c r="H151" s="27"/>
    </row>
    <row r="152">
      <c r="F152" s="27"/>
      <c r="G152" s="27"/>
      <c r="H152" s="27"/>
    </row>
    <row r="153">
      <c r="F153" s="27"/>
      <c r="G153" s="27"/>
      <c r="H153" s="27"/>
    </row>
    <row r="154">
      <c r="F154" s="27"/>
      <c r="G154" s="27"/>
      <c r="H154" s="27"/>
    </row>
    <row r="155">
      <c r="F155" s="27"/>
      <c r="G155" s="27"/>
      <c r="H155" s="27"/>
    </row>
    <row r="156">
      <c r="F156" s="27"/>
      <c r="G156" s="27"/>
      <c r="H156" s="27"/>
    </row>
    <row r="157">
      <c r="F157" s="27"/>
      <c r="G157" s="27"/>
      <c r="H157" s="27"/>
    </row>
    <row r="158">
      <c r="F158" s="27"/>
      <c r="G158" s="27"/>
      <c r="H158" s="27"/>
    </row>
    <row r="159">
      <c r="F159" s="27"/>
      <c r="G159" s="27"/>
      <c r="H159" s="27"/>
    </row>
    <row r="160">
      <c r="F160" s="27"/>
      <c r="G160" s="27"/>
      <c r="H160" s="27"/>
    </row>
    <row r="161">
      <c r="F161" s="27"/>
      <c r="G161" s="27"/>
      <c r="H161" s="27"/>
    </row>
    <row r="162">
      <c r="F162" s="27"/>
      <c r="G162" s="27"/>
      <c r="H162" s="27"/>
    </row>
    <row r="163">
      <c r="F163" s="27"/>
      <c r="G163" s="27"/>
      <c r="H163" s="27"/>
    </row>
    <row r="164">
      <c r="F164" s="27"/>
      <c r="G164" s="27"/>
      <c r="H164" s="27"/>
    </row>
    <row r="165">
      <c r="F165" s="27"/>
      <c r="G165" s="27"/>
      <c r="H165" s="27"/>
    </row>
    <row r="166">
      <c r="F166" s="27"/>
      <c r="G166" s="27"/>
      <c r="H166" s="27"/>
    </row>
    <row r="167">
      <c r="F167" s="27"/>
      <c r="G167" s="27"/>
      <c r="H167" s="27"/>
    </row>
    <row r="168">
      <c r="F168" s="27"/>
      <c r="G168" s="27"/>
      <c r="H168" s="27"/>
    </row>
    <row r="169">
      <c r="F169" s="27"/>
      <c r="G169" s="27"/>
      <c r="H169" s="27"/>
    </row>
    <row r="170">
      <c r="F170" s="27"/>
      <c r="G170" s="27"/>
      <c r="H170" s="27"/>
    </row>
    <row r="171">
      <c r="F171" s="27"/>
      <c r="G171" s="27"/>
      <c r="H171" s="27"/>
    </row>
    <row r="172">
      <c r="F172" s="27"/>
      <c r="G172" s="27"/>
      <c r="H172" s="27"/>
    </row>
    <row r="173">
      <c r="F173" s="27"/>
      <c r="G173" s="27"/>
      <c r="H173" s="27"/>
    </row>
    <row r="174">
      <c r="F174" s="27"/>
      <c r="G174" s="27"/>
      <c r="H174" s="27"/>
    </row>
    <row r="175">
      <c r="F175" s="27"/>
      <c r="G175" s="27"/>
      <c r="H175" s="27"/>
    </row>
    <row r="176">
      <c r="F176" s="27"/>
      <c r="G176" s="27"/>
      <c r="H176" s="27"/>
    </row>
    <row r="177">
      <c r="F177" s="27"/>
      <c r="G177" s="27"/>
      <c r="H177" s="27"/>
    </row>
    <row r="178">
      <c r="F178" s="27"/>
      <c r="G178" s="27"/>
      <c r="H178" s="27"/>
    </row>
    <row r="179">
      <c r="F179" s="27"/>
      <c r="G179" s="27"/>
      <c r="H179" s="27"/>
    </row>
    <row r="180">
      <c r="F180" s="27"/>
      <c r="G180" s="27"/>
      <c r="H180" s="27"/>
    </row>
    <row r="181">
      <c r="F181" s="27"/>
      <c r="G181" s="27"/>
      <c r="H181" s="27"/>
    </row>
    <row r="182">
      <c r="F182" s="27"/>
      <c r="G182" s="27"/>
      <c r="H182" s="27"/>
    </row>
    <row r="183">
      <c r="F183" s="27"/>
      <c r="G183" s="27"/>
      <c r="H183" s="27"/>
    </row>
    <row r="184">
      <c r="F184" s="27"/>
      <c r="G184" s="27"/>
      <c r="H184" s="27"/>
    </row>
    <row r="185">
      <c r="F185" s="27"/>
      <c r="G185" s="27"/>
      <c r="H185" s="27"/>
    </row>
    <row r="186">
      <c r="F186" s="27"/>
      <c r="G186" s="27"/>
      <c r="H186" s="27"/>
    </row>
    <row r="187">
      <c r="F187" s="27"/>
      <c r="G187" s="27"/>
      <c r="H187" s="27"/>
    </row>
    <row r="188">
      <c r="F188" s="27"/>
      <c r="G188" s="27"/>
      <c r="H188" s="27"/>
    </row>
    <row r="189">
      <c r="F189" s="27"/>
      <c r="G189" s="27"/>
      <c r="H189" s="27"/>
    </row>
    <row r="190">
      <c r="F190" s="27"/>
      <c r="G190" s="27"/>
      <c r="H190" s="27"/>
    </row>
    <row r="191">
      <c r="F191" s="27"/>
      <c r="G191" s="27"/>
      <c r="H191" s="27"/>
    </row>
    <row r="192">
      <c r="F192" s="27"/>
      <c r="G192" s="27"/>
      <c r="H192" s="27"/>
    </row>
    <row r="193">
      <c r="F193" s="27"/>
      <c r="G193" s="27"/>
      <c r="H193" s="27"/>
    </row>
    <row r="194">
      <c r="F194" s="27"/>
      <c r="G194" s="27"/>
      <c r="H194" s="27"/>
    </row>
    <row r="195">
      <c r="F195" s="27"/>
      <c r="G195" s="27"/>
      <c r="H195" s="27"/>
    </row>
    <row r="196">
      <c r="F196" s="27"/>
      <c r="G196" s="27"/>
      <c r="H196" s="27"/>
    </row>
    <row r="197">
      <c r="F197" s="27"/>
      <c r="G197" s="27"/>
      <c r="H197" s="27"/>
    </row>
    <row r="198">
      <c r="F198" s="27"/>
      <c r="G198" s="27"/>
      <c r="H198" s="27"/>
    </row>
    <row r="199">
      <c r="F199" s="27"/>
      <c r="G199" s="27"/>
      <c r="H199" s="27"/>
    </row>
    <row r="200">
      <c r="F200" s="27"/>
      <c r="G200" s="27"/>
      <c r="H200" s="27"/>
    </row>
    <row r="201">
      <c r="F201" s="27"/>
      <c r="G201" s="27"/>
      <c r="H201" s="27"/>
    </row>
    <row r="202">
      <c r="F202" s="27"/>
      <c r="G202" s="27"/>
      <c r="H202" s="27"/>
    </row>
    <row r="203">
      <c r="F203" s="27"/>
      <c r="G203" s="27"/>
      <c r="H203" s="27"/>
    </row>
    <row r="204">
      <c r="F204" s="27"/>
      <c r="G204" s="27"/>
      <c r="H204" s="27"/>
    </row>
    <row r="205">
      <c r="F205" s="27"/>
      <c r="G205" s="27"/>
      <c r="H205" s="27"/>
    </row>
    <row r="206">
      <c r="F206" s="27"/>
      <c r="G206" s="27"/>
      <c r="H206" s="27"/>
    </row>
    <row r="207">
      <c r="F207" s="27"/>
      <c r="G207" s="27"/>
      <c r="H207" s="27"/>
    </row>
    <row r="208">
      <c r="F208" s="27"/>
      <c r="G208" s="27"/>
      <c r="H208" s="27"/>
    </row>
    <row r="209">
      <c r="F209" s="27"/>
      <c r="G209" s="27"/>
      <c r="H209" s="27"/>
    </row>
    <row r="210">
      <c r="F210" s="27"/>
      <c r="G210" s="27"/>
      <c r="H210" s="27"/>
    </row>
    <row r="211">
      <c r="F211" s="27"/>
      <c r="G211" s="27"/>
      <c r="H211" s="27"/>
    </row>
    <row r="212">
      <c r="F212" s="27"/>
      <c r="G212" s="27"/>
      <c r="H212" s="27"/>
    </row>
    <row r="213">
      <c r="F213" s="27"/>
      <c r="G213" s="27"/>
      <c r="H213" s="27"/>
    </row>
    <row r="214">
      <c r="F214" s="27"/>
      <c r="G214" s="27"/>
      <c r="H214" s="27"/>
    </row>
    <row r="215">
      <c r="F215" s="27"/>
      <c r="G215" s="27"/>
      <c r="H215" s="27"/>
    </row>
    <row r="216">
      <c r="F216" s="27"/>
      <c r="G216" s="27"/>
      <c r="H216" s="27"/>
    </row>
    <row r="217">
      <c r="F217" s="27"/>
      <c r="G217" s="27"/>
      <c r="H217" s="27"/>
    </row>
    <row r="218">
      <c r="F218" s="27"/>
      <c r="G218" s="27"/>
      <c r="H218" s="27"/>
    </row>
    <row r="219">
      <c r="F219" s="27"/>
      <c r="G219" s="27"/>
      <c r="H219" s="27"/>
    </row>
    <row r="220">
      <c r="F220" s="27"/>
      <c r="G220" s="27"/>
      <c r="H220" s="27"/>
    </row>
    <row r="221">
      <c r="F221" s="27"/>
      <c r="G221" s="27"/>
      <c r="H221" s="27"/>
    </row>
    <row r="222">
      <c r="F222" s="27"/>
      <c r="G222" s="27"/>
      <c r="H222" s="27"/>
    </row>
    <row r="223">
      <c r="F223" s="27"/>
      <c r="G223" s="27"/>
      <c r="H223" s="27"/>
    </row>
    <row r="224">
      <c r="F224" s="27"/>
      <c r="G224" s="27"/>
      <c r="H224" s="27"/>
    </row>
    <row r="225">
      <c r="F225" s="27"/>
      <c r="G225" s="27"/>
      <c r="H225" s="27"/>
    </row>
    <row r="226">
      <c r="F226" s="27"/>
      <c r="G226" s="27"/>
      <c r="H226" s="27"/>
    </row>
    <row r="227">
      <c r="F227" s="27"/>
      <c r="G227" s="27"/>
      <c r="H227" s="27"/>
    </row>
    <row r="228">
      <c r="F228" s="27"/>
      <c r="G228" s="27"/>
      <c r="H228" s="27"/>
    </row>
    <row r="229">
      <c r="F229" s="27"/>
      <c r="G229" s="27"/>
      <c r="H229" s="27"/>
    </row>
    <row r="230">
      <c r="F230" s="27"/>
      <c r="G230" s="27"/>
      <c r="H230" s="27"/>
    </row>
    <row r="231">
      <c r="F231" s="27"/>
      <c r="G231" s="27"/>
      <c r="H231" s="27"/>
    </row>
    <row r="232">
      <c r="F232" s="27"/>
      <c r="G232" s="27"/>
      <c r="H232" s="27"/>
    </row>
    <row r="233">
      <c r="F233" s="27"/>
      <c r="G233" s="27"/>
      <c r="H233" s="27"/>
    </row>
    <row r="234">
      <c r="F234" s="27"/>
      <c r="G234" s="27"/>
      <c r="H234" s="27"/>
    </row>
    <row r="235">
      <c r="F235" s="27"/>
      <c r="G235" s="27"/>
      <c r="H235" s="27"/>
    </row>
    <row r="236">
      <c r="F236" s="27"/>
      <c r="G236" s="27"/>
      <c r="H236" s="27"/>
    </row>
    <row r="237">
      <c r="F237" s="27"/>
      <c r="G237" s="27"/>
      <c r="H237" s="27"/>
    </row>
    <row r="238">
      <c r="F238" s="27"/>
      <c r="G238" s="27"/>
      <c r="H238" s="27"/>
    </row>
    <row r="239">
      <c r="F239" s="27"/>
      <c r="G239" s="27"/>
      <c r="H239" s="27"/>
    </row>
    <row r="240">
      <c r="F240" s="27"/>
      <c r="G240" s="27"/>
      <c r="H240" s="27"/>
    </row>
    <row r="241">
      <c r="F241" s="27"/>
      <c r="G241" s="27"/>
      <c r="H241" s="27"/>
    </row>
    <row r="242">
      <c r="F242" s="27"/>
      <c r="G242" s="27"/>
      <c r="H242" s="27"/>
    </row>
    <row r="243">
      <c r="F243" s="27"/>
      <c r="G243" s="27"/>
      <c r="H243" s="27"/>
    </row>
    <row r="244">
      <c r="F244" s="27"/>
      <c r="G244" s="27"/>
      <c r="H244" s="27"/>
    </row>
    <row r="245">
      <c r="F245" s="27"/>
      <c r="G245" s="27"/>
      <c r="H245" s="27"/>
    </row>
    <row r="246">
      <c r="F246" s="27"/>
      <c r="G246" s="27"/>
      <c r="H246" s="27"/>
    </row>
    <row r="247">
      <c r="F247" s="27"/>
      <c r="G247" s="27"/>
      <c r="H247" s="27"/>
    </row>
    <row r="248">
      <c r="F248" s="27"/>
      <c r="G248" s="27"/>
      <c r="H248" s="27"/>
    </row>
    <row r="249">
      <c r="F249" s="27"/>
      <c r="G249" s="27"/>
      <c r="H249" s="27"/>
    </row>
    <row r="250">
      <c r="F250" s="27"/>
      <c r="G250" s="27"/>
      <c r="H250" s="27"/>
    </row>
    <row r="251">
      <c r="F251" s="27"/>
      <c r="G251" s="27"/>
      <c r="H251" s="27"/>
    </row>
    <row r="252">
      <c r="F252" s="27"/>
      <c r="G252" s="27"/>
      <c r="H252" s="27"/>
    </row>
    <row r="253">
      <c r="F253" s="27"/>
      <c r="G253" s="27"/>
      <c r="H253" s="27"/>
    </row>
    <row r="254">
      <c r="F254" s="27"/>
      <c r="G254" s="27"/>
      <c r="H254" s="27"/>
    </row>
    <row r="255">
      <c r="F255" s="27"/>
      <c r="G255" s="27"/>
      <c r="H255" s="27"/>
    </row>
    <row r="256">
      <c r="F256" s="27"/>
      <c r="G256" s="27"/>
      <c r="H256" s="27"/>
    </row>
    <row r="257">
      <c r="F257" s="27"/>
      <c r="G257" s="27"/>
      <c r="H257" s="27"/>
    </row>
    <row r="258">
      <c r="F258" s="27"/>
      <c r="G258" s="27"/>
      <c r="H258" s="27"/>
    </row>
    <row r="259">
      <c r="F259" s="27"/>
      <c r="G259" s="27"/>
      <c r="H259" s="27"/>
    </row>
    <row r="260">
      <c r="F260" s="27"/>
      <c r="G260" s="27"/>
      <c r="H260" s="27"/>
    </row>
    <row r="261">
      <c r="F261" s="27"/>
      <c r="G261" s="27"/>
      <c r="H261" s="27"/>
    </row>
    <row r="262">
      <c r="F262" s="27"/>
      <c r="G262" s="27"/>
      <c r="H262" s="27"/>
    </row>
    <row r="263">
      <c r="F263" s="27"/>
      <c r="G263" s="27"/>
      <c r="H263" s="27"/>
    </row>
    <row r="264">
      <c r="F264" s="27"/>
      <c r="G264" s="27"/>
      <c r="H264" s="27"/>
    </row>
    <row r="265">
      <c r="F265" s="27"/>
      <c r="G265" s="27"/>
      <c r="H265" s="27"/>
    </row>
    <row r="266">
      <c r="F266" s="27"/>
      <c r="G266" s="27"/>
      <c r="H266" s="27"/>
    </row>
    <row r="267">
      <c r="F267" s="27"/>
      <c r="G267" s="27"/>
      <c r="H267" s="27"/>
    </row>
    <row r="268">
      <c r="F268" s="27"/>
      <c r="G268" s="27"/>
      <c r="H268" s="27"/>
    </row>
    <row r="269">
      <c r="F269" s="27"/>
      <c r="G269" s="27"/>
      <c r="H269" s="27"/>
    </row>
    <row r="270">
      <c r="F270" s="27"/>
      <c r="G270" s="27"/>
      <c r="H270" s="27"/>
    </row>
    <row r="271">
      <c r="F271" s="27"/>
      <c r="G271" s="27"/>
      <c r="H271" s="27"/>
    </row>
    <row r="272">
      <c r="F272" s="27"/>
      <c r="G272" s="27"/>
      <c r="H272" s="27"/>
    </row>
    <row r="273">
      <c r="F273" s="27"/>
      <c r="G273" s="27"/>
      <c r="H273" s="27"/>
    </row>
    <row r="274">
      <c r="F274" s="27"/>
      <c r="G274" s="27"/>
      <c r="H274" s="27"/>
    </row>
    <row r="275">
      <c r="F275" s="27"/>
      <c r="G275" s="27"/>
      <c r="H275" s="27"/>
    </row>
    <row r="276">
      <c r="F276" s="27"/>
      <c r="G276" s="27"/>
      <c r="H276" s="27"/>
    </row>
    <row r="277">
      <c r="F277" s="27"/>
      <c r="G277" s="27"/>
      <c r="H277" s="27"/>
    </row>
    <row r="278">
      <c r="F278" s="27"/>
      <c r="G278" s="27"/>
      <c r="H278" s="27"/>
    </row>
    <row r="279">
      <c r="F279" s="27"/>
      <c r="G279" s="27"/>
      <c r="H279" s="27"/>
    </row>
    <row r="280">
      <c r="F280" s="27"/>
      <c r="G280" s="27"/>
      <c r="H280" s="27"/>
    </row>
    <row r="281">
      <c r="F281" s="27"/>
      <c r="G281" s="27"/>
      <c r="H281" s="27"/>
    </row>
    <row r="282">
      <c r="F282" s="27"/>
      <c r="G282" s="27"/>
      <c r="H282" s="27"/>
    </row>
    <row r="283">
      <c r="F283" s="27"/>
      <c r="G283" s="27"/>
      <c r="H283" s="27"/>
    </row>
    <row r="284">
      <c r="F284" s="27"/>
      <c r="G284" s="27"/>
      <c r="H284" s="27"/>
    </row>
    <row r="285">
      <c r="F285" s="27"/>
      <c r="G285" s="27"/>
      <c r="H285" s="27"/>
    </row>
    <row r="286">
      <c r="F286" s="27"/>
      <c r="G286" s="27"/>
      <c r="H286" s="27"/>
    </row>
    <row r="287">
      <c r="F287" s="27"/>
      <c r="G287" s="27"/>
      <c r="H287" s="27"/>
    </row>
    <row r="288">
      <c r="F288" s="27"/>
      <c r="G288" s="27"/>
      <c r="H288" s="27"/>
    </row>
    <row r="289">
      <c r="F289" s="27"/>
      <c r="G289" s="27"/>
      <c r="H289" s="27"/>
    </row>
    <row r="290">
      <c r="F290" s="27"/>
      <c r="G290" s="27"/>
      <c r="H290" s="27"/>
    </row>
    <row r="291">
      <c r="F291" s="27"/>
      <c r="G291" s="27"/>
      <c r="H291" s="27"/>
    </row>
    <row r="292">
      <c r="F292" s="27"/>
      <c r="G292" s="27"/>
      <c r="H292" s="27"/>
    </row>
    <row r="293">
      <c r="F293" s="27"/>
      <c r="G293" s="27"/>
      <c r="H293" s="27"/>
    </row>
    <row r="294">
      <c r="F294" s="27"/>
      <c r="G294" s="27"/>
      <c r="H294" s="27"/>
    </row>
    <row r="295">
      <c r="F295" s="27"/>
      <c r="G295" s="27"/>
      <c r="H295" s="27"/>
    </row>
    <row r="296">
      <c r="F296" s="27"/>
      <c r="G296" s="27"/>
      <c r="H296" s="27"/>
    </row>
    <row r="297">
      <c r="F297" s="27"/>
      <c r="G297" s="27"/>
      <c r="H297" s="27"/>
    </row>
    <row r="298">
      <c r="F298" s="27"/>
      <c r="G298" s="27"/>
      <c r="H298" s="27"/>
    </row>
    <row r="299">
      <c r="F299" s="27"/>
      <c r="G299" s="27"/>
      <c r="H299" s="27"/>
    </row>
    <row r="300">
      <c r="F300" s="27"/>
      <c r="G300" s="27"/>
      <c r="H300" s="27"/>
    </row>
    <row r="301">
      <c r="F301" s="27"/>
      <c r="G301" s="27"/>
      <c r="H301" s="27"/>
    </row>
    <row r="302">
      <c r="F302" s="27"/>
      <c r="G302" s="27"/>
      <c r="H302" s="27"/>
    </row>
    <row r="303">
      <c r="F303" s="27"/>
      <c r="G303" s="27"/>
      <c r="H303" s="27"/>
    </row>
    <row r="304">
      <c r="F304" s="27"/>
      <c r="G304" s="27"/>
      <c r="H304" s="27"/>
    </row>
    <row r="305">
      <c r="F305" s="27"/>
      <c r="G305" s="27"/>
      <c r="H305" s="27"/>
    </row>
    <row r="306">
      <c r="F306" s="27"/>
      <c r="G306" s="27"/>
      <c r="H306" s="27"/>
    </row>
    <row r="307">
      <c r="F307" s="27"/>
      <c r="G307" s="27"/>
      <c r="H307" s="27"/>
    </row>
    <row r="308">
      <c r="F308" s="27"/>
      <c r="G308" s="27"/>
      <c r="H308" s="27"/>
    </row>
    <row r="309">
      <c r="F309" s="27"/>
      <c r="G309" s="27"/>
      <c r="H309" s="27"/>
    </row>
    <row r="310">
      <c r="F310" s="27"/>
      <c r="G310" s="27"/>
      <c r="H310" s="27"/>
    </row>
    <row r="311">
      <c r="F311" s="27"/>
      <c r="G311" s="27"/>
      <c r="H311" s="27"/>
    </row>
    <row r="312">
      <c r="F312" s="27"/>
      <c r="G312" s="27"/>
      <c r="H312" s="27"/>
    </row>
    <row r="313">
      <c r="F313" s="27"/>
      <c r="G313" s="27"/>
      <c r="H313" s="27"/>
    </row>
    <row r="314">
      <c r="F314" s="27"/>
      <c r="G314" s="27"/>
      <c r="H314" s="27"/>
    </row>
    <row r="315">
      <c r="F315" s="27"/>
      <c r="G315" s="27"/>
      <c r="H315" s="27"/>
    </row>
    <row r="316">
      <c r="F316" s="27"/>
      <c r="G316" s="27"/>
      <c r="H316" s="27"/>
    </row>
    <row r="317">
      <c r="F317" s="27"/>
      <c r="G317" s="27"/>
      <c r="H317" s="27"/>
    </row>
    <row r="318">
      <c r="F318" s="27"/>
      <c r="G318" s="27"/>
      <c r="H318" s="27"/>
    </row>
    <row r="319">
      <c r="F319" s="27"/>
      <c r="G319" s="27"/>
      <c r="H319" s="27"/>
    </row>
    <row r="320">
      <c r="F320" s="27"/>
      <c r="G320" s="27"/>
      <c r="H320" s="27"/>
    </row>
    <row r="321">
      <c r="F321" s="27"/>
      <c r="G321" s="27"/>
      <c r="H321" s="27"/>
    </row>
    <row r="322">
      <c r="F322" s="27"/>
      <c r="G322" s="27"/>
      <c r="H322" s="27"/>
    </row>
    <row r="323">
      <c r="F323" s="27"/>
      <c r="G323" s="27"/>
      <c r="H323" s="27"/>
    </row>
    <row r="324">
      <c r="F324" s="27"/>
      <c r="G324" s="27"/>
      <c r="H324" s="27"/>
    </row>
    <row r="325">
      <c r="F325" s="27"/>
      <c r="G325" s="27"/>
      <c r="H325" s="27"/>
    </row>
    <row r="326">
      <c r="F326" s="27"/>
      <c r="G326" s="27"/>
      <c r="H326" s="27"/>
    </row>
    <row r="327">
      <c r="F327" s="27"/>
      <c r="G327" s="27"/>
      <c r="H327" s="27"/>
    </row>
    <row r="328">
      <c r="F328" s="27"/>
      <c r="G328" s="27"/>
      <c r="H328" s="27"/>
    </row>
    <row r="329">
      <c r="F329" s="27"/>
      <c r="G329" s="27"/>
      <c r="H329" s="27"/>
    </row>
    <row r="330">
      <c r="F330" s="27"/>
      <c r="G330" s="27"/>
      <c r="H330" s="27"/>
    </row>
    <row r="331">
      <c r="F331" s="27"/>
      <c r="G331" s="27"/>
      <c r="H331" s="27"/>
    </row>
    <row r="332">
      <c r="F332" s="27"/>
      <c r="G332" s="27"/>
      <c r="H332" s="27"/>
    </row>
    <row r="333">
      <c r="F333" s="27"/>
      <c r="G333" s="27"/>
      <c r="H333" s="27"/>
    </row>
    <row r="334">
      <c r="F334" s="27"/>
      <c r="G334" s="27"/>
      <c r="H334" s="27"/>
    </row>
    <row r="335">
      <c r="F335" s="27"/>
      <c r="G335" s="27"/>
      <c r="H335" s="27"/>
    </row>
    <row r="336">
      <c r="F336" s="27"/>
      <c r="G336" s="27"/>
      <c r="H336" s="27"/>
    </row>
    <row r="337">
      <c r="F337" s="27"/>
      <c r="G337" s="27"/>
      <c r="H337" s="27"/>
    </row>
    <row r="338">
      <c r="F338" s="27"/>
      <c r="G338" s="27"/>
      <c r="H338" s="27"/>
    </row>
    <row r="339">
      <c r="F339" s="27"/>
      <c r="G339" s="27"/>
      <c r="H339" s="27"/>
    </row>
    <row r="340">
      <c r="F340" s="27"/>
      <c r="G340" s="27"/>
      <c r="H340" s="27"/>
    </row>
    <row r="341">
      <c r="F341" s="27"/>
      <c r="G341" s="27"/>
      <c r="H341" s="27"/>
    </row>
    <row r="342">
      <c r="F342" s="27"/>
      <c r="G342" s="27"/>
      <c r="H342" s="27"/>
    </row>
    <row r="343">
      <c r="F343" s="27"/>
      <c r="G343" s="27"/>
      <c r="H343" s="27"/>
    </row>
    <row r="344">
      <c r="F344" s="27"/>
      <c r="G344" s="27"/>
      <c r="H344" s="27"/>
    </row>
    <row r="345">
      <c r="F345" s="27"/>
      <c r="G345" s="27"/>
      <c r="H345" s="27"/>
    </row>
    <row r="346">
      <c r="F346" s="27"/>
      <c r="G346" s="27"/>
      <c r="H346" s="27"/>
    </row>
    <row r="347">
      <c r="F347" s="27"/>
      <c r="G347" s="27"/>
      <c r="H347" s="27"/>
    </row>
    <row r="348">
      <c r="F348" s="27"/>
      <c r="G348" s="27"/>
      <c r="H348" s="27"/>
    </row>
    <row r="349">
      <c r="F349" s="27"/>
      <c r="G349" s="27"/>
      <c r="H349" s="27"/>
    </row>
    <row r="350">
      <c r="F350" s="27"/>
      <c r="G350" s="27"/>
      <c r="H350" s="27"/>
    </row>
    <row r="351">
      <c r="F351" s="27"/>
      <c r="G351" s="27"/>
      <c r="H351" s="27"/>
    </row>
    <row r="352">
      <c r="F352" s="27"/>
      <c r="G352" s="27"/>
      <c r="H352" s="27"/>
    </row>
    <row r="353">
      <c r="F353" s="27"/>
      <c r="G353" s="27"/>
      <c r="H353" s="27"/>
    </row>
    <row r="354">
      <c r="F354" s="27"/>
      <c r="G354" s="27"/>
      <c r="H354" s="27"/>
    </row>
    <row r="355">
      <c r="F355" s="27"/>
      <c r="G355" s="27"/>
      <c r="H355" s="27"/>
    </row>
    <row r="356">
      <c r="F356" s="27"/>
      <c r="G356" s="27"/>
      <c r="H356" s="27"/>
    </row>
    <row r="357">
      <c r="F357" s="27"/>
      <c r="G357" s="27"/>
      <c r="H357" s="27"/>
    </row>
    <row r="358">
      <c r="F358" s="27"/>
      <c r="G358" s="27"/>
      <c r="H358" s="27"/>
    </row>
    <row r="359">
      <c r="F359" s="27"/>
      <c r="G359" s="27"/>
      <c r="H359" s="27"/>
    </row>
    <row r="360">
      <c r="F360" s="27"/>
      <c r="G360" s="27"/>
      <c r="H360" s="27"/>
    </row>
    <row r="361">
      <c r="F361" s="27"/>
      <c r="G361" s="27"/>
      <c r="H361" s="27"/>
    </row>
    <row r="362">
      <c r="F362" s="27"/>
      <c r="G362" s="27"/>
      <c r="H362" s="27"/>
    </row>
    <row r="363">
      <c r="F363" s="27"/>
      <c r="G363" s="27"/>
      <c r="H363" s="27"/>
    </row>
    <row r="364">
      <c r="F364" s="27"/>
      <c r="G364" s="27"/>
      <c r="H364" s="27"/>
    </row>
    <row r="365">
      <c r="F365" s="27"/>
      <c r="G365" s="27"/>
      <c r="H365" s="27"/>
    </row>
    <row r="366">
      <c r="F366" s="27"/>
      <c r="G366" s="27"/>
      <c r="H366" s="27"/>
    </row>
    <row r="367">
      <c r="F367" s="27"/>
      <c r="G367" s="27"/>
      <c r="H367" s="27"/>
    </row>
    <row r="368">
      <c r="F368" s="27"/>
      <c r="G368" s="27"/>
      <c r="H368" s="27"/>
    </row>
    <row r="369">
      <c r="F369" s="27"/>
      <c r="G369" s="27"/>
      <c r="H369" s="27"/>
    </row>
    <row r="370">
      <c r="F370" s="27"/>
      <c r="G370" s="27"/>
      <c r="H370" s="27"/>
    </row>
    <row r="371">
      <c r="F371" s="27"/>
      <c r="G371" s="27"/>
      <c r="H371" s="27"/>
    </row>
    <row r="372">
      <c r="F372" s="27"/>
      <c r="G372" s="27"/>
      <c r="H372" s="27"/>
    </row>
    <row r="373">
      <c r="F373" s="27"/>
      <c r="G373" s="27"/>
      <c r="H373" s="27"/>
    </row>
    <row r="374">
      <c r="F374" s="27"/>
      <c r="G374" s="27"/>
      <c r="H374" s="27"/>
    </row>
    <row r="375">
      <c r="F375" s="27"/>
      <c r="G375" s="27"/>
      <c r="H375" s="27"/>
    </row>
    <row r="376">
      <c r="F376" s="27"/>
      <c r="G376" s="27"/>
      <c r="H376" s="27"/>
    </row>
    <row r="377">
      <c r="F377" s="27"/>
      <c r="G377" s="27"/>
      <c r="H377" s="27"/>
    </row>
    <row r="378">
      <c r="F378" s="27"/>
      <c r="G378" s="27"/>
      <c r="H378" s="27"/>
    </row>
    <row r="379">
      <c r="F379" s="27"/>
      <c r="G379" s="27"/>
      <c r="H379" s="27"/>
    </row>
    <row r="380">
      <c r="F380" s="27"/>
      <c r="G380" s="27"/>
      <c r="H380" s="27"/>
    </row>
    <row r="381">
      <c r="F381" s="27"/>
      <c r="G381" s="27"/>
      <c r="H381" s="27"/>
    </row>
    <row r="382">
      <c r="F382" s="27"/>
      <c r="G382" s="27"/>
      <c r="H382" s="27"/>
    </row>
    <row r="383">
      <c r="F383" s="27"/>
      <c r="G383" s="27"/>
      <c r="H383" s="27"/>
    </row>
    <row r="384">
      <c r="F384" s="27"/>
      <c r="G384" s="27"/>
      <c r="H384" s="27"/>
    </row>
    <row r="385">
      <c r="F385" s="27"/>
      <c r="G385" s="27"/>
      <c r="H385" s="27"/>
    </row>
    <row r="386">
      <c r="F386" s="27"/>
      <c r="G386" s="27"/>
      <c r="H386" s="27"/>
    </row>
    <row r="387">
      <c r="F387" s="27"/>
      <c r="G387" s="27"/>
      <c r="H387" s="27"/>
    </row>
    <row r="388">
      <c r="F388" s="27"/>
      <c r="G388" s="27"/>
      <c r="H388" s="27"/>
    </row>
    <row r="389">
      <c r="F389" s="27"/>
      <c r="G389" s="27"/>
      <c r="H389" s="27"/>
    </row>
    <row r="390">
      <c r="F390" s="27"/>
      <c r="G390" s="27"/>
      <c r="H390" s="27"/>
    </row>
    <row r="391">
      <c r="F391" s="27"/>
      <c r="G391" s="27"/>
      <c r="H391" s="27"/>
    </row>
    <row r="392">
      <c r="F392" s="27"/>
      <c r="G392" s="27"/>
      <c r="H392" s="27"/>
    </row>
    <row r="393">
      <c r="F393" s="27"/>
      <c r="G393" s="27"/>
      <c r="H393" s="27"/>
    </row>
    <row r="394">
      <c r="F394" s="27"/>
      <c r="G394" s="27"/>
      <c r="H394" s="27"/>
    </row>
    <row r="395">
      <c r="F395" s="27"/>
      <c r="G395" s="27"/>
      <c r="H395" s="27"/>
    </row>
    <row r="396">
      <c r="F396" s="27"/>
      <c r="G396" s="27"/>
      <c r="H396" s="27"/>
    </row>
    <row r="397">
      <c r="F397" s="27"/>
      <c r="G397" s="27"/>
      <c r="H397" s="27"/>
    </row>
    <row r="398">
      <c r="F398" s="27"/>
      <c r="G398" s="27"/>
      <c r="H398" s="27"/>
    </row>
    <row r="399">
      <c r="F399" s="27"/>
      <c r="G399" s="27"/>
      <c r="H399" s="27"/>
    </row>
    <row r="400">
      <c r="F400" s="27"/>
      <c r="G400" s="27"/>
      <c r="H400" s="27"/>
    </row>
    <row r="401">
      <c r="F401" s="27"/>
      <c r="G401" s="27"/>
      <c r="H401" s="27"/>
    </row>
    <row r="402">
      <c r="F402" s="27"/>
      <c r="G402" s="27"/>
      <c r="H402" s="27"/>
    </row>
    <row r="403">
      <c r="F403" s="27"/>
      <c r="G403" s="27"/>
      <c r="H403" s="27"/>
    </row>
    <row r="404">
      <c r="F404" s="27"/>
      <c r="G404" s="27"/>
      <c r="H404" s="27"/>
    </row>
    <row r="405">
      <c r="F405" s="27"/>
      <c r="G405" s="27"/>
      <c r="H405" s="27"/>
    </row>
    <row r="406">
      <c r="F406" s="27"/>
      <c r="G406" s="27"/>
      <c r="H406" s="27"/>
    </row>
    <row r="407">
      <c r="F407" s="27"/>
      <c r="G407" s="27"/>
      <c r="H407" s="27"/>
    </row>
    <row r="408">
      <c r="F408" s="27"/>
      <c r="G408" s="27"/>
      <c r="H408" s="27"/>
    </row>
    <row r="409">
      <c r="F409" s="27"/>
      <c r="G409" s="27"/>
      <c r="H409" s="27"/>
    </row>
    <row r="410">
      <c r="F410" s="27"/>
      <c r="G410" s="27"/>
      <c r="H410" s="27"/>
    </row>
    <row r="411">
      <c r="F411" s="27"/>
      <c r="G411" s="27"/>
      <c r="H411" s="27"/>
    </row>
    <row r="412">
      <c r="F412" s="27"/>
      <c r="G412" s="27"/>
      <c r="H412" s="27"/>
    </row>
    <row r="413">
      <c r="F413" s="27"/>
      <c r="G413" s="27"/>
      <c r="H413" s="27"/>
    </row>
    <row r="414">
      <c r="F414" s="27"/>
      <c r="G414" s="27"/>
      <c r="H414" s="27"/>
    </row>
    <row r="415">
      <c r="F415" s="27"/>
      <c r="G415" s="27"/>
      <c r="H415" s="27"/>
    </row>
    <row r="416">
      <c r="F416" s="27"/>
      <c r="G416" s="27"/>
      <c r="H416" s="27"/>
    </row>
    <row r="417">
      <c r="F417" s="27"/>
      <c r="G417" s="27"/>
      <c r="H417" s="27"/>
    </row>
    <row r="418">
      <c r="F418" s="27"/>
      <c r="G418" s="27"/>
      <c r="H418" s="27"/>
    </row>
    <row r="419">
      <c r="F419" s="27"/>
      <c r="G419" s="27"/>
      <c r="H419" s="27"/>
    </row>
    <row r="420">
      <c r="F420" s="27"/>
      <c r="G420" s="27"/>
      <c r="H420" s="27"/>
    </row>
    <row r="421">
      <c r="F421" s="27"/>
      <c r="G421" s="27"/>
      <c r="H421" s="27"/>
    </row>
    <row r="422">
      <c r="F422" s="27"/>
      <c r="G422" s="27"/>
      <c r="H422" s="27"/>
    </row>
    <row r="423">
      <c r="F423" s="27"/>
      <c r="G423" s="27"/>
      <c r="H423" s="27"/>
    </row>
    <row r="424">
      <c r="F424" s="27"/>
      <c r="G424" s="27"/>
      <c r="H424" s="27"/>
    </row>
    <row r="425">
      <c r="F425" s="27"/>
      <c r="G425" s="27"/>
      <c r="H425" s="27"/>
    </row>
    <row r="426">
      <c r="F426" s="27"/>
      <c r="G426" s="27"/>
      <c r="H426" s="27"/>
    </row>
    <row r="427">
      <c r="F427" s="27"/>
      <c r="G427" s="27"/>
      <c r="H427" s="27"/>
    </row>
    <row r="428">
      <c r="F428" s="27"/>
      <c r="G428" s="27"/>
      <c r="H428" s="27"/>
    </row>
    <row r="429">
      <c r="F429" s="27"/>
      <c r="G429" s="27"/>
      <c r="H429" s="27"/>
    </row>
    <row r="430">
      <c r="F430" s="27"/>
      <c r="G430" s="27"/>
      <c r="H430" s="27"/>
    </row>
    <row r="431">
      <c r="F431" s="27"/>
      <c r="G431" s="27"/>
      <c r="H431" s="27"/>
    </row>
    <row r="432">
      <c r="F432" s="27"/>
      <c r="G432" s="27"/>
      <c r="H432" s="27"/>
    </row>
    <row r="433">
      <c r="F433" s="27"/>
      <c r="G433" s="27"/>
      <c r="H433" s="27"/>
    </row>
    <row r="434">
      <c r="F434" s="27"/>
      <c r="G434" s="27"/>
      <c r="H434" s="27"/>
    </row>
    <row r="435">
      <c r="F435" s="27"/>
      <c r="G435" s="27"/>
      <c r="H435" s="27"/>
    </row>
    <row r="436">
      <c r="F436" s="27"/>
      <c r="G436" s="27"/>
      <c r="H436" s="27"/>
    </row>
    <row r="437">
      <c r="F437" s="27"/>
      <c r="G437" s="27"/>
      <c r="H437" s="27"/>
    </row>
    <row r="438">
      <c r="F438" s="27"/>
      <c r="G438" s="27"/>
      <c r="H438" s="27"/>
    </row>
    <row r="439">
      <c r="F439" s="27"/>
      <c r="G439" s="27"/>
      <c r="H439" s="27"/>
    </row>
    <row r="440">
      <c r="F440" s="27"/>
      <c r="G440" s="27"/>
      <c r="H440" s="27"/>
    </row>
    <row r="441">
      <c r="F441" s="27"/>
      <c r="G441" s="27"/>
      <c r="H441" s="27"/>
    </row>
    <row r="442">
      <c r="F442" s="27"/>
      <c r="G442" s="27"/>
      <c r="H442" s="27"/>
    </row>
    <row r="443">
      <c r="F443" s="27"/>
      <c r="G443" s="27"/>
      <c r="H443" s="27"/>
    </row>
    <row r="444">
      <c r="F444" s="27"/>
      <c r="G444" s="27"/>
      <c r="H444" s="27"/>
    </row>
    <row r="445">
      <c r="F445" s="27"/>
      <c r="G445" s="27"/>
      <c r="H445" s="27"/>
    </row>
    <row r="446">
      <c r="F446" s="27"/>
      <c r="G446" s="27"/>
      <c r="H446" s="27"/>
    </row>
    <row r="447">
      <c r="F447" s="27"/>
      <c r="G447" s="27"/>
      <c r="H447" s="27"/>
    </row>
    <row r="448">
      <c r="F448" s="27"/>
      <c r="G448" s="27"/>
      <c r="H448" s="27"/>
    </row>
    <row r="449">
      <c r="F449" s="27"/>
      <c r="G449" s="27"/>
      <c r="H449" s="27"/>
    </row>
    <row r="450">
      <c r="F450" s="27"/>
      <c r="G450" s="27"/>
      <c r="H450" s="27"/>
    </row>
    <row r="451">
      <c r="F451" s="27"/>
      <c r="G451" s="27"/>
      <c r="H451" s="27"/>
    </row>
    <row r="452">
      <c r="F452" s="27"/>
      <c r="G452" s="27"/>
      <c r="H452" s="27"/>
    </row>
    <row r="453">
      <c r="F453" s="27"/>
      <c r="G453" s="27"/>
      <c r="H453" s="27"/>
    </row>
    <row r="454">
      <c r="F454" s="27"/>
      <c r="G454" s="27"/>
      <c r="H454" s="27"/>
    </row>
    <row r="455">
      <c r="F455" s="27"/>
      <c r="G455" s="27"/>
      <c r="H455" s="27"/>
    </row>
    <row r="456">
      <c r="F456" s="27"/>
      <c r="G456" s="27"/>
      <c r="H456" s="27"/>
    </row>
    <row r="457">
      <c r="F457" s="27"/>
      <c r="G457" s="27"/>
      <c r="H457" s="27"/>
    </row>
    <row r="458">
      <c r="F458" s="27"/>
      <c r="G458" s="27"/>
      <c r="H458" s="27"/>
    </row>
    <row r="459">
      <c r="F459" s="27"/>
      <c r="G459" s="27"/>
      <c r="H459" s="27"/>
    </row>
    <row r="460">
      <c r="F460" s="27"/>
      <c r="G460" s="27"/>
      <c r="H460" s="27"/>
    </row>
    <row r="461">
      <c r="F461" s="27"/>
      <c r="G461" s="27"/>
      <c r="H461" s="27"/>
    </row>
    <row r="462">
      <c r="F462" s="27"/>
      <c r="G462" s="27"/>
      <c r="H462" s="27"/>
    </row>
    <row r="463">
      <c r="F463" s="27"/>
      <c r="G463" s="27"/>
      <c r="H463" s="27"/>
    </row>
    <row r="464">
      <c r="F464" s="27"/>
      <c r="G464" s="27"/>
      <c r="H464" s="27"/>
    </row>
    <row r="465">
      <c r="F465" s="27"/>
      <c r="G465" s="27"/>
      <c r="H465" s="27"/>
    </row>
    <row r="466">
      <c r="F466" s="27"/>
      <c r="G466" s="27"/>
      <c r="H466" s="27"/>
    </row>
    <row r="467">
      <c r="F467" s="27"/>
      <c r="G467" s="27"/>
      <c r="H467" s="27"/>
    </row>
    <row r="468">
      <c r="F468" s="27"/>
      <c r="G468" s="27"/>
      <c r="H468" s="27"/>
    </row>
    <row r="469">
      <c r="F469" s="27"/>
      <c r="G469" s="27"/>
      <c r="H469" s="27"/>
    </row>
    <row r="470">
      <c r="F470" s="27"/>
      <c r="G470" s="27"/>
      <c r="H470" s="27"/>
    </row>
    <row r="471">
      <c r="F471" s="27"/>
      <c r="G471" s="27"/>
      <c r="H471" s="27"/>
    </row>
    <row r="472">
      <c r="F472" s="27"/>
      <c r="G472" s="27"/>
      <c r="H472" s="27"/>
    </row>
    <row r="473">
      <c r="F473" s="27"/>
      <c r="G473" s="27"/>
      <c r="H473" s="27"/>
    </row>
    <row r="474">
      <c r="F474" s="27"/>
      <c r="G474" s="27"/>
      <c r="H474" s="27"/>
    </row>
    <row r="475">
      <c r="F475" s="27"/>
      <c r="G475" s="27"/>
      <c r="H475" s="27"/>
    </row>
    <row r="476">
      <c r="F476" s="27"/>
      <c r="G476" s="27"/>
      <c r="H476" s="27"/>
    </row>
    <row r="477">
      <c r="F477" s="27"/>
      <c r="G477" s="27"/>
      <c r="H477" s="27"/>
    </row>
    <row r="478">
      <c r="F478" s="27"/>
      <c r="G478" s="27"/>
      <c r="H478" s="27"/>
    </row>
    <row r="479">
      <c r="F479" s="27"/>
      <c r="G479" s="27"/>
      <c r="H479" s="27"/>
    </row>
    <row r="480">
      <c r="F480" s="27"/>
      <c r="G480" s="27"/>
      <c r="H480" s="27"/>
    </row>
    <row r="481">
      <c r="F481" s="27"/>
      <c r="G481" s="27"/>
      <c r="H481" s="27"/>
    </row>
    <row r="482">
      <c r="F482" s="27"/>
      <c r="G482" s="27"/>
      <c r="H482" s="27"/>
    </row>
    <row r="483">
      <c r="F483" s="27"/>
      <c r="G483" s="27"/>
      <c r="H483" s="27"/>
    </row>
    <row r="484">
      <c r="F484" s="27"/>
      <c r="G484" s="27"/>
      <c r="H484" s="27"/>
    </row>
    <row r="485">
      <c r="F485" s="27"/>
      <c r="G485" s="27"/>
      <c r="H485" s="27"/>
    </row>
    <row r="486">
      <c r="F486" s="27"/>
      <c r="G486" s="27"/>
      <c r="H486" s="27"/>
    </row>
    <row r="487">
      <c r="F487" s="27"/>
      <c r="G487" s="27"/>
      <c r="H487" s="27"/>
    </row>
    <row r="488">
      <c r="F488" s="27"/>
      <c r="G488" s="27"/>
      <c r="H488" s="27"/>
    </row>
    <row r="489">
      <c r="F489" s="27"/>
      <c r="G489" s="27"/>
      <c r="H489" s="27"/>
    </row>
    <row r="490">
      <c r="F490" s="27"/>
      <c r="G490" s="27"/>
      <c r="H490" s="27"/>
    </row>
    <row r="491">
      <c r="F491" s="27"/>
      <c r="G491" s="27"/>
      <c r="H491" s="27"/>
    </row>
    <row r="492">
      <c r="F492" s="27"/>
      <c r="G492" s="27"/>
      <c r="H492" s="27"/>
    </row>
    <row r="493">
      <c r="F493" s="27"/>
      <c r="G493" s="27"/>
      <c r="H493" s="27"/>
    </row>
    <row r="494">
      <c r="F494" s="27"/>
      <c r="G494" s="27"/>
      <c r="H494" s="27"/>
    </row>
    <row r="495">
      <c r="F495" s="27"/>
      <c r="G495" s="27"/>
      <c r="H495" s="27"/>
    </row>
    <row r="496">
      <c r="F496" s="27"/>
      <c r="G496" s="27"/>
      <c r="H496" s="27"/>
    </row>
    <row r="497">
      <c r="F497" s="27"/>
      <c r="G497" s="27"/>
      <c r="H497" s="27"/>
    </row>
    <row r="498">
      <c r="F498" s="27"/>
      <c r="G498" s="27"/>
      <c r="H498" s="27"/>
    </row>
    <row r="499">
      <c r="F499" s="27"/>
      <c r="G499" s="27"/>
      <c r="H499" s="27"/>
    </row>
    <row r="500">
      <c r="F500" s="27"/>
      <c r="G500" s="27"/>
      <c r="H500" s="27"/>
    </row>
    <row r="501">
      <c r="F501" s="27"/>
      <c r="G501" s="27"/>
      <c r="H501" s="27"/>
    </row>
    <row r="502">
      <c r="F502" s="27"/>
      <c r="G502" s="27"/>
      <c r="H502" s="27"/>
    </row>
    <row r="503">
      <c r="F503" s="27"/>
      <c r="G503" s="27"/>
      <c r="H503" s="27"/>
    </row>
    <row r="504">
      <c r="F504" s="27"/>
      <c r="G504" s="27"/>
      <c r="H504" s="27"/>
    </row>
    <row r="505">
      <c r="F505" s="27"/>
      <c r="G505" s="27"/>
      <c r="H505" s="27"/>
    </row>
    <row r="506">
      <c r="F506" s="27"/>
      <c r="G506" s="27"/>
      <c r="H506" s="27"/>
    </row>
    <row r="507">
      <c r="F507" s="27"/>
      <c r="G507" s="27"/>
      <c r="H507" s="27"/>
    </row>
    <row r="508">
      <c r="F508" s="27"/>
      <c r="G508" s="27"/>
      <c r="H508" s="27"/>
    </row>
    <row r="509">
      <c r="F509" s="27"/>
      <c r="G509" s="27"/>
      <c r="H509" s="27"/>
    </row>
    <row r="510">
      <c r="F510" s="27"/>
      <c r="G510" s="27"/>
      <c r="H510" s="27"/>
    </row>
    <row r="511">
      <c r="F511" s="27"/>
      <c r="G511" s="27"/>
      <c r="H511" s="27"/>
    </row>
    <row r="512">
      <c r="F512" s="27"/>
      <c r="G512" s="27"/>
      <c r="H512" s="27"/>
    </row>
    <row r="513">
      <c r="F513" s="27"/>
      <c r="G513" s="27"/>
      <c r="H513" s="27"/>
    </row>
    <row r="514">
      <c r="F514" s="27"/>
      <c r="G514" s="27"/>
      <c r="H514" s="27"/>
    </row>
    <row r="515">
      <c r="F515" s="27"/>
      <c r="G515" s="27"/>
      <c r="H515" s="27"/>
    </row>
    <row r="516">
      <c r="F516" s="27"/>
      <c r="G516" s="27"/>
      <c r="H516" s="27"/>
    </row>
    <row r="517">
      <c r="F517" s="27"/>
      <c r="G517" s="27"/>
      <c r="H517" s="27"/>
    </row>
    <row r="518">
      <c r="F518" s="27"/>
      <c r="G518" s="27"/>
      <c r="H518" s="27"/>
    </row>
    <row r="519">
      <c r="F519" s="27"/>
      <c r="G519" s="27"/>
      <c r="H519" s="27"/>
    </row>
    <row r="520">
      <c r="F520" s="27"/>
      <c r="G520" s="27"/>
      <c r="H520" s="27"/>
    </row>
    <row r="521">
      <c r="F521" s="27"/>
      <c r="G521" s="27"/>
      <c r="H521" s="27"/>
    </row>
    <row r="522">
      <c r="F522" s="27"/>
      <c r="G522" s="27"/>
      <c r="H522" s="27"/>
    </row>
    <row r="523">
      <c r="F523" s="27"/>
      <c r="G523" s="27"/>
      <c r="H523" s="27"/>
    </row>
    <row r="524">
      <c r="F524" s="27"/>
      <c r="G524" s="27"/>
      <c r="H524" s="27"/>
    </row>
    <row r="525">
      <c r="F525" s="27"/>
      <c r="G525" s="27"/>
      <c r="H525" s="27"/>
    </row>
    <row r="526">
      <c r="F526" s="27"/>
      <c r="G526" s="27"/>
      <c r="H526" s="27"/>
    </row>
    <row r="527">
      <c r="F527" s="27"/>
      <c r="G527" s="27"/>
      <c r="H527" s="27"/>
    </row>
    <row r="528">
      <c r="F528" s="27"/>
      <c r="G528" s="27"/>
      <c r="H528" s="27"/>
    </row>
    <row r="529">
      <c r="F529" s="27"/>
      <c r="G529" s="27"/>
      <c r="H529" s="27"/>
    </row>
    <row r="530">
      <c r="F530" s="27"/>
      <c r="G530" s="27"/>
      <c r="H530" s="27"/>
    </row>
    <row r="531">
      <c r="F531" s="27"/>
      <c r="G531" s="27"/>
      <c r="H531" s="27"/>
    </row>
    <row r="532">
      <c r="F532" s="27"/>
      <c r="G532" s="27"/>
      <c r="H532" s="27"/>
    </row>
    <row r="533">
      <c r="F533" s="27"/>
      <c r="G533" s="27"/>
      <c r="H533" s="27"/>
    </row>
    <row r="534">
      <c r="F534" s="27"/>
      <c r="G534" s="27"/>
      <c r="H534" s="27"/>
    </row>
    <row r="535">
      <c r="F535" s="27"/>
      <c r="G535" s="27"/>
      <c r="H535" s="27"/>
    </row>
    <row r="536">
      <c r="F536" s="27"/>
      <c r="G536" s="27"/>
      <c r="H536" s="27"/>
    </row>
    <row r="537">
      <c r="F537" s="27"/>
      <c r="G537" s="27"/>
      <c r="H537" s="27"/>
    </row>
    <row r="538">
      <c r="F538" s="27"/>
      <c r="G538" s="27"/>
      <c r="H538" s="27"/>
    </row>
    <row r="539">
      <c r="F539" s="27"/>
      <c r="G539" s="27"/>
      <c r="H539" s="27"/>
    </row>
    <row r="540">
      <c r="F540" s="27"/>
      <c r="G540" s="27"/>
      <c r="H540" s="27"/>
    </row>
    <row r="541">
      <c r="F541" s="27"/>
      <c r="G541" s="27"/>
      <c r="H541" s="27"/>
    </row>
    <row r="542">
      <c r="F542" s="27"/>
      <c r="G542" s="27"/>
      <c r="H542" s="27"/>
    </row>
    <row r="543">
      <c r="F543" s="27"/>
      <c r="G543" s="27"/>
      <c r="H543" s="27"/>
    </row>
    <row r="544">
      <c r="F544" s="27"/>
      <c r="G544" s="27"/>
      <c r="H544" s="27"/>
    </row>
    <row r="545">
      <c r="F545" s="27"/>
      <c r="G545" s="27"/>
      <c r="H545" s="27"/>
    </row>
    <row r="546">
      <c r="F546" s="27"/>
      <c r="G546" s="27"/>
      <c r="H546" s="27"/>
    </row>
    <row r="547">
      <c r="F547" s="27"/>
      <c r="G547" s="27"/>
      <c r="H547" s="27"/>
    </row>
    <row r="548">
      <c r="F548" s="27"/>
      <c r="G548" s="27"/>
      <c r="H548" s="27"/>
    </row>
    <row r="549">
      <c r="F549" s="27"/>
      <c r="G549" s="27"/>
      <c r="H549" s="27"/>
    </row>
    <row r="550">
      <c r="F550" s="27"/>
      <c r="G550" s="27"/>
      <c r="H550" s="27"/>
    </row>
    <row r="551">
      <c r="F551" s="27"/>
      <c r="G551" s="27"/>
      <c r="H551" s="27"/>
    </row>
    <row r="552">
      <c r="F552" s="27"/>
      <c r="G552" s="27"/>
      <c r="H552" s="27"/>
    </row>
    <row r="553">
      <c r="F553" s="27"/>
      <c r="G553" s="27"/>
      <c r="H553" s="27"/>
    </row>
    <row r="554">
      <c r="F554" s="27"/>
      <c r="G554" s="27"/>
      <c r="H554" s="27"/>
    </row>
    <row r="555">
      <c r="F555" s="27"/>
      <c r="G555" s="27"/>
      <c r="H555" s="27"/>
    </row>
    <row r="556">
      <c r="F556" s="27"/>
      <c r="G556" s="27"/>
      <c r="H556" s="27"/>
    </row>
    <row r="557">
      <c r="F557" s="27"/>
      <c r="G557" s="27"/>
      <c r="H557" s="27"/>
    </row>
    <row r="558">
      <c r="F558" s="27"/>
      <c r="G558" s="27"/>
      <c r="H558" s="27"/>
    </row>
    <row r="559">
      <c r="F559" s="27"/>
      <c r="G559" s="27"/>
      <c r="H559" s="27"/>
    </row>
    <row r="560">
      <c r="F560" s="27"/>
      <c r="G560" s="27"/>
      <c r="H560" s="27"/>
    </row>
    <row r="561">
      <c r="F561" s="27"/>
      <c r="G561" s="27"/>
      <c r="H561" s="27"/>
    </row>
    <row r="562">
      <c r="F562" s="27"/>
      <c r="G562" s="27"/>
      <c r="H562" s="27"/>
    </row>
    <row r="563">
      <c r="F563" s="27"/>
      <c r="G563" s="27"/>
      <c r="H563" s="27"/>
    </row>
    <row r="564">
      <c r="F564" s="27"/>
      <c r="G564" s="27"/>
      <c r="H564" s="27"/>
    </row>
    <row r="565">
      <c r="F565" s="27"/>
      <c r="G565" s="27"/>
      <c r="H565" s="27"/>
    </row>
    <row r="566">
      <c r="F566" s="27"/>
      <c r="G566" s="27"/>
      <c r="H566" s="27"/>
    </row>
    <row r="567">
      <c r="F567" s="27"/>
      <c r="G567" s="27"/>
      <c r="H567" s="27"/>
    </row>
    <row r="568">
      <c r="F568" s="27"/>
      <c r="G568" s="27"/>
      <c r="H568" s="27"/>
    </row>
    <row r="569">
      <c r="F569" s="27"/>
      <c r="G569" s="27"/>
      <c r="H569" s="27"/>
    </row>
    <row r="570">
      <c r="F570" s="27"/>
      <c r="G570" s="27"/>
      <c r="H570" s="27"/>
    </row>
    <row r="571">
      <c r="F571" s="27"/>
      <c r="G571" s="27"/>
      <c r="H571" s="27"/>
    </row>
    <row r="572">
      <c r="F572" s="27"/>
      <c r="G572" s="27"/>
      <c r="H572" s="27"/>
    </row>
    <row r="573">
      <c r="F573" s="27"/>
      <c r="G573" s="27"/>
      <c r="H573" s="27"/>
    </row>
    <row r="574">
      <c r="F574" s="27"/>
      <c r="G574" s="27"/>
      <c r="H574" s="27"/>
    </row>
    <row r="575">
      <c r="F575" s="27"/>
      <c r="G575" s="27"/>
      <c r="H575" s="27"/>
    </row>
    <row r="576">
      <c r="F576" s="27"/>
      <c r="G576" s="27"/>
      <c r="H576" s="27"/>
    </row>
    <row r="577">
      <c r="F577" s="27"/>
      <c r="G577" s="27"/>
      <c r="H577" s="27"/>
    </row>
    <row r="578">
      <c r="F578" s="27"/>
      <c r="G578" s="27"/>
      <c r="H578" s="27"/>
    </row>
    <row r="579">
      <c r="F579" s="27"/>
      <c r="G579" s="27"/>
      <c r="H579" s="27"/>
    </row>
    <row r="580">
      <c r="F580" s="27"/>
      <c r="G580" s="27"/>
      <c r="H580" s="27"/>
    </row>
    <row r="581">
      <c r="F581" s="27"/>
      <c r="G581" s="27"/>
      <c r="H581" s="27"/>
    </row>
    <row r="582">
      <c r="F582" s="27"/>
      <c r="G582" s="27"/>
      <c r="H582" s="27"/>
    </row>
    <row r="583">
      <c r="F583" s="27"/>
      <c r="G583" s="27"/>
      <c r="H583" s="27"/>
    </row>
    <row r="584">
      <c r="F584" s="27"/>
      <c r="G584" s="27"/>
      <c r="H584" s="27"/>
    </row>
    <row r="585">
      <c r="F585" s="27"/>
      <c r="G585" s="27"/>
      <c r="H585" s="27"/>
    </row>
    <row r="586">
      <c r="F586" s="27"/>
      <c r="G586" s="27"/>
      <c r="H586" s="27"/>
    </row>
    <row r="587">
      <c r="F587" s="27"/>
      <c r="G587" s="27"/>
      <c r="H587" s="27"/>
    </row>
    <row r="588">
      <c r="F588" s="27"/>
      <c r="G588" s="27"/>
      <c r="H588" s="27"/>
    </row>
    <row r="589">
      <c r="F589" s="27"/>
      <c r="G589" s="27"/>
      <c r="H589" s="27"/>
    </row>
    <row r="590">
      <c r="F590" s="27"/>
      <c r="G590" s="27"/>
      <c r="H590" s="27"/>
    </row>
    <row r="591">
      <c r="F591" s="27"/>
      <c r="G591" s="27"/>
      <c r="H591" s="27"/>
    </row>
    <row r="592">
      <c r="F592" s="27"/>
      <c r="G592" s="27"/>
      <c r="H592" s="27"/>
    </row>
    <row r="593">
      <c r="F593" s="27"/>
      <c r="G593" s="27"/>
      <c r="H593" s="27"/>
    </row>
    <row r="594">
      <c r="F594" s="27"/>
      <c r="G594" s="27"/>
      <c r="H594" s="27"/>
    </row>
    <row r="595">
      <c r="F595" s="27"/>
      <c r="G595" s="27"/>
      <c r="H595" s="27"/>
    </row>
    <row r="596">
      <c r="F596" s="27"/>
      <c r="G596" s="27"/>
      <c r="H596" s="27"/>
    </row>
    <row r="597">
      <c r="F597" s="27"/>
      <c r="G597" s="27"/>
      <c r="H597" s="27"/>
    </row>
    <row r="598">
      <c r="F598" s="27"/>
      <c r="G598" s="27"/>
      <c r="H598" s="27"/>
    </row>
    <row r="599">
      <c r="F599" s="27"/>
      <c r="G599" s="27"/>
      <c r="H599" s="27"/>
    </row>
    <row r="600">
      <c r="F600" s="27"/>
      <c r="G600" s="27"/>
      <c r="H600" s="27"/>
    </row>
    <row r="601">
      <c r="F601" s="27"/>
      <c r="G601" s="27"/>
      <c r="H601" s="27"/>
    </row>
    <row r="602">
      <c r="F602" s="27"/>
      <c r="G602" s="27"/>
      <c r="H602" s="27"/>
    </row>
    <row r="603">
      <c r="F603" s="27"/>
      <c r="G603" s="27"/>
      <c r="H603" s="27"/>
    </row>
    <row r="604">
      <c r="F604" s="27"/>
      <c r="G604" s="27"/>
      <c r="H604" s="27"/>
    </row>
    <row r="605">
      <c r="F605" s="27"/>
      <c r="G605" s="27"/>
      <c r="H605" s="27"/>
    </row>
    <row r="606">
      <c r="F606" s="27"/>
      <c r="G606" s="27"/>
      <c r="H606" s="27"/>
    </row>
    <row r="607">
      <c r="F607" s="27"/>
      <c r="G607" s="27"/>
      <c r="H607" s="27"/>
    </row>
    <row r="608">
      <c r="F608" s="27"/>
      <c r="G608" s="27"/>
      <c r="H608" s="27"/>
    </row>
    <row r="609">
      <c r="F609" s="27"/>
      <c r="G609" s="27"/>
      <c r="H609" s="27"/>
    </row>
    <row r="610">
      <c r="F610" s="27"/>
      <c r="G610" s="27"/>
      <c r="H610" s="27"/>
    </row>
    <row r="611">
      <c r="F611" s="27"/>
      <c r="G611" s="27"/>
      <c r="H611" s="27"/>
    </row>
    <row r="612">
      <c r="F612" s="27"/>
      <c r="G612" s="27"/>
      <c r="H612" s="27"/>
    </row>
    <row r="613">
      <c r="F613" s="27"/>
      <c r="G613" s="27"/>
      <c r="H613" s="27"/>
    </row>
    <row r="614">
      <c r="F614" s="27"/>
      <c r="G614" s="27"/>
      <c r="H614" s="27"/>
    </row>
    <row r="615">
      <c r="F615" s="27"/>
      <c r="G615" s="27"/>
      <c r="H615" s="27"/>
    </row>
    <row r="616">
      <c r="F616" s="27"/>
      <c r="G616" s="27"/>
      <c r="H616" s="27"/>
    </row>
    <row r="617">
      <c r="F617" s="27"/>
      <c r="G617" s="27"/>
      <c r="H617" s="27"/>
    </row>
    <row r="618">
      <c r="F618" s="27"/>
      <c r="G618" s="27"/>
      <c r="H618" s="27"/>
    </row>
    <row r="619">
      <c r="F619" s="27"/>
      <c r="G619" s="27"/>
      <c r="H619" s="27"/>
    </row>
    <row r="620">
      <c r="F620" s="27"/>
      <c r="G620" s="27"/>
      <c r="H620" s="27"/>
    </row>
    <row r="621">
      <c r="F621" s="27"/>
      <c r="G621" s="27"/>
      <c r="H621" s="27"/>
    </row>
    <row r="622">
      <c r="F622" s="27"/>
      <c r="G622" s="27"/>
      <c r="H622" s="27"/>
    </row>
    <row r="623">
      <c r="F623" s="27"/>
      <c r="G623" s="27"/>
      <c r="H623" s="27"/>
    </row>
    <row r="624">
      <c r="F624" s="27"/>
      <c r="G624" s="27"/>
      <c r="H624" s="27"/>
    </row>
    <row r="625">
      <c r="F625" s="27"/>
      <c r="G625" s="27"/>
      <c r="H625" s="27"/>
    </row>
    <row r="626">
      <c r="F626" s="27"/>
      <c r="G626" s="27"/>
      <c r="H626" s="27"/>
    </row>
    <row r="627">
      <c r="F627" s="27"/>
      <c r="G627" s="27"/>
      <c r="H627" s="27"/>
    </row>
    <row r="628">
      <c r="F628" s="27"/>
      <c r="G628" s="27"/>
      <c r="H628" s="27"/>
    </row>
    <row r="629">
      <c r="F629" s="27"/>
      <c r="G629" s="27"/>
      <c r="H629" s="27"/>
    </row>
    <row r="630">
      <c r="F630" s="27"/>
      <c r="G630" s="27"/>
      <c r="H630" s="27"/>
    </row>
    <row r="631">
      <c r="F631" s="27"/>
      <c r="G631" s="27"/>
      <c r="H631" s="27"/>
    </row>
    <row r="632">
      <c r="F632" s="27"/>
      <c r="G632" s="27"/>
      <c r="H632" s="27"/>
    </row>
    <row r="633">
      <c r="F633" s="27"/>
      <c r="G633" s="27"/>
      <c r="H633" s="27"/>
    </row>
    <row r="634">
      <c r="F634" s="27"/>
      <c r="G634" s="27"/>
      <c r="H634" s="27"/>
    </row>
    <row r="635">
      <c r="F635" s="27"/>
      <c r="G635" s="27"/>
      <c r="H635" s="27"/>
    </row>
    <row r="636">
      <c r="F636" s="27"/>
      <c r="G636" s="27"/>
      <c r="H636" s="27"/>
    </row>
    <row r="637">
      <c r="F637" s="27"/>
      <c r="G637" s="27"/>
      <c r="H637" s="27"/>
    </row>
    <row r="638">
      <c r="F638" s="27"/>
      <c r="G638" s="27"/>
      <c r="H638" s="27"/>
    </row>
    <row r="639">
      <c r="F639" s="27"/>
      <c r="G639" s="27"/>
      <c r="H639" s="27"/>
    </row>
    <row r="640">
      <c r="F640" s="27"/>
      <c r="G640" s="27"/>
      <c r="H640" s="27"/>
    </row>
    <row r="641">
      <c r="F641" s="27"/>
      <c r="G641" s="27"/>
      <c r="H641" s="27"/>
    </row>
    <row r="642">
      <c r="F642" s="27"/>
      <c r="G642" s="27"/>
      <c r="H642" s="27"/>
    </row>
    <row r="643">
      <c r="F643" s="27"/>
      <c r="G643" s="27"/>
      <c r="H643" s="27"/>
    </row>
    <row r="644">
      <c r="F644" s="27"/>
      <c r="G644" s="27"/>
      <c r="H644" s="27"/>
    </row>
    <row r="645">
      <c r="F645" s="27"/>
      <c r="G645" s="27"/>
      <c r="H645" s="27"/>
    </row>
    <row r="646">
      <c r="F646" s="27"/>
      <c r="G646" s="27"/>
      <c r="H646" s="27"/>
    </row>
    <row r="647">
      <c r="F647" s="27"/>
      <c r="G647" s="27"/>
      <c r="H647" s="27"/>
    </row>
    <row r="648">
      <c r="F648" s="27"/>
      <c r="G648" s="27"/>
      <c r="H648" s="27"/>
    </row>
    <row r="649">
      <c r="F649" s="27"/>
      <c r="G649" s="27"/>
      <c r="H649" s="27"/>
    </row>
    <row r="650">
      <c r="F650" s="27"/>
      <c r="G650" s="27"/>
      <c r="H650" s="27"/>
    </row>
    <row r="651">
      <c r="F651" s="27"/>
      <c r="G651" s="27"/>
      <c r="H651" s="27"/>
    </row>
    <row r="652">
      <c r="F652" s="27"/>
      <c r="G652" s="27"/>
      <c r="H652" s="27"/>
    </row>
    <row r="653">
      <c r="F653" s="27"/>
      <c r="G653" s="27"/>
      <c r="H653" s="27"/>
    </row>
    <row r="654">
      <c r="F654" s="27"/>
      <c r="G654" s="27"/>
      <c r="H654" s="27"/>
    </row>
    <row r="655">
      <c r="F655" s="27"/>
      <c r="G655" s="27"/>
      <c r="H655" s="27"/>
    </row>
    <row r="656">
      <c r="F656" s="27"/>
      <c r="G656" s="27"/>
      <c r="H656" s="27"/>
    </row>
    <row r="657">
      <c r="F657" s="27"/>
      <c r="G657" s="27"/>
      <c r="H657" s="27"/>
    </row>
    <row r="658">
      <c r="F658" s="27"/>
      <c r="G658" s="27"/>
      <c r="H658" s="27"/>
    </row>
    <row r="659">
      <c r="F659" s="27"/>
      <c r="G659" s="27"/>
      <c r="H659" s="27"/>
    </row>
    <row r="660">
      <c r="F660" s="27"/>
      <c r="G660" s="27"/>
      <c r="H660" s="27"/>
    </row>
    <row r="661">
      <c r="F661" s="27"/>
      <c r="G661" s="27"/>
      <c r="H661" s="27"/>
    </row>
    <row r="662">
      <c r="F662" s="27"/>
      <c r="G662" s="27"/>
      <c r="H662" s="27"/>
    </row>
    <row r="663">
      <c r="F663" s="27"/>
      <c r="G663" s="27"/>
      <c r="H663" s="27"/>
    </row>
    <row r="664">
      <c r="F664" s="27"/>
      <c r="G664" s="27"/>
      <c r="H664" s="27"/>
    </row>
    <row r="665">
      <c r="F665" s="27"/>
      <c r="G665" s="27"/>
      <c r="H665" s="27"/>
    </row>
    <row r="666">
      <c r="F666" s="27"/>
      <c r="G666" s="27"/>
      <c r="H666" s="27"/>
    </row>
    <row r="667">
      <c r="F667" s="27"/>
      <c r="G667" s="27"/>
      <c r="H667" s="27"/>
    </row>
    <row r="668">
      <c r="F668" s="27"/>
      <c r="G668" s="27"/>
      <c r="H668" s="27"/>
    </row>
    <row r="669">
      <c r="F669" s="27"/>
      <c r="G669" s="27"/>
      <c r="H669" s="27"/>
    </row>
    <row r="670">
      <c r="F670" s="27"/>
      <c r="G670" s="27"/>
      <c r="H670" s="27"/>
    </row>
    <row r="671">
      <c r="F671" s="27"/>
      <c r="G671" s="27"/>
      <c r="H671" s="27"/>
    </row>
    <row r="672">
      <c r="F672" s="27"/>
      <c r="G672" s="27"/>
      <c r="H672" s="27"/>
    </row>
    <row r="673">
      <c r="F673" s="27"/>
      <c r="G673" s="27"/>
      <c r="H673" s="27"/>
    </row>
    <row r="674">
      <c r="F674" s="27"/>
      <c r="G674" s="27"/>
      <c r="H674" s="27"/>
    </row>
    <row r="675">
      <c r="F675" s="27"/>
      <c r="G675" s="27"/>
      <c r="H675" s="27"/>
    </row>
    <row r="676">
      <c r="F676" s="27"/>
      <c r="G676" s="27"/>
      <c r="H676" s="27"/>
    </row>
    <row r="677">
      <c r="F677" s="27"/>
      <c r="G677" s="27"/>
      <c r="H677" s="27"/>
    </row>
    <row r="678">
      <c r="F678" s="27"/>
      <c r="G678" s="27"/>
      <c r="H678" s="27"/>
    </row>
    <row r="679">
      <c r="F679" s="27"/>
      <c r="G679" s="27"/>
      <c r="H679" s="27"/>
    </row>
    <row r="680">
      <c r="F680" s="27"/>
      <c r="G680" s="27"/>
      <c r="H680" s="27"/>
    </row>
    <row r="681">
      <c r="F681" s="27"/>
      <c r="G681" s="27"/>
      <c r="H681" s="27"/>
    </row>
    <row r="682">
      <c r="F682" s="27"/>
      <c r="G682" s="27"/>
      <c r="H682" s="27"/>
    </row>
    <row r="683">
      <c r="F683" s="27"/>
      <c r="G683" s="27"/>
      <c r="H683" s="27"/>
    </row>
    <row r="684">
      <c r="F684" s="27"/>
      <c r="G684" s="27"/>
      <c r="H684" s="27"/>
    </row>
    <row r="685">
      <c r="F685" s="27"/>
      <c r="G685" s="27"/>
      <c r="H685" s="27"/>
    </row>
    <row r="686">
      <c r="F686" s="27"/>
      <c r="G686" s="27"/>
      <c r="H686" s="27"/>
    </row>
    <row r="687">
      <c r="F687" s="27"/>
      <c r="G687" s="27"/>
      <c r="H687" s="27"/>
    </row>
    <row r="688">
      <c r="F688" s="27"/>
      <c r="G688" s="27"/>
      <c r="H688" s="27"/>
    </row>
    <row r="689">
      <c r="F689" s="27"/>
      <c r="G689" s="27"/>
      <c r="H689" s="27"/>
    </row>
    <row r="690">
      <c r="F690" s="27"/>
      <c r="G690" s="27"/>
      <c r="H690" s="27"/>
    </row>
    <row r="691">
      <c r="F691" s="27"/>
      <c r="G691" s="27"/>
      <c r="H691" s="27"/>
    </row>
    <row r="692">
      <c r="F692" s="27"/>
      <c r="G692" s="27"/>
      <c r="H692" s="27"/>
    </row>
    <row r="693">
      <c r="F693" s="27"/>
      <c r="G693" s="27"/>
      <c r="H693" s="27"/>
    </row>
    <row r="694">
      <c r="F694" s="27"/>
      <c r="G694" s="27"/>
      <c r="H694" s="27"/>
    </row>
    <row r="695">
      <c r="F695" s="27"/>
      <c r="G695" s="27"/>
      <c r="H695" s="27"/>
    </row>
    <row r="696">
      <c r="F696" s="27"/>
      <c r="G696" s="27"/>
      <c r="H696" s="27"/>
    </row>
    <row r="697">
      <c r="F697" s="27"/>
      <c r="G697" s="27"/>
      <c r="H697" s="27"/>
    </row>
    <row r="698">
      <c r="F698" s="27"/>
      <c r="G698" s="27"/>
      <c r="H698" s="27"/>
    </row>
    <row r="699">
      <c r="F699" s="27"/>
      <c r="G699" s="27"/>
      <c r="H699" s="27"/>
    </row>
    <row r="700">
      <c r="F700" s="27"/>
      <c r="G700" s="27"/>
      <c r="H700" s="27"/>
    </row>
    <row r="701">
      <c r="F701" s="27"/>
      <c r="G701" s="27"/>
      <c r="H701" s="27"/>
    </row>
    <row r="702">
      <c r="F702" s="27"/>
      <c r="G702" s="27"/>
      <c r="H702" s="27"/>
    </row>
    <row r="703">
      <c r="F703" s="27"/>
      <c r="G703" s="27"/>
      <c r="H703" s="27"/>
    </row>
    <row r="704">
      <c r="F704" s="27"/>
      <c r="G704" s="27"/>
      <c r="H704" s="27"/>
    </row>
    <row r="705">
      <c r="F705" s="27"/>
      <c r="G705" s="27"/>
      <c r="H705" s="27"/>
    </row>
    <row r="706">
      <c r="F706" s="27"/>
      <c r="G706" s="27"/>
      <c r="H706" s="27"/>
    </row>
    <row r="707">
      <c r="F707" s="27"/>
      <c r="G707" s="27"/>
      <c r="H707" s="27"/>
    </row>
    <row r="708">
      <c r="F708" s="27"/>
      <c r="G708" s="27"/>
      <c r="H708" s="27"/>
    </row>
    <row r="709">
      <c r="F709" s="27"/>
      <c r="G709" s="27"/>
      <c r="H709" s="27"/>
    </row>
    <row r="710">
      <c r="F710" s="27"/>
      <c r="G710" s="27"/>
      <c r="H710" s="27"/>
    </row>
    <row r="711">
      <c r="F711" s="27"/>
      <c r="G711" s="27"/>
      <c r="H711" s="27"/>
    </row>
    <row r="712">
      <c r="F712" s="27"/>
      <c r="G712" s="27"/>
      <c r="H712" s="27"/>
    </row>
    <row r="713">
      <c r="F713" s="27"/>
      <c r="G713" s="27"/>
      <c r="H713" s="27"/>
    </row>
    <row r="714">
      <c r="F714" s="27"/>
      <c r="G714" s="27"/>
      <c r="H714" s="27"/>
    </row>
    <row r="715">
      <c r="F715" s="27"/>
      <c r="G715" s="27"/>
      <c r="H715" s="27"/>
    </row>
    <row r="716">
      <c r="F716" s="27"/>
      <c r="G716" s="27"/>
      <c r="H716" s="27"/>
    </row>
    <row r="717">
      <c r="F717" s="27"/>
      <c r="G717" s="27"/>
      <c r="H717" s="27"/>
    </row>
    <row r="718">
      <c r="F718" s="27"/>
      <c r="G718" s="27"/>
      <c r="H718" s="27"/>
    </row>
    <row r="719">
      <c r="F719" s="27"/>
      <c r="G719" s="27"/>
      <c r="H719" s="27"/>
    </row>
    <row r="720">
      <c r="F720" s="27"/>
      <c r="G720" s="27"/>
      <c r="H720" s="27"/>
    </row>
    <row r="721">
      <c r="F721" s="27"/>
      <c r="G721" s="27"/>
      <c r="H721" s="27"/>
    </row>
    <row r="722">
      <c r="F722" s="27"/>
      <c r="G722" s="27"/>
      <c r="H722" s="27"/>
    </row>
    <row r="723">
      <c r="F723" s="27"/>
      <c r="G723" s="27"/>
      <c r="H723" s="27"/>
    </row>
    <row r="724">
      <c r="F724" s="27"/>
      <c r="G724" s="27"/>
      <c r="H724" s="27"/>
    </row>
    <row r="725">
      <c r="F725" s="27"/>
      <c r="G725" s="27"/>
      <c r="H725" s="27"/>
    </row>
    <row r="726">
      <c r="F726" s="27"/>
      <c r="G726" s="27"/>
      <c r="H726" s="27"/>
    </row>
    <row r="727">
      <c r="F727" s="27"/>
      <c r="G727" s="27"/>
      <c r="H727" s="27"/>
    </row>
    <row r="728">
      <c r="F728" s="27"/>
      <c r="G728" s="27"/>
      <c r="H728" s="27"/>
    </row>
    <row r="729">
      <c r="F729" s="27"/>
      <c r="G729" s="27"/>
      <c r="H729" s="27"/>
    </row>
    <row r="730">
      <c r="F730" s="27"/>
      <c r="G730" s="27"/>
      <c r="H730" s="27"/>
    </row>
    <row r="731">
      <c r="F731" s="27"/>
      <c r="G731" s="27"/>
      <c r="H731" s="27"/>
    </row>
    <row r="732">
      <c r="F732" s="27"/>
      <c r="G732" s="27"/>
      <c r="H732" s="27"/>
    </row>
    <row r="733">
      <c r="F733" s="27"/>
      <c r="G733" s="27"/>
      <c r="H733" s="27"/>
    </row>
    <row r="734">
      <c r="F734" s="27"/>
      <c r="G734" s="27"/>
      <c r="H734" s="27"/>
    </row>
    <row r="735">
      <c r="F735" s="27"/>
      <c r="G735" s="27"/>
      <c r="H735" s="27"/>
    </row>
    <row r="736">
      <c r="F736" s="27"/>
      <c r="G736" s="27"/>
      <c r="H736" s="27"/>
    </row>
    <row r="737">
      <c r="F737" s="27"/>
      <c r="G737" s="27"/>
      <c r="H737" s="27"/>
    </row>
    <row r="738">
      <c r="F738" s="27"/>
      <c r="G738" s="27"/>
      <c r="H738" s="27"/>
    </row>
    <row r="739">
      <c r="F739" s="27"/>
      <c r="G739" s="27"/>
      <c r="H739" s="27"/>
    </row>
    <row r="740">
      <c r="F740" s="27"/>
      <c r="G740" s="27"/>
      <c r="H740" s="27"/>
    </row>
    <row r="741">
      <c r="F741" s="27"/>
      <c r="G741" s="27"/>
      <c r="H741" s="27"/>
    </row>
    <row r="742">
      <c r="F742" s="27"/>
      <c r="G742" s="27"/>
      <c r="H742" s="27"/>
    </row>
    <row r="743">
      <c r="F743" s="27"/>
      <c r="G743" s="27"/>
      <c r="H743" s="27"/>
    </row>
    <row r="744">
      <c r="F744" s="27"/>
      <c r="G744" s="27"/>
      <c r="H744" s="27"/>
    </row>
    <row r="745">
      <c r="F745" s="27"/>
      <c r="G745" s="27"/>
      <c r="H745" s="27"/>
    </row>
    <row r="746">
      <c r="F746" s="27"/>
      <c r="G746" s="27"/>
      <c r="H746" s="27"/>
    </row>
    <row r="747">
      <c r="F747" s="27"/>
      <c r="G747" s="27"/>
      <c r="H747" s="27"/>
    </row>
    <row r="748">
      <c r="F748" s="27"/>
      <c r="G748" s="27"/>
      <c r="H748" s="27"/>
    </row>
    <row r="749">
      <c r="F749" s="27"/>
      <c r="G749" s="27"/>
      <c r="H749" s="27"/>
    </row>
    <row r="750">
      <c r="F750" s="27"/>
      <c r="G750" s="27"/>
      <c r="H750" s="27"/>
    </row>
    <row r="751">
      <c r="F751" s="27"/>
      <c r="G751" s="27"/>
      <c r="H751" s="27"/>
    </row>
    <row r="752">
      <c r="F752" s="27"/>
      <c r="G752" s="27"/>
      <c r="H752" s="27"/>
    </row>
    <row r="753">
      <c r="F753" s="27"/>
      <c r="G753" s="27"/>
      <c r="H753" s="27"/>
    </row>
    <row r="754">
      <c r="F754" s="27"/>
      <c r="G754" s="27"/>
      <c r="H754" s="27"/>
    </row>
    <row r="755">
      <c r="F755" s="27"/>
      <c r="G755" s="27"/>
      <c r="H755" s="27"/>
    </row>
    <row r="756">
      <c r="F756" s="27"/>
      <c r="G756" s="27"/>
      <c r="H756" s="27"/>
    </row>
    <row r="757">
      <c r="F757" s="27"/>
      <c r="G757" s="27"/>
      <c r="H757" s="27"/>
    </row>
    <row r="758">
      <c r="F758" s="27"/>
      <c r="G758" s="27"/>
      <c r="H758" s="27"/>
    </row>
    <row r="759">
      <c r="F759" s="27"/>
      <c r="G759" s="27"/>
      <c r="H759" s="27"/>
    </row>
    <row r="760">
      <c r="F760" s="27"/>
      <c r="G760" s="27"/>
      <c r="H760" s="27"/>
    </row>
    <row r="761">
      <c r="F761" s="27"/>
      <c r="G761" s="27"/>
      <c r="H761" s="27"/>
    </row>
    <row r="762">
      <c r="F762" s="27"/>
      <c r="G762" s="27"/>
      <c r="H762" s="27"/>
    </row>
    <row r="763">
      <c r="F763" s="27"/>
      <c r="G763" s="27"/>
      <c r="H763" s="27"/>
    </row>
    <row r="764">
      <c r="F764" s="27"/>
      <c r="G764" s="27"/>
      <c r="H764" s="27"/>
    </row>
    <row r="765">
      <c r="F765" s="27"/>
      <c r="G765" s="27"/>
      <c r="H765" s="27"/>
    </row>
    <row r="766">
      <c r="F766" s="27"/>
      <c r="G766" s="27"/>
      <c r="H766" s="27"/>
    </row>
    <row r="767">
      <c r="F767" s="27"/>
      <c r="G767" s="27"/>
      <c r="H767" s="27"/>
    </row>
    <row r="768">
      <c r="F768" s="27"/>
      <c r="G768" s="27"/>
      <c r="H768" s="27"/>
    </row>
    <row r="769">
      <c r="F769" s="27"/>
      <c r="G769" s="27"/>
      <c r="H769" s="27"/>
    </row>
    <row r="770">
      <c r="F770" s="27"/>
      <c r="G770" s="27"/>
      <c r="H770" s="27"/>
    </row>
    <row r="771">
      <c r="F771" s="27"/>
      <c r="G771" s="27"/>
      <c r="H771" s="27"/>
    </row>
    <row r="772">
      <c r="F772" s="27"/>
      <c r="G772" s="27"/>
      <c r="H772" s="27"/>
    </row>
    <row r="773">
      <c r="F773" s="27"/>
      <c r="G773" s="27"/>
      <c r="H773" s="27"/>
    </row>
    <row r="774">
      <c r="F774" s="27"/>
      <c r="G774" s="27"/>
      <c r="H774" s="27"/>
    </row>
    <row r="775">
      <c r="F775" s="27"/>
      <c r="G775" s="27"/>
      <c r="H775" s="27"/>
    </row>
    <row r="776">
      <c r="F776" s="27"/>
      <c r="G776" s="27"/>
      <c r="H776" s="27"/>
    </row>
    <row r="777">
      <c r="F777" s="27"/>
      <c r="G777" s="27"/>
      <c r="H777" s="27"/>
    </row>
    <row r="778">
      <c r="F778" s="27"/>
      <c r="G778" s="27"/>
      <c r="H778" s="27"/>
    </row>
    <row r="779">
      <c r="F779" s="27"/>
      <c r="G779" s="27"/>
      <c r="H779" s="27"/>
    </row>
    <row r="780">
      <c r="F780" s="27"/>
      <c r="G780" s="27"/>
      <c r="H780" s="27"/>
    </row>
    <row r="781">
      <c r="F781" s="27"/>
      <c r="G781" s="27"/>
      <c r="H781" s="27"/>
    </row>
    <row r="782">
      <c r="F782" s="27"/>
      <c r="G782" s="27"/>
      <c r="H782" s="27"/>
    </row>
    <row r="783">
      <c r="F783" s="27"/>
      <c r="G783" s="27"/>
      <c r="H783" s="27"/>
    </row>
    <row r="784">
      <c r="F784" s="27"/>
      <c r="G784" s="27"/>
      <c r="H784" s="27"/>
    </row>
    <row r="785">
      <c r="F785" s="27"/>
      <c r="G785" s="27"/>
      <c r="H785" s="27"/>
    </row>
    <row r="786">
      <c r="F786" s="27"/>
      <c r="G786" s="27"/>
      <c r="H786" s="27"/>
    </row>
    <row r="787">
      <c r="F787" s="27"/>
      <c r="G787" s="27"/>
      <c r="H787" s="27"/>
    </row>
    <row r="788">
      <c r="F788" s="27"/>
      <c r="G788" s="27"/>
      <c r="H788" s="27"/>
    </row>
    <row r="789">
      <c r="F789" s="27"/>
      <c r="G789" s="27"/>
      <c r="H789" s="27"/>
    </row>
    <row r="790">
      <c r="F790" s="27"/>
      <c r="G790" s="27"/>
      <c r="H790" s="27"/>
    </row>
    <row r="791">
      <c r="F791" s="27"/>
      <c r="G791" s="27"/>
      <c r="H791" s="27"/>
    </row>
    <row r="792">
      <c r="F792" s="27"/>
      <c r="G792" s="27"/>
      <c r="H792" s="27"/>
    </row>
    <row r="793">
      <c r="F793" s="27"/>
      <c r="G793" s="27"/>
      <c r="H793" s="27"/>
    </row>
    <row r="794">
      <c r="F794" s="27"/>
      <c r="G794" s="27"/>
      <c r="H794" s="27"/>
    </row>
    <row r="795">
      <c r="F795" s="27"/>
      <c r="G795" s="27"/>
      <c r="H795" s="27"/>
    </row>
    <row r="796">
      <c r="F796" s="27"/>
      <c r="G796" s="27"/>
      <c r="H796" s="27"/>
    </row>
    <row r="797">
      <c r="F797" s="27"/>
      <c r="G797" s="27"/>
      <c r="H797" s="27"/>
    </row>
    <row r="798">
      <c r="F798" s="27"/>
      <c r="G798" s="27"/>
      <c r="H798" s="27"/>
    </row>
    <row r="799">
      <c r="F799" s="27"/>
      <c r="G799" s="27"/>
      <c r="H799" s="27"/>
    </row>
    <row r="800">
      <c r="F800" s="27"/>
      <c r="G800" s="27"/>
      <c r="H800" s="27"/>
    </row>
    <row r="801">
      <c r="F801" s="27"/>
      <c r="G801" s="27"/>
      <c r="H801" s="27"/>
    </row>
    <row r="802">
      <c r="F802" s="27"/>
      <c r="G802" s="27"/>
      <c r="H802" s="27"/>
    </row>
    <row r="803">
      <c r="F803" s="27"/>
      <c r="G803" s="27"/>
      <c r="H803" s="27"/>
    </row>
    <row r="804">
      <c r="F804" s="27"/>
      <c r="G804" s="27"/>
      <c r="H804" s="27"/>
    </row>
    <row r="805">
      <c r="F805" s="27"/>
      <c r="G805" s="27"/>
      <c r="H805" s="27"/>
    </row>
    <row r="806">
      <c r="F806" s="27"/>
      <c r="G806" s="27"/>
      <c r="H806" s="27"/>
    </row>
    <row r="807">
      <c r="F807" s="27"/>
      <c r="G807" s="27"/>
      <c r="H807" s="27"/>
    </row>
    <row r="808">
      <c r="F808" s="27"/>
      <c r="G808" s="27"/>
      <c r="H808" s="27"/>
    </row>
    <row r="809">
      <c r="F809" s="27"/>
      <c r="G809" s="27"/>
      <c r="H809" s="27"/>
    </row>
    <row r="810">
      <c r="F810" s="27"/>
      <c r="G810" s="27"/>
      <c r="H810" s="27"/>
    </row>
    <row r="811">
      <c r="F811" s="27"/>
      <c r="G811" s="27"/>
      <c r="H811" s="27"/>
    </row>
    <row r="812">
      <c r="F812" s="27"/>
      <c r="G812" s="27"/>
      <c r="H812" s="27"/>
    </row>
    <row r="813">
      <c r="F813" s="27"/>
      <c r="G813" s="27"/>
      <c r="H813" s="27"/>
    </row>
    <row r="814">
      <c r="F814" s="27"/>
      <c r="G814" s="27"/>
      <c r="H814" s="27"/>
    </row>
    <row r="815">
      <c r="F815" s="27"/>
      <c r="G815" s="27"/>
      <c r="H815" s="27"/>
    </row>
    <row r="816">
      <c r="F816" s="27"/>
      <c r="G816" s="27"/>
      <c r="H816" s="27"/>
    </row>
    <row r="817">
      <c r="F817" s="27"/>
      <c r="G817" s="27"/>
      <c r="H817" s="27"/>
    </row>
    <row r="818">
      <c r="F818" s="27"/>
      <c r="G818" s="27"/>
      <c r="H818" s="27"/>
    </row>
    <row r="819">
      <c r="F819" s="27"/>
      <c r="G819" s="27"/>
      <c r="H819" s="27"/>
    </row>
    <row r="820">
      <c r="F820" s="27"/>
      <c r="G820" s="27"/>
      <c r="H820" s="27"/>
    </row>
    <row r="821">
      <c r="F821" s="27"/>
      <c r="G821" s="27"/>
      <c r="H821" s="27"/>
    </row>
    <row r="822">
      <c r="F822" s="27"/>
      <c r="G822" s="27"/>
      <c r="H822" s="27"/>
    </row>
    <row r="823">
      <c r="F823" s="27"/>
      <c r="G823" s="27"/>
      <c r="H823" s="27"/>
    </row>
    <row r="824">
      <c r="F824" s="27"/>
      <c r="G824" s="27"/>
      <c r="H824" s="27"/>
    </row>
    <row r="825">
      <c r="F825" s="27"/>
      <c r="G825" s="27"/>
      <c r="H825" s="27"/>
    </row>
    <row r="826">
      <c r="F826" s="27"/>
      <c r="G826" s="27"/>
      <c r="H826" s="27"/>
    </row>
    <row r="827">
      <c r="F827" s="27"/>
      <c r="G827" s="27"/>
      <c r="H827" s="27"/>
    </row>
    <row r="828">
      <c r="F828" s="27"/>
      <c r="G828" s="27"/>
      <c r="H828" s="27"/>
    </row>
    <row r="829">
      <c r="F829" s="27"/>
      <c r="G829" s="27"/>
      <c r="H829" s="27"/>
    </row>
    <row r="830">
      <c r="F830" s="27"/>
      <c r="G830" s="27"/>
      <c r="H830" s="27"/>
    </row>
    <row r="831">
      <c r="F831" s="27"/>
      <c r="G831" s="27"/>
      <c r="H831" s="27"/>
    </row>
    <row r="832">
      <c r="F832" s="27"/>
      <c r="G832" s="27"/>
      <c r="H832" s="27"/>
    </row>
    <row r="833">
      <c r="F833" s="27"/>
      <c r="G833" s="27"/>
      <c r="H833" s="27"/>
    </row>
    <row r="834">
      <c r="F834" s="27"/>
      <c r="G834" s="27"/>
      <c r="H834" s="27"/>
    </row>
    <row r="835">
      <c r="F835" s="27"/>
      <c r="G835" s="27"/>
      <c r="H835" s="27"/>
    </row>
    <row r="836">
      <c r="F836" s="27"/>
      <c r="G836" s="27"/>
      <c r="H836" s="27"/>
    </row>
    <row r="837">
      <c r="F837" s="27"/>
      <c r="G837" s="27"/>
      <c r="H837" s="27"/>
    </row>
    <row r="838">
      <c r="F838" s="27"/>
      <c r="G838" s="27"/>
      <c r="H838" s="27"/>
    </row>
    <row r="839">
      <c r="F839" s="27"/>
      <c r="G839" s="27"/>
      <c r="H839" s="27"/>
    </row>
    <row r="840">
      <c r="F840" s="27"/>
      <c r="G840" s="27"/>
      <c r="H840" s="27"/>
    </row>
    <row r="841">
      <c r="F841" s="27"/>
      <c r="G841" s="27"/>
      <c r="H841" s="27"/>
    </row>
    <row r="842">
      <c r="F842" s="27"/>
      <c r="G842" s="27"/>
      <c r="H842" s="27"/>
    </row>
    <row r="843">
      <c r="F843" s="27"/>
      <c r="G843" s="27"/>
      <c r="H843" s="27"/>
    </row>
    <row r="844">
      <c r="F844" s="27"/>
      <c r="G844" s="27"/>
      <c r="H844" s="27"/>
    </row>
    <row r="845">
      <c r="F845" s="27"/>
      <c r="G845" s="27"/>
      <c r="H845" s="27"/>
    </row>
    <row r="846">
      <c r="F846" s="27"/>
      <c r="G846" s="27"/>
      <c r="H846" s="27"/>
    </row>
    <row r="847">
      <c r="F847" s="27"/>
      <c r="G847" s="27"/>
      <c r="H847" s="27"/>
    </row>
    <row r="848">
      <c r="F848" s="27"/>
      <c r="G848" s="27"/>
      <c r="H848" s="27"/>
    </row>
    <row r="849">
      <c r="F849" s="27"/>
      <c r="G849" s="27"/>
      <c r="H849" s="27"/>
    </row>
    <row r="850">
      <c r="F850" s="27"/>
      <c r="G850" s="27"/>
      <c r="H850" s="27"/>
    </row>
    <row r="851">
      <c r="F851" s="27"/>
      <c r="G851" s="27"/>
      <c r="H851" s="27"/>
    </row>
    <row r="852">
      <c r="F852" s="27"/>
      <c r="G852" s="27"/>
      <c r="H852" s="27"/>
    </row>
    <row r="853">
      <c r="F853" s="27"/>
      <c r="G853" s="27"/>
      <c r="H853" s="27"/>
    </row>
    <row r="854">
      <c r="F854" s="27"/>
      <c r="G854" s="27"/>
      <c r="H854" s="27"/>
    </row>
    <row r="855">
      <c r="F855" s="27"/>
      <c r="G855" s="27"/>
      <c r="H855" s="27"/>
    </row>
    <row r="856">
      <c r="F856" s="27"/>
      <c r="G856" s="27"/>
      <c r="H856" s="27"/>
    </row>
    <row r="857">
      <c r="F857" s="27"/>
      <c r="G857" s="27"/>
      <c r="H857" s="27"/>
    </row>
    <row r="858">
      <c r="F858" s="27"/>
      <c r="G858" s="27"/>
      <c r="H858" s="27"/>
    </row>
    <row r="859">
      <c r="F859" s="27"/>
      <c r="G859" s="27"/>
      <c r="H859" s="27"/>
    </row>
    <row r="860">
      <c r="F860" s="27"/>
      <c r="G860" s="27"/>
      <c r="H860" s="27"/>
    </row>
    <row r="861">
      <c r="F861" s="27"/>
      <c r="G861" s="27"/>
      <c r="H861" s="27"/>
    </row>
    <row r="862">
      <c r="F862" s="27"/>
      <c r="G862" s="27"/>
      <c r="H862" s="27"/>
    </row>
    <row r="863">
      <c r="F863" s="27"/>
      <c r="G863" s="27"/>
      <c r="H863" s="27"/>
    </row>
    <row r="864">
      <c r="F864" s="27"/>
      <c r="G864" s="27"/>
      <c r="H864" s="27"/>
    </row>
    <row r="865">
      <c r="F865" s="27"/>
      <c r="G865" s="27"/>
      <c r="H865" s="27"/>
    </row>
    <row r="866">
      <c r="F866" s="27"/>
      <c r="G866" s="27"/>
      <c r="H866" s="27"/>
    </row>
    <row r="867">
      <c r="F867" s="27"/>
      <c r="G867" s="27"/>
      <c r="H867" s="27"/>
    </row>
    <row r="868">
      <c r="F868" s="27"/>
      <c r="G868" s="27"/>
      <c r="H868" s="27"/>
    </row>
    <row r="869">
      <c r="F869" s="27"/>
      <c r="G869" s="27"/>
      <c r="H869" s="27"/>
    </row>
    <row r="870">
      <c r="F870" s="27"/>
      <c r="G870" s="27"/>
      <c r="H870" s="27"/>
    </row>
    <row r="871">
      <c r="F871" s="27"/>
      <c r="G871" s="27"/>
      <c r="H871" s="27"/>
    </row>
    <row r="872">
      <c r="F872" s="27"/>
      <c r="G872" s="27"/>
      <c r="H872" s="27"/>
    </row>
    <row r="873">
      <c r="F873" s="27"/>
      <c r="G873" s="27"/>
      <c r="H873" s="27"/>
    </row>
    <row r="874">
      <c r="F874" s="27"/>
      <c r="G874" s="27"/>
      <c r="H874" s="27"/>
    </row>
    <row r="875">
      <c r="F875" s="27"/>
      <c r="G875" s="27"/>
      <c r="H875" s="27"/>
    </row>
    <row r="876">
      <c r="F876" s="27"/>
      <c r="G876" s="27"/>
      <c r="H876" s="27"/>
    </row>
    <row r="877">
      <c r="F877" s="27"/>
      <c r="G877" s="27"/>
      <c r="H877" s="27"/>
    </row>
    <row r="878">
      <c r="F878" s="27"/>
      <c r="G878" s="27"/>
      <c r="H878" s="27"/>
    </row>
    <row r="879">
      <c r="F879" s="27"/>
      <c r="G879" s="27"/>
      <c r="H879" s="27"/>
    </row>
    <row r="880">
      <c r="F880" s="27"/>
      <c r="G880" s="27"/>
      <c r="H880" s="27"/>
    </row>
    <row r="881">
      <c r="F881" s="27"/>
      <c r="G881" s="27"/>
      <c r="H881" s="27"/>
    </row>
    <row r="882">
      <c r="F882" s="27"/>
      <c r="G882" s="27"/>
      <c r="H882" s="27"/>
    </row>
    <row r="883">
      <c r="F883" s="27"/>
      <c r="G883" s="27"/>
      <c r="H883" s="27"/>
    </row>
    <row r="884">
      <c r="F884" s="27"/>
      <c r="G884" s="27"/>
      <c r="H884" s="27"/>
    </row>
    <row r="885">
      <c r="F885" s="27"/>
      <c r="G885" s="27"/>
      <c r="H885" s="27"/>
    </row>
    <row r="886">
      <c r="F886" s="27"/>
      <c r="G886" s="27"/>
      <c r="H886" s="27"/>
    </row>
    <row r="887">
      <c r="F887" s="27"/>
      <c r="G887" s="27"/>
      <c r="H887" s="27"/>
    </row>
    <row r="888">
      <c r="F888" s="27"/>
      <c r="G888" s="27"/>
      <c r="H888" s="27"/>
    </row>
    <row r="889">
      <c r="F889" s="27"/>
      <c r="G889" s="27"/>
      <c r="H889" s="27"/>
    </row>
    <row r="890">
      <c r="F890" s="27"/>
      <c r="G890" s="27"/>
      <c r="H890" s="27"/>
    </row>
    <row r="891">
      <c r="F891" s="27"/>
      <c r="G891" s="27"/>
      <c r="H891" s="27"/>
    </row>
    <row r="892">
      <c r="F892" s="27"/>
      <c r="G892" s="27"/>
      <c r="H892" s="27"/>
    </row>
    <row r="893">
      <c r="F893" s="27"/>
      <c r="G893" s="27"/>
      <c r="H893" s="27"/>
    </row>
    <row r="894">
      <c r="F894" s="27"/>
      <c r="G894" s="27"/>
      <c r="H894" s="27"/>
    </row>
    <row r="895">
      <c r="F895" s="27"/>
      <c r="G895" s="27"/>
      <c r="H895" s="27"/>
    </row>
    <row r="896">
      <c r="F896" s="27"/>
      <c r="G896" s="27"/>
      <c r="H896" s="27"/>
    </row>
    <row r="897">
      <c r="F897" s="27"/>
      <c r="G897" s="27"/>
      <c r="H897" s="27"/>
    </row>
    <row r="898">
      <c r="F898" s="27"/>
      <c r="G898" s="27"/>
      <c r="H898" s="27"/>
    </row>
    <row r="899">
      <c r="F899" s="27"/>
      <c r="G899" s="27"/>
      <c r="H899" s="27"/>
    </row>
    <row r="900">
      <c r="F900" s="27"/>
      <c r="G900" s="27"/>
      <c r="H900" s="27"/>
    </row>
    <row r="901">
      <c r="F901" s="27"/>
      <c r="G901" s="27"/>
      <c r="H901" s="27"/>
    </row>
    <row r="902">
      <c r="F902" s="27"/>
      <c r="G902" s="27"/>
      <c r="H902" s="27"/>
    </row>
    <row r="903">
      <c r="F903" s="27"/>
      <c r="G903" s="27"/>
      <c r="H903" s="27"/>
    </row>
    <row r="904">
      <c r="F904" s="27"/>
      <c r="G904" s="27"/>
      <c r="H904" s="27"/>
    </row>
    <row r="905">
      <c r="F905" s="27"/>
      <c r="G905" s="27"/>
      <c r="H905" s="27"/>
    </row>
    <row r="906">
      <c r="F906" s="27"/>
      <c r="G906" s="27"/>
      <c r="H906" s="27"/>
    </row>
    <row r="907">
      <c r="F907" s="27"/>
      <c r="G907" s="27"/>
      <c r="H907" s="27"/>
    </row>
    <row r="908">
      <c r="F908" s="27"/>
      <c r="G908" s="27"/>
      <c r="H908" s="27"/>
    </row>
    <row r="909">
      <c r="F909" s="27"/>
      <c r="G909" s="27"/>
      <c r="H909" s="27"/>
    </row>
    <row r="910">
      <c r="F910" s="27"/>
      <c r="G910" s="27"/>
      <c r="H910" s="27"/>
    </row>
    <row r="911">
      <c r="F911" s="27"/>
      <c r="G911" s="27"/>
      <c r="H911" s="27"/>
    </row>
    <row r="912">
      <c r="F912" s="27"/>
      <c r="G912" s="27"/>
      <c r="H912" s="27"/>
    </row>
    <row r="913">
      <c r="F913" s="27"/>
      <c r="G913" s="27"/>
      <c r="H913" s="27"/>
    </row>
    <row r="914">
      <c r="F914" s="27"/>
      <c r="G914" s="27"/>
      <c r="H914" s="27"/>
    </row>
    <row r="915">
      <c r="F915" s="27"/>
      <c r="G915" s="27"/>
      <c r="H915" s="27"/>
    </row>
    <row r="916">
      <c r="F916" s="27"/>
      <c r="G916" s="27"/>
      <c r="H916" s="27"/>
    </row>
    <row r="917">
      <c r="F917" s="27"/>
      <c r="G917" s="27"/>
      <c r="H917" s="27"/>
    </row>
    <row r="918">
      <c r="F918" s="27"/>
      <c r="G918" s="27"/>
      <c r="H918" s="27"/>
    </row>
    <row r="919">
      <c r="F919" s="27"/>
      <c r="G919" s="27"/>
      <c r="H919" s="27"/>
    </row>
    <row r="920">
      <c r="F920" s="27"/>
      <c r="G920" s="27"/>
      <c r="H920" s="27"/>
    </row>
    <row r="921">
      <c r="F921" s="27"/>
      <c r="G921" s="27"/>
      <c r="H921" s="27"/>
    </row>
    <row r="922">
      <c r="F922" s="27"/>
      <c r="G922" s="27"/>
      <c r="H922" s="27"/>
    </row>
    <row r="923">
      <c r="F923" s="27"/>
      <c r="G923" s="27"/>
      <c r="H923" s="27"/>
    </row>
    <row r="924">
      <c r="F924" s="27"/>
      <c r="G924" s="27"/>
      <c r="H924" s="27"/>
    </row>
    <row r="925">
      <c r="F925" s="27"/>
      <c r="G925" s="27"/>
      <c r="H925" s="27"/>
    </row>
    <row r="926">
      <c r="F926" s="27"/>
      <c r="G926" s="27"/>
      <c r="H926" s="27"/>
    </row>
    <row r="927">
      <c r="F927" s="27"/>
      <c r="G927" s="27"/>
      <c r="H927" s="27"/>
    </row>
    <row r="928">
      <c r="F928" s="27"/>
      <c r="G928" s="27"/>
      <c r="H928" s="27"/>
    </row>
    <row r="929">
      <c r="F929" s="27"/>
      <c r="G929" s="27"/>
      <c r="H929" s="27"/>
    </row>
    <row r="930">
      <c r="F930" s="27"/>
      <c r="G930" s="27"/>
      <c r="H930" s="27"/>
    </row>
    <row r="931">
      <c r="F931" s="27"/>
      <c r="G931" s="27"/>
      <c r="H931" s="27"/>
    </row>
    <row r="932">
      <c r="F932" s="27"/>
      <c r="G932" s="27"/>
      <c r="H932" s="27"/>
    </row>
    <row r="933">
      <c r="F933" s="27"/>
      <c r="G933" s="27"/>
      <c r="H933" s="27"/>
    </row>
    <row r="934">
      <c r="F934" s="27"/>
      <c r="G934" s="27"/>
      <c r="H934" s="27"/>
    </row>
    <row r="935">
      <c r="F935" s="27"/>
      <c r="G935" s="27"/>
      <c r="H935" s="27"/>
    </row>
    <row r="936">
      <c r="F936" s="27"/>
      <c r="G936" s="27"/>
      <c r="H936" s="27"/>
    </row>
    <row r="937">
      <c r="F937" s="27"/>
      <c r="G937" s="27"/>
      <c r="H937" s="27"/>
    </row>
    <row r="938">
      <c r="F938" s="27"/>
      <c r="G938" s="27"/>
      <c r="H938" s="27"/>
    </row>
    <row r="939">
      <c r="F939" s="27"/>
      <c r="G939" s="27"/>
      <c r="H939" s="27"/>
    </row>
    <row r="940">
      <c r="F940" s="27"/>
      <c r="G940" s="27"/>
      <c r="H940" s="27"/>
    </row>
    <row r="941">
      <c r="F941" s="27"/>
      <c r="G941" s="27"/>
      <c r="H941" s="27"/>
    </row>
    <row r="942">
      <c r="F942" s="27"/>
      <c r="G942" s="27"/>
      <c r="H942" s="27"/>
    </row>
    <row r="943">
      <c r="F943" s="27"/>
      <c r="G943" s="27"/>
      <c r="H943" s="27"/>
    </row>
    <row r="944">
      <c r="F944" s="27"/>
      <c r="G944" s="27"/>
      <c r="H944" s="27"/>
    </row>
    <row r="945">
      <c r="F945" s="27"/>
      <c r="G945" s="27"/>
      <c r="H945" s="27"/>
    </row>
    <row r="946">
      <c r="F946" s="27"/>
      <c r="G946" s="27"/>
      <c r="H946" s="27"/>
    </row>
    <row r="947">
      <c r="F947" s="27"/>
      <c r="G947" s="27"/>
      <c r="H947" s="27"/>
    </row>
    <row r="948">
      <c r="F948" s="27"/>
      <c r="G948" s="27"/>
      <c r="H948" s="27"/>
    </row>
    <row r="949">
      <c r="F949" s="27"/>
      <c r="G949" s="27"/>
      <c r="H949" s="27"/>
    </row>
    <row r="950">
      <c r="F950" s="27"/>
      <c r="G950" s="27"/>
      <c r="H950" s="27"/>
    </row>
    <row r="951">
      <c r="F951" s="27"/>
      <c r="G951" s="27"/>
      <c r="H951" s="27"/>
    </row>
    <row r="952">
      <c r="F952" s="27"/>
      <c r="G952" s="27"/>
      <c r="H952" s="27"/>
    </row>
    <row r="953">
      <c r="F953" s="27"/>
      <c r="G953" s="27"/>
      <c r="H953" s="27"/>
    </row>
    <row r="954">
      <c r="F954" s="27"/>
      <c r="G954" s="27"/>
      <c r="H954" s="27"/>
    </row>
    <row r="955">
      <c r="F955" s="27"/>
      <c r="G955" s="27"/>
      <c r="H955" s="27"/>
    </row>
    <row r="956">
      <c r="F956" s="27"/>
      <c r="G956" s="27"/>
      <c r="H956" s="27"/>
    </row>
    <row r="957">
      <c r="F957" s="27"/>
      <c r="G957" s="27"/>
      <c r="H957" s="27"/>
    </row>
    <row r="958">
      <c r="F958" s="27"/>
      <c r="G958" s="27"/>
      <c r="H958" s="27"/>
    </row>
    <row r="959">
      <c r="F959" s="27"/>
      <c r="G959" s="27"/>
      <c r="H959" s="27"/>
    </row>
    <row r="960">
      <c r="F960" s="27"/>
      <c r="G960" s="27"/>
      <c r="H960" s="27"/>
    </row>
    <row r="961">
      <c r="F961" s="27"/>
      <c r="G961" s="27"/>
      <c r="H961" s="27"/>
    </row>
    <row r="962">
      <c r="F962" s="27"/>
      <c r="G962" s="27"/>
      <c r="H962" s="27"/>
    </row>
    <row r="963">
      <c r="F963" s="27"/>
      <c r="G963" s="27"/>
      <c r="H963" s="27"/>
    </row>
    <row r="964">
      <c r="F964" s="27"/>
      <c r="G964" s="27"/>
      <c r="H964" s="27"/>
    </row>
    <row r="965">
      <c r="F965" s="27"/>
      <c r="G965" s="27"/>
      <c r="H965" s="27"/>
    </row>
    <row r="966">
      <c r="F966" s="27"/>
      <c r="G966" s="27"/>
      <c r="H966" s="27"/>
    </row>
    <row r="967">
      <c r="F967" s="27"/>
      <c r="G967" s="27"/>
      <c r="H967" s="27"/>
    </row>
    <row r="968">
      <c r="F968" s="27"/>
      <c r="G968" s="27"/>
      <c r="H968" s="27"/>
    </row>
    <row r="969">
      <c r="F969" s="27"/>
      <c r="G969" s="27"/>
      <c r="H969" s="27"/>
    </row>
    <row r="970">
      <c r="F970" s="27"/>
      <c r="G970" s="27"/>
      <c r="H970" s="27"/>
    </row>
    <row r="971">
      <c r="F971" s="27"/>
      <c r="G971" s="27"/>
      <c r="H971" s="27"/>
    </row>
    <row r="972">
      <c r="F972" s="27"/>
      <c r="G972" s="27"/>
      <c r="H972" s="27"/>
    </row>
    <row r="973">
      <c r="F973" s="27"/>
      <c r="G973" s="27"/>
      <c r="H973" s="27"/>
    </row>
    <row r="974">
      <c r="F974" s="27"/>
      <c r="G974" s="27"/>
      <c r="H974" s="27"/>
    </row>
    <row r="975">
      <c r="F975" s="27"/>
      <c r="G975" s="27"/>
      <c r="H975" s="27"/>
    </row>
    <row r="976">
      <c r="F976" s="27"/>
      <c r="G976" s="27"/>
      <c r="H976" s="27"/>
    </row>
    <row r="977">
      <c r="F977" s="27"/>
      <c r="G977" s="27"/>
      <c r="H977" s="27"/>
    </row>
    <row r="978">
      <c r="F978" s="27"/>
      <c r="G978" s="27"/>
      <c r="H978" s="27"/>
    </row>
    <row r="979">
      <c r="F979" s="27"/>
      <c r="G979" s="27"/>
      <c r="H979" s="27"/>
    </row>
    <row r="980">
      <c r="F980" s="27"/>
      <c r="G980" s="27"/>
      <c r="H980" s="27"/>
    </row>
    <row r="981">
      <c r="F981" s="27"/>
      <c r="G981" s="27"/>
      <c r="H981" s="27"/>
    </row>
    <row r="982">
      <c r="F982" s="27"/>
      <c r="G982" s="27"/>
      <c r="H982" s="27"/>
    </row>
    <row r="983">
      <c r="F983" s="27"/>
      <c r="G983" s="27"/>
      <c r="H983" s="27"/>
    </row>
    <row r="984">
      <c r="F984" s="27"/>
      <c r="G984" s="27"/>
      <c r="H984" s="27"/>
    </row>
    <row r="985">
      <c r="F985" s="27"/>
      <c r="G985" s="27"/>
      <c r="H985" s="27"/>
    </row>
    <row r="986">
      <c r="F986" s="27"/>
      <c r="G986" s="27"/>
      <c r="H986" s="27"/>
    </row>
    <row r="987">
      <c r="F987" s="27"/>
      <c r="G987" s="27"/>
      <c r="H987" s="27"/>
    </row>
    <row r="988">
      <c r="F988" s="27"/>
      <c r="G988" s="27"/>
      <c r="H988" s="27"/>
    </row>
    <row r="989">
      <c r="F989" s="27"/>
      <c r="G989" s="27"/>
      <c r="H989" s="27"/>
    </row>
    <row r="990">
      <c r="F990" s="27"/>
      <c r="G990" s="27"/>
      <c r="H990" s="27"/>
    </row>
    <row r="991">
      <c r="F991" s="27"/>
      <c r="G991" s="27"/>
      <c r="H991" s="27"/>
    </row>
    <row r="992">
      <c r="F992" s="27"/>
      <c r="G992" s="27"/>
      <c r="H992" s="27"/>
    </row>
    <row r="993">
      <c r="F993" s="27"/>
      <c r="G993" s="27"/>
      <c r="H993" s="27"/>
    </row>
    <row r="994">
      <c r="F994" s="27"/>
      <c r="G994" s="27"/>
      <c r="H994" s="27"/>
    </row>
    <row r="995">
      <c r="F995" s="27"/>
      <c r="G995" s="27"/>
      <c r="H995" s="27"/>
    </row>
    <row r="996">
      <c r="F996" s="27"/>
      <c r="G996" s="27"/>
      <c r="H996" s="27"/>
    </row>
    <row r="997">
      <c r="F997" s="27"/>
      <c r="G997" s="27"/>
      <c r="H997" s="27"/>
    </row>
    <row r="998">
      <c r="F998" s="27"/>
      <c r="G998" s="27"/>
      <c r="H998" s="27"/>
    </row>
    <row r="999">
      <c r="F999" s="27"/>
      <c r="G999" s="27"/>
      <c r="H999" s="27"/>
    </row>
    <row r="1000">
      <c r="F1000" s="27"/>
      <c r="G1000" s="27"/>
      <c r="H1000" s="27"/>
    </row>
    <row r="1001">
      <c r="F1001" s="27"/>
      <c r="G1001" s="27"/>
      <c r="H1001" s="27"/>
    </row>
    <row r="1002">
      <c r="F1002" s="27"/>
      <c r="G1002" s="27"/>
      <c r="H1002" s="27"/>
    </row>
  </sheetData>
  <conditionalFormatting sqref="D44:E44 D53:F53">
    <cfRule type="cellIs" dxfId="0" priority="1" operator="lessThan">
      <formula>0</formula>
    </cfRule>
  </conditionalFormatting>
  <conditionalFormatting sqref="D53:E53">
    <cfRule type="cellIs" dxfId="0" priority="2" operator="lessThan">
      <formula>0</formula>
    </cfRule>
  </conditionalFormatting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9.38"/>
    <col customWidth="1" min="5" max="5" width="14.0"/>
    <col customWidth="1" min="6" max="6" width="14.63"/>
    <col customWidth="1" min="7" max="7" width="12.38"/>
    <col customWidth="1" min="8" max="8" width="13.25"/>
    <col customWidth="1" min="9" max="9" width="20.63"/>
    <col customWidth="1" min="10" max="10" width="11.25"/>
    <col customWidth="1" min="11" max="11" width="9.25"/>
    <col customWidth="1" min="12" max="13" width="9.5"/>
    <col customWidth="1" min="16" max="16" width="9.88"/>
    <col customWidth="1" min="17" max="17" width="8.13"/>
  </cols>
  <sheetData>
    <row r="1">
      <c r="A1" s="18" t="s">
        <v>346</v>
      </c>
      <c r="B1" s="416" t="s">
        <v>296</v>
      </c>
      <c r="F1" s="107"/>
      <c r="G1" s="107"/>
      <c r="H1" s="107"/>
      <c r="I1" s="417" t="s">
        <v>325</v>
      </c>
      <c r="J1" s="107"/>
    </row>
    <row r="2">
      <c r="B2" s="18" t="s">
        <v>240</v>
      </c>
      <c r="C2" s="249">
        <v>13.0</v>
      </c>
      <c r="F2" s="27"/>
      <c r="G2" s="26"/>
      <c r="H2" s="26"/>
      <c r="I2" s="422" t="s">
        <v>119</v>
      </c>
      <c r="J2" s="302" t="s">
        <v>120</v>
      </c>
    </row>
    <row r="3">
      <c r="B3" s="18" t="s">
        <v>241</v>
      </c>
      <c r="C3" s="249">
        <v>70.7</v>
      </c>
      <c r="F3" s="107"/>
      <c r="G3" s="107"/>
      <c r="H3" s="107"/>
      <c r="I3" s="423" t="s">
        <v>326</v>
      </c>
      <c r="J3" s="7" t="s">
        <v>327</v>
      </c>
    </row>
    <row r="4">
      <c r="B4" s="18" t="s">
        <v>242</v>
      </c>
      <c r="C4" s="249">
        <v>13.0</v>
      </c>
      <c r="D4" s="249"/>
      <c r="F4" s="26"/>
      <c r="G4" s="107"/>
      <c r="H4" s="107"/>
      <c r="I4" s="423" t="s">
        <v>328</v>
      </c>
      <c r="J4" s="7" t="s">
        <v>329</v>
      </c>
      <c r="K4" s="107"/>
    </row>
    <row r="5">
      <c r="B5" s="18" t="s">
        <v>285</v>
      </c>
      <c r="C5" s="249">
        <v>42.0</v>
      </c>
      <c r="D5" s="249"/>
      <c r="F5" s="107"/>
      <c r="G5" s="107"/>
      <c r="H5" s="107"/>
      <c r="I5" s="423"/>
      <c r="J5" s="7" t="s">
        <v>192</v>
      </c>
      <c r="K5" s="107"/>
    </row>
    <row r="6">
      <c r="B6" s="18" t="s">
        <v>324</v>
      </c>
      <c r="C6" s="249">
        <v>6.0</v>
      </c>
      <c r="F6" s="107"/>
      <c r="K6" s="107"/>
    </row>
    <row r="7">
      <c r="C7" s="276">
        <f>SUM(C2:C6)</f>
        <v>144.7</v>
      </c>
      <c r="D7" s="12">
        <f>C7-13</f>
        <v>131.7</v>
      </c>
      <c r="F7" s="107"/>
      <c r="K7" s="107"/>
    </row>
    <row r="8">
      <c r="K8" s="107"/>
    </row>
    <row r="9">
      <c r="K9" s="27"/>
    </row>
    <row r="10">
      <c r="G10" s="18" t="s">
        <v>366</v>
      </c>
      <c r="K10" s="107"/>
    </row>
    <row r="11">
      <c r="B11" s="55" t="s">
        <v>122</v>
      </c>
      <c r="C11" s="56"/>
      <c r="D11" s="140" t="s">
        <v>123</v>
      </c>
      <c r="E11" s="140" t="s">
        <v>124</v>
      </c>
      <c r="F11" s="140" t="s">
        <v>125</v>
      </c>
      <c r="G11" s="424" t="s">
        <v>126</v>
      </c>
      <c r="K11" s="107"/>
      <c r="M11" s="18"/>
    </row>
    <row r="12">
      <c r="B12" s="59" t="s">
        <v>129</v>
      </c>
      <c r="C12" s="141"/>
      <c r="D12" s="113">
        <v>8402.26</v>
      </c>
      <c r="E12" s="113">
        <v>8473.39</v>
      </c>
      <c r="F12" s="113">
        <v>8402.26</v>
      </c>
      <c r="G12" s="425">
        <v>8402.26</v>
      </c>
      <c r="J12" s="28">
        <f>G15/2</f>
        <v>422.66</v>
      </c>
      <c r="K12" s="107"/>
      <c r="M12" s="18"/>
    </row>
    <row r="13">
      <c r="B13" s="59" t="s">
        <v>136</v>
      </c>
      <c r="C13" s="141"/>
      <c r="D13" s="114">
        <f>2160+3349.61</f>
        <v>5509.61</v>
      </c>
      <c r="E13" s="114">
        <f>2160+3570.51</f>
        <v>5730.51</v>
      </c>
      <c r="F13" s="114">
        <f>2160+3544.87</f>
        <v>5704.87</v>
      </c>
      <c r="G13" s="426">
        <f>2230+3676.95</f>
        <v>5906.95</v>
      </c>
      <c r="H13" s="407"/>
      <c r="I13" s="303"/>
      <c r="J13" s="107"/>
      <c r="K13" s="27"/>
      <c r="M13" s="18"/>
    </row>
    <row r="14">
      <c r="B14" s="59" t="s">
        <v>137</v>
      </c>
      <c r="C14" s="141"/>
      <c r="D14" s="115"/>
      <c r="E14" s="114"/>
      <c r="F14" s="115"/>
      <c r="G14" s="426"/>
      <c r="H14" s="363"/>
      <c r="I14" s="363"/>
      <c r="J14" s="107"/>
      <c r="K14" s="107"/>
      <c r="M14" s="18"/>
    </row>
    <row r="15">
      <c r="B15" s="59" t="s">
        <v>138</v>
      </c>
      <c r="C15" s="141"/>
      <c r="D15" s="116"/>
      <c r="E15" s="117"/>
      <c r="F15" s="114">
        <f>16458.02+8673.34</f>
        <v>25131.36</v>
      </c>
      <c r="G15" s="426">
        <v>845.32</v>
      </c>
      <c r="H15" s="32"/>
      <c r="I15" s="427">
        <f>G53-G15</f>
        <v>1519.02</v>
      </c>
      <c r="J15" s="107"/>
      <c r="K15" s="107"/>
      <c r="M15" s="18"/>
    </row>
    <row r="16">
      <c r="B16" s="142" t="s">
        <v>139</v>
      </c>
      <c r="C16" s="143"/>
      <c r="D16" s="144">
        <f t="shared" ref="D16:E16" si="1">SUM(D12:D15)</f>
        <v>13911.87</v>
      </c>
      <c r="E16" s="144">
        <f t="shared" si="1"/>
        <v>14203.9</v>
      </c>
      <c r="F16" s="144">
        <f>SUM(F12:F14)</f>
        <v>14107.13</v>
      </c>
      <c r="G16" s="428">
        <f>SUM(G12:G15)</f>
        <v>15154.53</v>
      </c>
      <c r="H16" s="248"/>
      <c r="I16" s="429">
        <f>G16-G15</f>
        <v>14309.21</v>
      </c>
      <c r="L16" s="27"/>
      <c r="M16" s="18"/>
      <c r="O16" s="107"/>
    </row>
    <row r="17">
      <c r="C17" s="27"/>
      <c r="H17" s="32"/>
      <c r="I17" s="32"/>
      <c r="J17" s="107"/>
      <c r="M17" s="18"/>
      <c r="O17" s="27"/>
    </row>
    <row r="18">
      <c r="B18" s="70" t="s">
        <v>140</v>
      </c>
      <c r="C18" s="71"/>
      <c r="D18" s="58" t="s">
        <v>123</v>
      </c>
      <c r="E18" s="58" t="s">
        <v>124</v>
      </c>
      <c r="F18" s="58" t="s">
        <v>125</v>
      </c>
      <c r="G18" s="430" t="s">
        <v>126</v>
      </c>
      <c r="H18" s="418"/>
      <c r="I18" s="418" t="s">
        <v>331</v>
      </c>
      <c r="J18" s="192"/>
      <c r="M18" s="18"/>
    </row>
    <row r="19">
      <c r="B19" s="145" t="s">
        <v>141</v>
      </c>
      <c r="C19" s="146"/>
      <c r="D19" s="378">
        <v>410.0</v>
      </c>
      <c r="E19" s="378">
        <v>450.0</v>
      </c>
      <c r="F19" s="378">
        <v>450.0</v>
      </c>
      <c r="G19" s="431">
        <v>450.0</v>
      </c>
      <c r="H19" s="192"/>
      <c r="I19" s="192"/>
      <c r="J19" s="26" t="s">
        <v>27</v>
      </c>
      <c r="K19" s="26" t="s">
        <v>274</v>
      </c>
      <c r="L19" s="26" t="s">
        <v>351</v>
      </c>
      <c r="M19" s="26" t="s">
        <v>333</v>
      </c>
      <c r="N19" s="376" t="s">
        <v>368</v>
      </c>
      <c r="O19" s="26" t="s">
        <v>48</v>
      </c>
      <c r="P19" s="26" t="s">
        <v>383</v>
      </c>
      <c r="Q19" s="26" t="s">
        <v>380</v>
      </c>
    </row>
    <row r="20">
      <c r="B20" s="145" t="s">
        <v>142</v>
      </c>
      <c r="C20" s="146"/>
      <c r="D20" s="378">
        <v>220.0</v>
      </c>
      <c r="E20" s="378">
        <v>220.0</v>
      </c>
      <c r="F20" s="378">
        <v>220.0</v>
      </c>
      <c r="G20" s="431">
        <v>220.0</v>
      </c>
      <c r="H20" s="409"/>
      <c r="I20" s="432" t="s">
        <v>141</v>
      </c>
      <c r="K20" s="404"/>
      <c r="L20" s="420">
        <v>450.0</v>
      </c>
      <c r="M20" s="404"/>
      <c r="N20" s="404"/>
      <c r="O20" s="404"/>
      <c r="P20" s="404"/>
      <c r="Q20" s="404"/>
    </row>
    <row r="21">
      <c r="B21" s="145" t="s">
        <v>143</v>
      </c>
      <c r="C21" s="146"/>
      <c r="D21" s="396">
        <v>139.9</v>
      </c>
      <c r="E21" s="396">
        <v>147.9</v>
      </c>
      <c r="F21" s="396">
        <v>147.9</v>
      </c>
      <c r="G21" s="433">
        <v>147.9</v>
      </c>
      <c r="H21" s="409"/>
      <c r="I21" s="432" t="s">
        <v>142</v>
      </c>
      <c r="K21" s="404"/>
      <c r="L21" s="420">
        <v>220.0</v>
      </c>
      <c r="M21" s="404"/>
      <c r="N21" s="404"/>
      <c r="O21" s="404"/>
      <c r="P21" s="404"/>
      <c r="Q21" s="404"/>
    </row>
    <row r="22">
      <c r="B22" s="145" t="s">
        <v>144</v>
      </c>
      <c r="C22" s="146"/>
      <c r="D22" s="378">
        <v>100.0</v>
      </c>
      <c r="E22" s="378">
        <v>100.0</v>
      </c>
      <c r="F22" s="378">
        <f t="shared" ref="F22:G22" si="2">E22</f>
        <v>100</v>
      </c>
      <c r="G22" s="431">
        <f t="shared" si="2"/>
        <v>100</v>
      </c>
      <c r="H22" s="409"/>
      <c r="I22" s="432" t="s">
        <v>143</v>
      </c>
      <c r="K22" s="404"/>
      <c r="L22" s="420">
        <v>147.9</v>
      </c>
      <c r="M22" s="404"/>
      <c r="N22" s="404"/>
      <c r="O22" s="404"/>
      <c r="P22" s="404"/>
      <c r="Q22" s="404"/>
    </row>
    <row r="23">
      <c r="B23" s="145" t="s">
        <v>145</v>
      </c>
      <c r="C23" s="146"/>
      <c r="D23" s="378">
        <v>3004.8</v>
      </c>
      <c r="E23" s="378">
        <v>3004.8</v>
      </c>
      <c r="F23" s="378">
        <v>3004.8</v>
      </c>
      <c r="G23" s="431">
        <v>3004.8</v>
      </c>
      <c r="H23" s="409"/>
      <c r="I23" s="432" t="s">
        <v>144</v>
      </c>
      <c r="K23" s="404"/>
      <c r="L23" s="420">
        <v>100.0</v>
      </c>
      <c r="M23" s="404"/>
      <c r="N23" s="404"/>
      <c r="O23" s="404"/>
      <c r="P23" s="404"/>
      <c r="Q23" s="404"/>
    </row>
    <row r="24">
      <c r="B24" s="145" t="s">
        <v>146</v>
      </c>
      <c r="C24" s="150" t="s">
        <v>136</v>
      </c>
      <c r="D24" s="378">
        <v>50.0</v>
      </c>
      <c r="E24" s="378">
        <v>0.0</v>
      </c>
      <c r="F24" s="378">
        <v>0.0</v>
      </c>
      <c r="G24" s="431"/>
      <c r="H24" s="409"/>
      <c r="I24" s="432" t="s">
        <v>145</v>
      </c>
      <c r="J24" s="378">
        <v>3004.8</v>
      </c>
      <c r="K24" s="374"/>
      <c r="M24" s="404"/>
      <c r="N24" s="404"/>
      <c r="O24" s="404"/>
      <c r="P24" s="404"/>
      <c r="Q24" s="404"/>
    </row>
    <row r="25">
      <c r="B25" s="145" t="s">
        <v>180</v>
      </c>
      <c r="C25" s="146"/>
      <c r="D25" s="378">
        <v>400.0</v>
      </c>
      <c r="E25" s="378">
        <v>400.0</v>
      </c>
      <c r="F25" s="378">
        <v>400.0</v>
      </c>
      <c r="G25" s="431">
        <v>400.0</v>
      </c>
      <c r="H25" s="409"/>
      <c r="I25" s="432" t="s">
        <v>146</v>
      </c>
      <c r="J25" s="147"/>
      <c r="K25" s="378"/>
      <c r="L25" s="404"/>
      <c r="M25" s="404"/>
      <c r="N25" s="404"/>
      <c r="O25" s="404"/>
      <c r="P25" s="404"/>
      <c r="Q25" s="404"/>
    </row>
    <row r="26">
      <c r="B26" s="145" t="s">
        <v>148</v>
      </c>
      <c r="C26" s="146"/>
      <c r="D26" s="378">
        <v>600.0</v>
      </c>
      <c r="E26" s="378">
        <v>600.0</v>
      </c>
      <c r="F26" s="378">
        <v>600.0</v>
      </c>
      <c r="G26" s="431">
        <v>600.0</v>
      </c>
      <c r="H26" s="409"/>
      <c r="I26" s="432" t="s">
        <v>180</v>
      </c>
      <c r="K26" s="374"/>
      <c r="L26" s="404"/>
      <c r="M26" s="404"/>
      <c r="N26" s="404"/>
      <c r="O26" s="404"/>
      <c r="P26" s="404"/>
      <c r="Q26" s="374">
        <v>400.0</v>
      </c>
    </row>
    <row r="27">
      <c r="B27" s="145" t="s">
        <v>149</v>
      </c>
      <c r="C27" s="146"/>
      <c r="D27" s="378">
        <v>500.0</v>
      </c>
      <c r="E27" s="378">
        <v>500.0</v>
      </c>
      <c r="F27" s="378">
        <f t="shared" ref="F27:G27" si="3">E27</f>
        <v>500</v>
      </c>
      <c r="G27" s="431">
        <f t="shared" si="3"/>
        <v>500</v>
      </c>
      <c r="H27" s="409"/>
      <c r="I27" s="432" t="s">
        <v>148</v>
      </c>
      <c r="K27" s="374"/>
      <c r="L27" s="420">
        <v>600.0</v>
      </c>
      <c r="M27" s="404"/>
      <c r="N27" s="404"/>
      <c r="O27" s="404"/>
      <c r="P27" s="404"/>
      <c r="Q27" s="404"/>
    </row>
    <row r="28">
      <c r="B28" s="145" t="s">
        <v>181</v>
      </c>
      <c r="C28" s="146"/>
      <c r="D28" s="378">
        <v>150.0</v>
      </c>
      <c r="E28" s="378">
        <v>150.0</v>
      </c>
      <c r="F28" s="378">
        <v>150.0</v>
      </c>
      <c r="G28" s="431">
        <v>150.0</v>
      </c>
      <c r="H28" s="409"/>
      <c r="I28" s="432" t="s">
        <v>149</v>
      </c>
      <c r="K28" s="374"/>
      <c r="L28" s="420">
        <v>500.0</v>
      </c>
      <c r="M28" s="404"/>
      <c r="N28" s="404"/>
      <c r="O28" s="404"/>
      <c r="P28" s="404"/>
      <c r="Q28" s="404"/>
    </row>
    <row r="29">
      <c r="B29" s="145" t="s">
        <v>150</v>
      </c>
      <c r="C29" s="146"/>
      <c r="D29" s="378">
        <v>400.0</v>
      </c>
      <c r="E29" s="378">
        <v>400.0</v>
      </c>
      <c r="F29" s="378">
        <f t="shared" ref="F29:G29" si="4">E29</f>
        <v>400</v>
      </c>
      <c r="G29" s="431">
        <f t="shared" si="4"/>
        <v>400</v>
      </c>
      <c r="H29" s="409"/>
      <c r="I29" s="432" t="s">
        <v>181</v>
      </c>
      <c r="K29" s="374"/>
      <c r="L29" s="420">
        <v>150.0</v>
      </c>
      <c r="M29" s="404"/>
      <c r="N29" s="404"/>
      <c r="O29" s="404"/>
      <c r="P29" s="404"/>
      <c r="Q29" s="404"/>
    </row>
    <row r="30">
      <c r="B30" s="145" t="s">
        <v>182</v>
      </c>
      <c r="C30" s="146"/>
      <c r="D30" s="378">
        <v>160.0</v>
      </c>
      <c r="E30" s="378">
        <v>160.0</v>
      </c>
      <c r="F30" s="378">
        <v>160.0</v>
      </c>
      <c r="G30" s="431">
        <v>160.0</v>
      </c>
      <c r="H30" s="409"/>
      <c r="I30" s="432" t="s">
        <v>150</v>
      </c>
      <c r="K30" s="420">
        <v>400.0</v>
      </c>
      <c r="L30" s="404"/>
      <c r="M30" s="404"/>
      <c r="N30" s="404"/>
      <c r="O30" s="404"/>
      <c r="P30" s="404"/>
      <c r="Q30" s="404"/>
    </row>
    <row r="31">
      <c r="B31" s="145" t="s">
        <v>183</v>
      </c>
      <c r="C31" s="146"/>
      <c r="D31" s="378">
        <v>400.0</v>
      </c>
      <c r="E31" s="378">
        <v>400.0</v>
      </c>
      <c r="F31" s="378">
        <v>400.0</v>
      </c>
      <c r="G31" s="431">
        <v>400.0</v>
      </c>
      <c r="H31" s="409"/>
      <c r="I31" s="432" t="s">
        <v>182</v>
      </c>
      <c r="K31" s="374"/>
      <c r="L31" s="404"/>
      <c r="M31" s="404"/>
      <c r="N31" s="374">
        <v>160.0</v>
      </c>
      <c r="O31" s="404"/>
      <c r="P31" s="404"/>
      <c r="Q31" s="404"/>
    </row>
    <row r="32">
      <c r="B32" s="145" t="s">
        <v>152</v>
      </c>
      <c r="C32" s="146"/>
      <c r="D32" s="390"/>
      <c r="E32" s="378"/>
      <c r="F32" s="378"/>
      <c r="G32" s="434"/>
      <c r="H32" s="409"/>
      <c r="I32" s="432" t="s">
        <v>183</v>
      </c>
      <c r="K32" s="27"/>
      <c r="L32" s="404"/>
      <c r="M32" s="404"/>
      <c r="N32" s="374">
        <v>400.0</v>
      </c>
      <c r="O32" s="404"/>
      <c r="P32" s="404"/>
      <c r="Q32" s="404"/>
    </row>
    <row r="33">
      <c r="B33" s="145" t="s">
        <v>154</v>
      </c>
      <c r="C33" s="146"/>
      <c r="D33" s="390">
        <v>136.92</v>
      </c>
      <c r="E33" s="390">
        <v>136.92</v>
      </c>
      <c r="F33" s="390">
        <v>136.92</v>
      </c>
      <c r="G33" s="431">
        <v>144.7</v>
      </c>
      <c r="H33" s="409"/>
      <c r="I33" s="432" t="s">
        <v>152</v>
      </c>
      <c r="J33" s="151"/>
      <c r="K33" s="374"/>
      <c r="L33" s="404"/>
      <c r="M33" s="404"/>
      <c r="N33" s="404"/>
      <c r="O33" s="404"/>
      <c r="P33" s="404"/>
      <c r="Q33" s="404"/>
    </row>
    <row r="34">
      <c r="B34" s="145" t="s">
        <v>155</v>
      </c>
      <c r="C34" s="146"/>
      <c r="D34" s="390"/>
      <c r="E34" s="390"/>
      <c r="F34" s="378" t="str">
        <f t="shared" ref="F34:G34" si="5">E34</f>
        <v/>
      </c>
      <c r="G34" s="431" t="str">
        <f t="shared" si="5"/>
        <v/>
      </c>
      <c r="H34" s="409"/>
      <c r="I34" s="432" t="s">
        <v>154</v>
      </c>
      <c r="J34" s="147">
        <v>131.7</v>
      </c>
      <c r="K34" s="147">
        <v>13.0</v>
      </c>
      <c r="L34" s="404"/>
      <c r="M34" s="404"/>
      <c r="N34" s="404"/>
      <c r="O34" s="404"/>
      <c r="P34" s="404"/>
      <c r="Q34" s="404"/>
    </row>
    <row r="35">
      <c r="B35" s="145" t="s">
        <v>156</v>
      </c>
      <c r="C35" s="146"/>
      <c r="D35" s="378">
        <v>100.0</v>
      </c>
      <c r="E35" s="378">
        <v>100.0</v>
      </c>
      <c r="F35" s="390"/>
      <c r="G35" s="431">
        <v>100.0</v>
      </c>
      <c r="H35" s="409"/>
      <c r="I35" s="432" t="s">
        <v>155</v>
      </c>
      <c r="J35" s="147"/>
      <c r="K35" s="374"/>
      <c r="L35" s="404"/>
      <c r="M35" s="404"/>
      <c r="N35" s="404"/>
      <c r="O35" s="404"/>
      <c r="P35" s="404"/>
      <c r="Q35" s="404"/>
    </row>
    <row r="36">
      <c r="B36" s="145" t="s">
        <v>157</v>
      </c>
      <c r="C36" s="146"/>
      <c r="D36" s="378">
        <v>50.0</v>
      </c>
      <c r="E36" s="378">
        <v>50.0</v>
      </c>
      <c r="F36" s="378">
        <f t="shared" ref="F36:G36" si="6">E36</f>
        <v>50</v>
      </c>
      <c r="G36" s="431">
        <f t="shared" si="6"/>
        <v>50</v>
      </c>
      <c r="H36" s="409"/>
      <c r="I36" s="432" t="s">
        <v>156</v>
      </c>
      <c r="K36" s="374"/>
      <c r="L36" s="404"/>
      <c r="M36" s="404"/>
      <c r="N36" s="374">
        <v>100.0</v>
      </c>
      <c r="O36" s="404"/>
      <c r="P36" s="404"/>
      <c r="Q36" s="404"/>
      <c r="R36" s="18"/>
    </row>
    <row r="37">
      <c r="B37" s="145" t="s">
        <v>158</v>
      </c>
      <c r="C37" s="146"/>
      <c r="D37" s="390"/>
      <c r="E37" s="390"/>
      <c r="F37" s="378" t="str">
        <f t="shared" ref="F37:G37" si="7">E37</f>
        <v/>
      </c>
      <c r="G37" s="431" t="str">
        <f t="shared" si="7"/>
        <v/>
      </c>
      <c r="H37" s="409"/>
      <c r="I37" s="432" t="s">
        <v>157</v>
      </c>
      <c r="K37" s="374"/>
      <c r="L37" s="404"/>
      <c r="M37" s="404"/>
      <c r="N37" s="404"/>
      <c r="O37" s="404"/>
      <c r="P37" s="374">
        <v>50.0</v>
      </c>
      <c r="Q37" s="374"/>
      <c r="R37" s="18"/>
    </row>
    <row r="38">
      <c r="B38" s="145" t="s">
        <v>159</v>
      </c>
      <c r="C38" s="146"/>
      <c r="D38" s="378">
        <v>800.0</v>
      </c>
      <c r="E38" s="378">
        <v>800.0</v>
      </c>
      <c r="F38" s="378">
        <v>800.0</v>
      </c>
      <c r="G38" s="431">
        <v>800.0</v>
      </c>
      <c r="H38" s="409"/>
      <c r="I38" s="432" t="s">
        <v>158</v>
      </c>
      <c r="J38" s="147"/>
      <c r="K38" s="374"/>
      <c r="L38" s="404"/>
      <c r="M38" s="404"/>
      <c r="N38" s="404"/>
      <c r="O38" s="404"/>
      <c r="P38" s="404"/>
      <c r="Q38" s="404"/>
    </row>
    <row r="39">
      <c r="B39" s="145" t="s">
        <v>160</v>
      </c>
      <c r="C39" s="146"/>
      <c r="D39" s="378">
        <v>3000.0</v>
      </c>
      <c r="E39" s="378">
        <v>3000.0</v>
      </c>
      <c r="F39" s="378">
        <f t="shared" ref="F39:G39" si="8">E39</f>
        <v>3000</v>
      </c>
      <c r="G39" s="431">
        <f t="shared" si="8"/>
        <v>3000</v>
      </c>
      <c r="H39" s="409"/>
      <c r="I39" s="432" t="s">
        <v>159</v>
      </c>
      <c r="J39" s="147">
        <v>400.0</v>
      </c>
      <c r="K39" s="147">
        <v>400.0</v>
      </c>
      <c r="L39" s="404"/>
      <c r="M39" s="404"/>
      <c r="N39" s="404"/>
      <c r="O39" s="404"/>
      <c r="P39" s="404"/>
      <c r="Q39" s="404"/>
    </row>
    <row r="40">
      <c r="B40" s="145" t="s">
        <v>184</v>
      </c>
      <c r="C40" s="146"/>
      <c r="D40" s="378">
        <v>700.0</v>
      </c>
      <c r="E40" s="378">
        <v>700.0</v>
      </c>
      <c r="F40" s="378">
        <v>700.0</v>
      </c>
      <c r="G40" s="431">
        <v>700.0</v>
      </c>
      <c r="H40" s="409"/>
      <c r="I40" s="432" t="s">
        <v>160</v>
      </c>
      <c r="J40" s="147">
        <v>1500.0</v>
      </c>
      <c r="K40" s="147">
        <v>1500.0</v>
      </c>
      <c r="L40" s="404"/>
      <c r="M40" s="404"/>
      <c r="N40" s="404"/>
      <c r="O40" s="404"/>
      <c r="P40" s="404"/>
      <c r="Q40" s="404"/>
    </row>
    <row r="41">
      <c r="B41" s="145" t="s">
        <v>3</v>
      </c>
      <c r="C41" s="146"/>
      <c r="D41" s="378">
        <v>500.0</v>
      </c>
      <c r="E41" s="378">
        <v>500.0</v>
      </c>
      <c r="F41" s="378">
        <v>500.0</v>
      </c>
      <c r="G41" s="431">
        <v>500.0</v>
      </c>
      <c r="H41" s="409"/>
      <c r="I41" s="432" t="s">
        <v>184</v>
      </c>
      <c r="K41" s="374"/>
      <c r="L41" s="404"/>
      <c r="M41" s="374">
        <v>700.0</v>
      </c>
      <c r="N41" s="404"/>
      <c r="O41" s="404"/>
      <c r="P41" s="404"/>
      <c r="Q41" s="404"/>
    </row>
    <row r="42">
      <c r="B42" s="152" t="s">
        <v>161</v>
      </c>
      <c r="C42" s="153"/>
      <c r="D42" s="154">
        <f t="shared" ref="D42:G42" si="9">SUM(D19:D41)*-1</f>
        <v>-11821.62</v>
      </c>
      <c r="E42" s="154">
        <f t="shared" si="9"/>
        <v>-11819.62</v>
      </c>
      <c r="F42" s="154">
        <f t="shared" si="9"/>
        <v>-11719.62</v>
      </c>
      <c r="G42" s="435">
        <f t="shared" si="9"/>
        <v>-11827.4</v>
      </c>
      <c r="H42" s="409"/>
      <c r="I42" s="432" t="s">
        <v>3</v>
      </c>
      <c r="K42" s="404"/>
      <c r="L42" s="404"/>
      <c r="M42" s="374">
        <v>500.0</v>
      </c>
      <c r="N42" s="404"/>
      <c r="O42" s="404"/>
      <c r="P42" s="404"/>
      <c r="Q42" s="404"/>
    </row>
    <row r="43">
      <c r="C43" s="27"/>
      <c r="H43" s="18"/>
      <c r="I43" s="432" t="s">
        <v>385</v>
      </c>
      <c r="M43" s="374">
        <v>200.0</v>
      </c>
    </row>
    <row r="44">
      <c r="B44" s="156" t="s">
        <v>162</v>
      </c>
      <c r="C44" s="157"/>
      <c r="D44" s="158">
        <f t="shared" ref="D44:G44" si="10">D16+D42</f>
        <v>2090.25</v>
      </c>
      <c r="E44" s="158">
        <f t="shared" si="10"/>
        <v>2384.28</v>
      </c>
      <c r="F44" s="158">
        <f t="shared" si="10"/>
        <v>2387.51</v>
      </c>
      <c r="G44" s="436">
        <f t="shared" si="10"/>
        <v>3327.13</v>
      </c>
      <c r="H44" s="107"/>
      <c r="I44" s="18" t="s">
        <v>382</v>
      </c>
      <c r="K44" s="404"/>
      <c r="L44" s="404"/>
      <c r="M44" s="374">
        <v>962.79</v>
      </c>
      <c r="N44" s="404"/>
      <c r="O44" s="374">
        <f>1519.02-M43</f>
        <v>1319.02</v>
      </c>
      <c r="P44" s="404"/>
      <c r="Q44" s="404"/>
    </row>
    <row r="45">
      <c r="B45" s="83"/>
      <c r="C45" s="159"/>
      <c r="D45" s="84"/>
      <c r="E45" s="84"/>
      <c r="F45" s="84"/>
      <c r="G45" s="84"/>
      <c r="H45" s="107"/>
      <c r="I45" s="423" t="s">
        <v>26</v>
      </c>
      <c r="J45" s="325">
        <f t="shared" ref="J45:Q45" si="11">SUM(J20:J44)</f>
        <v>5036.5</v>
      </c>
      <c r="K45" s="373">
        <f t="shared" si="11"/>
        <v>2313</v>
      </c>
      <c r="L45" s="373">
        <f t="shared" si="11"/>
        <v>2167.9</v>
      </c>
      <c r="M45" s="373">
        <f t="shared" si="11"/>
        <v>2362.79</v>
      </c>
      <c r="N45" s="373">
        <f t="shared" si="11"/>
        <v>660</v>
      </c>
      <c r="O45" s="373">
        <f t="shared" si="11"/>
        <v>1319.02</v>
      </c>
      <c r="P45" s="373">
        <f t="shared" si="11"/>
        <v>50</v>
      </c>
      <c r="Q45" s="373">
        <f t="shared" si="11"/>
        <v>400</v>
      </c>
    </row>
    <row r="46">
      <c r="B46" s="85" t="s">
        <v>163</v>
      </c>
      <c r="C46" s="160"/>
      <c r="D46" s="161" t="s">
        <v>123</v>
      </c>
      <c r="E46" s="161" t="s">
        <v>124</v>
      </c>
      <c r="F46" s="161" t="s">
        <v>125</v>
      </c>
      <c r="G46" s="437" t="s">
        <v>126</v>
      </c>
      <c r="H46" s="248"/>
      <c r="I46" s="107" t="s">
        <v>371</v>
      </c>
      <c r="J46" s="415">
        <f>(G12+G15)-J45</f>
        <v>4211.08</v>
      </c>
      <c r="K46" s="375">
        <f>3676.95-K45</f>
        <v>1363.95</v>
      </c>
      <c r="L46" s="287"/>
    </row>
    <row r="47">
      <c r="B47" s="162"/>
      <c r="C47" s="163"/>
      <c r="D47" s="164"/>
      <c r="E47" s="164"/>
      <c r="F47" s="165"/>
      <c r="G47" s="438"/>
      <c r="H47" s="107"/>
      <c r="I47" s="325" t="s">
        <v>353</v>
      </c>
    </row>
    <row r="48">
      <c r="A48" s="298"/>
      <c r="B48" s="162" t="s">
        <v>58</v>
      </c>
      <c r="C48" s="163"/>
      <c r="D48" s="167">
        <v>962.79</v>
      </c>
      <c r="E48" s="167">
        <v>962.79</v>
      </c>
      <c r="F48" s="167">
        <v>962.79</v>
      </c>
      <c r="G48" s="439">
        <v>962.79</v>
      </c>
      <c r="H48" s="107"/>
      <c r="I48" s="107"/>
      <c r="L48" s="393">
        <f>L45+G15+106.21-25.8</f>
        <v>3093.63</v>
      </c>
      <c r="M48" s="393">
        <f>4612.45-L48</f>
        <v>1518.82</v>
      </c>
    </row>
    <row r="49">
      <c r="B49" s="162"/>
      <c r="C49" s="163"/>
      <c r="D49" s="166"/>
      <c r="E49" s="166"/>
      <c r="F49" s="166"/>
      <c r="G49" s="440"/>
      <c r="H49" s="107"/>
      <c r="I49" s="107"/>
      <c r="M49" s="387"/>
      <c r="O49" s="387"/>
    </row>
    <row r="50">
      <c r="B50" s="168"/>
      <c r="C50" s="169"/>
      <c r="D50" s="170"/>
      <c r="E50" s="170"/>
      <c r="F50" s="170"/>
      <c r="G50" s="441"/>
      <c r="H50" s="107"/>
      <c r="I50" s="107"/>
      <c r="L50" s="18"/>
    </row>
    <row r="51">
      <c r="B51" s="152" t="s">
        <v>167</v>
      </c>
      <c r="C51" s="171"/>
      <c r="D51" s="172">
        <f t="shared" ref="D51:G51" si="12">SUM(D47:D50)*-1</f>
        <v>-962.79</v>
      </c>
      <c r="E51" s="172">
        <f t="shared" si="12"/>
        <v>-962.79</v>
      </c>
      <c r="F51" s="172">
        <f t="shared" si="12"/>
        <v>-962.79</v>
      </c>
      <c r="G51" s="442">
        <f t="shared" si="12"/>
        <v>-962.79</v>
      </c>
    </row>
    <row r="52">
      <c r="B52" s="83"/>
      <c r="C52" s="159"/>
      <c r="D52" s="96"/>
      <c r="E52" s="96"/>
      <c r="F52" s="96"/>
      <c r="G52" s="96"/>
      <c r="H52" s="107"/>
      <c r="I52" s="107"/>
      <c r="L52" s="18">
        <v>2162.79</v>
      </c>
      <c r="M52" s="12">
        <f>2230-L52</f>
        <v>67.21</v>
      </c>
    </row>
    <row r="53">
      <c r="B53" s="173" t="s">
        <v>168</v>
      </c>
      <c r="C53" s="174"/>
      <c r="D53" s="175">
        <f t="shared" ref="D53:G53" si="13">D44+D51</f>
        <v>1127.46</v>
      </c>
      <c r="E53" s="175">
        <f t="shared" si="13"/>
        <v>1421.49</v>
      </c>
      <c r="F53" s="175">
        <f t="shared" si="13"/>
        <v>1424.72</v>
      </c>
      <c r="G53" s="443">
        <f t="shared" si="13"/>
        <v>2364.34</v>
      </c>
      <c r="H53" s="107"/>
      <c r="I53" s="107"/>
      <c r="J53" s="107"/>
      <c r="L53" s="393">
        <f>M45-L52</f>
        <v>200</v>
      </c>
    </row>
    <row r="54">
      <c r="B54" s="83"/>
      <c r="C54" s="159"/>
      <c r="D54" s="96"/>
      <c r="E54" s="96"/>
      <c r="F54" s="96"/>
      <c r="G54" s="96"/>
      <c r="H54" s="107"/>
      <c r="I54" s="107"/>
      <c r="J54" s="18"/>
    </row>
    <row r="55">
      <c r="B55" s="100" t="s">
        <v>169</v>
      </c>
      <c r="C55" s="176"/>
      <c r="D55" s="177" t="s">
        <v>123</v>
      </c>
      <c r="E55" s="177" t="s">
        <v>124</v>
      </c>
      <c r="F55" s="177" t="s">
        <v>125</v>
      </c>
      <c r="G55" s="444" t="s">
        <v>126</v>
      </c>
      <c r="H55" s="107"/>
      <c r="I55" s="107"/>
      <c r="J55" s="18"/>
    </row>
    <row r="56">
      <c r="B56" s="152" t="s">
        <v>171</v>
      </c>
      <c r="C56" s="153"/>
      <c r="D56" s="178">
        <f t="shared" ref="D56:G56" si="14">+D53</f>
        <v>1127.46</v>
      </c>
      <c r="E56" s="178">
        <f t="shared" si="14"/>
        <v>1421.49</v>
      </c>
      <c r="F56" s="178">
        <f t="shared" si="14"/>
        <v>1424.72</v>
      </c>
      <c r="G56" s="445">
        <f t="shared" si="14"/>
        <v>2364.34</v>
      </c>
      <c r="H56" s="27"/>
      <c r="I56" s="27"/>
    </row>
    <row r="57">
      <c r="D57" s="362"/>
      <c r="E57" s="362"/>
      <c r="F57" s="27"/>
      <c r="G57" s="27"/>
      <c r="H57" s="27"/>
      <c r="I57" s="27"/>
    </row>
    <row r="58">
      <c r="F58" s="27"/>
      <c r="G58" s="27"/>
      <c r="H58" s="27"/>
      <c r="I58" s="27"/>
    </row>
    <row r="59">
      <c r="F59" s="27"/>
      <c r="G59" s="27"/>
      <c r="H59" s="27"/>
      <c r="I59" s="27"/>
    </row>
    <row r="60">
      <c r="F60" s="27"/>
      <c r="G60" s="27"/>
      <c r="H60" s="27"/>
      <c r="I60" s="27"/>
    </row>
    <row r="61">
      <c r="F61" s="27"/>
      <c r="G61" s="27"/>
      <c r="H61" s="27"/>
      <c r="I61" s="27"/>
    </row>
    <row r="62">
      <c r="F62" s="27"/>
      <c r="G62" s="27"/>
      <c r="H62" s="27"/>
      <c r="I62" s="27"/>
    </row>
    <row r="63">
      <c r="F63" s="27"/>
      <c r="G63" s="27"/>
      <c r="H63" s="27"/>
      <c r="I63" s="27"/>
    </row>
    <row r="64">
      <c r="F64" s="27"/>
      <c r="G64" s="27"/>
      <c r="H64" s="27"/>
      <c r="I64" s="27"/>
    </row>
    <row r="65">
      <c r="F65" s="27"/>
      <c r="G65" s="27"/>
      <c r="H65" s="27"/>
      <c r="I65" s="27"/>
    </row>
    <row r="66">
      <c r="F66" s="27"/>
      <c r="G66" s="27"/>
      <c r="H66" s="27"/>
      <c r="I66" s="27"/>
    </row>
    <row r="67">
      <c r="F67" s="27"/>
      <c r="G67" s="27"/>
      <c r="H67" s="27"/>
      <c r="I67" s="27"/>
    </row>
    <row r="68">
      <c r="F68" s="27"/>
      <c r="G68" s="27"/>
      <c r="H68" s="27"/>
      <c r="I68" s="27"/>
    </row>
    <row r="69">
      <c r="F69" s="27"/>
      <c r="G69" s="27"/>
      <c r="H69" s="27"/>
      <c r="I69" s="27"/>
    </row>
    <row r="70">
      <c r="F70" s="27"/>
      <c r="G70" s="27"/>
      <c r="H70" s="27"/>
      <c r="I70" s="27"/>
    </row>
    <row r="71">
      <c r="F71" s="27"/>
      <c r="G71" s="27"/>
      <c r="H71" s="27"/>
      <c r="I71" s="27"/>
    </row>
    <row r="72">
      <c r="F72" s="27"/>
      <c r="G72" s="27"/>
      <c r="H72" s="27"/>
      <c r="I72" s="27"/>
    </row>
    <row r="73">
      <c r="F73" s="27"/>
      <c r="G73" s="27"/>
      <c r="H73" s="27"/>
      <c r="I73" s="27"/>
    </row>
    <row r="74">
      <c r="F74" s="27"/>
      <c r="G74" s="27"/>
      <c r="H74" s="27"/>
      <c r="I74" s="27"/>
    </row>
    <row r="75">
      <c r="F75" s="27"/>
      <c r="G75" s="27"/>
      <c r="H75" s="27"/>
      <c r="I75" s="27"/>
    </row>
    <row r="76">
      <c r="F76" s="27"/>
      <c r="G76" s="27"/>
      <c r="H76" s="27"/>
      <c r="I76" s="27"/>
    </row>
    <row r="77">
      <c r="F77" s="27"/>
      <c r="G77" s="27"/>
      <c r="H77" s="27"/>
      <c r="I77" s="27"/>
    </row>
    <row r="78">
      <c r="F78" s="27"/>
      <c r="G78" s="27"/>
      <c r="H78" s="27"/>
      <c r="I78" s="27"/>
    </row>
    <row r="79">
      <c r="F79" s="27"/>
      <c r="G79" s="27"/>
      <c r="H79" s="27"/>
      <c r="I79" s="27"/>
    </row>
    <row r="80">
      <c r="F80" s="27"/>
      <c r="G80" s="27"/>
      <c r="H80" s="27"/>
      <c r="I80" s="27"/>
    </row>
    <row r="81">
      <c r="F81" s="27"/>
      <c r="G81" s="27"/>
      <c r="H81" s="27"/>
      <c r="I81" s="27"/>
    </row>
    <row r="82">
      <c r="F82" s="27"/>
      <c r="G82" s="27"/>
      <c r="H82" s="27"/>
      <c r="I82" s="27"/>
    </row>
    <row r="83">
      <c r="F83" s="27"/>
      <c r="G83" s="27"/>
      <c r="H83" s="27"/>
      <c r="I83" s="27"/>
    </row>
    <row r="84">
      <c r="F84" s="27"/>
      <c r="G84" s="27"/>
      <c r="H84" s="27"/>
      <c r="I84" s="27"/>
    </row>
    <row r="85">
      <c r="F85" s="27"/>
      <c r="G85" s="27"/>
      <c r="H85" s="27"/>
      <c r="I85" s="27"/>
    </row>
    <row r="86">
      <c r="F86" s="27"/>
      <c r="G86" s="27"/>
      <c r="H86" s="27"/>
      <c r="I86" s="27"/>
    </row>
    <row r="87">
      <c r="F87" s="27"/>
      <c r="G87" s="27"/>
      <c r="H87" s="27"/>
      <c r="I87" s="27"/>
    </row>
    <row r="88">
      <c r="F88" s="27"/>
      <c r="G88" s="27"/>
      <c r="H88" s="27"/>
      <c r="I88" s="27"/>
    </row>
    <row r="89">
      <c r="F89" s="27"/>
      <c r="G89" s="27"/>
      <c r="H89" s="27"/>
      <c r="I89" s="27"/>
    </row>
    <row r="90">
      <c r="F90" s="27"/>
      <c r="G90" s="27"/>
      <c r="H90" s="27"/>
      <c r="I90" s="27"/>
    </row>
    <row r="91">
      <c r="F91" s="27"/>
      <c r="G91" s="27"/>
      <c r="H91" s="27"/>
      <c r="I91" s="27"/>
    </row>
    <row r="92">
      <c r="F92" s="27"/>
      <c r="G92" s="27"/>
      <c r="H92" s="27"/>
      <c r="I92" s="27"/>
    </row>
    <row r="93">
      <c r="F93" s="27"/>
      <c r="G93" s="27"/>
      <c r="H93" s="27"/>
      <c r="I93" s="27"/>
    </row>
    <row r="94">
      <c r="F94" s="27"/>
      <c r="G94" s="27"/>
      <c r="H94" s="27"/>
      <c r="I94" s="27"/>
    </row>
    <row r="95">
      <c r="F95" s="27"/>
      <c r="G95" s="27"/>
      <c r="H95" s="27"/>
      <c r="I95" s="27"/>
    </row>
    <row r="96">
      <c r="F96" s="27"/>
      <c r="G96" s="27"/>
      <c r="H96" s="27"/>
      <c r="I96" s="27"/>
    </row>
    <row r="97">
      <c r="F97" s="27"/>
      <c r="G97" s="27"/>
      <c r="H97" s="27"/>
      <c r="I97" s="27"/>
    </row>
    <row r="98">
      <c r="F98" s="27"/>
      <c r="G98" s="27"/>
      <c r="H98" s="27"/>
      <c r="I98" s="27"/>
    </row>
    <row r="99">
      <c r="F99" s="27"/>
      <c r="G99" s="27"/>
      <c r="H99" s="27"/>
      <c r="I99" s="27"/>
    </row>
    <row r="100">
      <c r="F100" s="27"/>
      <c r="G100" s="27"/>
      <c r="H100" s="27"/>
      <c r="I100" s="27"/>
    </row>
    <row r="101">
      <c r="F101" s="27"/>
      <c r="G101" s="27"/>
      <c r="H101" s="27"/>
      <c r="I101" s="27"/>
    </row>
    <row r="102">
      <c r="F102" s="27"/>
      <c r="G102" s="27"/>
      <c r="H102" s="27"/>
      <c r="I102" s="27"/>
    </row>
    <row r="103">
      <c r="F103" s="27"/>
      <c r="G103" s="27"/>
      <c r="H103" s="27"/>
      <c r="I103" s="27"/>
    </row>
    <row r="104">
      <c r="F104" s="27"/>
      <c r="G104" s="27"/>
      <c r="H104" s="27"/>
      <c r="I104" s="27"/>
    </row>
    <row r="105">
      <c r="F105" s="27"/>
      <c r="G105" s="27"/>
      <c r="H105" s="27"/>
      <c r="I105" s="27"/>
    </row>
    <row r="106">
      <c r="F106" s="27"/>
      <c r="G106" s="27"/>
      <c r="H106" s="27"/>
      <c r="I106" s="27"/>
    </row>
    <row r="107">
      <c r="F107" s="27"/>
      <c r="G107" s="27"/>
      <c r="H107" s="27"/>
      <c r="I107" s="27"/>
    </row>
    <row r="108">
      <c r="F108" s="27"/>
      <c r="G108" s="27"/>
      <c r="H108" s="27"/>
      <c r="I108" s="27"/>
    </row>
    <row r="109">
      <c r="F109" s="27"/>
      <c r="G109" s="27"/>
      <c r="H109" s="27"/>
      <c r="I109" s="27"/>
    </row>
    <row r="110">
      <c r="F110" s="27"/>
      <c r="G110" s="27"/>
      <c r="H110" s="27"/>
      <c r="I110" s="27"/>
    </row>
    <row r="111">
      <c r="F111" s="27"/>
      <c r="G111" s="27"/>
      <c r="H111" s="27"/>
      <c r="I111" s="27"/>
    </row>
    <row r="112">
      <c r="F112" s="27"/>
      <c r="G112" s="27"/>
      <c r="H112" s="27"/>
      <c r="I112" s="27"/>
    </row>
    <row r="113">
      <c r="F113" s="27"/>
      <c r="G113" s="27"/>
      <c r="H113" s="27"/>
      <c r="I113" s="27"/>
    </row>
    <row r="114">
      <c r="F114" s="27"/>
      <c r="G114" s="27"/>
      <c r="H114" s="27"/>
      <c r="I114" s="27"/>
    </row>
    <row r="115">
      <c r="F115" s="27"/>
      <c r="G115" s="27"/>
      <c r="H115" s="27"/>
      <c r="I115" s="27"/>
    </row>
    <row r="116">
      <c r="F116" s="27"/>
      <c r="G116" s="27"/>
      <c r="H116" s="27"/>
      <c r="I116" s="27"/>
    </row>
    <row r="117">
      <c r="F117" s="27"/>
      <c r="G117" s="27"/>
      <c r="H117" s="27"/>
      <c r="I117" s="27"/>
    </row>
    <row r="118">
      <c r="F118" s="27"/>
      <c r="G118" s="27"/>
      <c r="H118" s="27"/>
      <c r="I118" s="27"/>
    </row>
    <row r="119">
      <c r="F119" s="27"/>
      <c r="G119" s="27"/>
      <c r="H119" s="27"/>
      <c r="I119" s="27"/>
    </row>
    <row r="120">
      <c r="F120" s="27"/>
      <c r="G120" s="27"/>
      <c r="H120" s="27"/>
      <c r="I120" s="27"/>
    </row>
    <row r="121">
      <c r="F121" s="27"/>
      <c r="G121" s="27"/>
      <c r="H121" s="27"/>
      <c r="I121" s="27"/>
    </row>
    <row r="122">
      <c r="F122" s="27"/>
      <c r="G122" s="27"/>
      <c r="H122" s="27"/>
      <c r="I122" s="27"/>
    </row>
    <row r="123">
      <c r="F123" s="27"/>
      <c r="G123" s="27"/>
      <c r="H123" s="27"/>
      <c r="I123" s="27"/>
    </row>
    <row r="124">
      <c r="F124" s="27"/>
      <c r="G124" s="27"/>
      <c r="H124" s="27"/>
      <c r="I124" s="27"/>
    </row>
    <row r="125">
      <c r="F125" s="27"/>
      <c r="G125" s="27"/>
      <c r="H125" s="27"/>
      <c r="I125" s="27"/>
    </row>
    <row r="126">
      <c r="F126" s="27"/>
      <c r="G126" s="27"/>
      <c r="H126" s="27"/>
      <c r="I126" s="27"/>
    </row>
    <row r="127">
      <c r="F127" s="27"/>
      <c r="G127" s="27"/>
      <c r="H127" s="27"/>
      <c r="I127" s="27"/>
    </row>
    <row r="128">
      <c r="F128" s="27"/>
      <c r="G128" s="27"/>
      <c r="H128" s="27"/>
      <c r="I128" s="27"/>
    </row>
    <row r="129">
      <c r="F129" s="27"/>
      <c r="G129" s="27"/>
      <c r="H129" s="27"/>
      <c r="I129" s="27"/>
    </row>
    <row r="130">
      <c r="F130" s="27"/>
      <c r="G130" s="27"/>
      <c r="H130" s="27"/>
      <c r="I130" s="27"/>
    </row>
    <row r="131">
      <c r="F131" s="27"/>
      <c r="G131" s="27"/>
      <c r="H131" s="27"/>
      <c r="I131" s="27"/>
    </row>
    <row r="132">
      <c r="F132" s="27"/>
      <c r="G132" s="27"/>
      <c r="H132" s="27"/>
      <c r="I132" s="27"/>
    </row>
    <row r="133">
      <c r="F133" s="27"/>
      <c r="G133" s="27"/>
      <c r="H133" s="27"/>
      <c r="I133" s="27"/>
    </row>
    <row r="134">
      <c r="F134" s="27"/>
      <c r="G134" s="27"/>
      <c r="H134" s="27"/>
      <c r="I134" s="27"/>
    </row>
    <row r="135">
      <c r="F135" s="27"/>
      <c r="G135" s="27"/>
      <c r="H135" s="27"/>
      <c r="I135" s="27"/>
    </row>
    <row r="136">
      <c r="F136" s="27"/>
      <c r="G136" s="27"/>
      <c r="H136" s="27"/>
      <c r="I136" s="27"/>
    </row>
    <row r="137">
      <c r="F137" s="27"/>
      <c r="G137" s="27"/>
      <c r="H137" s="27"/>
      <c r="I137" s="27"/>
    </row>
    <row r="138">
      <c r="F138" s="27"/>
      <c r="G138" s="27"/>
      <c r="H138" s="27"/>
      <c r="I138" s="27"/>
    </row>
    <row r="139">
      <c r="F139" s="27"/>
      <c r="G139" s="27"/>
      <c r="H139" s="27"/>
      <c r="I139" s="27"/>
    </row>
    <row r="140">
      <c r="F140" s="27"/>
      <c r="G140" s="27"/>
      <c r="H140" s="27"/>
      <c r="I140" s="27"/>
    </row>
    <row r="141">
      <c r="F141" s="27"/>
      <c r="G141" s="27"/>
      <c r="H141" s="27"/>
      <c r="I141" s="27"/>
    </row>
    <row r="142">
      <c r="F142" s="27"/>
      <c r="G142" s="27"/>
      <c r="H142" s="27"/>
      <c r="I142" s="27"/>
    </row>
    <row r="143">
      <c r="F143" s="27"/>
      <c r="G143" s="27"/>
      <c r="H143" s="27"/>
      <c r="I143" s="27"/>
    </row>
    <row r="144">
      <c r="F144" s="27"/>
      <c r="G144" s="27"/>
      <c r="H144" s="27"/>
      <c r="I144" s="27"/>
    </row>
    <row r="145">
      <c r="F145" s="27"/>
      <c r="G145" s="27"/>
      <c r="H145" s="27"/>
      <c r="I145" s="27"/>
    </row>
    <row r="146">
      <c r="F146" s="27"/>
      <c r="G146" s="27"/>
      <c r="H146" s="27"/>
      <c r="I146" s="27"/>
    </row>
    <row r="147">
      <c r="F147" s="27"/>
      <c r="G147" s="27"/>
      <c r="H147" s="27"/>
      <c r="I147" s="27"/>
    </row>
    <row r="148">
      <c r="F148" s="27"/>
      <c r="G148" s="27"/>
      <c r="H148" s="27"/>
      <c r="I148" s="27"/>
    </row>
    <row r="149">
      <c r="F149" s="27"/>
      <c r="G149" s="27"/>
      <c r="H149" s="27"/>
      <c r="I149" s="27"/>
    </row>
    <row r="150">
      <c r="F150" s="27"/>
      <c r="G150" s="27"/>
      <c r="H150" s="27"/>
      <c r="I150" s="27"/>
    </row>
    <row r="151">
      <c r="F151" s="27"/>
      <c r="G151" s="27"/>
      <c r="H151" s="27"/>
      <c r="I151" s="27"/>
    </row>
    <row r="152">
      <c r="F152" s="27"/>
      <c r="G152" s="27"/>
      <c r="H152" s="27"/>
      <c r="I152" s="27"/>
    </row>
    <row r="153">
      <c r="F153" s="27"/>
      <c r="G153" s="27"/>
      <c r="H153" s="27"/>
      <c r="I153" s="27"/>
    </row>
    <row r="154">
      <c r="F154" s="27"/>
      <c r="G154" s="27"/>
      <c r="H154" s="27"/>
      <c r="I154" s="27"/>
    </row>
    <row r="155">
      <c r="F155" s="27"/>
      <c r="G155" s="27"/>
      <c r="H155" s="27"/>
      <c r="I155" s="27"/>
    </row>
    <row r="156">
      <c r="F156" s="27"/>
      <c r="G156" s="27"/>
      <c r="H156" s="27"/>
      <c r="I156" s="27"/>
    </row>
    <row r="157">
      <c r="F157" s="27"/>
      <c r="G157" s="27"/>
      <c r="H157" s="27"/>
      <c r="I157" s="27"/>
    </row>
    <row r="158">
      <c r="F158" s="27"/>
      <c r="G158" s="27"/>
      <c r="H158" s="27"/>
      <c r="I158" s="27"/>
    </row>
    <row r="159">
      <c r="F159" s="27"/>
      <c r="G159" s="27"/>
      <c r="H159" s="27"/>
      <c r="I159" s="27"/>
    </row>
    <row r="160">
      <c r="F160" s="27"/>
      <c r="G160" s="27"/>
      <c r="H160" s="27"/>
      <c r="I160" s="27"/>
    </row>
    <row r="161">
      <c r="F161" s="27"/>
      <c r="G161" s="27"/>
      <c r="H161" s="27"/>
      <c r="I161" s="27"/>
    </row>
    <row r="162">
      <c r="F162" s="27"/>
      <c r="G162" s="27"/>
      <c r="H162" s="27"/>
      <c r="I162" s="27"/>
    </row>
    <row r="163">
      <c r="F163" s="27"/>
      <c r="G163" s="27"/>
      <c r="H163" s="27"/>
      <c r="I163" s="27"/>
    </row>
    <row r="164">
      <c r="F164" s="27"/>
      <c r="G164" s="27"/>
      <c r="H164" s="27"/>
      <c r="I164" s="27"/>
    </row>
    <row r="165">
      <c r="F165" s="27"/>
      <c r="G165" s="27"/>
      <c r="H165" s="27"/>
      <c r="I165" s="27"/>
    </row>
    <row r="166">
      <c r="F166" s="27"/>
      <c r="G166" s="27"/>
      <c r="H166" s="27"/>
      <c r="I166" s="27"/>
    </row>
    <row r="167">
      <c r="F167" s="27"/>
      <c r="G167" s="27"/>
      <c r="H167" s="27"/>
      <c r="I167" s="27"/>
    </row>
    <row r="168">
      <c r="F168" s="27"/>
      <c r="G168" s="27"/>
      <c r="H168" s="27"/>
      <c r="I168" s="27"/>
    </row>
    <row r="169">
      <c r="F169" s="27"/>
      <c r="G169" s="27"/>
      <c r="H169" s="27"/>
      <c r="I169" s="27"/>
    </row>
    <row r="170">
      <c r="F170" s="27"/>
      <c r="G170" s="27"/>
      <c r="H170" s="27"/>
      <c r="I170" s="27"/>
    </row>
    <row r="171">
      <c r="F171" s="27"/>
      <c r="G171" s="27"/>
      <c r="H171" s="27"/>
      <c r="I171" s="27"/>
    </row>
    <row r="172">
      <c r="F172" s="27"/>
      <c r="G172" s="27"/>
      <c r="H172" s="27"/>
      <c r="I172" s="27"/>
    </row>
    <row r="173">
      <c r="F173" s="27"/>
      <c r="G173" s="27"/>
      <c r="H173" s="27"/>
      <c r="I173" s="27"/>
    </row>
    <row r="174">
      <c r="F174" s="27"/>
      <c r="G174" s="27"/>
      <c r="H174" s="27"/>
      <c r="I174" s="27"/>
    </row>
    <row r="175">
      <c r="F175" s="27"/>
      <c r="G175" s="27"/>
      <c r="H175" s="27"/>
      <c r="I175" s="27"/>
    </row>
    <row r="176">
      <c r="F176" s="27"/>
      <c r="G176" s="27"/>
      <c r="H176" s="27"/>
      <c r="I176" s="27"/>
    </row>
    <row r="177">
      <c r="F177" s="27"/>
      <c r="G177" s="27"/>
      <c r="H177" s="27"/>
      <c r="I177" s="27"/>
    </row>
    <row r="178">
      <c r="F178" s="27"/>
      <c r="G178" s="27"/>
      <c r="H178" s="27"/>
      <c r="I178" s="27"/>
    </row>
    <row r="179">
      <c r="F179" s="27"/>
      <c r="G179" s="27"/>
      <c r="H179" s="27"/>
      <c r="I179" s="27"/>
    </row>
    <row r="180">
      <c r="F180" s="27"/>
      <c r="G180" s="27"/>
      <c r="H180" s="27"/>
      <c r="I180" s="27"/>
    </row>
    <row r="181">
      <c r="F181" s="27"/>
      <c r="G181" s="27"/>
      <c r="H181" s="27"/>
      <c r="I181" s="27"/>
    </row>
    <row r="182">
      <c r="F182" s="27"/>
      <c r="G182" s="27"/>
      <c r="H182" s="27"/>
      <c r="I182" s="27"/>
    </row>
    <row r="183">
      <c r="F183" s="27"/>
      <c r="G183" s="27"/>
      <c r="H183" s="27"/>
      <c r="I183" s="27"/>
    </row>
    <row r="184">
      <c r="F184" s="27"/>
      <c r="G184" s="27"/>
      <c r="H184" s="27"/>
      <c r="I184" s="27"/>
    </row>
    <row r="185">
      <c r="F185" s="27"/>
      <c r="G185" s="27"/>
      <c r="H185" s="27"/>
      <c r="I185" s="27"/>
    </row>
    <row r="186">
      <c r="F186" s="27"/>
      <c r="G186" s="27"/>
      <c r="H186" s="27"/>
      <c r="I186" s="27"/>
    </row>
    <row r="187">
      <c r="F187" s="27"/>
      <c r="G187" s="27"/>
      <c r="H187" s="27"/>
      <c r="I187" s="27"/>
    </row>
    <row r="188">
      <c r="F188" s="27"/>
      <c r="G188" s="27"/>
      <c r="H188" s="27"/>
      <c r="I188" s="27"/>
    </row>
    <row r="189">
      <c r="F189" s="27"/>
      <c r="G189" s="27"/>
      <c r="H189" s="27"/>
      <c r="I189" s="27"/>
    </row>
    <row r="190">
      <c r="F190" s="27"/>
      <c r="G190" s="27"/>
      <c r="H190" s="27"/>
      <c r="I190" s="27"/>
    </row>
    <row r="191">
      <c r="F191" s="27"/>
      <c r="G191" s="27"/>
      <c r="H191" s="27"/>
      <c r="I191" s="27"/>
    </row>
    <row r="192">
      <c r="F192" s="27"/>
      <c r="G192" s="27"/>
      <c r="H192" s="27"/>
      <c r="I192" s="27"/>
    </row>
    <row r="193">
      <c r="F193" s="27"/>
      <c r="G193" s="27"/>
      <c r="H193" s="27"/>
      <c r="I193" s="27"/>
    </row>
    <row r="194">
      <c r="F194" s="27"/>
      <c r="G194" s="27"/>
      <c r="H194" s="27"/>
      <c r="I194" s="27"/>
    </row>
    <row r="195">
      <c r="F195" s="27"/>
      <c r="G195" s="27"/>
      <c r="H195" s="27"/>
      <c r="I195" s="27"/>
    </row>
    <row r="196">
      <c r="F196" s="27"/>
      <c r="G196" s="27"/>
      <c r="H196" s="27"/>
      <c r="I196" s="27"/>
    </row>
    <row r="197">
      <c r="F197" s="27"/>
      <c r="G197" s="27"/>
      <c r="H197" s="27"/>
      <c r="I197" s="27"/>
    </row>
    <row r="198">
      <c r="F198" s="27"/>
      <c r="G198" s="27"/>
      <c r="H198" s="27"/>
      <c r="I198" s="27"/>
    </row>
    <row r="199">
      <c r="F199" s="27"/>
      <c r="G199" s="27"/>
      <c r="H199" s="27"/>
      <c r="I199" s="27"/>
    </row>
    <row r="200">
      <c r="F200" s="27"/>
      <c r="G200" s="27"/>
      <c r="H200" s="27"/>
      <c r="I200" s="27"/>
    </row>
    <row r="201">
      <c r="F201" s="27"/>
      <c r="G201" s="27"/>
      <c r="H201" s="27"/>
      <c r="I201" s="27"/>
    </row>
    <row r="202">
      <c r="F202" s="27"/>
      <c r="G202" s="27"/>
      <c r="H202" s="27"/>
      <c r="I202" s="27"/>
    </row>
    <row r="203">
      <c r="F203" s="27"/>
      <c r="G203" s="27"/>
      <c r="H203" s="27"/>
      <c r="I203" s="27"/>
    </row>
    <row r="204">
      <c r="F204" s="27"/>
      <c r="G204" s="27"/>
      <c r="H204" s="27"/>
      <c r="I204" s="27"/>
    </row>
    <row r="205">
      <c r="F205" s="27"/>
      <c r="G205" s="27"/>
      <c r="H205" s="27"/>
      <c r="I205" s="27"/>
    </row>
    <row r="206">
      <c r="F206" s="27"/>
      <c r="G206" s="27"/>
      <c r="H206" s="27"/>
      <c r="I206" s="27"/>
    </row>
    <row r="207">
      <c r="F207" s="27"/>
      <c r="G207" s="27"/>
      <c r="H207" s="27"/>
      <c r="I207" s="27"/>
    </row>
    <row r="208">
      <c r="F208" s="27"/>
      <c r="G208" s="27"/>
      <c r="H208" s="27"/>
      <c r="I208" s="27"/>
    </row>
    <row r="209">
      <c r="F209" s="27"/>
      <c r="G209" s="27"/>
      <c r="H209" s="27"/>
      <c r="I209" s="27"/>
    </row>
    <row r="210">
      <c r="F210" s="27"/>
      <c r="G210" s="27"/>
      <c r="H210" s="27"/>
      <c r="I210" s="27"/>
    </row>
    <row r="211">
      <c r="F211" s="27"/>
      <c r="G211" s="27"/>
      <c r="H211" s="27"/>
      <c r="I211" s="27"/>
    </row>
    <row r="212">
      <c r="F212" s="27"/>
      <c r="G212" s="27"/>
      <c r="H212" s="27"/>
      <c r="I212" s="27"/>
    </row>
    <row r="213">
      <c r="F213" s="27"/>
      <c r="G213" s="27"/>
      <c r="H213" s="27"/>
      <c r="I213" s="27"/>
    </row>
    <row r="214">
      <c r="F214" s="27"/>
      <c r="G214" s="27"/>
      <c r="H214" s="27"/>
      <c r="I214" s="27"/>
    </row>
    <row r="215">
      <c r="F215" s="27"/>
      <c r="G215" s="27"/>
      <c r="H215" s="27"/>
      <c r="I215" s="27"/>
    </row>
    <row r="216">
      <c r="F216" s="27"/>
      <c r="G216" s="27"/>
      <c r="H216" s="27"/>
      <c r="I216" s="27"/>
    </row>
    <row r="217">
      <c r="F217" s="27"/>
      <c r="G217" s="27"/>
      <c r="H217" s="27"/>
      <c r="I217" s="27"/>
    </row>
    <row r="218">
      <c r="F218" s="27"/>
      <c r="G218" s="27"/>
      <c r="H218" s="27"/>
      <c r="I218" s="27"/>
    </row>
    <row r="219">
      <c r="F219" s="27"/>
      <c r="G219" s="27"/>
      <c r="H219" s="27"/>
      <c r="I219" s="27"/>
    </row>
    <row r="220">
      <c r="F220" s="27"/>
      <c r="G220" s="27"/>
      <c r="H220" s="27"/>
      <c r="I220" s="27"/>
    </row>
    <row r="221">
      <c r="F221" s="27"/>
      <c r="G221" s="27"/>
      <c r="H221" s="27"/>
      <c r="I221" s="27"/>
    </row>
    <row r="222">
      <c r="F222" s="27"/>
      <c r="G222" s="27"/>
      <c r="H222" s="27"/>
      <c r="I222" s="27"/>
    </row>
    <row r="223">
      <c r="F223" s="27"/>
      <c r="G223" s="27"/>
      <c r="H223" s="27"/>
      <c r="I223" s="27"/>
    </row>
    <row r="224">
      <c r="F224" s="27"/>
      <c r="G224" s="27"/>
      <c r="H224" s="27"/>
      <c r="I224" s="27"/>
    </row>
    <row r="225">
      <c r="F225" s="27"/>
      <c r="G225" s="27"/>
      <c r="H225" s="27"/>
      <c r="I225" s="27"/>
    </row>
    <row r="226">
      <c r="F226" s="27"/>
      <c r="G226" s="27"/>
      <c r="H226" s="27"/>
      <c r="I226" s="27"/>
    </row>
    <row r="227">
      <c r="F227" s="27"/>
      <c r="G227" s="27"/>
      <c r="H227" s="27"/>
      <c r="I227" s="27"/>
    </row>
    <row r="228">
      <c r="F228" s="27"/>
      <c r="G228" s="27"/>
      <c r="H228" s="27"/>
      <c r="I228" s="27"/>
    </row>
    <row r="229">
      <c r="F229" s="27"/>
      <c r="G229" s="27"/>
      <c r="H229" s="27"/>
      <c r="I229" s="27"/>
    </row>
    <row r="230">
      <c r="F230" s="27"/>
      <c r="G230" s="27"/>
      <c r="H230" s="27"/>
      <c r="I230" s="27"/>
    </row>
    <row r="231">
      <c r="F231" s="27"/>
      <c r="G231" s="27"/>
      <c r="H231" s="27"/>
      <c r="I231" s="27"/>
    </row>
    <row r="232">
      <c r="F232" s="27"/>
      <c r="G232" s="27"/>
      <c r="H232" s="27"/>
      <c r="I232" s="27"/>
    </row>
    <row r="233">
      <c r="F233" s="27"/>
      <c r="G233" s="27"/>
      <c r="H233" s="27"/>
      <c r="I233" s="27"/>
    </row>
    <row r="234">
      <c r="F234" s="27"/>
      <c r="G234" s="27"/>
      <c r="H234" s="27"/>
      <c r="I234" s="27"/>
    </row>
    <row r="235">
      <c r="F235" s="27"/>
      <c r="G235" s="27"/>
      <c r="H235" s="27"/>
      <c r="I235" s="27"/>
    </row>
    <row r="236">
      <c r="F236" s="27"/>
      <c r="G236" s="27"/>
      <c r="H236" s="27"/>
      <c r="I236" s="27"/>
    </row>
    <row r="237">
      <c r="F237" s="27"/>
      <c r="G237" s="27"/>
      <c r="H237" s="27"/>
      <c r="I237" s="27"/>
    </row>
    <row r="238">
      <c r="F238" s="27"/>
      <c r="G238" s="27"/>
      <c r="H238" s="27"/>
      <c r="I238" s="27"/>
    </row>
    <row r="239">
      <c r="F239" s="27"/>
      <c r="G239" s="27"/>
      <c r="H239" s="27"/>
      <c r="I239" s="27"/>
    </row>
    <row r="240">
      <c r="F240" s="27"/>
      <c r="G240" s="27"/>
      <c r="H240" s="27"/>
      <c r="I240" s="27"/>
    </row>
    <row r="241">
      <c r="F241" s="27"/>
      <c r="G241" s="27"/>
      <c r="H241" s="27"/>
      <c r="I241" s="27"/>
    </row>
    <row r="242">
      <c r="F242" s="27"/>
      <c r="G242" s="27"/>
      <c r="H242" s="27"/>
      <c r="I242" s="27"/>
    </row>
    <row r="243">
      <c r="F243" s="27"/>
      <c r="G243" s="27"/>
      <c r="H243" s="27"/>
      <c r="I243" s="27"/>
    </row>
    <row r="244">
      <c r="F244" s="27"/>
      <c r="G244" s="27"/>
      <c r="H244" s="27"/>
      <c r="I244" s="27"/>
    </row>
    <row r="245">
      <c r="F245" s="27"/>
      <c r="G245" s="27"/>
      <c r="H245" s="27"/>
      <c r="I245" s="27"/>
    </row>
    <row r="246">
      <c r="F246" s="27"/>
      <c r="G246" s="27"/>
      <c r="H246" s="27"/>
      <c r="I246" s="27"/>
    </row>
    <row r="247">
      <c r="F247" s="27"/>
      <c r="G247" s="27"/>
      <c r="H247" s="27"/>
      <c r="I247" s="27"/>
    </row>
    <row r="248">
      <c r="F248" s="27"/>
      <c r="G248" s="27"/>
      <c r="H248" s="27"/>
      <c r="I248" s="27"/>
    </row>
    <row r="249">
      <c r="F249" s="27"/>
      <c r="G249" s="27"/>
      <c r="H249" s="27"/>
      <c r="I249" s="27"/>
    </row>
    <row r="250">
      <c r="F250" s="27"/>
      <c r="G250" s="27"/>
      <c r="H250" s="27"/>
      <c r="I250" s="27"/>
    </row>
    <row r="251">
      <c r="F251" s="27"/>
      <c r="G251" s="27"/>
      <c r="H251" s="27"/>
      <c r="I251" s="27"/>
    </row>
    <row r="252">
      <c r="F252" s="27"/>
      <c r="G252" s="27"/>
      <c r="H252" s="27"/>
      <c r="I252" s="27"/>
    </row>
    <row r="253">
      <c r="F253" s="27"/>
      <c r="G253" s="27"/>
      <c r="H253" s="27"/>
      <c r="I253" s="27"/>
    </row>
    <row r="254">
      <c r="F254" s="27"/>
      <c r="G254" s="27"/>
      <c r="H254" s="27"/>
      <c r="I254" s="27"/>
    </row>
    <row r="255">
      <c r="F255" s="27"/>
      <c r="G255" s="27"/>
      <c r="H255" s="27"/>
      <c r="I255" s="27"/>
    </row>
    <row r="256">
      <c r="F256" s="27"/>
      <c r="G256" s="27"/>
      <c r="H256" s="27"/>
      <c r="I256" s="27"/>
    </row>
    <row r="257">
      <c r="F257" s="27"/>
      <c r="G257" s="27"/>
      <c r="H257" s="27"/>
      <c r="I257" s="27"/>
    </row>
    <row r="258">
      <c r="F258" s="27"/>
      <c r="G258" s="27"/>
      <c r="H258" s="27"/>
      <c r="I258" s="27"/>
    </row>
    <row r="259">
      <c r="F259" s="27"/>
      <c r="G259" s="27"/>
      <c r="H259" s="27"/>
      <c r="I259" s="27"/>
    </row>
    <row r="260">
      <c r="F260" s="27"/>
      <c r="G260" s="27"/>
      <c r="H260" s="27"/>
      <c r="I260" s="27"/>
    </row>
    <row r="261">
      <c r="F261" s="27"/>
      <c r="G261" s="27"/>
      <c r="H261" s="27"/>
      <c r="I261" s="27"/>
    </row>
    <row r="262">
      <c r="F262" s="27"/>
      <c r="G262" s="27"/>
      <c r="H262" s="27"/>
      <c r="I262" s="27"/>
    </row>
    <row r="263">
      <c r="F263" s="27"/>
      <c r="G263" s="27"/>
      <c r="H263" s="27"/>
      <c r="I263" s="27"/>
    </row>
    <row r="264">
      <c r="F264" s="27"/>
      <c r="G264" s="27"/>
      <c r="H264" s="27"/>
      <c r="I264" s="27"/>
    </row>
    <row r="265">
      <c r="F265" s="27"/>
      <c r="G265" s="27"/>
      <c r="H265" s="27"/>
      <c r="I265" s="27"/>
    </row>
    <row r="266">
      <c r="F266" s="27"/>
      <c r="G266" s="27"/>
      <c r="H266" s="27"/>
      <c r="I266" s="27"/>
    </row>
    <row r="267">
      <c r="F267" s="27"/>
      <c r="G267" s="27"/>
      <c r="H267" s="27"/>
      <c r="I267" s="27"/>
    </row>
    <row r="268">
      <c r="F268" s="27"/>
      <c r="G268" s="27"/>
      <c r="H268" s="27"/>
      <c r="I268" s="27"/>
    </row>
    <row r="269">
      <c r="F269" s="27"/>
      <c r="G269" s="27"/>
      <c r="H269" s="27"/>
      <c r="I269" s="27"/>
    </row>
    <row r="270">
      <c r="F270" s="27"/>
      <c r="G270" s="27"/>
      <c r="H270" s="27"/>
      <c r="I270" s="27"/>
    </row>
    <row r="271">
      <c r="F271" s="27"/>
      <c r="G271" s="27"/>
      <c r="H271" s="27"/>
      <c r="I271" s="27"/>
    </row>
    <row r="272">
      <c r="F272" s="27"/>
      <c r="G272" s="27"/>
      <c r="H272" s="27"/>
      <c r="I272" s="27"/>
    </row>
    <row r="273">
      <c r="F273" s="27"/>
      <c r="G273" s="27"/>
      <c r="H273" s="27"/>
      <c r="I273" s="27"/>
    </row>
    <row r="274">
      <c r="F274" s="27"/>
      <c r="G274" s="27"/>
      <c r="H274" s="27"/>
      <c r="I274" s="27"/>
    </row>
    <row r="275">
      <c r="F275" s="27"/>
      <c r="G275" s="27"/>
      <c r="H275" s="27"/>
      <c r="I275" s="27"/>
    </row>
    <row r="276">
      <c r="F276" s="27"/>
      <c r="G276" s="27"/>
      <c r="H276" s="27"/>
      <c r="I276" s="27"/>
    </row>
    <row r="277">
      <c r="F277" s="27"/>
      <c r="G277" s="27"/>
      <c r="H277" s="27"/>
      <c r="I277" s="27"/>
    </row>
    <row r="278">
      <c r="F278" s="27"/>
      <c r="G278" s="27"/>
      <c r="H278" s="27"/>
      <c r="I278" s="27"/>
    </row>
    <row r="279">
      <c r="F279" s="27"/>
      <c r="G279" s="27"/>
      <c r="H279" s="27"/>
      <c r="I279" s="27"/>
    </row>
    <row r="280">
      <c r="F280" s="27"/>
      <c r="G280" s="27"/>
      <c r="H280" s="27"/>
      <c r="I280" s="27"/>
    </row>
    <row r="281">
      <c r="F281" s="27"/>
      <c r="G281" s="27"/>
      <c r="H281" s="27"/>
      <c r="I281" s="27"/>
    </row>
    <row r="282">
      <c r="F282" s="27"/>
      <c r="G282" s="27"/>
      <c r="H282" s="27"/>
      <c r="I282" s="27"/>
    </row>
    <row r="283">
      <c r="F283" s="27"/>
      <c r="G283" s="27"/>
      <c r="H283" s="27"/>
      <c r="I283" s="27"/>
    </row>
    <row r="284">
      <c r="F284" s="27"/>
      <c r="G284" s="27"/>
      <c r="H284" s="27"/>
      <c r="I284" s="27"/>
    </row>
    <row r="285">
      <c r="F285" s="27"/>
      <c r="G285" s="27"/>
      <c r="H285" s="27"/>
      <c r="I285" s="27"/>
    </row>
    <row r="286">
      <c r="F286" s="27"/>
      <c r="G286" s="27"/>
      <c r="H286" s="27"/>
      <c r="I286" s="27"/>
    </row>
    <row r="287">
      <c r="F287" s="27"/>
      <c r="G287" s="27"/>
      <c r="H287" s="27"/>
      <c r="I287" s="27"/>
    </row>
    <row r="288">
      <c r="F288" s="27"/>
      <c r="G288" s="27"/>
      <c r="H288" s="27"/>
      <c r="I288" s="27"/>
    </row>
    <row r="289">
      <c r="F289" s="27"/>
      <c r="G289" s="27"/>
      <c r="H289" s="27"/>
      <c r="I289" s="27"/>
    </row>
    <row r="290">
      <c r="F290" s="27"/>
      <c r="G290" s="27"/>
      <c r="H290" s="27"/>
      <c r="I290" s="27"/>
    </row>
    <row r="291">
      <c r="F291" s="27"/>
      <c r="G291" s="27"/>
      <c r="H291" s="27"/>
      <c r="I291" s="27"/>
    </row>
    <row r="292">
      <c r="F292" s="27"/>
      <c r="G292" s="27"/>
      <c r="H292" s="27"/>
      <c r="I292" s="27"/>
    </row>
    <row r="293">
      <c r="F293" s="27"/>
      <c r="G293" s="27"/>
      <c r="H293" s="27"/>
      <c r="I293" s="27"/>
    </row>
    <row r="294">
      <c r="F294" s="27"/>
      <c r="G294" s="27"/>
      <c r="H294" s="27"/>
      <c r="I294" s="27"/>
    </row>
    <row r="295">
      <c r="F295" s="27"/>
      <c r="G295" s="27"/>
      <c r="H295" s="27"/>
      <c r="I295" s="27"/>
    </row>
    <row r="296">
      <c r="F296" s="27"/>
      <c r="G296" s="27"/>
      <c r="H296" s="27"/>
      <c r="I296" s="27"/>
    </row>
    <row r="297">
      <c r="F297" s="27"/>
      <c r="G297" s="27"/>
      <c r="H297" s="27"/>
      <c r="I297" s="27"/>
    </row>
    <row r="298">
      <c r="F298" s="27"/>
      <c r="G298" s="27"/>
      <c r="H298" s="27"/>
      <c r="I298" s="27"/>
    </row>
    <row r="299">
      <c r="F299" s="27"/>
      <c r="G299" s="27"/>
      <c r="H299" s="27"/>
      <c r="I299" s="27"/>
    </row>
    <row r="300">
      <c r="F300" s="27"/>
      <c r="G300" s="27"/>
      <c r="H300" s="27"/>
      <c r="I300" s="27"/>
    </row>
    <row r="301">
      <c r="F301" s="27"/>
      <c r="G301" s="27"/>
      <c r="H301" s="27"/>
      <c r="I301" s="27"/>
    </row>
    <row r="302">
      <c r="F302" s="27"/>
      <c r="G302" s="27"/>
      <c r="H302" s="27"/>
      <c r="I302" s="27"/>
    </row>
    <row r="303">
      <c r="F303" s="27"/>
      <c r="G303" s="27"/>
      <c r="H303" s="27"/>
      <c r="I303" s="27"/>
    </row>
    <row r="304">
      <c r="F304" s="27"/>
      <c r="G304" s="27"/>
      <c r="H304" s="27"/>
      <c r="I304" s="27"/>
    </row>
    <row r="305">
      <c r="F305" s="27"/>
      <c r="G305" s="27"/>
      <c r="H305" s="27"/>
      <c r="I305" s="27"/>
    </row>
    <row r="306">
      <c r="F306" s="27"/>
      <c r="G306" s="27"/>
      <c r="H306" s="27"/>
      <c r="I306" s="27"/>
    </row>
    <row r="307">
      <c r="F307" s="27"/>
      <c r="G307" s="27"/>
      <c r="H307" s="27"/>
      <c r="I307" s="27"/>
    </row>
    <row r="308">
      <c r="F308" s="27"/>
      <c r="G308" s="27"/>
      <c r="H308" s="27"/>
      <c r="I308" s="27"/>
    </row>
    <row r="309">
      <c r="F309" s="27"/>
      <c r="G309" s="27"/>
      <c r="H309" s="27"/>
      <c r="I309" s="27"/>
    </row>
    <row r="310">
      <c r="F310" s="27"/>
      <c r="G310" s="27"/>
      <c r="H310" s="27"/>
      <c r="I310" s="27"/>
    </row>
    <row r="311">
      <c r="F311" s="27"/>
      <c r="G311" s="27"/>
      <c r="H311" s="27"/>
      <c r="I311" s="27"/>
    </row>
    <row r="312">
      <c r="F312" s="27"/>
      <c r="G312" s="27"/>
      <c r="H312" s="27"/>
      <c r="I312" s="27"/>
    </row>
    <row r="313">
      <c r="F313" s="27"/>
      <c r="G313" s="27"/>
      <c r="H313" s="27"/>
      <c r="I313" s="27"/>
    </row>
    <row r="314">
      <c r="F314" s="27"/>
      <c r="G314" s="27"/>
      <c r="H314" s="27"/>
      <c r="I314" s="27"/>
    </row>
    <row r="315">
      <c r="F315" s="27"/>
      <c r="G315" s="27"/>
      <c r="H315" s="27"/>
      <c r="I315" s="27"/>
    </row>
    <row r="316">
      <c r="F316" s="27"/>
      <c r="G316" s="27"/>
      <c r="H316" s="27"/>
      <c r="I316" s="27"/>
    </row>
    <row r="317">
      <c r="F317" s="27"/>
      <c r="G317" s="27"/>
      <c r="H317" s="27"/>
      <c r="I317" s="27"/>
    </row>
    <row r="318">
      <c r="F318" s="27"/>
      <c r="G318" s="27"/>
      <c r="H318" s="27"/>
      <c r="I318" s="27"/>
    </row>
    <row r="319">
      <c r="F319" s="27"/>
      <c r="G319" s="27"/>
      <c r="H319" s="27"/>
      <c r="I319" s="27"/>
    </row>
    <row r="320">
      <c r="F320" s="27"/>
      <c r="G320" s="27"/>
      <c r="H320" s="27"/>
      <c r="I320" s="27"/>
    </row>
    <row r="321">
      <c r="F321" s="27"/>
      <c r="G321" s="27"/>
      <c r="H321" s="27"/>
      <c r="I321" s="27"/>
    </row>
    <row r="322">
      <c r="F322" s="27"/>
      <c r="G322" s="27"/>
      <c r="H322" s="27"/>
      <c r="I322" s="27"/>
    </row>
    <row r="323">
      <c r="F323" s="27"/>
      <c r="G323" s="27"/>
      <c r="H323" s="27"/>
      <c r="I323" s="27"/>
    </row>
    <row r="324">
      <c r="F324" s="27"/>
      <c r="G324" s="27"/>
      <c r="H324" s="27"/>
      <c r="I324" s="27"/>
    </row>
    <row r="325">
      <c r="F325" s="27"/>
      <c r="G325" s="27"/>
      <c r="H325" s="27"/>
      <c r="I325" s="27"/>
    </row>
    <row r="326">
      <c r="F326" s="27"/>
      <c r="G326" s="27"/>
      <c r="H326" s="27"/>
      <c r="I326" s="27"/>
    </row>
    <row r="327">
      <c r="F327" s="27"/>
      <c r="G327" s="27"/>
      <c r="H327" s="27"/>
      <c r="I327" s="27"/>
    </row>
    <row r="328">
      <c r="F328" s="27"/>
      <c r="G328" s="27"/>
      <c r="H328" s="27"/>
      <c r="I328" s="27"/>
    </row>
    <row r="329">
      <c r="F329" s="27"/>
      <c r="G329" s="27"/>
      <c r="H329" s="27"/>
      <c r="I329" s="27"/>
    </row>
    <row r="330">
      <c r="F330" s="27"/>
      <c r="G330" s="27"/>
      <c r="H330" s="27"/>
      <c r="I330" s="27"/>
    </row>
    <row r="331">
      <c r="F331" s="27"/>
      <c r="G331" s="27"/>
      <c r="H331" s="27"/>
      <c r="I331" s="27"/>
    </row>
    <row r="332">
      <c r="F332" s="27"/>
      <c r="G332" s="27"/>
      <c r="H332" s="27"/>
      <c r="I332" s="27"/>
    </row>
    <row r="333">
      <c r="F333" s="27"/>
      <c r="G333" s="27"/>
      <c r="H333" s="27"/>
      <c r="I333" s="27"/>
    </row>
    <row r="334">
      <c r="F334" s="27"/>
      <c r="G334" s="27"/>
      <c r="H334" s="27"/>
      <c r="I334" s="27"/>
    </row>
    <row r="335">
      <c r="F335" s="27"/>
      <c r="G335" s="27"/>
      <c r="H335" s="27"/>
      <c r="I335" s="27"/>
    </row>
    <row r="336">
      <c r="F336" s="27"/>
      <c r="G336" s="27"/>
      <c r="H336" s="27"/>
      <c r="I336" s="27"/>
    </row>
    <row r="337">
      <c r="F337" s="27"/>
      <c r="G337" s="27"/>
      <c r="H337" s="27"/>
      <c r="I337" s="27"/>
    </row>
    <row r="338">
      <c r="F338" s="27"/>
      <c r="G338" s="27"/>
      <c r="H338" s="27"/>
      <c r="I338" s="27"/>
    </row>
    <row r="339">
      <c r="F339" s="27"/>
      <c r="G339" s="27"/>
      <c r="H339" s="27"/>
      <c r="I339" s="27"/>
    </row>
    <row r="340">
      <c r="F340" s="27"/>
      <c r="G340" s="27"/>
      <c r="H340" s="27"/>
      <c r="I340" s="27"/>
    </row>
    <row r="341">
      <c r="F341" s="27"/>
      <c r="G341" s="27"/>
      <c r="H341" s="27"/>
      <c r="I341" s="27"/>
    </row>
    <row r="342">
      <c r="F342" s="27"/>
      <c r="G342" s="27"/>
      <c r="H342" s="27"/>
      <c r="I342" s="27"/>
    </row>
    <row r="343">
      <c r="F343" s="27"/>
      <c r="G343" s="27"/>
      <c r="H343" s="27"/>
      <c r="I343" s="27"/>
    </row>
    <row r="344">
      <c r="F344" s="27"/>
      <c r="G344" s="27"/>
      <c r="H344" s="27"/>
      <c r="I344" s="27"/>
    </row>
    <row r="345">
      <c r="F345" s="27"/>
      <c r="G345" s="27"/>
      <c r="H345" s="27"/>
      <c r="I345" s="27"/>
    </row>
    <row r="346">
      <c r="F346" s="27"/>
      <c r="G346" s="27"/>
      <c r="H346" s="27"/>
      <c r="I346" s="27"/>
    </row>
    <row r="347">
      <c r="F347" s="27"/>
      <c r="G347" s="27"/>
      <c r="H347" s="27"/>
      <c r="I347" s="27"/>
    </row>
    <row r="348">
      <c r="F348" s="27"/>
      <c r="G348" s="27"/>
      <c r="H348" s="27"/>
      <c r="I348" s="27"/>
    </row>
    <row r="349">
      <c r="F349" s="27"/>
      <c r="G349" s="27"/>
      <c r="H349" s="27"/>
      <c r="I349" s="27"/>
    </row>
    <row r="350">
      <c r="F350" s="27"/>
      <c r="G350" s="27"/>
      <c r="H350" s="27"/>
      <c r="I350" s="27"/>
    </row>
    <row r="351">
      <c r="F351" s="27"/>
      <c r="G351" s="27"/>
      <c r="H351" s="27"/>
      <c r="I351" s="27"/>
    </row>
    <row r="352">
      <c r="F352" s="27"/>
      <c r="G352" s="27"/>
      <c r="H352" s="27"/>
      <c r="I352" s="27"/>
    </row>
    <row r="353">
      <c r="F353" s="27"/>
      <c r="G353" s="27"/>
      <c r="H353" s="27"/>
      <c r="I353" s="27"/>
    </row>
    <row r="354">
      <c r="F354" s="27"/>
      <c r="G354" s="27"/>
      <c r="H354" s="27"/>
      <c r="I354" s="27"/>
    </row>
    <row r="355">
      <c r="F355" s="27"/>
      <c r="G355" s="27"/>
      <c r="H355" s="27"/>
      <c r="I355" s="27"/>
    </row>
    <row r="356">
      <c r="F356" s="27"/>
      <c r="G356" s="27"/>
      <c r="H356" s="27"/>
      <c r="I356" s="27"/>
    </row>
    <row r="357">
      <c r="F357" s="27"/>
      <c r="G357" s="27"/>
      <c r="H357" s="27"/>
      <c r="I357" s="27"/>
    </row>
    <row r="358">
      <c r="F358" s="27"/>
      <c r="G358" s="27"/>
      <c r="H358" s="27"/>
      <c r="I358" s="27"/>
    </row>
    <row r="359">
      <c r="F359" s="27"/>
      <c r="G359" s="27"/>
      <c r="H359" s="27"/>
      <c r="I359" s="27"/>
    </row>
    <row r="360">
      <c r="F360" s="27"/>
      <c r="G360" s="27"/>
      <c r="H360" s="27"/>
      <c r="I360" s="27"/>
    </row>
    <row r="361">
      <c r="F361" s="27"/>
      <c r="G361" s="27"/>
      <c r="H361" s="27"/>
      <c r="I361" s="27"/>
    </row>
    <row r="362">
      <c r="F362" s="27"/>
      <c r="G362" s="27"/>
      <c r="H362" s="27"/>
      <c r="I362" s="27"/>
    </row>
    <row r="363">
      <c r="F363" s="27"/>
      <c r="G363" s="27"/>
      <c r="H363" s="27"/>
      <c r="I363" s="27"/>
    </row>
    <row r="364">
      <c r="F364" s="27"/>
      <c r="G364" s="27"/>
      <c r="H364" s="27"/>
      <c r="I364" s="27"/>
    </row>
    <row r="365">
      <c r="F365" s="27"/>
      <c r="G365" s="27"/>
      <c r="H365" s="27"/>
      <c r="I365" s="27"/>
    </row>
    <row r="366">
      <c r="F366" s="27"/>
      <c r="G366" s="27"/>
      <c r="H366" s="27"/>
      <c r="I366" s="27"/>
    </row>
    <row r="367">
      <c r="F367" s="27"/>
      <c r="G367" s="27"/>
      <c r="H367" s="27"/>
      <c r="I367" s="27"/>
    </row>
    <row r="368">
      <c r="F368" s="27"/>
      <c r="G368" s="27"/>
      <c r="H368" s="27"/>
      <c r="I368" s="27"/>
    </row>
    <row r="369">
      <c r="F369" s="27"/>
      <c r="G369" s="27"/>
      <c r="H369" s="27"/>
      <c r="I369" s="27"/>
    </row>
    <row r="370">
      <c r="F370" s="27"/>
      <c r="G370" s="27"/>
      <c r="H370" s="27"/>
      <c r="I370" s="27"/>
    </row>
    <row r="371">
      <c r="F371" s="27"/>
      <c r="G371" s="27"/>
      <c r="H371" s="27"/>
      <c r="I371" s="27"/>
    </row>
    <row r="372">
      <c r="F372" s="27"/>
      <c r="G372" s="27"/>
      <c r="H372" s="27"/>
      <c r="I372" s="27"/>
    </row>
    <row r="373">
      <c r="F373" s="27"/>
      <c r="G373" s="27"/>
      <c r="H373" s="27"/>
      <c r="I373" s="27"/>
    </row>
    <row r="374">
      <c r="F374" s="27"/>
      <c r="G374" s="27"/>
      <c r="H374" s="27"/>
      <c r="I374" s="27"/>
    </row>
    <row r="375">
      <c r="F375" s="27"/>
      <c r="G375" s="27"/>
      <c r="H375" s="27"/>
      <c r="I375" s="27"/>
    </row>
    <row r="376">
      <c r="F376" s="27"/>
      <c r="G376" s="27"/>
      <c r="H376" s="27"/>
      <c r="I376" s="27"/>
    </row>
    <row r="377">
      <c r="F377" s="27"/>
      <c r="G377" s="27"/>
      <c r="H377" s="27"/>
      <c r="I377" s="27"/>
    </row>
    <row r="378">
      <c r="F378" s="27"/>
      <c r="G378" s="27"/>
      <c r="H378" s="27"/>
      <c r="I378" s="27"/>
    </row>
    <row r="379">
      <c r="F379" s="27"/>
      <c r="G379" s="27"/>
      <c r="H379" s="27"/>
      <c r="I379" s="27"/>
    </row>
    <row r="380">
      <c r="F380" s="27"/>
      <c r="G380" s="27"/>
      <c r="H380" s="27"/>
      <c r="I380" s="27"/>
    </row>
    <row r="381">
      <c r="F381" s="27"/>
      <c r="G381" s="27"/>
      <c r="H381" s="27"/>
      <c r="I381" s="27"/>
    </row>
    <row r="382">
      <c r="F382" s="27"/>
      <c r="G382" s="27"/>
      <c r="H382" s="27"/>
      <c r="I382" s="27"/>
    </row>
    <row r="383">
      <c r="F383" s="27"/>
      <c r="G383" s="27"/>
      <c r="H383" s="27"/>
      <c r="I383" s="27"/>
    </row>
    <row r="384">
      <c r="F384" s="27"/>
      <c r="G384" s="27"/>
      <c r="H384" s="27"/>
      <c r="I384" s="27"/>
    </row>
    <row r="385">
      <c r="F385" s="27"/>
      <c r="G385" s="27"/>
      <c r="H385" s="27"/>
      <c r="I385" s="27"/>
    </row>
    <row r="386">
      <c r="F386" s="27"/>
      <c r="G386" s="27"/>
      <c r="H386" s="27"/>
      <c r="I386" s="27"/>
    </row>
    <row r="387">
      <c r="F387" s="27"/>
      <c r="G387" s="27"/>
      <c r="H387" s="27"/>
      <c r="I387" s="27"/>
    </row>
    <row r="388">
      <c r="F388" s="27"/>
      <c r="G388" s="27"/>
      <c r="H388" s="27"/>
      <c r="I388" s="27"/>
    </row>
    <row r="389">
      <c r="F389" s="27"/>
      <c r="G389" s="27"/>
      <c r="H389" s="27"/>
      <c r="I389" s="27"/>
    </row>
    <row r="390">
      <c r="F390" s="27"/>
      <c r="G390" s="27"/>
      <c r="H390" s="27"/>
      <c r="I390" s="27"/>
    </row>
    <row r="391">
      <c r="F391" s="27"/>
      <c r="G391" s="27"/>
      <c r="H391" s="27"/>
      <c r="I391" s="27"/>
    </row>
    <row r="392">
      <c r="F392" s="27"/>
      <c r="G392" s="27"/>
      <c r="H392" s="27"/>
      <c r="I392" s="27"/>
    </row>
    <row r="393">
      <c r="F393" s="27"/>
      <c r="G393" s="27"/>
      <c r="H393" s="27"/>
      <c r="I393" s="27"/>
    </row>
    <row r="394">
      <c r="F394" s="27"/>
      <c r="G394" s="27"/>
      <c r="H394" s="27"/>
      <c r="I394" s="27"/>
    </row>
    <row r="395">
      <c r="F395" s="27"/>
      <c r="G395" s="27"/>
      <c r="H395" s="27"/>
      <c r="I395" s="27"/>
    </row>
    <row r="396">
      <c r="F396" s="27"/>
      <c r="G396" s="27"/>
      <c r="H396" s="27"/>
      <c r="I396" s="27"/>
    </row>
    <row r="397">
      <c r="F397" s="27"/>
      <c r="G397" s="27"/>
      <c r="H397" s="27"/>
      <c r="I397" s="27"/>
    </row>
    <row r="398">
      <c r="F398" s="27"/>
      <c r="G398" s="27"/>
      <c r="H398" s="27"/>
      <c r="I398" s="27"/>
    </row>
    <row r="399">
      <c r="F399" s="27"/>
      <c r="G399" s="27"/>
      <c r="H399" s="27"/>
      <c r="I399" s="27"/>
    </row>
    <row r="400">
      <c r="F400" s="27"/>
      <c r="G400" s="27"/>
      <c r="H400" s="27"/>
      <c r="I400" s="27"/>
    </row>
    <row r="401">
      <c r="F401" s="27"/>
      <c r="G401" s="27"/>
      <c r="H401" s="27"/>
      <c r="I401" s="27"/>
    </row>
    <row r="402">
      <c r="F402" s="27"/>
      <c r="G402" s="27"/>
      <c r="H402" s="27"/>
      <c r="I402" s="27"/>
    </row>
    <row r="403">
      <c r="F403" s="27"/>
      <c r="G403" s="27"/>
      <c r="H403" s="27"/>
      <c r="I403" s="27"/>
    </row>
    <row r="404">
      <c r="F404" s="27"/>
      <c r="G404" s="27"/>
      <c r="H404" s="27"/>
      <c r="I404" s="27"/>
    </row>
    <row r="405">
      <c r="F405" s="27"/>
      <c r="G405" s="27"/>
      <c r="H405" s="27"/>
      <c r="I405" s="27"/>
    </row>
    <row r="406">
      <c r="F406" s="27"/>
      <c r="G406" s="27"/>
      <c r="H406" s="27"/>
      <c r="I406" s="27"/>
    </row>
    <row r="407">
      <c r="F407" s="27"/>
      <c r="G407" s="27"/>
      <c r="H407" s="27"/>
      <c r="I407" s="27"/>
    </row>
    <row r="408">
      <c r="F408" s="27"/>
      <c r="G408" s="27"/>
      <c r="H408" s="27"/>
      <c r="I408" s="27"/>
    </row>
    <row r="409">
      <c r="F409" s="27"/>
      <c r="G409" s="27"/>
      <c r="H409" s="27"/>
      <c r="I409" s="27"/>
    </row>
    <row r="410">
      <c r="F410" s="27"/>
      <c r="G410" s="27"/>
      <c r="H410" s="27"/>
      <c r="I410" s="27"/>
    </row>
    <row r="411">
      <c r="F411" s="27"/>
      <c r="G411" s="27"/>
      <c r="H411" s="27"/>
      <c r="I411" s="27"/>
    </row>
    <row r="412">
      <c r="F412" s="27"/>
      <c r="G412" s="27"/>
      <c r="H412" s="27"/>
      <c r="I412" s="27"/>
    </row>
    <row r="413">
      <c r="F413" s="27"/>
      <c r="G413" s="27"/>
      <c r="H413" s="27"/>
      <c r="I413" s="27"/>
    </row>
    <row r="414">
      <c r="F414" s="27"/>
      <c r="G414" s="27"/>
      <c r="H414" s="27"/>
      <c r="I414" s="27"/>
    </row>
    <row r="415">
      <c r="F415" s="27"/>
      <c r="G415" s="27"/>
      <c r="H415" s="27"/>
      <c r="I415" s="27"/>
    </row>
    <row r="416">
      <c r="F416" s="27"/>
      <c r="G416" s="27"/>
      <c r="H416" s="27"/>
      <c r="I416" s="27"/>
    </row>
    <row r="417">
      <c r="F417" s="27"/>
      <c r="G417" s="27"/>
      <c r="H417" s="27"/>
      <c r="I417" s="27"/>
    </row>
    <row r="418">
      <c r="F418" s="27"/>
      <c r="G418" s="27"/>
      <c r="H418" s="27"/>
      <c r="I418" s="27"/>
    </row>
    <row r="419">
      <c r="F419" s="27"/>
      <c r="G419" s="27"/>
      <c r="H419" s="27"/>
      <c r="I419" s="27"/>
    </row>
    <row r="420">
      <c r="F420" s="27"/>
      <c r="G420" s="27"/>
      <c r="H420" s="27"/>
      <c r="I420" s="27"/>
    </row>
    <row r="421">
      <c r="F421" s="27"/>
      <c r="G421" s="27"/>
      <c r="H421" s="27"/>
      <c r="I421" s="27"/>
    </row>
    <row r="422">
      <c r="F422" s="27"/>
      <c r="G422" s="27"/>
      <c r="H422" s="27"/>
      <c r="I422" s="27"/>
    </row>
    <row r="423">
      <c r="F423" s="27"/>
      <c r="G423" s="27"/>
      <c r="H423" s="27"/>
      <c r="I423" s="27"/>
    </row>
    <row r="424">
      <c r="F424" s="27"/>
      <c r="G424" s="27"/>
      <c r="H424" s="27"/>
      <c r="I424" s="27"/>
    </row>
    <row r="425">
      <c r="F425" s="27"/>
      <c r="G425" s="27"/>
      <c r="H425" s="27"/>
      <c r="I425" s="27"/>
    </row>
    <row r="426">
      <c r="F426" s="27"/>
      <c r="G426" s="27"/>
      <c r="H426" s="27"/>
      <c r="I426" s="27"/>
    </row>
    <row r="427">
      <c r="F427" s="27"/>
      <c r="G427" s="27"/>
      <c r="H427" s="27"/>
      <c r="I427" s="27"/>
    </row>
    <row r="428">
      <c r="F428" s="27"/>
      <c r="G428" s="27"/>
      <c r="H428" s="27"/>
      <c r="I428" s="27"/>
    </row>
    <row r="429">
      <c r="F429" s="27"/>
      <c r="G429" s="27"/>
      <c r="H429" s="27"/>
      <c r="I429" s="27"/>
    </row>
    <row r="430">
      <c r="F430" s="27"/>
      <c r="G430" s="27"/>
      <c r="H430" s="27"/>
      <c r="I430" s="27"/>
    </row>
    <row r="431">
      <c r="F431" s="27"/>
      <c r="G431" s="27"/>
      <c r="H431" s="27"/>
      <c r="I431" s="27"/>
    </row>
    <row r="432">
      <c r="F432" s="27"/>
      <c r="G432" s="27"/>
      <c r="H432" s="27"/>
      <c r="I432" s="27"/>
    </row>
    <row r="433">
      <c r="F433" s="27"/>
      <c r="G433" s="27"/>
      <c r="H433" s="27"/>
      <c r="I433" s="27"/>
    </row>
    <row r="434">
      <c r="F434" s="27"/>
      <c r="G434" s="27"/>
      <c r="H434" s="27"/>
      <c r="I434" s="27"/>
    </row>
    <row r="435">
      <c r="F435" s="27"/>
      <c r="G435" s="27"/>
      <c r="H435" s="27"/>
      <c r="I435" s="27"/>
    </row>
    <row r="436">
      <c r="F436" s="27"/>
      <c r="G436" s="27"/>
      <c r="H436" s="27"/>
      <c r="I436" s="27"/>
    </row>
    <row r="437">
      <c r="F437" s="27"/>
      <c r="G437" s="27"/>
      <c r="H437" s="27"/>
      <c r="I437" s="27"/>
    </row>
    <row r="438">
      <c r="F438" s="27"/>
      <c r="G438" s="27"/>
      <c r="H438" s="27"/>
      <c r="I438" s="27"/>
    </row>
    <row r="439">
      <c r="F439" s="27"/>
      <c r="G439" s="27"/>
      <c r="H439" s="27"/>
      <c r="I439" s="27"/>
    </row>
    <row r="440">
      <c r="F440" s="27"/>
      <c r="G440" s="27"/>
      <c r="H440" s="27"/>
      <c r="I440" s="27"/>
    </row>
    <row r="441">
      <c r="F441" s="27"/>
      <c r="G441" s="27"/>
      <c r="H441" s="27"/>
      <c r="I441" s="27"/>
    </row>
    <row r="442">
      <c r="F442" s="27"/>
      <c r="G442" s="27"/>
      <c r="H442" s="27"/>
      <c r="I442" s="27"/>
    </row>
    <row r="443">
      <c r="F443" s="27"/>
      <c r="G443" s="27"/>
      <c r="H443" s="27"/>
      <c r="I443" s="27"/>
    </row>
    <row r="444">
      <c r="F444" s="27"/>
      <c r="G444" s="27"/>
      <c r="H444" s="27"/>
      <c r="I444" s="27"/>
    </row>
    <row r="445">
      <c r="F445" s="27"/>
      <c r="G445" s="27"/>
      <c r="H445" s="27"/>
      <c r="I445" s="27"/>
    </row>
    <row r="446">
      <c r="F446" s="27"/>
      <c r="G446" s="27"/>
      <c r="H446" s="27"/>
      <c r="I446" s="27"/>
    </row>
    <row r="447">
      <c r="F447" s="27"/>
      <c r="G447" s="27"/>
      <c r="H447" s="27"/>
      <c r="I447" s="27"/>
    </row>
    <row r="448">
      <c r="F448" s="27"/>
      <c r="G448" s="27"/>
      <c r="H448" s="27"/>
      <c r="I448" s="27"/>
    </row>
    <row r="449">
      <c r="F449" s="27"/>
      <c r="G449" s="27"/>
      <c r="H449" s="27"/>
      <c r="I449" s="27"/>
    </row>
    <row r="450">
      <c r="F450" s="27"/>
      <c r="G450" s="27"/>
      <c r="H450" s="27"/>
      <c r="I450" s="27"/>
    </row>
    <row r="451">
      <c r="F451" s="27"/>
      <c r="G451" s="27"/>
      <c r="H451" s="27"/>
      <c r="I451" s="27"/>
    </row>
    <row r="452">
      <c r="F452" s="27"/>
      <c r="G452" s="27"/>
      <c r="H452" s="27"/>
      <c r="I452" s="27"/>
    </row>
    <row r="453">
      <c r="F453" s="27"/>
      <c r="G453" s="27"/>
      <c r="H453" s="27"/>
      <c r="I453" s="27"/>
    </row>
    <row r="454">
      <c r="F454" s="27"/>
      <c r="G454" s="27"/>
      <c r="H454" s="27"/>
      <c r="I454" s="27"/>
    </row>
    <row r="455">
      <c r="F455" s="27"/>
      <c r="G455" s="27"/>
      <c r="H455" s="27"/>
      <c r="I455" s="27"/>
    </row>
    <row r="456">
      <c r="F456" s="27"/>
      <c r="G456" s="27"/>
      <c r="H456" s="27"/>
      <c r="I456" s="27"/>
    </row>
    <row r="457">
      <c r="F457" s="27"/>
      <c r="G457" s="27"/>
      <c r="H457" s="27"/>
      <c r="I457" s="27"/>
    </row>
    <row r="458">
      <c r="F458" s="27"/>
      <c r="G458" s="27"/>
      <c r="H458" s="27"/>
      <c r="I458" s="27"/>
    </row>
    <row r="459">
      <c r="F459" s="27"/>
      <c r="G459" s="27"/>
      <c r="H459" s="27"/>
      <c r="I459" s="27"/>
    </row>
    <row r="460">
      <c r="F460" s="27"/>
      <c r="G460" s="27"/>
      <c r="H460" s="27"/>
      <c r="I460" s="27"/>
    </row>
    <row r="461">
      <c r="F461" s="27"/>
      <c r="G461" s="27"/>
      <c r="H461" s="27"/>
      <c r="I461" s="27"/>
    </row>
    <row r="462">
      <c r="F462" s="27"/>
      <c r="G462" s="27"/>
      <c r="H462" s="27"/>
      <c r="I462" s="27"/>
    </row>
    <row r="463">
      <c r="F463" s="27"/>
      <c r="G463" s="27"/>
      <c r="H463" s="27"/>
      <c r="I463" s="27"/>
    </row>
    <row r="464">
      <c r="F464" s="27"/>
      <c r="G464" s="27"/>
      <c r="H464" s="27"/>
      <c r="I464" s="27"/>
    </row>
    <row r="465">
      <c r="F465" s="27"/>
      <c r="G465" s="27"/>
      <c r="H465" s="27"/>
      <c r="I465" s="27"/>
    </row>
    <row r="466">
      <c r="F466" s="27"/>
      <c r="G466" s="27"/>
      <c r="H466" s="27"/>
      <c r="I466" s="27"/>
    </row>
    <row r="467">
      <c r="F467" s="27"/>
      <c r="G467" s="27"/>
      <c r="H467" s="27"/>
      <c r="I467" s="27"/>
    </row>
    <row r="468">
      <c r="F468" s="27"/>
      <c r="G468" s="27"/>
      <c r="H468" s="27"/>
      <c r="I468" s="27"/>
    </row>
    <row r="469">
      <c r="F469" s="27"/>
      <c r="G469" s="27"/>
      <c r="H469" s="27"/>
      <c r="I469" s="27"/>
    </row>
    <row r="470">
      <c r="F470" s="27"/>
      <c r="G470" s="27"/>
      <c r="H470" s="27"/>
      <c r="I470" s="27"/>
    </row>
    <row r="471">
      <c r="F471" s="27"/>
      <c r="G471" s="27"/>
      <c r="H471" s="27"/>
      <c r="I471" s="27"/>
    </row>
    <row r="472">
      <c r="F472" s="27"/>
      <c r="G472" s="27"/>
      <c r="H472" s="27"/>
      <c r="I472" s="27"/>
    </row>
    <row r="473">
      <c r="F473" s="27"/>
      <c r="G473" s="27"/>
      <c r="H473" s="27"/>
      <c r="I473" s="27"/>
    </row>
    <row r="474">
      <c r="F474" s="27"/>
      <c r="G474" s="27"/>
      <c r="H474" s="27"/>
      <c r="I474" s="27"/>
    </row>
    <row r="475">
      <c r="F475" s="27"/>
      <c r="G475" s="27"/>
      <c r="H475" s="27"/>
      <c r="I475" s="27"/>
    </row>
    <row r="476">
      <c r="F476" s="27"/>
      <c r="G476" s="27"/>
      <c r="H476" s="27"/>
      <c r="I476" s="27"/>
    </row>
    <row r="477">
      <c r="F477" s="27"/>
      <c r="G477" s="27"/>
      <c r="H477" s="27"/>
      <c r="I477" s="27"/>
    </row>
    <row r="478">
      <c r="F478" s="27"/>
      <c r="G478" s="27"/>
      <c r="H478" s="27"/>
      <c r="I478" s="27"/>
    </row>
    <row r="479">
      <c r="F479" s="27"/>
      <c r="G479" s="27"/>
      <c r="H479" s="27"/>
      <c r="I479" s="27"/>
    </row>
    <row r="480">
      <c r="F480" s="27"/>
      <c r="G480" s="27"/>
      <c r="H480" s="27"/>
      <c r="I480" s="27"/>
    </row>
    <row r="481">
      <c r="F481" s="27"/>
      <c r="G481" s="27"/>
      <c r="H481" s="27"/>
      <c r="I481" s="27"/>
    </row>
    <row r="482">
      <c r="F482" s="27"/>
      <c r="G482" s="27"/>
      <c r="H482" s="27"/>
      <c r="I482" s="27"/>
    </row>
    <row r="483">
      <c r="F483" s="27"/>
      <c r="G483" s="27"/>
      <c r="H483" s="27"/>
      <c r="I483" s="27"/>
    </row>
    <row r="484">
      <c r="F484" s="27"/>
      <c r="G484" s="27"/>
      <c r="H484" s="27"/>
      <c r="I484" s="27"/>
    </row>
    <row r="485">
      <c r="F485" s="27"/>
      <c r="G485" s="27"/>
      <c r="H485" s="27"/>
      <c r="I485" s="27"/>
    </row>
    <row r="486">
      <c r="F486" s="27"/>
      <c r="G486" s="27"/>
      <c r="H486" s="27"/>
      <c r="I486" s="27"/>
    </row>
    <row r="487">
      <c r="F487" s="27"/>
      <c r="G487" s="27"/>
      <c r="H487" s="27"/>
      <c r="I487" s="27"/>
    </row>
    <row r="488">
      <c r="F488" s="27"/>
      <c r="G488" s="27"/>
      <c r="H488" s="27"/>
      <c r="I488" s="27"/>
    </row>
    <row r="489">
      <c r="F489" s="27"/>
      <c r="G489" s="27"/>
      <c r="H489" s="27"/>
      <c r="I489" s="27"/>
    </row>
    <row r="490">
      <c r="F490" s="27"/>
      <c r="G490" s="27"/>
      <c r="H490" s="27"/>
      <c r="I490" s="27"/>
    </row>
    <row r="491">
      <c r="F491" s="27"/>
      <c r="G491" s="27"/>
      <c r="H491" s="27"/>
      <c r="I491" s="27"/>
    </row>
    <row r="492">
      <c r="F492" s="27"/>
      <c r="G492" s="27"/>
      <c r="H492" s="27"/>
      <c r="I492" s="27"/>
    </row>
    <row r="493">
      <c r="F493" s="27"/>
      <c r="G493" s="27"/>
      <c r="H493" s="27"/>
      <c r="I493" s="27"/>
    </row>
    <row r="494">
      <c r="F494" s="27"/>
      <c r="G494" s="27"/>
      <c r="H494" s="27"/>
      <c r="I494" s="27"/>
    </row>
    <row r="495">
      <c r="F495" s="27"/>
      <c r="G495" s="27"/>
      <c r="H495" s="27"/>
      <c r="I495" s="27"/>
    </row>
    <row r="496">
      <c r="F496" s="27"/>
      <c r="G496" s="27"/>
      <c r="H496" s="27"/>
      <c r="I496" s="27"/>
    </row>
    <row r="497">
      <c r="F497" s="27"/>
      <c r="G497" s="27"/>
      <c r="H497" s="27"/>
      <c r="I497" s="27"/>
    </row>
    <row r="498">
      <c r="F498" s="27"/>
      <c r="G498" s="27"/>
      <c r="H498" s="27"/>
      <c r="I498" s="27"/>
    </row>
    <row r="499">
      <c r="F499" s="27"/>
      <c r="G499" s="27"/>
      <c r="H499" s="27"/>
      <c r="I499" s="27"/>
    </row>
    <row r="500">
      <c r="F500" s="27"/>
      <c r="G500" s="27"/>
      <c r="H500" s="27"/>
      <c r="I500" s="27"/>
    </row>
    <row r="501">
      <c r="F501" s="27"/>
      <c r="G501" s="27"/>
      <c r="H501" s="27"/>
      <c r="I501" s="27"/>
    </row>
    <row r="502">
      <c r="F502" s="27"/>
      <c r="G502" s="27"/>
      <c r="H502" s="27"/>
      <c r="I502" s="27"/>
    </row>
    <row r="503">
      <c r="F503" s="27"/>
      <c r="G503" s="27"/>
      <c r="H503" s="27"/>
      <c r="I503" s="27"/>
    </row>
    <row r="504">
      <c r="F504" s="27"/>
      <c r="G504" s="27"/>
      <c r="H504" s="27"/>
      <c r="I504" s="27"/>
    </row>
    <row r="505">
      <c r="F505" s="27"/>
      <c r="G505" s="27"/>
      <c r="H505" s="27"/>
      <c r="I505" s="27"/>
    </row>
    <row r="506">
      <c r="F506" s="27"/>
      <c r="G506" s="27"/>
      <c r="H506" s="27"/>
      <c r="I506" s="27"/>
    </row>
    <row r="507">
      <c r="F507" s="27"/>
      <c r="G507" s="27"/>
      <c r="H507" s="27"/>
      <c r="I507" s="27"/>
    </row>
    <row r="508">
      <c r="F508" s="27"/>
      <c r="G508" s="27"/>
      <c r="H508" s="27"/>
      <c r="I508" s="27"/>
    </row>
    <row r="509">
      <c r="F509" s="27"/>
      <c r="G509" s="27"/>
      <c r="H509" s="27"/>
      <c r="I509" s="27"/>
    </row>
    <row r="510">
      <c r="F510" s="27"/>
      <c r="G510" s="27"/>
      <c r="H510" s="27"/>
      <c r="I510" s="27"/>
    </row>
    <row r="511">
      <c r="F511" s="27"/>
      <c r="G511" s="27"/>
      <c r="H511" s="27"/>
      <c r="I511" s="27"/>
    </row>
    <row r="512">
      <c r="F512" s="27"/>
      <c r="G512" s="27"/>
      <c r="H512" s="27"/>
      <c r="I512" s="27"/>
    </row>
    <row r="513">
      <c r="F513" s="27"/>
      <c r="G513" s="27"/>
      <c r="H513" s="27"/>
      <c r="I513" s="27"/>
    </row>
    <row r="514">
      <c r="F514" s="27"/>
      <c r="G514" s="27"/>
      <c r="H514" s="27"/>
      <c r="I514" s="27"/>
    </row>
    <row r="515">
      <c r="F515" s="27"/>
      <c r="G515" s="27"/>
      <c r="H515" s="27"/>
      <c r="I515" s="27"/>
    </row>
    <row r="516">
      <c r="F516" s="27"/>
      <c r="G516" s="27"/>
      <c r="H516" s="27"/>
      <c r="I516" s="27"/>
    </row>
    <row r="517">
      <c r="F517" s="27"/>
      <c r="G517" s="27"/>
      <c r="H517" s="27"/>
      <c r="I517" s="27"/>
    </row>
    <row r="518">
      <c r="F518" s="27"/>
      <c r="G518" s="27"/>
      <c r="H518" s="27"/>
      <c r="I518" s="27"/>
    </row>
    <row r="519">
      <c r="F519" s="27"/>
      <c r="G519" s="27"/>
      <c r="H519" s="27"/>
      <c r="I519" s="27"/>
    </row>
    <row r="520">
      <c r="F520" s="27"/>
      <c r="G520" s="27"/>
      <c r="H520" s="27"/>
      <c r="I520" s="27"/>
    </row>
    <row r="521">
      <c r="F521" s="27"/>
      <c r="G521" s="27"/>
      <c r="H521" s="27"/>
      <c r="I521" s="27"/>
    </row>
    <row r="522">
      <c r="F522" s="27"/>
      <c r="G522" s="27"/>
      <c r="H522" s="27"/>
      <c r="I522" s="27"/>
    </row>
    <row r="523">
      <c r="F523" s="27"/>
      <c r="G523" s="27"/>
      <c r="H523" s="27"/>
      <c r="I523" s="27"/>
    </row>
    <row r="524">
      <c r="F524" s="27"/>
      <c r="G524" s="27"/>
      <c r="H524" s="27"/>
      <c r="I524" s="27"/>
    </row>
    <row r="525">
      <c r="F525" s="27"/>
      <c r="G525" s="27"/>
      <c r="H525" s="27"/>
      <c r="I525" s="27"/>
    </row>
    <row r="526">
      <c r="F526" s="27"/>
      <c r="G526" s="27"/>
      <c r="H526" s="27"/>
      <c r="I526" s="27"/>
    </row>
    <row r="527">
      <c r="F527" s="27"/>
      <c r="G527" s="27"/>
      <c r="H527" s="27"/>
      <c r="I527" s="27"/>
    </row>
    <row r="528">
      <c r="F528" s="27"/>
      <c r="G528" s="27"/>
      <c r="H528" s="27"/>
      <c r="I528" s="27"/>
    </row>
    <row r="529">
      <c r="F529" s="27"/>
      <c r="G529" s="27"/>
      <c r="H529" s="27"/>
      <c r="I529" s="27"/>
    </row>
    <row r="530">
      <c r="F530" s="27"/>
      <c r="G530" s="27"/>
      <c r="H530" s="27"/>
      <c r="I530" s="27"/>
    </row>
    <row r="531">
      <c r="F531" s="27"/>
      <c r="G531" s="27"/>
      <c r="H531" s="27"/>
      <c r="I531" s="27"/>
    </row>
    <row r="532">
      <c r="F532" s="27"/>
      <c r="G532" s="27"/>
      <c r="H532" s="27"/>
      <c r="I532" s="27"/>
    </row>
    <row r="533">
      <c r="F533" s="27"/>
      <c r="G533" s="27"/>
      <c r="H533" s="27"/>
      <c r="I533" s="27"/>
    </row>
    <row r="534">
      <c r="F534" s="27"/>
      <c r="G534" s="27"/>
      <c r="H534" s="27"/>
      <c r="I534" s="27"/>
    </row>
    <row r="535">
      <c r="F535" s="27"/>
      <c r="G535" s="27"/>
      <c r="H535" s="27"/>
      <c r="I535" s="27"/>
    </row>
    <row r="536">
      <c r="F536" s="27"/>
      <c r="G536" s="27"/>
      <c r="H536" s="27"/>
      <c r="I536" s="27"/>
    </row>
    <row r="537">
      <c r="F537" s="27"/>
      <c r="G537" s="27"/>
      <c r="H537" s="27"/>
      <c r="I537" s="27"/>
    </row>
    <row r="538">
      <c r="F538" s="27"/>
      <c r="G538" s="27"/>
      <c r="H538" s="27"/>
      <c r="I538" s="27"/>
    </row>
    <row r="539">
      <c r="F539" s="27"/>
      <c r="G539" s="27"/>
      <c r="H539" s="27"/>
      <c r="I539" s="27"/>
    </row>
    <row r="540">
      <c r="F540" s="27"/>
      <c r="G540" s="27"/>
      <c r="H540" s="27"/>
      <c r="I540" s="27"/>
    </row>
    <row r="541">
      <c r="F541" s="27"/>
      <c r="G541" s="27"/>
      <c r="H541" s="27"/>
      <c r="I541" s="27"/>
    </row>
    <row r="542">
      <c r="F542" s="27"/>
      <c r="G542" s="27"/>
      <c r="H542" s="27"/>
      <c r="I542" s="27"/>
    </row>
    <row r="543">
      <c r="F543" s="27"/>
      <c r="G543" s="27"/>
      <c r="H543" s="27"/>
      <c r="I543" s="27"/>
    </row>
    <row r="544">
      <c r="F544" s="27"/>
      <c r="G544" s="27"/>
      <c r="H544" s="27"/>
      <c r="I544" s="27"/>
    </row>
    <row r="545">
      <c r="F545" s="27"/>
      <c r="G545" s="27"/>
      <c r="H545" s="27"/>
      <c r="I545" s="27"/>
    </row>
    <row r="546">
      <c r="F546" s="27"/>
      <c r="G546" s="27"/>
      <c r="H546" s="27"/>
      <c r="I546" s="27"/>
    </row>
    <row r="547">
      <c r="F547" s="27"/>
      <c r="G547" s="27"/>
      <c r="H547" s="27"/>
      <c r="I547" s="27"/>
    </row>
    <row r="548">
      <c r="F548" s="27"/>
      <c r="G548" s="27"/>
      <c r="H548" s="27"/>
      <c r="I548" s="27"/>
    </row>
    <row r="549">
      <c r="F549" s="27"/>
      <c r="G549" s="27"/>
      <c r="H549" s="27"/>
      <c r="I549" s="27"/>
    </row>
    <row r="550">
      <c r="F550" s="27"/>
      <c r="G550" s="27"/>
      <c r="H550" s="27"/>
      <c r="I550" s="27"/>
    </row>
    <row r="551">
      <c r="F551" s="27"/>
      <c r="G551" s="27"/>
      <c r="H551" s="27"/>
      <c r="I551" s="27"/>
    </row>
    <row r="552">
      <c r="F552" s="27"/>
      <c r="G552" s="27"/>
      <c r="H552" s="27"/>
      <c r="I552" s="27"/>
    </row>
    <row r="553">
      <c r="F553" s="27"/>
      <c r="G553" s="27"/>
      <c r="H553" s="27"/>
      <c r="I553" s="27"/>
    </row>
    <row r="554">
      <c r="F554" s="27"/>
      <c r="G554" s="27"/>
      <c r="H554" s="27"/>
      <c r="I554" s="27"/>
    </row>
    <row r="555">
      <c r="F555" s="27"/>
      <c r="G555" s="27"/>
      <c r="H555" s="27"/>
      <c r="I555" s="27"/>
    </row>
    <row r="556">
      <c r="F556" s="27"/>
      <c r="G556" s="27"/>
      <c r="H556" s="27"/>
      <c r="I556" s="27"/>
    </row>
    <row r="557">
      <c r="F557" s="27"/>
      <c r="G557" s="27"/>
      <c r="H557" s="27"/>
      <c r="I557" s="27"/>
    </row>
    <row r="558">
      <c r="F558" s="27"/>
      <c r="G558" s="27"/>
      <c r="H558" s="27"/>
      <c r="I558" s="27"/>
    </row>
    <row r="559">
      <c r="F559" s="27"/>
      <c r="G559" s="27"/>
      <c r="H559" s="27"/>
      <c r="I559" s="27"/>
    </row>
    <row r="560">
      <c r="F560" s="27"/>
      <c r="G560" s="27"/>
      <c r="H560" s="27"/>
      <c r="I560" s="27"/>
    </row>
    <row r="561">
      <c r="F561" s="27"/>
      <c r="G561" s="27"/>
      <c r="H561" s="27"/>
      <c r="I561" s="27"/>
    </row>
    <row r="562">
      <c r="F562" s="27"/>
      <c r="G562" s="27"/>
      <c r="H562" s="27"/>
      <c r="I562" s="27"/>
    </row>
    <row r="563">
      <c r="F563" s="27"/>
      <c r="G563" s="27"/>
      <c r="H563" s="27"/>
      <c r="I563" s="27"/>
    </row>
    <row r="564">
      <c r="F564" s="27"/>
      <c r="G564" s="27"/>
      <c r="H564" s="27"/>
      <c r="I564" s="27"/>
    </row>
    <row r="565">
      <c r="F565" s="27"/>
      <c r="G565" s="27"/>
      <c r="H565" s="27"/>
      <c r="I565" s="27"/>
    </row>
    <row r="566">
      <c r="F566" s="27"/>
      <c r="G566" s="27"/>
      <c r="H566" s="27"/>
      <c r="I566" s="27"/>
    </row>
    <row r="567">
      <c r="F567" s="27"/>
      <c r="G567" s="27"/>
      <c r="H567" s="27"/>
      <c r="I567" s="27"/>
    </row>
    <row r="568">
      <c r="F568" s="27"/>
      <c r="G568" s="27"/>
      <c r="H568" s="27"/>
      <c r="I568" s="27"/>
    </row>
    <row r="569">
      <c r="F569" s="27"/>
      <c r="G569" s="27"/>
      <c r="H569" s="27"/>
      <c r="I569" s="27"/>
    </row>
    <row r="570">
      <c r="F570" s="27"/>
      <c r="G570" s="27"/>
      <c r="H570" s="27"/>
      <c r="I570" s="27"/>
    </row>
    <row r="571">
      <c r="F571" s="27"/>
      <c r="G571" s="27"/>
      <c r="H571" s="27"/>
      <c r="I571" s="27"/>
    </row>
    <row r="572">
      <c r="F572" s="27"/>
      <c r="G572" s="27"/>
      <c r="H572" s="27"/>
      <c r="I572" s="27"/>
    </row>
    <row r="573">
      <c r="F573" s="27"/>
      <c r="G573" s="27"/>
      <c r="H573" s="27"/>
      <c r="I573" s="27"/>
    </row>
    <row r="574">
      <c r="F574" s="27"/>
      <c r="G574" s="27"/>
      <c r="H574" s="27"/>
      <c r="I574" s="27"/>
    </row>
    <row r="575">
      <c r="F575" s="27"/>
      <c r="G575" s="27"/>
      <c r="H575" s="27"/>
      <c r="I575" s="27"/>
    </row>
    <row r="576">
      <c r="F576" s="27"/>
      <c r="G576" s="27"/>
      <c r="H576" s="27"/>
      <c r="I576" s="27"/>
    </row>
    <row r="577">
      <c r="F577" s="27"/>
      <c r="G577" s="27"/>
      <c r="H577" s="27"/>
      <c r="I577" s="27"/>
    </row>
    <row r="578">
      <c r="F578" s="27"/>
      <c r="G578" s="27"/>
      <c r="H578" s="27"/>
      <c r="I578" s="27"/>
    </row>
    <row r="579">
      <c r="F579" s="27"/>
      <c r="G579" s="27"/>
      <c r="H579" s="27"/>
      <c r="I579" s="27"/>
    </row>
    <row r="580">
      <c r="F580" s="27"/>
      <c r="G580" s="27"/>
      <c r="H580" s="27"/>
      <c r="I580" s="27"/>
    </row>
    <row r="581">
      <c r="F581" s="27"/>
      <c r="G581" s="27"/>
      <c r="H581" s="27"/>
      <c r="I581" s="27"/>
    </row>
    <row r="582">
      <c r="F582" s="27"/>
      <c r="G582" s="27"/>
      <c r="H582" s="27"/>
      <c r="I582" s="27"/>
    </row>
    <row r="583">
      <c r="F583" s="27"/>
      <c r="G583" s="27"/>
      <c r="H583" s="27"/>
      <c r="I583" s="27"/>
    </row>
    <row r="584">
      <c r="F584" s="27"/>
      <c r="G584" s="27"/>
      <c r="H584" s="27"/>
      <c r="I584" s="27"/>
    </row>
    <row r="585">
      <c r="F585" s="27"/>
      <c r="G585" s="27"/>
      <c r="H585" s="27"/>
      <c r="I585" s="27"/>
    </row>
    <row r="586">
      <c r="F586" s="27"/>
      <c r="G586" s="27"/>
      <c r="H586" s="27"/>
      <c r="I586" s="27"/>
    </row>
    <row r="587">
      <c r="F587" s="27"/>
      <c r="G587" s="27"/>
      <c r="H587" s="27"/>
      <c r="I587" s="27"/>
    </row>
    <row r="588">
      <c r="F588" s="27"/>
      <c r="G588" s="27"/>
      <c r="H588" s="27"/>
      <c r="I588" s="27"/>
    </row>
    <row r="589">
      <c r="F589" s="27"/>
      <c r="G589" s="27"/>
      <c r="H589" s="27"/>
      <c r="I589" s="27"/>
    </row>
    <row r="590">
      <c r="F590" s="27"/>
      <c r="G590" s="27"/>
      <c r="H590" s="27"/>
      <c r="I590" s="27"/>
    </row>
    <row r="591">
      <c r="F591" s="27"/>
      <c r="G591" s="27"/>
      <c r="H591" s="27"/>
      <c r="I591" s="27"/>
    </row>
    <row r="592">
      <c r="F592" s="27"/>
      <c r="G592" s="27"/>
      <c r="H592" s="27"/>
      <c r="I592" s="27"/>
    </row>
    <row r="593">
      <c r="F593" s="27"/>
      <c r="G593" s="27"/>
      <c r="H593" s="27"/>
      <c r="I593" s="27"/>
    </row>
    <row r="594">
      <c r="F594" s="27"/>
      <c r="G594" s="27"/>
      <c r="H594" s="27"/>
      <c r="I594" s="27"/>
    </row>
    <row r="595">
      <c r="F595" s="27"/>
      <c r="G595" s="27"/>
      <c r="H595" s="27"/>
      <c r="I595" s="27"/>
    </row>
    <row r="596">
      <c r="F596" s="27"/>
      <c r="G596" s="27"/>
      <c r="H596" s="27"/>
      <c r="I596" s="27"/>
    </row>
    <row r="597">
      <c r="F597" s="27"/>
      <c r="G597" s="27"/>
      <c r="H597" s="27"/>
      <c r="I597" s="27"/>
    </row>
    <row r="598">
      <c r="F598" s="27"/>
      <c r="G598" s="27"/>
      <c r="H598" s="27"/>
      <c r="I598" s="27"/>
    </row>
    <row r="599">
      <c r="F599" s="27"/>
      <c r="G599" s="27"/>
      <c r="H599" s="27"/>
      <c r="I599" s="27"/>
    </row>
    <row r="600">
      <c r="F600" s="27"/>
      <c r="G600" s="27"/>
      <c r="H600" s="27"/>
      <c r="I600" s="27"/>
    </row>
    <row r="601">
      <c r="F601" s="27"/>
      <c r="G601" s="27"/>
      <c r="H601" s="27"/>
      <c r="I601" s="27"/>
    </row>
    <row r="602">
      <c r="F602" s="27"/>
      <c r="G602" s="27"/>
      <c r="H602" s="27"/>
      <c r="I602" s="27"/>
    </row>
    <row r="603">
      <c r="F603" s="27"/>
      <c r="G603" s="27"/>
      <c r="H603" s="27"/>
      <c r="I603" s="27"/>
    </row>
    <row r="604">
      <c r="F604" s="27"/>
      <c r="G604" s="27"/>
      <c r="H604" s="27"/>
      <c r="I604" s="27"/>
    </row>
    <row r="605">
      <c r="F605" s="27"/>
      <c r="G605" s="27"/>
      <c r="H605" s="27"/>
      <c r="I605" s="27"/>
    </row>
    <row r="606">
      <c r="F606" s="27"/>
      <c r="G606" s="27"/>
      <c r="H606" s="27"/>
      <c r="I606" s="27"/>
    </row>
    <row r="607">
      <c r="F607" s="27"/>
      <c r="G607" s="27"/>
      <c r="H607" s="27"/>
      <c r="I607" s="27"/>
    </row>
    <row r="608">
      <c r="F608" s="27"/>
      <c r="G608" s="27"/>
      <c r="H608" s="27"/>
      <c r="I608" s="27"/>
    </row>
    <row r="609">
      <c r="F609" s="27"/>
      <c r="G609" s="27"/>
      <c r="H609" s="27"/>
      <c r="I609" s="27"/>
    </row>
    <row r="610">
      <c r="F610" s="27"/>
      <c r="G610" s="27"/>
      <c r="H610" s="27"/>
      <c r="I610" s="27"/>
    </row>
    <row r="611">
      <c r="F611" s="27"/>
      <c r="G611" s="27"/>
      <c r="H611" s="27"/>
      <c r="I611" s="27"/>
    </row>
    <row r="612">
      <c r="F612" s="27"/>
      <c r="G612" s="27"/>
      <c r="H612" s="27"/>
      <c r="I612" s="27"/>
    </row>
    <row r="613">
      <c r="F613" s="27"/>
      <c r="G613" s="27"/>
      <c r="H613" s="27"/>
      <c r="I613" s="27"/>
    </row>
    <row r="614">
      <c r="F614" s="27"/>
      <c r="G614" s="27"/>
      <c r="H614" s="27"/>
      <c r="I614" s="27"/>
    </row>
    <row r="615">
      <c r="F615" s="27"/>
      <c r="G615" s="27"/>
      <c r="H615" s="27"/>
      <c r="I615" s="27"/>
    </row>
    <row r="616">
      <c r="F616" s="27"/>
      <c r="G616" s="27"/>
      <c r="H616" s="27"/>
      <c r="I616" s="27"/>
    </row>
    <row r="617">
      <c r="F617" s="27"/>
      <c r="G617" s="27"/>
      <c r="H617" s="27"/>
      <c r="I617" s="27"/>
    </row>
    <row r="618">
      <c r="F618" s="27"/>
      <c r="G618" s="27"/>
      <c r="H618" s="27"/>
      <c r="I618" s="27"/>
    </row>
    <row r="619">
      <c r="F619" s="27"/>
      <c r="G619" s="27"/>
      <c r="H619" s="27"/>
      <c r="I619" s="27"/>
    </row>
    <row r="620">
      <c r="F620" s="27"/>
      <c r="G620" s="27"/>
      <c r="H620" s="27"/>
      <c r="I620" s="27"/>
    </row>
    <row r="621">
      <c r="F621" s="27"/>
      <c r="G621" s="27"/>
      <c r="H621" s="27"/>
      <c r="I621" s="27"/>
    </row>
    <row r="622">
      <c r="F622" s="27"/>
      <c r="G622" s="27"/>
      <c r="H622" s="27"/>
      <c r="I622" s="27"/>
    </row>
    <row r="623">
      <c r="F623" s="27"/>
      <c r="G623" s="27"/>
      <c r="H623" s="27"/>
      <c r="I623" s="27"/>
    </row>
    <row r="624">
      <c r="F624" s="27"/>
      <c r="G624" s="27"/>
      <c r="H624" s="27"/>
      <c r="I624" s="27"/>
    </row>
    <row r="625">
      <c r="F625" s="27"/>
      <c r="G625" s="27"/>
      <c r="H625" s="27"/>
      <c r="I625" s="27"/>
    </row>
    <row r="626">
      <c r="F626" s="27"/>
      <c r="G626" s="27"/>
      <c r="H626" s="27"/>
      <c r="I626" s="27"/>
    </row>
    <row r="627">
      <c r="F627" s="27"/>
      <c r="G627" s="27"/>
      <c r="H627" s="27"/>
      <c r="I627" s="27"/>
    </row>
    <row r="628">
      <c r="F628" s="27"/>
      <c r="G628" s="27"/>
      <c r="H628" s="27"/>
      <c r="I628" s="27"/>
    </row>
    <row r="629">
      <c r="F629" s="27"/>
      <c r="G629" s="27"/>
      <c r="H629" s="27"/>
      <c r="I629" s="27"/>
    </row>
    <row r="630">
      <c r="F630" s="27"/>
      <c r="G630" s="27"/>
      <c r="H630" s="27"/>
      <c r="I630" s="27"/>
    </row>
    <row r="631">
      <c r="F631" s="27"/>
      <c r="G631" s="27"/>
      <c r="H631" s="27"/>
      <c r="I631" s="27"/>
    </row>
    <row r="632">
      <c r="F632" s="27"/>
      <c r="G632" s="27"/>
      <c r="H632" s="27"/>
      <c r="I632" s="27"/>
    </row>
    <row r="633">
      <c r="F633" s="27"/>
      <c r="G633" s="27"/>
      <c r="H633" s="27"/>
      <c r="I633" s="27"/>
    </row>
    <row r="634">
      <c r="F634" s="27"/>
      <c r="G634" s="27"/>
      <c r="H634" s="27"/>
      <c r="I634" s="27"/>
    </row>
    <row r="635">
      <c r="F635" s="27"/>
      <c r="G635" s="27"/>
      <c r="H635" s="27"/>
      <c r="I635" s="27"/>
    </row>
    <row r="636">
      <c r="F636" s="27"/>
      <c r="G636" s="27"/>
      <c r="H636" s="27"/>
      <c r="I636" s="27"/>
    </row>
    <row r="637">
      <c r="F637" s="27"/>
      <c r="G637" s="27"/>
      <c r="H637" s="27"/>
      <c r="I637" s="27"/>
    </row>
    <row r="638">
      <c r="F638" s="27"/>
      <c r="G638" s="27"/>
      <c r="H638" s="27"/>
      <c r="I638" s="27"/>
    </row>
    <row r="639">
      <c r="F639" s="27"/>
      <c r="G639" s="27"/>
      <c r="H639" s="27"/>
      <c r="I639" s="27"/>
    </row>
    <row r="640">
      <c r="F640" s="27"/>
      <c r="G640" s="27"/>
      <c r="H640" s="27"/>
      <c r="I640" s="27"/>
    </row>
    <row r="641">
      <c r="F641" s="27"/>
      <c r="G641" s="27"/>
      <c r="H641" s="27"/>
      <c r="I641" s="27"/>
    </row>
    <row r="642">
      <c r="F642" s="27"/>
      <c r="G642" s="27"/>
      <c r="H642" s="27"/>
      <c r="I642" s="27"/>
    </row>
    <row r="643">
      <c r="F643" s="27"/>
      <c r="G643" s="27"/>
      <c r="H643" s="27"/>
      <c r="I643" s="27"/>
    </row>
    <row r="644">
      <c r="F644" s="27"/>
      <c r="G644" s="27"/>
      <c r="H644" s="27"/>
      <c r="I644" s="27"/>
    </row>
    <row r="645">
      <c r="F645" s="27"/>
      <c r="G645" s="27"/>
      <c r="H645" s="27"/>
      <c r="I645" s="27"/>
    </row>
    <row r="646">
      <c r="F646" s="27"/>
      <c r="G646" s="27"/>
      <c r="H646" s="27"/>
      <c r="I646" s="27"/>
    </row>
    <row r="647">
      <c r="F647" s="27"/>
      <c r="G647" s="27"/>
      <c r="H647" s="27"/>
      <c r="I647" s="27"/>
    </row>
    <row r="648">
      <c r="F648" s="27"/>
      <c r="G648" s="27"/>
      <c r="H648" s="27"/>
      <c r="I648" s="27"/>
    </row>
    <row r="649">
      <c r="F649" s="27"/>
      <c r="G649" s="27"/>
      <c r="H649" s="27"/>
      <c r="I649" s="27"/>
    </row>
    <row r="650">
      <c r="F650" s="27"/>
      <c r="G650" s="27"/>
      <c r="H650" s="27"/>
      <c r="I650" s="27"/>
    </row>
    <row r="651">
      <c r="F651" s="27"/>
      <c r="G651" s="27"/>
      <c r="H651" s="27"/>
      <c r="I651" s="27"/>
    </row>
    <row r="652">
      <c r="F652" s="27"/>
      <c r="G652" s="27"/>
      <c r="H652" s="27"/>
      <c r="I652" s="27"/>
    </row>
    <row r="653">
      <c r="F653" s="27"/>
      <c r="G653" s="27"/>
      <c r="H653" s="27"/>
      <c r="I653" s="27"/>
    </row>
    <row r="654">
      <c r="F654" s="27"/>
      <c r="G654" s="27"/>
      <c r="H654" s="27"/>
      <c r="I654" s="27"/>
    </row>
    <row r="655">
      <c r="F655" s="27"/>
      <c r="G655" s="27"/>
      <c r="H655" s="27"/>
      <c r="I655" s="27"/>
    </row>
    <row r="656">
      <c r="F656" s="27"/>
      <c r="G656" s="27"/>
      <c r="H656" s="27"/>
      <c r="I656" s="27"/>
    </row>
    <row r="657">
      <c r="F657" s="27"/>
      <c r="G657" s="27"/>
      <c r="H657" s="27"/>
      <c r="I657" s="27"/>
    </row>
    <row r="658">
      <c r="F658" s="27"/>
      <c r="G658" s="27"/>
      <c r="H658" s="27"/>
      <c r="I658" s="27"/>
    </row>
    <row r="659">
      <c r="F659" s="27"/>
      <c r="G659" s="27"/>
      <c r="H659" s="27"/>
      <c r="I659" s="27"/>
    </row>
    <row r="660">
      <c r="F660" s="27"/>
      <c r="G660" s="27"/>
      <c r="H660" s="27"/>
      <c r="I660" s="27"/>
    </row>
    <row r="661">
      <c r="F661" s="27"/>
      <c r="G661" s="27"/>
      <c r="H661" s="27"/>
      <c r="I661" s="27"/>
    </row>
    <row r="662">
      <c r="F662" s="27"/>
      <c r="G662" s="27"/>
      <c r="H662" s="27"/>
      <c r="I662" s="27"/>
    </row>
    <row r="663">
      <c r="F663" s="27"/>
      <c r="G663" s="27"/>
      <c r="H663" s="27"/>
      <c r="I663" s="27"/>
    </row>
    <row r="664">
      <c r="F664" s="27"/>
      <c r="G664" s="27"/>
      <c r="H664" s="27"/>
      <c r="I664" s="27"/>
    </row>
    <row r="665">
      <c r="F665" s="27"/>
      <c r="G665" s="27"/>
      <c r="H665" s="27"/>
      <c r="I665" s="27"/>
    </row>
    <row r="666">
      <c r="F666" s="27"/>
      <c r="G666" s="27"/>
      <c r="H666" s="27"/>
      <c r="I666" s="27"/>
    </row>
    <row r="667">
      <c r="F667" s="27"/>
      <c r="G667" s="27"/>
      <c r="H667" s="27"/>
      <c r="I667" s="27"/>
    </row>
    <row r="668">
      <c r="F668" s="27"/>
      <c r="G668" s="27"/>
      <c r="H668" s="27"/>
      <c r="I668" s="27"/>
    </row>
    <row r="669">
      <c r="F669" s="27"/>
      <c r="G669" s="27"/>
      <c r="H669" s="27"/>
      <c r="I669" s="27"/>
    </row>
    <row r="670">
      <c r="F670" s="27"/>
      <c r="G670" s="27"/>
      <c r="H670" s="27"/>
      <c r="I670" s="27"/>
    </row>
    <row r="671">
      <c r="F671" s="27"/>
      <c r="G671" s="27"/>
      <c r="H671" s="27"/>
      <c r="I671" s="27"/>
    </row>
    <row r="672">
      <c r="F672" s="27"/>
      <c r="G672" s="27"/>
      <c r="H672" s="27"/>
      <c r="I672" s="27"/>
    </row>
    <row r="673">
      <c r="F673" s="27"/>
      <c r="G673" s="27"/>
      <c r="H673" s="27"/>
      <c r="I673" s="27"/>
    </row>
    <row r="674">
      <c r="F674" s="27"/>
      <c r="G674" s="27"/>
      <c r="H674" s="27"/>
      <c r="I674" s="27"/>
    </row>
    <row r="675">
      <c r="F675" s="27"/>
      <c r="G675" s="27"/>
      <c r="H675" s="27"/>
      <c r="I675" s="27"/>
    </row>
    <row r="676">
      <c r="F676" s="27"/>
      <c r="G676" s="27"/>
      <c r="H676" s="27"/>
      <c r="I676" s="27"/>
    </row>
    <row r="677">
      <c r="F677" s="27"/>
      <c r="G677" s="27"/>
      <c r="H677" s="27"/>
      <c r="I677" s="27"/>
    </row>
    <row r="678">
      <c r="F678" s="27"/>
      <c r="G678" s="27"/>
      <c r="H678" s="27"/>
      <c r="I678" s="27"/>
    </row>
    <row r="679">
      <c r="F679" s="27"/>
      <c r="G679" s="27"/>
      <c r="H679" s="27"/>
      <c r="I679" s="27"/>
    </row>
    <row r="680">
      <c r="F680" s="27"/>
      <c r="G680" s="27"/>
      <c r="H680" s="27"/>
      <c r="I680" s="27"/>
    </row>
    <row r="681">
      <c r="F681" s="27"/>
      <c r="G681" s="27"/>
      <c r="H681" s="27"/>
      <c r="I681" s="27"/>
    </row>
    <row r="682">
      <c r="F682" s="27"/>
      <c r="G682" s="27"/>
      <c r="H682" s="27"/>
      <c r="I682" s="27"/>
    </row>
    <row r="683">
      <c r="F683" s="27"/>
      <c r="G683" s="27"/>
      <c r="H683" s="27"/>
      <c r="I683" s="27"/>
    </row>
    <row r="684">
      <c r="F684" s="27"/>
      <c r="G684" s="27"/>
      <c r="H684" s="27"/>
      <c r="I684" s="27"/>
    </row>
    <row r="685">
      <c r="F685" s="27"/>
      <c r="G685" s="27"/>
      <c r="H685" s="27"/>
      <c r="I685" s="27"/>
    </row>
    <row r="686">
      <c r="F686" s="27"/>
      <c r="G686" s="27"/>
      <c r="H686" s="27"/>
      <c r="I686" s="27"/>
    </row>
    <row r="687">
      <c r="F687" s="27"/>
      <c r="G687" s="27"/>
      <c r="H687" s="27"/>
      <c r="I687" s="27"/>
    </row>
    <row r="688">
      <c r="F688" s="27"/>
      <c r="G688" s="27"/>
      <c r="H688" s="27"/>
      <c r="I688" s="27"/>
    </row>
    <row r="689">
      <c r="F689" s="27"/>
      <c r="G689" s="27"/>
      <c r="H689" s="27"/>
      <c r="I689" s="27"/>
    </row>
    <row r="690">
      <c r="F690" s="27"/>
      <c r="G690" s="27"/>
      <c r="H690" s="27"/>
      <c r="I690" s="27"/>
    </row>
    <row r="691">
      <c r="F691" s="27"/>
      <c r="G691" s="27"/>
      <c r="H691" s="27"/>
      <c r="I691" s="27"/>
    </row>
    <row r="692">
      <c r="F692" s="27"/>
      <c r="G692" s="27"/>
      <c r="H692" s="27"/>
      <c r="I692" s="27"/>
    </row>
    <row r="693">
      <c r="F693" s="27"/>
      <c r="G693" s="27"/>
      <c r="H693" s="27"/>
      <c r="I693" s="27"/>
    </row>
    <row r="694">
      <c r="F694" s="27"/>
      <c r="G694" s="27"/>
      <c r="H694" s="27"/>
      <c r="I694" s="27"/>
    </row>
    <row r="695">
      <c r="F695" s="27"/>
      <c r="G695" s="27"/>
      <c r="H695" s="27"/>
      <c r="I695" s="27"/>
    </row>
    <row r="696">
      <c r="F696" s="27"/>
      <c r="G696" s="27"/>
      <c r="H696" s="27"/>
      <c r="I696" s="27"/>
    </row>
    <row r="697">
      <c r="F697" s="27"/>
      <c r="G697" s="27"/>
      <c r="H697" s="27"/>
      <c r="I697" s="27"/>
    </row>
    <row r="698">
      <c r="F698" s="27"/>
      <c r="G698" s="27"/>
      <c r="H698" s="27"/>
      <c r="I698" s="27"/>
    </row>
    <row r="699">
      <c r="F699" s="27"/>
      <c r="G699" s="27"/>
      <c r="H699" s="27"/>
      <c r="I699" s="27"/>
    </row>
    <row r="700">
      <c r="F700" s="27"/>
      <c r="G700" s="27"/>
      <c r="H700" s="27"/>
      <c r="I700" s="27"/>
    </row>
    <row r="701">
      <c r="F701" s="27"/>
      <c r="G701" s="27"/>
      <c r="H701" s="27"/>
      <c r="I701" s="27"/>
    </row>
    <row r="702">
      <c r="F702" s="27"/>
      <c r="G702" s="27"/>
      <c r="H702" s="27"/>
      <c r="I702" s="27"/>
    </row>
    <row r="703">
      <c r="F703" s="27"/>
      <c r="G703" s="27"/>
      <c r="H703" s="27"/>
      <c r="I703" s="27"/>
    </row>
    <row r="704">
      <c r="F704" s="27"/>
      <c r="G704" s="27"/>
      <c r="H704" s="27"/>
      <c r="I704" s="27"/>
    </row>
    <row r="705">
      <c r="F705" s="27"/>
      <c r="G705" s="27"/>
      <c r="H705" s="27"/>
      <c r="I705" s="27"/>
    </row>
    <row r="706">
      <c r="F706" s="27"/>
      <c r="G706" s="27"/>
      <c r="H706" s="27"/>
      <c r="I706" s="27"/>
    </row>
    <row r="707">
      <c r="F707" s="27"/>
      <c r="G707" s="27"/>
      <c r="H707" s="27"/>
      <c r="I707" s="27"/>
    </row>
    <row r="708">
      <c r="F708" s="27"/>
      <c r="G708" s="27"/>
      <c r="H708" s="27"/>
      <c r="I708" s="27"/>
    </row>
    <row r="709">
      <c r="F709" s="27"/>
      <c r="G709" s="27"/>
      <c r="H709" s="27"/>
      <c r="I709" s="27"/>
    </row>
    <row r="710">
      <c r="F710" s="27"/>
      <c r="G710" s="27"/>
      <c r="H710" s="27"/>
      <c r="I710" s="27"/>
    </row>
    <row r="711">
      <c r="F711" s="27"/>
      <c r="G711" s="27"/>
      <c r="H711" s="27"/>
      <c r="I711" s="27"/>
    </row>
    <row r="712">
      <c r="F712" s="27"/>
      <c r="G712" s="27"/>
      <c r="H712" s="27"/>
      <c r="I712" s="27"/>
    </row>
    <row r="713">
      <c r="F713" s="27"/>
      <c r="G713" s="27"/>
      <c r="H713" s="27"/>
      <c r="I713" s="27"/>
    </row>
    <row r="714">
      <c r="F714" s="27"/>
      <c r="G714" s="27"/>
      <c r="H714" s="27"/>
      <c r="I714" s="27"/>
    </row>
    <row r="715">
      <c r="F715" s="27"/>
      <c r="G715" s="27"/>
      <c r="H715" s="27"/>
      <c r="I715" s="27"/>
    </row>
    <row r="716">
      <c r="F716" s="27"/>
      <c r="G716" s="27"/>
      <c r="H716" s="27"/>
      <c r="I716" s="27"/>
    </row>
    <row r="717">
      <c r="F717" s="27"/>
      <c r="G717" s="27"/>
      <c r="H717" s="27"/>
      <c r="I717" s="27"/>
    </row>
    <row r="718">
      <c r="F718" s="27"/>
      <c r="G718" s="27"/>
      <c r="H718" s="27"/>
      <c r="I718" s="27"/>
    </row>
    <row r="719">
      <c r="F719" s="27"/>
      <c r="G719" s="27"/>
      <c r="H719" s="27"/>
      <c r="I719" s="27"/>
    </row>
    <row r="720">
      <c r="F720" s="27"/>
      <c r="G720" s="27"/>
      <c r="H720" s="27"/>
      <c r="I720" s="27"/>
    </row>
    <row r="721">
      <c r="F721" s="27"/>
      <c r="G721" s="27"/>
      <c r="H721" s="27"/>
      <c r="I721" s="27"/>
    </row>
    <row r="722">
      <c r="F722" s="27"/>
      <c r="G722" s="27"/>
      <c r="H722" s="27"/>
      <c r="I722" s="27"/>
    </row>
    <row r="723">
      <c r="F723" s="27"/>
      <c r="G723" s="27"/>
      <c r="H723" s="27"/>
      <c r="I723" s="27"/>
    </row>
    <row r="724">
      <c r="F724" s="27"/>
      <c r="G724" s="27"/>
      <c r="H724" s="27"/>
      <c r="I724" s="27"/>
    </row>
    <row r="725">
      <c r="F725" s="27"/>
      <c r="G725" s="27"/>
      <c r="H725" s="27"/>
      <c r="I725" s="27"/>
    </row>
    <row r="726">
      <c r="F726" s="27"/>
      <c r="G726" s="27"/>
      <c r="H726" s="27"/>
      <c r="I726" s="27"/>
    </row>
    <row r="727">
      <c r="F727" s="27"/>
      <c r="G727" s="27"/>
      <c r="H727" s="27"/>
      <c r="I727" s="27"/>
    </row>
    <row r="728">
      <c r="F728" s="27"/>
      <c r="G728" s="27"/>
      <c r="H728" s="27"/>
      <c r="I728" s="27"/>
    </row>
    <row r="729">
      <c r="F729" s="27"/>
      <c r="G729" s="27"/>
      <c r="H729" s="27"/>
      <c r="I729" s="27"/>
    </row>
    <row r="730">
      <c r="F730" s="27"/>
      <c r="G730" s="27"/>
      <c r="H730" s="27"/>
      <c r="I730" s="27"/>
    </row>
    <row r="731">
      <c r="F731" s="27"/>
      <c r="G731" s="27"/>
      <c r="H731" s="27"/>
      <c r="I731" s="27"/>
    </row>
    <row r="732">
      <c r="F732" s="27"/>
      <c r="G732" s="27"/>
      <c r="H732" s="27"/>
      <c r="I732" s="27"/>
    </row>
    <row r="733">
      <c r="F733" s="27"/>
      <c r="G733" s="27"/>
      <c r="H733" s="27"/>
      <c r="I733" s="27"/>
    </row>
    <row r="734">
      <c r="F734" s="27"/>
      <c r="G734" s="27"/>
      <c r="H734" s="27"/>
      <c r="I734" s="27"/>
    </row>
    <row r="735">
      <c r="F735" s="27"/>
      <c r="G735" s="27"/>
      <c r="H735" s="27"/>
      <c r="I735" s="27"/>
    </row>
    <row r="736">
      <c r="F736" s="27"/>
      <c r="G736" s="27"/>
      <c r="H736" s="27"/>
      <c r="I736" s="27"/>
    </row>
    <row r="737">
      <c r="F737" s="27"/>
      <c r="G737" s="27"/>
      <c r="H737" s="27"/>
      <c r="I737" s="27"/>
    </row>
    <row r="738">
      <c r="F738" s="27"/>
      <c r="G738" s="27"/>
      <c r="H738" s="27"/>
      <c r="I738" s="27"/>
    </row>
    <row r="739">
      <c r="F739" s="27"/>
      <c r="G739" s="27"/>
      <c r="H739" s="27"/>
      <c r="I739" s="27"/>
    </row>
    <row r="740">
      <c r="F740" s="27"/>
      <c r="G740" s="27"/>
      <c r="H740" s="27"/>
      <c r="I740" s="27"/>
    </row>
    <row r="741">
      <c r="F741" s="27"/>
      <c r="G741" s="27"/>
      <c r="H741" s="27"/>
      <c r="I741" s="27"/>
    </row>
    <row r="742">
      <c r="F742" s="27"/>
      <c r="G742" s="27"/>
      <c r="H742" s="27"/>
      <c r="I742" s="27"/>
    </row>
    <row r="743">
      <c r="F743" s="27"/>
      <c r="G743" s="27"/>
      <c r="H743" s="27"/>
      <c r="I743" s="27"/>
    </row>
    <row r="744">
      <c r="F744" s="27"/>
      <c r="G744" s="27"/>
      <c r="H744" s="27"/>
      <c r="I744" s="27"/>
    </row>
    <row r="745">
      <c r="F745" s="27"/>
      <c r="G745" s="27"/>
      <c r="H745" s="27"/>
      <c r="I745" s="27"/>
    </row>
    <row r="746">
      <c r="F746" s="27"/>
      <c r="G746" s="27"/>
      <c r="H746" s="27"/>
      <c r="I746" s="27"/>
    </row>
    <row r="747">
      <c r="F747" s="27"/>
      <c r="G747" s="27"/>
      <c r="H747" s="27"/>
      <c r="I747" s="27"/>
    </row>
    <row r="748">
      <c r="F748" s="27"/>
      <c r="G748" s="27"/>
      <c r="H748" s="27"/>
      <c r="I748" s="27"/>
    </row>
    <row r="749">
      <c r="F749" s="27"/>
      <c r="G749" s="27"/>
      <c r="H749" s="27"/>
      <c r="I749" s="27"/>
    </row>
    <row r="750">
      <c r="F750" s="27"/>
      <c r="G750" s="27"/>
      <c r="H750" s="27"/>
      <c r="I750" s="27"/>
    </row>
    <row r="751">
      <c r="F751" s="27"/>
      <c r="G751" s="27"/>
      <c r="H751" s="27"/>
      <c r="I751" s="27"/>
    </row>
    <row r="752">
      <c r="F752" s="27"/>
      <c r="G752" s="27"/>
      <c r="H752" s="27"/>
      <c r="I752" s="27"/>
    </row>
    <row r="753">
      <c r="F753" s="27"/>
      <c r="G753" s="27"/>
      <c r="H753" s="27"/>
      <c r="I753" s="27"/>
    </row>
    <row r="754">
      <c r="F754" s="27"/>
      <c r="G754" s="27"/>
      <c r="H754" s="27"/>
      <c r="I754" s="27"/>
    </row>
    <row r="755">
      <c r="F755" s="27"/>
      <c r="G755" s="27"/>
      <c r="H755" s="27"/>
      <c r="I755" s="27"/>
    </row>
    <row r="756">
      <c r="F756" s="27"/>
      <c r="G756" s="27"/>
      <c r="H756" s="27"/>
      <c r="I756" s="27"/>
    </row>
    <row r="757">
      <c r="F757" s="27"/>
      <c r="G757" s="27"/>
      <c r="H757" s="27"/>
      <c r="I757" s="27"/>
    </row>
    <row r="758">
      <c r="F758" s="27"/>
      <c r="G758" s="27"/>
      <c r="H758" s="27"/>
      <c r="I758" s="27"/>
    </row>
    <row r="759">
      <c r="F759" s="27"/>
      <c r="G759" s="27"/>
      <c r="H759" s="27"/>
      <c r="I759" s="27"/>
    </row>
    <row r="760">
      <c r="F760" s="27"/>
      <c r="G760" s="27"/>
      <c r="H760" s="27"/>
      <c r="I760" s="27"/>
    </row>
    <row r="761">
      <c r="F761" s="27"/>
      <c r="G761" s="27"/>
      <c r="H761" s="27"/>
      <c r="I761" s="27"/>
    </row>
    <row r="762">
      <c r="F762" s="27"/>
      <c r="G762" s="27"/>
      <c r="H762" s="27"/>
      <c r="I762" s="27"/>
    </row>
    <row r="763">
      <c r="F763" s="27"/>
      <c r="G763" s="27"/>
      <c r="H763" s="27"/>
      <c r="I763" s="27"/>
    </row>
    <row r="764">
      <c r="F764" s="27"/>
      <c r="G764" s="27"/>
      <c r="H764" s="27"/>
      <c r="I764" s="27"/>
    </row>
    <row r="765">
      <c r="F765" s="27"/>
      <c r="G765" s="27"/>
      <c r="H765" s="27"/>
      <c r="I765" s="27"/>
    </row>
    <row r="766">
      <c r="F766" s="27"/>
      <c r="G766" s="27"/>
      <c r="H766" s="27"/>
      <c r="I766" s="27"/>
    </row>
    <row r="767">
      <c r="F767" s="27"/>
      <c r="G767" s="27"/>
      <c r="H767" s="27"/>
      <c r="I767" s="27"/>
    </row>
    <row r="768">
      <c r="F768" s="27"/>
      <c r="G768" s="27"/>
      <c r="H768" s="27"/>
      <c r="I768" s="27"/>
    </row>
    <row r="769">
      <c r="F769" s="27"/>
      <c r="G769" s="27"/>
      <c r="H769" s="27"/>
      <c r="I769" s="27"/>
    </row>
    <row r="770">
      <c r="F770" s="27"/>
      <c r="G770" s="27"/>
      <c r="H770" s="27"/>
      <c r="I770" s="27"/>
    </row>
    <row r="771">
      <c r="F771" s="27"/>
      <c r="G771" s="27"/>
      <c r="H771" s="27"/>
      <c r="I771" s="27"/>
    </row>
    <row r="772">
      <c r="F772" s="27"/>
      <c r="G772" s="27"/>
      <c r="H772" s="27"/>
      <c r="I772" s="27"/>
    </row>
    <row r="773">
      <c r="F773" s="27"/>
      <c r="G773" s="27"/>
      <c r="H773" s="27"/>
      <c r="I773" s="27"/>
    </row>
    <row r="774">
      <c r="F774" s="27"/>
      <c r="G774" s="27"/>
      <c r="H774" s="27"/>
      <c r="I774" s="27"/>
    </row>
    <row r="775">
      <c r="F775" s="27"/>
      <c r="G775" s="27"/>
      <c r="H775" s="27"/>
      <c r="I775" s="27"/>
    </row>
    <row r="776">
      <c r="F776" s="27"/>
      <c r="G776" s="27"/>
      <c r="H776" s="27"/>
      <c r="I776" s="27"/>
    </row>
    <row r="777">
      <c r="F777" s="27"/>
      <c r="G777" s="27"/>
      <c r="H777" s="27"/>
      <c r="I777" s="27"/>
    </row>
    <row r="778">
      <c r="F778" s="27"/>
      <c r="G778" s="27"/>
      <c r="H778" s="27"/>
      <c r="I778" s="27"/>
    </row>
    <row r="779">
      <c r="F779" s="27"/>
      <c r="G779" s="27"/>
      <c r="H779" s="27"/>
      <c r="I779" s="27"/>
    </row>
    <row r="780">
      <c r="F780" s="27"/>
      <c r="G780" s="27"/>
      <c r="H780" s="27"/>
      <c r="I780" s="27"/>
    </row>
    <row r="781">
      <c r="F781" s="27"/>
      <c r="G781" s="27"/>
      <c r="H781" s="27"/>
      <c r="I781" s="27"/>
    </row>
    <row r="782">
      <c r="F782" s="27"/>
      <c r="G782" s="27"/>
      <c r="H782" s="27"/>
      <c r="I782" s="27"/>
    </row>
    <row r="783">
      <c r="F783" s="27"/>
      <c r="G783" s="27"/>
      <c r="H783" s="27"/>
      <c r="I783" s="27"/>
    </row>
    <row r="784">
      <c r="F784" s="27"/>
      <c r="G784" s="27"/>
      <c r="H784" s="27"/>
      <c r="I784" s="27"/>
    </row>
    <row r="785">
      <c r="F785" s="27"/>
      <c r="G785" s="27"/>
      <c r="H785" s="27"/>
      <c r="I785" s="27"/>
    </row>
    <row r="786">
      <c r="F786" s="27"/>
      <c r="G786" s="27"/>
      <c r="H786" s="27"/>
      <c r="I786" s="27"/>
    </row>
    <row r="787">
      <c r="F787" s="27"/>
      <c r="G787" s="27"/>
      <c r="H787" s="27"/>
      <c r="I787" s="27"/>
    </row>
    <row r="788">
      <c r="F788" s="27"/>
      <c r="G788" s="27"/>
      <c r="H788" s="27"/>
      <c r="I788" s="27"/>
    </row>
    <row r="789">
      <c r="F789" s="27"/>
      <c r="G789" s="27"/>
      <c r="H789" s="27"/>
      <c r="I789" s="27"/>
    </row>
    <row r="790">
      <c r="F790" s="27"/>
      <c r="G790" s="27"/>
      <c r="H790" s="27"/>
      <c r="I790" s="27"/>
    </row>
    <row r="791">
      <c r="F791" s="27"/>
      <c r="G791" s="27"/>
      <c r="H791" s="27"/>
      <c r="I791" s="27"/>
    </row>
    <row r="792">
      <c r="F792" s="27"/>
      <c r="G792" s="27"/>
      <c r="H792" s="27"/>
      <c r="I792" s="27"/>
    </row>
    <row r="793">
      <c r="F793" s="27"/>
      <c r="G793" s="27"/>
      <c r="H793" s="27"/>
      <c r="I793" s="27"/>
    </row>
    <row r="794">
      <c r="F794" s="27"/>
      <c r="G794" s="27"/>
      <c r="H794" s="27"/>
      <c r="I794" s="27"/>
    </row>
    <row r="795">
      <c r="F795" s="27"/>
      <c r="G795" s="27"/>
      <c r="H795" s="27"/>
      <c r="I795" s="27"/>
    </row>
    <row r="796">
      <c r="F796" s="27"/>
      <c r="G796" s="27"/>
      <c r="H796" s="27"/>
      <c r="I796" s="27"/>
    </row>
    <row r="797">
      <c r="F797" s="27"/>
      <c r="G797" s="27"/>
      <c r="H797" s="27"/>
      <c r="I797" s="27"/>
    </row>
    <row r="798">
      <c r="F798" s="27"/>
      <c r="G798" s="27"/>
      <c r="H798" s="27"/>
      <c r="I798" s="27"/>
    </row>
    <row r="799">
      <c r="F799" s="27"/>
      <c r="G799" s="27"/>
      <c r="H799" s="27"/>
      <c r="I799" s="27"/>
    </row>
    <row r="800">
      <c r="F800" s="27"/>
      <c r="G800" s="27"/>
      <c r="H800" s="27"/>
      <c r="I800" s="27"/>
    </row>
    <row r="801">
      <c r="F801" s="27"/>
      <c r="G801" s="27"/>
      <c r="H801" s="27"/>
      <c r="I801" s="27"/>
    </row>
    <row r="802">
      <c r="F802" s="27"/>
      <c r="G802" s="27"/>
      <c r="H802" s="27"/>
      <c r="I802" s="27"/>
    </row>
    <row r="803">
      <c r="F803" s="27"/>
      <c r="G803" s="27"/>
      <c r="H803" s="27"/>
      <c r="I803" s="27"/>
    </row>
    <row r="804">
      <c r="F804" s="27"/>
      <c r="G804" s="27"/>
      <c r="H804" s="27"/>
      <c r="I804" s="27"/>
    </row>
    <row r="805">
      <c r="F805" s="27"/>
      <c r="G805" s="27"/>
      <c r="H805" s="27"/>
      <c r="I805" s="27"/>
    </row>
    <row r="806">
      <c r="F806" s="27"/>
      <c r="G806" s="27"/>
      <c r="H806" s="27"/>
      <c r="I806" s="27"/>
    </row>
    <row r="807">
      <c r="F807" s="27"/>
      <c r="G807" s="27"/>
      <c r="H807" s="27"/>
      <c r="I807" s="27"/>
    </row>
    <row r="808">
      <c r="F808" s="27"/>
      <c r="G808" s="27"/>
      <c r="H808" s="27"/>
      <c r="I808" s="27"/>
    </row>
    <row r="809">
      <c r="F809" s="27"/>
      <c r="G809" s="27"/>
      <c r="H809" s="27"/>
      <c r="I809" s="27"/>
    </row>
    <row r="810">
      <c r="F810" s="27"/>
      <c r="G810" s="27"/>
      <c r="H810" s="27"/>
      <c r="I810" s="27"/>
    </row>
    <row r="811">
      <c r="F811" s="27"/>
      <c r="G811" s="27"/>
      <c r="H811" s="27"/>
      <c r="I811" s="27"/>
    </row>
    <row r="812">
      <c r="F812" s="27"/>
      <c r="G812" s="27"/>
      <c r="H812" s="27"/>
      <c r="I812" s="27"/>
    </row>
    <row r="813">
      <c r="F813" s="27"/>
      <c r="G813" s="27"/>
      <c r="H813" s="27"/>
      <c r="I813" s="27"/>
    </row>
    <row r="814">
      <c r="F814" s="27"/>
      <c r="G814" s="27"/>
      <c r="H814" s="27"/>
      <c r="I814" s="27"/>
    </row>
    <row r="815">
      <c r="F815" s="27"/>
      <c r="G815" s="27"/>
      <c r="H815" s="27"/>
      <c r="I815" s="27"/>
    </row>
    <row r="816">
      <c r="F816" s="27"/>
      <c r="G816" s="27"/>
      <c r="H816" s="27"/>
      <c r="I816" s="27"/>
    </row>
    <row r="817">
      <c r="F817" s="27"/>
      <c r="G817" s="27"/>
      <c r="H817" s="27"/>
      <c r="I817" s="27"/>
    </row>
    <row r="818">
      <c r="F818" s="27"/>
      <c r="G818" s="27"/>
      <c r="H818" s="27"/>
      <c r="I818" s="27"/>
    </row>
    <row r="819">
      <c r="F819" s="27"/>
      <c r="G819" s="27"/>
      <c r="H819" s="27"/>
      <c r="I819" s="27"/>
    </row>
    <row r="820">
      <c r="F820" s="27"/>
      <c r="G820" s="27"/>
      <c r="H820" s="27"/>
      <c r="I820" s="27"/>
    </row>
    <row r="821">
      <c r="F821" s="27"/>
      <c r="G821" s="27"/>
      <c r="H821" s="27"/>
      <c r="I821" s="27"/>
    </row>
    <row r="822">
      <c r="F822" s="27"/>
      <c r="G822" s="27"/>
      <c r="H822" s="27"/>
      <c r="I822" s="27"/>
    </row>
    <row r="823">
      <c r="F823" s="27"/>
      <c r="G823" s="27"/>
      <c r="H823" s="27"/>
      <c r="I823" s="27"/>
    </row>
    <row r="824">
      <c r="F824" s="27"/>
      <c r="G824" s="27"/>
      <c r="H824" s="27"/>
      <c r="I824" s="27"/>
    </row>
    <row r="825">
      <c r="F825" s="27"/>
      <c r="G825" s="27"/>
      <c r="H825" s="27"/>
      <c r="I825" s="27"/>
    </row>
    <row r="826">
      <c r="F826" s="27"/>
      <c r="G826" s="27"/>
      <c r="H826" s="27"/>
      <c r="I826" s="27"/>
    </row>
    <row r="827">
      <c r="F827" s="27"/>
      <c r="G827" s="27"/>
      <c r="H827" s="27"/>
      <c r="I827" s="27"/>
    </row>
    <row r="828">
      <c r="F828" s="27"/>
      <c r="G828" s="27"/>
      <c r="H828" s="27"/>
      <c r="I828" s="27"/>
    </row>
    <row r="829">
      <c r="F829" s="27"/>
      <c r="G829" s="27"/>
      <c r="H829" s="27"/>
      <c r="I829" s="27"/>
    </row>
    <row r="830">
      <c r="F830" s="27"/>
      <c r="G830" s="27"/>
      <c r="H830" s="27"/>
      <c r="I830" s="27"/>
    </row>
    <row r="831">
      <c r="F831" s="27"/>
      <c r="G831" s="27"/>
      <c r="H831" s="27"/>
      <c r="I831" s="27"/>
    </row>
    <row r="832">
      <c r="F832" s="27"/>
      <c r="G832" s="27"/>
      <c r="H832" s="27"/>
      <c r="I832" s="27"/>
    </row>
    <row r="833">
      <c r="F833" s="27"/>
      <c r="G833" s="27"/>
      <c r="H833" s="27"/>
      <c r="I833" s="27"/>
    </row>
    <row r="834">
      <c r="F834" s="27"/>
      <c r="G834" s="27"/>
      <c r="H834" s="27"/>
      <c r="I834" s="27"/>
    </row>
    <row r="835">
      <c r="F835" s="27"/>
      <c r="G835" s="27"/>
      <c r="H835" s="27"/>
      <c r="I835" s="27"/>
    </row>
    <row r="836">
      <c r="F836" s="27"/>
      <c r="G836" s="27"/>
      <c r="H836" s="27"/>
      <c r="I836" s="27"/>
    </row>
    <row r="837">
      <c r="F837" s="27"/>
      <c r="G837" s="27"/>
      <c r="H837" s="27"/>
      <c r="I837" s="27"/>
    </row>
    <row r="838">
      <c r="F838" s="27"/>
      <c r="G838" s="27"/>
      <c r="H838" s="27"/>
      <c r="I838" s="27"/>
    </row>
    <row r="839">
      <c r="F839" s="27"/>
      <c r="G839" s="27"/>
      <c r="H839" s="27"/>
      <c r="I839" s="27"/>
    </row>
    <row r="840">
      <c r="F840" s="27"/>
      <c r="G840" s="27"/>
      <c r="H840" s="27"/>
      <c r="I840" s="27"/>
    </row>
    <row r="841">
      <c r="F841" s="27"/>
      <c r="G841" s="27"/>
      <c r="H841" s="27"/>
      <c r="I841" s="27"/>
    </row>
    <row r="842">
      <c r="F842" s="27"/>
      <c r="G842" s="27"/>
      <c r="H842" s="27"/>
      <c r="I842" s="27"/>
    </row>
    <row r="843">
      <c r="F843" s="27"/>
      <c r="G843" s="27"/>
      <c r="H843" s="27"/>
      <c r="I843" s="27"/>
    </row>
    <row r="844">
      <c r="F844" s="27"/>
      <c r="G844" s="27"/>
      <c r="H844" s="27"/>
      <c r="I844" s="27"/>
    </row>
    <row r="845">
      <c r="F845" s="27"/>
      <c r="G845" s="27"/>
      <c r="H845" s="27"/>
      <c r="I845" s="27"/>
    </row>
    <row r="846">
      <c r="F846" s="27"/>
      <c r="G846" s="27"/>
      <c r="H846" s="27"/>
      <c r="I846" s="27"/>
    </row>
    <row r="847">
      <c r="F847" s="27"/>
      <c r="G847" s="27"/>
      <c r="H847" s="27"/>
      <c r="I847" s="27"/>
    </row>
    <row r="848">
      <c r="F848" s="27"/>
      <c r="G848" s="27"/>
      <c r="H848" s="27"/>
      <c r="I848" s="27"/>
    </row>
    <row r="849">
      <c r="F849" s="27"/>
      <c r="G849" s="27"/>
      <c r="H849" s="27"/>
      <c r="I849" s="27"/>
    </row>
    <row r="850">
      <c r="F850" s="27"/>
      <c r="G850" s="27"/>
      <c r="H850" s="27"/>
      <c r="I850" s="27"/>
    </row>
    <row r="851">
      <c r="F851" s="27"/>
      <c r="G851" s="27"/>
      <c r="H851" s="27"/>
      <c r="I851" s="27"/>
    </row>
    <row r="852">
      <c r="F852" s="27"/>
      <c r="G852" s="27"/>
      <c r="H852" s="27"/>
      <c r="I852" s="27"/>
    </row>
    <row r="853">
      <c r="F853" s="27"/>
      <c r="G853" s="27"/>
      <c r="H853" s="27"/>
      <c r="I853" s="27"/>
    </row>
    <row r="854">
      <c r="F854" s="27"/>
      <c r="G854" s="27"/>
      <c r="H854" s="27"/>
      <c r="I854" s="27"/>
    </row>
    <row r="855">
      <c r="F855" s="27"/>
      <c r="G855" s="27"/>
      <c r="H855" s="27"/>
      <c r="I855" s="27"/>
    </row>
    <row r="856">
      <c r="F856" s="27"/>
      <c r="G856" s="27"/>
      <c r="H856" s="27"/>
      <c r="I856" s="27"/>
    </row>
    <row r="857">
      <c r="F857" s="27"/>
      <c r="G857" s="27"/>
      <c r="H857" s="27"/>
      <c r="I857" s="27"/>
    </row>
    <row r="858">
      <c r="F858" s="27"/>
      <c r="G858" s="27"/>
      <c r="H858" s="27"/>
      <c r="I858" s="27"/>
    </row>
    <row r="859">
      <c r="F859" s="27"/>
      <c r="G859" s="27"/>
      <c r="H859" s="27"/>
      <c r="I859" s="27"/>
    </row>
    <row r="860">
      <c r="F860" s="27"/>
      <c r="G860" s="27"/>
      <c r="H860" s="27"/>
      <c r="I860" s="27"/>
    </row>
    <row r="861">
      <c r="F861" s="27"/>
      <c r="G861" s="27"/>
      <c r="H861" s="27"/>
      <c r="I861" s="27"/>
    </row>
    <row r="862">
      <c r="F862" s="27"/>
      <c r="G862" s="27"/>
      <c r="H862" s="27"/>
      <c r="I862" s="27"/>
    </row>
    <row r="863">
      <c r="F863" s="27"/>
      <c r="G863" s="27"/>
      <c r="H863" s="27"/>
      <c r="I863" s="27"/>
    </row>
    <row r="864">
      <c r="F864" s="27"/>
      <c r="G864" s="27"/>
      <c r="H864" s="27"/>
      <c r="I864" s="27"/>
    </row>
    <row r="865">
      <c r="F865" s="27"/>
      <c r="G865" s="27"/>
      <c r="H865" s="27"/>
      <c r="I865" s="27"/>
    </row>
    <row r="866">
      <c r="F866" s="27"/>
      <c r="G866" s="27"/>
      <c r="H866" s="27"/>
      <c r="I866" s="27"/>
    </row>
    <row r="867">
      <c r="F867" s="27"/>
      <c r="G867" s="27"/>
      <c r="H867" s="27"/>
      <c r="I867" s="27"/>
    </row>
    <row r="868">
      <c r="F868" s="27"/>
      <c r="G868" s="27"/>
      <c r="H868" s="27"/>
      <c r="I868" s="27"/>
    </row>
    <row r="869">
      <c r="F869" s="27"/>
      <c r="G869" s="27"/>
      <c r="H869" s="27"/>
      <c r="I869" s="27"/>
    </row>
    <row r="870">
      <c r="F870" s="27"/>
      <c r="G870" s="27"/>
      <c r="H870" s="27"/>
      <c r="I870" s="27"/>
    </row>
    <row r="871">
      <c r="F871" s="27"/>
      <c r="G871" s="27"/>
      <c r="H871" s="27"/>
      <c r="I871" s="27"/>
    </row>
    <row r="872">
      <c r="F872" s="27"/>
      <c r="G872" s="27"/>
      <c r="H872" s="27"/>
      <c r="I872" s="27"/>
    </row>
    <row r="873">
      <c r="F873" s="27"/>
      <c r="G873" s="27"/>
      <c r="H873" s="27"/>
      <c r="I873" s="27"/>
    </row>
    <row r="874">
      <c r="F874" s="27"/>
      <c r="G874" s="27"/>
      <c r="H874" s="27"/>
      <c r="I874" s="27"/>
    </row>
    <row r="875">
      <c r="F875" s="27"/>
      <c r="G875" s="27"/>
      <c r="H875" s="27"/>
      <c r="I875" s="27"/>
    </row>
    <row r="876">
      <c r="F876" s="27"/>
      <c r="G876" s="27"/>
      <c r="H876" s="27"/>
      <c r="I876" s="27"/>
    </row>
    <row r="877">
      <c r="F877" s="27"/>
      <c r="G877" s="27"/>
      <c r="H877" s="27"/>
      <c r="I877" s="27"/>
    </row>
    <row r="878">
      <c r="F878" s="27"/>
      <c r="G878" s="27"/>
      <c r="H878" s="27"/>
      <c r="I878" s="27"/>
    </row>
    <row r="879">
      <c r="F879" s="27"/>
      <c r="G879" s="27"/>
      <c r="H879" s="27"/>
      <c r="I879" s="27"/>
    </row>
    <row r="880">
      <c r="F880" s="27"/>
      <c r="G880" s="27"/>
      <c r="H880" s="27"/>
      <c r="I880" s="27"/>
    </row>
    <row r="881">
      <c r="F881" s="27"/>
      <c r="G881" s="27"/>
      <c r="H881" s="27"/>
      <c r="I881" s="27"/>
    </row>
    <row r="882">
      <c r="F882" s="27"/>
      <c r="G882" s="27"/>
      <c r="H882" s="27"/>
      <c r="I882" s="27"/>
    </row>
    <row r="883">
      <c r="F883" s="27"/>
      <c r="G883" s="27"/>
      <c r="H883" s="27"/>
      <c r="I883" s="27"/>
    </row>
    <row r="884">
      <c r="F884" s="27"/>
      <c r="G884" s="27"/>
      <c r="H884" s="27"/>
      <c r="I884" s="27"/>
    </row>
    <row r="885">
      <c r="F885" s="27"/>
      <c r="G885" s="27"/>
      <c r="H885" s="27"/>
      <c r="I885" s="27"/>
    </row>
    <row r="886">
      <c r="F886" s="27"/>
      <c r="G886" s="27"/>
      <c r="H886" s="27"/>
      <c r="I886" s="27"/>
    </row>
    <row r="887">
      <c r="F887" s="27"/>
      <c r="G887" s="27"/>
      <c r="H887" s="27"/>
      <c r="I887" s="27"/>
    </row>
    <row r="888">
      <c r="F888" s="27"/>
      <c r="G888" s="27"/>
      <c r="H888" s="27"/>
      <c r="I888" s="27"/>
    </row>
    <row r="889">
      <c r="F889" s="27"/>
      <c r="G889" s="27"/>
      <c r="H889" s="27"/>
      <c r="I889" s="27"/>
    </row>
    <row r="890">
      <c r="F890" s="27"/>
      <c r="G890" s="27"/>
      <c r="H890" s="27"/>
      <c r="I890" s="27"/>
    </row>
    <row r="891">
      <c r="F891" s="27"/>
      <c r="G891" s="27"/>
      <c r="H891" s="27"/>
      <c r="I891" s="27"/>
    </row>
    <row r="892">
      <c r="F892" s="27"/>
      <c r="G892" s="27"/>
      <c r="H892" s="27"/>
      <c r="I892" s="27"/>
    </row>
    <row r="893">
      <c r="F893" s="27"/>
      <c r="G893" s="27"/>
      <c r="H893" s="27"/>
      <c r="I893" s="27"/>
    </row>
    <row r="894">
      <c r="F894" s="27"/>
      <c r="G894" s="27"/>
      <c r="H894" s="27"/>
      <c r="I894" s="27"/>
    </row>
    <row r="895">
      <c r="F895" s="27"/>
      <c r="G895" s="27"/>
      <c r="H895" s="27"/>
      <c r="I895" s="27"/>
    </row>
    <row r="896">
      <c r="F896" s="27"/>
      <c r="G896" s="27"/>
      <c r="H896" s="27"/>
      <c r="I896" s="27"/>
    </row>
    <row r="897">
      <c r="F897" s="27"/>
      <c r="G897" s="27"/>
      <c r="H897" s="27"/>
      <c r="I897" s="27"/>
    </row>
    <row r="898">
      <c r="F898" s="27"/>
      <c r="G898" s="27"/>
      <c r="H898" s="27"/>
      <c r="I898" s="27"/>
    </row>
    <row r="899">
      <c r="F899" s="27"/>
      <c r="G899" s="27"/>
      <c r="H899" s="27"/>
      <c r="I899" s="27"/>
    </row>
    <row r="900">
      <c r="F900" s="27"/>
      <c r="G900" s="27"/>
      <c r="H900" s="27"/>
      <c r="I900" s="27"/>
    </row>
    <row r="901">
      <c r="F901" s="27"/>
      <c r="G901" s="27"/>
      <c r="H901" s="27"/>
      <c r="I901" s="27"/>
    </row>
    <row r="902">
      <c r="F902" s="27"/>
      <c r="G902" s="27"/>
      <c r="H902" s="27"/>
      <c r="I902" s="27"/>
    </row>
    <row r="903">
      <c r="F903" s="27"/>
      <c r="G903" s="27"/>
      <c r="H903" s="27"/>
      <c r="I903" s="27"/>
    </row>
    <row r="904">
      <c r="F904" s="27"/>
      <c r="G904" s="27"/>
      <c r="H904" s="27"/>
      <c r="I904" s="27"/>
    </row>
    <row r="905">
      <c r="F905" s="27"/>
      <c r="G905" s="27"/>
      <c r="H905" s="27"/>
      <c r="I905" s="27"/>
    </row>
    <row r="906">
      <c r="F906" s="27"/>
      <c r="G906" s="27"/>
      <c r="H906" s="27"/>
      <c r="I906" s="27"/>
    </row>
    <row r="907">
      <c r="F907" s="27"/>
      <c r="G907" s="27"/>
      <c r="H907" s="27"/>
      <c r="I907" s="27"/>
    </row>
    <row r="908">
      <c r="F908" s="27"/>
      <c r="G908" s="27"/>
      <c r="H908" s="27"/>
      <c r="I908" s="27"/>
    </row>
    <row r="909">
      <c r="F909" s="27"/>
      <c r="G909" s="27"/>
      <c r="H909" s="27"/>
      <c r="I909" s="27"/>
    </row>
    <row r="910">
      <c r="F910" s="27"/>
      <c r="G910" s="27"/>
      <c r="H910" s="27"/>
      <c r="I910" s="27"/>
    </row>
    <row r="911">
      <c r="F911" s="27"/>
      <c r="G911" s="27"/>
      <c r="H911" s="27"/>
      <c r="I911" s="27"/>
    </row>
    <row r="912">
      <c r="F912" s="27"/>
      <c r="G912" s="27"/>
      <c r="H912" s="27"/>
      <c r="I912" s="27"/>
    </row>
    <row r="913">
      <c r="F913" s="27"/>
      <c r="G913" s="27"/>
      <c r="H913" s="27"/>
      <c r="I913" s="27"/>
    </row>
    <row r="914">
      <c r="F914" s="27"/>
      <c r="G914" s="27"/>
      <c r="H914" s="27"/>
      <c r="I914" s="27"/>
    </row>
    <row r="915">
      <c r="F915" s="27"/>
      <c r="G915" s="27"/>
      <c r="H915" s="27"/>
      <c r="I915" s="27"/>
    </row>
    <row r="916">
      <c r="F916" s="27"/>
      <c r="G916" s="27"/>
      <c r="H916" s="27"/>
      <c r="I916" s="27"/>
    </row>
    <row r="917">
      <c r="F917" s="27"/>
      <c r="G917" s="27"/>
      <c r="H917" s="27"/>
      <c r="I917" s="27"/>
    </row>
    <row r="918">
      <c r="F918" s="27"/>
      <c r="G918" s="27"/>
      <c r="H918" s="27"/>
      <c r="I918" s="27"/>
    </row>
    <row r="919">
      <c r="F919" s="27"/>
      <c r="G919" s="27"/>
      <c r="H919" s="27"/>
      <c r="I919" s="27"/>
    </row>
    <row r="920">
      <c r="F920" s="27"/>
      <c r="G920" s="27"/>
      <c r="H920" s="27"/>
      <c r="I920" s="27"/>
    </row>
    <row r="921">
      <c r="F921" s="27"/>
      <c r="G921" s="27"/>
      <c r="H921" s="27"/>
      <c r="I921" s="27"/>
    </row>
    <row r="922">
      <c r="F922" s="27"/>
      <c r="G922" s="27"/>
      <c r="H922" s="27"/>
      <c r="I922" s="27"/>
    </row>
    <row r="923">
      <c r="F923" s="27"/>
      <c r="G923" s="27"/>
      <c r="H923" s="27"/>
      <c r="I923" s="27"/>
    </row>
    <row r="924">
      <c r="F924" s="27"/>
      <c r="G924" s="27"/>
      <c r="H924" s="27"/>
      <c r="I924" s="27"/>
    </row>
    <row r="925">
      <c r="F925" s="27"/>
      <c r="G925" s="27"/>
      <c r="H925" s="27"/>
      <c r="I925" s="27"/>
    </row>
    <row r="926">
      <c r="F926" s="27"/>
      <c r="G926" s="27"/>
      <c r="H926" s="27"/>
      <c r="I926" s="27"/>
    </row>
    <row r="927">
      <c r="F927" s="27"/>
      <c r="G927" s="27"/>
      <c r="H927" s="27"/>
      <c r="I927" s="27"/>
    </row>
    <row r="928">
      <c r="F928" s="27"/>
      <c r="G928" s="27"/>
      <c r="H928" s="27"/>
      <c r="I928" s="27"/>
    </row>
    <row r="929">
      <c r="F929" s="27"/>
      <c r="G929" s="27"/>
      <c r="H929" s="27"/>
      <c r="I929" s="27"/>
    </row>
    <row r="930">
      <c r="F930" s="27"/>
      <c r="G930" s="27"/>
      <c r="H930" s="27"/>
      <c r="I930" s="27"/>
    </row>
    <row r="931">
      <c r="F931" s="27"/>
      <c r="G931" s="27"/>
      <c r="H931" s="27"/>
      <c r="I931" s="27"/>
    </row>
    <row r="932">
      <c r="F932" s="27"/>
      <c r="G932" s="27"/>
      <c r="H932" s="27"/>
      <c r="I932" s="27"/>
    </row>
    <row r="933">
      <c r="F933" s="27"/>
      <c r="G933" s="27"/>
      <c r="H933" s="27"/>
      <c r="I933" s="27"/>
    </row>
    <row r="934">
      <c r="F934" s="27"/>
      <c r="G934" s="27"/>
      <c r="H934" s="27"/>
      <c r="I934" s="27"/>
    </row>
    <row r="935">
      <c r="F935" s="27"/>
      <c r="G935" s="27"/>
      <c r="H935" s="27"/>
      <c r="I935" s="27"/>
    </row>
    <row r="936">
      <c r="F936" s="27"/>
      <c r="G936" s="27"/>
      <c r="H936" s="27"/>
      <c r="I936" s="27"/>
    </row>
    <row r="937">
      <c r="F937" s="27"/>
      <c r="G937" s="27"/>
      <c r="H937" s="27"/>
      <c r="I937" s="27"/>
    </row>
    <row r="938">
      <c r="F938" s="27"/>
      <c r="G938" s="27"/>
      <c r="H938" s="27"/>
      <c r="I938" s="27"/>
    </row>
    <row r="939">
      <c r="F939" s="27"/>
      <c r="G939" s="27"/>
      <c r="H939" s="27"/>
      <c r="I939" s="27"/>
    </row>
    <row r="940">
      <c r="F940" s="27"/>
      <c r="G940" s="27"/>
      <c r="H940" s="27"/>
      <c r="I940" s="27"/>
    </row>
    <row r="941">
      <c r="F941" s="27"/>
      <c r="G941" s="27"/>
      <c r="H941" s="27"/>
      <c r="I941" s="27"/>
    </row>
    <row r="942">
      <c r="F942" s="27"/>
      <c r="G942" s="27"/>
      <c r="H942" s="27"/>
      <c r="I942" s="27"/>
    </row>
    <row r="943">
      <c r="F943" s="27"/>
      <c r="G943" s="27"/>
      <c r="H943" s="27"/>
      <c r="I943" s="27"/>
    </row>
    <row r="944">
      <c r="F944" s="27"/>
      <c r="G944" s="27"/>
      <c r="H944" s="27"/>
      <c r="I944" s="27"/>
    </row>
    <row r="945">
      <c r="F945" s="27"/>
      <c r="G945" s="27"/>
      <c r="H945" s="27"/>
      <c r="I945" s="27"/>
    </row>
    <row r="946">
      <c r="F946" s="27"/>
      <c r="G946" s="27"/>
      <c r="H946" s="27"/>
      <c r="I946" s="27"/>
    </row>
    <row r="947">
      <c r="F947" s="27"/>
      <c r="G947" s="27"/>
      <c r="H947" s="27"/>
      <c r="I947" s="27"/>
    </row>
    <row r="948">
      <c r="F948" s="27"/>
      <c r="G948" s="27"/>
      <c r="H948" s="27"/>
      <c r="I948" s="27"/>
    </row>
    <row r="949">
      <c r="F949" s="27"/>
      <c r="G949" s="27"/>
      <c r="H949" s="27"/>
      <c r="I949" s="27"/>
    </row>
    <row r="950">
      <c r="F950" s="27"/>
      <c r="G950" s="27"/>
      <c r="H950" s="27"/>
      <c r="I950" s="27"/>
    </row>
    <row r="951">
      <c r="F951" s="27"/>
      <c r="G951" s="27"/>
      <c r="H951" s="27"/>
      <c r="I951" s="27"/>
    </row>
    <row r="952">
      <c r="F952" s="27"/>
      <c r="G952" s="27"/>
      <c r="H952" s="27"/>
      <c r="I952" s="27"/>
    </row>
    <row r="953">
      <c r="F953" s="27"/>
      <c r="G953" s="27"/>
      <c r="H953" s="27"/>
      <c r="I953" s="27"/>
    </row>
    <row r="954">
      <c r="F954" s="27"/>
      <c r="G954" s="27"/>
      <c r="H954" s="27"/>
      <c r="I954" s="27"/>
    </row>
    <row r="955">
      <c r="F955" s="27"/>
      <c r="G955" s="27"/>
      <c r="H955" s="27"/>
      <c r="I955" s="27"/>
    </row>
    <row r="956">
      <c r="F956" s="27"/>
      <c r="G956" s="27"/>
      <c r="H956" s="27"/>
      <c r="I956" s="27"/>
    </row>
    <row r="957">
      <c r="F957" s="27"/>
      <c r="G957" s="27"/>
      <c r="H957" s="27"/>
      <c r="I957" s="27"/>
    </row>
    <row r="958">
      <c r="F958" s="27"/>
      <c r="G958" s="27"/>
      <c r="H958" s="27"/>
      <c r="I958" s="27"/>
    </row>
    <row r="959">
      <c r="F959" s="27"/>
      <c r="G959" s="27"/>
      <c r="H959" s="27"/>
      <c r="I959" s="27"/>
    </row>
    <row r="960">
      <c r="F960" s="27"/>
      <c r="G960" s="27"/>
      <c r="H960" s="27"/>
      <c r="I960" s="27"/>
    </row>
    <row r="961">
      <c r="F961" s="27"/>
      <c r="G961" s="27"/>
      <c r="H961" s="27"/>
      <c r="I961" s="27"/>
    </row>
    <row r="962">
      <c r="F962" s="27"/>
      <c r="G962" s="27"/>
      <c r="H962" s="27"/>
      <c r="I962" s="27"/>
    </row>
    <row r="963">
      <c r="F963" s="27"/>
      <c r="G963" s="27"/>
      <c r="H963" s="27"/>
      <c r="I963" s="27"/>
    </row>
    <row r="964">
      <c r="F964" s="27"/>
      <c r="G964" s="27"/>
      <c r="H964" s="27"/>
      <c r="I964" s="27"/>
    </row>
    <row r="965">
      <c r="F965" s="27"/>
      <c r="G965" s="27"/>
      <c r="H965" s="27"/>
      <c r="I965" s="27"/>
    </row>
    <row r="966">
      <c r="F966" s="27"/>
      <c r="G966" s="27"/>
      <c r="H966" s="27"/>
      <c r="I966" s="27"/>
    </row>
    <row r="967">
      <c r="F967" s="27"/>
      <c r="G967" s="27"/>
      <c r="H967" s="27"/>
      <c r="I967" s="27"/>
    </row>
    <row r="968">
      <c r="F968" s="27"/>
      <c r="G968" s="27"/>
      <c r="H968" s="27"/>
      <c r="I968" s="27"/>
    </row>
    <row r="969">
      <c r="F969" s="27"/>
      <c r="G969" s="27"/>
      <c r="H969" s="27"/>
      <c r="I969" s="27"/>
    </row>
    <row r="970">
      <c r="F970" s="27"/>
      <c r="G970" s="27"/>
      <c r="H970" s="27"/>
      <c r="I970" s="27"/>
    </row>
    <row r="971">
      <c r="F971" s="27"/>
      <c r="G971" s="27"/>
      <c r="H971" s="27"/>
      <c r="I971" s="27"/>
    </row>
    <row r="972">
      <c r="F972" s="27"/>
      <c r="G972" s="27"/>
      <c r="H972" s="27"/>
      <c r="I972" s="27"/>
    </row>
    <row r="973">
      <c r="F973" s="27"/>
      <c r="G973" s="27"/>
      <c r="H973" s="27"/>
      <c r="I973" s="27"/>
    </row>
    <row r="974">
      <c r="F974" s="27"/>
      <c r="G974" s="27"/>
      <c r="H974" s="27"/>
      <c r="I974" s="27"/>
    </row>
    <row r="975">
      <c r="F975" s="27"/>
      <c r="G975" s="27"/>
      <c r="H975" s="27"/>
      <c r="I975" s="27"/>
    </row>
    <row r="976">
      <c r="F976" s="27"/>
      <c r="G976" s="27"/>
      <c r="H976" s="27"/>
      <c r="I976" s="27"/>
    </row>
    <row r="977">
      <c r="F977" s="27"/>
      <c r="G977" s="27"/>
      <c r="H977" s="27"/>
      <c r="I977" s="27"/>
    </row>
    <row r="978">
      <c r="F978" s="27"/>
      <c r="G978" s="27"/>
      <c r="H978" s="27"/>
      <c r="I978" s="27"/>
    </row>
    <row r="979">
      <c r="F979" s="27"/>
      <c r="G979" s="27"/>
      <c r="H979" s="27"/>
      <c r="I979" s="27"/>
    </row>
    <row r="980">
      <c r="F980" s="27"/>
      <c r="G980" s="27"/>
      <c r="H980" s="27"/>
      <c r="I980" s="27"/>
    </row>
    <row r="981">
      <c r="F981" s="27"/>
      <c r="G981" s="27"/>
      <c r="H981" s="27"/>
      <c r="I981" s="27"/>
    </row>
    <row r="982">
      <c r="F982" s="27"/>
      <c r="G982" s="27"/>
      <c r="H982" s="27"/>
      <c r="I982" s="27"/>
    </row>
    <row r="983">
      <c r="F983" s="27"/>
      <c r="G983" s="27"/>
      <c r="H983" s="27"/>
      <c r="I983" s="27"/>
    </row>
    <row r="984">
      <c r="F984" s="27"/>
      <c r="G984" s="27"/>
      <c r="H984" s="27"/>
      <c r="I984" s="27"/>
    </row>
    <row r="985">
      <c r="F985" s="27"/>
      <c r="G985" s="27"/>
      <c r="H985" s="27"/>
      <c r="I985" s="27"/>
    </row>
    <row r="986">
      <c r="F986" s="27"/>
      <c r="G986" s="27"/>
      <c r="H986" s="27"/>
      <c r="I986" s="27"/>
    </row>
    <row r="987">
      <c r="F987" s="27"/>
      <c r="G987" s="27"/>
      <c r="H987" s="27"/>
      <c r="I987" s="27"/>
    </row>
    <row r="988">
      <c r="F988" s="27"/>
      <c r="G988" s="27"/>
      <c r="H988" s="27"/>
      <c r="I988" s="27"/>
    </row>
    <row r="989">
      <c r="F989" s="27"/>
      <c r="G989" s="27"/>
      <c r="H989" s="27"/>
      <c r="I989" s="27"/>
    </row>
    <row r="990">
      <c r="F990" s="27"/>
      <c r="G990" s="27"/>
      <c r="H990" s="27"/>
      <c r="I990" s="27"/>
    </row>
    <row r="991">
      <c r="F991" s="27"/>
      <c r="G991" s="27"/>
      <c r="H991" s="27"/>
      <c r="I991" s="27"/>
    </row>
    <row r="992">
      <c r="F992" s="27"/>
      <c r="G992" s="27"/>
      <c r="H992" s="27"/>
      <c r="I992" s="27"/>
    </row>
    <row r="993">
      <c r="F993" s="27"/>
      <c r="G993" s="27"/>
      <c r="H993" s="27"/>
      <c r="I993" s="27"/>
    </row>
    <row r="994">
      <c r="F994" s="27"/>
      <c r="G994" s="27"/>
      <c r="H994" s="27"/>
      <c r="I994" s="27"/>
    </row>
    <row r="995">
      <c r="F995" s="27"/>
      <c r="G995" s="27"/>
      <c r="H995" s="27"/>
      <c r="I995" s="27"/>
    </row>
    <row r="996">
      <c r="F996" s="27"/>
      <c r="G996" s="27"/>
      <c r="H996" s="27"/>
      <c r="I996" s="27"/>
    </row>
    <row r="997">
      <c r="F997" s="27"/>
      <c r="G997" s="27"/>
      <c r="H997" s="27"/>
      <c r="I997" s="27"/>
    </row>
    <row r="998">
      <c r="F998" s="27"/>
      <c r="G998" s="27"/>
      <c r="H998" s="27"/>
      <c r="I998" s="27"/>
    </row>
    <row r="999">
      <c r="F999" s="27"/>
      <c r="G999" s="27"/>
      <c r="H999" s="27"/>
      <c r="I999" s="27"/>
    </row>
    <row r="1000">
      <c r="F1000" s="27"/>
      <c r="G1000" s="27"/>
      <c r="H1000" s="27"/>
      <c r="I1000" s="27"/>
    </row>
    <row r="1001">
      <c r="F1001" s="27"/>
      <c r="G1001" s="27"/>
      <c r="H1001" s="27"/>
      <c r="I1001" s="27"/>
    </row>
    <row r="1002">
      <c r="F1002" s="27"/>
      <c r="G1002" s="27"/>
      <c r="H1002" s="27"/>
      <c r="I1002" s="27"/>
    </row>
  </sheetData>
  <conditionalFormatting sqref="D44:E44 D53:G53">
    <cfRule type="cellIs" dxfId="0" priority="1" operator="lessThan">
      <formula>0</formula>
    </cfRule>
  </conditionalFormatting>
  <conditionalFormatting sqref="D53:E53">
    <cfRule type="cellIs" dxfId="0" priority="2" operator="lessThan">
      <formula>0</formula>
    </cfRule>
  </conditionalFormatting>
  <drawing r:id="rId2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9.38"/>
    <col customWidth="1" min="5" max="5" width="14.0"/>
    <col customWidth="1" min="6" max="6" width="14.63"/>
    <col customWidth="1" min="7" max="7" width="12.38"/>
    <col customWidth="1" min="8" max="8" width="13.25"/>
    <col customWidth="1" min="9" max="9" width="16.38"/>
    <col customWidth="1" min="10" max="10" width="20.63"/>
    <col customWidth="1" min="11" max="11" width="11.25"/>
    <col customWidth="1" min="12" max="12" width="9.25"/>
    <col customWidth="1" min="13" max="14" width="9.5"/>
    <col customWidth="1" min="17" max="17" width="9.88"/>
    <col customWidth="1" min="18" max="18" width="8.13"/>
  </cols>
  <sheetData>
    <row r="1">
      <c r="A1" s="18" t="s">
        <v>346</v>
      </c>
      <c r="B1" s="416" t="s">
        <v>296</v>
      </c>
      <c r="F1" s="107"/>
      <c r="G1" s="107"/>
      <c r="H1" s="107"/>
      <c r="I1" s="107"/>
      <c r="J1" s="417" t="s">
        <v>325</v>
      </c>
      <c r="K1" s="107"/>
    </row>
    <row r="2">
      <c r="B2" s="18" t="s">
        <v>240</v>
      </c>
      <c r="C2" s="249">
        <v>13.0</v>
      </c>
      <c r="F2" s="27"/>
      <c r="G2" s="26"/>
      <c r="H2" s="26"/>
      <c r="I2" s="26"/>
      <c r="J2" s="422" t="s">
        <v>119</v>
      </c>
      <c r="K2" s="302" t="s">
        <v>120</v>
      </c>
    </row>
    <row r="3">
      <c r="B3" s="18" t="s">
        <v>241</v>
      </c>
      <c r="C3" s="249">
        <v>70.7</v>
      </c>
      <c r="F3" s="107"/>
      <c r="G3" s="107"/>
      <c r="H3" s="107"/>
      <c r="I3" s="107"/>
      <c r="J3" s="423" t="s">
        <v>326</v>
      </c>
      <c r="K3" s="7" t="s">
        <v>327</v>
      </c>
    </row>
    <row r="4">
      <c r="B4" s="18" t="s">
        <v>242</v>
      </c>
      <c r="C4" s="249">
        <v>13.0</v>
      </c>
      <c r="D4" s="249"/>
      <c r="F4" s="26"/>
      <c r="G4" s="107"/>
      <c r="H4" s="107"/>
      <c r="I4" s="107"/>
      <c r="J4" s="423" t="s">
        <v>328</v>
      </c>
      <c r="K4" s="7" t="s">
        <v>329</v>
      </c>
      <c r="L4" s="107"/>
    </row>
    <row r="5">
      <c r="B5" s="18" t="s">
        <v>285</v>
      </c>
      <c r="C5" s="249">
        <v>42.0</v>
      </c>
      <c r="D5" s="249"/>
      <c r="F5" s="107"/>
      <c r="G5" s="107"/>
      <c r="H5" s="107"/>
      <c r="I5" s="107"/>
      <c r="J5" s="423"/>
      <c r="K5" s="7" t="s">
        <v>192</v>
      </c>
      <c r="L5" s="107"/>
    </row>
    <row r="6">
      <c r="B6" s="18" t="s">
        <v>324</v>
      </c>
      <c r="C6" s="249">
        <v>6.0</v>
      </c>
      <c r="F6" s="107"/>
      <c r="L6" s="107"/>
    </row>
    <row r="7">
      <c r="C7" s="276">
        <f>SUM(C2:C6)</f>
        <v>144.7</v>
      </c>
      <c r="D7" s="12">
        <f>C7-13</f>
        <v>131.7</v>
      </c>
      <c r="F7" s="107"/>
      <c r="L7" s="107"/>
    </row>
    <row r="8">
      <c r="L8" s="107"/>
    </row>
    <row r="9">
      <c r="L9" s="27"/>
    </row>
    <row r="10">
      <c r="H10" s="18" t="s">
        <v>366</v>
      </c>
      <c r="L10" s="107"/>
    </row>
    <row r="11">
      <c r="B11" s="55" t="s">
        <v>122</v>
      </c>
      <c r="C11" s="56"/>
      <c r="D11" s="140" t="s">
        <v>123</v>
      </c>
      <c r="E11" s="140" t="s">
        <v>124</v>
      </c>
      <c r="F11" s="140" t="s">
        <v>125</v>
      </c>
      <c r="G11" s="424" t="s">
        <v>126</v>
      </c>
      <c r="H11" s="140" t="s">
        <v>127</v>
      </c>
      <c r="L11" s="107"/>
      <c r="N11" s="18"/>
    </row>
    <row r="12">
      <c r="B12" s="59" t="s">
        <v>129</v>
      </c>
      <c r="C12" s="141"/>
      <c r="D12" s="113">
        <v>8402.26</v>
      </c>
      <c r="E12" s="113">
        <v>8473.39</v>
      </c>
      <c r="F12" s="113">
        <v>8402.26</v>
      </c>
      <c r="G12" s="425">
        <v>8402.26</v>
      </c>
      <c r="H12" s="113">
        <v>8661.72</v>
      </c>
      <c r="L12" s="107"/>
      <c r="N12" s="18"/>
    </row>
    <row r="13">
      <c r="B13" s="59" t="s">
        <v>136</v>
      </c>
      <c r="C13" s="141"/>
      <c r="D13" s="114">
        <f>2160+3349.61</f>
        <v>5509.61</v>
      </c>
      <c r="E13" s="114">
        <f>2160+3570.51</f>
        <v>5730.51</v>
      </c>
      <c r="F13" s="114">
        <f>2160+3544.87</f>
        <v>5704.87</v>
      </c>
      <c r="G13" s="426">
        <f>2230+3676.95</f>
        <v>5906.95</v>
      </c>
      <c r="H13" s="114">
        <f>2230+3690.95</f>
        <v>5920.95</v>
      </c>
      <c r="I13" s="407"/>
      <c r="J13" s="303"/>
      <c r="K13" s="107"/>
      <c r="L13" s="27"/>
      <c r="N13" s="18"/>
    </row>
    <row r="14">
      <c r="B14" s="59" t="s">
        <v>137</v>
      </c>
      <c r="C14" s="141"/>
      <c r="D14" s="115"/>
      <c r="E14" s="114"/>
      <c r="F14" s="115"/>
      <c r="G14" s="426"/>
      <c r="H14" s="115"/>
      <c r="I14" s="363"/>
      <c r="J14" s="363"/>
      <c r="K14" s="107"/>
      <c r="L14" s="107"/>
      <c r="N14" s="18"/>
    </row>
    <row r="15">
      <c r="B15" s="59" t="s">
        <v>138</v>
      </c>
      <c r="C15" s="141"/>
      <c r="D15" s="116"/>
      <c r="E15" s="117"/>
      <c r="F15" s="114">
        <f>16458.02+8673.34</f>
        <v>25131.36</v>
      </c>
      <c r="G15" s="426">
        <v>845.32</v>
      </c>
      <c r="H15" s="115"/>
      <c r="I15" s="32"/>
      <c r="J15" s="32"/>
      <c r="K15" s="107"/>
      <c r="L15" s="107"/>
      <c r="N15" s="18"/>
    </row>
    <row r="16">
      <c r="B16" s="142" t="s">
        <v>139</v>
      </c>
      <c r="C16" s="143"/>
      <c r="D16" s="144">
        <f t="shared" ref="D16:E16" si="1">SUM(D12:D15)</f>
        <v>13911.87</v>
      </c>
      <c r="E16" s="144">
        <f t="shared" si="1"/>
        <v>14203.9</v>
      </c>
      <c r="F16" s="144">
        <f>SUM(F12:F14)</f>
        <v>14107.13</v>
      </c>
      <c r="G16" s="428">
        <f t="shared" ref="G16:H16" si="2">SUM(G12:G15)</f>
        <v>15154.53</v>
      </c>
      <c r="H16" s="144">
        <f t="shared" si="2"/>
        <v>14582.67</v>
      </c>
      <c r="I16" s="257"/>
      <c r="J16" s="257"/>
      <c r="M16" s="27"/>
      <c r="N16" s="18"/>
      <c r="P16" s="107"/>
    </row>
    <row r="17">
      <c r="C17" s="27"/>
      <c r="I17" s="32"/>
      <c r="J17" s="32"/>
      <c r="K17" s="107"/>
      <c r="N17" s="18"/>
      <c r="P17" s="27"/>
    </row>
    <row r="18">
      <c r="B18" s="70" t="s">
        <v>140</v>
      </c>
      <c r="C18" s="71"/>
      <c r="D18" s="58" t="s">
        <v>123</v>
      </c>
      <c r="E18" s="58" t="s">
        <v>124</v>
      </c>
      <c r="F18" s="58" t="s">
        <v>125</v>
      </c>
      <c r="G18" s="430" t="s">
        <v>126</v>
      </c>
      <c r="H18" s="58" t="s">
        <v>127</v>
      </c>
      <c r="I18" s="418"/>
      <c r="J18" s="418" t="s">
        <v>331</v>
      </c>
      <c r="K18" s="192"/>
      <c r="N18" s="18"/>
    </row>
    <row r="19">
      <c r="B19" s="145" t="s">
        <v>141</v>
      </c>
      <c r="C19" s="146"/>
      <c r="D19" s="378">
        <v>410.0</v>
      </c>
      <c r="E19" s="378">
        <v>450.0</v>
      </c>
      <c r="F19" s="378">
        <v>450.0</v>
      </c>
      <c r="G19" s="446">
        <v>450.0</v>
      </c>
      <c r="H19" s="147">
        <v>450.0</v>
      </c>
      <c r="I19" s="192"/>
      <c r="J19" s="447"/>
      <c r="K19" s="448" t="s">
        <v>27</v>
      </c>
      <c r="L19" s="448" t="s">
        <v>274</v>
      </c>
      <c r="M19" s="448" t="s">
        <v>351</v>
      </c>
      <c r="N19" s="448" t="s">
        <v>333</v>
      </c>
      <c r="O19" s="449" t="s">
        <v>368</v>
      </c>
      <c r="P19" s="448" t="s">
        <v>48</v>
      </c>
      <c r="Q19" s="448" t="s">
        <v>383</v>
      </c>
      <c r="R19" s="448" t="s">
        <v>386</v>
      </c>
    </row>
    <row r="20">
      <c r="B20" s="145" t="s">
        <v>142</v>
      </c>
      <c r="C20" s="146"/>
      <c r="D20" s="378">
        <v>220.0</v>
      </c>
      <c r="E20" s="378">
        <v>220.0</v>
      </c>
      <c r="F20" s="378">
        <v>220.0</v>
      </c>
      <c r="G20" s="446">
        <v>220.0</v>
      </c>
      <c r="H20" s="431">
        <v>220.0</v>
      </c>
      <c r="I20" s="409"/>
      <c r="J20" s="450" t="s">
        <v>141</v>
      </c>
      <c r="K20" s="451"/>
      <c r="L20" s="452"/>
      <c r="M20" s="453">
        <v>450.0</v>
      </c>
      <c r="N20" s="452"/>
      <c r="O20" s="452"/>
      <c r="P20" s="452"/>
      <c r="Q20" s="452"/>
      <c r="R20" s="452"/>
    </row>
    <row r="21">
      <c r="B21" s="145" t="s">
        <v>143</v>
      </c>
      <c r="C21" s="146"/>
      <c r="D21" s="396">
        <v>139.9</v>
      </c>
      <c r="E21" s="396">
        <v>147.9</v>
      </c>
      <c r="F21" s="396">
        <v>147.9</v>
      </c>
      <c r="G21" s="454">
        <v>147.9</v>
      </c>
      <c r="H21" s="433">
        <v>147.9</v>
      </c>
      <c r="I21" s="409"/>
      <c r="J21" s="450" t="s">
        <v>142</v>
      </c>
      <c r="K21" s="451"/>
      <c r="L21" s="452"/>
      <c r="M21" s="453">
        <v>220.0</v>
      </c>
      <c r="N21" s="452"/>
      <c r="O21" s="452"/>
      <c r="P21" s="452"/>
      <c r="Q21" s="452"/>
      <c r="R21" s="452"/>
    </row>
    <row r="22">
      <c r="B22" s="145" t="s">
        <v>144</v>
      </c>
      <c r="C22" s="146"/>
      <c r="D22" s="378">
        <v>100.0</v>
      </c>
      <c r="E22" s="378">
        <v>100.0</v>
      </c>
      <c r="F22" s="378">
        <f t="shared" ref="F22:H22" si="3">E22</f>
        <v>100</v>
      </c>
      <c r="G22" s="446">
        <f t="shared" si="3"/>
        <v>100</v>
      </c>
      <c r="H22" s="431">
        <f t="shared" si="3"/>
        <v>100</v>
      </c>
      <c r="I22" s="409"/>
      <c r="J22" s="450" t="s">
        <v>143</v>
      </c>
      <c r="K22" s="451"/>
      <c r="L22" s="452"/>
      <c r="M22" s="453">
        <v>147.9</v>
      </c>
      <c r="N22" s="452"/>
      <c r="O22" s="452"/>
      <c r="P22" s="452"/>
      <c r="Q22" s="452"/>
      <c r="R22" s="452"/>
    </row>
    <row r="23">
      <c r="B23" s="145" t="s">
        <v>145</v>
      </c>
      <c r="C23" s="146"/>
      <c r="D23" s="378">
        <v>3004.8</v>
      </c>
      <c r="E23" s="378">
        <v>3004.8</v>
      </c>
      <c r="F23" s="378">
        <v>3004.8</v>
      </c>
      <c r="G23" s="446">
        <v>3004.8</v>
      </c>
      <c r="H23" s="431">
        <v>3004.8</v>
      </c>
      <c r="I23" s="409"/>
      <c r="J23" s="450" t="s">
        <v>144</v>
      </c>
      <c r="K23" s="451"/>
      <c r="L23" s="452"/>
      <c r="M23" s="453">
        <v>100.0</v>
      </c>
      <c r="N23" s="452"/>
      <c r="O23" s="452"/>
      <c r="P23" s="452"/>
      <c r="Q23" s="452"/>
      <c r="R23" s="452"/>
    </row>
    <row r="24">
      <c r="B24" s="145" t="s">
        <v>146</v>
      </c>
      <c r="C24" s="150" t="s">
        <v>136</v>
      </c>
      <c r="D24" s="378">
        <v>50.0</v>
      </c>
      <c r="E24" s="378">
        <v>0.0</v>
      </c>
      <c r="F24" s="378">
        <v>0.0</v>
      </c>
      <c r="G24" s="446"/>
      <c r="H24" s="431"/>
      <c r="I24" s="409"/>
      <c r="J24" s="450" t="s">
        <v>145</v>
      </c>
      <c r="K24" s="455">
        <v>3004.8</v>
      </c>
      <c r="L24" s="456"/>
      <c r="M24" s="451"/>
      <c r="N24" s="452"/>
      <c r="O24" s="452"/>
      <c r="P24" s="452"/>
      <c r="Q24" s="452"/>
      <c r="R24" s="452"/>
    </row>
    <row r="25">
      <c r="B25" s="145" t="s">
        <v>180</v>
      </c>
      <c r="C25" s="146"/>
      <c r="D25" s="378">
        <v>400.0</v>
      </c>
      <c r="E25" s="378">
        <v>400.0</v>
      </c>
      <c r="F25" s="378">
        <v>400.0</v>
      </c>
      <c r="G25" s="446">
        <v>400.0</v>
      </c>
      <c r="H25" s="431">
        <v>400.0</v>
      </c>
      <c r="I25" s="409"/>
      <c r="J25" s="450" t="s">
        <v>146</v>
      </c>
      <c r="K25" s="455"/>
      <c r="L25" s="457"/>
      <c r="M25" s="452"/>
      <c r="N25" s="452"/>
      <c r="O25" s="452"/>
      <c r="P25" s="452"/>
      <c r="Q25" s="452"/>
      <c r="R25" s="452"/>
    </row>
    <row r="26">
      <c r="B26" s="145" t="s">
        <v>148</v>
      </c>
      <c r="C26" s="146"/>
      <c r="D26" s="378">
        <v>600.0</v>
      </c>
      <c r="E26" s="378">
        <v>600.0</v>
      </c>
      <c r="F26" s="378">
        <v>600.0</v>
      </c>
      <c r="G26" s="446">
        <v>600.0</v>
      </c>
      <c r="H26" s="431">
        <v>600.0</v>
      </c>
      <c r="I26" s="409"/>
      <c r="J26" s="450" t="s">
        <v>180</v>
      </c>
      <c r="K26" s="451"/>
      <c r="L26" s="456"/>
      <c r="M26" s="452"/>
      <c r="N26" s="452"/>
      <c r="O26" s="452"/>
      <c r="P26" s="452"/>
      <c r="Q26" s="452"/>
      <c r="R26" s="458">
        <v>400.0</v>
      </c>
    </row>
    <row r="27">
      <c r="B27" s="145" t="s">
        <v>149</v>
      </c>
      <c r="C27" s="146"/>
      <c r="D27" s="378">
        <v>500.0</v>
      </c>
      <c r="E27" s="378">
        <v>500.0</v>
      </c>
      <c r="F27" s="378">
        <f t="shared" ref="F27:H27" si="4">E27</f>
        <v>500</v>
      </c>
      <c r="G27" s="446">
        <f t="shared" si="4"/>
        <v>500</v>
      </c>
      <c r="H27" s="431">
        <f t="shared" si="4"/>
        <v>500</v>
      </c>
      <c r="I27" s="409"/>
      <c r="J27" s="450" t="s">
        <v>148</v>
      </c>
      <c r="K27" s="451"/>
      <c r="L27" s="456"/>
      <c r="M27" s="453">
        <v>600.0</v>
      </c>
      <c r="N27" s="452"/>
      <c r="O27" s="452"/>
      <c r="P27" s="452"/>
      <c r="Q27" s="452"/>
      <c r="R27" s="452"/>
    </row>
    <row r="28">
      <c r="B28" s="145" t="s">
        <v>181</v>
      </c>
      <c r="C28" s="146"/>
      <c r="D28" s="378">
        <v>150.0</v>
      </c>
      <c r="E28" s="378">
        <v>150.0</v>
      </c>
      <c r="F28" s="378">
        <v>150.0</v>
      </c>
      <c r="G28" s="446">
        <v>150.0</v>
      </c>
      <c r="H28" s="431">
        <v>150.0</v>
      </c>
      <c r="I28" s="409"/>
      <c r="J28" s="450" t="s">
        <v>149</v>
      </c>
      <c r="K28" s="451"/>
      <c r="L28" s="456"/>
      <c r="M28" s="453">
        <v>500.0</v>
      </c>
      <c r="N28" s="452"/>
      <c r="O28" s="452"/>
      <c r="P28" s="452"/>
      <c r="Q28" s="452"/>
      <c r="R28" s="452"/>
    </row>
    <row r="29">
      <c r="B29" s="145" t="s">
        <v>150</v>
      </c>
      <c r="C29" s="146"/>
      <c r="D29" s="378">
        <v>400.0</v>
      </c>
      <c r="E29" s="378">
        <v>400.0</v>
      </c>
      <c r="F29" s="378">
        <f t="shared" ref="F29:H29" si="5">E29</f>
        <v>400</v>
      </c>
      <c r="G29" s="446">
        <f t="shared" si="5"/>
        <v>400</v>
      </c>
      <c r="H29" s="431">
        <f t="shared" si="5"/>
        <v>400</v>
      </c>
      <c r="I29" s="409"/>
      <c r="J29" s="450" t="s">
        <v>181</v>
      </c>
      <c r="K29" s="451"/>
      <c r="L29" s="456"/>
      <c r="M29" s="453">
        <v>150.0</v>
      </c>
      <c r="N29" s="452"/>
      <c r="O29" s="452"/>
      <c r="P29" s="452"/>
      <c r="Q29" s="452"/>
      <c r="R29" s="452"/>
    </row>
    <row r="30">
      <c r="B30" s="145" t="s">
        <v>182</v>
      </c>
      <c r="C30" s="146"/>
      <c r="D30" s="378">
        <v>160.0</v>
      </c>
      <c r="E30" s="378">
        <v>160.0</v>
      </c>
      <c r="F30" s="378">
        <v>160.0</v>
      </c>
      <c r="G30" s="446">
        <v>160.0</v>
      </c>
      <c r="H30" s="431">
        <v>160.0</v>
      </c>
      <c r="I30" s="409"/>
      <c r="J30" s="450" t="s">
        <v>150</v>
      </c>
      <c r="K30" s="451"/>
      <c r="L30" s="458">
        <v>400.0</v>
      </c>
      <c r="M30" s="452"/>
      <c r="N30" s="452"/>
      <c r="O30" s="452"/>
      <c r="P30" s="452"/>
      <c r="Q30" s="452"/>
      <c r="R30" s="452"/>
    </row>
    <row r="31">
      <c r="B31" s="145" t="s">
        <v>183</v>
      </c>
      <c r="C31" s="146"/>
      <c r="D31" s="378">
        <v>400.0</v>
      </c>
      <c r="E31" s="378">
        <v>400.0</v>
      </c>
      <c r="F31" s="378">
        <v>400.0</v>
      </c>
      <c r="G31" s="446">
        <v>400.0</v>
      </c>
      <c r="H31" s="431">
        <v>400.0</v>
      </c>
      <c r="I31" s="409"/>
      <c r="J31" s="450" t="s">
        <v>182</v>
      </c>
      <c r="K31" s="451"/>
      <c r="L31" s="456"/>
      <c r="M31" s="452"/>
      <c r="N31" s="452"/>
      <c r="O31" s="458">
        <v>160.0</v>
      </c>
      <c r="P31" s="452"/>
      <c r="Q31" s="452"/>
      <c r="R31" s="452"/>
    </row>
    <row r="32">
      <c r="B32" s="145" t="s">
        <v>152</v>
      </c>
      <c r="C32" s="146"/>
      <c r="D32" s="390"/>
      <c r="E32" s="378"/>
      <c r="F32" s="378"/>
      <c r="G32" s="459"/>
      <c r="H32" s="431"/>
      <c r="I32" s="409"/>
      <c r="J32" s="450" t="s">
        <v>183</v>
      </c>
      <c r="K32" s="451"/>
      <c r="L32" s="460"/>
      <c r="M32" s="452"/>
      <c r="N32" s="452"/>
      <c r="O32" s="458">
        <v>400.0</v>
      </c>
      <c r="P32" s="452"/>
      <c r="Q32" s="452"/>
      <c r="R32" s="452"/>
    </row>
    <row r="33">
      <c r="B33" s="145" t="s">
        <v>154</v>
      </c>
      <c r="C33" s="146"/>
      <c r="D33" s="390">
        <v>136.92</v>
      </c>
      <c r="E33" s="390">
        <v>136.92</v>
      </c>
      <c r="F33" s="390">
        <v>136.92</v>
      </c>
      <c r="G33" s="446">
        <v>144.7</v>
      </c>
      <c r="H33" s="431">
        <v>144.7</v>
      </c>
      <c r="I33" s="409"/>
      <c r="J33" s="450" t="s">
        <v>152</v>
      </c>
      <c r="K33" s="455"/>
      <c r="L33" s="456"/>
      <c r="M33" s="452"/>
      <c r="N33" s="452"/>
      <c r="O33" s="452"/>
      <c r="P33" s="452"/>
      <c r="Q33" s="452"/>
      <c r="R33" s="452"/>
    </row>
    <row r="34">
      <c r="B34" s="145" t="s">
        <v>155</v>
      </c>
      <c r="C34" s="146"/>
      <c r="D34" s="390"/>
      <c r="E34" s="390"/>
      <c r="F34" s="378" t="str">
        <f t="shared" ref="F34:H34" si="6">E34</f>
        <v/>
      </c>
      <c r="G34" s="446" t="str">
        <f t="shared" si="6"/>
        <v/>
      </c>
      <c r="H34" s="431" t="str">
        <f t="shared" si="6"/>
        <v/>
      </c>
      <c r="I34" s="409"/>
      <c r="J34" s="450" t="s">
        <v>154</v>
      </c>
      <c r="K34" s="457">
        <v>131.7</v>
      </c>
      <c r="L34" s="457">
        <v>13.0</v>
      </c>
      <c r="M34" s="452"/>
      <c r="N34" s="452"/>
      <c r="O34" s="452"/>
      <c r="P34" s="452"/>
      <c r="Q34" s="452"/>
      <c r="R34" s="452"/>
    </row>
    <row r="35">
      <c r="B35" s="145" t="s">
        <v>156</v>
      </c>
      <c r="C35" s="146"/>
      <c r="D35" s="378">
        <v>100.0</v>
      </c>
      <c r="E35" s="378">
        <v>100.0</v>
      </c>
      <c r="F35" s="390"/>
      <c r="G35" s="446">
        <v>100.0</v>
      </c>
      <c r="H35" s="431">
        <v>600.0</v>
      </c>
      <c r="I35" s="409"/>
      <c r="J35" s="450" t="s">
        <v>155</v>
      </c>
      <c r="K35" s="455"/>
      <c r="L35" s="456"/>
      <c r="M35" s="452"/>
      <c r="N35" s="452"/>
      <c r="O35" s="452"/>
      <c r="P35" s="452"/>
      <c r="Q35" s="452"/>
      <c r="R35" s="452"/>
    </row>
    <row r="36">
      <c r="B36" s="145" t="s">
        <v>157</v>
      </c>
      <c r="C36" s="146"/>
      <c r="D36" s="378">
        <v>50.0</v>
      </c>
      <c r="E36" s="378">
        <v>50.0</v>
      </c>
      <c r="F36" s="378">
        <f t="shared" ref="F36:H36" si="7">E36</f>
        <v>50</v>
      </c>
      <c r="G36" s="446">
        <f t="shared" si="7"/>
        <v>50</v>
      </c>
      <c r="H36" s="431">
        <f t="shared" si="7"/>
        <v>50</v>
      </c>
      <c r="I36" s="409"/>
      <c r="J36" s="450" t="s">
        <v>156</v>
      </c>
      <c r="K36" s="458"/>
      <c r="L36" s="458">
        <v>500.0</v>
      </c>
      <c r="M36" s="452"/>
      <c r="N36" s="452"/>
      <c r="O36" s="458">
        <v>100.0</v>
      </c>
      <c r="P36" s="452"/>
      <c r="Q36" s="452"/>
      <c r="R36" s="452"/>
      <c r="S36" s="18"/>
    </row>
    <row r="37">
      <c r="B37" s="145" t="s">
        <v>158</v>
      </c>
      <c r="C37" s="146"/>
      <c r="D37" s="390"/>
      <c r="E37" s="390"/>
      <c r="F37" s="378" t="str">
        <f t="shared" ref="F37:H37" si="8">E37</f>
        <v/>
      </c>
      <c r="G37" s="446" t="str">
        <f t="shared" si="8"/>
        <v/>
      </c>
      <c r="H37" s="431" t="str">
        <f t="shared" si="8"/>
        <v/>
      </c>
      <c r="I37" s="409"/>
      <c r="J37" s="450" t="s">
        <v>157</v>
      </c>
      <c r="K37" s="451"/>
      <c r="L37" s="456"/>
      <c r="M37" s="452"/>
      <c r="N37" s="452"/>
      <c r="O37" s="452"/>
      <c r="P37" s="452"/>
      <c r="Q37" s="458">
        <v>50.0</v>
      </c>
      <c r="R37" s="456"/>
      <c r="S37" s="18"/>
    </row>
    <row r="38">
      <c r="B38" s="145" t="s">
        <v>159</v>
      </c>
      <c r="C38" s="146"/>
      <c r="D38" s="378">
        <v>800.0</v>
      </c>
      <c r="E38" s="378">
        <v>800.0</v>
      </c>
      <c r="F38" s="378">
        <v>800.0</v>
      </c>
      <c r="G38" s="446">
        <v>800.0</v>
      </c>
      <c r="H38" s="431">
        <v>800.0</v>
      </c>
      <c r="I38" s="409"/>
      <c r="J38" s="450" t="s">
        <v>158</v>
      </c>
      <c r="K38" s="455"/>
      <c r="L38" s="456"/>
      <c r="M38" s="452"/>
      <c r="N38" s="452"/>
      <c r="O38" s="452"/>
      <c r="P38" s="452"/>
      <c r="Q38" s="452"/>
      <c r="R38" s="452"/>
    </row>
    <row r="39">
      <c r="B39" s="145" t="s">
        <v>160</v>
      </c>
      <c r="C39" s="146"/>
      <c r="D39" s="378">
        <v>3000.0</v>
      </c>
      <c r="E39" s="378">
        <v>3000.0</v>
      </c>
      <c r="F39" s="378">
        <f t="shared" ref="F39:H39" si="9">E39</f>
        <v>3000</v>
      </c>
      <c r="G39" s="446">
        <f t="shared" si="9"/>
        <v>3000</v>
      </c>
      <c r="H39" s="431">
        <f t="shared" si="9"/>
        <v>3000</v>
      </c>
      <c r="I39" s="409"/>
      <c r="J39" s="450" t="s">
        <v>159</v>
      </c>
      <c r="K39" s="455">
        <v>400.0</v>
      </c>
      <c r="L39" s="455">
        <v>400.0</v>
      </c>
      <c r="M39" s="452"/>
      <c r="N39" s="452"/>
      <c r="O39" s="452"/>
      <c r="P39" s="452"/>
      <c r="Q39" s="452"/>
      <c r="R39" s="452"/>
    </row>
    <row r="40">
      <c r="B40" s="145" t="s">
        <v>184</v>
      </c>
      <c r="C40" s="146"/>
      <c r="D40" s="378">
        <v>700.0</v>
      </c>
      <c r="E40" s="378">
        <v>700.0</v>
      </c>
      <c r="F40" s="378">
        <v>700.0</v>
      </c>
      <c r="G40" s="446">
        <v>700.0</v>
      </c>
      <c r="H40" s="431">
        <v>700.0</v>
      </c>
      <c r="I40" s="409"/>
      <c r="J40" s="450" t="s">
        <v>160</v>
      </c>
      <c r="K40" s="455">
        <v>1500.0</v>
      </c>
      <c r="L40" s="455">
        <v>1500.0</v>
      </c>
      <c r="M40" s="452"/>
      <c r="N40" s="452"/>
      <c r="O40" s="452"/>
      <c r="P40" s="452"/>
      <c r="Q40" s="452"/>
      <c r="R40" s="452"/>
    </row>
    <row r="41">
      <c r="B41" s="145" t="s">
        <v>3</v>
      </c>
      <c r="C41" s="146"/>
      <c r="D41" s="378">
        <v>500.0</v>
      </c>
      <c r="E41" s="378">
        <v>500.0</v>
      </c>
      <c r="F41" s="378">
        <v>500.0</v>
      </c>
      <c r="G41" s="446">
        <v>500.0</v>
      </c>
      <c r="H41" s="431">
        <v>500.0</v>
      </c>
      <c r="I41" s="409"/>
      <c r="J41" s="450" t="s">
        <v>184</v>
      </c>
      <c r="K41" s="451"/>
      <c r="L41" s="456"/>
      <c r="M41" s="452"/>
      <c r="N41" s="458">
        <v>700.0</v>
      </c>
      <c r="O41" s="452"/>
      <c r="P41" s="452"/>
      <c r="Q41" s="452"/>
      <c r="R41" s="452"/>
    </row>
    <row r="42">
      <c r="B42" s="152" t="s">
        <v>161</v>
      </c>
      <c r="C42" s="153"/>
      <c r="D42" s="154">
        <f t="shared" ref="D42:H42" si="10">SUM(D19:D41)*-1</f>
        <v>-11821.62</v>
      </c>
      <c r="E42" s="154">
        <f t="shared" si="10"/>
        <v>-11819.62</v>
      </c>
      <c r="F42" s="154">
        <f t="shared" si="10"/>
        <v>-11719.62</v>
      </c>
      <c r="G42" s="435">
        <f t="shared" si="10"/>
        <v>-11827.4</v>
      </c>
      <c r="H42" s="435">
        <f t="shared" si="10"/>
        <v>-12327.4</v>
      </c>
      <c r="I42" s="409"/>
      <c r="J42" s="450" t="s">
        <v>3</v>
      </c>
      <c r="K42" s="451"/>
      <c r="L42" s="452"/>
      <c r="M42" s="452"/>
      <c r="N42" s="458">
        <v>500.0</v>
      </c>
      <c r="O42" s="452"/>
      <c r="P42" s="452"/>
      <c r="Q42" s="452"/>
      <c r="R42" s="452"/>
    </row>
    <row r="43">
      <c r="C43" s="27"/>
      <c r="I43" s="409"/>
      <c r="J43" s="450" t="s">
        <v>385</v>
      </c>
      <c r="K43" s="461"/>
      <c r="L43" s="451"/>
      <c r="M43" s="451"/>
      <c r="N43" s="458">
        <v>200.0</v>
      </c>
      <c r="O43" s="451"/>
      <c r="P43" s="451"/>
      <c r="Q43" s="451"/>
      <c r="R43" s="451"/>
    </row>
    <row r="44">
      <c r="B44" s="156" t="s">
        <v>162</v>
      </c>
      <c r="C44" s="157"/>
      <c r="D44" s="158">
        <f t="shared" ref="D44:H44" si="11">D16+D42</f>
        <v>2090.25</v>
      </c>
      <c r="E44" s="158">
        <f t="shared" si="11"/>
        <v>2384.28</v>
      </c>
      <c r="F44" s="158">
        <f t="shared" si="11"/>
        <v>2387.51</v>
      </c>
      <c r="G44" s="436">
        <f t="shared" si="11"/>
        <v>3327.13</v>
      </c>
      <c r="H44" s="158">
        <f t="shared" si="11"/>
        <v>2255.27</v>
      </c>
      <c r="I44" s="18"/>
      <c r="J44" s="462" t="s">
        <v>382</v>
      </c>
      <c r="K44" s="451"/>
      <c r="L44" s="452"/>
      <c r="M44" s="452"/>
      <c r="N44" s="458">
        <v>724.25</v>
      </c>
      <c r="O44" s="452"/>
      <c r="P44" s="458">
        <f>1531.02-N43</f>
        <v>1331.02</v>
      </c>
      <c r="Q44" s="452"/>
      <c r="R44" s="452"/>
    </row>
    <row r="45">
      <c r="B45" s="83"/>
      <c r="C45" s="159"/>
      <c r="D45" s="84"/>
      <c r="E45" s="84"/>
      <c r="F45" s="84"/>
      <c r="G45" s="84"/>
      <c r="H45" s="84"/>
      <c r="I45" s="107"/>
      <c r="J45" s="463" t="s">
        <v>26</v>
      </c>
      <c r="K45" s="464">
        <f t="shared" ref="K45:R45" si="12">SUM(K20:K44)</f>
        <v>5036.5</v>
      </c>
      <c r="L45" s="465">
        <f t="shared" si="12"/>
        <v>2813</v>
      </c>
      <c r="M45" s="465">
        <f t="shared" si="12"/>
        <v>2167.9</v>
      </c>
      <c r="N45" s="465">
        <f t="shared" si="12"/>
        <v>2124.25</v>
      </c>
      <c r="O45" s="465">
        <f t="shared" si="12"/>
        <v>660</v>
      </c>
      <c r="P45" s="465">
        <f t="shared" si="12"/>
        <v>1331.02</v>
      </c>
      <c r="Q45" s="465">
        <f t="shared" si="12"/>
        <v>50</v>
      </c>
      <c r="R45" s="465">
        <f t="shared" si="12"/>
        <v>400</v>
      </c>
    </row>
    <row r="46">
      <c r="B46" s="85" t="s">
        <v>163</v>
      </c>
      <c r="C46" s="160"/>
      <c r="D46" s="161" t="s">
        <v>123</v>
      </c>
      <c r="E46" s="161" t="s">
        <v>124</v>
      </c>
      <c r="F46" s="161" t="s">
        <v>125</v>
      </c>
      <c r="G46" s="437" t="s">
        <v>126</v>
      </c>
      <c r="H46" s="161" t="s">
        <v>127</v>
      </c>
      <c r="I46" s="107"/>
      <c r="J46" s="107" t="s">
        <v>371</v>
      </c>
      <c r="K46" s="415">
        <f>H12-K45</f>
        <v>3625.22</v>
      </c>
      <c r="L46" s="466">
        <f>3690.95-L45</f>
        <v>877.95</v>
      </c>
      <c r="M46" s="287"/>
    </row>
    <row r="47">
      <c r="B47" s="162"/>
      <c r="C47" s="163"/>
      <c r="D47" s="164"/>
      <c r="E47" s="164"/>
      <c r="F47" s="165"/>
      <c r="G47" s="438"/>
      <c r="H47" s="165"/>
      <c r="I47" s="248"/>
      <c r="J47" s="325" t="s">
        <v>353</v>
      </c>
    </row>
    <row r="48">
      <c r="A48" s="298"/>
      <c r="B48" s="162" t="s">
        <v>58</v>
      </c>
      <c r="C48" s="163"/>
      <c r="D48" s="167">
        <v>962.79</v>
      </c>
      <c r="E48" s="167">
        <v>962.79</v>
      </c>
      <c r="F48" s="167">
        <v>962.79</v>
      </c>
      <c r="G48" s="439">
        <v>962.79</v>
      </c>
      <c r="H48" s="167">
        <v>724.25</v>
      </c>
      <c r="I48" s="107"/>
      <c r="J48" s="107"/>
    </row>
    <row r="49">
      <c r="B49" s="162"/>
      <c r="C49" s="163"/>
      <c r="D49" s="166"/>
      <c r="E49" s="166"/>
      <c r="F49" s="166"/>
      <c r="G49" s="440"/>
      <c r="H49" s="166"/>
      <c r="I49" s="107"/>
      <c r="J49" s="107"/>
      <c r="N49" s="387"/>
      <c r="P49" s="387"/>
    </row>
    <row r="50">
      <c r="B50" s="168"/>
      <c r="C50" s="169"/>
      <c r="D50" s="170"/>
      <c r="E50" s="170"/>
      <c r="F50" s="170"/>
      <c r="G50" s="441"/>
      <c r="H50" s="170"/>
      <c r="I50" s="107"/>
      <c r="J50" s="107"/>
    </row>
    <row r="51">
      <c r="B51" s="152" t="s">
        <v>167</v>
      </c>
      <c r="C51" s="171"/>
      <c r="D51" s="172">
        <f t="shared" ref="D51:H51" si="13">SUM(D47:D50)*-1</f>
        <v>-962.79</v>
      </c>
      <c r="E51" s="172">
        <f t="shared" si="13"/>
        <v>-962.79</v>
      </c>
      <c r="F51" s="172">
        <f t="shared" si="13"/>
        <v>-962.79</v>
      </c>
      <c r="G51" s="442">
        <f t="shared" si="13"/>
        <v>-962.79</v>
      </c>
      <c r="H51" s="172">
        <f t="shared" si="13"/>
        <v>-724.25</v>
      </c>
    </row>
    <row r="52">
      <c r="B52" s="83"/>
      <c r="C52" s="159"/>
      <c r="D52" s="96"/>
      <c r="E52" s="96"/>
      <c r="F52" s="96"/>
      <c r="G52" s="96"/>
      <c r="H52" s="96"/>
      <c r="I52" s="107"/>
      <c r="J52" s="107"/>
    </row>
    <row r="53">
      <c r="B53" s="173" t="s">
        <v>168</v>
      </c>
      <c r="C53" s="174"/>
      <c r="D53" s="175">
        <f t="shared" ref="D53:H53" si="14">D44+D51</f>
        <v>1127.46</v>
      </c>
      <c r="E53" s="175">
        <f t="shared" si="14"/>
        <v>1421.49</v>
      </c>
      <c r="F53" s="175">
        <f t="shared" si="14"/>
        <v>1424.72</v>
      </c>
      <c r="G53" s="443">
        <f t="shared" si="14"/>
        <v>2364.34</v>
      </c>
      <c r="H53" s="175">
        <f t="shared" si="14"/>
        <v>1531.02</v>
      </c>
      <c r="I53" s="107"/>
      <c r="J53" s="107"/>
      <c r="K53" s="107"/>
    </row>
    <row r="54">
      <c r="B54" s="83"/>
      <c r="C54" s="159"/>
      <c r="D54" s="96"/>
      <c r="E54" s="96"/>
      <c r="F54" s="96"/>
      <c r="G54" s="96"/>
      <c r="H54" s="96"/>
      <c r="I54" s="107"/>
      <c r="J54" s="107"/>
      <c r="K54" s="18"/>
    </row>
    <row r="55">
      <c r="B55" s="100" t="s">
        <v>169</v>
      </c>
      <c r="C55" s="176"/>
      <c r="D55" s="177" t="s">
        <v>123</v>
      </c>
      <c r="E55" s="177" t="s">
        <v>124</v>
      </c>
      <c r="F55" s="177" t="s">
        <v>125</v>
      </c>
      <c r="G55" s="444" t="s">
        <v>126</v>
      </c>
      <c r="H55" s="177" t="s">
        <v>127</v>
      </c>
      <c r="I55" s="107"/>
      <c r="J55" s="107"/>
      <c r="K55" s="18"/>
    </row>
    <row r="56">
      <c r="B56" s="152" t="s">
        <v>171</v>
      </c>
      <c r="C56" s="153"/>
      <c r="D56" s="178">
        <f t="shared" ref="D56:H56" si="15">+D53</f>
        <v>1127.46</v>
      </c>
      <c r="E56" s="178">
        <f t="shared" si="15"/>
        <v>1421.49</v>
      </c>
      <c r="F56" s="178">
        <f t="shared" si="15"/>
        <v>1424.72</v>
      </c>
      <c r="G56" s="445">
        <f t="shared" si="15"/>
        <v>2364.34</v>
      </c>
      <c r="H56" s="178">
        <f t="shared" si="15"/>
        <v>1531.02</v>
      </c>
      <c r="I56" s="27"/>
      <c r="J56" s="27"/>
    </row>
    <row r="57">
      <c r="D57" s="362"/>
      <c r="E57" s="362"/>
      <c r="F57" s="27"/>
      <c r="G57" s="27"/>
      <c r="H57" s="27"/>
      <c r="I57" s="27"/>
      <c r="J57" s="27"/>
    </row>
    <row r="58">
      <c r="F58" s="27"/>
      <c r="G58" s="27"/>
      <c r="H58" s="27"/>
      <c r="I58" s="27"/>
      <c r="J58" s="27"/>
    </row>
    <row r="59">
      <c r="F59" s="27"/>
      <c r="G59" s="27"/>
      <c r="H59" s="27"/>
      <c r="I59" s="27"/>
      <c r="J59" s="27"/>
    </row>
    <row r="60">
      <c r="F60" s="27"/>
      <c r="G60" s="27"/>
      <c r="H60" s="27"/>
      <c r="I60" s="27"/>
      <c r="J60" s="27"/>
    </row>
    <row r="61">
      <c r="F61" s="27"/>
      <c r="G61" s="27"/>
      <c r="H61" s="27"/>
      <c r="I61" s="27"/>
      <c r="J61" s="27"/>
    </row>
    <row r="62">
      <c r="F62" s="27"/>
      <c r="G62" s="27"/>
      <c r="H62" s="27"/>
      <c r="I62" s="27"/>
      <c r="J62" s="27"/>
    </row>
    <row r="63">
      <c r="F63" s="27"/>
      <c r="G63" s="27"/>
      <c r="H63" s="27"/>
      <c r="I63" s="27"/>
      <c r="J63" s="27"/>
    </row>
    <row r="64">
      <c r="F64" s="27"/>
      <c r="G64" s="27"/>
      <c r="H64" s="27"/>
      <c r="I64" s="27"/>
      <c r="J64" s="27"/>
    </row>
    <row r="65">
      <c r="F65" s="27"/>
      <c r="G65" s="27"/>
      <c r="H65" s="27"/>
      <c r="I65" s="27"/>
      <c r="J65" s="27"/>
    </row>
    <row r="66">
      <c r="F66" s="27"/>
      <c r="G66" s="27"/>
      <c r="H66" s="27"/>
      <c r="I66" s="27"/>
      <c r="J66" s="27"/>
    </row>
    <row r="67">
      <c r="F67" s="27"/>
      <c r="G67" s="27"/>
      <c r="H67" s="27"/>
      <c r="I67" s="27"/>
      <c r="J67" s="27"/>
    </row>
    <row r="68">
      <c r="F68" s="27"/>
      <c r="G68" s="27"/>
      <c r="H68" s="27"/>
      <c r="I68" s="27"/>
      <c r="J68" s="27"/>
    </row>
    <row r="69">
      <c r="F69" s="27"/>
      <c r="G69" s="27"/>
      <c r="H69" s="27"/>
      <c r="I69" s="27"/>
      <c r="J69" s="27"/>
    </row>
    <row r="70">
      <c r="F70" s="27"/>
      <c r="G70" s="27"/>
      <c r="H70" s="27"/>
      <c r="I70" s="27"/>
      <c r="J70" s="27"/>
    </row>
    <row r="71">
      <c r="F71" s="27"/>
      <c r="G71" s="27"/>
      <c r="H71" s="27"/>
      <c r="I71" s="27"/>
      <c r="J71" s="27"/>
    </row>
    <row r="72">
      <c r="F72" s="27"/>
      <c r="G72" s="27"/>
      <c r="H72" s="27"/>
      <c r="I72" s="27"/>
      <c r="J72" s="27"/>
    </row>
    <row r="73">
      <c r="F73" s="27"/>
      <c r="G73" s="27"/>
      <c r="H73" s="27"/>
      <c r="I73" s="27"/>
      <c r="J73" s="27"/>
    </row>
    <row r="74">
      <c r="F74" s="27"/>
      <c r="G74" s="27"/>
      <c r="H74" s="27"/>
      <c r="I74" s="27"/>
      <c r="J74" s="27"/>
    </row>
    <row r="75">
      <c r="F75" s="27"/>
      <c r="G75" s="27"/>
      <c r="H75" s="27"/>
      <c r="I75" s="27"/>
      <c r="J75" s="27"/>
    </row>
    <row r="76">
      <c r="F76" s="27"/>
      <c r="G76" s="27"/>
      <c r="H76" s="27"/>
      <c r="I76" s="27"/>
      <c r="J76" s="27"/>
    </row>
    <row r="77">
      <c r="F77" s="27"/>
      <c r="G77" s="27"/>
      <c r="H77" s="27"/>
      <c r="I77" s="27"/>
      <c r="J77" s="27"/>
    </row>
    <row r="78">
      <c r="F78" s="27"/>
      <c r="G78" s="27"/>
      <c r="H78" s="27"/>
      <c r="I78" s="27"/>
      <c r="J78" s="27"/>
    </row>
    <row r="79">
      <c r="F79" s="27"/>
      <c r="G79" s="27"/>
      <c r="H79" s="27"/>
      <c r="I79" s="27"/>
      <c r="J79" s="27"/>
    </row>
    <row r="80">
      <c r="F80" s="27"/>
      <c r="G80" s="27"/>
      <c r="H80" s="27"/>
      <c r="I80" s="27"/>
      <c r="J80" s="27"/>
    </row>
    <row r="81">
      <c r="F81" s="27"/>
      <c r="G81" s="27"/>
      <c r="H81" s="27"/>
      <c r="I81" s="27"/>
      <c r="J81" s="27"/>
    </row>
    <row r="82">
      <c r="F82" s="27"/>
      <c r="G82" s="27"/>
      <c r="H82" s="27"/>
      <c r="I82" s="27"/>
      <c r="J82" s="27"/>
    </row>
    <row r="83">
      <c r="F83" s="27"/>
      <c r="G83" s="27"/>
      <c r="H83" s="27"/>
      <c r="I83" s="27"/>
      <c r="J83" s="27"/>
    </row>
    <row r="84">
      <c r="F84" s="27"/>
      <c r="G84" s="27"/>
      <c r="H84" s="27"/>
      <c r="I84" s="27"/>
      <c r="J84" s="27"/>
    </row>
    <row r="85">
      <c r="F85" s="27"/>
      <c r="G85" s="27"/>
      <c r="H85" s="27"/>
      <c r="I85" s="27"/>
      <c r="J85" s="27"/>
    </row>
    <row r="86">
      <c r="F86" s="27"/>
      <c r="G86" s="27"/>
      <c r="H86" s="27"/>
      <c r="I86" s="27"/>
      <c r="J86" s="27"/>
    </row>
    <row r="87">
      <c r="F87" s="27"/>
      <c r="G87" s="27"/>
      <c r="H87" s="27"/>
      <c r="I87" s="27"/>
      <c r="J87" s="27"/>
    </row>
    <row r="88">
      <c r="F88" s="27"/>
      <c r="G88" s="27"/>
      <c r="H88" s="27"/>
      <c r="I88" s="27"/>
      <c r="J88" s="27"/>
    </row>
    <row r="89">
      <c r="F89" s="27"/>
      <c r="G89" s="27"/>
      <c r="H89" s="27"/>
      <c r="I89" s="27"/>
      <c r="J89" s="27"/>
    </row>
    <row r="90">
      <c r="F90" s="27"/>
      <c r="G90" s="27"/>
      <c r="H90" s="27"/>
      <c r="I90" s="27"/>
      <c r="J90" s="27"/>
    </row>
    <row r="91">
      <c r="F91" s="27"/>
      <c r="G91" s="27"/>
      <c r="H91" s="27"/>
      <c r="I91" s="27"/>
      <c r="J91" s="27"/>
    </row>
    <row r="92">
      <c r="F92" s="27"/>
      <c r="G92" s="27"/>
      <c r="H92" s="27"/>
      <c r="I92" s="27"/>
      <c r="J92" s="27"/>
    </row>
    <row r="93">
      <c r="F93" s="27"/>
      <c r="G93" s="27"/>
      <c r="H93" s="27"/>
      <c r="I93" s="27"/>
      <c r="J93" s="27"/>
    </row>
    <row r="94">
      <c r="F94" s="27"/>
      <c r="G94" s="27"/>
      <c r="H94" s="27"/>
      <c r="I94" s="27"/>
      <c r="J94" s="27"/>
    </row>
    <row r="95">
      <c r="F95" s="27"/>
      <c r="G95" s="27"/>
      <c r="H95" s="27"/>
      <c r="I95" s="27"/>
      <c r="J95" s="27"/>
    </row>
    <row r="96">
      <c r="F96" s="27"/>
      <c r="G96" s="27"/>
      <c r="H96" s="27"/>
      <c r="I96" s="27"/>
      <c r="J96" s="27"/>
    </row>
    <row r="97">
      <c r="F97" s="27"/>
      <c r="G97" s="27"/>
      <c r="H97" s="27"/>
      <c r="I97" s="27"/>
      <c r="J97" s="27"/>
    </row>
    <row r="98">
      <c r="F98" s="27"/>
      <c r="G98" s="27"/>
      <c r="H98" s="27"/>
      <c r="I98" s="27"/>
      <c r="J98" s="27"/>
    </row>
    <row r="99">
      <c r="F99" s="27"/>
      <c r="G99" s="27"/>
      <c r="H99" s="27"/>
      <c r="I99" s="27"/>
      <c r="J99" s="27"/>
    </row>
    <row r="100">
      <c r="F100" s="27"/>
      <c r="G100" s="27"/>
      <c r="H100" s="27"/>
      <c r="I100" s="27"/>
      <c r="J100" s="27"/>
    </row>
    <row r="101">
      <c r="F101" s="27"/>
      <c r="G101" s="27"/>
      <c r="H101" s="27"/>
      <c r="I101" s="27"/>
      <c r="J101" s="27"/>
    </row>
    <row r="102">
      <c r="F102" s="27"/>
      <c r="G102" s="27"/>
      <c r="H102" s="27"/>
      <c r="I102" s="27"/>
      <c r="J102" s="27"/>
    </row>
    <row r="103">
      <c r="F103" s="27"/>
      <c r="G103" s="27"/>
      <c r="H103" s="27"/>
      <c r="I103" s="27"/>
      <c r="J103" s="27"/>
    </row>
    <row r="104">
      <c r="F104" s="27"/>
      <c r="G104" s="27"/>
      <c r="H104" s="27"/>
      <c r="I104" s="27"/>
      <c r="J104" s="27"/>
    </row>
    <row r="105">
      <c r="F105" s="27"/>
      <c r="G105" s="27"/>
      <c r="H105" s="27"/>
      <c r="I105" s="27"/>
      <c r="J105" s="27"/>
    </row>
    <row r="106">
      <c r="F106" s="27"/>
      <c r="G106" s="27"/>
      <c r="H106" s="27"/>
      <c r="I106" s="27"/>
      <c r="J106" s="27"/>
    </row>
    <row r="107">
      <c r="F107" s="27"/>
      <c r="G107" s="27"/>
      <c r="H107" s="27"/>
      <c r="I107" s="27"/>
      <c r="J107" s="27"/>
    </row>
    <row r="108">
      <c r="F108" s="27"/>
      <c r="G108" s="27"/>
      <c r="H108" s="27"/>
      <c r="I108" s="27"/>
      <c r="J108" s="27"/>
    </row>
    <row r="109">
      <c r="F109" s="27"/>
      <c r="G109" s="27"/>
      <c r="H109" s="27"/>
      <c r="I109" s="27"/>
      <c r="J109" s="27"/>
    </row>
    <row r="110">
      <c r="F110" s="27"/>
      <c r="G110" s="27"/>
      <c r="H110" s="27"/>
      <c r="I110" s="27"/>
      <c r="J110" s="27"/>
    </row>
    <row r="111">
      <c r="F111" s="27"/>
      <c r="G111" s="27"/>
      <c r="H111" s="27"/>
      <c r="I111" s="27"/>
      <c r="J111" s="27"/>
    </row>
    <row r="112">
      <c r="F112" s="27"/>
      <c r="G112" s="27"/>
      <c r="H112" s="27"/>
      <c r="I112" s="27"/>
      <c r="J112" s="27"/>
    </row>
    <row r="113">
      <c r="F113" s="27"/>
      <c r="G113" s="27"/>
      <c r="H113" s="27"/>
      <c r="I113" s="27"/>
      <c r="J113" s="27"/>
    </row>
    <row r="114">
      <c r="F114" s="27"/>
      <c r="G114" s="27"/>
      <c r="H114" s="27"/>
      <c r="I114" s="27"/>
      <c r="J114" s="27"/>
    </row>
    <row r="115">
      <c r="F115" s="27"/>
      <c r="G115" s="27"/>
      <c r="H115" s="27"/>
      <c r="I115" s="27"/>
      <c r="J115" s="27"/>
    </row>
    <row r="116">
      <c r="F116" s="27"/>
      <c r="G116" s="27"/>
      <c r="H116" s="27"/>
      <c r="I116" s="27"/>
      <c r="J116" s="27"/>
    </row>
    <row r="117">
      <c r="F117" s="27"/>
      <c r="G117" s="27"/>
      <c r="H117" s="27"/>
      <c r="I117" s="27"/>
      <c r="J117" s="27"/>
    </row>
    <row r="118">
      <c r="F118" s="27"/>
      <c r="G118" s="27"/>
      <c r="H118" s="27"/>
      <c r="I118" s="27"/>
      <c r="J118" s="27"/>
    </row>
    <row r="119">
      <c r="F119" s="27"/>
      <c r="G119" s="27"/>
      <c r="H119" s="27"/>
      <c r="I119" s="27"/>
      <c r="J119" s="27"/>
    </row>
    <row r="120">
      <c r="F120" s="27"/>
      <c r="G120" s="27"/>
      <c r="H120" s="27"/>
      <c r="I120" s="27"/>
      <c r="J120" s="27"/>
    </row>
    <row r="121">
      <c r="F121" s="27"/>
      <c r="G121" s="27"/>
      <c r="H121" s="27"/>
      <c r="I121" s="27"/>
      <c r="J121" s="27"/>
    </row>
    <row r="122">
      <c r="F122" s="27"/>
      <c r="G122" s="27"/>
      <c r="H122" s="27"/>
      <c r="I122" s="27"/>
      <c r="J122" s="27"/>
    </row>
    <row r="123">
      <c r="F123" s="27"/>
      <c r="G123" s="27"/>
      <c r="H123" s="27"/>
      <c r="I123" s="27"/>
      <c r="J123" s="27"/>
    </row>
    <row r="124">
      <c r="F124" s="27"/>
      <c r="G124" s="27"/>
      <c r="H124" s="27"/>
      <c r="I124" s="27"/>
      <c r="J124" s="27"/>
    </row>
    <row r="125">
      <c r="F125" s="27"/>
      <c r="G125" s="27"/>
      <c r="H125" s="27"/>
      <c r="I125" s="27"/>
      <c r="J125" s="27"/>
    </row>
    <row r="126">
      <c r="F126" s="27"/>
      <c r="G126" s="27"/>
      <c r="H126" s="27"/>
      <c r="I126" s="27"/>
      <c r="J126" s="27"/>
    </row>
    <row r="127">
      <c r="F127" s="27"/>
      <c r="G127" s="27"/>
      <c r="H127" s="27"/>
      <c r="I127" s="27"/>
      <c r="J127" s="27"/>
    </row>
    <row r="128">
      <c r="F128" s="27"/>
      <c r="G128" s="27"/>
      <c r="H128" s="27"/>
      <c r="I128" s="27"/>
      <c r="J128" s="27"/>
    </row>
    <row r="129">
      <c r="F129" s="27"/>
      <c r="G129" s="27"/>
      <c r="H129" s="27"/>
      <c r="I129" s="27"/>
      <c r="J129" s="27"/>
    </row>
    <row r="130">
      <c r="F130" s="27"/>
      <c r="G130" s="27"/>
      <c r="H130" s="27"/>
      <c r="I130" s="27"/>
      <c r="J130" s="27"/>
    </row>
    <row r="131">
      <c r="F131" s="27"/>
      <c r="G131" s="27"/>
      <c r="H131" s="27"/>
      <c r="I131" s="27"/>
      <c r="J131" s="27"/>
    </row>
    <row r="132">
      <c r="F132" s="27"/>
      <c r="G132" s="27"/>
      <c r="H132" s="27"/>
      <c r="I132" s="27"/>
      <c r="J132" s="27"/>
    </row>
    <row r="133">
      <c r="F133" s="27"/>
      <c r="G133" s="27"/>
      <c r="H133" s="27"/>
      <c r="I133" s="27"/>
      <c r="J133" s="27"/>
    </row>
    <row r="134">
      <c r="F134" s="27"/>
      <c r="G134" s="27"/>
      <c r="H134" s="27"/>
      <c r="I134" s="27"/>
      <c r="J134" s="27"/>
    </row>
    <row r="135">
      <c r="F135" s="27"/>
      <c r="G135" s="27"/>
      <c r="H135" s="27"/>
      <c r="I135" s="27"/>
      <c r="J135" s="27"/>
    </row>
    <row r="136">
      <c r="F136" s="27"/>
      <c r="G136" s="27"/>
      <c r="H136" s="27"/>
      <c r="I136" s="27"/>
      <c r="J136" s="27"/>
    </row>
    <row r="137">
      <c r="F137" s="27"/>
      <c r="G137" s="27"/>
      <c r="H137" s="27"/>
      <c r="I137" s="27"/>
      <c r="J137" s="27"/>
    </row>
    <row r="138">
      <c r="F138" s="27"/>
      <c r="G138" s="27"/>
      <c r="H138" s="27"/>
      <c r="I138" s="27"/>
      <c r="J138" s="27"/>
    </row>
    <row r="139">
      <c r="F139" s="27"/>
      <c r="G139" s="27"/>
      <c r="H139" s="27"/>
      <c r="I139" s="27"/>
      <c r="J139" s="27"/>
    </row>
    <row r="140">
      <c r="F140" s="27"/>
      <c r="G140" s="27"/>
      <c r="H140" s="27"/>
      <c r="I140" s="27"/>
      <c r="J140" s="27"/>
    </row>
    <row r="141">
      <c r="F141" s="27"/>
      <c r="G141" s="27"/>
      <c r="H141" s="27"/>
      <c r="I141" s="27"/>
      <c r="J141" s="27"/>
    </row>
    <row r="142">
      <c r="F142" s="27"/>
      <c r="G142" s="27"/>
      <c r="H142" s="27"/>
      <c r="I142" s="27"/>
      <c r="J142" s="27"/>
    </row>
    <row r="143">
      <c r="F143" s="27"/>
      <c r="G143" s="27"/>
      <c r="H143" s="27"/>
      <c r="I143" s="27"/>
      <c r="J143" s="27"/>
    </row>
    <row r="144">
      <c r="F144" s="27"/>
      <c r="G144" s="27"/>
      <c r="H144" s="27"/>
      <c r="I144" s="27"/>
      <c r="J144" s="27"/>
    </row>
    <row r="145">
      <c r="F145" s="27"/>
      <c r="G145" s="27"/>
      <c r="H145" s="27"/>
      <c r="I145" s="27"/>
      <c r="J145" s="27"/>
    </row>
    <row r="146">
      <c r="F146" s="27"/>
      <c r="G146" s="27"/>
      <c r="H146" s="27"/>
      <c r="I146" s="27"/>
      <c r="J146" s="27"/>
    </row>
    <row r="147">
      <c r="F147" s="27"/>
      <c r="G147" s="27"/>
      <c r="H147" s="27"/>
      <c r="I147" s="27"/>
      <c r="J147" s="27"/>
    </row>
    <row r="148">
      <c r="F148" s="27"/>
      <c r="G148" s="27"/>
      <c r="H148" s="27"/>
      <c r="I148" s="27"/>
      <c r="J148" s="27"/>
    </row>
    <row r="149">
      <c r="F149" s="27"/>
      <c r="G149" s="27"/>
      <c r="H149" s="27"/>
      <c r="I149" s="27"/>
      <c r="J149" s="27"/>
    </row>
    <row r="150">
      <c r="F150" s="27"/>
      <c r="G150" s="27"/>
      <c r="H150" s="27"/>
      <c r="I150" s="27"/>
      <c r="J150" s="27"/>
    </row>
    <row r="151">
      <c r="F151" s="27"/>
      <c r="G151" s="27"/>
      <c r="H151" s="27"/>
      <c r="I151" s="27"/>
      <c r="J151" s="27"/>
    </row>
    <row r="152">
      <c r="F152" s="27"/>
      <c r="G152" s="27"/>
      <c r="H152" s="27"/>
      <c r="I152" s="27"/>
      <c r="J152" s="27"/>
    </row>
    <row r="153">
      <c r="F153" s="27"/>
      <c r="G153" s="27"/>
      <c r="H153" s="27"/>
      <c r="I153" s="27"/>
      <c r="J153" s="27"/>
    </row>
    <row r="154">
      <c r="F154" s="27"/>
      <c r="G154" s="27"/>
      <c r="H154" s="27"/>
      <c r="I154" s="27"/>
      <c r="J154" s="27"/>
    </row>
    <row r="155">
      <c r="F155" s="27"/>
      <c r="G155" s="27"/>
      <c r="H155" s="27"/>
      <c r="I155" s="27"/>
      <c r="J155" s="27"/>
    </row>
    <row r="156">
      <c r="F156" s="27"/>
      <c r="G156" s="27"/>
      <c r="H156" s="27"/>
      <c r="I156" s="27"/>
      <c r="J156" s="27"/>
    </row>
    <row r="157">
      <c r="F157" s="27"/>
      <c r="G157" s="27"/>
      <c r="H157" s="27"/>
      <c r="I157" s="27"/>
      <c r="J157" s="27"/>
    </row>
    <row r="158">
      <c r="F158" s="27"/>
      <c r="G158" s="27"/>
      <c r="H158" s="27"/>
      <c r="I158" s="27"/>
      <c r="J158" s="27"/>
    </row>
    <row r="159">
      <c r="F159" s="27"/>
      <c r="G159" s="27"/>
      <c r="H159" s="27"/>
      <c r="I159" s="27"/>
      <c r="J159" s="27"/>
    </row>
    <row r="160">
      <c r="F160" s="27"/>
      <c r="G160" s="27"/>
      <c r="H160" s="27"/>
      <c r="I160" s="27"/>
      <c r="J160" s="27"/>
    </row>
    <row r="161">
      <c r="F161" s="27"/>
      <c r="G161" s="27"/>
      <c r="H161" s="27"/>
      <c r="I161" s="27"/>
      <c r="J161" s="27"/>
    </row>
    <row r="162">
      <c r="F162" s="27"/>
      <c r="G162" s="27"/>
      <c r="H162" s="27"/>
      <c r="I162" s="27"/>
      <c r="J162" s="27"/>
    </row>
    <row r="163">
      <c r="F163" s="27"/>
      <c r="G163" s="27"/>
      <c r="H163" s="27"/>
      <c r="I163" s="27"/>
      <c r="J163" s="27"/>
    </row>
    <row r="164">
      <c r="F164" s="27"/>
      <c r="G164" s="27"/>
      <c r="H164" s="27"/>
      <c r="I164" s="27"/>
      <c r="J164" s="27"/>
    </row>
    <row r="165">
      <c r="F165" s="27"/>
      <c r="G165" s="27"/>
      <c r="H165" s="27"/>
      <c r="I165" s="27"/>
      <c r="J165" s="27"/>
    </row>
    <row r="166">
      <c r="F166" s="27"/>
      <c r="G166" s="27"/>
      <c r="H166" s="27"/>
      <c r="I166" s="27"/>
      <c r="J166" s="27"/>
    </row>
    <row r="167">
      <c r="F167" s="27"/>
      <c r="G167" s="27"/>
      <c r="H167" s="27"/>
      <c r="I167" s="27"/>
      <c r="J167" s="27"/>
    </row>
    <row r="168">
      <c r="F168" s="27"/>
      <c r="G168" s="27"/>
      <c r="H168" s="27"/>
      <c r="I168" s="27"/>
      <c r="J168" s="27"/>
    </row>
    <row r="169">
      <c r="F169" s="27"/>
      <c r="G169" s="27"/>
      <c r="H169" s="27"/>
      <c r="I169" s="27"/>
      <c r="J169" s="27"/>
    </row>
    <row r="170">
      <c r="F170" s="27"/>
      <c r="G170" s="27"/>
      <c r="H170" s="27"/>
      <c r="I170" s="27"/>
      <c r="J170" s="27"/>
    </row>
    <row r="171">
      <c r="F171" s="27"/>
      <c r="G171" s="27"/>
      <c r="H171" s="27"/>
      <c r="I171" s="27"/>
      <c r="J171" s="27"/>
    </row>
    <row r="172">
      <c r="F172" s="27"/>
      <c r="G172" s="27"/>
      <c r="H172" s="27"/>
      <c r="I172" s="27"/>
      <c r="J172" s="27"/>
    </row>
    <row r="173">
      <c r="F173" s="27"/>
      <c r="G173" s="27"/>
      <c r="H173" s="27"/>
      <c r="I173" s="27"/>
      <c r="J173" s="27"/>
    </row>
    <row r="174">
      <c r="F174" s="27"/>
      <c r="G174" s="27"/>
      <c r="H174" s="27"/>
      <c r="I174" s="27"/>
      <c r="J174" s="27"/>
    </row>
    <row r="175">
      <c r="F175" s="27"/>
      <c r="G175" s="27"/>
      <c r="H175" s="27"/>
      <c r="I175" s="27"/>
      <c r="J175" s="27"/>
    </row>
    <row r="176">
      <c r="F176" s="27"/>
      <c r="G176" s="27"/>
      <c r="H176" s="27"/>
      <c r="I176" s="27"/>
      <c r="J176" s="27"/>
    </row>
    <row r="177">
      <c r="F177" s="27"/>
      <c r="G177" s="27"/>
      <c r="H177" s="27"/>
      <c r="I177" s="27"/>
      <c r="J177" s="27"/>
    </row>
    <row r="178">
      <c r="F178" s="27"/>
      <c r="G178" s="27"/>
      <c r="H178" s="27"/>
      <c r="I178" s="27"/>
      <c r="J178" s="27"/>
    </row>
    <row r="179">
      <c r="F179" s="27"/>
      <c r="G179" s="27"/>
      <c r="H179" s="27"/>
      <c r="I179" s="27"/>
      <c r="J179" s="27"/>
    </row>
    <row r="180">
      <c r="F180" s="27"/>
      <c r="G180" s="27"/>
      <c r="H180" s="27"/>
      <c r="I180" s="27"/>
      <c r="J180" s="27"/>
    </row>
    <row r="181">
      <c r="F181" s="27"/>
      <c r="G181" s="27"/>
      <c r="H181" s="27"/>
      <c r="I181" s="27"/>
      <c r="J181" s="27"/>
    </row>
    <row r="182">
      <c r="F182" s="27"/>
      <c r="G182" s="27"/>
      <c r="H182" s="27"/>
      <c r="I182" s="27"/>
      <c r="J182" s="27"/>
    </row>
    <row r="183">
      <c r="F183" s="27"/>
      <c r="G183" s="27"/>
      <c r="H183" s="27"/>
      <c r="I183" s="27"/>
      <c r="J183" s="27"/>
    </row>
    <row r="184">
      <c r="F184" s="27"/>
      <c r="G184" s="27"/>
      <c r="H184" s="27"/>
      <c r="I184" s="27"/>
      <c r="J184" s="27"/>
    </row>
    <row r="185">
      <c r="F185" s="27"/>
      <c r="G185" s="27"/>
      <c r="H185" s="27"/>
      <c r="I185" s="27"/>
      <c r="J185" s="27"/>
    </row>
    <row r="186">
      <c r="F186" s="27"/>
      <c r="G186" s="27"/>
      <c r="H186" s="27"/>
      <c r="I186" s="27"/>
      <c r="J186" s="27"/>
    </row>
    <row r="187">
      <c r="F187" s="27"/>
      <c r="G187" s="27"/>
      <c r="H187" s="27"/>
      <c r="I187" s="27"/>
      <c r="J187" s="27"/>
    </row>
    <row r="188">
      <c r="F188" s="27"/>
      <c r="G188" s="27"/>
      <c r="H188" s="27"/>
      <c r="I188" s="27"/>
      <c r="J188" s="27"/>
    </row>
    <row r="189">
      <c r="F189" s="27"/>
      <c r="G189" s="27"/>
      <c r="H189" s="27"/>
      <c r="I189" s="27"/>
      <c r="J189" s="27"/>
    </row>
    <row r="190">
      <c r="F190" s="27"/>
      <c r="G190" s="27"/>
      <c r="H190" s="27"/>
      <c r="I190" s="27"/>
      <c r="J190" s="27"/>
    </row>
    <row r="191">
      <c r="F191" s="27"/>
      <c r="G191" s="27"/>
      <c r="H191" s="27"/>
      <c r="I191" s="27"/>
      <c r="J191" s="27"/>
    </row>
    <row r="192">
      <c r="F192" s="27"/>
      <c r="G192" s="27"/>
      <c r="H192" s="27"/>
      <c r="I192" s="27"/>
      <c r="J192" s="27"/>
    </row>
    <row r="193">
      <c r="F193" s="27"/>
      <c r="G193" s="27"/>
      <c r="H193" s="27"/>
      <c r="I193" s="27"/>
      <c r="J193" s="27"/>
    </row>
    <row r="194">
      <c r="F194" s="27"/>
      <c r="G194" s="27"/>
      <c r="H194" s="27"/>
      <c r="I194" s="27"/>
      <c r="J194" s="27"/>
    </row>
    <row r="195">
      <c r="F195" s="27"/>
      <c r="G195" s="27"/>
      <c r="H195" s="27"/>
      <c r="I195" s="27"/>
      <c r="J195" s="27"/>
    </row>
    <row r="196">
      <c r="F196" s="27"/>
      <c r="G196" s="27"/>
      <c r="H196" s="27"/>
      <c r="I196" s="27"/>
      <c r="J196" s="27"/>
    </row>
    <row r="197">
      <c r="F197" s="27"/>
      <c r="G197" s="27"/>
      <c r="H197" s="27"/>
      <c r="I197" s="27"/>
      <c r="J197" s="27"/>
    </row>
    <row r="198">
      <c r="F198" s="27"/>
      <c r="G198" s="27"/>
      <c r="H198" s="27"/>
      <c r="I198" s="27"/>
      <c r="J198" s="27"/>
    </row>
    <row r="199">
      <c r="F199" s="27"/>
      <c r="G199" s="27"/>
      <c r="H199" s="27"/>
      <c r="I199" s="27"/>
      <c r="J199" s="27"/>
    </row>
    <row r="200">
      <c r="F200" s="27"/>
      <c r="G200" s="27"/>
      <c r="H200" s="27"/>
      <c r="I200" s="27"/>
      <c r="J200" s="27"/>
    </row>
    <row r="201">
      <c r="F201" s="27"/>
      <c r="G201" s="27"/>
      <c r="H201" s="27"/>
      <c r="I201" s="27"/>
      <c r="J201" s="27"/>
    </row>
    <row r="202">
      <c r="F202" s="27"/>
      <c r="G202" s="27"/>
      <c r="H202" s="27"/>
      <c r="I202" s="27"/>
      <c r="J202" s="27"/>
    </row>
    <row r="203">
      <c r="F203" s="27"/>
      <c r="G203" s="27"/>
      <c r="H203" s="27"/>
      <c r="I203" s="27"/>
      <c r="J203" s="27"/>
    </row>
    <row r="204">
      <c r="F204" s="27"/>
      <c r="G204" s="27"/>
      <c r="H204" s="27"/>
      <c r="I204" s="27"/>
      <c r="J204" s="27"/>
    </row>
    <row r="205">
      <c r="F205" s="27"/>
      <c r="G205" s="27"/>
      <c r="H205" s="27"/>
      <c r="I205" s="27"/>
      <c r="J205" s="27"/>
    </row>
    <row r="206">
      <c r="F206" s="27"/>
      <c r="G206" s="27"/>
      <c r="H206" s="27"/>
      <c r="I206" s="27"/>
      <c r="J206" s="27"/>
    </row>
    <row r="207">
      <c r="F207" s="27"/>
      <c r="G207" s="27"/>
      <c r="H207" s="27"/>
      <c r="I207" s="27"/>
      <c r="J207" s="27"/>
    </row>
    <row r="208">
      <c r="F208" s="27"/>
      <c r="G208" s="27"/>
      <c r="H208" s="27"/>
      <c r="I208" s="27"/>
      <c r="J208" s="27"/>
    </row>
    <row r="209">
      <c r="F209" s="27"/>
      <c r="G209" s="27"/>
      <c r="H209" s="27"/>
      <c r="I209" s="27"/>
      <c r="J209" s="27"/>
    </row>
    <row r="210">
      <c r="F210" s="27"/>
      <c r="G210" s="27"/>
      <c r="H210" s="27"/>
      <c r="I210" s="27"/>
      <c r="J210" s="27"/>
    </row>
    <row r="211">
      <c r="F211" s="27"/>
      <c r="G211" s="27"/>
      <c r="H211" s="27"/>
      <c r="I211" s="27"/>
      <c r="J211" s="27"/>
    </row>
    <row r="212">
      <c r="F212" s="27"/>
      <c r="G212" s="27"/>
      <c r="H212" s="27"/>
      <c r="I212" s="27"/>
      <c r="J212" s="27"/>
    </row>
    <row r="213">
      <c r="F213" s="27"/>
      <c r="G213" s="27"/>
      <c r="H213" s="27"/>
      <c r="I213" s="27"/>
      <c r="J213" s="27"/>
    </row>
    <row r="214">
      <c r="F214" s="27"/>
      <c r="G214" s="27"/>
      <c r="H214" s="27"/>
      <c r="I214" s="27"/>
      <c r="J214" s="27"/>
    </row>
    <row r="215">
      <c r="F215" s="27"/>
      <c r="G215" s="27"/>
      <c r="H215" s="27"/>
      <c r="I215" s="27"/>
      <c r="J215" s="27"/>
    </row>
    <row r="216">
      <c r="F216" s="27"/>
      <c r="G216" s="27"/>
      <c r="H216" s="27"/>
      <c r="I216" s="27"/>
      <c r="J216" s="27"/>
    </row>
    <row r="217">
      <c r="F217" s="27"/>
      <c r="G217" s="27"/>
      <c r="H217" s="27"/>
      <c r="I217" s="27"/>
      <c r="J217" s="27"/>
    </row>
    <row r="218">
      <c r="F218" s="27"/>
      <c r="G218" s="27"/>
      <c r="H218" s="27"/>
      <c r="I218" s="27"/>
      <c r="J218" s="27"/>
    </row>
    <row r="219">
      <c r="F219" s="27"/>
      <c r="G219" s="27"/>
      <c r="H219" s="27"/>
      <c r="I219" s="27"/>
      <c r="J219" s="27"/>
    </row>
    <row r="220">
      <c r="F220" s="27"/>
      <c r="G220" s="27"/>
      <c r="H220" s="27"/>
      <c r="I220" s="27"/>
      <c r="J220" s="27"/>
    </row>
    <row r="221">
      <c r="F221" s="27"/>
      <c r="G221" s="27"/>
      <c r="H221" s="27"/>
      <c r="I221" s="27"/>
      <c r="J221" s="27"/>
    </row>
    <row r="222">
      <c r="F222" s="27"/>
      <c r="G222" s="27"/>
      <c r="H222" s="27"/>
      <c r="I222" s="27"/>
      <c r="J222" s="27"/>
    </row>
    <row r="223">
      <c r="F223" s="27"/>
      <c r="G223" s="27"/>
      <c r="H223" s="27"/>
      <c r="I223" s="27"/>
      <c r="J223" s="27"/>
    </row>
    <row r="224">
      <c r="F224" s="27"/>
      <c r="G224" s="27"/>
      <c r="H224" s="27"/>
      <c r="I224" s="27"/>
      <c r="J224" s="27"/>
    </row>
    <row r="225">
      <c r="F225" s="27"/>
      <c r="G225" s="27"/>
      <c r="H225" s="27"/>
      <c r="I225" s="27"/>
      <c r="J225" s="27"/>
    </row>
    <row r="226">
      <c r="F226" s="27"/>
      <c r="G226" s="27"/>
      <c r="H226" s="27"/>
      <c r="I226" s="27"/>
      <c r="J226" s="27"/>
    </row>
    <row r="227">
      <c r="F227" s="27"/>
      <c r="G227" s="27"/>
      <c r="H227" s="27"/>
      <c r="I227" s="27"/>
      <c r="J227" s="27"/>
    </row>
    <row r="228">
      <c r="F228" s="27"/>
      <c r="G228" s="27"/>
      <c r="H228" s="27"/>
      <c r="I228" s="27"/>
      <c r="J228" s="27"/>
    </row>
    <row r="229">
      <c r="F229" s="27"/>
      <c r="G229" s="27"/>
      <c r="H229" s="27"/>
      <c r="I229" s="27"/>
      <c r="J229" s="27"/>
    </row>
    <row r="230">
      <c r="F230" s="27"/>
      <c r="G230" s="27"/>
      <c r="H230" s="27"/>
      <c r="I230" s="27"/>
      <c r="J230" s="27"/>
    </row>
    <row r="231">
      <c r="F231" s="27"/>
      <c r="G231" s="27"/>
      <c r="H231" s="27"/>
      <c r="I231" s="27"/>
      <c r="J231" s="27"/>
    </row>
    <row r="232">
      <c r="F232" s="27"/>
      <c r="G232" s="27"/>
      <c r="H232" s="27"/>
      <c r="I232" s="27"/>
      <c r="J232" s="27"/>
    </row>
    <row r="233">
      <c r="F233" s="27"/>
      <c r="G233" s="27"/>
      <c r="H233" s="27"/>
      <c r="I233" s="27"/>
      <c r="J233" s="27"/>
    </row>
    <row r="234">
      <c r="F234" s="27"/>
      <c r="G234" s="27"/>
      <c r="H234" s="27"/>
      <c r="I234" s="27"/>
      <c r="J234" s="27"/>
    </row>
    <row r="235">
      <c r="F235" s="27"/>
      <c r="G235" s="27"/>
      <c r="H235" s="27"/>
      <c r="I235" s="27"/>
      <c r="J235" s="27"/>
    </row>
    <row r="236">
      <c r="F236" s="27"/>
      <c r="G236" s="27"/>
      <c r="H236" s="27"/>
      <c r="I236" s="27"/>
      <c r="J236" s="27"/>
    </row>
    <row r="237">
      <c r="F237" s="27"/>
      <c r="G237" s="27"/>
      <c r="H237" s="27"/>
      <c r="I237" s="27"/>
      <c r="J237" s="27"/>
    </row>
    <row r="238">
      <c r="F238" s="27"/>
      <c r="G238" s="27"/>
      <c r="H238" s="27"/>
      <c r="I238" s="27"/>
      <c r="J238" s="27"/>
    </row>
    <row r="239">
      <c r="F239" s="27"/>
      <c r="G239" s="27"/>
      <c r="H239" s="27"/>
      <c r="I239" s="27"/>
      <c r="J239" s="27"/>
    </row>
    <row r="240">
      <c r="F240" s="27"/>
      <c r="G240" s="27"/>
      <c r="H240" s="27"/>
      <c r="I240" s="27"/>
      <c r="J240" s="27"/>
    </row>
    <row r="241">
      <c r="F241" s="27"/>
      <c r="G241" s="27"/>
      <c r="H241" s="27"/>
      <c r="I241" s="27"/>
      <c r="J241" s="27"/>
    </row>
    <row r="242">
      <c r="F242" s="27"/>
      <c r="G242" s="27"/>
      <c r="H242" s="27"/>
      <c r="I242" s="27"/>
      <c r="J242" s="27"/>
    </row>
    <row r="243">
      <c r="F243" s="27"/>
      <c r="G243" s="27"/>
      <c r="H243" s="27"/>
      <c r="I243" s="27"/>
      <c r="J243" s="27"/>
    </row>
    <row r="244">
      <c r="F244" s="27"/>
      <c r="G244" s="27"/>
      <c r="H244" s="27"/>
      <c r="I244" s="27"/>
      <c r="J244" s="27"/>
    </row>
    <row r="245">
      <c r="F245" s="27"/>
      <c r="G245" s="27"/>
      <c r="H245" s="27"/>
      <c r="I245" s="27"/>
      <c r="J245" s="27"/>
    </row>
    <row r="246">
      <c r="F246" s="27"/>
      <c r="G246" s="27"/>
      <c r="H246" s="27"/>
      <c r="I246" s="27"/>
      <c r="J246" s="27"/>
    </row>
    <row r="247">
      <c r="F247" s="27"/>
      <c r="G247" s="27"/>
      <c r="H247" s="27"/>
      <c r="I247" s="27"/>
      <c r="J247" s="27"/>
    </row>
    <row r="248">
      <c r="F248" s="27"/>
      <c r="G248" s="27"/>
      <c r="H248" s="27"/>
      <c r="I248" s="27"/>
      <c r="J248" s="27"/>
    </row>
    <row r="249">
      <c r="F249" s="27"/>
      <c r="G249" s="27"/>
      <c r="H249" s="27"/>
      <c r="I249" s="27"/>
      <c r="J249" s="27"/>
    </row>
    <row r="250">
      <c r="F250" s="27"/>
      <c r="G250" s="27"/>
      <c r="H250" s="27"/>
      <c r="I250" s="27"/>
      <c r="J250" s="27"/>
    </row>
    <row r="251">
      <c r="F251" s="27"/>
      <c r="G251" s="27"/>
      <c r="H251" s="27"/>
      <c r="I251" s="27"/>
      <c r="J251" s="27"/>
    </row>
    <row r="252">
      <c r="F252" s="27"/>
      <c r="G252" s="27"/>
      <c r="H252" s="27"/>
      <c r="I252" s="27"/>
      <c r="J252" s="27"/>
    </row>
    <row r="253">
      <c r="F253" s="27"/>
      <c r="G253" s="27"/>
      <c r="H253" s="27"/>
      <c r="I253" s="27"/>
      <c r="J253" s="27"/>
    </row>
    <row r="254">
      <c r="F254" s="27"/>
      <c r="G254" s="27"/>
      <c r="H254" s="27"/>
      <c r="I254" s="27"/>
      <c r="J254" s="27"/>
    </row>
    <row r="255">
      <c r="F255" s="27"/>
      <c r="G255" s="27"/>
      <c r="H255" s="27"/>
      <c r="I255" s="27"/>
      <c r="J255" s="27"/>
    </row>
    <row r="256">
      <c r="F256" s="27"/>
      <c r="G256" s="27"/>
      <c r="H256" s="27"/>
      <c r="I256" s="27"/>
      <c r="J256" s="27"/>
    </row>
    <row r="257">
      <c r="F257" s="27"/>
      <c r="G257" s="27"/>
      <c r="H257" s="27"/>
      <c r="I257" s="27"/>
      <c r="J257" s="27"/>
    </row>
    <row r="258">
      <c r="F258" s="27"/>
      <c r="G258" s="27"/>
      <c r="H258" s="27"/>
      <c r="I258" s="27"/>
      <c r="J258" s="27"/>
    </row>
    <row r="259">
      <c r="F259" s="27"/>
      <c r="G259" s="27"/>
      <c r="H259" s="27"/>
      <c r="I259" s="27"/>
      <c r="J259" s="27"/>
    </row>
    <row r="260">
      <c r="F260" s="27"/>
      <c r="G260" s="27"/>
      <c r="H260" s="27"/>
      <c r="I260" s="27"/>
      <c r="J260" s="27"/>
    </row>
    <row r="261">
      <c r="F261" s="27"/>
      <c r="G261" s="27"/>
      <c r="H261" s="27"/>
      <c r="I261" s="27"/>
      <c r="J261" s="27"/>
    </row>
    <row r="262">
      <c r="F262" s="27"/>
      <c r="G262" s="27"/>
      <c r="H262" s="27"/>
      <c r="I262" s="27"/>
      <c r="J262" s="27"/>
    </row>
    <row r="263">
      <c r="F263" s="27"/>
      <c r="G263" s="27"/>
      <c r="H263" s="27"/>
      <c r="I263" s="27"/>
      <c r="J263" s="27"/>
    </row>
    <row r="264">
      <c r="F264" s="27"/>
      <c r="G264" s="27"/>
      <c r="H264" s="27"/>
      <c r="I264" s="27"/>
      <c r="J264" s="27"/>
    </row>
    <row r="265">
      <c r="F265" s="27"/>
      <c r="G265" s="27"/>
      <c r="H265" s="27"/>
      <c r="I265" s="27"/>
      <c r="J265" s="27"/>
    </row>
    <row r="266">
      <c r="F266" s="27"/>
      <c r="G266" s="27"/>
      <c r="H266" s="27"/>
      <c r="I266" s="27"/>
      <c r="J266" s="27"/>
    </row>
    <row r="267">
      <c r="F267" s="27"/>
      <c r="G267" s="27"/>
      <c r="H267" s="27"/>
      <c r="I267" s="27"/>
      <c r="J267" s="27"/>
    </row>
    <row r="268">
      <c r="F268" s="27"/>
      <c r="G268" s="27"/>
      <c r="H268" s="27"/>
      <c r="I268" s="27"/>
      <c r="J268" s="27"/>
    </row>
    <row r="269">
      <c r="F269" s="27"/>
      <c r="G269" s="27"/>
      <c r="H269" s="27"/>
      <c r="I269" s="27"/>
      <c r="J269" s="27"/>
    </row>
    <row r="270">
      <c r="F270" s="27"/>
      <c r="G270" s="27"/>
      <c r="H270" s="27"/>
      <c r="I270" s="27"/>
      <c r="J270" s="27"/>
    </row>
    <row r="271">
      <c r="F271" s="27"/>
      <c r="G271" s="27"/>
      <c r="H271" s="27"/>
      <c r="I271" s="27"/>
      <c r="J271" s="27"/>
    </row>
    <row r="272">
      <c r="F272" s="27"/>
      <c r="G272" s="27"/>
      <c r="H272" s="27"/>
      <c r="I272" s="27"/>
      <c r="J272" s="27"/>
    </row>
    <row r="273">
      <c r="F273" s="27"/>
      <c r="G273" s="27"/>
      <c r="H273" s="27"/>
      <c r="I273" s="27"/>
      <c r="J273" s="27"/>
    </row>
    <row r="274">
      <c r="F274" s="27"/>
      <c r="G274" s="27"/>
      <c r="H274" s="27"/>
      <c r="I274" s="27"/>
      <c r="J274" s="27"/>
    </row>
    <row r="275">
      <c r="F275" s="27"/>
      <c r="G275" s="27"/>
      <c r="H275" s="27"/>
      <c r="I275" s="27"/>
      <c r="J275" s="27"/>
    </row>
    <row r="276">
      <c r="F276" s="27"/>
      <c r="G276" s="27"/>
      <c r="H276" s="27"/>
      <c r="I276" s="27"/>
      <c r="J276" s="27"/>
    </row>
    <row r="277">
      <c r="F277" s="27"/>
      <c r="G277" s="27"/>
      <c r="H277" s="27"/>
      <c r="I277" s="27"/>
      <c r="J277" s="27"/>
    </row>
    <row r="278">
      <c r="F278" s="27"/>
      <c r="G278" s="27"/>
      <c r="H278" s="27"/>
      <c r="I278" s="27"/>
      <c r="J278" s="27"/>
    </row>
    <row r="279">
      <c r="F279" s="27"/>
      <c r="G279" s="27"/>
      <c r="H279" s="27"/>
      <c r="I279" s="27"/>
      <c r="J279" s="27"/>
    </row>
    <row r="280">
      <c r="F280" s="27"/>
      <c r="G280" s="27"/>
      <c r="H280" s="27"/>
      <c r="I280" s="27"/>
      <c r="J280" s="27"/>
    </row>
    <row r="281">
      <c r="F281" s="27"/>
      <c r="G281" s="27"/>
      <c r="H281" s="27"/>
      <c r="I281" s="27"/>
      <c r="J281" s="27"/>
    </row>
    <row r="282">
      <c r="F282" s="27"/>
      <c r="G282" s="27"/>
      <c r="H282" s="27"/>
      <c r="I282" s="27"/>
      <c r="J282" s="27"/>
    </row>
    <row r="283">
      <c r="F283" s="27"/>
      <c r="G283" s="27"/>
      <c r="H283" s="27"/>
      <c r="I283" s="27"/>
      <c r="J283" s="27"/>
    </row>
    <row r="284">
      <c r="F284" s="27"/>
      <c r="G284" s="27"/>
      <c r="H284" s="27"/>
      <c r="I284" s="27"/>
      <c r="J284" s="27"/>
    </row>
    <row r="285">
      <c r="F285" s="27"/>
      <c r="G285" s="27"/>
      <c r="H285" s="27"/>
      <c r="I285" s="27"/>
      <c r="J285" s="27"/>
    </row>
    <row r="286">
      <c r="F286" s="27"/>
      <c r="G286" s="27"/>
      <c r="H286" s="27"/>
      <c r="I286" s="27"/>
      <c r="J286" s="27"/>
    </row>
    <row r="287">
      <c r="F287" s="27"/>
      <c r="G287" s="27"/>
      <c r="H287" s="27"/>
      <c r="I287" s="27"/>
      <c r="J287" s="27"/>
    </row>
    <row r="288">
      <c r="F288" s="27"/>
      <c r="G288" s="27"/>
      <c r="H288" s="27"/>
      <c r="I288" s="27"/>
      <c r="J288" s="27"/>
    </row>
    <row r="289">
      <c r="F289" s="27"/>
      <c r="G289" s="27"/>
      <c r="H289" s="27"/>
      <c r="I289" s="27"/>
      <c r="J289" s="27"/>
    </row>
    <row r="290">
      <c r="F290" s="27"/>
      <c r="G290" s="27"/>
      <c r="H290" s="27"/>
      <c r="I290" s="27"/>
      <c r="J290" s="27"/>
    </row>
    <row r="291">
      <c r="F291" s="27"/>
      <c r="G291" s="27"/>
      <c r="H291" s="27"/>
      <c r="I291" s="27"/>
      <c r="J291" s="27"/>
    </row>
    <row r="292">
      <c r="F292" s="27"/>
      <c r="G292" s="27"/>
      <c r="H292" s="27"/>
      <c r="I292" s="27"/>
      <c r="J292" s="27"/>
    </row>
    <row r="293">
      <c r="F293" s="27"/>
      <c r="G293" s="27"/>
      <c r="H293" s="27"/>
      <c r="I293" s="27"/>
      <c r="J293" s="27"/>
    </row>
    <row r="294">
      <c r="F294" s="27"/>
      <c r="G294" s="27"/>
      <c r="H294" s="27"/>
      <c r="I294" s="27"/>
      <c r="J294" s="27"/>
    </row>
    <row r="295">
      <c r="F295" s="27"/>
      <c r="G295" s="27"/>
      <c r="H295" s="27"/>
      <c r="I295" s="27"/>
      <c r="J295" s="27"/>
    </row>
    <row r="296">
      <c r="F296" s="27"/>
      <c r="G296" s="27"/>
      <c r="H296" s="27"/>
      <c r="I296" s="27"/>
      <c r="J296" s="27"/>
    </row>
    <row r="297">
      <c r="F297" s="27"/>
      <c r="G297" s="27"/>
      <c r="H297" s="27"/>
      <c r="I297" s="27"/>
      <c r="J297" s="27"/>
    </row>
    <row r="298">
      <c r="F298" s="27"/>
      <c r="G298" s="27"/>
      <c r="H298" s="27"/>
      <c r="I298" s="27"/>
      <c r="J298" s="27"/>
    </row>
    <row r="299">
      <c r="F299" s="27"/>
      <c r="G299" s="27"/>
      <c r="H299" s="27"/>
      <c r="I299" s="27"/>
      <c r="J299" s="27"/>
    </row>
    <row r="300">
      <c r="F300" s="27"/>
      <c r="G300" s="27"/>
      <c r="H300" s="27"/>
      <c r="I300" s="27"/>
      <c r="J300" s="27"/>
    </row>
    <row r="301">
      <c r="F301" s="27"/>
      <c r="G301" s="27"/>
      <c r="H301" s="27"/>
      <c r="I301" s="27"/>
      <c r="J301" s="27"/>
    </row>
    <row r="302">
      <c r="F302" s="27"/>
      <c r="G302" s="27"/>
      <c r="H302" s="27"/>
      <c r="I302" s="27"/>
      <c r="J302" s="27"/>
    </row>
    <row r="303">
      <c r="F303" s="27"/>
      <c r="G303" s="27"/>
      <c r="H303" s="27"/>
      <c r="I303" s="27"/>
      <c r="J303" s="27"/>
    </row>
    <row r="304">
      <c r="F304" s="27"/>
      <c r="G304" s="27"/>
      <c r="H304" s="27"/>
      <c r="I304" s="27"/>
      <c r="J304" s="27"/>
    </row>
    <row r="305">
      <c r="F305" s="27"/>
      <c r="G305" s="27"/>
      <c r="H305" s="27"/>
      <c r="I305" s="27"/>
      <c r="J305" s="27"/>
    </row>
    <row r="306">
      <c r="F306" s="27"/>
      <c r="G306" s="27"/>
      <c r="H306" s="27"/>
      <c r="I306" s="27"/>
      <c r="J306" s="27"/>
    </row>
    <row r="307">
      <c r="F307" s="27"/>
      <c r="G307" s="27"/>
      <c r="H307" s="27"/>
      <c r="I307" s="27"/>
      <c r="J307" s="27"/>
    </row>
    <row r="308">
      <c r="F308" s="27"/>
      <c r="G308" s="27"/>
      <c r="H308" s="27"/>
      <c r="I308" s="27"/>
      <c r="J308" s="27"/>
    </row>
    <row r="309">
      <c r="F309" s="27"/>
      <c r="G309" s="27"/>
      <c r="H309" s="27"/>
      <c r="I309" s="27"/>
      <c r="J309" s="27"/>
    </row>
    <row r="310">
      <c r="F310" s="27"/>
      <c r="G310" s="27"/>
      <c r="H310" s="27"/>
      <c r="I310" s="27"/>
      <c r="J310" s="27"/>
    </row>
    <row r="311">
      <c r="F311" s="27"/>
      <c r="G311" s="27"/>
      <c r="H311" s="27"/>
      <c r="I311" s="27"/>
      <c r="J311" s="27"/>
    </row>
    <row r="312">
      <c r="F312" s="27"/>
      <c r="G312" s="27"/>
      <c r="H312" s="27"/>
      <c r="I312" s="27"/>
      <c r="J312" s="27"/>
    </row>
    <row r="313">
      <c r="F313" s="27"/>
      <c r="G313" s="27"/>
      <c r="H313" s="27"/>
      <c r="I313" s="27"/>
      <c r="J313" s="27"/>
    </row>
    <row r="314">
      <c r="F314" s="27"/>
      <c r="G314" s="27"/>
      <c r="H314" s="27"/>
      <c r="I314" s="27"/>
      <c r="J314" s="27"/>
    </row>
    <row r="315">
      <c r="F315" s="27"/>
      <c r="G315" s="27"/>
      <c r="H315" s="27"/>
      <c r="I315" s="27"/>
      <c r="J315" s="27"/>
    </row>
    <row r="316">
      <c r="F316" s="27"/>
      <c r="G316" s="27"/>
      <c r="H316" s="27"/>
      <c r="I316" s="27"/>
      <c r="J316" s="27"/>
    </row>
    <row r="317">
      <c r="F317" s="27"/>
      <c r="G317" s="27"/>
      <c r="H317" s="27"/>
      <c r="I317" s="27"/>
      <c r="J317" s="27"/>
    </row>
    <row r="318">
      <c r="F318" s="27"/>
      <c r="G318" s="27"/>
      <c r="H318" s="27"/>
      <c r="I318" s="27"/>
      <c r="J318" s="27"/>
    </row>
    <row r="319">
      <c r="F319" s="27"/>
      <c r="G319" s="27"/>
      <c r="H319" s="27"/>
      <c r="I319" s="27"/>
      <c r="J319" s="27"/>
    </row>
    <row r="320">
      <c r="F320" s="27"/>
      <c r="G320" s="27"/>
      <c r="H320" s="27"/>
      <c r="I320" s="27"/>
      <c r="J320" s="27"/>
    </row>
    <row r="321">
      <c r="F321" s="27"/>
      <c r="G321" s="27"/>
      <c r="H321" s="27"/>
      <c r="I321" s="27"/>
      <c r="J321" s="27"/>
    </row>
    <row r="322">
      <c r="F322" s="27"/>
      <c r="G322" s="27"/>
      <c r="H322" s="27"/>
      <c r="I322" s="27"/>
      <c r="J322" s="27"/>
    </row>
    <row r="323">
      <c r="F323" s="27"/>
      <c r="G323" s="27"/>
      <c r="H323" s="27"/>
      <c r="I323" s="27"/>
      <c r="J323" s="27"/>
    </row>
    <row r="324">
      <c r="F324" s="27"/>
      <c r="G324" s="27"/>
      <c r="H324" s="27"/>
      <c r="I324" s="27"/>
      <c r="J324" s="27"/>
    </row>
    <row r="325">
      <c r="F325" s="27"/>
      <c r="G325" s="27"/>
      <c r="H325" s="27"/>
      <c r="I325" s="27"/>
      <c r="J325" s="27"/>
    </row>
    <row r="326">
      <c r="F326" s="27"/>
      <c r="G326" s="27"/>
      <c r="H326" s="27"/>
      <c r="I326" s="27"/>
      <c r="J326" s="27"/>
    </row>
    <row r="327">
      <c r="F327" s="27"/>
      <c r="G327" s="27"/>
      <c r="H327" s="27"/>
      <c r="I327" s="27"/>
      <c r="J327" s="27"/>
    </row>
    <row r="328">
      <c r="F328" s="27"/>
      <c r="G328" s="27"/>
      <c r="H328" s="27"/>
      <c r="I328" s="27"/>
      <c r="J328" s="27"/>
    </row>
    <row r="329">
      <c r="F329" s="27"/>
      <c r="G329" s="27"/>
      <c r="H329" s="27"/>
      <c r="I329" s="27"/>
      <c r="J329" s="27"/>
    </row>
    <row r="330">
      <c r="F330" s="27"/>
      <c r="G330" s="27"/>
      <c r="H330" s="27"/>
      <c r="I330" s="27"/>
      <c r="J330" s="27"/>
    </row>
    <row r="331">
      <c r="F331" s="27"/>
      <c r="G331" s="27"/>
      <c r="H331" s="27"/>
      <c r="I331" s="27"/>
      <c r="J331" s="27"/>
    </row>
    <row r="332">
      <c r="F332" s="27"/>
      <c r="G332" s="27"/>
      <c r="H332" s="27"/>
      <c r="I332" s="27"/>
      <c r="J332" s="27"/>
    </row>
    <row r="333">
      <c r="F333" s="27"/>
      <c r="G333" s="27"/>
      <c r="H333" s="27"/>
      <c r="I333" s="27"/>
      <c r="J333" s="27"/>
    </row>
    <row r="334">
      <c r="F334" s="27"/>
      <c r="G334" s="27"/>
      <c r="H334" s="27"/>
      <c r="I334" s="27"/>
      <c r="J334" s="27"/>
    </row>
    <row r="335">
      <c r="F335" s="27"/>
      <c r="G335" s="27"/>
      <c r="H335" s="27"/>
      <c r="I335" s="27"/>
      <c r="J335" s="27"/>
    </row>
    <row r="336">
      <c r="F336" s="27"/>
      <c r="G336" s="27"/>
      <c r="H336" s="27"/>
      <c r="I336" s="27"/>
      <c r="J336" s="27"/>
    </row>
    <row r="337">
      <c r="F337" s="27"/>
      <c r="G337" s="27"/>
      <c r="H337" s="27"/>
      <c r="I337" s="27"/>
      <c r="J337" s="27"/>
    </row>
    <row r="338">
      <c r="F338" s="27"/>
      <c r="G338" s="27"/>
      <c r="H338" s="27"/>
      <c r="I338" s="27"/>
      <c r="J338" s="27"/>
    </row>
    <row r="339">
      <c r="F339" s="27"/>
      <c r="G339" s="27"/>
      <c r="H339" s="27"/>
      <c r="I339" s="27"/>
      <c r="J339" s="27"/>
    </row>
    <row r="340">
      <c r="F340" s="27"/>
      <c r="G340" s="27"/>
      <c r="H340" s="27"/>
      <c r="I340" s="27"/>
      <c r="J340" s="27"/>
    </row>
    <row r="341">
      <c r="F341" s="27"/>
      <c r="G341" s="27"/>
      <c r="H341" s="27"/>
      <c r="I341" s="27"/>
      <c r="J341" s="27"/>
    </row>
    <row r="342">
      <c r="F342" s="27"/>
      <c r="G342" s="27"/>
      <c r="H342" s="27"/>
      <c r="I342" s="27"/>
      <c r="J342" s="27"/>
    </row>
    <row r="343">
      <c r="F343" s="27"/>
      <c r="G343" s="27"/>
      <c r="H343" s="27"/>
      <c r="I343" s="27"/>
      <c r="J343" s="27"/>
    </row>
    <row r="344">
      <c r="F344" s="27"/>
      <c r="G344" s="27"/>
      <c r="H344" s="27"/>
      <c r="I344" s="27"/>
      <c r="J344" s="27"/>
    </row>
    <row r="345">
      <c r="F345" s="27"/>
      <c r="G345" s="27"/>
      <c r="H345" s="27"/>
      <c r="I345" s="27"/>
      <c r="J345" s="27"/>
    </row>
    <row r="346">
      <c r="F346" s="27"/>
      <c r="G346" s="27"/>
      <c r="H346" s="27"/>
      <c r="I346" s="27"/>
      <c r="J346" s="27"/>
    </row>
    <row r="347">
      <c r="F347" s="27"/>
      <c r="G347" s="27"/>
      <c r="H347" s="27"/>
      <c r="I347" s="27"/>
      <c r="J347" s="27"/>
    </row>
    <row r="348">
      <c r="F348" s="27"/>
      <c r="G348" s="27"/>
      <c r="H348" s="27"/>
      <c r="I348" s="27"/>
      <c r="J348" s="27"/>
    </row>
    <row r="349">
      <c r="F349" s="27"/>
      <c r="G349" s="27"/>
      <c r="H349" s="27"/>
      <c r="I349" s="27"/>
      <c r="J349" s="27"/>
    </row>
    <row r="350">
      <c r="F350" s="27"/>
      <c r="G350" s="27"/>
      <c r="H350" s="27"/>
      <c r="I350" s="27"/>
      <c r="J350" s="27"/>
    </row>
    <row r="351">
      <c r="F351" s="27"/>
      <c r="G351" s="27"/>
      <c r="H351" s="27"/>
      <c r="I351" s="27"/>
      <c r="J351" s="27"/>
    </row>
    <row r="352">
      <c r="F352" s="27"/>
      <c r="G352" s="27"/>
      <c r="H352" s="27"/>
      <c r="I352" s="27"/>
      <c r="J352" s="27"/>
    </row>
    <row r="353">
      <c r="F353" s="27"/>
      <c r="G353" s="27"/>
      <c r="H353" s="27"/>
      <c r="I353" s="27"/>
      <c r="J353" s="27"/>
    </row>
    <row r="354">
      <c r="F354" s="27"/>
      <c r="G354" s="27"/>
      <c r="H354" s="27"/>
      <c r="I354" s="27"/>
      <c r="J354" s="27"/>
    </row>
    <row r="355">
      <c r="F355" s="27"/>
      <c r="G355" s="27"/>
      <c r="H355" s="27"/>
      <c r="I355" s="27"/>
      <c r="J355" s="27"/>
    </row>
    <row r="356">
      <c r="F356" s="27"/>
      <c r="G356" s="27"/>
      <c r="H356" s="27"/>
      <c r="I356" s="27"/>
      <c r="J356" s="27"/>
    </row>
    <row r="357">
      <c r="F357" s="27"/>
      <c r="G357" s="27"/>
      <c r="H357" s="27"/>
      <c r="I357" s="27"/>
      <c r="J357" s="27"/>
    </row>
    <row r="358">
      <c r="F358" s="27"/>
      <c r="G358" s="27"/>
      <c r="H358" s="27"/>
      <c r="I358" s="27"/>
      <c r="J358" s="27"/>
    </row>
    <row r="359">
      <c r="F359" s="27"/>
      <c r="G359" s="27"/>
      <c r="H359" s="27"/>
      <c r="I359" s="27"/>
      <c r="J359" s="27"/>
    </row>
    <row r="360">
      <c r="F360" s="27"/>
      <c r="G360" s="27"/>
      <c r="H360" s="27"/>
      <c r="I360" s="27"/>
      <c r="J360" s="27"/>
    </row>
    <row r="361">
      <c r="F361" s="27"/>
      <c r="G361" s="27"/>
      <c r="H361" s="27"/>
      <c r="I361" s="27"/>
      <c r="J361" s="27"/>
    </row>
    <row r="362">
      <c r="F362" s="27"/>
      <c r="G362" s="27"/>
      <c r="H362" s="27"/>
      <c r="I362" s="27"/>
      <c r="J362" s="27"/>
    </row>
    <row r="363">
      <c r="F363" s="27"/>
      <c r="G363" s="27"/>
      <c r="H363" s="27"/>
      <c r="I363" s="27"/>
      <c r="J363" s="27"/>
    </row>
    <row r="364">
      <c r="F364" s="27"/>
      <c r="G364" s="27"/>
      <c r="H364" s="27"/>
      <c r="I364" s="27"/>
      <c r="J364" s="27"/>
    </row>
    <row r="365">
      <c r="F365" s="27"/>
      <c r="G365" s="27"/>
      <c r="H365" s="27"/>
      <c r="I365" s="27"/>
      <c r="J365" s="27"/>
    </row>
    <row r="366">
      <c r="F366" s="27"/>
      <c r="G366" s="27"/>
      <c r="H366" s="27"/>
      <c r="I366" s="27"/>
      <c r="J366" s="27"/>
    </row>
    <row r="367">
      <c r="F367" s="27"/>
      <c r="G367" s="27"/>
      <c r="H367" s="27"/>
      <c r="I367" s="27"/>
      <c r="J367" s="27"/>
    </row>
    <row r="368">
      <c r="F368" s="27"/>
      <c r="G368" s="27"/>
      <c r="H368" s="27"/>
      <c r="I368" s="27"/>
      <c r="J368" s="27"/>
    </row>
    <row r="369">
      <c r="F369" s="27"/>
      <c r="G369" s="27"/>
      <c r="H369" s="27"/>
      <c r="I369" s="27"/>
      <c r="J369" s="27"/>
    </row>
    <row r="370">
      <c r="F370" s="27"/>
      <c r="G370" s="27"/>
      <c r="H370" s="27"/>
      <c r="I370" s="27"/>
      <c r="J370" s="27"/>
    </row>
    <row r="371">
      <c r="F371" s="27"/>
      <c r="G371" s="27"/>
      <c r="H371" s="27"/>
      <c r="I371" s="27"/>
      <c r="J371" s="27"/>
    </row>
    <row r="372">
      <c r="F372" s="27"/>
      <c r="G372" s="27"/>
      <c r="H372" s="27"/>
      <c r="I372" s="27"/>
      <c r="J372" s="27"/>
    </row>
    <row r="373">
      <c r="F373" s="27"/>
      <c r="G373" s="27"/>
      <c r="H373" s="27"/>
      <c r="I373" s="27"/>
      <c r="J373" s="27"/>
    </row>
    <row r="374">
      <c r="F374" s="27"/>
      <c r="G374" s="27"/>
      <c r="H374" s="27"/>
      <c r="I374" s="27"/>
      <c r="J374" s="27"/>
    </row>
    <row r="375">
      <c r="F375" s="27"/>
      <c r="G375" s="27"/>
      <c r="H375" s="27"/>
      <c r="I375" s="27"/>
      <c r="J375" s="27"/>
    </row>
    <row r="376">
      <c r="F376" s="27"/>
      <c r="G376" s="27"/>
      <c r="H376" s="27"/>
      <c r="I376" s="27"/>
      <c r="J376" s="27"/>
    </row>
    <row r="377">
      <c r="F377" s="27"/>
      <c r="G377" s="27"/>
      <c r="H377" s="27"/>
      <c r="I377" s="27"/>
      <c r="J377" s="27"/>
    </row>
    <row r="378">
      <c r="F378" s="27"/>
      <c r="G378" s="27"/>
      <c r="H378" s="27"/>
      <c r="I378" s="27"/>
      <c r="J378" s="27"/>
    </row>
    <row r="379">
      <c r="F379" s="27"/>
      <c r="G379" s="27"/>
      <c r="H379" s="27"/>
      <c r="I379" s="27"/>
      <c r="J379" s="27"/>
    </row>
    <row r="380">
      <c r="F380" s="27"/>
      <c r="G380" s="27"/>
      <c r="H380" s="27"/>
      <c r="I380" s="27"/>
      <c r="J380" s="27"/>
    </row>
    <row r="381">
      <c r="F381" s="27"/>
      <c r="G381" s="27"/>
      <c r="H381" s="27"/>
      <c r="I381" s="27"/>
      <c r="J381" s="27"/>
    </row>
    <row r="382">
      <c r="F382" s="27"/>
      <c r="G382" s="27"/>
      <c r="H382" s="27"/>
      <c r="I382" s="27"/>
      <c r="J382" s="27"/>
    </row>
    <row r="383">
      <c r="F383" s="27"/>
      <c r="G383" s="27"/>
      <c r="H383" s="27"/>
      <c r="I383" s="27"/>
      <c r="J383" s="27"/>
    </row>
    <row r="384">
      <c r="F384" s="27"/>
      <c r="G384" s="27"/>
      <c r="H384" s="27"/>
      <c r="I384" s="27"/>
      <c r="J384" s="27"/>
    </row>
    <row r="385">
      <c r="F385" s="27"/>
      <c r="G385" s="27"/>
      <c r="H385" s="27"/>
      <c r="I385" s="27"/>
      <c r="J385" s="27"/>
    </row>
    <row r="386">
      <c r="F386" s="27"/>
      <c r="G386" s="27"/>
      <c r="H386" s="27"/>
      <c r="I386" s="27"/>
      <c r="J386" s="27"/>
    </row>
    <row r="387">
      <c r="F387" s="27"/>
      <c r="G387" s="27"/>
      <c r="H387" s="27"/>
      <c r="I387" s="27"/>
      <c r="J387" s="27"/>
    </row>
    <row r="388">
      <c r="F388" s="27"/>
      <c r="G388" s="27"/>
      <c r="H388" s="27"/>
      <c r="I388" s="27"/>
      <c r="J388" s="27"/>
    </row>
    <row r="389">
      <c r="F389" s="27"/>
      <c r="G389" s="27"/>
      <c r="H389" s="27"/>
      <c r="I389" s="27"/>
      <c r="J389" s="27"/>
    </row>
    <row r="390">
      <c r="F390" s="27"/>
      <c r="G390" s="27"/>
      <c r="H390" s="27"/>
      <c r="I390" s="27"/>
      <c r="J390" s="27"/>
    </row>
    <row r="391">
      <c r="F391" s="27"/>
      <c r="G391" s="27"/>
      <c r="H391" s="27"/>
      <c r="I391" s="27"/>
      <c r="J391" s="27"/>
    </row>
    <row r="392">
      <c r="F392" s="27"/>
      <c r="G392" s="27"/>
      <c r="H392" s="27"/>
      <c r="I392" s="27"/>
      <c r="J392" s="27"/>
    </row>
    <row r="393">
      <c r="F393" s="27"/>
      <c r="G393" s="27"/>
      <c r="H393" s="27"/>
      <c r="I393" s="27"/>
      <c r="J393" s="27"/>
    </row>
    <row r="394">
      <c r="F394" s="27"/>
      <c r="G394" s="27"/>
      <c r="H394" s="27"/>
      <c r="I394" s="27"/>
      <c r="J394" s="27"/>
    </row>
    <row r="395">
      <c r="F395" s="27"/>
      <c r="G395" s="27"/>
      <c r="H395" s="27"/>
      <c r="I395" s="27"/>
      <c r="J395" s="27"/>
    </row>
    <row r="396">
      <c r="F396" s="27"/>
      <c r="G396" s="27"/>
      <c r="H396" s="27"/>
      <c r="I396" s="27"/>
      <c r="J396" s="27"/>
    </row>
    <row r="397">
      <c r="F397" s="27"/>
      <c r="G397" s="27"/>
      <c r="H397" s="27"/>
      <c r="I397" s="27"/>
      <c r="J397" s="27"/>
    </row>
    <row r="398">
      <c r="F398" s="27"/>
      <c r="G398" s="27"/>
      <c r="H398" s="27"/>
      <c r="I398" s="27"/>
      <c r="J398" s="27"/>
    </row>
    <row r="399">
      <c r="F399" s="27"/>
      <c r="G399" s="27"/>
      <c r="H399" s="27"/>
      <c r="I399" s="27"/>
      <c r="J399" s="27"/>
    </row>
    <row r="400">
      <c r="F400" s="27"/>
      <c r="G400" s="27"/>
      <c r="H400" s="27"/>
      <c r="I400" s="27"/>
      <c r="J400" s="27"/>
    </row>
    <row r="401">
      <c r="F401" s="27"/>
      <c r="G401" s="27"/>
      <c r="H401" s="27"/>
      <c r="I401" s="27"/>
      <c r="J401" s="27"/>
    </row>
    <row r="402">
      <c r="F402" s="27"/>
      <c r="G402" s="27"/>
      <c r="H402" s="27"/>
      <c r="I402" s="27"/>
      <c r="J402" s="27"/>
    </row>
    <row r="403">
      <c r="F403" s="27"/>
      <c r="G403" s="27"/>
      <c r="H403" s="27"/>
      <c r="I403" s="27"/>
      <c r="J403" s="27"/>
    </row>
    <row r="404">
      <c r="F404" s="27"/>
      <c r="G404" s="27"/>
      <c r="H404" s="27"/>
      <c r="I404" s="27"/>
      <c r="J404" s="27"/>
    </row>
    <row r="405">
      <c r="F405" s="27"/>
      <c r="G405" s="27"/>
      <c r="H405" s="27"/>
      <c r="I405" s="27"/>
      <c r="J405" s="27"/>
    </row>
    <row r="406">
      <c r="F406" s="27"/>
      <c r="G406" s="27"/>
      <c r="H406" s="27"/>
      <c r="I406" s="27"/>
      <c r="J406" s="27"/>
    </row>
    <row r="407">
      <c r="F407" s="27"/>
      <c r="G407" s="27"/>
      <c r="H407" s="27"/>
      <c r="I407" s="27"/>
      <c r="J407" s="27"/>
    </row>
    <row r="408">
      <c r="F408" s="27"/>
      <c r="G408" s="27"/>
      <c r="H408" s="27"/>
      <c r="I408" s="27"/>
      <c r="J408" s="27"/>
    </row>
    <row r="409">
      <c r="F409" s="27"/>
      <c r="G409" s="27"/>
      <c r="H409" s="27"/>
      <c r="I409" s="27"/>
      <c r="J409" s="27"/>
    </row>
    <row r="410">
      <c r="F410" s="27"/>
      <c r="G410" s="27"/>
      <c r="H410" s="27"/>
      <c r="I410" s="27"/>
      <c r="J410" s="27"/>
    </row>
    <row r="411">
      <c r="F411" s="27"/>
      <c r="G411" s="27"/>
      <c r="H411" s="27"/>
      <c r="I411" s="27"/>
      <c r="J411" s="27"/>
    </row>
    <row r="412">
      <c r="F412" s="27"/>
      <c r="G412" s="27"/>
      <c r="H412" s="27"/>
      <c r="I412" s="27"/>
      <c r="J412" s="27"/>
    </row>
    <row r="413">
      <c r="F413" s="27"/>
      <c r="G413" s="27"/>
      <c r="H413" s="27"/>
      <c r="I413" s="27"/>
      <c r="J413" s="27"/>
    </row>
    <row r="414">
      <c r="F414" s="27"/>
      <c r="G414" s="27"/>
      <c r="H414" s="27"/>
      <c r="I414" s="27"/>
      <c r="J414" s="27"/>
    </row>
    <row r="415">
      <c r="F415" s="27"/>
      <c r="G415" s="27"/>
      <c r="H415" s="27"/>
      <c r="I415" s="27"/>
      <c r="J415" s="27"/>
    </row>
    <row r="416">
      <c r="F416" s="27"/>
      <c r="G416" s="27"/>
      <c r="H416" s="27"/>
      <c r="I416" s="27"/>
      <c r="J416" s="27"/>
    </row>
    <row r="417">
      <c r="F417" s="27"/>
      <c r="G417" s="27"/>
      <c r="H417" s="27"/>
      <c r="I417" s="27"/>
      <c r="J417" s="27"/>
    </row>
    <row r="418">
      <c r="F418" s="27"/>
      <c r="G418" s="27"/>
      <c r="H418" s="27"/>
      <c r="I418" s="27"/>
      <c r="J418" s="27"/>
    </row>
    <row r="419">
      <c r="F419" s="27"/>
      <c r="G419" s="27"/>
      <c r="H419" s="27"/>
      <c r="I419" s="27"/>
      <c r="J419" s="27"/>
    </row>
    <row r="420">
      <c r="F420" s="27"/>
      <c r="G420" s="27"/>
      <c r="H420" s="27"/>
      <c r="I420" s="27"/>
      <c r="J420" s="27"/>
    </row>
    <row r="421">
      <c r="F421" s="27"/>
      <c r="G421" s="27"/>
      <c r="H421" s="27"/>
      <c r="I421" s="27"/>
      <c r="J421" s="27"/>
    </row>
    <row r="422">
      <c r="F422" s="27"/>
      <c r="G422" s="27"/>
      <c r="H422" s="27"/>
      <c r="I422" s="27"/>
      <c r="J422" s="27"/>
    </row>
    <row r="423">
      <c r="F423" s="27"/>
      <c r="G423" s="27"/>
      <c r="H423" s="27"/>
      <c r="I423" s="27"/>
      <c r="J423" s="27"/>
    </row>
    <row r="424">
      <c r="F424" s="27"/>
      <c r="G424" s="27"/>
      <c r="H424" s="27"/>
      <c r="I424" s="27"/>
      <c r="J424" s="27"/>
    </row>
    <row r="425">
      <c r="F425" s="27"/>
      <c r="G425" s="27"/>
      <c r="H425" s="27"/>
      <c r="I425" s="27"/>
      <c r="J425" s="27"/>
    </row>
    <row r="426">
      <c r="F426" s="27"/>
      <c r="G426" s="27"/>
      <c r="H426" s="27"/>
      <c r="I426" s="27"/>
      <c r="J426" s="27"/>
    </row>
    <row r="427">
      <c r="F427" s="27"/>
      <c r="G427" s="27"/>
      <c r="H427" s="27"/>
      <c r="I427" s="27"/>
      <c r="J427" s="27"/>
    </row>
    <row r="428">
      <c r="F428" s="27"/>
      <c r="G428" s="27"/>
      <c r="H428" s="27"/>
      <c r="I428" s="27"/>
      <c r="J428" s="27"/>
    </row>
    <row r="429">
      <c r="F429" s="27"/>
      <c r="G429" s="27"/>
      <c r="H429" s="27"/>
      <c r="I429" s="27"/>
      <c r="J429" s="27"/>
    </row>
    <row r="430">
      <c r="F430" s="27"/>
      <c r="G430" s="27"/>
      <c r="H430" s="27"/>
      <c r="I430" s="27"/>
      <c r="J430" s="27"/>
    </row>
    <row r="431">
      <c r="F431" s="27"/>
      <c r="G431" s="27"/>
      <c r="H431" s="27"/>
      <c r="I431" s="27"/>
      <c r="J431" s="27"/>
    </row>
    <row r="432">
      <c r="F432" s="27"/>
      <c r="G432" s="27"/>
      <c r="H432" s="27"/>
      <c r="I432" s="27"/>
      <c r="J432" s="27"/>
    </row>
    <row r="433">
      <c r="F433" s="27"/>
      <c r="G433" s="27"/>
      <c r="H433" s="27"/>
      <c r="I433" s="27"/>
      <c r="J433" s="27"/>
    </row>
    <row r="434">
      <c r="F434" s="27"/>
      <c r="G434" s="27"/>
      <c r="H434" s="27"/>
      <c r="I434" s="27"/>
      <c r="J434" s="27"/>
    </row>
    <row r="435">
      <c r="F435" s="27"/>
      <c r="G435" s="27"/>
      <c r="H435" s="27"/>
      <c r="I435" s="27"/>
      <c r="J435" s="27"/>
    </row>
    <row r="436">
      <c r="F436" s="27"/>
      <c r="G436" s="27"/>
      <c r="H436" s="27"/>
      <c r="I436" s="27"/>
      <c r="J436" s="27"/>
    </row>
    <row r="437">
      <c r="F437" s="27"/>
      <c r="G437" s="27"/>
      <c r="H437" s="27"/>
      <c r="I437" s="27"/>
      <c r="J437" s="27"/>
    </row>
    <row r="438">
      <c r="F438" s="27"/>
      <c r="G438" s="27"/>
      <c r="H438" s="27"/>
      <c r="I438" s="27"/>
      <c r="J438" s="27"/>
    </row>
    <row r="439">
      <c r="F439" s="27"/>
      <c r="G439" s="27"/>
      <c r="H439" s="27"/>
      <c r="I439" s="27"/>
      <c r="J439" s="27"/>
    </row>
    <row r="440">
      <c r="F440" s="27"/>
      <c r="G440" s="27"/>
      <c r="H440" s="27"/>
      <c r="I440" s="27"/>
      <c r="J440" s="27"/>
    </row>
    <row r="441">
      <c r="F441" s="27"/>
      <c r="G441" s="27"/>
      <c r="H441" s="27"/>
      <c r="I441" s="27"/>
      <c r="J441" s="27"/>
    </row>
    <row r="442">
      <c r="F442" s="27"/>
      <c r="G442" s="27"/>
      <c r="H442" s="27"/>
      <c r="I442" s="27"/>
      <c r="J442" s="27"/>
    </row>
    <row r="443">
      <c r="F443" s="27"/>
      <c r="G443" s="27"/>
      <c r="H443" s="27"/>
      <c r="I443" s="27"/>
      <c r="J443" s="27"/>
    </row>
    <row r="444">
      <c r="F444" s="27"/>
      <c r="G444" s="27"/>
      <c r="H444" s="27"/>
      <c r="I444" s="27"/>
      <c r="J444" s="27"/>
    </row>
    <row r="445">
      <c r="F445" s="27"/>
      <c r="G445" s="27"/>
      <c r="H445" s="27"/>
      <c r="I445" s="27"/>
      <c r="J445" s="27"/>
    </row>
    <row r="446">
      <c r="F446" s="27"/>
      <c r="G446" s="27"/>
      <c r="H446" s="27"/>
      <c r="I446" s="27"/>
      <c r="J446" s="27"/>
    </row>
    <row r="447">
      <c r="F447" s="27"/>
      <c r="G447" s="27"/>
      <c r="H447" s="27"/>
      <c r="I447" s="27"/>
      <c r="J447" s="27"/>
    </row>
    <row r="448">
      <c r="F448" s="27"/>
      <c r="G448" s="27"/>
      <c r="H448" s="27"/>
      <c r="I448" s="27"/>
      <c r="J448" s="27"/>
    </row>
    <row r="449">
      <c r="F449" s="27"/>
      <c r="G449" s="27"/>
      <c r="H449" s="27"/>
      <c r="I449" s="27"/>
      <c r="J449" s="27"/>
    </row>
    <row r="450">
      <c r="F450" s="27"/>
      <c r="G450" s="27"/>
      <c r="H450" s="27"/>
      <c r="I450" s="27"/>
      <c r="J450" s="27"/>
    </row>
    <row r="451">
      <c r="F451" s="27"/>
      <c r="G451" s="27"/>
      <c r="H451" s="27"/>
      <c r="I451" s="27"/>
      <c r="J451" s="27"/>
    </row>
    <row r="452">
      <c r="F452" s="27"/>
      <c r="G452" s="27"/>
      <c r="H452" s="27"/>
      <c r="I452" s="27"/>
      <c r="J452" s="27"/>
    </row>
    <row r="453">
      <c r="F453" s="27"/>
      <c r="G453" s="27"/>
      <c r="H453" s="27"/>
      <c r="I453" s="27"/>
      <c r="J453" s="27"/>
    </row>
    <row r="454">
      <c r="F454" s="27"/>
      <c r="G454" s="27"/>
      <c r="H454" s="27"/>
      <c r="I454" s="27"/>
      <c r="J454" s="27"/>
    </row>
    <row r="455">
      <c r="F455" s="27"/>
      <c r="G455" s="27"/>
      <c r="H455" s="27"/>
      <c r="I455" s="27"/>
      <c r="J455" s="27"/>
    </row>
    <row r="456">
      <c r="F456" s="27"/>
      <c r="G456" s="27"/>
      <c r="H456" s="27"/>
      <c r="I456" s="27"/>
      <c r="J456" s="27"/>
    </row>
    <row r="457">
      <c r="F457" s="27"/>
      <c r="G457" s="27"/>
      <c r="H457" s="27"/>
      <c r="I457" s="27"/>
      <c r="J457" s="27"/>
    </row>
    <row r="458">
      <c r="F458" s="27"/>
      <c r="G458" s="27"/>
      <c r="H458" s="27"/>
      <c r="I458" s="27"/>
      <c r="J458" s="27"/>
    </row>
    <row r="459">
      <c r="F459" s="27"/>
      <c r="G459" s="27"/>
      <c r="H459" s="27"/>
      <c r="I459" s="27"/>
      <c r="J459" s="27"/>
    </row>
    <row r="460">
      <c r="F460" s="27"/>
      <c r="G460" s="27"/>
      <c r="H460" s="27"/>
      <c r="I460" s="27"/>
      <c r="J460" s="27"/>
    </row>
    <row r="461">
      <c r="F461" s="27"/>
      <c r="G461" s="27"/>
      <c r="H461" s="27"/>
      <c r="I461" s="27"/>
      <c r="J461" s="27"/>
    </row>
    <row r="462">
      <c r="F462" s="27"/>
      <c r="G462" s="27"/>
      <c r="H462" s="27"/>
      <c r="I462" s="27"/>
      <c r="J462" s="27"/>
    </row>
    <row r="463">
      <c r="F463" s="27"/>
      <c r="G463" s="27"/>
      <c r="H463" s="27"/>
      <c r="I463" s="27"/>
      <c r="J463" s="27"/>
    </row>
    <row r="464">
      <c r="F464" s="27"/>
      <c r="G464" s="27"/>
      <c r="H464" s="27"/>
      <c r="I464" s="27"/>
      <c r="J464" s="27"/>
    </row>
    <row r="465">
      <c r="F465" s="27"/>
      <c r="G465" s="27"/>
      <c r="H465" s="27"/>
      <c r="I465" s="27"/>
      <c r="J465" s="27"/>
    </row>
    <row r="466">
      <c r="F466" s="27"/>
      <c r="G466" s="27"/>
      <c r="H466" s="27"/>
      <c r="I466" s="27"/>
      <c r="J466" s="27"/>
    </row>
    <row r="467">
      <c r="F467" s="27"/>
      <c r="G467" s="27"/>
      <c r="H467" s="27"/>
      <c r="I467" s="27"/>
      <c r="J467" s="27"/>
    </row>
    <row r="468">
      <c r="F468" s="27"/>
      <c r="G468" s="27"/>
      <c r="H468" s="27"/>
      <c r="I468" s="27"/>
      <c r="J468" s="27"/>
    </row>
    <row r="469">
      <c r="F469" s="27"/>
      <c r="G469" s="27"/>
      <c r="H469" s="27"/>
      <c r="I469" s="27"/>
      <c r="J469" s="27"/>
    </row>
    <row r="470">
      <c r="F470" s="27"/>
      <c r="G470" s="27"/>
      <c r="H470" s="27"/>
      <c r="I470" s="27"/>
      <c r="J470" s="27"/>
    </row>
    <row r="471">
      <c r="F471" s="27"/>
      <c r="G471" s="27"/>
      <c r="H471" s="27"/>
      <c r="I471" s="27"/>
      <c r="J471" s="27"/>
    </row>
    <row r="472">
      <c r="F472" s="27"/>
      <c r="G472" s="27"/>
      <c r="H472" s="27"/>
      <c r="I472" s="27"/>
      <c r="J472" s="27"/>
    </row>
    <row r="473">
      <c r="F473" s="27"/>
      <c r="G473" s="27"/>
      <c r="H473" s="27"/>
      <c r="I473" s="27"/>
      <c r="J473" s="27"/>
    </row>
    <row r="474">
      <c r="F474" s="27"/>
      <c r="G474" s="27"/>
      <c r="H474" s="27"/>
      <c r="I474" s="27"/>
      <c r="J474" s="27"/>
    </row>
    <row r="475">
      <c r="F475" s="27"/>
      <c r="G475" s="27"/>
      <c r="H475" s="27"/>
      <c r="I475" s="27"/>
      <c r="J475" s="27"/>
    </row>
    <row r="476">
      <c r="F476" s="27"/>
      <c r="G476" s="27"/>
      <c r="H476" s="27"/>
      <c r="I476" s="27"/>
      <c r="J476" s="27"/>
    </row>
    <row r="477">
      <c r="F477" s="27"/>
      <c r="G477" s="27"/>
      <c r="H477" s="27"/>
      <c r="I477" s="27"/>
      <c r="J477" s="27"/>
    </row>
    <row r="478">
      <c r="F478" s="27"/>
      <c r="G478" s="27"/>
      <c r="H478" s="27"/>
      <c r="I478" s="27"/>
      <c r="J478" s="27"/>
    </row>
    <row r="479">
      <c r="F479" s="27"/>
      <c r="G479" s="27"/>
      <c r="H479" s="27"/>
      <c r="I479" s="27"/>
      <c r="J479" s="27"/>
    </row>
    <row r="480">
      <c r="F480" s="27"/>
      <c r="G480" s="27"/>
      <c r="H480" s="27"/>
      <c r="I480" s="27"/>
      <c r="J480" s="27"/>
    </row>
    <row r="481">
      <c r="F481" s="27"/>
      <c r="G481" s="27"/>
      <c r="H481" s="27"/>
      <c r="I481" s="27"/>
      <c r="J481" s="27"/>
    </row>
    <row r="482">
      <c r="F482" s="27"/>
      <c r="G482" s="27"/>
      <c r="H482" s="27"/>
      <c r="I482" s="27"/>
      <c r="J482" s="27"/>
    </row>
    <row r="483">
      <c r="F483" s="27"/>
      <c r="G483" s="27"/>
      <c r="H483" s="27"/>
      <c r="I483" s="27"/>
      <c r="J483" s="27"/>
    </row>
    <row r="484">
      <c r="F484" s="27"/>
      <c r="G484" s="27"/>
      <c r="H484" s="27"/>
      <c r="I484" s="27"/>
      <c r="J484" s="27"/>
    </row>
    <row r="485">
      <c r="F485" s="27"/>
      <c r="G485" s="27"/>
      <c r="H485" s="27"/>
      <c r="I485" s="27"/>
      <c r="J485" s="27"/>
    </row>
    <row r="486">
      <c r="F486" s="27"/>
      <c r="G486" s="27"/>
      <c r="H486" s="27"/>
      <c r="I486" s="27"/>
      <c r="J486" s="27"/>
    </row>
    <row r="487">
      <c r="F487" s="27"/>
      <c r="G487" s="27"/>
      <c r="H487" s="27"/>
      <c r="I487" s="27"/>
      <c r="J487" s="27"/>
    </row>
    <row r="488">
      <c r="F488" s="27"/>
      <c r="G488" s="27"/>
      <c r="H488" s="27"/>
      <c r="I488" s="27"/>
      <c r="J488" s="27"/>
    </row>
    <row r="489">
      <c r="F489" s="27"/>
      <c r="G489" s="27"/>
      <c r="H489" s="27"/>
      <c r="I489" s="27"/>
      <c r="J489" s="27"/>
    </row>
    <row r="490">
      <c r="F490" s="27"/>
      <c r="G490" s="27"/>
      <c r="H490" s="27"/>
      <c r="I490" s="27"/>
      <c r="J490" s="27"/>
    </row>
    <row r="491">
      <c r="F491" s="27"/>
      <c r="G491" s="27"/>
      <c r="H491" s="27"/>
      <c r="I491" s="27"/>
      <c r="J491" s="27"/>
    </row>
    <row r="492">
      <c r="F492" s="27"/>
      <c r="G492" s="27"/>
      <c r="H492" s="27"/>
      <c r="I492" s="27"/>
      <c r="J492" s="27"/>
    </row>
    <row r="493">
      <c r="F493" s="27"/>
      <c r="G493" s="27"/>
      <c r="H493" s="27"/>
      <c r="I493" s="27"/>
      <c r="J493" s="27"/>
    </row>
    <row r="494">
      <c r="F494" s="27"/>
      <c r="G494" s="27"/>
      <c r="H494" s="27"/>
      <c r="I494" s="27"/>
      <c r="J494" s="27"/>
    </row>
    <row r="495">
      <c r="F495" s="27"/>
      <c r="G495" s="27"/>
      <c r="H495" s="27"/>
      <c r="I495" s="27"/>
      <c r="J495" s="27"/>
    </row>
    <row r="496">
      <c r="F496" s="27"/>
      <c r="G496" s="27"/>
      <c r="H496" s="27"/>
      <c r="I496" s="27"/>
      <c r="J496" s="27"/>
    </row>
    <row r="497">
      <c r="F497" s="27"/>
      <c r="G497" s="27"/>
      <c r="H497" s="27"/>
      <c r="I497" s="27"/>
      <c r="J497" s="27"/>
    </row>
    <row r="498">
      <c r="F498" s="27"/>
      <c r="G498" s="27"/>
      <c r="H498" s="27"/>
      <c r="I498" s="27"/>
      <c r="J498" s="27"/>
    </row>
    <row r="499">
      <c r="F499" s="27"/>
      <c r="G499" s="27"/>
      <c r="H499" s="27"/>
      <c r="I499" s="27"/>
      <c r="J499" s="27"/>
    </row>
    <row r="500">
      <c r="F500" s="27"/>
      <c r="G500" s="27"/>
      <c r="H500" s="27"/>
      <c r="I500" s="27"/>
      <c r="J500" s="27"/>
    </row>
    <row r="501">
      <c r="F501" s="27"/>
      <c r="G501" s="27"/>
      <c r="H501" s="27"/>
      <c r="I501" s="27"/>
      <c r="J501" s="27"/>
    </row>
    <row r="502">
      <c r="F502" s="27"/>
      <c r="G502" s="27"/>
      <c r="H502" s="27"/>
      <c r="I502" s="27"/>
      <c r="J502" s="27"/>
    </row>
    <row r="503">
      <c r="F503" s="27"/>
      <c r="G503" s="27"/>
      <c r="H503" s="27"/>
      <c r="I503" s="27"/>
      <c r="J503" s="27"/>
    </row>
    <row r="504">
      <c r="F504" s="27"/>
      <c r="G504" s="27"/>
      <c r="H504" s="27"/>
      <c r="I504" s="27"/>
      <c r="J504" s="27"/>
    </row>
    <row r="505">
      <c r="F505" s="27"/>
      <c r="G505" s="27"/>
      <c r="H505" s="27"/>
      <c r="I505" s="27"/>
      <c r="J505" s="27"/>
    </row>
    <row r="506">
      <c r="F506" s="27"/>
      <c r="G506" s="27"/>
      <c r="H506" s="27"/>
      <c r="I506" s="27"/>
      <c r="J506" s="27"/>
    </row>
    <row r="507">
      <c r="F507" s="27"/>
      <c r="G507" s="27"/>
      <c r="H507" s="27"/>
      <c r="I507" s="27"/>
      <c r="J507" s="27"/>
    </row>
    <row r="508">
      <c r="F508" s="27"/>
      <c r="G508" s="27"/>
      <c r="H508" s="27"/>
      <c r="I508" s="27"/>
      <c r="J508" s="27"/>
    </row>
    <row r="509">
      <c r="F509" s="27"/>
      <c r="G509" s="27"/>
      <c r="H509" s="27"/>
      <c r="I509" s="27"/>
      <c r="J509" s="27"/>
    </row>
    <row r="510">
      <c r="F510" s="27"/>
      <c r="G510" s="27"/>
      <c r="H510" s="27"/>
      <c r="I510" s="27"/>
      <c r="J510" s="27"/>
    </row>
    <row r="511">
      <c r="F511" s="27"/>
      <c r="G511" s="27"/>
      <c r="H511" s="27"/>
      <c r="I511" s="27"/>
      <c r="J511" s="27"/>
    </row>
    <row r="512">
      <c r="F512" s="27"/>
      <c r="G512" s="27"/>
      <c r="H512" s="27"/>
      <c r="I512" s="27"/>
      <c r="J512" s="27"/>
    </row>
    <row r="513">
      <c r="F513" s="27"/>
      <c r="G513" s="27"/>
      <c r="H513" s="27"/>
      <c r="I513" s="27"/>
      <c r="J513" s="27"/>
    </row>
    <row r="514">
      <c r="F514" s="27"/>
      <c r="G514" s="27"/>
      <c r="H514" s="27"/>
      <c r="I514" s="27"/>
      <c r="J514" s="27"/>
    </row>
    <row r="515">
      <c r="F515" s="27"/>
      <c r="G515" s="27"/>
      <c r="H515" s="27"/>
      <c r="I515" s="27"/>
      <c r="J515" s="27"/>
    </row>
    <row r="516">
      <c r="F516" s="27"/>
      <c r="G516" s="27"/>
      <c r="H516" s="27"/>
      <c r="I516" s="27"/>
      <c r="J516" s="27"/>
    </row>
    <row r="517">
      <c r="F517" s="27"/>
      <c r="G517" s="27"/>
      <c r="H517" s="27"/>
      <c r="I517" s="27"/>
      <c r="J517" s="27"/>
    </row>
    <row r="518">
      <c r="F518" s="27"/>
      <c r="G518" s="27"/>
      <c r="H518" s="27"/>
      <c r="I518" s="27"/>
      <c r="J518" s="27"/>
    </row>
    <row r="519">
      <c r="F519" s="27"/>
      <c r="G519" s="27"/>
      <c r="H519" s="27"/>
      <c r="I519" s="27"/>
      <c r="J519" s="27"/>
    </row>
    <row r="520">
      <c r="F520" s="27"/>
      <c r="G520" s="27"/>
      <c r="H520" s="27"/>
      <c r="I520" s="27"/>
      <c r="J520" s="27"/>
    </row>
    <row r="521">
      <c r="F521" s="27"/>
      <c r="G521" s="27"/>
      <c r="H521" s="27"/>
      <c r="I521" s="27"/>
      <c r="J521" s="27"/>
    </row>
    <row r="522">
      <c r="F522" s="27"/>
      <c r="G522" s="27"/>
      <c r="H522" s="27"/>
      <c r="I522" s="27"/>
      <c r="J522" s="27"/>
    </row>
    <row r="523">
      <c r="F523" s="27"/>
      <c r="G523" s="27"/>
      <c r="H523" s="27"/>
      <c r="I523" s="27"/>
      <c r="J523" s="27"/>
    </row>
    <row r="524">
      <c r="F524" s="27"/>
      <c r="G524" s="27"/>
      <c r="H524" s="27"/>
      <c r="I524" s="27"/>
      <c r="J524" s="27"/>
    </row>
    <row r="525">
      <c r="F525" s="27"/>
      <c r="G525" s="27"/>
      <c r="H525" s="27"/>
      <c r="I525" s="27"/>
      <c r="J525" s="27"/>
    </row>
    <row r="526">
      <c r="F526" s="27"/>
      <c r="G526" s="27"/>
      <c r="H526" s="27"/>
      <c r="I526" s="27"/>
      <c r="J526" s="27"/>
    </row>
    <row r="527">
      <c r="F527" s="27"/>
      <c r="G527" s="27"/>
      <c r="H527" s="27"/>
      <c r="I527" s="27"/>
      <c r="J527" s="27"/>
    </row>
    <row r="528">
      <c r="F528" s="27"/>
      <c r="G528" s="27"/>
      <c r="H528" s="27"/>
      <c r="I528" s="27"/>
      <c r="J528" s="27"/>
    </row>
    <row r="529">
      <c r="F529" s="27"/>
      <c r="G529" s="27"/>
      <c r="H529" s="27"/>
      <c r="I529" s="27"/>
      <c r="J529" s="27"/>
    </row>
    <row r="530">
      <c r="F530" s="27"/>
      <c r="G530" s="27"/>
      <c r="H530" s="27"/>
      <c r="I530" s="27"/>
      <c r="J530" s="27"/>
    </row>
    <row r="531">
      <c r="F531" s="27"/>
      <c r="G531" s="27"/>
      <c r="H531" s="27"/>
      <c r="I531" s="27"/>
      <c r="J531" s="27"/>
    </row>
    <row r="532">
      <c r="F532" s="27"/>
      <c r="G532" s="27"/>
      <c r="H532" s="27"/>
      <c r="I532" s="27"/>
      <c r="J532" s="27"/>
    </row>
    <row r="533">
      <c r="F533" s="27"/>
      <c r="G533" s="27"/>
      <c r="H533" s="27"/>
      <c r="I533" s="27"/>
      <c r="J533" s="27"/>
    </row>
    <row r="534">
      <c r="F534" s="27"/>
      <c r="G534" s="27"/>
      <c r="H534" s="27"/>
      <c r="I534" s="27"/>
      <c r="J534" s="27"/>
    </row>
    <row r="535">
      <c r="F535" s="27"/>
      <c r="G535" s="27"/>
      <c r="H535" s="27"/>
      <c r="I535" s="27"/>
      <c r="J535" s="27"/>
    </row>
    <row r="536">
      <c r="F536" s="27"/>
      <c r="G536" s="27"/>
      <c r="H536" s="27"/>
      <c r="I536" s="27"/>
      <c r="J536" s="27"/>
    </row>
    <row r="537">
      <c r="F537" s="27"/>
      <c r="G537" s="27"/>
      <c r="H537" s="27"/>
      <c r="I537" s="27"/>
      <c r="J537" s="27"/>
    </row>
    <row r="538">
      <c r="F538" s="27"/>
      <c r="G538" s="27"/>
      <c r="H538" s="27"/>
      <c r="I538" s="27"/>
      <c r="J538" s="27"/>
    </row>
    <row r="539">
      <c r="F539" s="27"/>
      <c r="G539" s="27"/>
      <c r="H539" s="27"/>
      <c r="I539" s="27"/>
      <c r="J539" s="27"/>
    </row>
    <row r="540">
      <c r="F540" s="27"/>
      <c r="G540" s="27"/>
      <c r="H540" s="27"/>
      <c r="I540" s="27"/>
      <c r="J540" s="27"/>
    </row>
    <row r="541">
      <c r="F541" s="27"/>
      <c r="G541" s="27"/>
      <c r="H541" s="27"/>
      <c r="I541" s="27"/>
      <c r="J541" s="27"/>
    </row>
    <row r="542">
      <c r="F542" s="27"/>
      <c r="G542" s="27"/>
      <c r="H542" s="27"/>
      <c r="I542" s="27"/>
      <c r="J542" s="27"/>
    </row>
    <row r="543">
      <c r="F543" s="27"/>
      <c r="G543" s="27"/>
      <c r="H543" s="27"/>
      <c r="I543" s="27"/>
      <c r="J543" s="27"/>
    </row>
    <row r="544">
      <c r="F544" s="27"/>
      <c r="G544" s="27"/>
      <c r="H544" s="27"/>
      <c r="I544" s="27"/>
      <c r="J544" s="27"/>
    </row>
    <row r="545">
      <c r="F545" s="27"/>
      <c r="G545" s="27"/>
      <c r="H545" s="27"/>
      <c r="I545" s="27"/>
      <c r="J545" s="27"/>
    </row>
    <row r="546">
      <c r="F546" s="27"/>
      <c r="G546" s="27"/>
      <c r="H546" s="27"/>
      <c r="I546" s="27"/>
      <c r="J546" s="27"/>
    </row>
    <row r="547">
      <c r="F547" s="27"/>
      <c r="G547" s="27"/>
      <c r="H547" s="27"/>
      <c r="I547" s="27"/>
      <c r="J547" s="27"/>
    </row>
    <row r="548">
      <c r="F548" s="27"/>
      <c r="G548" s="27"/>
      <c r="H548" s="27"/>
      <c r="I548" s="27"/>
      <c r="J548" s="27"/>
    </row>
    <row r="549">
      <c r="F549" s="27"/>
      <c r="G549" s="27"/>
      <c r="H549" s="27"/>
      <c r="I549" s="27"/>
      <c r="J549" s="27"/>
    </row>
    <row r="550">
      <c r="F550" s="27"/>
      <c r="G550" s="27"/>
      <c r="H550" s="27"/>
      <c r="I550" s="27"/>
      <c r="J550" s="27"/>
    </row>
    <row r="551">
      <c r="F551" s="27"/>
      <c r="G551" s="27"/>
      <c r="H551" s="27"/>
      <c r="I551" s="27"/>
      <c r="J551" s="27"/>
    </row>
    <row r="552">
      <c r="F552" s="27"/>
      <c r="G552" s="27"/>
      <c r="H552" s="27"/>
      <c r="I552" s="27"/>
      <c r="J552" s="27"/>
    </row>
    <row r="553">
      <c r="F553" s="27"/>
      <c r="G553" s="27"/>
      <c r="H553" s="27"/>
      <c r="I553" s="27"/>
      <c r="J553" s="27"/>
    </row>
    <row r="554">
      <c r="F554" s="27"/>
      <c r="G554" s="27"/>
      <c r="H554" s="27"/>
      <c r="I554" s="27"/>
      <c r="J554" s="27"/>
    </row>
    <row r="555">
      <c r="F555" s="27"/>
      <c r="G555" s="27"/>
      <c r="H555" s="27"/>
      <c r="I555" s="27"/>
      <c r="J555" s="27"/>
    </row>
    <row r="556">
      <c r="F556" s="27"/>
      <c r="G556" s="27"/>
      <c r="H556" s="27"/>
      <c r="I556" s="27"/>
      <c r="J556" s="27"/>
    </row>
    <row r="557">
      <c r="F557" s="27"/>
      <c r="G557" s="27"/>
      <c r="H557" s="27"/>
      <c r="I557" s="27"/>
      <c r="J557" s="27"/>
    </row>
    <row r="558">
      <c r="F558" s="27"/>
      <c r="G558" s="27"/>
      <c r="H558" s="27"/>
      <c r="I558" s="27"/>
      <c r="J558" s="27"/>
    </row>
    <row r="559">
      <c r="F559" s="27"/>
      <c r="G559" s="27"/>
      <c r="H559" s="27"/>
      <c r="I559" s="27"/>
      <c r="J559" s="27"/>
    </row>
    <row r="560">
      <c r="F560" s="27"/>
      <c r="G560" s="27"/>
      <c r="H560" s="27"/>
      <c r="I560" s="27"/>
      <c r="J560" s="27"/>
    </row>
    <row r="561">
      <c r="F561" s="27"/>
      <c r="G561" s="27"/>
      <c r="H561" s="27"/>
      <c r="I561" s="27"/>
      <c r="J561" s="27"/>
    </row>
    <row r="562">
      <c r="F562" s="27"/>
      <c r="G562" s="27"/>
      <c r="H562" s="27"/>
      <c r="I562" s="27"/>
      <c r="J562" s="27"/>
    </row>
    <row r="563">
      <c r="F563" s="27"/>
      <c r="G563" s="27"/>
      <c r="H563" s="27"/>
      <c r="I563" s="27"/>
      <c r="J563" s="27"/>
    </row>
    <row r="564">
      <c r="F564" s="27"/>
      <c r="G564" s="27"/>
      <c r="H564" s="27"/>
      <c r="I564" s="27"/>
      <c r="J564" s="27"/>
    </row>
    <row r="565">
      <c r="F565" s="27"/>
      <c r="G565" s="27"/>
      <c r="H565" s="27"/>
      <c r="I565" s="27"/>
      <c r="J565" s="27"/>
    </row>
    <row r="566">
      <c r="F566" s="27"/>
      <c r="G566" s="27"/>
      <c r="H566" s="27"/>
      <c r="I566" s="27"/>
      <c r="J566" s="27"/>
    </row>
    <row r="567">
      <c r="F567" s="27"/>
      <c r="G567" s="27"/>
      <c r="H567" s="27"/>
      <c r="I567" s="27"/>
      <c r="J567" s="27"/>
    </row>
    <row r="568">
      <c r="F568" s="27"/>
      <c r="G568" s="27"/>
      <c r="H568" s="27"/>
      <c r="I568" s="27"/>
      <c r="J568" s="27"/>
    </row>
    <row r="569">
      <c r="F569" s="27"/>
      <c r="G569" s="27"/>
      <c r="H569" s="27"/>
      <c r="I569" s="27"/>
      <c r="J569" s="27"/>
    </row>
    <row r="570">
      <c r="F570" s="27"/>
      <c r="G570" s="27"/>
      <c r="H570" s="27"/>
      <c r="I570" s="27"/>
      <c r="J570" s="27"/>
    </row>
    <row r="571">
      <c r="F571" s="27"/>
      <c r="G571" s="27"/>
      <c r="H571" s="27"/>
      <c r="I571" s="27"/>
      <c r="J571" s="27"/>
    </row>
    <row r="572">
      <c r="F572" s="27"/>
      <c r="G572" s="27"/>
      <c r="H572" s="27"/>
      <c r="I572" s="27"/>
      <c r="J572" s="27"/>
    </row>
    <row r="573">
      <c r="F573" s="27"/>
      <c r="G573" s="27"/>
      <c r="H573" s="27"/>
      <c r="I573" s="27"/>
      <c r="J573" s="27"/>
    </row>
    <row r="574">
      <c r="F574" s="27"/>
      <c r="G574" s="27"/>
      <c r="H574" s="27"/>
      <c r="I574" s="27"/>
      <c r="J574" s="27"/>
    </row>
    <row r="575">
      <c r="F575" s="27"/>
      <c r="G575" s="27"/>
      <c r="H575" s="27"/>
      <c r="I575" s="27"/>
      <c r="J575" s="27"/>
    </row>
    <row r="576">
      <c r="F576" s="27"/>
      <c r="G576" s="27"/>
      <c r="H576" s="27"/>
      <c r="I576" s="27"/>
      <c r="J576" s="27"/>
    </row>
    <row r="577">
      <c r="F577" s="27"/>
      <c r="G577" s="27"/>
      <c r="H577" s="27"/>
      <c r="I577" s="27"/>
      <c r="J577" s="27"/>
    </row>
    <row r="578">
      <c r="F578" s="27"/>
      <c r="G578" s="27"/>
      <c r="H578" s="27"/>
      <c r="I578" s="27"/>
      <c r="J578" s="27"/>
    </row>
    <row r="579">
      <c r="F579" s="27"/>
      <c r="G579" s="27"/>
      <c r="H579" s="27"/>
      <c r="I579" s="27"/>
      <c r="J579" s="27"/>
    </row>
    <row r="580">
      <c r="F580" s="27"/>
      <c r="G580" s="27"/>
      <c r="H580" s="27"/>
      <c r="I580" s="27"/>
      <c r="J580" s="27"/>
    </row>
    <row r="581">
      <c r="F581" s="27"/>
      <c r="G581" s="27"/>
      <c r="H581" s="27"/>
      <c r="I581" s="27"/>
      <c r="J581" s="27"/>
    </row>
    <row r="582">
      <c r="F582" s="27"/>
      <c r="G582" s="27"/>
      <c r="H582" s="27"/>
      <c r="I582" s="27"/>
      <c r="J582" s="27"/>
    </row>
    <row r="583">
      <c r="F583" s="27"/>
      <c r="G583" s="27"/>
      <c r="H583" s="27"/>
      <c r="I583" s="27"/>
      <c r="J583" s="27"/>
    </row>
    <row r="584">
      <c r="F584" s="27"/>
      <c r="G584" s="27"/>
      <c r="H584" s="27"/>
      <c r="I584" s="27"/>
      <c r="J584" s="27"/>
    </row>
    <row r="585">
      <c r="F585" s="27"/>
      <c r="G585" s="27"/>
      <c r="H585" s="27"/>
      <c r="I585" s="27"/>
      <c r="J585" s="27"/>
    </row>
    <row r="586">
      <c r="F586" s="27"/>
      <c r="G586" s="27"/>
      <c r="H586" s="27"/>
      <c r="I586" s="27"/>
      <c r="J586" s="27"/>
    </row>
    <row r="587">
      <c r="F587" s="27"/>
      <c r="G587" s="27"/>
      <c r="H587" s="27"/>
      <c r="I587" s="27"/>
      <c r="J587" s="27"/>
    </row>
    <row r="588">
      <c r="F588" s="27"/>
      <c r="G588" s="27"/>
      <c r="H588" s="27"/>
      <c r="I588" s="27"/>
      <c r="J588" s="27"/>
    </row>
    <row r="589">
      <c r="F589" s="27"/>
      <c r="G589" s="27"/>
      <c r="H589" s="27"/>
      <c r="I589" s="27"/>
      <c r="J589" s="27"/>
    </row>
    <row r="590">
      <c r="F590" s="27"/>
      <c r="G590" s="27"/>
      <c r="H590" s="27"/>
      <c r="I590" s="27"/>
      <c r="J590" s="27"/>
    </row>
    <row r="591">
      <c r="F591" s="27"/>
      <c r="G591" s="27"/>
      <c r="H591" s="27"/>
      <c r="I591" s="27"/>
      <c r="J591" s="27"/>
    </row>
    <row r="592">
      <c r="F592" s="27"/>
      <c r="G592" s="27"/>
      <c r="H592" s="27"/>
      <c r="I592" s="27"/>
      <c r="J592" s="27"/>
    </row>
    <row r="593">
      <c r="F593" s="27"/>
      <c r="G593" s="27"/>
      <c r="H593" s="27"/>
      <c r="I593" s="27"/>
      <c r="J593" s="27"/>
    </row>
    <row r="594">
      <c r="F594" s="27"/>
      <c r="G594" s="27"/>
      <c r="H594" s="27"/>
      <c r="I594" s="27"/>
      <c r="J594" s="27"/>
    </row>
    <row r="595">
      <c r="F595" s="27"/>
      <c r="G595" s="27"/>
      <c r="H595" s="27"/>
      <c r="I595" s="27"/>
      <c r="J595" s="27"/>
    </row>
    <row r="596">
      <c r="F596" s="27"/>
      <c r="G596" s="27"/>
      <c r="H596" s="27"/>
      <c r="I596" s="27"/>
      <c r="J596" s="27"/>
    </row>
    <row r="597">
      <c r="F597" s="27"/>
      <c r="G597" s="27"/>
      <c r="H597" s="27"/>
      <c r="I597" s="27"/>
      <c r="J597" s="27"/>
    </row>
    <row r="598">
      <c r="F598" s="27"/>
      <c r="G598" s="27"/>
      <c r="H598" s="27"/>
      <c r="I598" s="27"/>
      <c r="J598" s="27"/>
    </row>
    <row r="599">
      <c r="F599" s="27"/>
      <c r="G599" s="27"/>
      <c r="H599" s="27"/>
      <c r="I599" s="27"/>
      <c r="J599" s="27"/>
    </row>
    <row r="600">
      <c r="F600" s="27"/>
      <c r="G600" s="27"/>
      <c r="H600" s="27"/>
      <c r="I600" s="27"/>
      <c r="J600" s="27"/>
    </row>
    <row r="601">
      <c r="F601" s="27"/>
      <c r="G601" s="27"/>
      <c r="H601" s="27"/>
      <c r="I601" s="27"/>
      <c r="J601" s="27"/>
    </row>
    <row r="602">
      <c r="F602" s="27"/>
      <c r="G602" s="27"/>
      <c r="H602" s="27"/>
      <c r="I602" s="27"/>
      <c r="J602" s="27"/>
    </row>
    <row r="603">
      <c r="F603" s="27"/>
      <c r="G603" s="27"/>
      <c r="H603" s="27"/>
      <c r="I603" s="27"/>
      <c r="J603" s="27"/>
    </row>
    <row r="604">
      <c r="F604" s="27"/>
      <c r="G604" s="27"/>
      <c r="H604" s="27"/>
      <c r="I604" s="27"/>
      <c r="J604" s="27"/>
    </row>
    <row r="605">
      <c r="F605" s="27"/>
      <c r="G605" s="27"/>
      <c r="H605" s="27"/>
      <c r="I605" s="27"/>
      <c r="J605" s="27"/>
    </row>
    <row r="606">
      <c r="F606" s="27"/>
      <c r="G606" s="27"/>
      <c r="H606" s="27"/>
      <c r="I606" s="27"/>
      <c r="J606" s="27"/>
    </row>
    <row r="607">
      <c r="F607" s="27"/>
      <c r="G607" s="27"/>
      <c r="H607" s="27"/>
      <c r="I607" s="27"/>
      <c r="J607" s="27"/>
    </row>
    <row r="608">
      <c r="F608" s="27"/>
      <c r="G608" s="27"/>
      <c r="H608" s="27"/>
      <c r="I608" s="27"/>
      <c r="J608" s="27"/>
    </row>
    <row r="609">
      <c r="F609" s="27"/>
      <c r="G609" s="27"/>
      <c r="H609" s="27"/>
      <c r="I609" s="27"/>
      <c r="J609" s="27"/>
    </row>
    <row r="610">
      <c r="F610" s="27"/>
      <c r="G610" s="27"/>
      <c r="H610" s="27"/>
      <c r="I610" s="27"/>
      <c r="J610" s="27"/>
    </row>
    <row r="611">
      <c r="F611" s="27"/>
      <c r="G611" s="27"/>
      <c r="H611" s="27"/>
      <c r="I611" s="27"/>
      <c r="J611" s="27"/>
    </row>
    <row r="612">
      <c r="F612" s="27"/>
      <c r="G612" s="27"/>
      <c r="H612" s="27"/>
      <c r="I612" s="27"/>
      <c r="J612" s="27"/>
    </row>
    <row r="613">
      <c r="F613" s="27"/>
      <c r="G613" s="27"/>
      <c r="H613" s="27"/>
      <c r="I613" s="27"/>
      <c r="J613" s="27"/>
    </row>
    <row r="614">
      <c r="F614" s="27"/>
      <c r="G614" s="27"/>
      <c r="H614" s="27"/>
      <c r="I614" s="27"/>
      <c r="J614" s="27"/>
    </row>
    <row r="615">
      <c r="F615" s="27"/>
      <c r="G615" s="27"/>
      <c r="H615" s="27"/>
      <c r="I615" s="27"/>
      <c r="J615" s="27"/>
    </row>
    <row r="616">
      <c r="F616" s="27"/>
      <c r="G616" s="27"/>
      <c r="H616" s="27"/>
      <c r="I616" s="27"/>
      <c r="J616" s="27"/>
    </row>
    <row r="617">
      <c r="F617" s="27"/>
      <c r="G617" s="27"/>
      <c r="H617" s="27"/>
      <c r="I617" s="27"/>
      <c r="J617" s="27"/>
    </row>
    <row r="618">
      <c r="F618" s="27"/>
      <c r="G618" s="27"/>
      <c r="H618" s="27"/>
      <c r="I618" s="27"/>
      <c r="J618" s="27"/>
    </row>
    <row r="619">
      <c r="F619" s="27"/>
      <c r="G619" s="27"/>
      <c r="H619" s="27"/>
      <c r="I619" s="27"/>
      <c r="J619" s="27"/>
    </row>
    <row r="620">
      <c r="F620" s="27"/>
      <c r="G620" s="27"/>
      <c r="H620" s="27"/>
      <c r="I620" s="27"/>
      <c r="J620" s="27"/>
    </row>
    <row r="621">
      <c r="F621" s="27"/>
      <c r="G621" s="27"/>
      <c r="H621" s="27"/>
      <c r="I621" s="27"/>
      <c r="J621" s="27"/>
    </row>
    <row r="622">
      <c r="F622" s="27"/>
      <c r="G622" s="27"/>
      <c r="H622" s="27"/>
      <c r="I622" s="27"/>
      <c r="J622" s="27"/>
    </row>
    <row r="623">
      <c r="F623" s="27"/>
      <c r="G623" s="27"/>
      <c r="H623" s="27"/>
      <c r="I623" s="27"/>
      <c r="J623" s="27"/>
    </row>
    <row r="624">
      <c r="F624" s="27"/>
      <c r="G624" s="27"/>
      <c r="H624" s="27"/>
      <c r="I624" s="27"/>
      <c r="J624" s="27"/>
    </row>
    <row r="625">
      <c r="F625" s="27"/>
      <c r="G625" s="27"/>
      <c r="H625" s="27"/>
      <c r="I625" s="27"/>
      <c r="J625" s="27"/>
    </row>
    <row r="626">
      <c r="F626" s="27"/>
      <c r="G626" s="27"/>
      <c r="H626" s="27"/>
      <c r="I626" s="27"/>
      <c r="J626" s="27"/>
    </row>
    <row r="627">
      <c r="F627" s="27"/>
      <c r="G627" s="27"/>
      <c r="H627" s="27"/>
      <c r="I627" s="27"/>
      <c r="J627" s="27"/>
    </row>
    <row r="628">
      <c r="F628" s="27"/>
      <c r="G628" s="27"/>
      <c r="H628" s="27"/>
      <c r="I628" s="27"/>
      <c r="J628" s="27"/>
    </row>
    <row r="629">
      <c r="F629" s="27"/>
      <c r="G629" s="27"/>
      <c r="H629" s="27"/>
      <c r="I629" s="27"/>
      <c r="J629" s="27"/>
    </row>
    <row r="630">
      <c r="F630" s="27"/>
      <c r="G630" s="27"/>
      <c r="H630" s="27"/>
      <c r="I630" s="27"/>
      <c r="J630" s="27"/>
    </row>
    <row r="631">
      <c r="F631" s="27"/>
      <c r="G631" s="27"/>
      <c r="H631" s="27"/>
      <c r="I631" s="27"/>
      <c r="J631" s="27"/>
    </row>
    <row r="632">
      <c r="F632" s="27"/>
      <c r="G632" s="27"/>
      <c r="H632" s="27"/>
      <c r="I632" s="27"/>
      <c r="J632" s="27"/>
    </row>
    <row r="633">
      <c r="F633" s="27"/>
      <c r="G633" s="27"/>
      <c r="H633" s="27"/>
      <c r="I633" s="27"/>
      <c r="J633" s="27"/>
    </row>
    <row r="634">
      <c r="F634" s="27"/>
      <c r="G634" s="27"/>
      <c r="H634" s="27"/>
      <c r="I634" s="27"/>
      <c r="J634" s="27"/>
    </row>
    <row r="635">
      <c r="F635" s="27"/>
      <c r="G635" s="27"/>
      <c r="H635" s="27"/>
      <c r="I635" s="27"/>
      <c r="J635" s="27"/>
    </row>
    <row r="636">
      <c r="F636" s="27"/>
      <c r="G636" s="27"/>
      <c r="H636" s="27"/>
      <c r="I636" s="27"/>
      <c r="J636" s="27"/>
    </row>
    <row r="637">
      <c r="F637" s="27"/>
      <c r="G637" s="27"/>
      <c r="H637" s="27"/>
      <c r="I637" s="27"/>
      <c r="J637" s="27"/>
    </row>
    <row r="638">
      <c r="F638" s="27"/>
      <c r="G638" s="27"/>
      <c r="H638" s="27"/>
      <c r="I638" s="27"/>
      <c r="J638" s="27"/>
    </row>
    <row r="639">
      <c r="F639" s="27"/>
      <c r="G639" s="27"/>
      <c r="H639" s="27"/>
      <c r="I639" s="27"/>
      <c r="J639" s="27"/>
    </row>
    <row r="640">
      <c r="F640" s="27"/>
      <c r="G640" s="27"/>
      <c r="H640" s="27"/>
      <c r="I640" s="27"/>
      <c r="J640" s="27"/>
    </row>
    <row r="641">
      <c r="F641" s="27"/>
      <c r="G641" s="27"/>
      <c r="H641" s="27"/>
      <c r="I641" s="27"/>
      <c r="J641" s="27"/>
    </row>
    <row r="642">
      <c r="F642" s="27"/>
      <c r="G642" s="27"/>
      <c r="H642" s="27"/>
      <c r="I642" s="27"/>
      <c r="J642" s="27"/>
    </row>
    <row r="643">
      <c r="F643" s="27"/>
      <c r="G643" s="27"/>
      <c r="H643" s="27"/>
      <c r="I643" s="27"/>
      <c r="J643" s="27"/>
    </row>
    <row r="644">
      <c r="F644" s="27"/>
      <c r="G644" s="27"/>
      <c r="H644" s="27"/>
      <c r="I644" s="27"/>
      <c r="J644" s="27"/>
    </row>
    <row r="645">
      <c r="F645" s="27"/>
      <c r="G645" s="27"/>
      <c r="H645" s="27"/>
      <c r="I645" s="27"/>
      <c r="J645" s="27"/>
    </row>
    <row r="646">
      <c r="F646" s="27"/>
      <c r="G646" s="27"/>
      <c r="H646" s="27"/>
      <c r="I646" s="27"/>
      <c r="J646" s="27"/>
    </row>
    <row r="647">
      <c r="F647" s="27"/>
      <c r="G647" s="27"/>
      <c r="H647" s="27"/>
      <c r="I647" s="27"/>
      <c r="J647" s="27"/>
    </row>
    <row r="648">
      <c r="F648" s="27"/>
      <c r="G648" s="27"/>
      <c r="H648" s="27"/>
      <c r="I648" s="27"/>
      <c r="J648" s="27"/>
    </row>
    <row r="649">
      <c r="F649" s="27"/>
      <c r="G649" s="27"/>
      <c r="H649" s="27"/>
      <c r="I649" s="27"/>
      <c r="J649" s="27"/>
    </row>
    <row r="650">
      <c r="F650" s="27"/>
      <c r="G650" s="27"/>
      <c r="H650" s="27"/>
      <c r="I650" s="27"/>
      <c r="J650" s="27"/>
    </row>
    <row r="651">
      <c r="F651" s="27"/>
      <c r="G651" s="27"/>
      <c r="H651" s="27"/>
      <c r="I651" s="27"/>
      <c r="J651" s="27"/>
    </row>
    <row r="652">
      <c r="F652" s="27"/>
      <c r="G652" s="27"/>
      <c r="H652" s="27"/>
      <c r="I652" s="27"/>
      <c r="J652" s="27"/>
    </row>
    <row r="653">
      <c r="F653" s="27"/>
      <c r="G653" s="27"/>
      <c r="H653" s="27"/>
      <c r="I653" s="27"/>
      <c r="J653" s="27"/>
    </row>
    <row r="654">
      <c r="F654" s="27"/>
      <c r="G654" s="27"/>
      <c r="H654" s="27"/>
      <c r="I654" s="27"/>
      <c r="J654" s="27"/>
    </row>
    <row r="655">
      <c r="F655" s="27"/>
      <c r="G655" s="27"/>
      <c r="H655" s="27"/>
      <c r="I655" s="27"/>
      <c r="J655" s="27"/>
    </row>
    <row r="656">
      <c r="F656" s="27"/>
      <c r="G656" s="27"/>
      <c r="H656" s="27"/>
      <c r="I656" s="27"/>
      <c r="J656" s="27"/>
    </row>
    <row r="657">
      <c r="F657" s="27"/>
      <c r="G657" s="27"/>
      <c r="H657" s="27"/>
      <c r="I657" s="27"/>
      <c r="J657" s="27"/>
    </row>
    <row r="658">
      <c r="F658" s="27"/>
      <c r="G658" s="27"/>
      <c r="H658" s="27"/>
      <c r="I658" s="27"/>
      <c r="J658" s="27"/>
    </row>
    <row r="659">
      <c r="F659" s="27"/>
      <c r="G659" s="27"/>
      <c r="H659" s="27"/>
      <c r="I659" s="27"/>
      <c r="J659" s="27"/>
    </row>
    <row r="660">
      <c r="F660" s="27"/>
      <c r="G660" s="27"/>
      <c r="H660" s="27"/>
      <c r="I660" s="27"/>
      <c r="J660" s="27"/>
    </row>
    <row r="661">
      <c r="F661" s="27"/>
      <c r="G661" s="27"/>
      <c r="H661" s="27"/>
      <c r="I661" s="27"/>
      <c r="J661" s="27"/>
    </row>
    <row r="662">
      <c r="F662" s="27"/>
      <c r="G662" s="27"/>
      <c r="H662" s="27"/>
      <c r="I662" s="27"/>
      <c r="J662" s="27"/>
    </row>
    <row r="663">
      <c r="F663" s="27"/>
      <c r="G663" s="27"/>
      <c r="H663" s="27"/>
      <c r="I663" s="27"/>
      <c r="J663" s="27"/>
    </row>
    <row r="664">
      <c r="F664" s="27"/>
      <c r="G664" s="27"/>
      <c r="H664" s="27"/>
      <c r="I664" s="27"/>
      <c r="J664" s="27"/>
    </row>
    <row r="665">
      <c r="F665" s="27"/>
      <c r="G665" s="27"/>
      <c r="H665" s="27"/>
      <c r="I665" s="27"/>
      <c r="J665" s="27"/>
    </row>
    <row r="666">
      <c r="F666" s="27"/>
      <c r="G666" s="27"/>
      <c r="H666" s="27"/>
      <c r="I666" s="27"/>
      <c r="J666" s="27"/>
    </row>
    <row r="667">
      <c r="F667" s="27"/>
      <c r="G667" s="27"/>
      <c r="H667" s="27"/>
      <c r="I667" s="27"/>
      <c r="J667" s="27"/>
    </row>
    <row r="668">
      <c r="F668" s="27"/>
      <c r="G668" s="27"/>
      <c r="H668" s="27"/>
      <c r="I668" s="27"/>
      <c r="J668" s="27"/>
    </row>
    <row r="669">
      <c r="F669" s="27"/>
      <c r="G669" s="27"/>
      <c r="H669" s="27"/>
      <c r="I669" s="27"/>
      <c r="J669" s="27"/>
    </row>
    <row r="670">
      <c r="F670" s="27"/>
      <c r="G670" s="27"/>
      <c r="H670" s="27"/>
      <c r="I670" s="27"/>
      <c r="J670" s="27"/>
    </row>
    <row r="671">
      <c r="F671" s="27"/>
      <c r="G671" s="27"/>
      <c r="H671" s="27"/>
      <c r="I671" s="27"/>
      <c r="J671" s="27"/>
    </row>
    <row r="672">
      <c r="F672" s="27"/>
      <c r="G672" s="27"/>
      <c r="H672" s="27"/>
      <c r="I672" s="27"/>
      <c r="J672" s="27"/>
    </row>
    <row r="673">
      <c r="F673" s="27"/>
      <c r="G673" s="27"/>
      <c r="H673" s="27"/>
      <c r="I673" s="27"/>
      <c r="J673" s="27"/>
    </row>
    <row r="674">
      <c r="F674" s="27"/>
      <c r="G674" s="27"/>
      <c r="H674" s="27"/>
      <c r="I674" s="27"/>
      <c r="J674" s="27"/>
    </row>
    <row r="675">
      <c r="F675" s="27"/>
      <c r="G675" s="27"/>
      <c r="H675" s="27"/>
      <c r="I675" s="27"/>
      <c r="J675" s="27"/>
    </row>
    <row r="676">
      <c r="F676" s="27"/>
      <c r="G676" s="27"/>
      <c r="H676" s="27"/>
      <c r="I676" s="27"/>
      <c r="J676" s="27"/>
    </row>
    <row r="677">
      <c r="F677" s="27"/>
      <c r="G677" s="27"/>
      <c r="H677" s="27"/>
      <c r="I677" s="27"/>
      <c r="J677" s="27"/>
    </row>
    <row r="678">
      <c r="F678" s="27"/>
      <c r="G678" s="27"/>
      <c r="H678" s="27"/>
      <c r="I678" s="27"/>
      <c r="J678" s="27"/>
    </row>
    <row r="679">
      <c r="F679" s="27"/>
      <c r="G679" s="27"/>
      <c r="H679" s="27"/>
      <c r="I679" s="27"/>
      <c r="J679" s="27"/>
    </row>
    <row r="680">
      <c r="F680" s="27"/>
      <c r="G680" s="27"/>
      <c r="H680" s="27"/>
      <c r="I680" s="27"/>
      <c r="J680" s="27"/>
    </row>
    <row r="681">
      <c r="F681" s="27"/>
      <c r="G681" s="27"/>
      <c r="H681" s="27"/>
      <c r="I681" s="27"/>
      <c r="J681" s="27"/>
    </row>
    <row r="682">
      <c r="F682" s="27"/>
      <c r="G682" s="27"/>
      <c r="H682" s="27"/>
      <c r="I682" s="27"/>
      <c r="J682" s="27"/>
    </row>
    <row r="683">
      <c r="F683" s="27"/>
      <c r="G683" s="27"/>
      <c r="H683" s="27"/>
      <c r="I683" s="27"/>
      <c r="J683" s="27"/>
    </row>
    <row r="684">
      <c r="F684" s="27"/>
      <c r="G684" s="27"/>
      <c r="H684" s="27"/>
      <c r="I684" s="27"/>
      <c r="J684" s="27"/>
    </row>
    <row r="685">
      <c r="F685" s="27"/>
      <c r="G685" s="27"/>
      <c r="H685" s="27"/>
      <c r="I685" s="27"/>
      <c r="J685" s="27"/>
    </row>
    <row r="686">
      <c r="F686" s="27"/>
      <c r="G686" s="27"/>
      <c r="H686" s="27"/>
      <c r="I686" s="27"/>
      <c r="J686" s="27"/>
    </row>
    <row r="687">
      <c r="F687" s="27"/>
      <c r="G687" s="27"/>
      <c r="H687" s="27"/>
      <c r="I687" s="27"/>
      <c r="J687" s="27"/>
    </row>
    <row r="688">
      <c r="F688" s="27"/>
      <c r="G688" s="27"/>
      <c r="H688" s="27"/>
      <c r="I688" s="27"/>
      <c r="J688" s="27"/>
    </row>
    <row r="689">
      <c r="F689" s="27"/>
      <c r="G689" s="27"/>
      <c r="H689" s="27"/>
      <c r="I689" s="27"/>
      <c r="J689" s="27"/>
    </row>
    <row r="690">
      <c r="F690" s="27"/>
      <c r="G690" s="27"/>
      <c r="H690" s="27"/>
      <c r="I690" s="27"/>
      <c r="J690" s="27"/>
    </row>
    <row r="691">
      <c r="F691" s="27"/>
      <c r="G691" s="27"/>
      <c r="H691" s="27"/>
      <c r="I691" s="27"/>
      <c r="J691" s="27"/>
    </row>
    <row r="692">
      <c r="F692" s="27"/>
      <c r="G692" s="27"/>
      <c r="H692" s="27"/>
      <c r="I692" s="27"/>
      <c r="J692" s="27"/>
    </row>
    <row r="693">
      <c r="F693" s="27"/>
      <c r="G693" s="27"/>
      <c r="H693" s="27"/>
      <c r="I693" s="27"/>
      <c r="J693" s="27"/>
    </row>
    <row r="694">
      <c r="F694" s="27"/>
      <c r="G694" s="27"/>
      <c r="H694" s="27"/>
      <c r="I694" s="27"/>
      <c r="J694" s="27"/>
    </row>
    <row r="695">
      <c r="F695" s="27"/>
      <c r="G695" s="27"/>
      <c r="H695" s="27"/>
      <c r="I695" s="27"/>
      <c r="J695" s="27"/>
    </row>
    <row r="696">
      <c r="F696" s="27"/>
      <c r="G696" s="27"/>
      <c r="H696" s="27"/>
      <c r="I696" s="27"/>
      <c r="J696" s="27"/>
    </row>
    <row r="697">
      <c r="F697" s="27"/>
      <c r="G697" s="27"/>
      <c r="H697" s="27"/>
      <c r="I697" s="27"/>
      <c r="J697" s="27"/>
    </row>
    <row r="698">
      <c r="F698" s="27"/>
      <c r="G698" s="27"/>
      <c r="H698" s="27"/>
      <c r="I698" s="27"/>
      <c r="J698" s="27"/>
    </row>
    <row r="699">
      <c r="F699" s="27"/>
      <c r="G699" s="27"/>
      <c r="H699" s="27"/>
      <c r="I699" s="27"/>
      <c r="J699" s="27"/>
    </row>
    <row r="700">
      <c r="F700" s="27"/>
      <c r="G700" s="27"/>
      <c r="H700" s="27"/>
      <c r="I700" s="27"/>
      <c r="J700" s="27"/>
    </row>
    <row r="701">
      <c r="F701" s="27"/>
      <c r="G701" s="27"/>
      <c r="H701" s="27"/>
      <c r="I701" s="27"/>
      <c r="J701" s="27"/>
    </row>
    <row r="702">
      <c r="F702" s="27"/>
      <c r="G702" s="27"/>
      <c r="H702" s="27"/>
      <c r="I702" s="27"/>
      <c r="J702" s="27"/>
    </row>
    <row r="703">
      <c r="F703" s="27"/>
      <c r="G703" s="27"/>
      <c r="H703" s="27"/>
      <c r="I703" s="27"/>
      <c r="J703" s="27"/>
    </row>
    <row r="704">
      <c r="F704" s="27"/>
      <c r="G704" s="27"/>
      <c r="H704" s="27"/>
      <c r="I704" s="27"/>
      <c r="J704" s="27"/>
    </row>
    <row r="705">
      <c r="F705" s="27"/>
      <c r="G705" s="27"/>
      <c r="H705" s="27"/>
      <c r="I705" s="27"/>
      <c r="J705" s="27"/>
    </row>
    <row r="706">
      <c r="F706" s="27"/>
      <c r="G706" s="27"/>
      <c r="H706" s="27"/>
      <c r="I706" s="27"/>
      <c r="J706" s="27"/>
    </row>
    <row r="707">
      <c r="F707" s="27"/>
      <c r="G707" s="27"/>
      <c r="H707" s="27"/>
      <c r="I707" s="27"/>
      <c r="J707" s="27"/>
    </row>
    <row r="708">
      <c r="F708" s="27"/>
      <c r="G708" s="27"/>
      <c r="H708" s="27"/>
      <c r="I708" s="27"/>
      <c r="J708" s="27"/>
    </row>
    <row r="709">
      <c r="F709" s="27"/>
      <c r="G709" s="27"/>
      <c r="H709" s="27"/>
      <c r="I709" s="27"/>
      <c r="J709" s="27"/>
    </row>
    <row r="710">
      <c r="F710" s="27"/>
      <c r="G710" s="27"/>
      <c r="H710" s="27"/>
      <c r="I710" s="27"/>
      <c r="J710" s="27"/>
    </row>
    <row r="711">
      <c r="F711" s="27"/>
      <c r="G711" s="27"/>
      <c r="H711" s="27"/>
      <c r="I711" s="27"/>
      <c r="J711" s="27"/>
    </row>
    <row r="712">
      <c r="F712" s="27"/>
      <c r="G712" s="27"/>
      <c r="H712" s="27"/>
      <c r="I712" s="27"/>
      <c r="J712" s="27"/>
    </row>
    <row r="713">
      <c r="F713" s="27"/>
      <c r="G713" s="27"/>
      <c r="H713" s="27"/>
      <c r="I713" s="27"/>
      <c r="J713" s="27"/>
    </row>
    <row r="714">
      <c r="F714" s="27"/>
      <c r="G714" s="27"/>
      <c r="H714" s="27"/>
      <c r="I714" s="27"/>
      <c r="J714" s="27"/>
    </row>
    <row r="715">
      <c r="F715" s="27"/>
      <c r="G715" s="27"/>
      <c r="H715" s="27"/>
      <c r="I715" s="27"/>
      <c r="J715" s="27"/>
    </row>
    <row r="716">
      <c r="F716" s="27"/>
      <c r="G716" s="27"/>
      <c r="H716" s="27"/>
      <c r="I716" s="27"/>
      <c r="J716" s="27"/>
    </row>
    <row r="717">
      <c r="F717" s="27"/>
      <c r="G717" s="27"/>
      <c r="H717" s="27"/>
      <c r="I717" s="27"/>
      <c r="J717" s="27"/>
    </row>
    <row r="718">
      <c r="F718" s="27"/>
      <c r="G718" s="27"/>
      <c r="H718" s="27"/>
      <c r="I718" s="27"/>
      <c r="J718" s="27"/>
    </row>
    <row r="719">
      <c r="F719" s="27"/>
      <c r="G719" s="27"/>
      <c r="H719" s="27"/>
      <c r="I719" s="27"/>
      <c r="J719" s="27"/>
    </row>
    <row r="720">
      <c r="F720" s="27"/>
      <c r="G720" s="27"/>
      <c r="H720" s="27"/>
      <c r="I720" s="27"/>
      <c r="J720" s="27"/>
    </row>
    <row r="721">
      <c r="F721" s="27"/>
      <c r="G721" s="27"/>
      <c r="H721" s="27"/>
      <c r="I721" s="27"/>
      <c r="J721" s="27"/>
    </row>
    <row r="722">
      <c r="F722" s="27"/>
      <c r="G722" s="27"/>
      <c r="H722" s="27"/>
      <c r="I722" s="27"/>
      <c r="J722" s="27"/>
    </row>
    <row r="723">
      <c r="F723" s="27"/>
      <c r="G723" s="27"/>
      <c r="H723" s="27"/>
      <c r="I723" s="27"/>
      <c r="J723" s="27"/>
    </row>
    <row r="724">
      <c r="F724" s="27"/>
      <c r="G724" s="27"/>
      <c r="H724" s="27"/>
      <c r="I724" s="27"/>
      <c r="J724" s="27"/>
    </row>
    <row r="725">
      <c r="F725" s="27"/>
      <c r="G725" s="27"/>
      <c r="H725" s="27"/>
      <c r="I725" s="27"/>
      <c r="J725" s="27"/>
    </row>
    <row r="726">
      <c r="F726" s="27"/>
      <c r="G726" s="27"/>
      <c r="H726" s="27"/>
      <c r="I726" s="27"/>
      <c r="J726" s="27"/>
    </row>
    <row r="727">
      <c r="F727" s="27"/>
      <c r="G727" s="27"/>
      <c r="H727" s="27"/>
      <c r="I727" s="27"/>
      <c r="J727" s="27"/>
    </row>
    <row r="728">
      <c r="F728" s="27"/>
      <c r="G728" s="27"/>
      <c r="H728" s="27"/>
      <c r="I728" s="27"/>
      <c r="J728" s="27"/>
    </row>
    <row r="729">
      <c r="F729" s="27"/>
      <c r="G729" s="27"/>
      <c r="H729" s="27"/>
      <c r="I729" s="27"/>
      <c r="J729" s="27"/>
    </row>
    <row r="730">
      <c r="F730" s="27"/>
      <c r="G730" s="27"/>
      <c r="H730" s="27"/>
      <c r="I730" s="27"/>
      <c r="J730" s="27"/>
    </row>
    <row r="731">
      <c r="F731" s="27"/>
      <c r="G731" s="27"/>
      <c r="H731" s="27"/>
      <c r="I731" s="27"/>
      <c r="J731" s="27"/>
    </row>
    <row r="732">
      <c r="F732" s="27"/>
      <c r="G732" s="27"/>
      <c r="H732" s="27"/>
      <c r="I732" s="27"/>
      <c r="J732" s="27"/>
    </row>
    <row r="733">
      <c r="F733" s="27"/>
      <c r="G733" s="27"/>
      <c r="H733" s="27"/>
      <c r="I733" s="27"/>
      <c r="J733" s="27"/>
    </row>
    <row r="734">
      <c r="F734" s="27"/>
      <c r="G734" s="27"/>
      <c r="H734" s="27"/>
      <c r="I734" s="27"/>
      <c r="J734" s="27"/>
    </row>
    <row r="735">
      <c r="F735" s="27"/>
      <c r="G735" s="27"/>
      <c r="H735" s="27"/>
      <c r="I735" s="27"/>
      <c r="J735" s="27"/>
    </row>
    <row r="736">
      <c r="F736" s="27"/>
      <c r="G736" s="27"/>
      <c r="H736" s="27"/>
      <c r="I736" s="27"/>
      <c r="J736" s="27"/>
    </row>
    <row r="737">
      <c r="F737" s="27"/>
      <c r="G737" s="27"/>
      <c r="H737" s="27"/>
      <c r="I737" s="27"/>
      <c r="J737" s="27"/>
    </row>
    <row r="738">
      <c r="F738" s="27"/>
      <c r="G738" s="27"/>
      <c r="H738" s="27"/>
      <c r="I738" s="27"/>
      <c r="J738" s="27"/>
    </row>
    <row r="739">
      <c r="F739" s="27"/>
      <c r="G739" s="27"/>
      <c r="H739" s="27"/>
      <c r="I739" s="27"/>
      <c r="J739" s="27"/>
    </row>
    <row r="740">
      <c r="F740" s="27"/>
      <c r="G740" s="27"/>
      <c r="H740" s="27"/>
      <c r="I740" s="27"/>
      <c r="J740" s="27"/>
    </row>
    <row r="741">
      <c r="F741" s="27"/>
      <c r="G741" s="27"/>
      <c r="H741" s="27"/>
      <c r="I741" s="27"/>
      <c r="J741" s="27"/>
    </row>
    <row r="742">
      <c r="F742" s="27"/>
      <c r="G742" s="27"/>
      <c r="H742" s="27"/>
      <c r="I742" s="27"/>
      <c r="J742" s="27"/>
    </row>
    <row r="743">
      <c r="F743" s="27"/>
      <c r="G743" s="27"/>
      <c r="H743" s="27"/>
      <c r="I743" s="27"/>
      <c r="J743" s="27"/>
    </row>
    <row r="744">
      <c r="F744" s="27"/>
      <c r="G744" s="27"/>
      <c r="H744" s="27"/>
      <c r="I744" s="27"/>
      <c r="J744" s="27"/>
    </row>
    <row r="745">
      <c r="F745" s="27"/>
      <c r="G745" s="27"/>
      <c r="H745" s="27"/>
      <c r="I745" s="27"/>
      <c r="J745" s="27"/>
    </row>
    <row r="746">
      <c r="F746" s="27"/>
      <c r="G746" s="27"/>
      <c r="H746" s="27"/>
      <c r="I746" s="27"/>
      <c r="J746" s="27"/>
    </row>
    <row r="747">
      <c r="F747" s="27"/>
      <c r="G747" s="27"/>
      <c r="H747" s="27"/>
      <c r="I747" s="27"/>
      <c r="J747" s="27"/>
    </row>
    <row r="748">
      <c r="F748" s="27"/>
      <c r="G748" s="27"/>
      <c r="H748" s="27"/>
      <c r="I748" s="27"/>
      <c r="J748" s="27"/>
    </row>
    <row r="749">
      <c r="F749" s="27"/>
      <c r="G749" s="27"/>
      <c r="H749" s="27"/>
      <c r="I749" s="27"/>
      <c r="J749" s="27"/>
    </row>
    <row r="750">
      <c r="F750" s="27"/>
      <c r="G750" s="27"/>
      <c r="H750" s="27"/>
      <c r="I750" s="27"/>
      <c r="J750" s="27"/>
    </row>
    <row r="751">
      <c r="F751" s="27"/>
      <c r="G751" s="27"/>
      <c r="H751" s="27"/>
      <c r="I751" s="27"/>
      <c r="J751" s="27"/>
    </row>
    <row r="752">
      <c r="F752" s="27"/>
      <c r="G752" s="27"/>
      <c r="H752" s="27"/>
      <c r="I752" s="27"/>
      <c r="J752" s="27"/>
    </row>
    <row r="753">
      <c r="F753" s="27"/>
      <c r="G753" s="27"/>
      <c r="H753" s="27"/>
      <c r="I753" s="27"/>
      <c r="J753" s="27"/>
    </row>
    <row r="754">
      <c r="F754" s="27"/>
      <c r="G754" s="27"/>
      <c r="H754" s="27"/>
      <c r="I754" s="27"/>
      <c r="J754" s="27"/>
    </row>
    <row r="755">
      <c r="F755" s="27"/>
      <c r="G755" s="27"/>
      <c r="H755" s="27"/>
      <c r="I755" s="27"/>
      <c r="J755" s="27"/>
    </row>
    <row r="756">
      <c r="F756" s="27"/>
      <c r="G756" s="27"/>
      <c r="H756" s="27"/>
      <c r="I756" s="27"/>
      <c r="J756" s="27"/>
    </row>
    <row r="757">
      <c r="F757" s="27"/>
      <c r="G757" s="27"/>
      <c r="H757" s="27"/>
      <c r="I757" s="27"/>
      <c r="J757" s="27"/>
    </row>
    <row r="758">
      <c r="F758" s="27"/>
      <c r="G758" s="27"/>
      <c r="H758" s="27"/>
      <c r="I758" s="27"/>
      <c r="J758" s="27"/>
    </row>
    <row r="759">
      <c r="F759" s="27"/>
      <c r="G759" s="27"/>
      <c r="H759" s="27"/>
      <c r="I759" s="27"/>
      <c r="J759" s="27"/>
    </row>
    <row r="760">
      <c r="F760" s="27"/>
      <c r="G760" s="27"/>
      <c r="H760" s="27"/>
      <c r="I760" s="27"/>
      <c r="J760" s="27"/>
    </row>
    <row r="761">
      <c r="F761" s="27"/>
      <c r="G761" s="27"/>
      <c r="H761" s="27"/>
      <c r="I761" s="27"/>
      <c r="J761" s="27"/>
    </row>
    <row r="762">
      <c r="F762" s="27"/>
      <c r="G762" s="27"/>
      <c r="H762" s="27"/>
      <c r="I762" s="27"/>
      <c r="J762" s="27"/>
    </row>
    <row r="763">
      <c r="F763" s="27"/>
      <c r="G763" s="27"/>
      <c r="H763" s="27"/>
      <c r="I763" s="27"/>
      <c r="J763" s="27"/>
    </row>
    <row r="764">
      <c r="F764" s="27"/>
      <c r="G764" s="27"/>
      <c r="H764" s="27"/>
      <c r="I764" s="27"/>
      <c r="J764" s="27"/>
    </row>
    <row r="765">
      <c r="F765" s="27"/>
      <c r="G765" s="27"/>
      <c r="H765" s="27"/>
      <c r="I765" s="27"/>
      <c r="J765" s="27"/>
    </row>
    <row r="766">
      <c r="F766" s="27"/>
      <c r="G766" s="27"/>
      <c r="H766" s="27"/>
      <c r="I766" s="27"/>
      <c r="J766" s="27"/>
    </row>
    <row r="767">
      <c r="F767" s="27"/>
      <c r="G767" s="27"/>
      <c r="H767" s="27"/>
      <c r="I767" s="27"/>
      <c r="J767" s="27"/>
    </row>
    <row r="768">
      <c r="F768" s="27"/>
      <c r="G768" s="27"/>
      <c r="H768" s="27"/>
      <c r="I768" s="27"/>
      <c r="J768" s="27"/>
    </row>
    <row r="769">
      <c r="F769" s="27"/>
      <c r="G769" s="27"/>
      <c r="H769" s="27"/>
      <c r="I769" s="27"/>
      <c r="J769" s="27"/>
    </row>
    <row r="770">
      <c r="F770" s="27"/>
      <c r="G770" s="27"/>
      <c r="H770" s="27"/>
      <c r="I770" s="27"/>
      <c r="J770" s="27"/>
    </row>
    <row r="771">
      <c r="F771" s="27"/>
      <c r="G771" s="27"/>
      <c r="H771" s="27"/>
      <c r="I771" s="27"/>
      <c r="J771" s="27"/>
    </row>
    <row r="772">
      <c r="F772" s="27"/>
      <c r="G772" s="27"/>
      <c r="H772" s="27"/>
      <c r="I772" s="27"/>
      <c r="J772" s="27"/>
    </row>
    <row r="773">
      <c r="F773" s="27"/>
      <c r="G773" s="27"/>
      <c r="H773" s="27"/>
      <c r="I773" s="27"/>
      <c r="J773" s="27"/>
    </row>
    <row r="774">
      <c r="F774" s="27"/>
      <c r="G774" s="27"/>
      <c r="H774" s="27"/>
      <c r="I774" s="27"/>
      <c r="J774" s="27"/>
    </row>
    <row r="775">
      <c r="F775" s="27"/>
      <c r="G775" s="27"/>
      <c r="H775" s="27"/>
      <c r="I775" s="27"/>
      <c r="J775" s="27"/>
    </row>
    <row r="776">
      <c r="F776" s="27"/>
      <c r="G776" s="27"/>
      <c r="H776" s="27"/>
      <c r="I776" s="27"/>
      <c r="J776" s="27"/>
    </row>
    <row r="777">
      <c r="F777" s="27"/>
      <c r="G777" s="27"/>
      <c r="H777" s="27"/>
      <c r="I777" s="27"/>
      <c r="J777" s="27"/>
    </row>
    <row r="778">
      <c r="F778" s="27"/>
      <c r="G778" s="27"/>
      <c r="H778" s="27"/>
      <c r="I778" s="27"/>
      <c r="J778" s="27"/>
    </row>
    <row r="779">
      <c r="F779" s="27"/>
      <c r="G779" s="27"/>
      <c r="H779" s="27"/>
      <c r="I779" s="27"/>
      <c r="J779" s="27"/>
    </row>
    <row r="780">
      <c r="F780" s="27"/>
      <c r="G780" s="27"/>
      <c r="H780" s="27"/>
      <c r="I780" s="27"/>
      <c r="J780" s="27"/>
    </row>
    <row r="781">
      <c r="F781" s="27"/>
      <c r="G781" s="27"/>
      <c r="H781" s="27"/>
      <c r="I781" s="27"/>
      <c r="J781" s="27"/>
    </row>
    <row r="782">
      <c r="F782" s="27"/>
      <c r="G782" s="27"/>
      <c r="H782" s="27"/>
      <c r="I782" s="27"/>
      <c r="J782" s="27"/>
    </row>
    <row r="783">
      <c r="F783" s="27"/>
      <c r="G783" s="27"/>
      <c r="H783" s="27"/>
      <c r="I783" s="27"/>
      <c r="J783" s="27"/>
    </row>
    <row r="784">
      <c r="F784" s="27"/>
      <c r="G784" s="27"/>
      <c r="H784" s="27"/>
      <c r="I784" s="27"/>
      <c r="J784" s="27"/>
    </row>
    <row r="785">
      <c r="F785" s="27"/>
      <c r="G785" s="27"/>
      <c r="H785" s="27"/>
      <c r="I785" s="27"/>
      <c r="J785" s="27"/>
    </row>
    <row r="786">
      <c r="F786" s="27"/>
      <c r="G786" s="27"/>
      <c r="H786" s="27"/>
      <c r="I786" s="27"/>
      <c r="J786" s="27"/>
    </row>
    <row r="787">
      <c r="F787" s="27"/>
      <c r="G787" s="27"/>
      <c r="H787" s="27"/>
      <c r="I787" s="27"/>
      <c r="J787" s="27"/>
    </row>
    <row r="788">
      <c r="F788" s="27"/>
      <c r="G788" s="27"/>
      <c r="H788" s="27"/>
      <c r="I788" s="27"/>
      <c r="J788" s="27"/>
    </row>
    <row r="789">
      <c r="F789" s="27"/>
      <c r="G789" s="27"/>
      <c r="H789" s="27"/>
      <c r="I789" s="27"/>
      <c r="J789" s="27"/>
    </row>
    <row r="790">
      <c r="F790" s="27"/>
      <c r="G790" s="27"/>
      <c r="H790" s="27"/>
      <c r="I790" s="27"/>
      <c r="J790" s="27"/>
    </row>
    <row r="791">
      <c r="F791" s="27"/>
      <c r="G791" s="27"/>
      <c r="H791" s="27"/>
      <c r="I791" s="27"/>
      <c r="J791" s="27"/>
    </row>
    <row r="792">
      <c r="F792" s="27"/>
      <c r="G792" s="27"/>
      <c r="H792" s="27"/>
      <c r="I792" s="27"/>
      <c r="J792" s="27"/>
    </row>
    <row r="793">
      <c r="F793" s="27"/>
      <c r="G793" s="27"/>
      <c r="H793" s="27"/>
      <c r="I793" s="27"/>
      <c r="J793" s="27"/>
    </row>
    <row r="794">
      <c r="F794" s="27"/>
      <c r="G794" s="27"/>
      <c r="H794" s="27"/>
      <c r="I794" s="27"/>
      <c r="J794" s="27"/>
    </row>
    <row r="795">
      <c r="F795" s="27"/>
      <c r="G795" s="27"/>
      <c r="H795" s="27"/>
      <c r="I795" s="27"/>
      <c r="J795" s="27"/>
    </row>
    <row r="796">
      <c r="F796" s="27"/>
      <c r="G796" s="27"/>
      <c r="H796" s="27"/>
      <c r="I796" s="27"/>
      <c r="J796" s="27"/>
    </row>
    <row r="797">
      <c r="F797" s="27"/>
      <c r="G797" s="27"/>
      <c r="H797" s="27"/>
      <c r="I797" s="27"/>
      <c r="J797" s="27"/>
    </row>
    <row r="798">
      <c r="F798" s="27"/>
      <c r="G798" s="27"/>
      <c r="H798" s="27"/>
      <c r="I798" s="27"/>
      <c r="J798" s="27"/>
    </row>
    <row r="799">
      <c r="F799" s="27"/>
      <c r="G799" s="27"/>
      <c r="H799" s="27"/>
      <c r="I799" s="27"/>
      <c r="J799" s="27"/>
    </row>
    <row r="800">
      <c r="F800" s="27"/>
      <c r="G800" s="27"/>
      <c r="H800" s="27"/>
      <c r="I800" s="27"/>
      <c r="J800" s="27"/>
    </row>
    <row r="801">
      <c r="F801" s="27"/>
      <c r="G801" s="27"/>
      <c r="H801" s="27"/>
      <c r="I801" s="27"/>
      <c r="J801" s="27"/>
    </row>
    <row r="802">
      <c r="F802" s="27"/>
      <c r="G802" s="27"/>
      <c r="H802" s="27"/>
      <c r="I802" s="27"/>
      <c r="J802" s="27"/>
    </row>
    <row r="803">
      <c r="F803" s="27"/>
      <c r="G803" s="27"/>
      <c r="H803" s="27"/>
      <c r="I803" s="27"/>
      <c r="J803" s="27"/>
    </row>
    <row r="804">
      <c r="F804" s="27"/>
      <c r="G804" s="27"/>
      <c r="H804" s="27"/>
      <c r="I804" s="27"/>
      <c r="J804" s="27"/>
    </row>
    <row r="805">
      <c r="F805" s="27"/>
      <c r="G805" s="27"/>
      <c r="H805" s="27"/>
      <c r="I805" s="27"/>
      <c r="J805" s="27"/>
    </row>
    <row r="806">
      <c r="F806" s="27"/>
      <c r="G806" s="27"/>
      <c r="H806" s="27"/>
      <c r="I806" s="27"/>
      <c r="J806" s="27"/>
    </row>
    <row r="807">
      <c r="F807" s="27"/>
      <c r="G807" s="27"/>
      <c r="H807" s="27"/>
      <c r="I807" s="27"/>
      <c r="J807" s="27"/>
    </row>
    <row r="808">
      <c r="F808" s="27"/>
      <c r="G808" s="27"/>
      <c r="H808" s="27"/>
      <c r="I808" s="27"/>
      <c r="J808" s="27"/>
    </row>
    <row r="809">
      <c r="F809" s="27"/>
      <c r="G809" s="27"/>
      <c r="H809" s="27"/>
      <c r="I809" s="27"/>
      <c r="J809" s="27"/>
    </row>
    <row r="810">
      <c r="F810" s="27"/>
      <c r="G810" s="27"/>
      <c r="H810" s="27"/>
      <c r="I810" s="27"/>
      <c r="J810" s="27"/>
    </row>
    <row r="811">
      <c r="F811" s="27"/>
      <c r="G811" s="27"/>
      <c r="H811" s="27"/>
      <c r="I811" s="27"/>
      <c r="J811" s="27"/>
    </row>
    <row r="812">
      <c r="F812" s="27"/>
      <c r="G812" s="27"/>
      <c r="H812" s="27"/>
      <c r="I812" s="27"/>
      <c r="J812" s="27"/>
    </row>
    <row r="813">
      <c r="F813" s="27"/>
      <c r="G813" s="27"/>
      <c r="H813" s="27"/>
      <c r="I813" s="27"/>
      <c r="J813" s="27"/>
    </row>
    <row r="814">
      <c r="F814" s="27"/>
      <c r="G814" s="27"/>
      <c r="H814" s="27"/>
      <c r="I814" s="27"/>
      <c r="J814" s="27"/>
    </row>
    <row r="815">
      <c r="F815" s="27"/>
      <c r="G815" s="27"/>
      <c r="H815" s="27"/>
      <c r="I815" s="27"/>
      <c r="J815" s="27"/>
    </row>
    <row r="816">
      <c r="F816" s="27"/>
      <c r="G816" s="27"/>
      <c r="H816" s="27"/>
      <c r="I816" s="27"/>
      <c r="J816" s="27"/>
    </row>
    <row r="817">
      <c r="F817" s="27"/>
      <c r="G817" s="27"/>
      <c r="H817" s="27"/>
      <c r="I817" s="27"/>
      <c r="J817" s="27"/>
    </row>
    <row r="818">
      <c r="F818" s="27"/>
      <c r="G818" s="27"/>
      <c r="H818" s="27"/>
      <c r="I818" s="27"/>
      <c r="J818" s="27"/>
    </row>
    <row r="819">
      <c r="F819" s="27"/>
      <c r="G819" s="27"/>
      <c r="H819" s="27"/>
      <c r="I819" s="27"/>
      <c r="J819" s="27"/>
    </row>
    <row r="820">
      <c r="F820" s="27"/>
      <c r="G820" s="27"/>
      <c r="H820" s="27"/>
      <c r="I820" s="27"/>
      <c r="J820" s="27"/>
    </row>
    <row r="821">
      <c r="F821" s="27"/>
      <c r="G821" s="27"/>
      <c r="H821" s="27"/>
      <c r="I821" s="27"/>
      <c r="J821" s="27"/>
    </row>
    <row r="822">
      <c r="F822" s="27"/>
      <c r="G822" s="27"/>
      <c r="H822" s="27"/>
      <c r="I822" s="27"/>
      <c r="J822" s="27"/>
    </row>
    <row r="823">
      <c r="F823" s="27"/>
      <c r="G823" s="27"/>
      <c r="H823" s="27"/>
      <c r="I823" s="27"/>
      <c r="J823" s="27"/>
    </row>
    <row r="824">
      <c r="F824" s="27"/>
      <c r="G824" s="27"/>
      <c r="H824" s="27"/>
      <c r="I824" s="27"/>
      <c r="J824" s="27"/>
    </row>
    <row r="825">
      <c r="F825" s="27"/>
      <c r="G825" s="27"/>
      <c r="H825" s="27"/>
      <c r="I825" s="27"/>
      <c r="J825" s="27"/>
    </row>
    <row r="826">
      <c r="F826" s="27"/>
      <c r="G826" s="27"/>
      <c r="H826" s="27"/>
      <c r="I826" s="27"/>
      <c r="J826" s="27"/>
    </row>
    <row r="827">
      <c r="F827" s="27"/>
      <c r="G827" s="27"/>
      <c r="H827" s="27"/>
      <c r="I827" s="27"/>
      <c r="J827" s="27"/>
    </row>
    <row r="828">
      <c r="F828" s="27"/>
      <c r="G828" s="27"/>
      <c r="H828" s="27"/>
      <c r="I828" s="27"/>
      <c r="J828" s="27"/>
    </row>
    <row r="829">
      <c r="F829" s="27"/>
      <c r="G829" s="27"/>
      <c r="H829" s="27"/>
      <c r="I829" s="27"/>
      <c r="J829" s="27"/>
    </row>
    <row r="830">
      <c r="F830" s="27"/>
      <c r="G830" s="27"/>
      <c r="H830" s="27"/>
      <c r="I830" s="27"/>
      <c r="J830" s="27"/>
    </row>
    <row r="831">
      <c r="F831" s="27"/>
      <c r="G831" s="27"/>
      <c r="H831" s="27"/>
      <c r="I831" s="27"/>
      <c r="J831" s="27"/>
    </row>
    <row r="832">
      <c r="F832" s="27"/>
      <c r="G832" s="27"/>
      <c r="H832" s="27"/>
      <c r="I832" s="27"/>
      <c r="J832" s="27"/>
    </row>
    <row r="833">
      <c r="F833" s="27"/>
      <c r="G833" s="27"/>
      <c r="H833" s="27"/>
      <c r="I833" s="27"/>
      <c r="J833" s="27"/>
    </row>
    <row r="834">
      <c r="F834" s="27"/>
      <c r="G834" s="27"/>
      <c r="H834" s="27"/>
      <c r="I834" s="27"/>
      <c r="J834" s="27"/>
    </row>
    <row r="835">
      <c r="F835" s="27"/>
      <c r="G835" s="27"/>
      <c r="H835" s="27"/>
      <c r="I835" s="27"/>
      <c r="J835" s="27"/>
    </row>
    <row r="836">
      <c r="F836" s="27"/>
      <c r="G836" s="27"/>
      <c r="H836" s="27"/>
      <c r="I836" s="27"/>
      <c r="J836" s="27"/>
    </row>
    <row r="837">
      <c r="F837" s="27"/>
      <c r="G837" s="27"/>
      <c r="H837" s="27"/>
      <c r="I837" s="27"/>
      <c r="J837" s="27"/>
    </row>
    <row r="838">
      <c r="F838" s="27"/>
      <c r="G838" s="27"/>
      <c r="H838" s="27"/>
      <c r="I838" s="27"/>
      <c r="J838" s="27"/>
    </row>
    <row r="839">
      <c r="F839" s="27"/>
      <c r="G839" s="27"/>
      <c r="H839" s="27"/>
      <c r="I839" s="27"/>
      <c r="J839" s="27"/>
    </row>
    <row r="840">
      <c r="F840" s="27"/>
      <c r="G840" s="27"/>
      <c r="H840" s="27"/>
      <c r="I840" s="27"/>
      <c r="J840" s="27"/>
    </row>
    <row r="841">
      <c r="F841" s="27"/>
      <c r="G841" s="27"/>
      <c r="H841" s="27"/>
      <c r="I841" s="27"/>
      <c r="J841" s="27"/>
    </row>
    <row r="842">
      <c r="F842" s="27"/>
      <c r="G842" s="27"/>
      <c r="H842" s="27"/>
      <c r="I842" s="27"/>
      <c r="J842" s="27"/>
    </row>
    <row r="843">
      <c r="F843" s="27"/>
      <c r="G843" s="27"/>
      <c r="H843" s="27"/>
      <c r="I843" s="27"/>
      <c r="J843" s="27"/>
    </row>
    <row r="844">
      <c r="F844" s="27"/>
      <c r="G844" s="27"/>
      <c r="H844" s="27"/>
      <c r="I844" s="27"/>
      <c r="J844" s="27"/>
    </row>
    <row r="845">
      <c r="F845" s="27"/>
      <c r="G845" s="27"/>
      <c r="H845" s="27"/>
      <c r="I845" s="27"/>
      <c r="J845" s="27"/>
    </row>
    <row r="846">
      <c r="F846" s="27"/>
      <c r="G846" s="27"/>
      <c r="H846" s="27"/>
      <c r="I846" s="27"/>
      <c r="J846" s="27"/>
    </row>
    <row r="847">
      <c r="F847" s="27"/>
      <c r="G847" s="27"/>
      <c r="H847" s="27"/>
      <c r="I847" s="27"/>
      <c r="J847" s="27"/>
    </row>
    <row r="848">
      <c r="F848" s="27"/>
      <c r="G848" s="27"/>
      <c r="H848" s="27"/>
      <c r="I848" s="27"/>
      <c r="J848" s="27"/>
    </row>
    <row r="849">
      <c r="F849" s="27"/>
      <c r="G849" s="27"/>
      <c r="H849" s="27"/>
      <c r="I849" s="27"/>
      <c r="J849" s="27"/>
    </row>
    <row r="850">
      <c r="F850" s="27"/>
      <c r="G850" s="27"/>
      <c r="H850" s="27"/>
      <c r="I850" s="27"/>
      <c r="J850" s="27"/>
    </row>
    <row r="851">
      <c r="F851" s="27"/>
      <c r="G851" s="27"/>
      <c r="H851" s="27"/>
      <c r="I851" s="27"/>
      <c r="J851" s="27"/>
    </row>
    <row r="852">
      <c r="F852" s="27"/>
      <c r="G852" s="27"/>
      <c r="H852" s="27"/>
      <c r="I852" s="27"/>
      <c r="J852" s="27"/>
    </row>
    <row r="853">
      <c r="F853" s="27"/>
      <c r="G853" s="27"/>
      <c r="H853" s="27"/>
      <c r="I853" s="27"/>
      <c r="J853" s="27"/>
    </row>
    <row r="854">
      <c r="F854" s="27"/>
      <c r="G854" s="27"/>
      <c r="H854" s="27"/>
      <c r="I854" s="27"/>
      <c r="J854" s="27"/>
    </row>
    <row r="855">
      <c r="F855" s="27"/>
      <c r="G855" s="27"/>
      <c r="H855" s="27"/>
      <c r="I855" s="27"/>
      <c r="J855" s="27"/>
    </row>
    <row r="856">
      <c r="F856" s="27"/>
      <c r="G856" s="27"/>
      <c r="H856" s="27"/>
      <c r="I856" s="27"/>
      <c r="J856" s="27"/>
    </row>
    <row r="857">
      <c r="F857" s="27"/>
      <c r="G857" s="27"/>
      <c r="H857" s="27"/>
      <c r="I857" s="27"/>
      <c r="J857" s="27"/>
    </row>
    <row r="858">
      <c r="F858" s="27"/>
      <c r="G858" s="27"/>
      <c r="H858" s="27"/>
      <c r="I858" s="27"/>
      <c r="J858" s="27"/>
    </row>
    <row r="859">
      <c r="F859" s="27"/>
      <c r="G859" s="27"/>
      <c r="H859" s="27"/>
      <c r="I859" s="27"/>
      <c r="J859" s="27"/>
    </row>
    <row r="860">
      <c r="F860" s="27"/>
      <c r="G860" s="27"/>
      <c r="H860" s="27"/>
      <c r="I860" s="27"/>
      <c r="J860" s="27"/>
    </row>
    <row r="861">
      <c r="F861" s="27"/>
      <c r="G861" s="27"/>
      <c r="H861" s="27"/>
      <c r="I861" s="27"/>
      <c r="J861" s="27"/>
    </row>
    <row r="862">
      <c r="F862" s="27"/>
      <c r="G862" s="27"/>
      <c r="H862" s="27"/>
      <c r="I862" s="27"/>
      <c r="J862" s="27"/>
    </row>
    <row r="863">
      <c r="F863" s="27"/>
      <c r="G863" s="27"/>
      <c r="H863" s="27"/>
      <c r="I863" s="27"/>
      <c r="J863" s="27"/>
    </row>
    <row r="864">
      <c r="F864" s="27"/>
      <c r="G864" s="27"/>
      <c r="H864" s="27"/>
      <c r="I864" s="27"/>
      <c r="J864" s="27"/>
    </row>
    <row r="865">
      <c r="F865" s="27"/>
      <c r="G865" s="27"/>
      <c r="H865" s="27"/>
      <c r="I865" s="27"/>
      <c r="J865" s="27"/>
    </row>
    <row r="866">
      <c r="F866" s="27"/>
      <c r="G866" s="27"/>
      <c r="H866" s="27"/>
      <c r="I866" s="27"/>
      <c r="J866" s="27"/>
    </row>
    <row r="867">
      <c r="F867" s="27"/>
      <c r="G867" s="27"/>
      <c r="H867" s="27"/>
      <c r="I867" s="27"/>
      <c r="J867" s="27"/>
    </row>
    <row r="868">
      <c r="F868" s="27"/>
      <c r="G868" s="27"/>
      <c r="H868" s="27"/>
      <c r="I868" s="27"/>
      <c r="J868" s="27"/>
    </row>
    <row r="869">
      <c r="F869" s="27"/>
      <c r="G869" s="27"/>
      <c r="H869" s="27"/>
      <c r="I869" s="27"/>
      <c r="J869" s="27"/>
    </row>
    <row r="870">
      <c r="F870" s="27"/>
      <c r="G870" s="27"/>
      <c r="H870" s="27"/>
      <c r="I870" s="27"/>
      <c r="J870" s="27"/>
    </row>
    <row r="871">
      <c r="F871" s="27"/>
      <c r="G871" s="27"/>
      <c r="H871" s="27"/>
      <c r="I871" s="27"/>
      <c r="J871" s="27"/>
    </row>
    <row r="872">
      <c r="F872" s="27"/>
      <c r="G872" s="27"/>
      <c r="H872" s="27"/>
      <c r="I872" s="27"/>
      <c r="J872" s="27"/>
    </row>
    <row r="873">
      <c r="F873" s="27"/>
      <c r="G873" s="27"/>
      <c r="H873" s="27"/>
      <c r="I873" s="27"/>
      <c r="J873" s="27"/>
    </row>
    <row r="874">
      <c r="F874" s="27"/>
      <c r="G874" s="27"/>
      <c r="H874" s="27"/>
      <c r="I874" s="27"/>
      <c r="J874" s="27"/>
    </row>
    <row r="875">
      <c r="F875" s="27"/>
      <c r="G875" s="27"/>
      <c r="H875" s="27"/>
      <c r="I875" s="27"/>
      <c r="J875" s="27"/>
    </row>
    <row r="876">
      <c r="F876" s="27"/>
      <c r="G876" s="27"/>
      <c r="H876" s="27"/>
      <c r="I876" s="27"/>
      <c r="J876" s="27"/>
    </row>
    <row r="877">
      <c r="F877" s="27"/>
      <c r="G877" s="27"/>
      <c r="H877" s="27"/>
      <c r="I877" s="27"/>
      <c r="J877" s="27"/>
    </row>
    <row r="878">
      <c r="F878" s="27"/>
      <c r="G878" s="27"/>
      <c r="H878" s="27"/>
      <c r="I878" s="27"/>
      <c r="J878" s="27"/>
    </row>
    <row r="879">
      <c r="F879" s="27"/>
      <c r="G879" s="27"/>
      <c r="H879" s="27"/>
      <c r="I879" s="27"/>
      <c r="J879" s="27"/>
    </row>
    <row r="880">
      <c r="F880" s="27"/>
      <c r="G880" s="27"/>
      <c r="H880" s="27"/>
      <c r="I880" s="27"/>
      <c r="J880" s="27"/>
    </row>
    <row r="881">
      <c r="F881" s="27"/>
      <c r="G881" s="27"/>
      <c r="H881" s="27"/>
      <c r="I881" s="27"/>
      <c r="J881" s="27"/>
    </row>
    <row r="882">
      <c r="F882" s="27"/>
      <c r="G882" s="27"/>
      <c r="H882" s="27"/>
      <c r="I882" s="27"/>
      <c r="J882" s="27"/>
    </row>
    <row r="883">
      <c r="F883" s="27"/>
      <c r="G883" s="27"/>
      <c r="H883" s="27"/>
      <c r="I883" s="27"/>
      <c r="J883" s="27"/>
    </row>
    <row r="884">
      <c r="F884" s="27"/>
      <c r="G884" s="27"/>
      <c r="H884" s="27"/>
      <c r="I884" s="27"/>
      <c r="J884" s="27"/>
    </row>
    <row r="885">
      <c r="F885" s="27"/>
      <c r="G885" s="27"/>
      <c r="H885" s="27"/>
      <c r="I885" s="27"/>
      <c r="J885" s="27"/>
    </row>
    <row r="886">
      <c r="F886" s="27"/>
      <c r="G886" s="27"/>
      <c r="H886" s="27"/>
      <c r="I886" s="27"/>
      <c r="J886" s="27"/>
    </row>
    <row r="887">
      <c r="F887" s="27"/>
      <c r="G887" s="27"/>
      <c r="H887" s="27"/>
      <c r="I887" s="27"/>
      <c r="J887" s="27"/>
    </row>
    <row r="888">
      <c r="F888" s="27"/>
      <c r="G888" s="27"/>
      <c r="H888" s="27"/>
      <c r="I888" s="27"/>
      <c r="J888" s="27"/>
    </row>
    <row r="889">
      <c r="F889" s="27"/>
      <c r="G889" s="27"/>
      <c r="H889" s="27"/>
      <c r="I889" s="27"/>
      <c r="J889" s="27"/>
    </row>
    <row r="890">
      <c r="F890" s="27"/>
      <c r="G890" s="27"/>
      <c r="H890" s="27"/>
      <c r="I890" s="27"/>
      <c r="J890" s="27"/>
    </row>
    <row r="891">
      <c r="F891" s="27"/>
      <c r="G891" s="27"/>
      <c r="H891" s="27"/>
      <c r="I891" s="27"/>
      <c r="J891" s="27"/>
    </row>
    <row r="892">
      <c r="F892" s="27"/>
      <c r="G892" s="27"/>
      <c r="H892" s="27"/>
      <c r="I892" s="27"/>
      <c r="J892" s="27"/>
    </row>
    <row r="893">
      <c r="F893" s="27"/>
      <c r="G893" s="27"/>
      <c r="H893" s="27"/>
      <c r="I893" s="27"/>
      <c r="J893" s="27"/>
    </row>
    <row r="894">
      <c r="F894" s="27"/>
      <c r="G894" s="27"/>
      <c r="H894" s="27"/>
      <c r="I894" s="27"/>
      <c r="J894" s="27"/>
    </row>
    <row r="895">
      <c r="F895" s="27"/>
      <c r="G895" s="27"/>
      <c r="H895" s="27"/>
      <c r="I895" s="27"/>
      <c r="J895" s="27"/>
    </row>
    <row r="896">
      <c r="F896" s="27"/>
      <c r="G896" s="27"/>
      <c r="H896" s="27"/>
      <c r="I896" s="27"/>
      <c r="J896" s="27"/>
    </row>
    <row r="897">
      <c r="F897" s="27"/>
      <c r="G897" s="27"/>
      <c r="H897" s="27"/>
      <c r="I897" s="27"/>
      <c r="J897" s="27"/>
    </row>
    <row r="898">
      <c r="F898" s="27"/>
      <c r="G898" s="27"/>
      <c r="H898" s="27"/>
      <c r="I898" s="27"/>
      <c r="J898" s="27"/>
    </row>
    <row r="899">
      <c r="F899" s="27"/>
      <c r="G899" s="27"/>
      <c r="H899" s="27"/>
      <c r="I899" s="27"/>
      <c r="J899" s="27"/>
    </row>
    <row r="900">
      <c r="F900" s="27"/>
      <c r="G900" s="27"/>
      <c r="H900" s="27"/>
      <c r="I900" s="27"/>
      <c r="J900" s="27"/>
    </row>
    <row r="901">
      <c r="F901" s="27"/>
      <c r="G901" s="27"/>
      <c r="H901" s="27"/>
      <c r="I901" s="27"/>
      <c r="J901" s="27"/>
    </row>
    <row r="902">
      <c r="F902" s="27"/>
      <c r="G902" s="27"/>
      <c r="H902" s="27"/>
      <c r="I902" s="27"/>
      <c r="J902" s="27"/>
    </row>
    <row r="903">
      <c r="F903" s="27"/>
      <c r="G903" s="27"/>
      <c r="H903" s="27"/>
      <c r="I903" s="27"/>
      <c r="J903" s="27"/>
    </row>
    <row r="904">
      <c r="F904" s="27"/>
      <c r="G904" s="27"/>
      <c r="H904" s="27"/>
      <c r="I904" s="27"/>
      <c r="J904" s="27"/>
    </row>
    <row r="905">
      <c r="F905" s="27"/>
      <c r="G905" s="27"/>
      <c r="H905" s="27"/>
      <c r="I905" s="27"/>
      <c r="J905" s="27"/>
    </row>
    <row r="906">
      <c r="F906" s="27"/>
      <c r="G906" s="27"/>
      <c r="H906" s="27"/>
      <c r="I906" s="27"/>
      <c r="J906" s="27"/>
    </row>
    <row r="907">
      <c r="F907" s="27"/>
      <c r="G907" s="27"/>
      <c r="H907" s="27"/>
      <c r="I907" s="27"/>
      <c r="J907" s="27"/>
    </row>
    <row r="908">
      <c r="F908" s="27"/>
      <c r="G908" s="27"/>
      <c r="H908" s="27"/>
      <c r="I908" s="27"/>
      <c r="J908" s="27"/>
    </row>
    <row r="909">
      <c r="F909" s="27"/>
      <c r="G909" s="27"/>
      <c r="H909" s="27"/>
      <c r="I909" s="27"/>
      <c r="J909" s="27"/>
    </row>
    <row r="910">
      <c r="F910" s="27"/>
      <c r="G910" s="27"/>
      <c r="H910" s="27"/>
      <c r="I910" s="27"/>
      <c r="J910" s="27"/>
    </row>
    <row r="911">
      <c r="F911" s="27"/>
      <c r="G911" s="27"/>
      <c r="H911" s="27"/>
      <c r="I911" s="27"/>
      <c r="J911" s="27"/>
    </row>
    <row r="912">
      <c r="F912" s="27"/>
      <c r="G912" s="27"/>
      <c r="H912" s="27"/>
      <c r="I912" s="27"/>
      <c r="J912" s="27"/>
    </row>
    <row r="913">
      <c r="F913" s="27"/>
      <c r="G913" s="27"/>
      <c r="H913" s="27"/>
      <c r="I913" s="27"/>
      <c r="J913" s="27"/>
    </row>
    <row r="914">
      <c r="F914" s="27"/>
      <c r="G914" s="27"/>
      <c r="H914" s="27"/>
      <c r="I914" s="27"/>
      <c r="J914" s="27"/>
    </row>
    <row r="915">
      <c r="F915" s="27"/>
      <c r="G915" s="27"/>
      <c r="H915" s="27"/>
      <c r="I915" s="27"/>
      <c r="J915" s="27"/>
    </row>
    <row r="916">
      <c r="F916" s="27"/>
      <c r="G916" s="27"/>
      <c r="H916" s="27"/>
      <c r="I916" s="27"/>
      <c r="J916" s="27"/>
    </row>
    <row r="917">
      <c r="F917" s="27"/>
      <c r="G917" s="27"/>
      <c r="H917" s="27"/>
      <c r="I917" s="27"/>
      <c r="J917" s="27"/>
    </row>
    <row r="918">
      <c r="F918" s="27"/>
      <c r="G918" s="27"/>
      <c r="H918" s="27"/>
      <c r="I918" s="27"/>
      <c r="J918" s="27"/>
    </row>
    <row r="919">
      <c r="F919" s="27"/>
      <c r="G919" s="27"/>
      <c r="H919" s="27"/>
      <c r="I919" s="27"/>
      <c r="J919" s="27"/>
    </row>
    <row r="920">
      <c r="F920" s="27"/>
      <c r="G920" s="27"/>
      <c r="H920" s="27"/>
      <c r="I920" s="27"/>
      <c r="J920" s="27"/>
    </row>
    <row r="921">
      <c r="F921" s="27"/>
      <c r="G921" s="27"/>
      <c r="H921" s="27"/>
      <c r="I921" s="27"/>
      <c r="J921" s="27"/>
    </row>
    <row r="922">
      <c r="F922" s="27"/>
      <c r="G922" s="27"/>
      <c r="H922" s="27"/>
      <c r="I922" s="27"/>
      <c r="J922" s="27"/>
    </row>
    <row r="923">
      <c r="F923" s="27"/>
      <c r="G923" s="27"/>
      <c r="H923" s="27"/>
      <c r="I923" s="27"/>
      <c r="J923" s="27"/>
    </row>
    <row r="924">
      <c r="F924" s="27"/>
      <c r="G924" s="27"/>
      <c r="H924" s="27"/>
      <c r="I924" s="27"/>
      <c r="J924" s="27"/>
    </row>
    <row r="925">
      <c r="F925" s="27"/>
      <c r="G925" s="27"/>
      <c r="H925" s="27"/>
      <c r="I925" s="27"/>
      <c r="J925" s="27"/>
    </row>
    <row r="926">
      <c r="F926" s="27"/>
      <c r="G926" s="27"/>
      <c r="H926" s="27"/>
      <c r="I926" s="27"/>
      <c r="J926" s="27"/>
    </row>
    <row r="927">
      <c r="F927" s="27"/>
      <c r="G927" s="27"/>
      <c r="H927" s="27"/>
      <c r="I927" s="27"/>
      <c r="J927" s="27"/>
    </row>
    <row r="928">
      <c r="F928" s="27"/>
      <c r="G928" s="27"/>
      <c r="H928" s="27"/>
      <c r="I928" s="27"/>
      <c r="J928" s="27"/>
    </row>
    <row r="929">
      <c r="F929" s="27"/>
      <c r="G929" s="27"/>
      <c r="H929" s="27"/>
      <c r="I929" s="27"/>
      <c r="J929" s="27"/>
    </row>
    <row r="930">
      <c r="F930" s="27"/>
      <c r="G930" s="27"/>
      <c r="H930" s="27"/>
      <c r="I930" s="27"/>
      <c r="J930" s="27"/>
    </row>
    <row r="931">
      <c r="F931" s="27"/>
      <c r="G931" s="27"/>
      <c r="H931" s="27"/>
      <c r="I931" s="27"/>
      <c r="J931" s="27"/>
    </row>
    <row r="932">
      <c r="F932" s="27"/>
      <c r="G932" s="27"/>
      <c r="H932" s="27"/>
      <c r="I932" s="27"/>
      <c r="J932" s="27"/>
    </row>
    <row r="933">
      <c r="F933" s="27"/>
      <c r="G933" s="27"/>
      <c r="H933" s="27"/>
      <c r="I933" s="27"/>
      <c r="J933" s="27"/>
    </row>
    <row r="934">
      <c r="F934" s="27"/>
      <c r="G934" s="27"/>
      <c r="H934" s="27"/>
      <c r="I934" s="27"/>
      <c r="J934" s="27"/>
    </row>
    <row r="935">
      <c r="F935" s="27"/>
      <c r="G935" s="27"/>
      <c r="H935" s="27"/>
      <c r="I935" s="27"/>
      <c r="J935" s="27"/>
    </row>
    <row r="936">
      <c r="F936" s="27"/>
      <c r="G936" s="27"/>
      <c r="H936" s="27"/>
      <c r="I936" s="27"/>
      <c r="J936" s="27"/>
    </row>
    <row r="937">
      <c r="F937" s="27"/>
      <c r="G937" s="27"/>
      <c r="H937" s="27"/>
      <c r="I937" s="27"/>
      <c r="J937" s="27"/>
    </row>
    <row r="938">
      <c r="F938" s="27"/>
      <c r="G938" s="27"/>
      <c r="H938" s="27"/>
      <c r="I938" s="27"/>
      <c r="J938" s="27"/>
    </row>
    <row r="939">
      <c r="F939" s="27"/>
      <c r="G939" s="27"/>
      <c r="H939" s="27"/>
      <c r="I939" s="27"/>
      <c r="J939" s="27"/>
    </row>
    <row r="940">
      <c r="F940" s="27"/>
      <c r="G940" s="27"/>
      <c r="H940" s="27"/>
      <c r="I940" s="27"/>
      <c r="J940" s="27"/>
    </row>
    <row r="941">
      <c r="F941" s="27"/>
      <c r="G941" s="27"/>
      <c r="H941" s="27"/>
      <c r="I941" s="27"/>
      <c r="J941" s="27"/>
    </row>
    <row r="942">
      <c r="F942" s="27"/>
      <c r="G942" s="27"/>
      <c r="H942" s="27"/>
      <c r="I942" s="27"/>
      <c r="J942" s="27"/>
    </row>
    <row r="943">
      <c r="F943" s="27"/>
      <c r="G943" s="27"/>
      <c r="H943" s="27"/>
      <c r="I943" s="27"/>
      <c r="J943" s="27"/>
    </row>
    <row r="944">
      <c r="F944" s="27"/>
      <c r="G944" s="27"/>
      <c r="H944" s="27"/>
      <c r="I944" s="27"/>
      <c r="J944" s="27"/>
    </row>
    <row r="945">
      <c r="F945" s="27"/>
      <c r="G945" s="27"/>
      <c r="H945" s="27"/>
      <c r="I945" s="27"/>
      <c r="J945" s="27"/>
    </row>
    <row r="946">
      <c r="F946" s="27"/>
      <c r="G946" s="27"/>
      <c r="H946" s="27"/>
      <c r="I946" s="27"/>
      <c r="J946" s="27"/>
    </row>
    <row r="947">
      <c r="F947" s="27"/>
      <c r="G947" s="27"/>
      <c r="H947" s="27"/>
      <c r="I947" s="27"/>
      <c r="J947" s="27"/>
    </row>
    <row r="948">
      <c r="F948" s="27"/>
      <c r="G948" s="27"/>
      <c r="H948" s="27"/>
      <c r="I948" s="27"/>
      <c r="J948" s="27"/>
    </row>
    <row r="949">
      <c r="F949" s="27"/>
      <c r="G949" s="27"/>
      <c r="H949" s="27"/>
      <c r="I949" s="27"/>
      <c r="J949" s="27"/>
    </row>
    <row r="950">
      <c r="F950" s="27"/>
      <c r="G950" s="27"/>
      <c r="H950" s="27"/>
      <c r="I950" s="27"/>
      <c r="J950" s="27"/>
    </row>
    <row r="951">
      <c r="F951" s="27"/>
      <c r="G951" s="27"/>
      <c r="H951" s="27"/>
      <c r="I951" s="27"/>
      <c r="J951" s="27"/>
    </row>
    <row r="952">
      <c r="F952" s="27"/>
      <c r="G952" s="27"/>
      <c r="H952" s="27"/>
      <c r="I952" s="27"/>
      <c r="J952" s="27"/>
    </row>
    <row r="953">
      <c r="F953" s="27"/>
      <c r="G953" s="27"/>
      <c r="H953" s="27"/>
      <c r="I953" s="27"/>
      <c r="J953" s="27"/>
    </row>
    <row r="954">
      <c r="F954" s="27"/>
      <c r="G954" s="27"/>
      <c r="H954" s="27"/>
      <c r="I954" s="27"/>
      <c r="J954" s="27"/>
    </row>
    <row r="955">
      <c r="F955" s="27"/>
      <c r="G955" s="27"/>
      <c r="H955" s="27"/>
      <c r="I955" s="27"/>
      <c r="J955" s="27"/>
    </row>
    <row r="956">
      <c r="F956" s="27"/>
      <c r="G956" s="27"/>
      <c r="H956" s="27"/>
      <c r="I956" s="27"/>
      <c r="J956" s="27"/>
    </row>
    <row r="957">
      <c r="F957" s="27"/>
      <c r="G957" s="27"/>
      <c r="H957" s="27"/>
      <c r="I957" s="27"/>
      <c r="J957" s="27"/>
    </row>
    <row r="958">
      <c r="F958" s="27"/>
      <c r="G958" s="27"/>
      <c r="H958" s="27"/>
      <c r="I958" s="27"/>
      <c r="J958" s="27"/>
    </row>
    <row r="959">
      <c r="F959" s="27"/>
      <c r="G959" s="27"/>
      <c r="H959" s="27"/>
      <c r="I959" s="27"/>
      <c r="J959" s="27"/>
    </row>
    <row r="960">
      <c r="F960" s="27"/>
      <c r="G960" s="27"/>
      <c r="H960" s="27"/>
      <c r="I960" s="27"/>
      <c r="J960" s="27"/>
    </row>
    <row r="961">
      <c r="F961" s="27"/>
      <c r="G961" s="27"/>
      <c r="H961" s="27"/>
      <c r="I961" s="27"/>
      <c r="J961" s="27"/>
    </row>
    <row r="962">
      <c r="F962" s="27"/>
      <c r="G962" s="27"/>
      <c r="H962" s="27"/>
      <c r="I962" s="27"/>
      <c r="J962" s="27"/>
    </row>
    <row r="963">
      <c r="F963" s="27"/>
      <c r="G963" s="27"/>
      <c r="H963" s="27"/>
      <c r="I963" s="27"/>
      <c r="J963" s="27"/>
    </row>
    <row r="964">
      <c r="F964" s="27"/>
      <c r="G964" s="27"/>
      <c r="H964" s="27"/>
      <c r="I964" s="27"/>
      <c r="J964" s="27"/>
    </row>
    <row r="965">
      <c r="F965" s="27"/>
      <c r="G965" s="27"/>
      <c r="H965" s="27"/>
      <c r="I965" s="27"/>
      <c r="J965" s="27"/>
    </row>
    <row r="966">
      <c r="F966" s="27"/>
      <c r="G966" s="27"/>
      <c r="H966" s="27"/>
      <c r="I966" s="27"/>
      <c r="J966" s="27"/>
    </row>
    <row r="967">
      <c r="F967" s="27"/>
      <c r="G967" s="27"/>
      <c r="H967" s="27"/>
      <c r="I967" s="27"/>
      <c r="J967" s="27"/>
    </row>
    <row r="968">
      <c r="F968" s="27"/>
      <c r="G968" s="27"/>
      <c r="H968" s="27"/>
      <c r="I968" s="27"/>
      <c r="J968" s="27"/>
    </row>
    <row r="969">
      <c r="F969" s="27"/>
      <c r="G969" s="27"/>
      <c r="H969" s="27"/>
      <c r="I969" s="27"/>
      <c r="J969" s="27"/>
    </row>
    <row r="970">
      <c r="F970" s="27"/>
      <c r="G970" s="27"/>
      <c r="H970" s="27"/>
      <c r="I970" s="27"/>
      <c r="J970" s="27"/>
    </row>
    <row r="971">
      <c r="F971" s="27"/>
      <c r="G971" s="27"/>
      <c r="H971" s="27"/>
      <c r="I971" s="27"/>
      <c r="J971" s="27"/>
    </row>
    <row r="972">
      <c r="F972" s="27"/>
      <c r="G972" s="27"/>
      <c r="H972" s="27"/>
      <c r="I972" s="27"/>
      <c r="J972" s="27"/>
    </row>
    <row r="973">
      <c r="F973" s="27"/>
      <c r="G973" s="27"/>
      <c r="H973" s="27"/>
      <c r="I973" s="27"/>
      <c r="J973" s="27"/>
    </row>
    <row r="974">
      <c r="F974" s="27"/>
      <c r="G974" s="27"/>
      <c r="H974" s="27"/>
      <c r="I974" s="27"/>
      <c r="J974" s="27"/>
    </row>
    <row r="975">
      <c r="F975" s="27"/>
      <c r="G975" s="27"/>
      <c r="H975" s="27"/>
      <c r="I975" s="27"/>
      <c r="J975" s="27"/>
    </row>
    <row r="976">
      <c r="F976" s="27"/>
      <c r="G976" s="27"/>
      <c r="H976" s="27"/>
      <c r="I976" s="27"/>
      <c r="J976" s="27"/>
    </row>
    <row r="977">
      <c r="F977" s="27"/>
      <c r="G977" s="27"/>
      <c r="H977" s="27"/>
      <c r="I977" s="27"/>
      <c r="J977" s="27"/>
    </row>
    <row r="978">
      <c r="F978" s="27"/>
      <c r="G978" s="27"/>
      <c r="H978" s="27"/>
      <c r="I978" s="27"/>
      <c r="J978" s="27"/>
    </row>
    <row r="979">
      <c r="F979" s="27"/>
      <c r="G979" s="27"/>
      <c r="H979" s="27"/>
      <c r="I979" s="27"/>
      <c r="J979" s="27"/>
    </row>
    <row r="980">
      <c r="F980" s="27"/>
      <c r="G980" s="27"/>
      <c r="H980" s="27"/>
      <c r="I980" s="27"/>
      <c r="J980" s="27"/>
    </row>
    <row r="981">
      <c r="F981" s="27"/>
      <c r="G981" s="27"/>
      <c r="H981" s="27"/>
      <c r="I981" s="27"/>
      <c r="J981" s="27"/>
    </row>
    <row r="982">
      <c r="F982" s="27"/>
      <c r="G982" s="27"/>
      <c r="H982" s="27"/>
      <c r="I982" s="27"/>
      <c r="J982" s="27"/>
    </row>
    <row r="983">
      <c r="F983" s="27"/>
      <c r="G983" s="27"/>
      <c r="H983" s="27"/>
      <c r="I983" s="27"/>
      <c r="J983" s="27"/>
    </row>
    <row r="984">
      <c r="F984" s="27"/>
      <c r="G984" s="27"/>
      <c r="H984" s="27"/>
      <c r="I984" s="27"/>
      <c r="J984" s="27"/>
    </row>
    <row r="985">
      <c r="F985" s="27"/>
      <c r="G985" s="27"/>
      <c r="H985" s="27"/>
      <c r="I985" s="27"/>
      <c r="J985" s="27"/>
    </row>
    <row r="986">
      <c r="F986" s="27"/>
      <c r="G986" s="27"/>
      <c r="H986" s="27"/>
      <c r="I986" s="27"/>
      <c r="J986" s="27"/>
    </row>
    <row r="987">
      <c r="F987" s="27"/>
      <c r="G987" s="27"/>
      <c r="H987" s="27"/>
      <c r="I987" s="27"/>
      <c r="J987" s="27"/>
    </row>
    <row r="988">
      <c r="F988" s="27"/>
      <c r="G988" s="27"/>
      <c r="H988" s="27"/>
      <c r="I988" s="27"/>
      <c r="J988" s="27"/>
    </row>
    <row r="989">
      <c r="F989" s="27"/>
      <c r="G989" s="27"/>
      <c r="H989" s="27"/>
      <c r="I989" s="27"/>
      <c r="J989" s="27"/>
    </row>
    <row r="990">
      <c r="F990" s="27"/>
      <c r="G990" s="27"/>
      <c r="H990" s="27"/>
      <c r="I990" s="27"/>
      <c r="J990" s="27"/>
    </row>
    <row r="991">
      <c r="F991" s="27"/>
      <c r="G991" s="27"/>
      <c r="H991" s="27"/>
      <c r="I991" s="27"/>
      <c r="J991" s="27"/>
    </row>
    <row r="992">
      <c r="F992" s="27"/>
      <c r="G992" s="27"/>
      <c r="H992" s="27"/>
      <c r="I992" s="27"/>
      <c r="J992" s="27"/>
    </row>
    <row r="993">
      <c r="F993" s="27"/>
      <c r="G993" s="27"/>
      <c r="H993" s="27"/>
      <c r="I993" s="27"/>
      <c r="J993" s="27"/>
    </row>
    <row r="994">
      <c r="F994" s="27"/>
      <c r="G994" s="27"/>
      <c r="H994" s="27"/>
      <c r="I994" s="27"/>
      <c r="J994" s="27"/>
    </row>
    <row r="995">
      <c r="F995" s="27"/>
      <c r="G995" s="27"/>
      <c r="H995" s="27"/>
      <c r="I995" s="27"/>
      <c r="J995" s="27"/>
    </row>
    <row r="996">
      <c r="F996" s="27"/>
      <c r="G996" s="27"/>
      <c r="H996" s="27"/>
      <c r="I996" s="27"/>
      <c r="J996" s="27"/>
    </row>
    <row r="997">
      <c r="F997" s="27"/>
      <c r="G997" s="27"/>
      <c r="H997" s="27"/>
      <c r="I997" s="27"/>
      <c r="J997" s="27"/>
    </row>
    <row r="998">
      <c r="F998" s="27"/>
      <c r="G998" s="27"/>
      <c r="H998" s="27"/>
      <c r="I998" s="27"/>
      <c r="J998" s="27"/>
    </row>
    <row r="999">
      <c r="F999" s="27"/>
      <c r="G999" s="27"/>
      <c r="H999" s="27"/>
      <c r="I999" s="27"/>
      <c r="J999" s="27"/>
    </row>
    <row r="1000">
      <c r="F1000" s="27"/>
      <c r="G1000" s="27"/>
      <c r="H1000" s="27"/>
      <c r="I1000" s="27"/>
      <c r="J1000" s="27"/>
    </row>
    <row r="1001">
      <c r="F1001" s="27"/>
      <c r="G1001" s="27"/>
      <c r="H1001" s="27"/>
      <c r="I1001" s="27"/>
      <c r="J1001" s="27"/>
    </row>
    <row r="1002">
      <c r="F1002" s="27"/>
      <c r="G1002" s="27"/>
      <c r="H1002" s="27"/>
      <c r="I1002" s="27"/>
      <c r="J1002" s="27"/>
    </row>
  </sheetData>
  <conditionalFormatting sqref="D44:E44 D53:H53">
    <cfRule type="cellIs" dxfId="0" priority="1" operator="lessThan">
      <formula>0</formula>
    </cfRule>
  </conditionalFormatting>
  <conditionalFormatting sqref="D53:E53">
    <cfRule type="cellIs" dxfId="0" priority="2" operator="lessThan">
      <formula>0</formula>
    </cfRule>
  </conditionalFormatting>
  <drawing r:id="rId2"/>
  <legacy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9.38"/>
    <col customWidth="1" min="5" max="5" width="14.0"/>
    <col customWidth="1" min="6" max="6" width="14.63"/>
    <col customWidth="1" min="7" max="7" width="12.38"/>
    <col customWidth="1" min="8" max="8" width="13.25"/>
    <col customWidth="1" min="9" max="9" width="16.38"/>
    <col customWidth="1" min="10" max="11" width="20.63"/>
    <col customWidth="1" min="12" max="12" width="11.25"/>
    <col customWidth="1" min="13" max="13" width="9.25"/>
    <col customWidth="1" min="14" max="15" width="9.5"/>
    <col customWidth="1" min="18" max="18" width="9.88"/>
    <col customWidth="1" min="19" max="19" width="8.13"/>
  </cols>
  <sheetData>
    <row r="1">
      <c r="A1" s="18" t="s">
        <v>346</v>
      </c>
      <c r="B1" s="416" t="s">
        <v>296</v>
      </c>
      <c r="D1" s="107" t="s">
        <v>387</v>
      </c>
      <c r="E1" s="107" t="s">
        <v>388</v>
      </c>
      <c r="F1" s="107"/>
      <c r="G1" s="107"/>
      <c r="H1" s="107"/>
      <c r="J1" s="107"/>
      <c r="K1" s="417" t="s">
        <v>325</v>
      </c>
      <c r="L1" s="107"/>
    </row>
    <row r="2">
      <c r="B2" s="18" t="s">
        <v>240</v>
      </c>
      <c r="C2" s="249">
        <v>13.0</v>
      </c>
      <c r="D2" s="27"/>
      <c r="E2" s="107">
        <v>13.0</v>
      </c>
      <c r="F2" s="27"/>
      <c r="G2" s="26"/>
      <c r="H2" s="26"/>
      <c r="J2" s="26"/>
      <c r="K2" s="422" t="s">
        <v>119</v>
      </c>
      <c r="L2" s="302" t="s">
        <v>120</v>
      </c>
    </row>
    <row r="3">
      <c r="B3" s="18" t="s">
        <v>241</v>
      </c>
      <c r="C3" s="249">
        <v>70.7</v>
      </c>
      <c r="D3" s="107">
        <v>19.98</v>
      </c>
      <c r="E3" s="107">
        <v>73.49</v>
      </c>
      <c r="F3" s="107"/>
      <c r="G3" s="107"/>
      <c r="H3" s="107"/>
      <c r="J3" s="107"/>
      <c r="K3" s="423" t="s">
        <v>326</v>
      </c>
      <c r="L3" s="7" t="s">
        <v>327</v>
      </c>
    </row>
    <row r="4">
      <c r="B4" s="18" t="s">
        <v>242</v>
      </c>
      <c r="C4" s="249">
        <v>13.0</v>
      </c>
      <c r="D4" s="107"/>
      <c r="E4" s="107">
        <v>13.0</v>
      </c>
      <c r="F4" s="26"/>
      <c r="G4" s="107"/>
      <c r="H4" s="107"/>
      <c r="J4" s="107"/>
      <c r="K4" s="423" t="s">
        <v>328</v>
      </c>
      <c r="L4" s="7" t="s">
        <v>329</v>
      </c>
      <c r="M4" s="107"/>
    </row>
    <row r="5">
      <c r="B5" s="18" t="s">
        <v>285</v>
      </c>
      <c r="C5" s="249">
        <v>42.0</v>
      </c>
      <c r="D5" s="107">
        <v>15.17</v>
      </c>
      <c r="E5" s="107">
        <v>55.8</v>
      </c>
      <c r="F5" s="107"/>
      <c r="G5" s="107"/>
      <c r="H5" s="107"/>
      <c r="J5" s="107"/>
      <c r="K5" s="423"/>
      <c r="L5" s="7" t="s">
        <v>192</v>
      </c>
      <c r="M5" s="107"/>
    </row>
    <row r="6">
      <c r="B6" s="18" t="s">
        <v>324</v>
      </c>
      <c r="C6" s="249">
        <v>6.0</v>
      </c>
      <c r="D6" s="107"/>
      <c r="E6" s="107">
        <v>6.0</v>
      </c>
      <c r="F6" s="107"/>
      <c r="M6" s="107"/>
    </row>
    <row r="7">
      <c r="C7" s="276">
        <f>SUM(C2:C6)</f>
        <v>144.7</v>
      </c>
      <c r="D7" s="27">
        <f>C7-13</f>
        <v>131.7</v>
      </c>
      <c r="E7" s="27">
        <f>SUM(E2:E6)</f>
        <v>161.29</v>
      </c>
      <c r="F7" s="107"/>
      <c r="M7" s="107"/>
    </row>
    <row r="8">
      <c r="M8" s="107"/>
    </row>
    <row r="9">
      <c r="M9" s="27"/>
    </row>
    <row r="10">
      <c r="I10" s="18" t="s">
        <v>366</v>
      </c>
      <c r="M10" s="107"/>
    </row>
    <row r="11">
      <c r="B11" s="55" t="s">
        <v>122</v>
      </c>
      <c r="C11" s="56"/>
      <c r="D11" s="140" t="s">
        <v>123</v>
      </c>
      <c r="E11" s="140" t="s">
        <v>124</v>
      </c>
      <c r="F11" s="140" t="s">
        <v>125</v>
      </c>
      <c r="G11" s="424" t="s">
        <v>126</v>
      </c>
      <c r="H11" s="140" t="s">
        <v>127</v>
      </c>
      <c r="I11" s="140" t="s">
        <v>128</v>
      </c>
      <c r="M11" s="107"/>
      <c r="O11" s="18"/>
    </row>
    <row r="12">
      <c r="B12" s="59" t="s">
        <v>129</v>
      </c>
      <c r="C12" s="141"/>
      <c r="D12" s="113">
        <v>8402.26</v>
      </c>
      <c r="E12" s="113">
        <v>8473.39</v>
      </c>
      <c r="F12" s="113">
        <v>8402.26</v>
      </c>
      <c r="G12" s="425">
        <v>8402.26</v>
      </c>
      <c r="H12" s="113">
        <v>8661.72</v>
      </c>
      <c r="I12" s="113">
        <v>8661.71</v>
      </c>
      <c r="M12" s="107"/>
      <c r="O12" s="18"/>
    </row>
    <row r="13">
      <c r="B13" s="59" t="s">
        <v>136</v>
      </c>
      <c r="C13" s="141"/>
      <c r="D13" s="114">
        <f>2160+3349.61</f>
        <v>5509.61</v>
      </c>
      <c r="E13" s="114">
        <f>2160+3570.51</f>
        <v>5730.51</v>
      </c>
      <c r="F13" s="114">
        <f>2160+3544.87</f>
        <v>5704.87</v>
      </c>
      <c r="G13" s="426">
        <f>2230+3676.95</f>
        <v>5906.95</v>
      </c>
      <c r="H13" s="114">
        <f>2230+3690.95</f>
        <v>5920.95</v>
      </c>
      <c r="I13" s="426">
        <f>2230+3679.95</f>
        <v>5909.95</v>
      </c>
      <c r="J13" s="407"/>
      <c r="K13" s="303"/>
      <c r="L13" s="107"/>
      <c r="M13" s="27"/>
      <c r="O13" s="18"/>
    </row>
    <row r="14">
      <c r="B14" s="59" t="s">
        <v>137</v>
      </c>
      <c r="C14" s="141"/>
      <c r="D14" s="115"/>
      <c r="E14" s="114"/>
      <c r="F14" s="115"/>
      <c r="G14" s="426"/>
      <c r="H14" s="115"/>
      <c r="I14" s="114"/>
      <c r="J14" s="363"/>
      <c r="K14" s="363"/>
      <c r="L14" s="107"/>
      <c r="M14" s="107"/>
      <c r="O14" s="18"/>
    </row>
    <row r="15">
      <c r="B15" s="59" t="s">
        <v>138</v>
      </c>
      <c r="C15" s="141"/>
      <c r="D15" s="116"/>
      <c r="E15" s="117"/>
      <c r="F15" s="114">
        <f>16458.02+8673.34</f>
        <v>25131.36</v>
      </c>
      <c r="G15" s="426">
        <v>845.32</v>
      </c>
      <c r="H15" s="115"/>
      <c r="I15" s="118"/>
      <c r="J15" s="32"/>
      <c r="K15" s="32"/>
      <c r="L15" s="107"/>
      <c r="M15" s="107"/>
      <c r="O15" s="18"/>
    </row>
    <row r="16">
      <c r="B16" s="142" t="s">
        <v>139</v>
      </c>
      <c r="C16" s="143"/>
      <c r="D16" s="144">
        <f t="shared" ref="D16:E16" si="1">SUM(D12:D15)</f>
        <v>13911.87</v>
      </c>
      <c r="E16" s="144">
        <f t="shared" si="1"/>
        <v>14203.9</v>
      </c>
      <c r="F16" s="144">
        <f>SUM(F12:F14)</f>
        <v>14107.13</v>
      </c>
      <c r="G16" s="428">
        <f t="shared" ref="G16:I16" si="2">SUM(G12:G15)</f>
        <v>15154.53</v>
      </c>
      <c r="H16" s="144">
        <f t="shared" si="2"/>
        <v>14582.67</v>
      </c>
      <c r="I16" s="144">
        <f t="shared" si="2"/>
        <v>14571.66</v>
      </c>
      <c r="J16" s="257"/>
      <c r="K16" s="257"/>
      <c r="N16" s="27"/>
      <c r="O16" s="18"/>
      <c r="Q16" s="107"/>
    </row>
    <row r="17">
      <c r="C17" s="27"/>
      <c r="J17" s="32"/>
      <c r="K17" s="32"/>
      <c r="L17" s="107"/>
      <c r="O17" s="18"/>
      <c r="Q17" s="27"/>
    </row>
    <row r="18">
      <c r="B18" s="70" t="s">
        <v>140</v>
      </c>
      <c r="C18" s="71"/>
      <c r="D18" s="58" t="s">
        <v>123</v>
      </c>
      <c r="E18" s="58" t="s">
        <v>124</v>
      </c>
      <c r="F18" s="58" t="s">
        <v>125</v>
      </c>
      <c r="G18" s="430" t="s">
        <v>126</v>
      </c>
      <c r="H18" s="58" t="s">
        <v>127</v>
      </c>
      <c r="I18" s="58" t="s">
        <v>128</v>
      </c>
      <c r="J18" s="418"/>
      <c r="K18" s="418" t="s">
        <v>331</v>
      </c>
      <c r="L18" s="192"/>
      <c r="O18" s="18"/>
    </row>
    <row r="19">
      <c r="B19" s="145" t="s">
        <v>141</v>
      </c>
      <c r="C19" s="146"/>
      <c r="D19" s="378">
        <v>410.0</v>
      </c>
      <c r="E19" s="378">
        <v>450.0</v>
      </c>
      <c r="F19" s="378">
        <v>450.0</v>
      </c>
      <c r="G19" s="446">
        <v>450.0</v>
      </c>
      <c r="H19" s="378">
        <v>450.0</v>
      </c>
      <c r="I19" s="147">
        <v>450.0</v>
      </c>
      <c r="J19" s="192"/>
      <c r="K19" s="447"/>
      <c r="L19" s="448" t="s">
        <v>27</v>
      </c>
      <c r="M19" s="448" t="s">
        <v>274</v>
      </c>
      <c r="N19" s="448" t="s">
        <v>351</v>
      </c>
      <c r="O19" s="448" t="s">
        <v>333</v>
      </c>
      <c r="P19" s="449" t="s">
        <v>368</v>
      </c>
      <c r="Q19" s="448" t="s">
        <v>48</v>
      </c>
      <c r="R19" s="448" t="s">
        <v>383</v>
      </c>
      <c r="S19" s="448" t="s">
        <v>386</v>
      </c>
    </row>
    <row r="20">
      <c r="B20" s="145" t="s">
        <v>142</v>
      </c>
      <c r="C20" s="146"/>
      <c r="D20" s="378">
        <v>220.0</v>
      </c>
      <c r="E20" s="378">
        <v>220.0</v>
      </c>
      <c r="F20" s="378">
        <v>220.0</v>
      </c>
      <c r="G20" s="446">
        <v>220.0</v>
      </c>
      <c r="H20" s="446">
        <v>220.0</v>
      </c>
      <c r="I20" s="147">
        <v>220.0</v>
      </c>
      <c r="J20" s="409"/>
      <c r="K20" s="450" t="s">
        <v>141</v>
      </c>
      <c r="L20" s="451"/>
      <c r="M20" s="452"/>
      <c r="N20" s="453">
        <v>450.0</v>
      </c>
      <c r="O20" s="452"/>
      <c r="P20" s="452"/>
      <c r="Q20" s="452"/>
      <c r="R20" s="452"/>
      <c r="S20" s="452"/>
    </row>
    <row r="21">
      <c r="B21" s="145" t="s">
        <v>143</v>
      </c>
      <c r="C21" s="146"/>
      <c r="D21" s="396">
        <v>139.9</v>
      </c>
      <c r="E21" s="396">
        <v>147.9</v>
      </c>
      <c r="F21" s="396">
        <v>147.9</v>
      </c>
      <c r="G21" s="454">
        <v>147.9</v>
      </c>
      <c r="H21" s="454">
        <v>147.9</v>
      </c>
      <c r="I21" s="147">
        <v>147.9</v>
      </c>
      <c r="J21" s="409"/>
      <c r="K21" s="450" t="s">
        <v>142</v>
      </c>
      <c r="L21" s="451"/>
      <c r="M21" s="452"/>
      <c r="N21" s="453">
        <v>220.0</v>
      </c>
      <c r="O21" s="452"/>
      <c r="P21" s="452"/>
      <c r="Q21" s="452"/>
      <c r="R21" s="452"/>
      <c r="S21" s="452"/>
    </row>
    <row r="22">
      <c r="B22" s="145" t="s">
        <v>144</v>
      </c>
      <c r="C22" s="146"/>
      <c r="D22" s="378">
        <v>100.0</v>
      </c>
      <c r="E22" s="378">
        <v>100.0</v>
      </c>
      <c r="F22" s="378">
        <f t="shared" ref="F22:H22" si="3">E22</f>
        <v>100</v>
      </c>
      <c r="G22" s="446">
        <f t="shared" si="3"/>
        <v>100</v>
      </c>
      <c r="H22" s="446">
        <f t="shared" si="3"/>
        <v>100</v>
      </c>
      <c r="I22" s="147">
        <v>100.0</v>
      </c>
      <c r="J22" s="409"/>
      <c r="K22" s="450" t="s">
        <v>143</v>
      </c>
      <c r="L22" s="451"/>
      <c r="M22" s="452"/>
      <c r="N22" s="453">
        <v>147.9</v>
      </c>
      <c r="O22" s="452"/>
      <c r="P22" s="452"/>
      <c r="Q22" s="452"/>
      <c r="R22" s="452"/>
      <c r="S22" s="452"/>
    </row>
    <row r="23">
      <c r="B23" s="145" t="s">
        <v>145</v>
      </c>
      <c r="C23" s="146"/>
      <c r="D23" s="378">
        <v>3004.8</v>
      </c>
      <c r="E23" s="378">
        <v>3004.8</v>
      </c>
      <c r="F23" s="378">
        <v>3004.8</v>
      </c>
      <c r="G23" s="446">
        <v>3004.8</v>
      </c>
      <c r="H23" s="446">
        <v>3004.8</v>
      </c>
      <c r="I23" s="147">
        <v>3004.8</v>
      </c>
      <c r="J23" s="409"/>
      <c r="K23" s="450" t="s">
        <v>144</v>
      </c>
      <c r="L23" s="451"/>
      <c r="M23" s="452"/>
      <c r="N23" s="453">
        <v>100.0</v>
      </c>
      <c r="O23" s="452"/>
      <c r="P23" s="452"/>
      <c r="Q23" s="452"/>
      <c r="R23" s="452"/>
      <c r="S23" s="452"/>
    </row>
    <row r="24">
      <c r="B24" s="145" t="s">
        <v>146</v>
      </c>
      <c r="C24" s="150" t="s">
        <v>136</v>
      </c>
      <c r="D24" s="378">
        <v>50.0</v>
      </c>
      <c r="E24" s="378">
        <v>0.0</v>
      </c>
      <c r="F24" s="378">
        <v>0.0</v>
      </c>
      <c r="G24" s="446"/>
      <c r="H24" s="446"/>
      <c r="I24" s="147"/>
      <c r="J24" s="409"/>
      <c r="K24" s="450" t="s">
        <v>145</v>
      </c>
      <c r="L24" s="467">
        <v>3004.8</v>
      </c>
      <c r="M24" s="456"/>
      <c r="N24" s="451"/>
      <c r="O24" s="452"/>
      <c r="P24" s="452"/>
      <c r="Q24" s="452"/>
      <c r="R24" s="452"/>
      <c r="S24" s="452"/>
    </row>
    <row r="25">
      <c r="B25" s="145" t="s">
        <v>180</v>
      </c>
      <c r="C25" s="146"/>
      <c r="D25" s="378">
        <v>400.0</v>
      </c>
      <c r="E25" s="378">
        <v>400.0</v>
      </c>
      <c r="F25" s="378">
        <v>400.0</v>
      </c>
      <c r="G25" s="446">
        <v>400.0</v>
      </c>
      <c r="H25" s="446">
        <v>400.0</v>
      </c>
      <c r="I25" s="147">
        <v>400.0</v>
      </c>
      <c r="J25" s="409"/>
      <c r="K25" s="450" t="s">
        <v>146</v>
      </c>
      <c r="L25" s="455"/>
      <c r="M25" s="457"/>
      <c r="N25" s="452"/>
      <c r="O25" s="452"/>
      <c r="P25" s="452"/>
      <c r="Q25" s="452"/>
      <c r="R25" s="452"/>
      <c r="S25" s="452"/>
    </row>
    <row r="26">
      <c r="B26" s="145" t="s">
        <v>148</v>
      </c>
      <c r="C26" s="146"/>
      <c r="D26" s="378">
        <v>600.0</v>
      </c>
      <c r="E26" s="378">
        <v>600.0</v>
      </c>
      <c r="F26" s="378">
        <v>600.0</v>
      </c>
      <c r="G26" s="446">
        <v>600.0</v>
      </c>
      <c r="H26" s="446">
        <v>600.0</v>
      </c>
      <c r="I26" s="147">
        <v>600.0</v>
      </c>
      <c r="J26" s="409"/>
      <c r="K26" s="450" t="s">
        <v>180</v>
      </c>
      <c r="L26" s="451"/>
      <c r="M26" s="456"/>
      <c r="N26" s="452"/>
      <c r="O26" s="452"/>
      <c r="P26" s="452"/>
      <c r="Q26" s="452"/>
      <c r="R26" s="452"/>
      <c r="S26" s="458">
        <v>400.0</v>
      </c>
    </row>
    <row r="27">
      <c r="B27" s="145" t="s">
        <v>149</v>
      </c>
      <c r="C27" s="146"/>
      <c r="D27" s="378">
        <v>500.0</v>
      </c>
      <c r="E27" s="378">
        <v>500.0</v>
      </c>
      <c r="F27" s="378">
        <f t="shared" ref="F27:H27" si="4">E27</f>
        <v>500</v>
      </c>
      <c r="G27" s="446">
        <f t="shared" si="4"/>
        <v>500</v>
      </c>
      <c r="H27" s="446">
        <f t="shared" si="4"/>
        <v>500</v>
      </c>
      <c r="I27" s="147">
        <v>500.0</v>
      </c>
      <c r="J27" s="409"/>
      <c r="K27" s="450" t="s">
        <v>148</v>
      </c>
      <c r="L27" s="451"/>
      <c r="M27" s="456"/>
      <c r="N27" s="453">
        <v>600.0</v>
      </c>
      <c r="O27" s="452"/>
      <c r="P27" s="452"/>
      <c r="Q27" s="452"/>
      <c r="R27" s="452"/>
      <c r="S27" s="452"/>
    </row>
    <row r="28">
      <c r="B28" s="145" t="s">
        <v>181</v>
      </c>
      <c r="C28" s="146"/>
      <c r="D28" s="378">
        <v>150.0</v>
      </c>
      <c r="E28" s="378">
        <v>150.0</v>
      </c>
      <c r="F28" s="378">
        <v>150.0</v>
      </c>
      <c r="G28" s="446">
        <v>150.0</v>
      </c>
      <c r="H28" s="446">
        <v>150.0</v>
      </c>
      <c r="I28" s="147">
        <v>150.0</v>
      </c>
      <c r="J28" s="409"/>
      <c r="K28" s="450" t="s">
        <v>149</v>
      </c>
      <c r="L28" s="451"/>
      <c r="M28" s="456"/>
      <c r="N28" s="453">
        <v>500.0</v>
      </c>
      <c r="O28" s="452"/>
      <c r="P28" s="452"/>
      <c r="Q28" s="452"/>
      <c r="R28" s="452"/>
      <c r="S28" s="452"/>
    </row>
    <row r="29">
      <c r="B29" s="145" t="s">
        <v>150</v>
      </c>
      <c r="C29" s="146"/>
      <c r="D29" s="378">
        <v>400.0</v>
      </c>
      <c r="E29" s="378">
        <v>400.0</v>
      </c>
      <c r="F29" s="378">
        <f t="shared" ref="F29:H29" si="5">E29</f>
        <v>400</v>
      </c>
      <c r="G29" s="446">
        <f t="shared" si="5"/>
        <v>400</v>
      </c>
      <c r="H29" s="446">
        <f t="shared" si="5"/>
        <v>400</v>
      </c>
      <c r="I29" s="147">
        <v>400.0</v>
      </c>
      <c r="J29" s="409"/>
      <c r="K29" s="450" t="s">
        <v>181</v>
      </c>
      <c r="L29" s="451"/>
      <c r="M29" s="456"/>
      <c r="N29" s="453">
        <v>150.0</v>
      </c>
      <c r="O29" s="452"/>
      <c r="P29" s="452"/>
      <c r="Q29" s="452"/>
      <c r="R29" s="452"/>
      <c r="S29" s="452"/>
    </row>
    <row r="30">
      <c r="B30" s="145" t="s">
        <v>182</v>
      </c>
      <c r="C30" s="146"/>
      <c r="D30" s="378">
        <v>160.0</v>
      </c>
      <c r="E30" s="378">
        <v>160.0</v>
      </c>
      <c r="F30" s="378">
        <v>160.0</v>
      </c>
      <c r="G30" s="446">
        <v>160.0</v>
      </c>
      <c r="H30" s="446">
        <v>160.0</v>
      </c>
      <c r="I30" s="147">
        <v>160.0</v>
      </c>
      <c r="J30" s="409"/>
      <c r="K30" s="450" t="s">
        <v>150</v>
      </c>
      <c r="L30" s="451"/>
      <c r="M30" s="453">
        <v>400.0</v>
      </c>
      <c r="N30" s="452"/>
      <c r="O30" s="452"/>
      <c r="P30" s="452"/>
      <c r="Q30" s="452"/>
      <c r="R30" s="452"/>
      <c r="S30" s="452"/>
    </row>
    <row r="31">
      <c r="B31" s="145" t="s">
        <v>183</v>
      </c>
      <c r="C31" s="146"/>
      <c r="D31" s="378">
        <v>400.0</v>
      </c>
      <c r="E31" s="378">
        <v>400.0</v>
      </c>
      <c r="F31" s="378">
        <v>400.0</v>
      </c>
      <c r="G31" s="446">
        <v>400.0</v>
      </c>
      <c r="H31" s="446">
        <v>400.0</v>
      </c>
      <c r="I31" s="147">
        <v>400.0</v>
      </c>
      <c r="J31" s="409"/>
      <c r="K31" s="450" t="s">
        <v>182</v>
      </c>
      <c r="L31" s="451"/>
      <c r="M31" s="456"/>
      <c r="N31" s="452"/>
      <c r="O31" s="452"/>
      <c r="P31" s="458">
        <v>160.0</v>
      </c>
      <c r="Q31" s="452"/>
      <c r="R31" s="452"/>
      <c r="S31" s="452"/>
    </row>
    <row r="32">
      <c r="B32" s="145" t="s">
        <v>152</v>
      </c>
      <c r="C32" s="146"/>
      <c r="D32" s="390"/>
      <c r="E32" s="378"/>
      <c r="F32" s="378"/>
      <c r="G32" s="459"/>
      <c r="H32" s="446"/>
      <c r="I32" s="147"/>
      <c r="J32" s="409"/>
      <c r="K32" s="450" t="s">
        <v>183</v>
      </c>
      <c r="L32" s="451"/>
      <c r="M32" s="460"/>
      <c r="N32" s="452"/>
      <c r="O32" s="452"/>
      <c r="P32" s="458"/>
      <c r="Q32" s="452"/>
      <c r="R32" s="452"/>
      <c r="S32" s="452"/>
    </row>
    <row r="33">
      <c r="B33" s="145" t="s">
        <v>154</v>
      </c>
      <c r="C33" s="146"/>
      <c r="D33" s="390">
        <v>136.92</v>
      </c>
      <c r="E33" s="390">
        <v>136.92</v>
      </c>
      <c r="F33" s="390">
        <v>136.92</v>
      </c>
      <c r="G33" s="446">
        <v>144.7</v>
      </c>
      <c r="H33" s="446">
        <v>144.7</v>
      </c>
      <c r="I33" s="147">
        <v>161.29</v>
      </c>
      <c r="J33" s="409"/>
      <c r="K33" s="450" t="s">
        <v>152</v>
      </c>
      <c r="L33" s="455"/>
      <c r="M33" s="456"/>
      <c r="N33" s="452"/>
      <c r="O33" s="452"/>
      <c r="P33" s="452"/>
      <c r="Q33" s="452"/>
      <c r="R33" s="452"/>
      <c r="S33" s="452"/>
    </row>
    <row r="34">
      <c r="B34" s="145" t="s">
        <v>155</v>
      </c>
      <c r="C34" s="146"/>
      <c r="D34" s="390"/>
      <c r="E34" s="390"/>
      <c r="F34" s="378" t="str">
        <f t="shared" ref="F34:H34" si="6">E34</f>
        <v/>
      </c>
      <c r="G34" s="446" t="str">
        <f t="shared" si="6"/>
        <v/>
      </c>
      <c r="H34" s="446" t="str">
        <f t="shared" si="6"/>
        <v/>
      </c>
      <c r="I34" s="147" t="str">
        <f>H32</f>
        <v/>
      </c>
      <c r="J34" s="409"/>
      <c r="K34" s="450" t="s">
        <v>154</v>
      </c>
      <c r="L34" s="468">
        <f>I33-M34</f>
        <v>148.29</v>
      </c>
      <c r="M34" s="468">
        <v>13.0</v>
      </c>
      <c r="N34" s="452"/>
      <c r="O34" s="452"/>
      <c r="P34" s="452"/>
      <c r="Q34" s="452"/>
      <c r="R34" s="452"/>
      <c r="S34" s="452"/>
    </row>
    <row r="35">
      <c r="B35" s="145" t="s">
        <v>156</v>
      </c>
      <c r="C35" s="146"/>
      <c r="D35" s="378">
        <v>100.0</v>
      </c>
      <c r="E35" s="378">
        <v>100.0</v>
      </c>
      <c r="F35" s="390"/>
      <c r="G35" s="446">
        <v>100.0</v>
      </c>
      <c r="H35" s="446">
        <v>600.0</v>
      </c>
      <c r="I35" s="147">
        <v>500.0</v>
      </c>
      <c r="J35" s="409"/>
      <c r="K35" s="450" t="s">
        <v>155</v>
      </c>
      <c r="L35" s="455"/>
      <c r="M35" s="456"/>
      <c r="N35" s="452"/>
      <c r="O35" s="452"/>
      <c r="P35" s="452"/>
      <c r="Q35" s="452"/>
      <c r="R35" s="452"/>
      <c r="S35" s="452"/>
    </row>
    <row r="36">
      <c r="B36" s="145" t="s">
        <v>157</v>
      </c>
      <c r="C36" s="146"/>
      <c r="D36" s="378">
        <v>50.0</v>
      </c>
      <c r="E36" s="378">
        <v>50.0</v>
      </c>
      <c r="F36" s="378">
        <f t="shared" ref="F36:H36" si="7">E36</f>
        <v>50</v>
      </c>
      <c r="G36" s="446">
        <f t="shared" si="7"/>
        <v>50</v>
      </c>
      <c r="H36" s="446">
        <f t="shared" si="7"/>
        <v>50</v>
      </c>
      <c r="I36" s="147">
        <v>50.0</v>
      </c>
      <c r="J36" s="409"/>
      <c r="K36" s="450" t="s">
        <v>156</v>
      </c>
      <c r="L36" s="453">
        <v>500.0</v>
      </c>
      <c r="M36" s="458"/>
      <c r="N36" s="452"/>
      <c r="O36" s="452"/>
      <c r="P36" s="458"/>
      <c r="Q36" s="452"/>
      <c r="R36" s="452"/>
      <c r="S36" s="452"/>
      <c r="T36" s="18"/>
    </row>
    <row r="37">
      <c r="B37" s="145" t="s">
        <v>158</v>
      </c>
      <c r="C37" s="146"/>
      <c r="D37" s="390"/>
      <c r="E37" s="390"/>
      <c r="F37" s="378" t="str">
        <f t="shared" ref="F37:H37" si="8">E37</f>
        <v/>
      </c>
      <c r="G37" s="446" t="str">
        <f t="shared" si="8"/>
        <v/>
      </c>
      <c r="H37" s="446" t="str">
        <f t="shared" si="8"/>
        <v/>
      </c>
      <c r="I37" s="147"/>
      <c r="J37" s="409"/>
      <c r="K37" s="450" t="s">
        <v>157</v>
      </c>
      <c r="L37" s="451"/>
      <c r="M37" s="456"/>
      <c r="N37" s="452"/>
      <c r="O37" s="452"/>
      <c r="P37" s="452"/>
      <c r="Q37" s="452"/>
      <c r="R37" s="458">
        <v>50.0</v>
      </c>
      <c r="S37" s="456"/>
      <c r="T37" s="18"/>
    </row>
    <row r="38">
      <c r="B38" s="145" t="s">
        <v>159</v>
      </c>
      <c r="C38" s="146"/>
      <c r="D38" s="378">
        <v>800.0</v>
      </c>
      <c r="E38" s="378">
        <v>800.0</v>
      </c>
      <c r="F38" s="378">
        <v>800.0</v>
      </c>
      <c r="G38" s="446">
        <v>800.0</v>
      </c>
      <c r="H38" s="446">
        <v>800.0</v>
      </c>
      <c r="I38" s="147">
        <v>800.0</v>
      </c>
      <c r="J38" s="409"/>
      <c r="K38" s="450" t="s">
        <v>158</v>
      </c>
      <c r="L38" s="455"/>
      <c r="M38" s="456"/>
      <c r="N38" s="452"/>
      <c r="O38" s="452"/>
      <c r="P38" s="452"/>
      <c r="Q38" s="452"/>
      <c r="R38" s="452"/>
      <c r="S38" s="452"/>
    </row>
    <row r="39">
      <c r="B39" s="145" t="s">
        <v>160</v>
      </c>
      <c r="C39" s="146"/>
      <c r="D39" s="378">
        <v>3000.0</v>
      </c>
      <c r="E39" s="378">
        <v>3000.0</v>
      </c>
      <c r="F39" s="378">
        <f t="shared" ref="F39:H39" si="9">E39</f>
        <v>3000</v>
      </c>
      <c r="G39" s="446">
        <f t="shared" si="9"/>
        <v>3000</v>
      </c>
      <c r="H39" s="446">
        <f t="shared" si="9"/>
        <v>3000</v>
      </c>
      <c r="I39" s="147">
        <v>3000.0</v>
      </c>
      <c r="J39" s="409"/>
      <c r="K39" s="450" t="s">
        <v>159</v>
      </c>
      <c r="L39" s="467">
        <v>400.0</v>
      </c>
      <c r="M39" s="467">
        <v>400.0</v>
      </c>
      <c r="N39" s="452"/>
      <c r="O39" s="452"/>
      <c r="P39" s="452"/>
      <c r="Q39" s="452"/>
      <c r="R39" s="452"/>
      <c r="S39" s="452"/>
    </row>
    <row r="40">
      <c r="B40" s="145" t="s">
        <v>184</v>
      </c>
      <c r="C40" s="146"/>
      <c r="D40" s="378">
        <v>700.0</v>
      </c>
      <c r="E40" s="378">
        <v>700.0</v>
      </c>
      <c r="F40" s="378">
        <v>700.0</v>
      </c>
      <c r="G40" s="446">
        <v>700.0</v>
      </c>
      <c r="H40" s="446">
        <v>700.0</v>
      </c>
      <c r="I40" s="147">
        <v>700.0</v>
      </c>
      <c r="J40" s="409"/>
      <c r="K40" s="450" t="s">
        <v>160</v>
      </c>
      <c r="L40" s="467">
        <v>1500.0</v>
      </c>
      <c r="M40" s="467">
        <v>1500.0</v>
      </c>
      <c r="N40" s="452"/>
      <c r="O40" s="452"/>
      <c r="P40" s="452"/>
      <c r="Q40" s="452"/>
      <c r="R40" s="452"/>
      <c r="S40" s="452"/>
    </row>
    <row r="41">
      <c r="B41" s="145" t="s">
        <v>3</v>
      </c>
      <c r="C41" s="146"/>
      <c r="D41" s="378">
        <v>500.0</v>
      </c>
      <c r="E41" s="378">
        <v>500.0</v>
      </c>
      <c r="F41" s="378">
        <v>500.0</v>
      </c>
      <c r="G41" s="446">
        <v>500.0</v>
      </c>
      <c r="H41" s="446">
        <v>500.0</v>
      </c>
      <c r="I41" s="147">
        <v>500.0</v>
      </c>
      <c r="J41" s="409"/>
      <c r="K41" s="450" t="s">
        <v>184</v>
      </c>
      <c r="L41" s="451"/>
      <c r="M41" s="456"/>
      <c r="N41" s="452"/>
      <c r="O41" s="458">
        <v>700.0</v>
      </c>
      <c r="P41" s="452"/>
      <c r="Q41" s="452"/>
      <c r="R41" s="452"/>
      <c r="S41" s="452"/>
    </row>
    <row r="42">
      <c r="B42" s="152" t="s">
        <v>161</v>
      </c>
      <c r="C42" s="153"/>
      <c r="D42" s="154">
        <f t="shared" ref="D42:I42" si="10">SUM(D19:D41)*-1</f>
        <v>-11821.62</v>
      </c>
      <c r="E42" s="154">
        <f t="shared" si="10"/>
        <v>-11819.62</v>
      </c>
      <c r="F42" s="154">
        <f t="shared" si="10"/>
        <v>-11719.62</v>
      </c>
      <c r="G42" s="435">
        <f t="shared" si="10"/>
        <v>-11827.4</v>
      </c>
      <c r="H42" s="435">
        <f t="shared" si="10"/>
        <v>-12327.4</v>
      </c>
      <c r="I42" s="154">
        <f t="shared" si="10"/>
        <v>-12243.99</v>
      </c>
      <c r="J42" s="409"/>
      <c r="K42" s="450" t="s">
        <v>3</v>
      </c>
      <c r="L42" s="451"/>
      <c r="M42" s="452"/>
      <c r="N42" s="452"/>
      <c r="O42" s="458">
        <v>500.0</v>
      </c>
      <c r="P42" s="452"/>
      <c r="Q42" s="452"/>
      <c r="R42" s="452"/>
      <c r="S42" s="452"/>
    </row>
    <row r="43">
      <c r="C43" s="27"/>
      <c r="J43" s="409"/>
      <c r="K43" s="450" t="s">
        <v>385</v>
      </c>
      <c r="L43" s="461"/>
      <c r="M43" s="451"/>
      <c r="N43" s="451"/>
      <c r="O43" s="458">
        <v>200.0</v>
      </c>
      <c r="P43" s="451"/>
      <c r="Q43" s="451"/>
      <c r="R43" s="451"/>
      <c r="S43" s="451"/>
    </row>
    <row r="44">
      <c r="B44" s="156" t="s">
        <v>162</v>
      </c>
      <c r="C44" s="157"/>
      <c r="D44" s="469">
        <f t="shared" ref="D44:I44" si="11">D16+D42</f>
        <v>2090.25</v>
      </c>
      <c r="E44" s="469">
        <f t="shared" si="11"/>
        <v>2384.28</v>
      </c>
      <c r="F44" s="469">
        <f t="shared" si="11"/>
        <v>2387.51</v>
      </c>
      <c r="G44" s="470">
        <f t="shared" si="11"/>
        <v>3327.13</v>
      </c>
      <c r="H44" s="469">
        <f t="shared" si="11"/>
        <v>2255.27</v>
      </c>
      <c r="I44" s="469">
        <f t="shared" si="11"/>
        <v>2327.67</v>
      </c>
      <c r="J44" s="18"/>
      <c r="K44" s="462" t="s">
        <v>382</v>
      </c>
      <c r="L44" s="451"/>
      <c r="M44" s="452"/>
      <c r="N44" s="452"/>
      <c r="O44" s="458">
        <v>724.25</v>
      </c>
      <c r="P44" s="452"/>
      <c r="Q44" s="458">
        <f>1803.42</f>
        <v>1803.42</v>
      </c>
      <c r="R44" s="452"/>
      <c r="S44" s="452"/>
    </row>
    <row r="45">
      <c r="B45" s="83"/>
      <c r="C45" s="159"/>
      <c r="D45" s="84"/>
      <c r="E45" s="84"/>
      <c r="F45" s="84"/>
      <c r="G45" s="84"/>
      <c r="H45" s="84"/>
      <c r="I45" s="84"/>
      <c r="J45" s="107"/>
      <c r="K45" s="463" t="s">
        <v>26</v>
      </c>
      <c r="L45" s="464">
        <f t="shared" ref="L45:S45" si="12">SUM(L20:L44)</f>
        <v>5553.09</v>
      </c>
      <c r="M45" s="465">
        <f t="shared" si="12"/>
        <v>2313</v>
      </c>
      <c r="N45" s="465">
        <f t="shared" si="12"/>
        <v>2167.9</v>
      </c>
      <c r="O45" s="465">
        <f t="shared" si="12"/>
        <v>2124.25</v>
      </c>
      <c r="P45" s="465">
        <f t="shared" si="12"/>
        <v>160</v>
      </c>
      <c r="Q45" s="465">
        <f t="shared" si="12"/>
        <v>1803.42</v>
      </c>
      <c r="R45" s="465">
        <f t="shared" si="12"/>
        <v>50</v>
      </c>
      <c r="S45" s="465">
        <f t="shared" si="12"/>
        <v>400</v>
      </c>
    </row>
    <row r="46">
      <c r="B46" s="85" t="s">
        <v>163</v>
      </c>
      <c r="C46" s="160"/>
      <c r="D46" s="161" t="s">
        <v>123</v>
      </c>
      <c r="E46" s="161" t="s">
        <v>124</v>
      </c>
      <c r="F46" s="161" t="s">
        <v>125</v>
      </c>
      <c r="G46" s="437" t="s">
        <v>126</v>
      </c>
      <c r="H46" s="161" t="s">
        <v>127</v>
      </c>
      <c r="I46" s="161" t="s">
        <v>128</v>
      </c>
      <c r="J46" s="107"/>
      <c r="K46" s="107" t="s">
        <v>389</v>
      </c>
      <c r="L46" s="471">
        <f>I12-L45</f>
        <v>3108.62</v>
      </c>
      <c r="M46" s="472">
        <f>I13-M45</f>
        <v>3596.95</v>
      </c>
      <c r="N46" s="287"/>
    </row>
    <row r="47">
      <c r="B47" s="162"/>
      <c r="C47" s="163"/>
      <c r="D47" s="164"/>
      <c r="E47" s="164"/>
      <c r="F47" s="165"/>
      <c r="G47" s="438"/>
      <c r="H47" s="165"/>
      <c r="I47" s="165"/>
      <c r="J47" s="248"/>
      <c r="K47" s="325" t="s">
        <v>353</v>
      </c>
    </row>
    <row r="48">
      <c r="A48" s="298"/>
      <c r="B48" s="162" t="s">
        <v>58</v>
      </c>
      <c r="C48" s="163"/>
      <c r="D48" s="167">
        <v>962.79</v>
      </c>
      <c r="E48" s="167">
        <v>962.79</v>
      </c>
      <c r="F48" s="167">
        <v>962.79</v>
      </c>
      <c r="G48" s="439">
        <v>962.79</v>
      </c>
      <c r="H48" s="167">
        <v>724.25</v>
      </c>
      <c r="I48" s="167">
        <v>724.25</v>
      </c>
      <c r="J48" s="107"/>
      <c r="K48" s="107"/>
    </row>
    <row r="49">
      <c r="B49" s="162"/>
      <c r="C49" s="163"/>
      <c r="D49" s="166"/>
      <c r="E49" s="166"/>
      <c r="F49" s="166"/>
      <c r="G49" s="440"/>
      <c r="H49" s="166"/>
      <c r="I49" s="166"/>
      <c r="J49" s="107"/>
      <c r="K49" s="107"/>
      <c r="O49" s="387"/>
      <c r="Q49" s="387"/>
    </row>
    <row r="50">
      <c r="B50" s="168"/>
      <c r="C50" s="169"/>
      <c r="D50" s="170"/>
      <c r="E50" s="170"/>
      <c r="F50" s="170"/>
      <c r="G50" s="441"/>
      <c r="H50" s="170"/>
      <c r="I50" s="166"/>
      <c r="J50" s="107"/>
      <c r="K50" s="107"/>
    </row>
    <row r="51">
      <c r="B51" s="152" t="s">
        <v>167</v>
      </c>
      <c r="C51" s="171"/>
      <c r="D51" s="172">
        <f t="shared" ref="D51:I51" si="13">SUM(D47:D50)*-1</f>
        <v>-962.79</v>
      </c>
      <c r="E51" s="172">
        <f t="shared" si="13"/>
        <v>-962.79</v>
      </c>
      <c r="F51" s="172">
        <f t="shared" si="13"/>
        <v>-962.79</v>
      </c>
      <c r="G51" s="442">
        <f t="shared" si="13"/>
        <v>-962.79</v>
      </c>
      <c r="H51" s="172">
        <f t="shared" si="13"/>
        <v>-724.25</v>
      </c>
      <c r="I51" s="172">
        <f t="shared" si="13"/>
        <v>-724.25</v>
      </c>
    </row>
    <row r="52">
      <c r="B52" s="83"/>
      <c r="C52" s="159"/>
      <c r="D52" s="96"/>
      <c r="E52" s="96"/>
      <c r="F52" s="96"/>
      <c r="G52" s="96"/>
      <c r="H52" s="96"/>
      <c r="I52" s="96"/>
      <c r="J52" s="107"/>
      <c r="K52" s="107"/>
    </row>
    <row r="53">
      <c r="B53" s="173" t="s">
        <v>168</v>
      </c>
      <c r="C53" s="174"/>
      <c r="D53" s="175">
        <f t="shared" ref="D53:I53" si="14">D44+D51</f>
        <v>1127.46</v>
      </c>
      <c r="E53" s="175">
        <f t="shared" si="14"/>
        <v>1421.49</v>
      </c>
      <c r="F53" s="175">
        <f t="shared" si="14"/>
        <v>1424.72</v>
      </c>
      <c r="G53" s="443">
        <f t="shared" si="14"/>
        <v>2364.34</v>
      </c>
      <c r="H53" s="175">
        <f t="shared" si="14"/>
        <v>1531.02</v>
      </c>
      <c r="I53" s="175">
        <f t="shared" si="14"/>
        <v>1603.42</v>
      </c>
      <c r="J53" s="107"/>
      <c r="K53" s="107"/>
      <c r="L53" s="107"/>
    </row>
    <row r="54">
      <c r="B54" s="83"/>
      <c r="C54" s="159"/>
      <c r="D54" s="96"/>
      <c r="E54" s="96"/>
      <c r="F54" s="96"/>
      <c r="G54" s="96"/>
      <c r="H54" s="96"/>
      <c r="I54" s="96"/>
      <c r="J54" s="107"/>
      <c r="K54" s="107"/>
      <c r="L54" s="18"/>
    </row>
    <row r="55">
      <c r="B55" s="100" t="s">
        <v>169</v>
      </c>
      <c r="C55" s="176"/>
      <c r="D55" s="177" t="s">
        <v>123</v>
      </c>
      <c r="E55" s="177" t="s">
        <v>124</v>
      </c>
      <c r="F55" s="177" t="s">
        <v>125</v>
      </c>
      <c r="G55" s="444" t="s">
        <v>126</v>
      </c>
      <c r="H55" s="177" t="s">
        <v>127</v>
      </c>
      <c r="I55" s="177" t="s">
        <v>128</v>
      </c>
      <c r="J55" s="107"/>
      <c r="K55" s="107"/>
      <c r="L55" s="18"/>
    </row>
    <row r="56">
      <c r="B56" s="152" t="s">
        <v>171</v>
      </c>
      <c r="C56" s="153"/>
      <c r="D56" s="178">
        <f t="shared" ref="D56:I56" si="15">+D53</f>
        <v>1127.46</v>
      </c>
      <c r="E56" s="178">
        <f t="shared" si="15"/>
        <v>1421.49</v>
      </c>
      <c r="F56" s="178">
        <f t="shared" si="15"/>
        <v>1424.72</v>
      </c>
      <c r="G56" s="445">
        <f t="shared" si="15"/>
        <v>2364.34</v>
      </c>
      <c r="H56" s="178">
        <f t="shared" si="15"/>
        <v>1531.02</v>
      </c>
      <c r="I56" s="178">
        <f t="shared" si="15"/>
        <v>1603.42</v>
      </c>
      <c r="J56" s="27"/>
      <c r="K56" s="27"/>
    </row>
    <row r="57">
      <c r="D57" s="362"/>
      <c r="E57" s="362"/>
      <c r="F57" s="27"/>
      <c r="G57" s="27"/>
      <c r="H57" s="27"/>
      <c r="J57" s="27"/>
      <c r="K57" s="27"/>
    </row>
    <row r="58">
      <c r="F58" s="27"/>
      <c r="G58" s="27"/>
      <c r="H58" s="27"/>
      <c r="J58" s="27"/>
      <c r="K58" s="27"/>
    </row>
    <row r="59">
      <c r="F59" s="27"/>
      <c r="G59" s="27"/>
      <c r="H59" s="27"/>
      <c r="J59" s="27"/>
      <c r="K59" s="27"/>
    </row>
    <row r="60">
      <c r="F60" s="27"/>
      <c r="G60" s="27"/>
      <c r="H60" s="27"/>
      <c r="J60" s="27"/>
      <c r="K60" s="27"/>
    </row>
    <row r="61">
      <c r="F61" s="27"/>
      <c r="G61" s="27"/>
      <c r="H61" s="27"/>
      <c r="J61" s="27"/>
      <c r="K61" s="27"/>
    </row>
    <row r="62">
      <c r="F62" s="27"/>
      <c r="G62" s="27"/>
      <c r="H62" s="27"/>
      <c r="J62" s="27"/>
      <c r="K62" s="27"/>
    </row>
    <row r="63">
      <c r="F63" s="27"/>
      <c r="G63" s="27"/>
      <c r="H63" s="27"/>
      <c r="J63" s="27"/>
      <c r="K63" s="27"/>
    </row>
    <row r="64">
      <c r="F64" s="27"/>
      <c r="G64" s="27"/>
      <c r="H64" s="27"/>
      <c r="J64" s="27"/>
      <c r="K64" s="27"/>
    </row>
    <row r="65">
      <c r="F65" s="27"/>
      <c r="G65" s="27"/>
      <c r="H65" s="27"/>
      <c r="J65" s="27"/>
      <c r="K65" s="27"/>
    </row>
    <row r="66">
      <c r="F66" s="27"/>
      <c r="G66" s="27"/>
      <c r="H66" s="27"/>
      <c r="J66" s="27"/>
      <c r="K66" s="27"/>
    </row>
    <row r="67">
      <c r="F67" s="27"/>
      <c r="G67" s="27"/>
      <c r="H67" s="27"/>
      <c r="J67" s="27"/>
      <c r="K67" s="27"/>
    </row>
    <row r="68">
      <c r="F68" s="27"/>
      <c r="G68" s="27"/>
      <c r="H68" s="27"/>
      <c r="J68" s="27"/>
      <c r="K68" s="27"/>
    </row>
    <row r="69">
      <c r="F69" s="27"/>
      <c r="G69" s="27"/>
      <c r="H69" s="27"/>
      <c r="J69" s="27"/>
      <c r="K69" s="27"/>
    </row>
    <row r="70">
      <c r="F70" s="27"/>
      <c r="G70" s="27"/>
      <c r="H70" s="27"/>
      <c r="J70" s="27"/>
      <c r="K70" s="27"/>
    </row>
    <row r="71">
      <c r="F71" s="27"/>
      <c r="G71" s="27"/>
      <c r="H71" s="27"/>
      <c r="J71" s="27"/>
      <c r="K71" s="27"/>
    </row>
    <row r="72">
      <c r="F72" s="27"/>
      <c r="G72" s="27"/>
      <c r="H72" s="27"/>
      <c r="J72" s="27"/>
      <c r="K72" s="27"/>
    </row>
    <row r="73">
      <c r="F73" s="27"/>
      <c r="G73" s="27"/>
      <c r="H73" s="27"/>
      <c r="J73" s="27"/>
      <c r="K73" s="27"/>
    </row>
    <row r="74">
      <c r="F74" s="27"/>
      <c r="G74" s="27"/>
      <c r="H74" s="27"/>
      <c r="J74" s="27"/>
      <c r="K74" s="27"/>
    </row>
    <row r="75">
      <c r="F75" s="27"/>
      <c r="G75" s="27"/>
      <c r="H75" s="27"/>
      <c r="J75" s="27"/>
      <c r="K75" s="27"/>
    </row>
    <row r="76">
      <c r="F76" s="27"/>
      <c r="G76" s="27"/>
      <c r="H76" s="27"/>
      <c r="J76" s="27"/>
      <c r="K76" s="27"/>
    </row>
    <row r="77">
      <c r="F77" s="27"/>
      <c r="G77" s="27"/>
      <c r="H77" s="27"/>
      <c r="J77" s="27"/>
      <c r="K77" s="27"/>
    </row>
    <row r="78">
      <c r="F78" s="27"/>
      <c r="G78" s="27"/>
      <c r="H78" s="27"/>
      <c r="J78" s="27"/>
      <c r="K78" s="27"/>
    </row>
    <row r="79">
      <c r="F79" s="27"/>
      <c r="G79" s="27"/>
      <c r="H79" s="27"/>
      <c r="J79" s="27"/>
      <c r="K79" s="27"/>
    </row>
    <row r="80">
      <c r="F80" s="27"/>
      <c r="G80" s="27"/>
      <c r="H80" s="27"/>
      <c r="J80" s="27"/>
      <c r="K80" s="27"/>
    </row>
    <row r="81">
      <c r="F81" s="27"/>
      <c r="G81" s="27"/>
      <c r="H81" s="27"/>
      <c r="J81" s="27"/>
      <c r="K81" s="27"/>
    </row>
    <row r="82">
      <c r="F82" s="27"/>
      <c r="G82" s="27"/>
      <c r="H82" s="27"/>
      <c r="J82" s="27"/>
      <c r="K82" s="27"/>
    </row>
    <row r="83">
      <c r="F83" s="27"/>
      <c r="G83" s="27"/>
      <c r="H83" s="27"/>
      <c r="J83" s="27"/>
      <c r="K83" s="27"/>
    </row>
    <row r="84">
      <c r="F84" s="27"/>
      <c r="G84" s="27"/>
      <c r="H84" s="27"/>
      <c r="J84" s="27"/>
      <c r="K84" s="27"/>
    </row>
    <row r="85">
      <c r="F85" s="27"/>
      <c r="G85" s="27"/>
      <c r="H85" s="27"/>
      <c r="J85" s="27"/>
      <c r="K85" s="27"/>
    </row>
    <row r="86">
      <c r="F86" s="27"/>
      <c r="G86" s="27"/>
      <c r="H86" s="27"/>
      <c r="J86" s="27"/>
      <c r="K86" s="27"/>
    </row>
    <row r="87">
      <c r="F87" s="27"/>
      <c r="G87" s="27"/>
      <c r="H87" s="27"/>
      <c r="J87" s="27"/>
      <c r="K87" s="27"/>
    </row>
    <row r="88">
      <c r="F88" s="27"/>
      <c r="G88" s="27"/>
      <c r="H88" s="27"/>
      <c r="J88" s="27"/>
      <c r="K88" s="27"/>
    </row>
    <row r="89">
      <c r="F89" s="27"/>
      <c r="G89" s="27"/>
      <c r="H89" s="27"/>
      <c r="J89" s="27"/>
      <c r="K89" s="27"/>
    </row>
    <row r="90">
      <c r="F90" s="27"/>
      <c r="G90" s="27"/>
      <c r="H90" s="27"/>
      <c r="J90" s="27"/>
      <c r="K90" s="27"/>
    </row>
    <row r="91">
      <c r="F91" s="27"/>
      <c r="G91" s="27"/>
      <c r="H91" s="27"/>
      <c r="J91" s="27"/>
      <c r="K91" s="27"/>
    </row>
    <row r="92">
      <c r="F92" s="27"/>
      <c r="G92" s="27"/>
      <c r="H92" s="27"/>
      <c r="J92" s="27"/>
      <c r="K92" s="27"/>
    </row>
    <row r="93">
      <c r="F93" s="27"/>
      <c r="G93" s="27"/>
      <c r="H93" s="27"/>
      <c r="J93" s="27"/>
      <c r="K93" s="27"/>
    </row>
    <row r="94">
      <c r="F94" s="27"/>
      <c r="G94" s="27"/>
      <c r="H94" s="27"/>
      <c r="J94" s="27"/>
      <c r="K94" s="27"/>
    </row>
    <row r="95">
      <c r="F95" s="27"/>
      <c r="G95" s="27"/>
      <c r="H95" s="27"/>
      <c r="J95" s="27"/>
      <c r="K95" s="27"/>
    </row>
    <row r="96">
      <c r="F96" s="27"/>
      <c r="G96" s="27"/>
      <c r="H96" s="27"/>
      <c r="J96" s="27"/>
      <c r="K96" s="27"/>
    </row>
    <row r="97">
      <c r="F97" s="27"/>
      <c r="G97" s="27"/>
      <c r="H97" s="27"/>
      <c r="J97" s="27"/>
      <c r="K97" s="27"/>
    </row>
    <row r="98">
      <c r="F98" s="27"/>
      <c r="G98" s="27"/>
      <c r="H98" s="27"/>
      <c r="J98" s="27"/>
      <c r="K98" s="27"/>
    </row>
    <row r="99">
      <c r="F99" s="27"/>
      <c r="G99" s="27"/>
      <c r="H99" s="27"/>
      <c r="J99" s="27"/>
      <c r="K99" s="27"/>
    </row>
    <row r="100">
      <c r="F100" s="27"/>
      <c r="G100" s="27"/>
      <c r="H100" s="27"/>
      <c r="J100" s="27"/>
      <c r="K100" s="27"/>
    </row>
    <row r="101">
      <c r="F101" s="27"/>
      <c r="G101" s="27"/>
      <c r="H101" s="27"/>
      <c r="J101" s="27"/>
      <c r="K101" s="27"/>
    </row>
    <row r="102">
      <c r="F102" s="27"/>
      <c r="G102" s="27"/>
      <c r="H102" s="27"/>
      <c r="J102" s="27"/>
      <c r="K102" s="27"/>
    </row>
    <row r="103">
      <c r="F103" s="27"/>
      <c r="G103" s="27"/>
      <c r="H103" s="27"/>
      <c r="J103" s="27"/>
      <c r="K103" s="27"/>
    </row>
    <row r="104">
      <c r="F104" s="27"/>
      <c r="G104" s="27"/>
      <c r="H104" s="27"/>
      <c r="J104" s="27"/>
      <c r="K104" s="27"/>
    </row>
    <row r="105">
      <c r="F105" s="27"/>
      <c r="G105" s="27"/>
      <c r="H105" s="27"/>
      <c r="J105" s="27"/>
      <c r="K105" s="27"/>
    </row>
    <row r="106">
      <c r="F106" s="27"/>
      <c r="G106" s="27"/>
      <c r="H106" s="27"/>
      <c r="J106" s="27"/>
      <c r="K106" s="27"/>
    </row>
    <row r="107">
      <c r="F107" s="27"/>
      <c r="G107" s="27"/>
      <c r="H107" s="27"/>
      <c r="J107" s="27"/>
      <c r="K107" s="27"/>
    </row>
    <row r="108">
      <c r="F108" s="27"/>
      <c r="G108" s="27"/>
      <c r="H108" s="27"/>
      <c r="J108" s="27"/>
      <c r="K108" s="27"/>
    </row>
    <row r="109">
      <c r="F109" s="27"/>
      <c r="G109" s="27"/>
      <c r="H109" s="27"/>
      <c r="J109" s="27"/>
      <c r="K109" s="27"/>
    </row>
    <row r="110">
      <c r="F110" s="27"/>
      <c r="G110" s="27"/>
      <c r="H110" s="27"/>
      <c r="J110" s="27"/>
      <c r="K110" s="27"/>
    </row>
    <row r="111">
      <c r="F111" s="27"/>
      <c r="G111" s="27"/>
      <c r="H111" s="27"/>
      <c r="J111" s="27"/>
      <c r="K111" s="27"/>
    </row>
    <row r="112">
      <c r="F112" s="27"/>
      <c r="G112" s="27"/>
      <c r="H112" s="27"/>
      <c r="J112" s="27"/>
      <c r="K112" s="27"/>
    </row>
    <row r="113">
      <c r="F113" s="27"/>
      <c r="G113" s="27"/>
      <c r="H113" s="27"/>
      <c r="J113" s="27"/>
      <c r="K113" s="27"/>
    </row>
    <row r="114">
      <c r="F114" s="27"/>
      <c r="G114" s="27"/>
      <c r="H114" s="27"/>
      <c r="J114" s="27"/>
      <c r="K114" s="27"/>
    </row>
    <row r="115">
      <c r="F115" s="27"/>
      <c r="G115" s="27"/>
      <c r="H115" s="27"/>
      <c r="J115" s="27"/>
      <c r="K115" s="27"/>
    </row>
    <row r="116">
      <c r="F116" s="27"/>
      <c r="G116" s="27"/>
      <c r="H116" s="27"/>
      <c r="J116" s="27"/>
      <c r="K116" s="27"/>
    </row>
    <row r="117">
      <c r="F117" s="27"/>
      <c r="G117" s="27"/>
      <c r="H117" s="27"/>
      <c r="J117" s="27"/>
      <c r="K117" s="27"/>
    </row>
    <row r="118">
      <c r="F118" s="27"/>
      <c r="G118" s="27"/>
      <c r="H118" s="27"/>
      <c r="J118" s="27"/>
      <c r="K118" s="27"/>
    </row>
    <row r="119">
      <c r="F119" s="27"/>
      <c r="G119" s="27"/>
      <c r="H119" s="27"/>
      <c r="J119" s="27"/>
      <c r="K119" s="27"/>
    </row>
    <row r="120">
      <c r="F120" s="27"/>
      <c r="G120" s="27"/>
      <c r="H120" s="27"/>
      <c r="J120" s="27"/>
      <c r="K120" s="27"/>
    </row>
    <row r="121">
      <c r="F121" s="27"/>
      <c r="G121" s="27"/>
      <c r="H121" s="27"/>
      <c r="J121" s="27"/>
      <c r="K121" s="27"/>
    </row>
    <row r="122">
      <c r="F122" s="27"/>
      <c r="G122" s="27"/>
      <c r="H122" s="27"/>
      <c r="J122" s="27"/>
      <c r="K122" s="27"/>
    </row>
    <row r="123">
      <c r="F123" s="27"/>
      <c r="G123" s="27"/>
      <c r="H123" s="27"/>
      <c r="J123" s="27"/>
      <c r="K123" s="27"/>
    </row>
    <row r="124">
      <c r="F124" s="27"/>
      <c r="G124" s="27"/>
      <c r="H124" s="27"/>
      <c r="J124" s="27"/>
      <c r="K124" s="27"/>
    </row>
    <row r="125">
      <c r="F125" s="27"/>
      <c r="G125" s="27"/>
      <c r="H125" s="27"/>
      <c r="J125" s="27"/>
      <c r="K125" s="27"/>
    </row>
    <row r="126">
      <c r="F126" s="27"/>
      <c r="G126" s="27"/>
      <c r="H126" s="27"/>
      <c r="J126" s="27"/>
      <c r="K126" s="27"/>
    </row>
    <row r="127">
      <c r="F127" s="27"/>
      <c r="G127" s="27"/>
      <c r="H127" s="27"/>
      <c r="J127" s="27"/>
      <c r="K127" s="27"/>
    </row>
    <row r="128">
      <c r="F128" s="27"/>
      <c r="G128" s="27"/>
      <c r="H128" s="27"/>
      <c r="J128" s="27"/>
      <c r="K128" s="27"/>
    </row>
    <row r="129">
      <c r="F129" s="27"/>
      <c r="G129" s="27"/>
      <c r="H129" s="27"/>
      <c r="J129" s="27"/>
      <c r="K129" s="27"/>
    </row>
    <row r="130">
      <c r="F130" s="27"/>
      <c r="G130" s="27"/>
      <c r="H130" s="27"/>
      <c r="J130" s="27"/>
      <c r="K130" s="27"/>
    </row>
    <row r="131">
      <c r="F131" s="27"/>
      <c r="G131" s="27"/>
      <c r="H131" s="27"/>
      <c r="J131" s="27"/>
      <c r="K131" s="27"/>
    </row>
    <row r="132">
      <c r="F132" s="27"/>
      <c r="G132" s="27"/>
      <c r="H132" s="27"/>
      <c r="J132" s="27"/>
      <c r="K132" s="27"/>
    </row>
    <row r="133">
      <c r="F133" s="27"/>
      <c r="G133" s="27"/>
      <c r="H133" s="27"/>
      <c r="J133" s="27"/>
      <c r="K133" s="27"/>
    </row>
    <row r="134">
      <c r="F134" s="27"/>
      <c r="G134" s="27"/>
      <c r="H134" s="27"/>
      <c r="J134" s="27"/>
      <c r="K134" s="27"/>
    </row>
    <row r="135">
      <c r="F135" s="27"/>
      <c r="G135" s="27"/>
      <c r="H135" s="27"/>
      <c r="J135" s="27"/>
      <c r="K135" s="27"/>
    </row>
    <row r="136">
      <c r="F136" s="27"/>
      <c r="G136" s="27"/>
      <c r="H136" s="27"/>
      <c r="J136" s="27"/>
      <c r="K136" s="27"/>
    </row>
    <row r="137">
      <c r="F137" s="27"/>
      <c r="G137" s="27"/>
      <c r="H137" s="27"/>
      <c r="J137" s="27"/>
      <c r="K137" s="27"/>
    </row>
    <row r="138">
      <c r="F138" s="27"/>
      <c r="G138" s="27"/>
      <c r="H138" s="27"/>
      <c r="J138" s="27"/>
      <c r="K138" s="27"/>
    </row>
    <row r="139">
      <c r="F139" s="27"/>
      <c r="G139" s="27"/>
      <c r="H139" s="27"/>
      <c r="J139" s="27"/>
      <c r="K139" s="27"/>
    </row>
    <row r="140">
      <c r="F140" s="27"/>
      <c r="G140" s="27"/>
      <c r="H140" s="27"/>
      <c r="J140" s="27"/>
      <c r="K140" s="27"/>
    </row>
    <row r="141">
      <c r="F141" s="27"/>
      <c r="G141" s="27"/>
      <c r="H141" s="27"/>
      <c r="J141" s="27"/>
      <c r="K141" s="27"/>
    </row>
    <row r="142">
      <c r="F142" s="27"/>
      <c r="G142" s="27"/>
      <c r="H142" s="27"/>
      <c r="J142" s="27"/>
      <c r="K142" s="27"/>
    </row>
    <row r="143">
      <c r="F143" s="27"/>
      <c r="G143" s="27"/>
      <c r="H143" s="27"/>
      <c r="J143" s="27"/>
      <c r="K143" s="27"/>
    </row>
    <row r="144">
      <c r="F144" s="27"/>
      <c r="G144" s="27"/>
      <c r="H144" s="27"/>
      <c r="J144" s="27"/>
      <c r="K144" s="27"/>
    </row>
    <row r="145">
      <c r="F145" s="27"/>
      <c r="G145" s="27"/>
      <c r="H145" s="27"/>
      <c r="J145" s="27"/>
      <c r="K145" s="27"/>
    </row>
    <row r="146">
      <c r="F146" s="27"/>
      <c r="G146" s="27"/>
      <c r="H146" s="27"/>
      <c r="J146" s="27"/>
      <c r="K146" s="27"/>
    </row>
    <row r="147">
      <c r="F147" s="27"/>
      <c r="G147" s="27"/>
      <c r="H147" s="27"/>
      <c r="J147" s="27"/>
      <c r="K147" s="27"/>
    </row>
    <row r="148">
      <c r="F148" s="27"/>
      <c r="G148" s="27"/>
      <c r="H148" s="27"/>
      <c r="J148" s="27"/>
      <c r="K148" s="27"/>
    </row>
    <row r="149">
      <c r="F149" s="27"/>
      <c r="G149" s="27"/>
      <c r="H149" s="27"/>
      <c r="J149" s="27"/>
      <c r="K149" s="27"/>
    </row>
    <row r="150">
      <c r="F150" s="27"/>
      <c r="G150" s="27"/>
      <c r="H150" s="27"/>
      <c r="J150" s="27"/>
      <c r="K150" s="27"/>
    </row>
    <row r="151">
      <c r="F151" s="27"/>
      <c r="G151" s="27"/>
      <c r="H151" s="27"/>
      <c r="J151" s="27"/>
      <c r="K151" s="27"/>
    </row>
    <row r="152">
      <c r="F152" s="27"/>
      <c r="G152" s="27"/>
      <c r="H152" s="27"/>
      <c r="J152" s="27"/>
      <c r="K152" s="27"/>
    </row>
    <row r="153">
      <c r="F153" s="27"/>
      <c r="G153" s="27"/>
      <c r="H153" s="27"/>
      <c r="J153" s="27"/>
      <c r="K153" s="27"/>
    </row>
    <row r="154">
      <c r="F154" s="27"/>
      <c r="G154" s="27"/>
      <c r="H154" s="27"/>
      <c r="J154" s="27"/>
      <c r="K154" s="27"/>
    </row>
    <row r="155">
      <c r="F155" s="27"/>
      <c r="G155" s="27"/>
      <c r="H155" s="27"/>
      <c r="J155" s="27"/>
      <c r="K155" s="27"/>
    </row>
    <row r="156">
      <c r="F156" s="27"/>
      <c r="G156" s="27"/>
      <c r="H156" s="27"/>
      <c r="J156" s="27"/>
      <c r="K156" s="27"/>
    </row>
    <row r="157">
      <c r="F157" s="27"/>
      <c r="G157" s="27"/>
      <c r="H157" s="27"/>
      <c r="J157" s="27"/>
      <c r="K157" s="27"/>
    </row>
    <row r="158">
      <c r="F158" s="27"/>
      <c r="G158" s="27"/>
      <c r="H158" s="27"/>
      <c r="J158" s="27"/>
      <c r="K158" s="27"/>
    </row>
    <row r="159">
      <c r="F159" s="27"/>
      <c r="G159" s="27"/>
      <c r="H159" s="27"/>
      <c r="J159" s="27"/>
      <c r="K159" s="27"/>
    </row>
    <row r="160">
      <c r="F160" s="27"/>
      <c r="G160" s="27"/>
      <c r="H160" s="27"/>
      <c r="J160" s="27"/>
      <c r="K160" s="27"/>
    </row>
    <row r="161">
      <c r="F161" s="27"/>
      <c r="G161" s="27"/>
      <c r="H161" s="27"/>
      <c r="J161" s="27"/>
      <c r="K161" s="27"/>
    </row>
    <row r="162">
      <c r="F162" s="27"/>
      <c r="G162" s="27"/>
      <c r="H162" s="27"/>
      <c r="J162" s="27"/>
      <c r="K162" s="27"/>
    </row>
    <row r="163">
      <c r="F163" s="27"/>
      <c r="G163" s="27"/>
      <c r="H163" s="27"/>
      <c r="J163" s="27"/>
      <c r="K163" s="27"/>
    </row>
    <row r="164">
      <c r="F164" s="27"/>
      <c r="G164" s="27"/>
      <c r="H164" s="27"/>
      <c r="J164" s="27"/>
      <c r="K164" s="27"/>
    </row>
    <row r="165">
      <c r="F165" s="27"/>
      <c r="G165" s="27"/>
      <c r="H165" s="27"/>
      <c r="J165" s="27"/>
      <c r="K165" s="27"/>
    </row>
    <row r="166">
      <c r="F166" s="27"/>
      <c r="G166" s="27"/>
      <c r="H166" s="27"/>
      <c r="J166" s="27"/>
      <c r="K166" s="27"/>
    </row>
    <row r="167">
      <c r="F167" s="27"/>
      <c r="G167" s="27"/>
      <c r="H167" s="27"/>
      <c r="J167" s="27"/>
      <c r="K167" s="27"/>
    </row>
    <row r="168">
      <c r="F168" s="27"/>
      <c r="G168" s="27"/>
      <c r="H168" s="27"/>
      <c r="J168" s="27"/>
      <c r="K168" s="27"/>
    </row>
    <row r="169">
      <c r="F169" s="27"/>
      <c r="G169" s="27"/>
      <c r="H169" s="27"/>
      <c r="J169" s="27"/>
      <c r="K169" s="27"/>
    </row>
    <row r="170">
      <c r="F170" s="27"/>
      <c r="G170" s="27"/>
      <c r="H170" s="27"/>
      <c r="J170" s="27"/>
      <c r="K170" s="27"/>
    </row>
    <row r="171">
      <c r="F171" s="27"/>
      <c r="G171" s="27"/>
      <c r="H171" s="27"/>
      <c r="J171" s="27"/>
      <c r="K171" s="27"/>
    </row>
    <row r="172">
      <c r="F172" s="27"/>
      <c r="G172" s="27"/>
      <c r="H172" s="27"/>
      <c r="J172" s="27"/>
      <c r="K172" s="27"/>
    </row>
    <row r="173">
      <c r="F173" s="27"/>
      <c r="G173" s="27"/>
      <c r="H173" s="27"/>
      <c r="J173" s="27"/>
      <c r="K173" s="27"/>
    </row>
    <row r="174">
      <c r="F174" s="27"/>
      <c r="G174" s="27"/>
      <c r="H174" s="27"/>
      <c r="J174" s="27"/>
      <c r="K174" s="27"/>
    </row>
    <row r="175">
      <c r="F175" s="27"/>
      <c r="G175" s="27"/>
      <c r="H175" s="27"/>
      <c r="J175" s="27"/>
      <c r="K175" s="27"/>
    </row>
    <row r="176">
      <c r="F176" s="27"/>
      <c r="G176" s="27"/>
      <c r="H176" s="27"/>
      <c r="J176" s="27"/>
      <c r="K176" s="27"/>
    </row>
    <row r="177">
      <c r="F177" s="27"/>
      <c r="G177" s="27"/>
      <c r="H177" s="27"/>
      <c r="J177" s="27"/>
      <c r="K177" s="27"/>
    </row>
    <row r="178">
      <c r="F178" s="27"/>
      <c r="G178" s="27"/>
      <c r="H178" s="27"/>
      <c r="J178" s="27"/>
      <c r="K178" s="27"/>
    </row>
    <row r="179">
      <c r="F179" s="27"/>
      <c r="G179" s="27"/>
      <c r="H179" s="27"/>
      <c r="J179" s="27"/>
      <c r="K179" s="27"/>
    </row>
    <row r="180">
      <c r="F180" s="27"/>
      <c r="G180" s="27"/>
      <c r="H180" s="27"/>
      <c r="J180" s="27"/>
      <c r="K180" s="27"/>
    </row>
    <row r="181">
      <c r="F181" s="27"/>
      <c r="G181" s="27"/>
      <c r="H181" s="27"/>
      <c r="J181" s="27"/>
      <c r="K181" s="27"/>
    </row>
    <row r="182">
      <c r="F182" s="27"/>
      <c r="G182" s="27"/>
      <c r="H182" s="27"/>
      <c r="J182" s="27"/>
      <c r="K182" s="27"/>
    </row>
    <row r="183">
      <c r="F183" s="27"/>
      <c r="G183" s="27"/>
      <c r="H183" s="27"/>
      <c r="J183" s="27"/>
      <c r="K183" s="27"/>
    </row>
    <row r="184">
      <c r="F184" s="27"/>
      <c r="G184" s="27"/>
      <c r="H184" s="27"/>
      <c r="J184" s="27"/>
      <c r="K184" s="27"/>
    </row>
    <row r="185">
      <c r="F185" s="27"/>
      <c r="G185" s="27"/>
      <c r="H185" s="27"/>
      <c r="J185" s="27"/>
      <c r="K185" s="27"/>
    </row>
    <row r="186">
      <c r="F186" s="27"/>
      <c r="G186" s="27"/>
      <c r="H186" s="27"/>
      <c r="J186" s="27"/>
      <c r="K186" s="27"/>
    </row>
    <row r="187">
      <c r="F187" s="27"/>
      <c r="G187" s="27"/>
      <c r="H187" s="27"/>
      <c r="J187" s="27"/>
      <c r="K187" s="27"/>
    </row>
    <row r="188">
      <c r="F188" s="27"/>
      <c r="G188" s="27"/>
      <c r="H188" s="27"/>
      <c r="J188" s="27"/>
      <c r="K188" s="27"/>
    </row>
    <row r="189">
      <c r="F189" s="27"/>
      <c r="G189" s="27"/>
      <c r="H189" s="27"/>
      <c r="J189" s="27"/>
      <c r="K189" s="27"/>
    </row>
    <row r="190">
      <c r="F190" s="27"/>
      <c r="G190" s="27"/>
      <c r="H190" s="27"/>
      <c r="J190" s="27"/>
      <c r="K190" s="27"/>
    </row>
    <row r="191">
      <c r="F191" s="27"/>
      <c r="G191" s="27"/>
      <c r="H191" s="27"/>
      <c r="J191" s="27"/>
      <c r="K191" s="27"/>
    </row>
    <row r="192">
      <c r="F192" s="27"/>
      <c r="G192" s="27"/>
      <c r="H192" s="27"/>
      <c r="J192" s="27"/>
      <c r="K192" s="27"/>
    </row>
    <row r="193">
      <c r="F193" s="27"/>
      <c r="G193" s="27"/>
      <c r="H193" s="27"/>
      <c r="J193" s="27"/>
      <c r="K193" s="27"/>
    </row>
    <row r="194">
      <c r="F194" s="27"/>
      <c r="G194" s="27"/>
      <c r="H194" s="27"/>
      <c r="J194" s="27"/>
      <c r="K194" s="27"/>
    </row>
    <row r="195">
      <c r="F195" s="27"/>
      <c r="G195" s="27"/>
      <c r="H195" s="27"/>
      <c r="J195" s="27"/>
      <c r="K195" s="27"/>
    </row>
    <row r="196">
      <c r="F196" s="27"/>
      <c r="G196" s="27"/>
      <c r="H196" s="27"/>
      <c r="J196" s="27"/>
      <c r="K196" s="27"/>
    </row>
    <row r="197">
      <c r="F197" s="27"/>
      <c r="G197" s="27"/>
      <c r="H197" s="27"/>
      <c r="J197" s="27"/>
      <c r="K197" s="27"/>
    </row>
    <row r="198">
      <c r="F198" s="27"/>
      <c r="G198" s="27"/>
      <c r="H198" s="27"/>
      <c r="J198" s="27"/>
      <c r="K198" s="27"/>
    </row>
    <row r="199">
      <c r="F199" s="27"/>
      <c r="G199" s="27"/>
      <c r="H199" s="27"/>
      <c r="J199" s="27"/>
      <c r="K199" s="27"/>
    </row>
    <row r="200">
      <c r="F200" s="27"/>
      <c r="G200" s="27"/>
      <c r="H200" s="27"/>
      <c r="J200" s="27"/>
      <c r="K200" s="27"/>
    </row>
    <row r="201">
      <c r="F201" s="27"/>
      <c r="G201" s="27"/>
      <c r="H201" s="27"/>
      <c r="J201" s="27"/>
      <c r="K201" s="27"/>
    </row>
    <row r="202">
      <c r="F202" s="27"/>
      <c r="G202" s="27"/>
      <c r="H202" s="27"/>
      <c r="J202" s="27"/>
      <c r="K202" s="27"/>
    </row>
    <row r="203">
      <c r="F203" s="27"/>
      <c r="G203" s="27"/>
      <c r="H203" s="27"/>
      <c r="J203" s="27"/>
      <c r="K203" s="27"/>
    </row>
    <row r="204">
      <c r="F204" s="27"/>
      <c r="G204" s="27"/>
      <c r="H204" s="27"/>
      <c r="J204" s="27"/>
      <c r="K204" s="27"/>
    </row>
    <row r="205">
      <c r="F205" s="27"/>
      <c r="G205" s="27"/>
      <c r="H205" s="27"/>
      <c r="J205" s="27"/>
      <c r="K205" s="27"/>
    </row>
    <row r="206">
      <c r="F206" s="27"/>
      <c r="G206" s="27"/>
      <c r="H206" s="27"/>
      <c r="J206" s="27"/>
      <c r="K206" s="27"/>
    </row>
    <row r="207">
      <c r="F207" s="27"/>
      <c r="G207" s="27"/>
      <c r="H207" s="27"/>
      <c r="J207" s="27"/>
      <c r="K207" s="27"/>
    </row>
    <row r="208">
      <c r="F208" s="27"/>
      <c r="G208" s="27"/>
      <c r="H208" s="27"/>
      <c r="J208" s="27"/>
      <c r="K208" s="27"/>
    </row>
    <row r="209">
      <c r="F209" s="27"/>
      <c r="G209" s="27"/>
      <c r="H209" s="27"/>
      <c r="J209" s="27"/>
      <c r="K209" s="27"/>
    </row>
    <row r="210">
      <c r="F210" s="27"/>
      <c r="G210" s="27"/>
      <c r="H210" s="27"/>
      <c r="J210" s="27"/>
      <c r="K210" s="27"/>
    </row>
    <row r="211">
      <c r="F211" s="27"/>
      <c r="G211" s="27"/>
      <c r="H211" s="27"/>
      <c r="J211" s="27"/>
      <c r="K211" s="27"/>
    </row>
    <row r="212">
      <c r="F212" s="27"/>
      <c r="G212" s="27"/>
      <c r="H212" s="27"/>
      <c r="J212" s="27"/>
      <c r="K212" s="27"/>
    </row>
    <row r="213">
      <c r="F213" s="27"/>
      <c r="G213" s="27"/>
      <c r="H213" s="27"/>
      <c r="J213" s="27"/>
      <c r="K213" s="27"/>
    </row>
    <row r="214">
      <c r="F214" s="27"/>
      <c r="G214" s="27"/>
      <c r="H214" s="27"/>
      <c r="J214" s="27"/>
      <c r="K214" s="27"/>
    </row>
    <row r="215">
      <c r="F215" s="27"/>
      <c r="G215" s="27"/>
      <c r="H215" s="27"/>
      <c r="J215" s="27"/>
      <c r="K215" s="27"/>
    </row>
    <row r="216">
      <c r="F216" s="27"/>
      <c r="G216" s="27"/>
      <c r="H216" s="27"/>
      <c r="J216" s="27"/>
      <c r="K216" s="27"/>
    </row>
    <row r="217">
      <c r="F217" s="27"/>
      <c r="G217" s="27"/>
      <c r="H217" s="27"/>
      <c r="J217" s="27"/>
      <c r="K217" s="27"/>
    </row>
    <row r="218">
      <c r="F218" s="27"/>
      <c r="G218" s="27"/>
      <c r="H218" s="27"/>
      <c r="J218" s="27"/>
      <c r="K218" s="27"/>
    </row>
    <row r="219">
      <c r="F219" s="27"/>
      <c r="G219" s="27"/>
      <c r="H219" s="27"/>
      <c r="J219" s="27"/>
      <c r="K219" s="27"/>
    </row>
    <row r="220">
      <c r="F220" s="27"/>
      <c r="G220" s="27"/>
      <c r="H220" s="27"/>
      <c r="J220" s="27"/>
      <c r="K220" s="27"/>
    </row>
    <row r="221">
      <c r="F221" s="27"/>
      <c r="G221" s="27"/>
      <c r="H221" s="27"/>
      <c r="J221" s="27"/>
      <c r="K221" s="27"/>
    </row>
    <row r="222">
      <c r="F222" s="27"/>
      <c r="G222" s="27"/>
      <c r="H222" s="27"/>
      <c r="J222" s="27"/>
      <c r="K222" s="27"/>
    </row>
    <row r="223">
      <c r="F223" s="27"/>
      <c r="G223" s="27"/>
      <c r="H223" s="27"/>
      <c r="J223" s="27"/>
      <c r="K223" s="27"/>
    </row>
    <row r="224">
      <c r="F224" s="27"/>
      <c r="G224" s="27"/>
      <c r="H224" s="27"/>
      <c r="J224" s="27"/>
      <c r="K224" s="27"/>
    </row>
    <row r="225">
      <c r="F225" s="27"/>
      <c r="G225" s="27"/>
      <c r="H225" s="27"/>
      <c r="J225" s="27"/>
      <c r="K225" s="27"/>
    </row>
    <row r="226">
      <c r="F226" s="27"/>
      <c r="G226" s="27"/>
      <c r="H226" s="27"/>
      <c r="J226" s="27"/>
      <c r="K226" s="27"/>
    </row>
    <row r="227">
      <c r="F227" s="27"/>
      <c r="G227" s="27"/>
      <c r="H227" s="27"/>
      <c r="J227" s="27"/>
      <c r="K227" s="27"/>
    </row>
    <row r="228">
      <c r="F228" s="27"/>
      <c r="G228" s="27"/>
      <c r="H228" s="27"/>
      <c r="J228" s="27"/>
      <c r="K228" s="27"/>
    </row>
    <row r="229">
      <c r="F229" s="27"/>
      <c r="G229" s="27"/>
      <c r="H229" s="27"/>
      <c r="J229" s="27"/>
      <c r="K229" s="27"/>
    </row>
    <row r="230">
      <c r="F230" s="27"/>
      <c r="G230" s="27"/>
      <c r="H230" s="27"/>
      <c r="J230" s="27"/>
      <c r="K230" s="27"/>
    </row>
    <row r="231">
      <c r="F231" s="27"/>
      <c r="G231" s="27"/>
      <c r="H231" s="27"/>
      <c r="J231" s="27"/>
      <c r="K231" s="27"/>
    </row>
    <row r="232">
      <c r="F232" s="27"/>
      <c r="G232" s="27"/>
      <c r="H232" s="27"/>
      <c r="J232" s="27"/>
      <c r="K232" s="27"/>
    </row>
    <row r="233">
      <c r="F233" s="27"/>
      <c r="G233" s="27"/>
      <c r="H233" s="27"/>
      <c r="J233" s="27"/>
      <c r="K233" s="27"/>
    </row>
    <row r="234">
      <c r="F234" s="27"/>
      <c r="G234" s="27"/>
      <c r="H234" s="27"/>
      <c r="J234" s="27"/>
      <c r="K234" s="27"/>
    </row>
    <row r="235">
      <c r="F235" s="27"/>
      <c r="G235" s="27"/>
      <c r="H235" s="27"/>
      <c r="J235" s="27"/>
      <c r="K235" s="27"/>
    </row>
    <row r="236">
      <c r="F236" s="27"/>
      <c r="G236" s="27"/>
      <c r="H236" s="27"/>
      <c r="J236" s="27"/>
      <c r="K236" s="27"/>
    </row>
    <row r="237">
      <c r="F237" s="27"/>
      <c r="G237" s="27"/>
      <c r="H237" s="27"/>
      <c r="J237" s="27"/>
      <c r="K237" s="27"/>
    </row>
    <row r="238">
      <c r="F238" s="27"/>
      <c r="G238" s="27"/>
      <c r="H238" s="27"/>
      <c r="J238" s="27"/>
      <c r="K238" s="27"/>
    </row>
    <row r="239">
      <c r="F239" s="27"/>
      <c r="G239" s="27"/>
      <c r="H239" s="27"/>
      <c r="J239" s="27"/>
      <c r="K239" s="27"/>
    </row>
    <row r="240">
      <c r="F240" s="27"/>
      <c r="G240" s="27"/>
      <c r="H240" s="27"/>
      <c r="J240" s="27"/>
      <c r="K240" s="27"/>
    </row>
    <row r="241">
      <c r="F241" s="27"/>
      <c r="G241" s="27"/>
      <c r="H241" s="27"/>
      <c r="J241" s="27"/>
      <c r="K241" s="27"/>
    </row>
    <row r="242">
      <c r="F242" s="27"/>
      <c r="G242" s="27"/>
      <c r="H242" s="27"/>
      <c r="J242" s="27"/>
      <c r="K242" s="27"/>
    </row>
    <row r="243">
      <c r="F243" s="27"/>
      <c r="G243" s="27"/>
      <c r="H243" s="27"/>
      <c r="J243" s="27"/>
      <c r="K243" s="27"/>
    </row>
    <row r="244">
      <c r="F244" s="27"/>
      <c r="G244" s="27"/>
      <c r="H244" s="27"/>
      <c r="J244" s="27"/>
      <c r="K244" s="27"/>
    </row>
    <row r="245">
      <c r="F245" s="27"/>
      <c r="G245" s="27"/>
      <c r="H245" s="27"/>
      <c r="J245" s="27"/>
      <c r="K245" s="27"/>
    </row>
    <row r="246">
      <c r="F246" s="27"/>
      <c r="G246" s="27"/>
      <c r="H246" s="27"/>
      <c r="J246" s="27"/>
      <c r="K246" s="27"/>
    </row>
    <row r="247">
      <c r="F247" s="27"/>
      <c r="G247" s="27"/>
      <c r="H247" s="27"/>
      <c r="J247" s="27"/>
      <c r="K247" s="27"/>
    </row>
    <row r="248">
      <c r="F248" s="27"/>
      <c r="G248" s="27"/>
      <c r="H248" s="27"/>
      <c r="J248" s="27"/>
      <c r="K248" s="27"/>
    </row>
    <row r="249">
      <c r="F249" s="27"/>
      <c r="G249" s="27"/>
      <c r="H249" s="27"/>
      <c r="J249" s="27"/>
      <c r="K249" s="27"/>
    </row>
    <row r="250">
      <c r="F250" s="27"/>
      <c r="G250" s="27"/>
      <c r="H250" s="27"/>
      <c r="J250" s="27"/>
      <c r="K250" s="27"/>
    </row>
    <row r="251">
      <c r="F251" s="27"/>
      <c r="G251" s="27"/>
      <c r="H251" s="27"/>
      <c r="J251" s="27"/>
      <c r="K251" s="27"/>
    </row>
    <row r="252">
      <c r="F252" s="27"/>
      <c r="G252" s="27"/>
      <c r="H252" s="27"/>
      <c r="J252" s="27"/>
      <c r="K252" s="27"/>
    </row>
    <row r="253">
      <c r="F253" s="27"/>
      <c r="G253" s="27"/>
      <c r="H253" s="27"/>
      <c r="J253" s="27"/>
      <c r="K253" s="27"/>
    </row>
    <row r="254">
      <c r="F254" s="27"/>
      <c r="G254" s="27"/>
      <c r="H254" s="27"/>
      <c r="J254" s="27"/>
      <c r="K254" s="27"/>
    </row>
    <row r="255">
      <c r="F255" s="27"/>
      <c r="G255" s="27"/>
      <c r="H255" s="27"/>
      <c r="J255" s="27"/>
      <c r="K255" s="27"/>
    </row>
    <row r="256">
      <c r="F256" s="27"/>
      <c r="G256" s="27"/>
      <c r="H256" s="27"/>
      <c r="J256" s="27"/>
      <c r="K256" s="27"/>
    </row>
    <row r="257">
      <c r="F257" s="27"/>
      <c r="G257" s="27"/>
      <c r="H257" s="27"/>
      <c r="J257" s="27"/>
      <c r="K257" s="27"/>
    </row>
    <row r="258">
      <c r="F258" s="27"/>
      <c r="G258" s="27"/>
      <c r="H258" s="27"/>
      <c r="J258" s="27"/>
      <c r="K258" s="27"/>
    </row>
    <row r="259">
      <c r="F259" s="27"/>
      <c r="G259" s="27"/>
      <c r="H259" s="27"/>
      <c r="J259" s="27"/>
      <c r="K259" s="27"/>
    </row>
    <row r="260">
      <c r="F260" s="27"/>
      <c r="G260" s="27"/>
      <c r="H260" s="27"/>
      <c r="J260" s="27"/>
      <c r="K260" s="27"/>
    </row>
    <row r="261">
      <c r="F261" s="27"/>
      <c r="G261" s="27"/>
      <c r="H261" s="27"/>
      <c r="J261" s="27"/>
      <c r="K261" s="27"/>
    </row>
    <row r="262">
      <c r="F262" s="27"/>
      <c r="G262" s="27"/>
      <c r="H262" s="27"/>
      <c r="J262" s="27"/>
      <c r="K262" s="27"/>
    </row>
    <row r="263">
      <c r="F263" s="27"/>
      <c r="G263" s="27"/>
      <c r="H263" s="27"/>
      <c r="J263" s="27"/>
      <c r="K263" s="27"/>
    </row>
    <row r="264">
      <c r="F264" s="27"/>
      <c r="G264" s="27"/>
      <c r="H264" s="27"/>
      <c r="J264" s="27"/>
      <c r="K264" s="27"/>
    </row>
    <row r="265">
      <c r="F265" s="27"/>
      <c r="G265" s="27"/>
      <c r="H265" s="27"/>
      <c r="J265" s="27"/>
      <c r="K265" s="27"/>
    </row>
    <row r="266">
      <c r="F266" s="27"/>
      <c r="G266" s="27"/>
      <c r="H266" s="27"/>
      <c r="J266" s="27"/>
      <c r="K266" s="27"/>
    </row>
    <row r="267">
      <c r="F267" s="27"/>
      <c r="G267" s="27"/>
      <c r="H267" s="27"/>
      <c r="J267" s="27"/>
      <c r="K267" s="27"/>
    </row>
    <row r="268">
      <c r="F268" s="27"/>
      <c r="G268" s="27"/>
      <c r="H268" s="27"/>
      <c r="J268" s="27"/>
      <c r="K268" s="27"/>
    </row>
    <row r="269">
      <c r="F269" s="27"/>
      <c r="G269" s="27"/>
      <c r="H269" s="27"/>
      <c r="J269" s="27"/>
      <c r="K269" s="27"/>
    </row>
    <row r="270">
      <c r="F270" s="27"/>
      <c r="G270" s="27"/>
      <c r="H270" s="27"/>
      <c r="J270" s="27"/>
      <c r="K270" s="27"/>
    </row>
    <row r="271">
      <c r="F271" s="27"/>
      <c r="G271" s="27"/>
      <c r="H271" s="27"/>
      <c r="J271" s="27"/>
      <c r="K271" s="27"/>
    </row>
    <row r="272">
      <c r="F272" s="27"/>
      <c r="G272" s="27"/>
      <c r="H272" s="27"/>
      <c r="J272" s="27"/>
      <c r="K272" s="27"/>
    </row>
    <row r="273">
      <c r="F273" s="27"/>
      <c r="G273" s="27"/>
      <c r="H273" s="27"/>
      <c r="J273" s="27"/>
      <c r="K273" s="27"/>
    </row>
    <row r="274">
      <c r="F274" s="27"/>
      <c r="G274" s="27"/>
      <c r="H274" s="27"/>
      <c r="J274" s="27"/>
      <c r="K274" s="27"/>
    </row>
    <row r="275">
      <c r="F275" s="27"/>
      <c r="G275" s="27"/>
      <c r="H275" s="27"/>
      <c r="J275" s="27"/>
      <c r="K275" s="27"/>
    </row>
    <row r="276">
      <c r="F276" s="27"/>
      <c r="G276" s="27"/>
      <c r="H276" s="27"/>
      <c r="J276" s="27"/>
      <c r="K276" s="27"/>
    </row>
    <row r="277">
      <c r="F277" s="27"/>
      <c r="G277" s="27"/>
      <c r="H277" s="27"/>
      <c r="J277" s="27"/>
      <c r="K277" s="27"/>
    </row>
    <row r="278">
      <c r="F278" s="27"/>
      <c r="G278" s="27"/>
      <c r="H278" s="27"/>
      <c r="J278" s="27"/>
      <c r="K278" s="27"/>
    </row>
    <row r="279">
      <c r="F279" s="27"/>
      <c r="G279" s="27"/>
      <c r="H279" s="27"/>
      <c r="J279" s="27"/>
      <c r="K279" s="27"/>
    </row>
    <row r="280">
      <c r="F280" s="27"/>
      <c r="G280" s="27"/>
      <c r="H280" s="27"/>
      <c r="J280" s="27"/>
      <c r="K280" s="27"/>
    </row>
    <row r="281">
      <c r="F281" s="27"/>
      <c r="G281" s="27"/>
      <c r="H281" s="27"/>
      <c r="J281" s="27"/>
      <c r="K281" s="27"/>
    </row>
    <row r="282">
      <c r="F282" s="27"/>
      <c r="G282" s="27"/>
      <c r="H282" s="27"/>
      <c r="J282" s="27"/>
      <c r="K282" s="27"/>
    </row>
    <row r="283">
      <c r="F283" s="27"/>
      <c r="G283" s="27"/>
      <c r="H283" s="27"/>
      <c r="J283" s="27"/>
      <c r="K283" s="27"/>
    </row>
    <row r="284">
      <c r="F284" s="27"/>
      <c r="G284" s="27"/>
      <c r="H284" s="27"/>
      <c r="J284" s="27"/>
      <c r="K284" s="27"/>
    </row>
    <row r="285">
      <c r="F285" s="27"/>
      <c r="G285" s="27"/>
      <c r="H285" s="27"/>
      <c r="J285" s="27"/>
      <c r="K285" s="27"/>
    </row>
    <row r="286">
      <c r="F286" s="27"/>
      <c r="G286" s="27"/>
      <c r="H286" s="27"/>
      <c r="J286" s="27"/>
      <c r="K286" s="27"/>
    </row>
    <row r="287">
      <c r="F287" s="27"/>
      <c r="G287" s="27"/>
      <c r="H287" s="27"/>
      <c r="J287" s="27"/>
      <c r="K287" s="27"/>
    </row>
    <row r="288">
      <c r="F288" s="27"/>
      <c r="G288" s="27"/>
      <c r="H288" s="27"/>
      <c r="J288" s="27"/>
      <c r="K288" s="27"/>
    </row>
    <row r="289">
      <c r="F289" s="27"/>
      <c r="G289" s="27"/>
      <c r="H289" s="27"/>
      <c r="J289" s="27"/>
      <c r="K289" s="27"/>
    </row>
    <row r="290">
      <c r="F290" s="27"/>
      <c r="G290" s="27"/>
      <c r="H290" s="27"/>
      <c r="J290" s="27"/>
      <c r="K290" s="27"/>
    </row>
    <row r="291">
      <c r="F291" s="27"/>
      <c r="G291" s="27"/>
      <c r="H291" s="27"/>
      <c r="J291" s="27"/>
      <c r="K291" s="27"/>
    </row>
    <row r="292">
      <c r="F292" s="27"/>
      <c r="G292" s="27"/>
      <c r="H292" s="27"/>
      <c r="J292" s="27"/>
      <c r="K292" s="27"/>
    </row>
    <row r="293">
      <c r="F293" s="27"/>
      <c r="G293" s="27"/>
      <c r="H293" s="27"/>
      <c r="J293" s="27"/>
      <c r="K293" s="27"/>
    </row>
    <row r="294">
      <c r="F294" s="27"/>
      <c r="G294" s="27"/>
      <c r="H294" s="27"/>
      <c r="J294" s="27"/>
      <c r="K294" s="27"/>
    </row>
    <row r="295">
      <c r="F295" s="27"/>
      <c r="G295" s="27"/>
      <c r="H295" s="27"/>
      <c r="J295" s="27"/>
      <c r="K295" s="27"/>
    </row>
    <row r="296">
      <c r="F296" s="27"/>
      <c r="G296" s="27"/>
      <c r="H296" s="27"/>
      <c r="J296" s="27"/>
      <c r="K296" s="27"/>
    </row>
    <row r="297">
      <c r="F297" s="27"/>
      <c r="G297" s="27"/>
      <c r="H297" s="27"/>
      <c r="J297" s="27"/>
      <c r="K297" s="27"/>
    </row>
    <row r="298">
      <c r="F298" s="27"/>
      <c r="G298" s="27"/>
      <c r="H298" s="27"/>
      <c r="J298" s="27"/>
      <c r="K298" s="27"/>
    </row>
    <row r="299">
      <c r="F299" s="27"/>
      <c r="G299" s="27"/>
      <c r="H299" s="27"/>
      <c r="J299" s="27"/>
      <c r="K299" s="27"/>
    </row>
    <row r="300">
      <c r="F300" s="27"/>
      <c r="G300" s="27"/>
      <c r="H300" s="27"/>
      <c r="J300" s="27"/>
      <c r="K300" s="27"/>
    </row>
    <row r="301">
      <c r="F301" s="27"/>
      <c r="G301" s="27"/>
      <c r="H301" s="27"/>
      <c r="J301" s="27"/>
      <c r="K301" s="27"/>
    </row>
    <row r="302">
      <c r="F302" s="27"/>
      <c r="G302" s="27"/>
      <c r="H302" s="27"/>
      <c r="J302" s="27"/>
      <c r="K302" s="27"/>
    </row>
    <row r="303">
      <c r="F303" s="27"/>
      <c r="G303" s="27"/>
      <c r="H303" s="27"/>
      <c r="J303" s="27"/>
      <c r="K303" s="27"/>
    </row>
    <row r="304">
      <c r="F304" s="27"/>
      <c r="G304" s="27"/>
      <c r="H304" s="27"/>
      <c r="J304" s="27"/>
      <c r="K304" s="27"/>
    </row>
    <row r="305">
      <c r="F305" s="27"/>
      <c r="G305" s="27"/>
      <c r="H305" s="27"/>
      <c r="J305" s="27"/>
      <c r="K305" s="27"/>
    </row>
    <row r="306">
      <c r="F306" s="27"/>
      <c r="G306" s="27"/>
      <c r="H306" s="27"/>
      <c r="J306" s="27"/>
      <c r="K306" s="27"/>
    </row>
    <row r="307">
      <c r="F307" s="27"/>
      <c r="G307" s="27"/>
      <c r="H307" s="27"/>
      <c r="J307" s="27"/>
      <c r="K307" s="27"/>
    </row>
    <row r="308">
      <c r="F308" s="27"/>
      <c r="G308" s="27"/>
      <c r="H308" s="27"/>
      <c r="J308" s="27"/>
      <c r="K308" s="27"/>
    </row>
    <row r="309">
      <c r="F309" s="27"/>
      <c r="G309" s="27"/>
      <c r="H309" s="27"/>
      <c r="J309" s="27"/>
      <c r="K309" s="27"/>
    </row>
    <row r="310">
      <c r="F310" s="27"/>
      <c r="G310" s="27"/>
      <c r="H310" s="27"/>
      <c r="J310" s="27"/>
      <c r="K310" s="27"/>
    </row>
    <row r="311">
      <c r="F311" s="27"/>
      <c r="G311" s="27"/>
      <c r="H311" s="27"/>
      <c r="J311" s="27"/>
      <c r="K311" s="27"/>
    </row>
    <row r="312">
      <c r="F312" s="27"/>
      <c r="G312" s="27"/>
      <c r="H312" s="27"/>
      <c r="J312" s="27"/>
      <c r="K312" s="27"/>
    </row>
    <row r="313">
      <c r="F313" s="27"/>
      <c r="G313" s="27"/>
      <c r="H313" s="27"/>
      <c r="J313" s="27"/>
      <c r="K313" s="27"/>
    </row>
    <row r="314">
      <c r="F314" s="27"/>
      <c r="G314" s="27"/>
      <c r="H314" s="27"/>
      <c r="J314" s="27"/>
      <c r="K314" s="27"/>
    </row>
    <row r="315">
      <c r="F315" s="27"/>
      <c r="G315" s="27"/>
      <c r="H315" s="27"/>
      <c r="J315" s="27"/>
      <c r="K315" s="27"/>
    </row>
    <row r="316">
      <c r="F316" s="27"/>
      <c r="G316" s="27"/>
      <c r="H316" s="27"/>
      <c r="J316" s="27"/>
      <c r="K316" s="27"/>
    </row>
    <row r="317">
      <c r="F317" s="27"/>
      <c r="G317" s="27"/>
      <c r="H317" s="27"/>
      <c r="J317" s="27"/>
      <c r="K317" s="27"/>
    </row>
    <row r="318">
      <c r="F318" s="27"/>
      <c r="G318" s="27"/>
      <c r="H318" s="27"/>
      <c r="J318" s="27"/>
      <c r="K318" s="27"/>
    </row>
    <row r="319">
      <c r="F319" s="27"/>
      <c r="G319" s="27"/>
      <c r="H319" s="27"/>
      <c r="J319" s="27"/>
      <c r="K319" s="27"/>
    </row>
    <row r="320">
      <c r="F320" s="27"/>
      <c r="G320" s="27"/>
      <c r="H320" s="27"/>
      <c r="J320" s="27"/>
      <c r="K320" s="27"/>
    </row>
    <row r="321">
      <c r="F321" s="27"/>
      <c r="G321" s="27"/>
      <c r="H321" s="27"/>
      <c r="J321" s="27"/>
      <c r="K321" s="27"/>
    </row>
    <row r="322">
      <c r="F322" s="27"/>
      <c r="G322" s="27"/>
      <c r="H322" s="27"/>
      <c r="J322" s="27"/>
      <c r="K322" s="27"/>
    </row>
    <row r="323">
      <c r="F323" s="27"/>
      <c r="G323" s="27"/>
      <c r="H323" s="27"/>
      <c r="J323" s="27"/>
      <c r="K323" s="27"/>
    </row>
    <row r="324">
      <c r="F324" s="27"/>
      <c r="G324" s="27"/>
      <c r="H324" s="27"/>
      <c r="J324" s="27"/>
      <c r="K324" s="27"/>
    </row>
    <row r="325">
      <c r="F325" s="27"/>
      <c r="G325" s="27"/>
      <c r="H325" s="27"/>
      <c r="J325" s="27"/>
      <c r="K325" s="27"/>
    </row>
    <row r="326">
      <c r="F326" s="27"/>
      <c r="G326" s="27"/>
      <c r="H326" s="27"/>
      <c r="J326" s="27"/>
      <c r="K326" s="27"/>
    </row>
    <row r="327">
      <c r="F327" s="27"/>
      <c r="G327" s="27"/>
      <c r="H327" s="27"/>
      <c r="J327" s="27"/>
      <c r="K327" s="27"/>
    </row>
    <row r="328">
      <c r="F328" s="27"/>
      <c r="G328" s="27"/>
      <c r="H328" s="27"/>
      <c r="J328" s="27"/>
      <c r="K328" s="27"/>
    </row>
    <row r="329">
      <c r="F329" s="27"/>
      <c r="G329" s="27"/>
      <c r="H329" s="27"/>
      <c r="J329" s="27"/>
      <c r="K329" s="27"/>
    </row>
    <row r="330">
      <c r="F330" s="27"/>
      <c r="G330" s="27"/>
      <c r="H330" s="27"/>
      <c r="J330" s="27"/>
      <c r="K330" s="27"/>
    </row>
    <row r="331">
      <c r="F331" s="27"/>
      <c r="G331" s="27"/>
      <c r="H331" s="27"/>
      <c r="J331" s="27"/>
      <c r="K331" s="27"/>
    </row>
    <row r="332">
      <c r="F332" s="27"/>
      <c r="G332" s="27"/>
      <c r="H332" s="27"/>
      <c r="J332" s="27"/>
      <c r="K332" s="27"/>
    </row>
    <row r="333">
      <c r="F333" s="27"/>
      <c r="G333" s="27"/>
      <c r="H333" s="27"/>
      <c r="J333" s="27"/>
      <c r="K333" s="27"/>
    </row>
    <row r="334">
      <c r="F334" s="27"/>
      <c r="G334" s="27"/>
      <c r="H334" s="27"/>
      <c r="J334" s="27"/>
      <c r="K334" s="27"/>
    </row>
    <row r="335">
      <c r="F335" s="27"/>
      <c r="G335" s="27"/>
      <c r="H335" s="27"/>
      <c r="J335" s="27"/>
      <c r="K335" s="27"/>
    </row>
    <row r="336">
      <c r="F336" s="27"/>
      <c r="G336" s="27"/>
      <c r="H336" s="27"/>
      <c r="J336" s="27"/>
      <c r="K336" s="27"/>
    </row>
    <row r="337">
      <c r="F337" s="27"/>
      <c r="G337" s="27"/>
      <c r="H337" s="27"/>
      <c r="J337" s="27"/>
      <c r="K337" s="27"/>
    </row>
    <row r="338">
      <c r="F338" s="27"/>
      <c r="G338" s="27"/>
      <c r="H338" s="27"/>
      <c r="J338" s="27"/>
      <c r="K338" s="27"/>
    </row>
    <row r="339">
      <c r="F339" s="27"/>
      <c r="G339" s="27"/>
      <c r="H339" s="27"/>
      <c r="J339" s="27"/>
      <c r="K339" s="27"/>
    </row>
    <row r="340">
      <c r="F340" s="27"/>
      <c r="G340" s="27"/>
      <c r="H340" s="27"/>
      <c r="J340" s="27"/>
      <c r="K340" s="27"/>
    </row>
    <row r="341">
      <c r="F341" s="27"/>
      <c r="G341" s="27"/>
      <c r="H341" s="27"/>
      <c r="J341" s="27"/>
      <c r="K341" s="27"/>
    </row>
    <row r="342">
      <c r="F342" s="27"/>
      <c r="G342" s="27"/>
      <c r="H342" s="27"/>
      <c r="J342" s="27"/>
      <c r="K342" s="27"/>
    </row>
    <row r="343">
      <c r="F343" s="27"/>
      <c r="G343" s="27"/>
      <c r="H343" s="27"/>
      <c r="J343" s="27"/>
      <c r="K343" s="27"/>
    </row>
    <row r="344">
      <c r="F344" s="27"/>
      <c r="G344" s="27"/>
      <c r="H344" s="27"/>
      <c r="J344" s="27"/>
      <c r="K344" s="27"/>
    </row>
    <row r="345">
      <c r="F345" s="27"/>
      <c r="G345" s="27"/>
      <c r="H345" s="27"/>
      <c r="J345" s="27"/>
      <c r="K345" s="27"/>
    </row>
    <row r="346">
      <c r="F346" s="27"/>
      <c r="G346" s="27"/>
      <c r="H346" s="27"/>
      <c r="J346" s="27"/>
      <c r="K346" s="27"/>
    </row>
    <row r="347">
      <c r="F347" s="27"/>
      <c r="G347" s="27"/>
      <c r="H347" s="27"/>
      <c r="J347" s="27"/>
      <c r="K347" s="27"/>
    </row>
    <row r="348">
      <c r="F348" s="27"/>
      <c r="G348" s="27"/>
      <c r="H348" s="27"/>
      <c r="J348" s="27"/>
      <c r="K348" s="27"/>
    </row>
    <row r="349">
      <c r="F349" s="27"/>
      <c r="G349" s="27"/>
      <c r="H349" s="27"/>
      <c r="J349" s="27"/>
      <c r="K349" s="27"/>
    </row>
    <row r="350">
      <c r="F350" s="27"/>
      <c r="G350" s="27"/>
      <c r="H350" s="27"/>
      <c r="J350" s="27"/>
      <c r="K350" s="27"/>
    </row>
    <row r="351">
      <c r="F351" s="27"/>
      <c r="G351" s="27"/>
      <c r="H351" s="27"/>
      <c r="J351" s="27"/>
      <c r="K351" s="27"/>
    </row>
    <row r="352">
      <c r="F352" s="27"/>
      <c r="G352" s="27"/>
      <c r="H352" s="27"/>
      <c r="J352" s="27"/>
      <c r="K352" s="27"/>
    </row>
    <row r="353">
      <c r="F353" s="27"/>
      <c r="G353" s="27"/>
      <c r="H353" s="27"/>
      <c r="J353" s="27"/>
      <c r="K353" s="27"/>
    </row>
    <row r="354">
      <c r="F354" s="27"/>
      <c r="G354" s="27"/>
      <c r="H354" s="27"/>
      <c r="J354" s="27"/>
      <c r="K354" s="27"/>
    </row>
    <row r="355">
      <c r="F355" s="27"/>
      <c r="G355" s="27"/>
      <c r="H355" s="27"/>
      <c r="J355" s="27"/>
      <c r="K355" s="27"/>
    </row>
    <row r="356">
      <c r="F356" s="27"/>
      <c r="G356" s="27"/>
      <c r="H356" s="27"/>
      <c r="J356" s="27"/>
      <c r="K356" s="27"/>
    </row>
    <row r="357">
      <c r="F357" s="27"/>
      <c r="G357" s="27"/>
      <c r="H357" s="27"/>
      <c r="J357" s="27"/>
      <c r="K357" s="27"/>
    </row>
    <row r="358">
      <c r="F358" s="27"/>
      <c r="G358" s="27"/>
      <c r="H358" s="27"/>
      <c r="J358" s="27"/>
      <c r="K358" s="27"/>
    </row>
    <row r="359">
      <c r="F359" s="27"/>
      <c r="G359" s="27"/>
      <c r="H359" s="27"/>
      <c r="J359" s="27"/>
      <c r="K359" s="27"/>
    </row>
    <row r="360">
      <c r="F360" s="27"/>
      <c r="G360" s="27"/>
      <c r="H360" s="27"/>
      <c r="J360" s="27"/>
      <c r="K360" s="27"/>
    </row>
    <row r="361">
      <c r="F361" s="27"/>
      <c r="G361" s="27"/>
      <c r="H361" s="27"/>
      <c r="J361" s="27"/>
      <c r="K361" s="27"/>
    </row>
    <row r="362">
      <c r="F362" s="27"/>
      <c r="G362" s="27"/>
      <c r="H362" s="27"/>
      <c r="J362" s="27"/>
      <c r="K362" s="27"/>
    </row>
    <row r="363">
      <c r="F363" s="27"/>
      <c r="G363" s="27"/>
      <c r="H363" s="27"/>
      <c r="J363" s="27"/>
      <c r="K363" s="27"/>
    </row>
    <row r="364">
      <c r="F364" s="27"/>
      <c r="G364" s="27"/>
      <c r="H364" s="27"/>
      <c r="J364" s="27"/>
      <c r="K364" s="27"/>
    </row>
    <row r="365">
      <c r="F365" s="27"/>
      <c r="G365" s="27"/>
      <c r="H365" s="27"/>
      <c r="J365" s="27"/>
      <c r="K365" s="27"/>
    </row>
    <row r="366">
      <c r="F366" s="27"/>
      <c r="G366" s="27"/>
      <c r="H366" s="27"/>
      <c r="J366" s="27"/>
      <c r="K366" s="27"/>
    </row>
    <row r="367">
      <c r="F367" s="27"/>
      <c r="G367" s="27"/>
      <c r="H367" s="27"/>
      <c r="J367" s="27"/>
      <c r="K367" s="27"/>
    </row>
    <row r="368">
      <c r="F368" s="27"/>
      <c r="G368" s="27"/>
      <c r="H368" s="27"/>
      <c r="J368" s="27"/>
      <c r="K368" s="27"/>
    </row>
    <row r="369">
      <c r="F369" s="27"/>
      <c r="G369" s="27"/>
      <c r="H369" s="27"/>
      <c r="J369" s="27"/>
      <c r="K369" s="27"/>
    </row>
    <row r="370">
      <c r="F370" s="27"/>
      <c r="G370" s="27"/>
      <c r="H370" s="27"/>
      <c r="J370" s="27"/>
      <c r="K370" s="27"/>
    </row>
    <row r="371">
      <c r="F371" s="27"/>
      <c r="G371" s="27"/>
      <c r="H371" s="27"/>
      <c r="J371" s="27"/>
      <c r="K371" s="27"/>
    </row>
    <row r="372">
      <c r="F372" s="27"/>
      <c r="G372" s="27"/>
      <c r="H372" s="27"/>
      <c r="J372" s="27"/>
      <c r="K372" s="27"/>
    </row>
    <row r="373">
      <c r="F373" s="27"/>
      <c r="G373" s="27"/>
      <c r="H373" s="27"/>
      <c r="J373" s="27"/>
      <c r="K373" s="27"/>
    </row>
    <row r="374">
      <c r="F374" s="27"/>
      <c r="G374" s="27"/>
      <c r="H374" s="27"/>
      <c r="J374" s="27"/>
      <c r="K374" s="27"/>
    </row>
    <row r="375">
      <c r="F375" s="27"/>
      <c r="G375" s="27"/>
      <c r="H375" s="27"/>
      <c r="J375" s="27"/>
      <c r="K375" s="27"/>
    </row>
    <row r="376">
      <c r="F376" s="27"/>
      <c r="G376" s="27"/>
      <c r="H376" s="27"/>
      <c r="J376" s="27"/>
      <c r="K376" s="27"/>
    </row>
    <row r="377">
      <c r="F377" s="27"/>
      <c r="G377" s="27"/>
      <c r="H377" s="27"/>
      <c r="J377" s="27"/>
      <c r="K377" s="27"/>
    </row>
    <row r="378">
      <c r="F378" s="27"/>
      <c r="G378" s="27"/>
      <c r="H378" s="27"/>
      <c r="J378" s="27"/>
      <c r="K378" s="27"/>
    </row>
    <row r="379">
      <c r="F379" s="27"/>
      <c r="G379" s="27"/>
      <c r="H379" s="27"/>
      <c r="J379" s="27"/>
      <c r="K379" s="27"/>
    </row>
    <row r="380">
      <c r="F380" s="27"/>
      <c r="G380" s="27"/>
      <c r="H380" s="27"/>
      <c r="J380" s="27"/>
      <c r="K380" s="27"/>
    </row>
    <row r="381">
      <c r="F381" s="27"/>
      <c r="G381" s="27"/>
      <c r="H381" s="27"/>
      <c r="J381" s="27"/>
      <c r="K381" s="27"/>
    </row>
    <row r="382">
      <c r="F382" s="27"/>
      <c r="G382" s="27"/>
      <c r="H382" s="27"/>
      <c r="J382" s="27"/>
      <c r="K382" s="27"/>
    </row>
    <row r="383">
      <c r="F383" s="27"/>
      <c r="G383" s="27"/>
      <c r="H383" s="27"/>
      <c r="J383" s="27"/>
      <c r="K383" s="27"/>
    </row>
    <row r="384">
      <c r="F384" s="27"/>
      <c r="G384" s="27"/>
      <c r="H384" s="27"/>
      <c r="J384" s="27"/>
      <c r="K384" s="27"/>
    </row>
    <row r="385">
      <c r="F385" s="27"/>
      <c r="G385" s="27"/>
      <c r="H385" s="27"/>
      <c r="J385" s="27"/>
      <c r="K385" s="27"/>
    </row>
    <row r="386">
      <c r="F386" s="27"/>
      <c r="G386" s="27"/>
      <c r="H386" s="27"/>
      <c r="J386" s="27"/>
      <c r="K386" s="27"/>
    </row>
    <row r="387">
      <c r="F387" s="27"/>
      <c r="G387" s="27"/>
      <c r="H387" s="27"/>
      <c r="J387" s="27"/>
      <c r="K387" s="27"/>
    </row>
    <row r="388">
      <c r="F388" s="27"/>
      <c r="G388" s="27"/>
      <c r="H388" s="27"/>
      <c r="J388" s="27"/>
      <c r="K388" s="27"/>
    </row>
    <row r="389">
      <c r="F389" s="27"/>
      <c r="G389" s="27"/>
      <c r="H389" s="27"/>
      <c r="J389" s="27"/>
      <c r="K389" s="27"/>
    </row>
    <row r="390">
      <c r="F390" s="27"/>
      <c r="G390" s="27"/>
      <c r="H390" s="27"/>
      <c r="J390" s="27"/>
      <c r="K390" s="27"/>
    </row>
    <row r="391">
      <c r="F391" s="27"/>
      <c r="G391" s="27"/>
      <c r="H391" s="27"/>
      <c r="J391" s="27"/>
      <c r="K391" s="27"/>
    </row>
    <row r="392">
      <c r="F392" s="27"/>
      <c r="G392" s="27"/>
      <c r="H392" s="27"/>
      <c r="J392" s="27"/>
      <c r="K392" s="27"/>
    </row>
    <row r="393">
      <c r="F393" s="27"/>
      <c r="G393" s="27"/>
      <c r="H393" s="27"/>
      <c r="J393" s="27"/>
      <c r="K393" s="27"/>
    </row>
    <row r="394">
      <c r="F394" s="27"/>
      <c r="G394" s="27"/>
      <c r="H394" s="27"/>
      <c r="J394" s="27"/>
      <c r="K394" s="27"/>
    </row>
    <row r="395">
      <c r="F395" s="27"/>
      <c r="G395" s="27"/>
      <c r="H395" s="27"/>
      <c r="J395" s="27"/>
      <c r="K395" s="27"/>
    </row>
    <row r="396">
      <c r="F396" s="27"/>
      <c r="G396" s="27"/>
      <c r="H396" s="27"/>
      <c r="J396" s="27"/>
      <c r="K396" s="27"/>
    </row>
    <row r="397">
      <c r="F397" s="27"/>
      <c r="G397" s="27"/>
      <c r="H397" s="27"/>
      <c r="J397" s="27"/>
      <c r="K397" s="27"/>
    </row>
    <row r="398">
      <c r="F398" s="27"/>
      <c r="G398" s="27"/>
      <c r="H398" s="27"/>
      <c r="J398" s="27"/>
      <c r="K398" s="27"/>
    </row>
    <row r="399">
      <c r="F399" s="27"/>
      <c r="G399" s="27"/>
      <c r="H399" s="27"/>
      <c r="J399" s="27"/>
      <c r="K399" s="27"/>
    </row>
    <row r="400">
      <c r="F400" s="27"/>
      <c r="G400" s="27"/>
      <c r="H400" s="27"/>
      <c r="J400" s="27"/>
      <c r="K400" s="27"/>
    </row>
    <row r="401">
      <c r="F401" s="27"/>
      <c r="G401" s="27"/>
      <c r="H401" s="27"/>
      <c r="J401" s="27"/>
      <c r="K401" s="27"/>
    </row>
    <row r="402">
      <c r="F402" s="27"/>
      <c r="G402" s="27"/>
      <c r="H402" s="27"/>
      <c r="J402" s="27"/>
      <c r="K402" s="27"/>
    </row>
    <row r="403">
      <c r="F403" s="27"/>
      <c r="G403" s="27"/>
      <c r="H403" s="27"/>
      <c r="J403" s="27"/>
      <c r="K403" s="27"/>
    </row>
    <row r="404">
      <c r="F404" s="27"/>
      <c r="G404" s="27"/>
      <c r="H404" s="27"/>
      <c r="J404" s="27"/>
      <c r="K404" s="27"/>
    </row>
    <row r="405">
      <c r="F405" s="27"/>
      <c r="G405" s="27"/>
      <c r="H405" s="27"/>
      <c r="J405" s="27"/>
      <c r="K405" s="27"/>
    </row>
    <row r="406">
      <c r="F406" s="27"/>
      <c r="G406" s="27"/>
      <c r="H406" s="27"/>
      <c r="J406" s="27"/>
      <c r="K406" s="27"/>
    </row>
    <row r="407">
      <c r="F407" s="27"/>
      <c r="G407" s="27"/>
      <c r="H407" s="27"/>
      <c r="J407" s="27"/>
      <c r="K407" s="27"/>
    </row>
    <row r="408">
      <c r="F408" s="27"/>
      <c r="G408" s="27"/>
      <c r="H408" s="27"/>
      <c r="J408" s="27"/>
      <c r="K408" s="27"/>
    </row>
    <row r="409">
      <c r="F409" s="27"/>
      <c r="G409" s="27"/>
      <c r="H409" s="27"/>
      <c r="J409" s="27"/>
      <c r="K409" s="27"/>
    </row>
    <row r="410">
      <c r="F410" s="27"/>
      <c r="G410" s="27"/>
      <c r="H410" s="27"/>
      <c r="J410" s="27"/>
      <c r="K410" s="27"/>
    </row>
    <row r="411">
      <c r="F411" s="27"/>
      <c r="G411" s="27"/>
      <c r="H411" s="27"/>
      <c r="J411" s="27"/>
      <c r="K411" s="27"/>
    </row>
    <row r="412">
      <c r="F412" s="27"/>
      <c r="G412" s="27"/>
      <c r="H412" s="27"/>
      <c r="J412" s="27"/>
      <c r="K412" s="27"/>
    </row>
    <row r="413">
      <c r="F413" s="27"/>
      <c r="G413" s="27"/>
      <c r="H413" s="27"/>
      <c r="J413" s="27"/>
      <c r="K413" s="27"/>
    </row>
    <row r="414">
      <c r="F414" s="27"/>
      <c r="G414" s="27"/>
      <c r="H414" s="27"/>
      <c r="J414" s="27"/>
      <c r="K414" s="27"/>
    </row>
    <row r="415">
      <c r="F415" s="27"/>
      <c r="G415" s="27"/>
      <c r="H415" s="27"/>
      <c r="J415" s="27"/>
      <c r="K415" s="27"/>
    </row>
    <row r="416">
      <c r="F416" s="27"/>
      <c r="G416" s="27"/>
      <c r="H416" s="27"/>
      <c r="J416" s="27"/>
      <c r="K416" s="27"/>
    </row>
    <row r="417">
      <c r="F417" s="27"/>
      <c r="G417" s="27"/>
      <c r="H417" s="27"/>
      <c r="J417" s="27"/>
      <c r="K417" s="27"/>
    </row>
    <row r="418">
      <c r="F418" s="27"/>
      <c r="G418" s="27"/>
      <c r="H418" s="27"/>
      <c r="J418" s="27"/>
      <c r="K418" s="27"/>
    </row>
    <row r="419">
      <c r="F419" s="27"/>
      <c r="G419" s="27"/>
      <c r="H419" s="27"/>
      <c r="J419" s="27"/>
      <c r="K419" s="27"/>
    </row>
    <row r="420">
      <c r="F420" s="27"/>
      <c r="G420" s="27"/>
      <c r="H420" s="27"/>
      <c r="J420" s="27"/>
      <c r="K420" s="27"/>
    </row>
    <row r="421">
      <c r="F421" s="27"/>
      <c r="G421" s="27"/>
      <c r="H421" s="27"/>
      <c r="J421" s="27"/>
      <c r="K421" s="27"/>
    </row>
    <row r="422">
      <c r="F422" s="27"/>
      <c r="G422" s="27"/>
      <c r="H422" s="27"/>
      <c r="J422" s="27"/>
      <c r="K422" s="27"/>
    </row>
    <row r="423">
      <c r="F423" s="27"/>
      <c r="G423" s="27"/>
      <c r="H423" s="27"/>
      <c r="J423" s="27"/>
      <c r="K423" s="27"/>
    </row>
    <row r="424">
      <c r="F424" s="27"/>
      <c r="G424" s="27"/>
      <c r="H424" s="27"/>
      <c r="J424" s="27"/>
      <c r="K424" s="27"/>
    </row>
    <row r="425">
      <c r="F425" s="27"/>
      <c r="G425" s="27"/>
      <c r="H425" s="27"/>
      <c r="J425" s="27"/>
      <c r="K425" s="27"/>
    </row>
    <row r="426">
      <c r="F426" s="27"/>
      <c r="G426" s="27"/>
      <c r="H426" s="27"/>
      <c r="J426" s="27"/>
      <c r="K426" s="27"/>
    </row>
    <row r="427">
      <c r="F427" s="27"/>
      <c r="G427" s="27"/>
      <c r="H427" s="27"/>
      <c r="J427" s="27"/>
      <c r="K427" s="27"/>
    </row>
    <row r="428">
      <c r="F428" s="27"/>
      <c r="G428" s="27"/>
      <c r="H428" s="27"/>
      <c r="J428" s="27"/>
      <c r="K428" s="27"/>
    </row>
    <row r="429">
      <c r="F429" s="27"/>
      <c r="G429" s="27"/>
      <c r="H429" s="27"/>
      <c r="J429" s="27"/>
      <c r="K429" s="27"/>
    </row>
    <row r="430">
      <c r="F430" s="27"/>
      <c r="G430" s="27"/>
      <c r="H430" s="27"/>
      <c r="J430" s="27"/>
      <c r="K430" s="27"/>
    </row>
    <row r="431">
      <c r="F431" s="27"/>
      <c r="G431" s="27"/>
      <c r="H431" s="27"/>
      <c r="J431" s="27"/>
      <c r="K431" s="27"/>
    </row>
    <row r="432">
      <c r="F432" s="27"/>
      <c r="G432" s="27"/>
      <c r="H432" s="27"/>
      <c r="J432" s="27"/>
      <c r="K432" s="27"/>
    </row>
    <row r="433">
      <c r="F433" s="27"/>
      <c r="G433" s="27"/>
      <c r="H433" s="27"/>
      <c r="J433" s="27"/>
      <c r="K433" s="27"/>
    </row>
    <row r="434">
      <c r="F434" s="27"/>
      <c r="G434" s="27"/>
      <c r="H434" s="27"/>
      <c r="J434" s="27"/>
      <c r="K434" s="27"/>
    </row>
    <row r="435">
      <c r="F435" s="27"/>
      <c r="G435" s="27"/>
      <c r="H435" s="27"/>
      <c r="J435" s="27"/>
      <c r="K435" s="27"/>
    </row>
    <row r="436">
      <c r="F436" s="27"/>
      <c r="G436" s="27"/>
      <c r="H436" s="27"/>
      <c r="J436" s="27"/>
      <c r="K436" s="27"/>
    </row>
    <row r="437">
      <c r="F437" s="27"/>
      <c r="G437" s="27"/>
      <c r="H437" s="27"/>
      <c r="J437" s="27"/>
      <c r="K437" s="27"/>
    </row>
    <row r="438">
      <c r="F438" s="27"/>
      <c r="G438" s="27"/>
      <c r="H438" s="27"/>
      <c r="J438" s="27"/>
      <c r="K438" s="27"/>
    </row>
    <row r="439">
      <c r="F439" s="27"/>
      <c r="G439" s="27"/>
      <c r="H439" s="27"/>
      <c r="J439" s="27"/>
      <c r="K439" s="27"/>
    </row>
    <row r="440">
      <c r="F440" s="27"/>
      <c r="G440" s="27"/>
      <c r="H440" s="27"/>
      <c r="J440" s="27"/>
      <c r="K440" s="27"/>
    </row>
    <row r="441">
      <c r="F441" s="27"/>
      <c r="G441" s="27"/>
      <c r="H441" s="27"/>
      <c r="J441" s="27"/>
      <c r="K441" s="27"/>
    </row>
    <row r="442">
      <c r="F442" s="27"/>
      <c r="G442" s="27"/>
      <c r="H442" s="27"/>
      <c r="J442" s="27"/>
      <c r="K442" s="27"/>
    </row>
    <row r="443">
      <c r="F443" s="27"/>
      <c r="G443" s="27"/>
      <c r="H443" s="27"/>
      <c r="J443" s="27"/>
      <c r="K443" s="27"/>
    </row>
    <row r="444">
      <c r="F444" s="27"/>
      <c r="G444" s="27"/>
      <c r="H444" s="27"/>
      <c r="J444" s="27"/>
      <c r="K444" s="27"/>
    </row>
    <row r="445">
      <c r="F445" s="27"/>
      <c r="G445" s="27"/>
      <c r="H445" s="27"/>
      <c r="J445" s="27"/>
      <c r="K445" s="27"/>
    </row>
    <row r="446">
      <c r="F446" s="27"/>
      <c r="G446" s="27"/>
      <c r="H446" s="27"/>
      <c r="J446" s="27"/>
      <c r="K446" s="27"/>
    </row>
    <row r="447">
      <c r="F447" s="27"/>
      <c r="G447" s="27"/>
      <c r="H447" s="27"/>
      <c r="J447" s="27"/>
      <c r="K447" s="27"/>
    </row>
    <row r="448">
      <c r="F448" s="27"/>
      <c r="G448" s="27"/>
      <c r="H448" s="27"/>
      <c r="J448" s="27"/>
      <c r="K448" s="27"/>
    </row>
    <row r="449">
      <c r="F449" s="27"/>
      <c r="G449" s="27"/>
      <c r="H449" s="27"/>
      <c r="J449" s="27"/>
      <c r="K449" s="27"/>
    </row>
    <row r="450">
      <c r="F450" s="27"/>
      <c r="G450" s="27"/>
      <c r="H450" s="27"/>
      <c r="J450" s="27"/>
      <c r="K450" s="27"/>
    </row>
    <row r="451">
      <c r="F451" s="27"/>
      <c r="G451" s="27"/>
      <c r="H451" s="27"/>
      <c r="J451" s="27"/>
      <c r="K451" s="27"/>
    </row>
    <row r="452">
      <c r="F452" s="27"/>
      <c r="G452" s="27"/>
      <c r="H452" s="27"/>
      <c r="J452" s="27"/>
      <c r="K452" s="27"/>
    </row>
    <row r="453">
      <c r="F453" s="27"/>
      <c r="G453" s="27"/>
      <c r="H453" s="27"/>
      <c r="J453" s="27"/>
      <c r="K453" s="27"/>
    </row>
    <row r="454">
      <c r="F454" s="27"/>
      <c r="G454" s="27"/>
      <c r="H454" s="27"/>
      <c r="J454" s="27"/>
      <c r="K454" s="27"/>
    </row>
    <row r="455">
      <c r="F455" s="27"/>
      <c r="G455" s="27"/>
      <c r="H455" s="27"/>
      <c r="J455" s="27"/>
      <c r="K455" s="27"/>
    </row>
    <row r="456">
      <c r="F456" s="27"/>
      <c r="G456" s="27"/>
      <c r="H456" s="27"/>
      <c r="J456" s="27"/>
      <c r="K456" s="27"/>
    </row>
    <row r="457">
      <c r="F457" s="27"/>
      <c r="G457" s="27"/>
      <c r="H457" s="27"/>
      <c r="J457" s="27"/>
      <c r="K457" s="27"/>
    </row>
    <row r="458">
      <c r="F458" s="27"/>
      <c r="G458" s="27"/>
      <c r="H458" s="27"/>
      <c r="J458" s="27"/>
      <c r="K458" s="27"/>
    </row>
    <row r="459">
      <c r="F459" s="27"/>
      <c r="G459" s="27"/>
      <c r="H459" s="27"/>
      <c r="J459" s="27"/>
      <c r="K459" s="27"/>
    </row>
    <row r="460">
      <c r="F460" s="27"/>
      <c r="G460" s="27"/>
      <c r="H460" s="27"/>
      <c r="J460" s="27"/>
      <c r="K460" s="27"/>
    </row>
    <row r="461">
      <c r="F461" s="27"/>
      <c r="G461" s="27"/>
      <c r="H461" s="27"/>
      <c r="J461" s="27"/>
      <c r="K461" s="27"/>
    </row>
    <row r="462">
      <c r="F462" s="27"/>
      <c r="G462" s="27"/>
      <c r="H462" s="27"/>
      <c r="J462" s="27"/>
      <c r="K462" s="27"/>
    </row>
    <row r="463">
      <c r="F463" s="27"/>
      <c r="G463" s="27"/>
      <c r="H463" s="27"/>
      <c r="J463" s="27"/>
      <c r="K463" s="27"/>
    </row>
    <row r="464">
      <c r="F464" s="27"/>
      <c r="G464" s="27"/>
      <c r="H464" s="27"/>
      <c r="J464" s="27"/>
      <c r="K464" s="27"/>
    </row>
    <row r="465">
      <c r="F465" s="27"/>
      <c r="G465" s="27"/>
      <c r="H465" s="27"/>
      <c r="J465" s="27"/>
      <c r="K465" s="27"/>
    </row>
    <row r="466">
      <c r="F466" s="27"/>
      <c r="G466" s="27"/>
      <c r="H466" s="27"/>
      <c r="J466" s="27"/>
      <c r="K466" s="27"/>
    </row>
    <row r="467">
      <c r="F467" s="27"/>
      <c r="G467" s="27"/>
      <c r="H467" s="27"/>
      <c r="J467" s="27"/>
      <c r="K467" s="27"/>
    </row>
    <row r="468">
      <c r="F468" s="27"/>
      <c r="G468" s="27"/>
      <c r="H468" s="27"/>
      <c r="J468" s="27"/>
      <c r="K468" s="27"/>
    </row>
    <row r="469">
      <c r="F469" s="27"/>
      <c r="G469" s="27"/>
      <c r="H469" s="27"/>
      <c r="J469" s="27"/>
      <c r="K469" s="27"/>
    </row>
    <row r="470">
      <c r="F470" s="27"/>
      <c r="G470" s="27"/>
      <c r="H470" s="27"/>
      <c r="J470" s="27"/>
      <c r="K470" s="27"/>
    </row>
    <row r="471">
      <c r="F471" s="27"/>
      <c r="G471" s="27"/>
      <c r="H471" s="27"/>
      <c r="J471" s="27"/>
      <c r="K471" s="27"/>
    </row>
    <row r="472">
      <c r="F472" s="27"/>
      <c r="G472" s="27"/>
      <c r="H472" s="27"/>
      <c r="J472" s="27"/>
      <c r="K472" s="27"/>
    </row>
    <row r="473">
      <c r="F473" s="27"/>
      <c r="G473" s="27"/>
      <c r="H473" s="27"/>
      <c r="J473" s="27"/>
      <c r="K473" s="27"/>
    </row>
    <row r="474">
      <c r="F474" s="27"/>
      <c r="G474" s="27"/>
      <c r="H474" s="27"/>
      <c r="J474" s="27"/>
      <c r="K474" s="27"/>
    </row>
    <row r="475">
      <c r="F475" s="27"/>
      <c r="G475" s="27"/>
      <c r="H475" s="27"/>
      <c r="J475" s="27"/>
      <c r="K475" s="27"/>
    </row>
    <row r="476">
      <c r="F476" s="27"/>
      <c r="G476" s="27"/>
      <c r="H476" s="27"/>
      <c r="J476" s="27"/>
      <c r="K476" s="27"/>
    </row>
    <row r="477">
      <c r="F477" s="27"/>
      <c r="G477" s="27"/>
      <c r="H477" s="27"/>
      <c r="J477" s="27"/>
      <c r="K477" s="27"/>
    </row>
    <row r="478">
      <c r="F478" s="27"/>
      <c r="G478" s="27"/>
      <c r="H478" s="27"/>
      <c r="J478" s="27"/>
      <c r="K478" s="27"/>
    </row>
    <row r="479">
      <c r="F479" s="27"/>
      <c r="G479" s="27"/>
      <c r="H479" s="27"/>
      <c r="J479" s="27"/>
      <c r="K479" s="27"/>
    </row>
    <row r="480">
      <c r="F480" s="27"/>
      <c r="G480" s="27"/>
      <c r="H480" s="27"/>
      <c r="J480" s="27"/>
      <c r="K480" s="27"/>
    </row>
    <row r="481">
      <c r="F481" s="27"/>
      <c r="G481" s="27"/>
      <c r="H481" s="27"/>
      <c r="J481" s="27"/>
      <c r="K481" s="27"/>
    </row>
    <row r="482">
      <c r="F482" s="27"/>
      <c r="G482" s="27"/>
      <c r="H482" s="27"/>
      <c r="J482" s="27"/>
      <c r="K482" s="27"/>
    </row>
    <row r="483">
      <c r="F483" s="27"/>
      <c r="G483" s="27"/>
      <c r="H483" s="27"/>
      <c r="J483" s="27"/>
      <c r="K483" s="27"/>
    </row>
    <row r="484">
      <c r="F484" s="27"/>
      <c r="G484" s="27"/>
      <c r="H484" s="27"/>
      <c r="J484" s="27"/>
      <c r="K484" s="27"/>
    </row>
    <row r="485">
      <c r="F485" s="27"/>
      <c r="G485" s="27"/>
      <c r="H485" s="27"/>
      <c r="J485" s="27"/>
      <c r="K485" s="27"/>
    </row>
    <row r="486">
      <c r="F486" s="27"/>
      <c r="G486" s="27"/>
      <c r="H486" s="27"/>
      <c r="J486" s="27"/>
      <c r="K486" s="27"/>
    </row>
    <row r="487">
      <c r="F487" s="27"/>
      <c r="G487" s="27"/>
      <c r="H487" s="27"/>
      <c r="J487" s="27"/>
      <c r="K487" s="27"/>
    </row>
    <row r="488">
      <c r="F488" s="27"/>
      <c r="G488" s="27"/>
      <c r="H488" s="27"/>
      <c r="J488" s="27"/>
      <c r="K488" s="27"/>
    </row>
    <row r="489">
      <c r="F489" s="27"/>
      <c r="G489" s="27"/>
      <c r="H489" s="27"/>
      <c r="J489" s="27"/>
      <c r="K489" s="27"/>
    </row>
    <row r="490">
      <c r="F490" s="27"/>
      <c r="G490" s="27"/>
      <c r="H490" s="27"/>
      <c r="J490" s="27"/>
      <c r="K490" s="27"/>
    </row>
    <row r="491">
      <c r="F491" s="27"/>
      <c r="G491" s="27"/>
      <c r="H491" s="27"/>
      <c r="J491" s="27"/>
      <c r="K491" s="27"/>
    </row>
    <row r="492">
      <c r="F492" s="27"/>
      <c r="G492" s="27"/>
      <c r="H492" s="27"/>
      <c r="J492" s="27"/>
      <c r="K492" s="27"/>
    </row>
    <row r="493">
      <c r="F493" s="27"/>
      <c r="G493" s="27"/>
      <c r="H493" s="27"/>
      <c r="J493" s="27"/>
      <c r="K493" s="27"/>
    </row>
    <row r="494">
      <c r="F494" s="27"/>
      <c r="G494" s="27"/>
      <c r="H494" s="27"/>
      <c r="J494" s="27"/>
      <c r="K494" s="27"/>
    </row>
    <row r="495">
      <c r="F495" s="27"/>
      <c r="G495" s="27"/>
      <c r="H495" s="27"/>
      <c r="J495" s="27"/>
      <c r="K495" s="27"/>
    </row>
    <row r="496">
      <c r="F496" s="27"/>
      <c r="G496" s="27"/>
      <c r="H496" s="27"/>
      <c r="J496" s="27"/>
      <c r="K496" s="27"/>
    </row>
    <row r="497">
      <c r="F497" s="27"/>
      <c r="G497" s="27"/>
      <c r="H497" s="27"/>
      <c r="J497" s="27"/>
      <c r="K497" s="27"/>
    </row>
    <row r="498">
      <c r="F498" s="27"/>
      <c r="G498" s="27"/>
      <c r="H498" s="27"/>
      <c r="J498" s="27"/>
      <c r="K498" s="27"/>
    </row>
    <row r="499">
      <c r="F499" s="27"/>
      <c r="G499" s="27"/>
      <c r="H499" s="27"/>
      <c r="J499" s="27"/>
      <c r="K499" s="27"/>
    </row>
    <row r="500">
      <c r="F500" s="27"/>
      <c r="G500" s="27"/>
      <c r="H500" s="27"/>
      <c r="J500" s="27"/>
      <c r="K500" s="27"/>
    </row>
    <row r="501">
      <c r="F501" s="27"/>
      <c r="G501" s="27"/>
      <c r="H501" s="27"/>
      <c r="J501" s="27"/>
      <c r="K501" s="27"/>
    </row>
    <row r="502">
      <c r="F502" s="27"/>
      <c r="G502" s="27"/>
      <c r="H502" s="27"/>
      <c r="J502" s="27"/>
      <c r="K502" s="27"/>
    </row>
    <row r="503">
      <c r="F503" s="27"/>
      <c r="G503" s="27"/>
      <c r="H503" s="27"/>
      <c r="J503" s="27"/>
      <c r="K503" s="27"/>
    </row>
    <row r="504">
      <c r="F504" s="27"/>
      <c r="G504" s="27"/>
      <c r="H504" s="27"/>
      <c r="J504" s="27"/>
      <c r="K504" s="27"/>
    </row>
    <row r="505">
      <c r="F505" s="27"/>
      <c r="G505" s="27"/>
      <c r="H505" s="27"/>
      <c r="J505" s="27"/>
      <c r="K505" s="27"/>
    </row>
    <row r="506">
      <c r="F506" s="27"/>
      <c r="G506" s="27"/>
      <c r="H506" s="27"/>
      <c r="J506" s="27"/>
      <c r="K506" s="27"/>
    </row>
    <row r="507">
      <c r="F507" s="27"/>
      <c r="G507" s="27"/>
      <c r="H507" s="27"/>
      <c r="J507" s="27"/>
      <c r="K507" s="27"/>
    </row>
    <row r="508">
      <c r="F508" s="27"/>
      <c r="G508" s="27"/>
      <c r="H508" s="27"/>
      <c r="J508" s="27"/>
      <c r="K508" s="27"/>
    </row>
    <row r="509">
      <c r="F509" s="27"/>
      <c r="G509" s="27"/>
      <c r="H509" s="27"/>
      <c r="J509" s="27"/>
      <c r="K509" s="27"/>
    </row>
    <row r="510">
      <c r="F510" s="27"/>
      <c r="G510" s="27"/>
      <c r="H510" s="27"/>
      <c r="J510" s="27"/>
      <c r="K510" s="27"/>
    </row>
    <row r="511">
      <c r="F511" s="27"/>
      <c r="G511" s="27"/>
      <c r="H511" s="27"/>
      <c r="J511" s="27"/>
      <c r="K511" s="27"/>
    </row>
    <row r="512">
      <c r="F512" s="27"/>
      <c r="G512" s="27"/>
      <c r="H512" s="27"/>
      <c r="J512" s="27"/>
      <c r="K512" s="27"/>
    </row>
    <row r="513">
      <c r="F513" s="27"/>
      <c r="G513" s="27"/>
      <c r="H513" s="27"/>
      <c r="J513" s="27"/>
      <c r="K513" s="27"/>
    </row>
    <row r="514">
      <c r="F514" s="27"/>
      <c r="G514" s="27"/>
      <c r="H514" s="27"/>
      <c r="J514" s="27"/>
      <c r="K514" s="27"/>
    </row>
    <row r="515">
      <c r="F515" s="27"/>
      <c r="G515" s="27"/>
      <c r="H515" s="27"/>
      <c r="J515" s="27"/>
      <c r="K515" s="27"/>
    </row>
    <row r="516">
      <c r="F516" s="27"/>
      <c r="G516" s="27"/>
      <c r="H516" s="27"/>
      <c r="J516" s="27"/>
      <c r="K516" s="27"/>
    </row>
    <row r="517">
      <c r="F517" s="27"/>
      <c r="G517" s="27"/>
      <c r="H517" s="27"/>
      <c r="J517" s="27"/>
      <c r="K517" s="27"/>
    </row>
    <row r="518">
      <c r="F518" s="27"/>
      <c r="G518" s="27"/>
      <c r="H518" s="27"/>
      <c r="J518" s="27"/>
      <c r="K518" s="27"/>
    </row>
    <row r="519">
      <c r="F519" s="27"/>
      <c r="G519" s="27"/>
      <c r="H519" s="27"/>
      <c r="J519" s="27"/>
      <c r="K519" s="27"/>
    </row>
    <row r="520">
      <c r="F520" s="27"/>
      <c r="G520" s="27"/>
      <c r="H520" s="27"/>
      <c r="J520" s="27"/>
      <c r="K520" s="27"/>
    </row>
    <row r="521">
      <c r="F521" s="27"/>
      <c r="G521" s="27"/>
      <c r="H521" s="27"/>
      <c r="J521" s="27"/>
      <c r="K521" s="27"/>
    </row>
    <row r="522">
      <c r="F522" s="27"/>
      <c r="G522" s="27"/>
      <c r="H522" s="27"/>
      <c r="J522" s="27"/>
      <c r="K522" s="27"/>
    </row>
    <row r="523">
      <c r="F523" s="27"/>
      <c r="G523" s="27"/>
      <c r="H523" s="27"/>
      <c r="J523" s="27"/>
      <c r="K523" s="27"/>
    </row>
    <row r="524">
      <c r="F524" s="27"/>
      <c r="G524" s="27"/>
      <c r="H524" s="27"/>
      <c r="J524" s="27"/>
      <c r="K524" s="27"/>
    </row>
    <row r="525">
      <c r="F525" s="27"/>
      <c r="G525" s="27"/>
      <c r="H525" s="27"/>
      <c r="J525" s="27"/>
      <c r="K525" s="27"/>
    </row>
    <row r="526">
      <c r="F526" s="27"/>
      <c r="G526" s="27"/>
      <c r="H526" s="27"/>
      <c r="J526" s="27"/>
      <c r="K526" s="27"/>
    </row>
    <row r="527">
      <c r="F527" s="27"/>
      <c r="G527" s="27"/>
      <c r="H527" s="27"/>
      <c r="J527" s="27"/>
      <c r="K527" s="27"/>
    </row>
    <row r="528">
      <c r="F528" s="27"/>
      <c r="G528" s="27"/>
      <c r="H528" s="27"/>
      <c r="J528" s="27"/>
      <c r="K528" s="27"/>
    </row>
    <row r="529">
      <c r="F529" s="27"/>
      <c r="G529" s="27"/>
      <c r="H529" s="27"/>
      <c r="J529" s="27"/>
      <c r="K529" s="27"/>
    </row>
    <row r="530">
      <c r="F530" s="27"/>
      <c r="G530" s="27"/>
      <c r="H530" s="27"/>
      <c r="J530" s="27"/>
      <c r="K530" s="27"/>
    </row>
    <row r="531">
      <c r="F531" s="27"/>
      <c r="G531" s="27"/>
      <c r="H531" s="27"/>
      <c r="J531" s="27"/>
      <c r="K531" s="27"/>
    </row>
    <row r="532">
      <c r="F532" s="27"/>
      <c r="G532" s="27"/>
      <c r="H532" s="27"/>
      <c r="J532" s="27"/>
      <c r="K532" s="27"/>
    </row>
    <row r="533">
      <c r="F533" s="27"/>
      <c r="G533" s="27"/>
      <c r="H533" s="27"/>
      <c r="J533" s="27"/>
      <c r="K533" s="27"/>
    </row>
    <row r="534">
      <c r="F534" s="27"/>
      <c r="G534" s="27"/>
      <c r="H534" s="27"/>
      <c r="J534" s="27"/>
      <c r="K534" s="27"/>
    </row>
    <row r="535">
      <c r="F535" s="27"/>
      <c r="G535" s="27"/>
      <c r="H535" s="27"/>
      <c r="J535" s="27"/>
      <c r="K535" s="27"/>
    </row>
    <row r="536">
      <c r="F536" s="27"/>
      <c r="G536" s="27"/>
      <c r="H536" s="27"/>
      <c r="J536" s="27"/>
      <c r="K536" s="27"/>
    </row>
    <row r="537">
      <c r="F537" s="27"/>
      <c r="G537" s="27"/>
      <c r="H537" s="27"/>
      <c r="J537" s="27"/>
      <c r="K537" s="27"/>
    </row>
    <row r="538">
      <c r="F538" s="27"/>
      <c r="G538" s="27"/>
      <c r="H538" s="27"/>
      <c r="J538" s="27"/>
      <c r="K538" s="27"/>
    </row>
    <row r="539">
      <c r="F539" s="27"/>
      <c r="G539" s="27"/>
      <c r="H539" s="27"/>
      <c r="J539" s="27"/>
      <c r="K539" s="27"/>
    </row>
    <row r="540">
      <c r="F540" s="27"/>
      <c r="G540" s="27"/>
      <c r="H540" s="27"/>
      <c r="J540" s="27"/>
      <c r="K540" s="27"/>
    </row>
    <row r="541">
      <c r="F541" s="27"/>
      <c r="G541" s="27"/>
      <c r="H541" s="27"/>
      <c r="J541" s="27"/>
      <c r="K541" s="27"/>
    </row>
    <row r="542">
      <c r="F542" s="27"/>
      <c r="G542" s="27"/>
      <c r="H542" s="27"/>
      <c r="J542" s="27"/>
      <c r="K542" s="27"/>
    </row>
    <row r="543">
      <c r="F543" s="27"/>
      <c r="G543" s="27"/>
      <c r="H543" s="27"/>
      <c r="J543" s="27"/>
      <c r="K543" s="27"/>
    </row>
    <row r="544">
      <c r="F544" s="27"/>
      <c r="G544" s="27"/>
      <c r="H544" s="27"/>
      <c r="J544" s="27"/>
      <c r="K544" s="27"/>
    </row>
    <row r="545">
      <c r="F545" s="27"/>
      <c r="G545" s="27"/>
      <c r="H545" s="27"/>
      <c r="J545" s="27"/>
      <c r="K545" s="27"/>
    </row>
    <row r="546">
      <c r="F546" s="27"/>
      <c r="G546" s="27"/>
      <c r="H546" s="27"/>
      <c r="J546" s="27"/>
      <c r="K546" s="27"/>
    </row>
    <row r="547">
      <c r="F547" s="27"/>
      <c r="G547" s="27"/>
      <c r="H547" s="27"/>
      <c r="J547" s="27"/>
      <c r="K547" s="27"/>
    </row>
    <row r="548">
      <c r="F548" s="27"/>
      <c r="G548" s="27"/>
      <c r="H548" s="27"/>
      <c r="J548" s="27"/>
      <c r="K548" s="27"/>
    </row>
    <row r="549">
      <c r="F549" s="27"/>
      <c r="G549" s="27"/>
      <c r="H549" s="27"/>
      <c r="J549" s="27"/>
      <c r="K549" s="27"/>
    </row>
    <row r="550">
      <c r="F550" s="27"/>
      <c r="G550" s="27"/>
      <c r="H550" s="27"/>
      <c r="J550" s="27"/>
      <c r="K550" s="27"/>
    </row>
    <row r="551">
      <c r="F551" s="27"/>
      <c r="G551" s="27"/>
      <c r="H551" s="27"/>
      <c r="J551" s="27"/>
      <c r="K551" s="27"/>
    </row>
    <row r="552">
      <c r="F552" s="27"/>
      <c r="G552" s="27"/>
      <c r="H552" s="27"/>
      <c r="J552" s="27"/>
      <c r="K552" s="27"/>
    </row>
    <row r="553">
      <c r="F553" s="27"/>
      <c r="G553" s="27"/>
      <c r="H553" s="27"/>
      <c r="J553" s="27"/>
      <c r="K553" s="27"/>
    </row>
    <row r="554">
      <c r="F554" s="27"/>
      <c r="G554" s="27"/>
      <c r="H554" s="27"/>
      <c r="J554" s="27"/>
      <c r="K554" s="27"/>
    </row>
    <row r="555">
      <c r="F555" s="27"/>
      <c r="G555" s="27"/>
      <c r="H555" s="27"/>
      <c r="J555" s="27"/>
      <c r="K555" s="27"/>
    </row>
    <row r="556">
      <c r="F556" s="27"/>
      <c r="G556" s="27"/>
      <c r="H556" s="27"/>
      <c r="J556" s="27"/>
      <c r="K556" s="27"/>
    </row>
    <row r="557">
      <c r="F557" s="27"/>
      <c r="G557" s="27"/>
      <c r="H557" s="27"/>
      <c r="J557" s="27"/>
      <c r="K557" s="27"/>
    </row>
    <row r="558">
      <c r="F558" s="27"/>
      <c r="G558" s="27"/>
      <c r="H558" s="27"/>
      <c r="J558" s="27"/>
      <c r="K558" s="27"/>
    </row>
    <row r="559">
      <c r="F559" s="27"/>
      <c r="G559" s="27"/>
      <c r="H559" s="27"/>
      <c r="J559" s="27"/>
      <c r="K559" s="27"/>
    </row>
    <row r="560">
      <c r="F560" s="27"/>
      <c r="G560" s="27"/>
      <c r="H560" s="27"/>
      <c r="J560" s="27"/>
      <c r="K560" s="27"/>
    </row>
    <row r="561">
      <c r="F561" s="27"/>
      <c r="G561" s="27"/>
      <c r="H561" s="27"/>
      <c r="J561" s="27"/>
      <c r="K561" s="27"/>
    </row>
    <row r="562">
      <c r="F562" s="27"/>
      <c r="G562" s="27"/>
      <c r="H562" s="27"/>
      <c r="J562" s="27"/>
      <c r="K562" s="27"/>
    </row>
    <row r="563">
      <c r="F563" s="27"/>
      <c r="G563" s="27"/>
      <c r="H563" s="27"/>
      <c r="J563" s="27"/>
      <c r="K563" s="27"/>
    </row>
    <row r="564">
      <c r="F564" s="27"/>
      <c r="G564" s="27"/>
      <c r="H564" s="27"/>
      <c r="J564" s="27"/>
      <c r="K564" s="27"/>
    </row>
    <row r="565">
      <c r="F565" s="27"/>
      <c r="G565" s="27"/>
      <c r="H565" s="27"/>
      <c r="J565" s="27"/>
      <c r="K565" s="27"/>
    </row>
    <row r="566">
      <c r="F566" s="27"/>
      <c r="G566" s="27"/>
      <c r="H566" s="27"/>
      <c r="J566" s="27"/>
      <c r="K566" s="27"/>
    </row>
    <row r="567">
      <c r="F567" s="27"/>
      <c r="G567" s="27"/>
      <c r="H567" s="27"/>
      <c r="J567" s="27"/>
      <c r="K567" s="27"/>
    </row>
    <row r="568">
      <c r="F568" s="27"/>
      <c r="G568" s="27"/>
      <c r="H568" s="27"/>
      <c r="J568" s="27"/>
      <c r="K568" s="27"/>
    </row>
    <row r="569">
      <c r="F569" s="27"/>
      <c r="G569" s="27"/>
      <c r="H569" s="27"/>
      <c r="J569" s="27"/>
      <c r="K569" s="27"/>
    </row>
    <row r="570">
      <c r="F570" s="27"/>
      <c r="G570" s="27"/>
      <c r="H570" s="27"/>
      <c r="J570" s="27"/>
      <c r="K570" s="27"/>
    </row>
    <row r="571">
      <c r="F571" s="27"/>
      <c r="G571" s="27"/>
      <c r="H571" s="27"/>
      <c r="J571" s="27"/>
      <c r="K571" s="27"/>
    </row>
    <row r="572">
      <c r="F572" s="27"/>
      <c r="G572" s="27"/>
      <c r="H572" s="27"/>
      <c r="J572" s="27"/>
      <c r="K572" s="27"/>
    </row>
    <row r="573">
      <c r="F573" s="27"/>
      <c r="G573" s="27"/>
      <c r="H573" s="27"/>
      <c r="J573" s="27"/>
      <c r="K573" s="27"/>
    </row>
    <row r="574">
      <c r="F574" s="27"/>
      <c r="G574" s="27"/>
      <c r="H574" s="27"/>
      <c r="J574" s="27"/>
      <c r="K574" s="27"/>
    </row>
    <row r="575">
      <c r="F575" s="27"/>
      <c r="G575" s="27"/>
      <c r="H575" s="27"/>
      <c r="J575" s="27"/>
      <c r="K575" s="27"/>
    </row>
    <row r="576">
      <c r="F576" s="27"/>
      <c r="G576" s="27"/>
      <c r="H576" s="27"/>
      <c r="J576" s="27"/>
      <c r="K576" s="27"/>
    </row>
    <row r="577">
      <c r="F577" s="27"/>
      <c r="G577" s="27"/>
      <c r="H577" s="27"/>
      <c r="J577" s="27"/>
      <c r="K577" s="27"/>
    </row>
    <row r="578">
      <c r="F578" s="27"/>
      <c r="G578" s="27"/>
      <c r="H578" s="27"/>
      <c r="J578" s="27"/>
      <c r="K578" s="27"/>
    </row>
    <row r="579">
      <c r="F579" s="27"/>
      <c r="G579" s="27"/>
      <c r="H579" s="27"/>
      <c r="J579" s="27"/>
      <c r="K579" s="27"/>
    </row>
    <row r="580">
      <c r="F580" s="27"/>
      <c r="G580" s="27"/>
      <c r="H580" s="27"/>
      <c r="J580" s="27"/>
      <c r="K580" s="27"/>
    </row>
    <row r="581">
      <c r="F581" s="27"/>
      <c r="G581" s="27"/>
      <c r="H581" s="27"/>
      <c r="J581" s="27"/>
      <c r="K581" s="27"/>
    </row>
    <row r="582">
      <c r="F582" s="27"/>
      <c r="G582" s="27"/>
      <c r="H582" s="27"/>
      <c r="J582" s="27"/>
      <c r="K582" s="27"/>
    </row>
    <row r="583">
      <c r="F583" s="27"/>
      <c r="G583" s="27"/>
      <c r="H583" s="27"/>
      <c r="J583" s="27"/>
      <c r="K583" s="27"/>
    </row>
    <row r="584">
      <c r="F584" s="27"/>
      <c r="G584" s="27"/>
      <c r="H584" s="27"/>
      <c r="J584" s="27"/>
      <c r="K584" s="27"/>
    </row>
    <row r="585">
      <c r="F585" s="27"/>
      <c r="G585" s="27"/>
      <c r="H585" s="27"/>
      <c r="J585" s="27"/>
      <c r="K585" s="27"/>
    </row>
    <row r="586">
      <c r="F586" s="27"/>
      <c r="G586" s="27"/>
      <c r="H586" s="27"/>
      <c r="J586" s="27"/>
      <c r="K586" s="27"/>
    </row>
    <row r="587">
      <c r="F587" s="27"/>
      <c r="G587" s="27"/>
      <c r="H587" s="27"/>
      <c r="J587" s="27"/>
      <c r="K587" s="27"/>
    </row>
    <row r="588">
      <c r="F588" s="27"/>
      <c r="G588" s="27"/>
      <c r="H588" s="27"/>
      <c r="J588" s="27"/>
      <c r="K588" s="27"/>
    </row>
    <row r="589">
      <c r="F589" s="27"/>
      <c r="G589" s="27"/>
      <c r="H589" s="27"/>
      <c r="J589" s="27"/>
      <c r="K589" s="27"/>
    </row>
    <row r="590">
      <c r="F590" s="27"/>
      <c r="G590" s="27"/>
      <c r="H590" s="27"/>
      <c r="J590" s="27"/>
      <c r="K590" s="27"/>
    </row>
    <row r="591">
      <c r="F591" s="27"/>
      <c r="G591" s="27"/>
      <c r="H591" s="27"/>
      <c r="J591" s="27"/>
      <c r="K591" s="27"/>
    </row>
    <row r="592">
      <c r="F592" s="27"/>
      <c r="G592" s="27"/>
      <c r="H592" s="27"/>
      <c r="J592" s="27"/>
      <c r="K592" s="27"/>
    </row>
    <row r="593">
      <c r="F593" s="27"/>
      <c r="G593" s="27"/>
      <c r="H593" s="27"/>
      <c r="J593" s="27"/>
      <c r="K593" s="27"/>
    </row>
    <row r="594">
      <c r="F594" s="27"/>
      <c r="G594" s="27"/>
      <c r="H594" s="27"/>
      <c r="J594" s="27"/>
      <c r="K594" s="27"/>
    </row>
    <row r="595">
      <c r="F595" s="27"/>
      <c r="G595" s="27"/>
      <c r="H595" s="27"/>
      <c r="J595" s="27"/>
      <c r="K595" s="27"/>
    </row>
    <row r="596">
      <c r="F596" s="27"/>
      <c r="G596" s="27"/>
      <c r="H596" s="27"/>
      <c r="J596" s="27"/>
      <c r="K596" s="27"/>
    </row>
    <row r="597">
      <c r="F597" s="27"/>
      <c r="G597" s="27"/>
      <c r="H597" s="27"/>
      <c r="J597" s="27"/>
      <c r="K597" s="27"/>
    </row>
    <row r="598">
      <c r="F598" s="27"/>
      <c r="G598" s="27"/>
      <c r="H598" s="27"/>
      <c r="J598" s="27"/>
      <c r="K598" s="27"/>
    </row>
    <row r="599">
      <c r="F599" s="27"/>
      <c r="G599" s="27"/>
      <c r="H599" s="27"/>
      <c r="J599" s="27"/>
      <c r="K599" s="27"/>
    </row>
    <row r="600">
      <c r="F600" s="27"/>
      <c r="G600" s="27"/>
      <c r="H600" s="27"/>
      <c r="J600" s="27"/>
      <c r="K600" s="27"/>
    </row>
    <row r="601">
      <c r="F601" s="27"/>
      <c r="G601" s="27"/>
      <c r="H601" s="27"/>
      <c r="J601" s="27"/>
      <c r="K601" s="27"/>
    </row>
    <row r="602">
      <c r="F602" s="27"/>
      <c r="G602" s="27"/>
      <c r="H602" s="27"/>
      <c r="J602" s="27"/>
      <c r="K602" s="27"/>
    </row>
    <row r="603">
      <c r="F603" s="27"/>
      <c r="G603" s="27"/>
      <c r="H603" s="27"/>
      <c r="J603" s="27"/>
      <c r="K603" s="27"/>
    </row>
    <row r="604">
      <c r="F604" s="27"/>
      <c r="G604" s="27"/>
      <c r="H604" s="27"/>
      <c r="J604" s="27"/>
      <c r="K604" s="27"/>
    </row>
    <row r="605">
      <c r="F605" s="27"/>
      <c r="G605" s="27"/>
      <c r="H605" s="27"/>
      <c r="J605" s="27"/>
      <c r="K605" s="27"/>
    </row>
    <row r="606">
      <c r="F606" s="27"/>
      <c r="G606" s="27"/>
      <c r="H606" s="27"/>
      <c r="J606" s="27"/>
      <c r="K606" s="27"/>
    </row>
    <row r="607">
      <c r="F607" s="27"/>
      <c r="G607" s="27"/>
      <c r="H607" s="27"/>
      <c r="J607" s="27"/>
      <c r="K607" s="27"/>
    </row>
    <row r="608">
      <c r="F608" s="27"/>
      <c r="G608" s="27"/>
      <c r="H608" s="27"/>
      <c r="J608" s="27"/>
      <c r="K608" s="27"/>
    </row>
    <row r="609">
      <c r="F609" s="27"/>
      <c r="G609" s="27"/>
      <c r="H609" s="27"/>
      <c r="J609" s="27"/>
      <c r="K609" s="27"/>
    </row>
    <row r="610">
      <c r="F610" s="27"/>
      <c r="G610" s="27"/>
      <c r="H610" s="27"/>
      <c r="J610" s="27"/>
      <c r="K610" s="27"/>
    </row>
    <row r="611">
      <c r="F611" s="27"/>
      <c r="G611" s="27"/>
      <c r="H611" s="27"/>
      <c r="J611" s="27"/>
      <c r="K611" s="27"/>
    </row>
    <row r="612">
      <c r="F612" s="27"/>
      <c r="G612" s="27"/>
      <c r="H612" s="27"/>
      <c r="J612" s="27"/>
      <c r="K612" s="27"/>
    </row>
    <row r="613">
      <c r="F613" s="27"/>
      <c r="G613" s="27"/>
      <c r="H613" s="27"/>
      <c r="J613" s="27"/>
      <c r="K613" s="27"/>
    </row>
    <row r="614">
      <c r="F614" s="27"/>
      <c r="G614" s="27"/>
      <c r="H614" s="27"/>
      <c r="J614" s="27"/>
      <c r="K614" s="27"/>
    </row>
    <row r="615">
      <c r="F615" s="27"/>
      <c r="G615" s="27"/>
      <c r="H615" s="27"/>
      <c r="J615" s="27"/>
      <c r="K615" s="27"/>
    </row>
    <row r="616">
      <c r="F616" s="27"/>
      <c r="G616" s="27"/>
      <c r="H616" s="27"/>
      <c r="J616" s="27"/>
      <c r="K616" s="27"/>
    </row>
    <row r="617">
      <c r="F617" s="27"/>
      <c r="G617" s="27"/>
      <c r="H617" s="27"/>
      <c r="J617" s="27"/>
      <c r="K617" s="27"/>
    </row>
    <row r="618">
      <c r="F618" s="27"/>
      <c r="G618" s="27"/>
      <c r="H618" s="27"/>
      <c r="J618" s="27"/>
      <c r="K618" s="27"/>
    </row>
    <row r="619">
      <c r="F619" s="27"/>
      <c r="G619" s="27"/>
      <c r="H619" s="27"/>
      <c r="J619" s="27"/>
      <c r="K619" s="27"/>
    </row>
    <row r="620">
      <c r="F620" s="27"/>
      <c r="G620" s="27"/>
      <c r="H620" s="27"/>
      <c r="J620" s="27"/>
      <c r="K620" s="27"/>
    </row>
    <row r="621">
      <c r="F621" s="27"/>
      <c r="G621" s="27"/>
      <c r="H621" s="27"/>
      <c r="J621" s="27"/>
      <c r="K621" s="27"/>
    </row>
    <row r="622">
      <c r="F622" s="27"/>
      <c r="G622" s="27"/>
      <c r="H622" s="27"/>
      <c r="J622" s="27"/>
      <c r="K622" s="27"/>
    </row>
    <row r="623">
      <c r="F623" s="27"/>
      <c r="G623" s="27"/>
      <c r="H623" s="27"/>
      <c r="J623" s="27"/>
      <c r="K623" s="27"/>
    </row>
    <row r="624">
      <c r="F624" s="27"/>
      <c r="G624" s="27"/>
      <c r="H624" s="27"/>
      <c r="J624" s="27"/>
      <c r="K624" s="27"/>
    </row>
    <row r="625">
      <c r="F625" s="27"/>
      <c r="G625" s="27"/>
      <c r="H625" s="27"/>
      <c r="J625" s="27"/>
      <c r="K625" s="27"/>
    </row>
    <row r="626">
      <c r="F626" s="27"/>
      <c r="G626" s="27"/>
      <c r="H626" s="27"/>
      <c r="J626" s="27"/>
      <c r="K626" s="27"/>
    </row>
    <row r="627">
      <c r="F627" s="27"/>
      <c r="G627" s="27"/>
      <c r="H627" s="27"/>
      <c r="J627" s="27"/>
      <c r="K627" s="27"/>
    </row>
    <row r="628">
      <c r="F628" s="27"/>
      <c r="G628" s="27"/>
      <c r="H628" s="27"/>
      <c r="J628" s="27"/>
      <c r="K628" s="27"/>
    </row>
    <row r="629">
      <c r="F629" s="27"/>
      <c r="G629" s="27"/>
      <c r="H629" s="27"/>
      <c r="J629" s="27"/>
      <c r="K629" s="27"/>
    </row>
    <row r="630">
      <c r="F630" s="27"/>
      <c r="G630" s="27"/>
      <c r="H630" s="27"/>
      <c r="J630" s="27"/>
      <c r="K630" s="27"/>
    </row>
    <row r="631">
      <c r="F631" s="27"/>
      <c r="G631" s="27"/>
      <c r="H631" s="27"/>
      <c r="J631" s="27"/>
      <c r="K631" s="27"/>
    </row>
    <row r="632">
      <c r="F632" s="27"/>
      <c r="G632" s="27"/>
      <c r="H632" s="27"/>
      <c r="J632" s="27"/>
      <c r="K632" s="27"/>
    </row>
    <row r="633">
      <c r="F633" s="27"/>
      <c r="G633" s="27"/>
      <c r="H633" s="27"/>
      <c r="J633" s="27"/>
      <c r="K633" s="27"/>
    </row>
    <row r="634">
      <c r="F634" s="27"/>
      <c r="G634" s="27"/>
      <c r="H634" s="27"/>
      <c r="J634" s="27"/>
      <c r="K634" s="27"/>
    </row>
    <row r="635">
      <c r="F635" s="27"/>
      <c r="G635" s="27"/>
      <c r="H635" s="27"/>
      <c r="J635" s="27"/>
      <c r="K635" s="27"/>
    </row>
    <row r="636">
      <c r="F636" s="27"/>
      <c r="G636" s="27"/>
      <c r="H636" s="27"/>
      <c r="J636" s="27"/>
      <c r="K636" s="27"/>
    </row>
    <row r="637">
      <c r="F637" s="27"/>
      <c r="G637" s="27"/>
      <c r="H637" s="27"/>
      <c r="J637" s="27"/>
      <c r="K637" s="27"/>
    </row>
    <row r="638">
      <c r="F638" s="27"/>
      <c r="G638" s="27"/>
      <c r="H638" s="27"/>
      <c r="J638" s="27"/>
      <c r="K638" s="27"/>
    </row>
    <row r="639">
      <c r="F639" s="27"/>
      <c r="G639" s="27"/>
      <c r="H639" s="27"/>
      <c r="J639" s="27"/>
      <c r="K639" s="27"/>
    </row>
    <row r="640">
      <c r="F640" s="27"/>
      <c r="G640" s="27"/>
      <c r="H640" s="27"/>
      <c r="J640" s="27"/>
      <c r="K640" s="27"/>
    </row>
    <row r="641">
      <c r="F641" s="27"/>
      <c r="G641" s="27"/>
      <c r="H641" s="27"/>
      <c r="J641" s="27"/>
      <c r="K641" s="27"/>
    </row>
    <row r="642">
      <c r="F642" s="27"/>
      <c r="G642" s="27"/>
      <c r="H642" s="27"/>
      <c r="J642" s="27"/>
      <c r="K642" s="27"/>
    </row>
    <row r="643">
      <c r="F643" s="27"/>
      <c r="G643" s="27"/>
      <c r="H643" s="27"/>
      <c r="J643" s="27"/>
      <c r="K643" s="27"/>
    </row>
    <row r="644">
      <c r="F644" s="27"/>
      <c r="G644" s="27"/>
      <c r="H644" s="27"/>
      <c r="J644" s="27"/>
      <c r="K644" s="27"/>
    </row>
    <row r="645">
      <c r="F645" s="27"/>
      <c r="G645" s="27"/>
      <c r="H645" s="27"/>
      <c r="J645" s="27"/>
      <c r="K645" s="27"/>
    </row>
    <row r="646">
      <c r="F646" s="27"/>
      <c r="G646" s="27"/>
      <c r="H646" s="27"/>
      <c r="J646" s="27"/>
      <c r="K646" s="27"/>
    </row>
    <row r="647">
      <c r="F647" s="27"/>
      <c r="G647" s="27"/>
      <c r="H647" s="27"/>
      <c r="J647" s="27"/>
      <c r="K647" s="27"/>
    </row>
    <row r="648">
      <c r="F648" s="27"/>
      <c r="G648" s="27"/>
      <c r="H648" s="27"/>
      <c r="J648" s="27"/>
      <c r="K648" s="27"/>
    </row>
    <row r="649">
      <c r="F649" s="27"/>
      <c r="G649" s="27"/>
      <c r="H649" s="27"/>
      <c r="J649" s="27"/>
      <c r="K649" s="27"/>
    </row>
    <row r="650">
      <c r="F650" s="27"/>
      <c r="G650" s="27"/>
      <c r="H650" s="27"/>
      <c r="J650" s="27"/>
      <c r="K650" s="27"/>
    </row>
    <row r="651">
      <c r="F651" s="27"/>
      <c r="G651" s="27"/>
      <c r="H651" s="27"/>
      <c r="J651" s="27"/>
      <c r="K651" s="27"/>
    </row>
    <row r="652">
      <c r="F652" s="27"/>
      <c r="G652" s="27"/>
      <c r="H652" s="27"/>
      <c r="J652" s="27"/>
      <c r="K652" s="27"/>
    </row>
    <row r="653">
      <c r="F653" s="27"/>
      <c r="G653" s="27"/>
      <c r="H653" s="27"/>
      <c r="J653" s="27"/>
      <c r="K653" s="27"/>
    </row>
    <row r="654">
      <c r="F654" s="27"/>
      <c r="G654" s="27"/>
      <c r="H654" s="27"/>
      <c r="J654" s="27"/>
      <c r="K654" s="27"/>
    </row>
    <row r="655">
      <c r="F655" s="27"/>
      <c r="G655" s="27"/>
      <c r="H655" s="27"/>
      <c r="J655" s="27"/>
      <c r="K655" s="27"/>
    </row>
    <row r="656">
      <c r="F656" s="27"/>
      <c r="G656" s="27"/>
      <c r="H656" s="27"/>
      <c r="J656" s="27"/>
      <c r="K656" s="27"/>
    </row>
    <row r="657">
      <c r="F657" s="27"/>
      <c r="G657" s="27"/>
      <c r="H657" s="27"/>
      <c r="J657" s="27"/>
      <c r="K657" s="27"/>
    </row>
    <row r="658">
      <c r="F658" s="27"/>
      <c r="G658" s="27"/>
      <c r="H658" s="27"/>
      <c r="J658" s="27"/>
      <c r="K658" s="27"/>
    </row>
    <row r="659">
      <c r="F659" s="27"/>
      <c r="G659" s="27"/>
      <c r="H659" s="27"/>
      <c r="J659" s="27"/>
      <c r="K659" s="27"/>
    </row>
    <row r="660">
      <c r="F660" s="27"/>
      <c r="G660" s="27"/>
      <c r="H660" s="27"/>
      <c r="J660" s="27"/>
      <c r="K660" s="27"/>
    </row>
    <row r="661">
      <c r="F661" s="27"/>
      <c r="G661" s="27"/>
      <c r="H661" s="27"/>
      <c r="J661" s="27"/>
      <c r="K661" s="27"/>
    </row>
    <row r="662">
      <c r="F662" s="27"/>
      <c r="G662" s="27"/>
      <c r="H662" s="27"/>
      <c r="J662" s="27"/>
      <c r="K662" s="27"/>
    </row>
    <row r="663">
      <c r="F663" s="27"/>
      <c r="G663" s="27"/>
      <c r="H663" s="27"/>
      <c r="J663" s="27"/>
      <c r="K663" s="27"/>
    </row>
    <row r="664">
      <c r="F664" s="27"/>
      <c r="G664" s="27"/>
      <c r="H664" s="27"/>
      <c r="J664" s="27"/>
      <c r="K664" s="27"/>
    </row>
    <row r="665">
      <c r="F665" s="27"/>
      <c r="G665" s="27"/>
      <c r="H665" s="27"/>
      <c r="J665" s="27"/>
      <c r="K665" s="27"/>
    </row>
    <row r="666">
      <c r="F666" s="27"/>
      <c r="G666" s="27"/>
      <c r="H666" s="27"/>
      <c r="J666" s="27"/>
      <c r="K666" s="27"/>
    </row>
    <row r="667">
      <c r="F667" s="27"/>
      <c r="G667" s="27"/>
      <c r="H667" s="27"/>
      <c r="J667" s="27"/>
      <c r="K667" s="27"/>
    </row>
    <row r="668">
      <c r="F668" s="27"/>
      <c r="G668" s="27"/>
      <c r="H668" s="27"/>
      <c r="J668" s="27"/>
      <c r="K668" s="27"/>
    </row>
    <row r="669">
      <c r="F669" s="27"/>
      <c r="G669" s="27"/>
      <c r="H669" s="27"/>
      <c r="J669" s="27"/>
      <c r="K669" s="27"/>
    </row>
    <row r="670">
      <c r="F670" s="27"/>
      <c r="G670" s="27"/>
      <c r="H670" s="27"/>
      <c r="J670" s="27"/>
      <c r="K670" s="27"/>
    </row>
    <row r="671">
      <c r="F671" s="27"/>
      <c r="G671" s="27"/>
      <c r="H671" s="27"/>
      <c r="J671" s="27"/>
      <c r="K671" s="27"/>
    </row>
    <row r="672">
      <c r="F672" s="27"/>
      <c r="G672" s="27"/>
      <c r="H672" s="27"/>
      <c r="J672" s="27"/>
      <c r="K672" s="27"/>
    </row>
    <row r="673">
      <c r="F673" s="27"/>
      <c r="G673" s="27"/>
      <c r="H673" s="27"/>
      <c r="J673" s="27"/>
      <c r="K673" s="27"/>
    </row>
    <row r="674">
      <c r="F674" s="27"/>
      <c r="G674" s="27"/>
      <c r="H674" s="27"/>
      <c r="J674" s="27"/>
      <c r="K674" s="27"/>
    </row>
    <row r="675">
      <c r="F675" s="27"/>
      <c r="G675" s="27"/>
      <c r="H675" s="27"/>
      <c r="J675" s="27"/>
      <c r="K675" s="27"/>
    </row>
    <row r="676">
      <c r="F676" s="27"/>
      <c r="G676" s="27"/>
      <c r="H676" s="27"/>
      <c r="J676" s="27"/>
      <c r="K676" s="27"/>
    </row>
    <row r="677">
      <c r="F677" s="27"/>
      <c r="G677" s="27"/>
      <c r="H677" s="27"/>
      <c r="J677" s="27"/>
      <c r="K677" s="27"/>
    </row>
    <row r="678">
      <c r="F678" s="27"/>
      <c r="G678" s="27"/>
      <c r="H678" s="27"/>
      <c r="J678" s="27"/>
      <c r="K678" s="27"/>
    </row>
    <row r="679">
      <c r="F679" s="27"/>
      <c r="G679" s="27"/>
      <c r="H679" s="27"/>
      <c r="J679" s="27"/>
      <c r="K679" s="27"/>
    </row>
    <row r="680">
      <c r="F680" s="27"/>
      <c r="G680" s="27"/>
      <c r="H680" s="27"/>
      <c r="J680" s="27"/>
      <c r="K680" s="27"/>
    </row>
    <row r="681">
      <c r="F681" s="27"/>
      <c r="G681" s="27"/>
      <c r="H681" s="27"/>
      <c r="J681" s="27"/>
      <c r="K681" s="27"/>
    </row>
    <row r="682">
      <c r="F682" s="27"/>
      <c r="G682" s="27"/>
      <c r="H682" s="27"/>
      <c r="J682" s="27"/>
      <c r="K682" s="27"/>
    </row>
    <row r="683">
      <c r="F683" s="27"/>
      <c r="G683" s="27"/>
      <c r="H683" s="27"/>
      <c r="J683" s="27"/>
      <c r="K683" s="27"/>
    </row>
    <row r="684">
      <c r="F684" s="27"/>
      <c r="G684" s="27"/>
      <c r="H684" s="27"/>
      <c r="J684" s="27"/>
      <c r="K684" s="27"/>
    </row>
    <row r="685">
      <c r="F685" s="27"/>
      <c r="G685" s="27"/>
      <c r="H685" s="27"/>
      <c r="J685" s="27"/>
      <c r="K685" s="27"/>
    </row>
    <row r="686">
      <c r="F686" s="27"/>
      <c r="G686" s="27"/>
      <c r="H686" s="27"/>
      <c r="J686" s="27"/>
      <c r="K686" s="27"/>
    </row>
    <row r="687">
      <c r="F687" s="27"/>
      <c r="G687" s="27"/>
      <c r="H687" s="27"/>
      <c r="J687" s="27"/>
      <c r="K687" s="27"/>
    </row>
    <row r="688">
      <c r="F688" s="27"/>
      <c r="G688" s="27"/>
      <c r="H688" s="27"/>
      <c r="J688" s="27"/>
      <c r="K688" s="27"/>
    </row>
    <row r="689">
      <c r="F689" s="27"/>
      <c r="G689" s="27"/>
      <c r="H689" s="27"/>
      <c r="J689" s="27"/>
      <c r="K689" s="27"/>
    </row>
    <row r="690">
      <c r="F690" s="27"/>
      <c r="G690" s="27"/>
      <c r="H690" s="27"/>
      <c r="J690" s="27"/>
      <c r="K690" s="27"/>
    </row>
    <row r="691">
      <c r="F691" s="27"/>
      <c r="G691" s="27"/>
      <c r="H691" s="27"/>
      <c r="J691" s="27"/>
      <c r="K691" s="27"/>
    </row>
    <row r="692">
      <c r="F692" s="27"/>
      <c r="G692" s="27"/>
      <c r="H692" s="27"/>
      <c r="J692" s="27"/>
      <c r="K692" s="27"/>
    </row>
    <row r="693">
      <c r="F693" s="27"/>
      <c r="G693" s="27"/>
      <c r="H693" s="27"/>
      <c r="J693" s="27"/>
      <c r="K693" s="27"/>
    </row>
    <row r="694">
      <c r="F694" s="27"/>
      <c r="G694" s="27"/>
      <c r="H694" s="27"/>
      <c r="J694" s="27"/>
      <c r="K694" s="27"/>
    </row>
    <row r="695">
      <c r="F695" s="27"/>
      <c r="G695" s="27"/>
      <c r="H695" s="27"/>
      <c r="J695" s="27"/>
      <c r="K695" s="27"/>
    </row>
    <row r="696">
      <c r="F696" s="27"/>
      <c r="G696" s="27"/>
      <c r="H696" s="27"/>
      <c r="J696" s="27"/>
      <c r="K696" s="27"/>
    </row>
    <row r="697">
      <c r="F697" s="27"/>
      <c r="G697" s="27"/>
      <c r="H697" s="27"/>
      <c r="J697" s="27"/>
      <c r="K697" s="27"/>
    </row>
    <row r="698">
      <c r="F698" s="27"/>
      <c r="G698" s="27"/>
      <c r="H698" s="27"/>
      <c r="J698" s="27"/>
      <c r="K698" s="27"/>
    </row>
    <row r="699">
      <c r="F699" s="27"/>
      <c r="G699" s="27"/>
      <c r="H699" s="27"/>
      <c r="J699" s="27"/>
      <c r="K699" s="27"/>
    </row>
    <row r="700">
      <c r="F700" s="27"/>
      <c r="G700" s="27"/>
      <c r="H700" s="27"/>
      <c r="J700" s="27"/>
      <c r="K700" s="27"/>
    </row>
    <row r="701">
      <c r="F701" s="27"/>
      <c r="G701" s="27"/>
      <c r="H701" s="27"/>
      <c r="J701" s="27"/>
      <c r="K701" s="27"/>
    </row>
    <row r="702">
      <c r="F702" s="27"/>
      <c r="G702" s="27"/>
      <c r="H702" s="27"/>
      <c r="J702" s="27"/>
      <c r="K702" s="27"/>
    </row>
    <row r="703">
      <c r="F703" s="27"/>
      <c r="G703" s="27"/>
      <c r="H703" s="27"/>
      <c r="J703" s="27"/>
      <c r="K703" s="27"/>
    </row>
    <row r="704">
      <c r="F704" s="27"/>
      <c r="G704" s="27"/>
      <c r="H704" s="27"/>
      <c r="J704" s="27"/>
      <c r="K704" s="27"/>
    </row>
    <row r="705">
      <c r="F705" s="27"/>
      <c r="G705" s="27"/>
      <c r="H705" s="27"/>
      <c r="J705" s="27"/>
      <c r="K705" s="27"/>
    </row>
    <row r="706">
      <c r="F706" s="27"/>
      <c r="G706" s="27"/>
      <c r="H706" s="27"/>
      <c r="J706" s="27"/>
      <c r="K706" s="27"/>
    </row>
    <row r="707">
      <c r="F707" s="27"/>
      <c r="G707" s="27"/>
      <c r="H707" s="27"/>
      <c r="J707" s="27"/>
      <c r="K707" s="27"/>
    </row>
    <row r="708">
      <c r="F708" s="27"/>
      <c r="G708" s="27"/>
      <c r="H708" s="27"/>
      <c r="J708" s="27"/>
      <c r="K708" s="27"/>
    </row>
    <row r="709">
      <c r="F709" s="27"/>
      <c r="G709" s="27"/>
      <c r="H709" s="27"/>
      <c r="J709" s="27"/>
      <c r="K709" s="27"/>
    </row>
    <row r="710">
      <c r="F710" s="27"/>
      <c r="G710" s="27"/>
      <c r="H710" s="27"/>
      <c r="J710" s="27"/>
      <c r="K710" s="27"/>
    </row>
    <row r="711">
      <c r="F711" s="27"/>
      <c r="G711" s="27"/>
      <c r="H711" s="27"/>
      <c r="J711" s="27"/>
      <c r="K711" s="27"/>
    </row>
    <row r="712">
      <c r="F712" s="27"/>
      <c r="G712" s="27"/>
      <c r="H712" s="27"/>
      <c r="J712" s="27"/>
      <c r="K712" s="27"/>
    </row>
    <row r="713">
      <c r="F713" s="27"/>
      <c r="G713" s="27"/>
      <c r="H713" s="27"/>
      <c r="J713" s="27"/>
      <c r="K713" s="27"/>
    </row>
    <row r="714">
      <c r="F714" s="27"/>
      <c r="G714" s="27"/>
      <c r="H714" s="27"/>
      <c r="J714" s="27"/>
      <c r="K714" s="27"/>
    </row>
    <row r="715">
      <c r="F715" s="27"/>
      <c r="G715" s="27"/>
      <c r="H715" s="27"/>
      <c r="J715" s="27"/>
      <c r="K715" s="27"/>
    </row>
    <row r="716">
      <c r="F716" s="27"/>
      <c r="G716" s="27"/>
      <c r="H716" s="27"/>
      <c r="J716" s="27"/>
      <c r="K716" s="27"/>
    </row>
    <row r="717">
      <c r="F717" s="27"/>
      <c r="G717" s="27"/>
      <c r="H717" s="27"/>
      <c r="J717" s="27"/>
      <c r="K717" s="27"/>
    </row>
    <row r="718">
      <c r="F718" s="27"/>
      <c r="G718" s="27"/>
      <c r="H718" s="27"/>
      <c r="J718" s="27"/>
      <c r="K718" s="27"/>
    </row>
    <row r="719">
      <c r="F719" s="27"/>
      <c r="G719" s="27"/>
      <c r="H719" s="27"/>
      <c r="J719" s="27"/>
      <c r="K719" s="27"/>
    </row>
    <row r="720">
      <c r="F720" s="27"/>
      <c r="G720" s="27"/>
      <c r="H720" s="27"/>
      <c r="J720" s="27"/>
      <c r="K720" s="27"/>
    </row>
    <row r="721">
      <c r="F721" s="27"/>
      <c r="G721" s="27"/>
      <c r="H721" s="27"/>
      <c r="J721" s="27"/>
      <c r="K721" s="27"/>
    </row>
    <row r="722">
      <c r="F722" s="27"/>
      <c r="G722" s="27"/>
      <c r="H722" s="27"/>
      <c r="J722" s="27"/>
      <c r="K722" s="27"/>
    </row>
    <row r="723">
      <c r="F723" s="27"/>
      <c r="G723" s="27"/>
      <c r="H723" s="27"/>
      <c r="J723" s="27"/>
      <c r="K723" s="27"/>
    </row>
    <row r="724">
      <c r="F724" s="27"/>
      <c r="G724" s="27"/>
      <c r="H724" s="27"/>
      <c r="J724" s="27"/>
      <c r="K724" s="27"/>
    </row>
    <row r="725">
      <c r="F725" s="27"/>
      <c r="G725" s="27"/>
      <c r="H725" s="27"/>
      <c r="J725" s="27"/>
      <c r="K725" s="27"/>
    </row>
    <row r="726">
      <c r="F726" s="27"/>
      <c r="G726" s="27"/>
      <c r="H726" s="27"/>
      <c r="J726" s="27"/>
      <c r="K726" s="27"/>
    </row>
    <row r="727">
      <c r="F727" s="27"/>
      <c r="G727" s="27"/>
      <c r="H727" s="27"/>
      <c r="J727" s="27"/>
      <c r="K727" s="27"/>
    </row>
    <row r="728">
      <c r="F728" s="27"/>
      <c r="G728" s="27"/>
      <c r="H728" s="27"/>
      <c r="J728" s="27"/>
      <c r="K728" s="27"/>
    </row>
    <row r="729">
      <c r="F729" s="27"/>
      <c r="G729" s="27"/>
      <c r="H729" s="27"/>
      <c r="J729" s="27"/>
      <c r="K729" s="27"/>
    </row>
    <row r="730">
      <c r="F730" s="27"/>
      <c r="G730" s="27"/>
      <c r="H730" s="27"/>
      <c r="J730" s="27"/>
      <c r="K730" s="27"/>
    </row>
    <row r="731">
      <c r="F731" s="27"/>
      <c r="G731" s="27"/>
      <c r="H731" s="27"/>
      <c r="J731" s="27"/>
      <c r="K731" s="27"/>
    </row>
    <row r="732">
      <c r="F732" s="27"/>
      <c r="G732" s="27"/>
      <c r="H732" s="27"/>
      <c r="J732" s="27"/>
      <c r="K732" s="27"/>
    </row>
    <row r="733">
      <c r="F733" s="27"/>
      <c r="G733" s="27"/>
      <c r="H733" s="27"/>
      <c r="J733" s="27"/>
      <c r="K733" s="27"/>
    </row>
    <row r="734">
      <c r="F734" s="27"/>
      <c r="G734" s="27"/>
      <c r="H734" s="27"/>
      <c r="J734" s="27"/>
      <c r="K734" s="27"/>
    </row>
    <row r="735">
      <c r="F735" s="27"/>
      <c r="G735" s="27"/>
      <c r="H735" s="27"/>
      <c r="J735" s="27"/>
      <c r="K735" s="27"/>
    </row>
    <row r="736">
      <c r="F736" s="27"/>
      <c r="G736" s="27"/>
      <c r="H736" s="27"/>
      <c r="J736" s="27"/>
      <c r="K736" s="27"/>
    </row>
    <row r="737">
      <c r="F737" s="27"/>
      <c r="G737" s="27"/>
      <c r="H737" s="27"/>
      <c r="J737" s="27"/>
      <c r="K737" s="27"/>
    </row>
    <row r="738">
      <c r="F738" s="27"/>
      <c r="G738" s="27"/>
      <c r="H738" s="27"/>
      <c r="J738" s="27"/>
      <c r="K738" s="27"/>
    </row>
    <row r="739">
      <c r="F739" s="27"/>
      <c r="G739" s="27"/>
      <c r="H739" s="27"/>
      <c r="J739" s="27"/>
      <c r="K739" s="27"/>
    </row>
    <row r="740">
      <c r="F740" s="27"/>
      <c r="G740" s="27"/>
      <c r="H740" s="27"/>
      <c r="J740" s="27"/>
      <c r="K740" s="27"/>
    </row>
    <row r="741">
      <c r="F741" s="27"/>
      <c r="G741" s="27"/>
      <c r="H741" s="27"/>
      <c r="J741" s="27"/>
      <c r="K741" s="27"/>
    </row>
    <row r="742">
      <c r="F742" s="27"/>
      <c r="G742" s="27"/>
      <c r="H742" s="27"/>
      <c r="J742" s="27"/>
      <c r="K742" s="27"/>
    </row>
    <row r="743">
      <c r="F743" s="27"/>
      <c r="G743" s="27"/>
      <c r="H743" s="27"/>
      <c r="J743" s="27"/>
      <c r="K743" s="27"/>
    </row>
    <row r="744">
      <c r="F744" s="27"/>
      <c r="G744" s="27"/>
      <c r="H744" s="27"/>
      <c r="J744" s="27"/>
      <c r="K744" s="27"/>
    </row>
    <row r="745">
      <c r="F745" s="27"/>
      <c r="G745" s="27"/>
      <c r="H745" s="27"/>
      <c r="J745" s="27"/>
      <c r="K745" s="27"/>
    </row>
    <row r="746">
      <c r="F746" s="27"/>
      <c r="G746" s="27"/>
      <c r="H746" s="27"/>
      <c r="J746" s="27"/>
      <c r="K746" s="27"/>
    </row>
    <row r="747">
      <c r="F747" s="27"/>
      <c r="G747" s="27"/>
      <c r="H747" s="27"/>
      <c r="J747" s="27"/>
      <c r="K747" s="27"/>
    </row>
    <row r="748">
      <c r="F748" s="27"/>
      <c r="G748" s="27"/>
      <c r="H748" s="27"/>
      <c r="J748" s="27"/>
      <c r="K748" s="27"/>
    </row>
    <row r="749">
      <c r="F749" s="27"/>
      <c r="G749" s="27"/>
      <c r="H749" s="27"/>
      <c r="J749" s="27"/>
      <c r="K749" s="27"/>
    </row>
    <row r="750">
      <c r="F750" s="27"/>
      <c r="G750" s="27"/>
      <c r="H750" s="27"/>
      <c r="J750" s="27"/>
      <c r="K750" s="27"/>
    </row>
    <row r="751">
      <c r="F751" s="27"/>
      <c r="G751" s="27"/>
      <c r="H751" s="27"/>
      <c r="J751" s="27"/>
      <c r="K751" s="27"/>
    </row>
    <row r="752">
      <c r="F752" s="27"/>
      <c r="G752" s="27"/>
      <c r="H752" s="27"/>
      <c r="J752" s="27"/>
      <c r="K752" s="27"/>
    </row>
    <row r="753">
      <c r="F753" s="27"/>
      <c r="G753" s="27"/>
      <c r="H753" s="27"/>
      <c r="J753" s="27"/>
      <c r="K753" s="27"/>
    </row>
    <row r="754">
      <c r="F754" s="27"/>
      <c r="G754" s="27"/>
      <c r="H754" s="27"/>
      <c r="J754" s="27"/>
      <c r="K754" s="27"/>
    </row>
    <row r="755">
      <c r="F755" s="27"/>
      <c r="G755" s="27"/>
      <c r="H755" s="27"/>
      <c r="J755" s="27"/>
      <c r="K755" s="27"/>
    </row>
    <row r="756">
      <c r="F756" s="27"/>
      <c r="G756" s="27"/>
      <c r="H756" s="27"/>
      <c r="J756" s="27"/>
      <c r="K756" s="27"/>
    </row>
    <row r="757">
      <c r="F757" s="27"/>
      <c r="G757" s="27"/>
      <c r="H757" s="27"/>
      <c r="J757" s="27"/>
      <c r="K757" s="27"/>
    </row>
    <row r="758">
      <c r="F758" s="27"/>
      <c r="G758" s="27"/>
      <c r="H758" s="27"/>
      <c r="J758" s="27"/>
      <c r="K758" s="27"/>
    </row>
    <row r="759">
      <c r="F759" s="27"/>
      <c r="G759" s="27"/>
      <c r="H759" s="27"/>
      <c r="J759" s="27"/>
      <c r="K759" s="27"/>
    </row>
    <row r="760">
      <c r="F760" s="27"/>
      <c r="G760" s="27"/>
      <c r="H760" s="27"/>
      <c r="J760" s="27"/>
      <c r="K760" s="27"/>
    </row>
    <row r="761">
      <c r="F761" s="27"/>
      <c r="G761" s="27"/>
      <c r="H761" s="27"/>
      <c r="J761" s="27"/>
      <c r="K761" s="27"/>
    </row>
    <row r="762">
      <c r="F762" s="27"/>
      <c r="G762" s="27"/>
      <c r="H762" s="27"/>
      <c r="J762" s="27"/>
      <c r="K762" s="27"/>
    </row>
    <row r="763">
      <c r="F763" s="27"/>
      <c r="G763" s="27"/>
      <c r="H763" s="27"/>
      <c r="J763" s="27"/>
      <c r="K763" s="27"/>
    </row>
    <row r="764">
      <c r="F764" s="27"/>
      <c r="G764" s="27"/>
      <c r="H764" s="27"/>
      <c r="J764" s="27"/>
      <c r="K764" s="27"/>
    </row>
    <row r="765">
      <c r="F765" s="27"/>
      <c r="G765" s="27"/>
      <c r="H765" s="27"/>
      <c r="J765" s="27"/>
      <c r="K765" s="27"/>
    </row>
    <row r="766">
      <c r="F766" s="27"/>
      <c r="G766" s="27"/>
      <c r="H766" s="27"/>
      <c r="J766" s="27"/>
      <c r="K766" s="27"/>
    </row>
    <row r="767">
      <c r="F767" s="27"/>
      <c r="G767" s="27"/>
      <c r="H767" s="27"/>
      <c r="J767" s="27"/>
      <c r="K767" s="27"/>
    </row>
    <row r="768">
      <c r="F768" s="27"/>
      <c r="G768" s="27"/>
      <c r="H768" s="27"/>
      <c r="J768" s="27"/>
      <c r="K768" s="27"/>
    </row>
    <row r="769">
      <c r="F769" s="27"/>
      <c r="G769" s="27"/>
      <c r="H769" s="27"/>
      <c r="J769" s="27"/>
      <c r="K769" s="27"/>
    </row>
    <row r="770">
      <c r="F770" s="27"/>
      <c r="G770" s="27"/>
      <c r="H770" s="27"/>
      <c r="J770" s="27"/>
      <c r="K770" s="27"/>
    </row>
    <row r="771">
      <c r="F771" s="27"/>
      <c r="G771" s="27"/>
      <c r="H771" s="27"/>
      <c r="J771" s="27"/>
      <c r="K771" s="27"/>
    </row>
    <row r="772">
      <c r="F772" s="27"/>
      <c r="G772" s="27"/>
      <c r="H772" s="27"/>
      <c r="J772" s="27"/>
      <c r="K772" s="27"/>
    </row>
    <row r="773">
      <c r="F773" s="27"/>
      <c r="G773" s="27"/>
      <c r="H773" s="27"/>
      <c r="J773" s="27"/>
      <c r="K773" s="27"/>
    </row>
    <row r="774">
      <c r="F774" s="27"/>
      <c r="G774" s="27"/>
      <c r="H774" s="27"/>
      <c r="J774" s="27"/>
      <c r="K774" s="27"/>
    </row>
    <row r="775">
      <c r="F775" s="27"/>
      <c r="G775" s="27"/>
      <c r="H775" s="27"/>
      <c r="J775" s="27"/>
      <c r="K775" s="27"/>
    </row>
    <row r="776">
      <c r="F776" s="27"/>
      <c r="G776" s="27"/>
      <c r="H776" s="27"/>
      <c r="J776" s="27"/>
      <c r="K776" s="27"/>
    </row>
    <row r="777">
      <c r="F777" s="27"/>
      <c r="G777" s="27"/>
      <c r="H777" s="27"/>
      <c r="J777" s="27"/>
      <c r="K777" s="27"/>
    </row>
    <row r="778">
      <c r="F778" s="27"/>
      <c r="G778" s="27"/>
      <c r="H778" s="27"/>
      <c r="J778" s="27"/>
      <c r="K778" s="27"/>
    </row>
    <row r="779">
      <c r="F779" s="27"/>
      <c r="G779" s="27"/>
      <c r="H779" s="27"/>
      <c r="J779" s="27"/>
      <c r="K779" s="27"/>
    </row>
    <row r="780">
      <c r="F780" s="27"/>
      <c r="G780" s="27"/>
      <c r="H780" s="27"/>
      <c r="J780" s="27"/>
      <c r="K780" s="27"/>
    </row>
    <row r="781">
      <c r="F781" s="27"/>
      <c r="G781" s="27"/>
      <c r="H781" s="27"/>
      <c r="J781" s="27"/>
      <c r="K781" s="27"/>
    </row>
    <row r="782">
      <c r="F782" s="27"/>
      <c r="G782" s="27"/>
      <c r="H782" s="27"/>
      <c r="J782" s="27"/>
      <c r="K782" s="27"/>
    </row>
    <row r="783">
      <c r="F783" s="27"/>
      <c r="G783" s="27"/>
      <c r="H783" s="27"/>
      <c r="J783" s="27"/>
      <c r="K783" s="27"/>
    </row>
    <row r="784">
      <c r="F784" s="27"/>
      <c r="G784" s="27"/>
      <c r="H784" s="27"/>
      <c r="J784" s="27"/>
      <c r="K784" s="27"/>
    </row>
    <row r="785">
      <c r="F785" s="27"/>
      <c r="G785" s="27"/>
      <c r="H785" s="27"/>
      <c r="J785" s="27"/>
      <c r="K785" s="27"/>
    </row>
    <row r="786">
      <c r="F786" s="27"/>
      <c r="G786" s="27"/>
      <c r="H786" s="27"/>
      <c r="J786" s="27"/>
      <c r="K786" s="27"/>
    </row>
    <row r="787">
      <c r="F787" s="27"/>
      <c r="G787" s="27"/>
      <c r="H787" s="27"/>
      <c r="J787" s="27"/>
      <c r="K787" s="27"/>
    </row>
    <row r="788">
      <c r="F788" s="27"/>
      <c r="G788" s="27"/>
      <c r="H788" s="27"/>
      <c r="J788" s="27"/>
      <c r="K788" s="27"/>
    </row>
    <row r="789">
      <c r="F789" s="27"/>
      <c r="G789" s="27"/>
      <c r="H789" s="27"/>
      <c r="J789" s="27"/>
      <c r="K789" s="27"/>
    </row>
    <row r="790">
      <c r="F790" s="27"/>
      <c r="G790" s="27"/>
      <c r="H790" s="27"/>
      <c r="J790" s="27"/>
      <c r="K790" s="27"/>
    </row>
    <row r="791">
      <c r="F791" s="27"/>
      <c r="G791" s="27"/>
      <c r="H791" s="27"/>
      <c r="J791" s="27"/>
      <c r="K791" s="27"/>
    </row>
    <row r="792">
      <c r="F792" s="27"/>
      <c r="G792" s="27"/>
      <c r="H792" s="27"/>
      <c r="J792" s="27"/>
      <c r="K792" s="27"/>
    </row>
    <row r="793">
      <c r="F793" s="27"/>
      <c r="G793" s="27"/>
      <c r="H793" s="27"/>
      <c r="J793" s="27"/>
      <c r="K793" s="27"/>
    </row>
    <row r="794">
      <c r="F794" s="27"/>
      <c r="G794" s="27"/>
      <c r="H794" s="27"/>
      <c r="J794" s="27"/>
      <c r="K794" s="27"/>
    </row>
    <row r="795">
      <c r="F795" s="27"/>
      <c r="G795" s="27"/>
      <c r="H795" s="27"/>
      <c r="J795" s="27"/>
      <c r="K795" s="27"/>
    </row>
    <row r="796">
      <c r="F796" s="27"/>
      <c r="G796" s="27"/>
      <c r="H796" s="27"/>
      <c r="J796" s="27"/>
      <c r="K796" s="27"/>
    </row>
    <row r="797">
      <c r="F797" s="27"/>
      <c r="G797" s="27"/>
      <c r="H797" s="27"/>
      <c r="J797" s="27"/>
      <c r="K797" s="27"/>
    </row>
    <row r="798">
      <c r="F798" s="27"/>
      <c r="G798" s="27"/>
      <c r="H798" s="27"/>
      <c r="J798" s="27"/>
      <c r="K798" s="27"/>
    </row>
    <row r="799">
      <c r="F799" s="27"/>
      <c r="G799" s="27"/>
      <c r="H799" s="27"/>
      <c r="J799" s="27"/>
      <c r="K799" s="27"/>
    </row>
    <row r="800">
      <c r="F800" s="27"/>
      <c r="G800" s="27"/>
      <c r="H800" s="27"/>
      <c r="J800" s="27"/>
      <c r="K800" s="27"/>
    </row>
    <row r="801">
      <c r="F801" s="27"/>
      <c r="G801" s="27"/>
      <c r="H801" s="27"/>
      <c r="J801" s="27"/>
      <c r="K801" s="27"/>
    </row>
    <row r="802">
      <c r="F802" s="27"/>
      <c r="G802" s="27"/>
      <c r="H802" s="27"/>
      <c r="J802" s="27"/>
      <c r="K802" s="27"/>
    </row>
    <row r="803">
      <c r="F803" s="27"/>
      <c r="G803" s="27"/>
      <c r="H803" s="27"/>
      <c r="J803" s="27"/>
      <c r="K803" s="27"/>
    </row>
    <row r="804">
      <c r="F804" s="27"/>
      <c r="G804" s="27"/>
      <c r="H804" s="27"/>
      <c r="J804" s="27"/>
      <c r="K804" s="27"/>
    </row>
    <row r="805">
      <c r="F805" s="27"/>
      <c r="G805" s="27"/>
      <c r="H805" s="27"/>
      <c r="J805" s="27"/>
      <c r="K805" s="27"/>
    </row>
    <row r="806">
      <c r="F806" s="27"/>
      <c r="G806" s="27"/>
      <c r="H806" s="27"/>
      <c r="J806" s="27"/>
      <c r="K806" s="27"/>
    </row>
    <row r="807">
      <c r="F807" s="27"/>
      <c r="G807" s="27"/>
      <c r="H807" s="27"/>
      <c r="J807" s="27"/>
      <c r="K807" s="27"/>
    </row>
    <row r="808">
      <c r="F808" s="27"/>
      <c r="G808" s="27"/>
      <c r="H808" s="27"/>
      <c r="J808" s="27"/>
      <c r="K808" s="27"/>
    </row>
    <row r="809">
      <c r="F809" s="27"/>
      <c r="G809" s="27"/>
      <c r="H809" s="27"/>
      <c r="J809" s="27"/>
      <c r="K809" s="27"/>
    </row>
    <row r="810">
      <c r="F810" s="27"/>
      <c r="G810" s="27"/>
      <c r="H810" s="27"/>
      <c r="J810" s="27"/>
      <c r="K810" s="27"/>
    </row>
    <row r="811">
      <c r="F811" s="27"/>
      <c r="G811" s="27"/>
      <c r="H811" s="27"/>
      <c r="J811" s="27"/>
      <c r="K811" s="27"/>
    </row>
    <row r="812">
      <c r="F812" s="27"/>
      <c r="G812" s="27"/>
      <c r="H812" s="27"/>
      <c r="J812" s="27"/>
      <c r="K812" s="27"/>
    </row>
    <row r="813">
      <c r="F813" s="27"/>
      <c r="G813" s="27"/>
      <c r="H813" s="27"/>
      <c r="J813" s="27"/>
      <c r="K813" s="27"/>
    </row>
    <row r="814">
      <c r="F814" s="27"/>
      <c r="G814" s="27"/>
      <c r="H814" s="27"/>
      <c r="J814" s="27"/>
      <c r="K814" s="27"/>
    </row>
    <row r="815">
      <c r="F815" s="27"/>
      <c r="G815" s="27"/>
      <c r="H815" s="27"/>
      <c r="J815" s="27"/>
      <c r="K815" s="27"/>
    </row>
    <row r="816">
      <c r="F816" s="27"/>
      <c r="G816" s="27"/>
      <c r="H816" s="27"/>
      <c r="J816" s="27"/>
      <c r="K816" s="27"/>
    </row>
    <row r="817">
      <c r="F817" s="27"/>
      <c r="G817" s="27"/>
      <c r="H817" s="27"/>
      <c r="J817" s="27"/>
      <c r="K817" s="27"/>
    </row>
    <row r="818">
      <c r="F818" s="27"/>
      <c r="G818" s="27"/>
      <c r="H818" s="27"/>
      <c r="J818" s="27"/>
      <c r="K818" s="27"/>
    </row>
    <row r="819">
      <c r="F819" s="27"/>
      <c r="G819" s="27"/>
      <c r="H819" s="27"/>
      <c r="J819" s="27"/>
      <c r="K819" s="27"/>
    </row>
    <row r="820">
      <c r="F820" s="27"/>
      <c r="G820" s="27"/>
      <c r="H820" s="27"/>
      <c r="J820" s="27"/>
      <c r="K820" s="27"/>
    </row>
    <row r="821">
      <c r="F821" s="27"/>
      <c r="G821" s="27"/>
      <c r="H821" s="27"/>
      <c r="J821" s="27"/>
      <c r="K821" s="27"/>
    </row>
    <row r="822">
      <c r="F822" s="27"/>
      <c r="G822" s="27"/>
      <c r="H822" s="27"/>
      <c r="J822" s="27"/>
      <c r="K822" s="27"/>
    </row>
    <row r="823">
      <c r="F823" s="27"/>
      <c r="G823" s="27"/>
      <c r="H823" s="27"/>
      <c r="J823" s="27"/>
      <c r="K823" s="27"/>
    </row>
    <row r="824">
      <c r="F824" s="27"/>
      <c r="G824" s="27"/>
      <c r="H824" s="27"/>
      <c r="J824" s="27"/>
      <c r="K824" s="27"/>
    </row>
    <row r="825">
      <c r="F825" s="27"/>
      <c r="G825" s="27"/>
      <c r="H825" s="27"/>
      <c r="J825" s="27"/>
      <c r="K825" s="27"/>
    </row>
    <row r="826">
      <c r="F826" s="27"/>
      <c r="G826" s="27"/>
      <c r="H826" s="27"/>
      <c r="J826" s="27"/>
      <c r="K826" s="27"/>
    </row>
    <row r="827">
      <c r="F827" s="27"/>
      <c r="G827" s="27"/>
      <c r="H827" s="27"/>
      <c r="J827" s="27"/>
      <c r="K827" s="27"/>
    </row>
    <row r="828">
      <c r="F828" s="27"/>
      <c r="G828" s="27"/>
      <c r="H828" s="27"/>
      <c r="J828" s="27"/>
      <c r="K828" s="27"/>
    </row>
    <row r="829">
      <c r="F829" s="27"/>
      <c r="G829" s="27"/>
      <c r="H829" s="27"/>
      <c r="J829" s="27"/>
      <c r="K829" s="27"/>
    </row>
    <row r="830">
      <c r="F830" s="27"/>
      <c r="G830" s="27"/>
      <c r="H830" s="27"/>
      <c r="J830" s="27"/>
      <c r="K830" s="27"/>
    </row>
    <row r="831">
      <c r="F831" s="27"/>
      <c r="G831" s="27"/>
      <c r="H831" s="27"/>
      <c r="J831" s="27"/>
      <c r="K831" s="27"/>
    </row>
    <row r="832">
      <c r="F832" s="27"/>
      <c r="G832" s="27"/>
      <c r="H832" s="27"/>
      <c r="J832" s="27"/>
      <c r="K832" s="27"/>
    </row>
    <row r="833">
      <c r="F833" s="27"/>
      <c r="G833" s="27"/>
      <c r="H833" s="27"/>
      <c r="J833" s="27"/>
      <c r="K833" s="27"/>
    </row>
    <row r="834">
      <c r="F834" s="27"/>
      <c r="G834" s="27"/>
      <c r="H834" s="27"/>
      <c r="J834" s="27"/>
      <c r="K834" s="27"/>
    </row>
    <row r="835">
      <c r="F835" s="27"/>
      <c r="G835" s="27"/>
      <c r="H835" s="27"/>
      <c r="J835" s="27"/>
      <c r="K835" s="27"/>
    </row>
    <row r="836">
      <c r="F836" s="27"/>
      <c r="G836" s="27"/>
      <c r="H836" s="27"/>
      <c r="J836" s="27"/>
      <c r="K836" s="27"/>
    </row>
    <row r="837">
      <c r="F837" s="27"/>
      <c r="G837" s="27"/>
      <c r="H837" s="27"/>
      <c r="J837" s="27"/>
      <c r="K837" s="27"/>
    </row>
    <row r="838">
      <c r="F838" s="27"/>
      <c r="G838" s="27"/>
      <c r="H838" s="27"/>
      <c r="J838" s="27"/>
      <c r="K838" s="27"/>
    </row>
    <row r="839">
      <c r="F839" s="27"/>
      <c r="G839" s="27"/>
      <c r="H839" s="27"/>
      <c r="J839" s="27"/>
      <c r="K839" s="27"/>
    </row>
    <row r="840">
      <c r="F840" s="27"/>
      <c r="G840" s="27"/>
      <c r="H840" s="27"/>
      <c r="J840" s="27"/>
      <c r="K840" s="27"/>
    </row>
    <row r="841">
      <c r="F841" s="27"/>
      <c r="G841" s="27"/>
      <c r="H841" s="27"/>
      <c r="J841" s="27"/>
      <c r="K841" s="27"/>
    </row>
    <row r="842">
      <c r="F842" s="27"/>
      <c r="G842" s="27"/>
      <c r="H842" s="27"/>
      <c r="J842" s="27"/>
      <c r="K842" s="27"/>
    </row>
    <row r="843">
      <c r="F843" s="27"/>
      <c r="G843" s="27"/>
      <c r="H843" s="27"/>
      <c r="J843" s="27"/>
      <c r="K843" s="27"/>
    </row>
    <row r="844">
      <c r="F844" s="27"/>
      <c r="G844" s="27"/>
      <c r="H844" s="27"/>
      <c r="J844" s="27"/>
      <c r="K844" s="27"/>
    </row>
    <row r="845">
      <c r="F845" s="27"/>
      <c r="G845" s="27"/>
      <c r="H845" s="27"/>
      <c r="J845" s="27"/>
      <c r="K845" s="27"/>
    </row>
    <row r="846">
      <c r="F846" s="27"/>
      <c r="G846" s="27"/>
      <c r="H846" s="27"/>
      <c r="J846" s="27"/>
      <c r="K846" s="27"/>
    </row>
    <row r="847">
      <c r="F847" s="27"/>
      <c r="G847" s="27"/>
      <c r="H847" s="27"/>
      <c r="J847" s="27"/>
      <c r="K847" s="27"/>
    </row>
    <row r="848">
      <c r="F848" s="27"/>
      <c r="G848" s="27"/>
      <c r="H848" s="27"/>
      <c r="J848" s="27"/>
      <c r="K848" s="27"/>
    </row>
    <row r="849">
      <c r="F849" s="27"/>
      <c r="G849" s="27"/>
      <c r="H849" s="27"/>
      <c r="J849" s="27"/>
      <c r="K849" s="27"/>
    </row>
    <row r="850">
      <c r="F850" s="27"/>
      <c r="G850" s="27"/>
      <c r="H850" s="27"/>
      <c r="J850" s="27"/>
      <c r="K850" s="27"/>
    </row>
    <row r="851">
      <c r="F851" s="27"/>
      <c r="G851" s="27"/>
      <c r="H851" s="27"/>
      <c r="J851" s="27"/>
      <c r="K851" s="27"/>
    </row>
    <row r="852">
      <c r="F852" s="27"/>
      <c r="G852" s="27"/>
      <c r="H852" s="27"/>
      <c r="J852" s="27"/>
      <c r="K852" s="27"/>
    </row>
    <row r="853">
      <c r="F853" s="27"/>
      <c r="G853" s="27"/>
      <c r="H853" s="27"/>
      <c r="J853" s="27"/>
      <c r="K853" s="27"/>
    </row>
    <row r="854">
      <c r="F854" s="27"/>
      <c r="G854" s="27"/>
      <c r="H854" s="27"/>
      <c r="J854" s="27"/>
      <c r="K854" s="27"/>
    </row>
    <row r="855">
      <c r="F855" s="27"/>
      <c r="G855" s="27"/>
      <c r="H855" s="27"/>
      <c r="J855" s="27"/>
      <c r="K855" s="27"/>
    </row>
    <row r="856">
      <c r="F856" s="27"/>
      <c r="G856" s="27"/>
      <c r="H856" s="27"/>
      <c r="J856" s="27"/>
      <c r="K856" s="27"/>
    </row>
    <row r="857">
      <c r="F857" s="27"/>
      <c r="G857" s="27"/>
      <c r="H857" s="27"/>
      <c r="J857" s="27"/>
      <c r="K857" s="27"/>
    </row>
    <row r="858">
      <c r="F858" s="27"/>
      <c r="G858" s="27"/>
      <c r="H858" s="27"/>
      <c r="J858" s="27"/>
      <c r="K858" s="27"/>
    </row>
    <row r="859">
      <c r="F859" s="27"/>
      <c r="G859" s="27"/>
      <c r="H859" s="27"/>
      <c r="J859" s="27"/>
      <c r="K859" s="27"/>
    </row>
    <row r="860">
      <c r="F860" s="27"/>
      <c r="G860" s="27"/>
      <c r="H860" s="27"/>
      <c r="J860" s="27"/>
      <c r="K860" s="27"/>
    </row>
    <row r="861">
      <c r="F861" s="27"/>
      <c r="G861" s="27"/>
      <c r="H861" s="27"/>
      <c r="J861" s="27"/>
      <c r="K861" s="27"/>
    </row>
    <row r="862">
      <c r="F862" s="27"/>
      <c r="G862" s="27"/>
      <c r="H862" s="27"/>
      <c r="J862" s="27"/>
      <c r="K862" s="27"/>
    </row>
    <row r="863">
      <c r="F863" s="27"/>
      <c r="G863" s="27"/>
      <c r="H863" s="27"/>
      <c r="J863" s="27"/>
      <c r="K863" s="27"/>
    </row>
    <row r="864">
      <c r="F864" s="27"/>
      <c r="G864" s="27"/>
      <c r="H864" s="27"/>
      <c r="J864" s="27"/>
      <c r="K864" s="27"/>
    </row>
    <row r="865">
      <c r="F865" s="27"/>
      <c r="G865" s="27"/>
      <c r="H865" s="27"/>
      <c r="J865" s="27"/>
      <c r="K865" s="27"/>
    </row>
    <row r="866">
      <c r="F866" s="27"/>
      <c r="G866" s="27"/>
      <c r="H866" s="27"/>
      <c r="J866" s="27"/>
      <c r="K866" s="27"/>
    </row>
    <row r="867">
      <c r="F867" s="27"/>
      <c r="G867" s="27"/>
      <c r="H867" s="27"/>
      <c r="J867" s="27"/>
      <c r="K867" s="27"/>
    </row>
    <row r="868">
      <c r="F868" s="27"/>
      <c r="G868" s="27"/>
      <c r="H868" s="27"/>
      <c r="J868" s="27"/>
      <c r="K868" s="27"/>
    </row>
    <row r="869">
      <c r="F869" s="27"/>
      <c r="G869" s="27"/>
      <c r="H869" s="27"/>
      <c r="J869" s="27"/>
      <c r="K869" s="27"/>
    </row>
    <row r="870">
      <c r="F870" s="27"/>
      <c r="G870" s="27"/>
      <c r="H870" s="27"/>
      <c r="J870" s="27"/>
      <c r="K870" s="27"/>
    </row>
    <row r="871">
      <c r="F871" s="27"/>
      <c r="G871" s="27"/>
      <c r="H871" s="27"/>
      <c r="J871" s="27"/>
      <c r="K871" s="27"/>
    </row>
    <row r="872">
      <c r="F872" s="27"/>
      <c r="G872" s="27"/>
      <c r="H872" s="27"/>
      <c r="J872" s="27"/>
      <c r="K872" s="27"/>
    </row>
    <row r="873">
      <c r="F873" s="27"/>
      <c r="G873" s="27"/>
      <c r="H873" s="27"/>
      <c r="J873" s="27"/>
      <c r="K873" s="27"/>
    </row>
    <row r="874">
      <c r="F874" s="27"/>
      <c r="G874" s="27"/>
      <c r="H874" s="27"/>
      <c r="J874" s="27"/>
      <c r="K874" s="27"/>
    </row>
    <row r="875">
      <c r="F875" s="27"/>
      <c r="G875" s="27"/>
      <c r="H875" s="27"/>
      <c r="J875" s="27"/>
      <c r="K875" s="27"/>
    </row>
    <row r="876">
      <c r="F876" s="27"/>
      <c r="G876" s="27"/>
      <c r="H876" s="27"/>
      <c r="J876" s="27"/>
      <c r="K876" s="27"/>
    </row>
    <row r="877">
      <c r="F877" s="27"/>
      <c r="G877" s="27"/>
      <c r="H877" s="27"/>
      <c r="J877" s="27"/>
      <c r="K877" s="27"/>
    </row>
    <row r="878">
      <c r="F878" s="27"/>
      <c r="G878" s="27"/>
      <c r="H878" s="27"/>
      <c r="J878" s="27"/>
      <c r="K878" s="27"/>
    </row>
    <row r="879">
      <c r="F879" s="27"/>
      <c r="G879" s="27"/>
      <c r="H879" s="27"/>
      <c r="J879" s="27"/>
      <c r="K879" s="27"/>
    </row>
    <row r="880">
      <c r="F880" s="27"/>
      <c r="G880" s="27"/>
      <c r="H880" s="27"/>
      <c r="J880" s="27"/>
      <c r="K880" s="27"/>
    </row>
    <row r="881">
      <c r="F881" s="27"/>
      <c r="G881" s="27"/>
      <c r="H881" s="27"/>
      <c r="J881" s="27"/>
      <c r="K881" s="27"/>
    </row>
    <row r="882">
      <c r="F882" s="27"/>
      <c r="G882" s="27"/>
      <c r="H882" s="27"/>
      <c r="J882" s="27"/>
      <c r="K882" s="27"/>
    </row>
    <row r="883">
      <c r="F883" s="27"/>
      <c r="G883" s="27"/>
      <c r="H883" s="27"/>
      <c r="J883" s="27"/>
      <c r="K883" s="27"/>
    </row>
    <row r="884">
      <c r="F884" s="27"/>
      <c r="G884" s="27"/>
      <c r="H884" s="27"/>
      <c r="J884" s="27"/>
      <c r="K884" s="27"/>
    </row>
    <row r="885">
      <c r="F885" s="27"/>
      <c r="G885" s="27"/>
      <c r="H885" s="27"/>
      <c r="J885" s="27"/>
      <c r="K885" s="27"/>
    </row>
    <row r="886">
      <c r="F886" s="27"/>
      <c r="G886" s="27"/>
      <c r="H886" s="27"/>
      <c r="J886" s="27"/>
      <c r="K886" s="27"/>
    </row>
    <row r="887">
      <c r="F887" s="27"/>
      <c r="G887" s="27"/>
      <c r="H887" s="27"/>
      <c r="J887" s="27"/>
      <c r="K887" s="27"/>
    </row>
    <row r="888">
      <c r="F888" s="27"/>
      <c r="G888" s="27"/>
      <c r="H888" s="27"/>
      <c r="J888" s="27"/>
      <c r="K888" s="27"/>
    </row>
    <row r="889">
      <c r="F889" s="27"/>
      <c r="G889" s="27"/>
      <c r="H889" s="27"/>
      <c r="J889" s="27"/>
      <c r="K889" s="27"/>
    </row>
    <row r="890">
      <c r="F890" s="27"/>
      <c r="G890" s="27"/>
      <c r="H890" s="27"/>
      <c r="J890" s="27"/>
      <c r="K890" s="27"/>
    </row>
    <row r="891">
      <c r="F891" s="27"/>
      <c r="G891" s="27"/>
      <c r="H891" s="27"/>
      <c r="J891" s="27"/>
      <c r="K891" s="27"/>
    </row>
    <row r="892">
      <c r="F892" s="27"/>
      <c r="G892" s="27"/>
      <c r="H892" s="27"/>
      <c r="J892" s="27"/>
      <c r="K892" s="27"/>
    </row>
    <row r="893">
      <c r="F893" s="27"/>
      <c r="G893" s="27"/>
      <c r="H893" s="27"/>
      <c r="J893" s="27"/>
      <c r="K893" s="27"/>
    </row>
    <row r="894">
      <c r="F894" s="27"/>
      <c r="G894" s="27"/>
      <c r="H894" s="27"/>
      <c r="J894" s="27"/>
      <c r="K894" s="27"/>
    </row>
    <row r="895">
      <c r="F895" s="27"/>
      <c r="G895" s="27"/>
      <c r="H895" s="27"/>
      <c r="J895" s="27"/>
      <c r="K895" s="27"/>
    </row>
    <row r="896">
      <c r="F896" s="27"/>
      <c r="G896" s="27"/>
      <c r="H896" s="27"/>
      <c r="J896" s="27"/>
      <c r="K896" s="27"/>
    </row>
    <row r="897">
      <c r="F897" s="27"/>
      <c r="G897" s="27"/>
      <c r="H897" s="27"/>
      <c r="J897" s="27"/>
      <c r="K897" s="27"/>
    </row>
    <row r="898">
      <c r="F898" s="27"/>
      <c r="G898" s="27"/>
      <c r="H898" s="27"/>
      <c r="J898" s="27"/>
      <c r="K898" s="27"/>
    </row>
    <row r="899">
      <c r="F899" s="27"/>
      <c r="G899" s="27"/>
      <c r="H899" s="27"/>
      <c r="J899" s="27"/>
      <c r="K899" s="27"/>
    </row>
    <row r="900">
      <c r="F900" s="27"/>
      <c r="G900" s="27"/>
      <c r="H900" s="27"/>
      <c r="J900" s="27"/>
      <c r="K900" s="27"/>
    </row>
    <row r="901">
      <c r="F901" s="27"/>
      <c r="G901" s="27"/>
      <c r="H901" s="27"/>
      <c r="J901" s="27"/>
      <c r="K901" s="27"/>
    </row>
    <row r="902">
      <c r="F902" s="27"/>
      <c r="G902" s="27"/>
      <c r="H902" s="27"/>
      <c r="J902" s="27"/>
      <c r="K902" s="27"/>
    </row>
    <row r="903">
      <c r="F903" s="27"/>
      <c r="G903" s="27"/>
      <c r="H903" s="27"/>
      <c r="J903" s="27"/>
      <c r="K903" s="27"/>
    </row>
    <row r="904">
      <c r="F904" s="27"/>
      <c r="G904" s="27"/>
      <c r="H904" s="27"/>
      <c r="J904" s="27"/>
      <c r="K904" s="27"/>
    </row>
    <row r="905">
      <c r="F905" s="27"/>
      <c r="G905" s="27"/>
      <c r="H905" s="27"/>
      <c r="J905" s="27"/>
      <c r="K905" s="27"/>
    </row>
    <row r="906">
      <c r="F906" s="27"/>
      <c r="G906" s="27"/>
      <c r="H906" s="27"/>
      <c r="J906" s="27"/>
      <c r="K906" s="27"/>
    </row>
    <row r="907">
      <c r="F907" s="27"/>
      <c r="G907" s="27"/>
      <c r="H907" s="27"/>
      <c r="J907" s="27"/>
      <c r="K907" s="27"/>
    </row>
    <row r="908">
      <c r="F908" s="27"/>
      <c r="G908" s="27"/>
      <c r="H908" s="27"/>
      <c r="J908" s="27"/>
      <c r="K908" s="27"/>
    </row>
    <row r="909">
      <c r="F909" s="27"/>
      <c r="G909" s="27"/>
      <c r="H909" s="27"/>
      <c r="J909" s="27"/>
      <c r="K909" s="27"/>
    </row>
    <row r="910">
      <c r="F910" s="27"/>
      <c r="G910" s="27"/>
      <c r="H910" s="27"/>
      <c r="J910" s="27"/>
      <c r="K910" s="27"/>
    </row>
    <row r="911">
      <c r="F911" s="27"/>
      <c r="G911" s="27"/>
      <c r="H911" s="27"/>
      <c r="J911" s="27"/>
      <c r="K911" s="27"/>
    </row>
    <row r="912">
      <c r="F912" s="27"/>
      <c r="G912" s="27"/>
      <c r="H912" s="27"/>
      <c r="J912" s="27"/>
      <c r="K912" s="27"/>
    </row>
    <row r="913">
      <c r="F913" s="27"/>
      <c r="G913" s="27"/>
      <c r="H913" s="27"/>
      <c r="J913" s="27"/>
      <c r="K913" s="27"/>
    </row>
    <row r="914">
      <c r="F914" s="27"/>
      <c r="G914" s="27"/>
      <c r="H914" s="27"/>
      <c r="J914" s="27"/>
      <c r="K914" s="27"/>
    </row>
    <row r="915">
      <c r="F915" s="27"/>
      <c r="G915" s="27"/>
      <c r="H915" s="27"/>
      <c r="J915" s="27"/>
      <c r="K915" s="27"/>
    </row>
    <row r="916">
      <c r="F916" s="27"/>
      <c r="G916" s="27"/>
      <c r="H916" s="27"/>
      <c r="J916" s="27"/>
      <c r="K916" s="27"/>
    </row>
    <row r="917">
      <c r="F917" s="27"/>
      <c r="G917" s="27"/>
      <c r="H917" s="27"/>
      <c r="J917" s="27"/>
      <c r="K917" s="27"/>
    </row>
    <row r="918">
      <c r="F918" s="27"/>
      <c r="G918" s="27"/>
      <c r="H918" s="27"/>
      <c r="J918" s="27"/>
      <c r="K918" s="27"/>
    </row>
    <row r="919">
      <c r="F919" s="27"/>
      <c r="G919" s="27"/>
      <c r="H919" s="27"/>
      <c r="J919" s="27"/>
      <c r="K919" s="27"/>
    </row>
    <row r="920">
      <c r="F920" s="27"/>
      <c r="G920" s="27"/>
      <c r="H920" s="27"/>
      <c r="J920" s="27"/>
      <c r="K920" s="27"/>
    </row>
    <row r="921">
      <c r="F921" s="27"/>
      <c r="G921" s="27"/>
      <c r="H921" s="27"/>
      <c r="J921" s="27"/>
      <c r="K921" s="27"/>
    </row>
    <row r="922">
      <c r="F922" s="27"/>
      <c r="G922" s="27"/>
      <c r="H922" s="27"/>
      <c r="J922" s="27"/>
      <c r="K922" s="27"/>
    </row>
    <row r="923">
      <c r="F923" s="27"/>
      <c r="G923" s="27"/>
      <c r="H923" s="27"/>
      <c r="J923" s="27"/>
      <c r="K923" s="27"/>
    </row>
    <row r="924">
      <c r="F924" s="27"/>
      <c r="G924" s="27"/>
      <c r="H924" s="27"/>
      <c r="J924" s="27"/>
      <c r="K924" s="27"/>
    </row>
    <row r="925">
      <c r="F925" s="27"/>
      <c r="G925" s="27"/>
      <c r="H925" s="27"/>
      <c r="J925" s="27"/>
      <c r="K925" s="27"/>
    </row>
    <row r="926">
      <c r="F926" s="27"/>
      <c r="G926" s="27"/>
      <c r="H926" s="27"/>
      <c r="J926" s="27"/>
      <c r="K926" s="27"/>
    </row>
    <row r="927">
      <c r="F927" s="27"/>
      <c r="G927" s="27"/>
      <c r="H927" s="27"/>
      <c r="J927" s="27"/>
      <c r="K927" s="27"/>
    </row>
    <row r="928">
      <c r="F928" s="27"/>
      <c r="G928" s="27"/>
      <c r="H928" s="27"/>
      <c r="J928" s="27"/>
      <c r="K928" s="27"/>
    </row>
    <row r="929">
      <c r="F929" s="27"/>
      <c r="G929" s="27"/>
      <c r="H929" s="27"/>
      <c r="J929" s="27"/>
      <c r="K929" s="27"/>
    </row>
    <row r="930">
      <c r="F930" s="27"/>
      <c r="G930" s="27"/>
      <c r="H930" s="27"/>
      <c r="J930" s="27"/>
      <c r="K930" s="27"/>
    </row>
    <row r="931">
      <c r="F931" s="27"/>
      <c r="G931" s="27"/>
      <c r="H931" s="27"/>
      <c r="J931" s="27"/>
      <c r="K931" s="27"/>
    </row>
    <row r="932">
      <c r="F932" s="27"/>
      <c r="G932" s="27"/>
      <c r="H932" s="27"/>
      <c r="J932" s="27"/>
      <c r="K932" s="27"/>
    </row>
    <row r="933">
      <c r="F933" s="27"/>
      <c r="G933" s="27"/>
      <c r="H933" s="27"/>
      <c r="J933" s="27"/>
      <c r="K933" s="27"/>
    </row>
    <row r="934">
      <c r="F934" s="27"/>
      <c r="G934" s="27"/>
      <c r="H934" s="27"/>
      <c r="J934" s="27"/>
      <c r="K934" s="27"/>
    </row>
    <row r="935">
      <c r="F935" s="27"/>
      <c r="G935" s="27"/>
      <c r="H935" s="27"/>
      <c r="J935" s="27"/>
      <c r="K935" s="27"/>
    </row>
    <row r="936">
      <c r="F936" s="27"/>
      <c r="G936" s="27"/>
      <c r="H936" s="27"/>
      <c r="J936" s="27"/>
      <c r="K936" s="27"/>
    </row>
    <row r="937">
      <c r="F937" s="27"/>
      <c r="G937" s="27"/>
      <c r="H937" s="27"/>
      <c r="J937" s="27"/>
      <c r="K937" s="27"/>
    </row>
    <row r="938">
      <c r="F938" s="27"/>
      <c r="G938" s="27"/>
      <c r="H938" s="27"/>
      <c r="J938" s="27"/>
      <c r="K938" s="27"/>
    </row>
    <row r="939">
      <c r="F939" s="27"/>
      <c r="G939" s="27"/>
      <c r="H939" s="27"/>
      <c r="J939" s="27"/>
      <c r="K939" s="27"/>
    </row>
    <row r="940">
      <c r="F940" s="27"/>
      <c r="G940" s="27"/>
      <c r="H940" s="27"/>
      <c r="J940" s="27"/>
      <c r="K940" s="27"/>
    </row>
    <row r="941">
      <c r="F941" s="27"/>
      <c r="G941" s="27"/>
      <c r="H941" s="27"/>
      <c r="J941" s="27"/>
      <c r="K941" s="27"/>
    </row>
    <row r="942">
      <c r="F942" s="27"/>
      <c r="G942" s="27"/>
      <c r="H942" s="27"/>
      <c r="J942" s="27"/>
      <c r="K942" s="27"/>
    </row>
    <row r="943">
      <c r="F943" s="27"/>
      <c r="G943" s="27"/>
      <c r="H943" s="27"/>
      <c r="J943" s="27"/>
      <c r="K943" s="27"/>
    </row>
    <row r="944">
      <c r="F944" s="27"/>
      <c r="G944" s="27"/>
      <c r="H944" s="27"/>
      <c r="J944" s="27"/>
      <c r="K944" s="27"/>
    </row>
    <row r="945">
      <c r="F945" s="27"/>
      <c r="G945" s="27"/>
      <c r="H945" s="27"/>
      <c r="J945" s="27"/>
      <c r="K945" s="27"/>
    </row>
    <row r="946">
      <c r="F946" s="27"/>
      <c r="G946" s="27"/>
      <c r="H946" s="27"/>
      <c r="J946" s="27"/>
      <c r="K946" s="27"/>
    </row>
    <row r="947">
      <c r="F947" s="27"/>
      <c r="G947" s="27"/>
      <c r="H947" s="27"/>
      <c r="J947" s="27"/>
      <c r="K947" s="27"/>
    </row>
    <row r="948">
      <c r="F948" s="27"/>
      <c r="G948" s="27"/>
      <c r="H948" s="27"/>
      <c r="J948" s="27"/>
      <c r="K948" s="27"/>
    </row>
    <row r="949">
      <c r="F949" s="27"/>
      <c r="G949" s="27"/>
      <c r="H949" s="27"/>
      <c r="J949" s="27"/>
      <c r="K949" s="27"/>
    </row>
    <row r="950">
      <c r="F950" s="27"/>
      <c r="G950" s="27"/>
      <c r="H950" s="27"/>
      <c r="J950" s="27"/>
      <c r="K950" s="27"/>
    </row>
    <row r="951">
      <c r="F951" s="27"/>
      <c r="G951" s="27"/>
      <c r="H951" s="27"/>
      <c r="J951" s="27"/>
      <c r="K951" s="27"/>
    </row>
    <row r="952">
      <c r="F952" s="27"/>
      <c r="G952" s="27"/>
      <c r="H952" s="27"/>
      <c r="J952" s="27"/>
      <c r="K952" s="27"/>
    </row>
    <row r="953">
      <c r="F953" s="27"/>
      <c r="G953" s="27"/>
      <c r="H953" s="27"/>
      <c r="J953" s="27"/>
      <c r="K953" s="27"/>
    </row>
    <row r="954">
      <c r="F954" s="27"/>
      <c r="G954" s="27"/>
      <c r="H954" s="27"/>
      <c r="J954" s="27"/>
      <c r="K954" s="27"/>
    </row>
    <row r="955">
      <c r="F955" s="27"/>
      <c r="G955" s="27"/>
      <c r="H955" s="27"/>
      <c r="J955" s="27"/>
      <c r="K955" s="27"/>
    </row>
    <row r="956">
      <c r="F956" s="27"/>
      <c r="G956" s="27"/>
      <c r="H956" s="27"/>
      <c r="J956" s="27"/>
      <c r="K956" s="27"/>
    </row>
    <row r="957">
      <c r="F957" s="27"/>
      <c r="G957" s="27"/>
      <c r="H957" s="27"/>
      <c r="J957" s="27"/>
      <c r="K957" s="27"/>
    </row>
    <row r="958">
      <c r="F958" s="27"/>
      <c r="G958" s="27"/>
      <c r="H958" s="27"/>
      <c r="J958" s="27"/>
      <c r="K958" s="27"/>
    </row>
    <row r="959">
      <c r="F959" s="27"/>
      <c r="G959" s="27"/>
      <c r="H959" s="27"/>
      <c r="J959" s="27"/>
      <c r="K959" s="27"/>
    </row>
    <row r="960">
      <c r="F960" s="27"/>
      <c r="G960" s="27"/>
      <c r="H960" s="27"/>
      <c r="J960" s="27"/>
      <c r="K960" s="27"/>
    </row>
    <row r="961">
      <c r="F961" s="27"/>
      <c r="G961" s="27"/>
      <c r="H961" s="27"/>
      <c r="J961" s="27"/>
      <c r="K961" s="27"/>
    </row>
    <row r="962">
      <c r="F962" s="27"/>
      <c r="G962" s="27"/>
      <c r="H962" s="27"/>
      <c r="J962" s="27"/>
      <c r="K962" s="27"/>
    </row>
    <row r="963">
      <c r="F963" s="27"/>
      <c r="G963" s="27"/>
      <c r="H963" s="27"/>
      <c r="J963" s="27"/>
      <c r="K963" s="27"/>
    </row>
    <row r="964">
      <c r="F964" s="27"/>
      <c r="G964" s="27"/>
      <c r="H964" s="27"/>
      <c r="J964" s="27"/>
      <c r="K964" s="27"/>
    </row>
    <row r="965">
      <c r="F965" s="27"/>
      <c r="G965" s="27"/>
      <c r="H965" s="27"/>
      <c r="J965" s="27"/>
      <c r="K965" s="27"/>
    </row>
    <row r="966">
      <c r="F966" s="27"/>
      <c r="G966" s="27"/>
      <c r="H966" s="27"/>
      <c r="J966" s="27"/>
      <c r="K966" s="27"/>
    </row>
    <row r="967">
      <c r="F967" s="27"/>
      <c r="G967" s="27"/>
      <c r="H967" s="27"/>
      <c r="J967" s="27"/>
      <c r="K967" s="27"/>
    </row>
    <row r="968">
      <c r="F968" s="27"/>
      <c r="G968" s="27"/>
      <c r="H968" s="27"/>
      <c r="J968" s="27"/>
      <c r="K968" s="27"/>
    </row>
    <row r="969">
      <c r="F969" s="27"/>
      <c r="G969" s="27"/>
      <c r="H969" s="27"/>
      <c r="J969" s="27"/>
      <c r="K969" s="27"/>
    </row>
    <row r="970">
      <c r="F970" s="27"/>
      <c r="G970" s="27"/>
      <c r="H970" s="27"/>
      <c r="J970" s="27"/>
      <c r="K970" s="27"/>
    </row>
    <row r="971">
      <c r="F971" s="27"/>
      <c r="G971" s="27"/>
      <c r="H971" s="27"/>
      <c r="J971" s="27"/>
      <c r="K971" s="27"/>
    </row>
    <row r="972">
      <c r="F972" s="27"/>
      <c r="G972" s="27"/>
      <c r="H972" s="27"/>
      <c r="J972" s="27"/>
      <c r="K972" s="27"/>
    </row>
    <row r="973">
      <c r="F973" s="27"/>
      <c r="G973" s="27"/>
      <c r="H973" s="27"/>
      <c r="J973" s="27"/>
      <c r="K973" s="27"/>
    </row>
    <row r="974">
      <c r="F974" s="27"/>
      <c r="G974" s="27"/>
      <c r="H974" s="27"/>
      <c r="J974" s="27"/>
      <c r="K974" s="27"/>
    </row>
    <row r="975">
      <c r="F975" s="27"/>
      <c r="G975" s="27"/>
      <c r="H975" s="27"/>
      <c r="J975" s="27"/>
      <c r="K975" s="27"/>
    </row>
    <row r="976">
      <c r="F976" s="27"/>
      <c r="G976" s="27"/>
      <c r="H976" s="27"/>
      <c r="J976" s="27"/>
      <c r="K976" s="27"/>
    </row>
    <row r="977">
      <c r="F977" s="27"/>
      <c r="G977" s="27"/>
      <c r="H977" s="27"/>
      <c r="J977" s="27"/>
      <c r="K977" s="27"/>
    </row>
    <row r="978">
      <c r="F978" s="27"/>
      <c r="G978" s="27"/>
      <c r="H978" s="27"/>
      <c r="J978" s="27"/>
      <c r="K978" s="27"/>
    </row>
    <row r="979">
      <c r="F979" s="27"/>
      <c r="G979" s="27"/>
      <c r="H979" s="27"/>
      <c r="J979" s="27"/>
      <c r="K979" s="27"/>
    </row>
    <row r="980">
      <c r="F980" s="27"/>
      <c r="G980" s="27"/>
      <c r="H980" s="27"/>
      <c r="J980" s="27"/>
      <c r="K980" s="27"/>
    </row>
    <row r="981">
      <c r="F981" s="27"/>
      <c r="G981" s="27"/>
      <c r="H981" s="27"/>
      <c r="J981" s="27"/>
      <c r="K981" s="27"/>
    </row>
    <row r="982">
      <c r="F982" s="27"/>
      <c r="G982" s="27"/>
      <c r="H982" s="27"/>
      <c r="J982" s="27"/>
      <c r="K982" s="27"/>
    </row>
    <row r="983">
      <c r="F983" s="27"/>
      <c r="G983" s="27"/>
      <c r="H983" s="27"/>
      <c r="J983" s="27"/>
      <c r="K983" s="27"/>
    </row>
    <row r="984">
      <c r="F984" s="27"/>
      <c r="G984" s="27"/>
      <c r="H984" s="27"/>
      <c r="J984" s="27"/>
      <c r="K984" s="27"/>
    </row>
    <row r="985">
      <c r="F985" s="27"/>
      <c r="G985" s="27"/>
      <c r="H985" s="27"/>
      <c r="J985" s="27"/>
      <c r="K985" s="27"/>
    </row>
    <row r="986">
      <c r="F986" s="27"/>
      <c r="G986" s="27"/>
      <c r="H986" s="27"/>
      <c r="J986" s="27"/>
      <c r="K986" s="27"/>
    </row>
    <row r="987">
      <c r="F987" s="27"/>
      <c r="G987" s="27"/>
      <c r="H987" s="27"/>
      <c r="J987" s="27"/>
      <c r="K987" s="27"/>
    </row>
    <row r="988">
      <c r="F988" s="27"/>
      <c r="G988" s="27"/>
      <c r="H988" s="27"/>
      <c r="J988" s="27"/>
      <c r="K988" s="27"/>
    </row>
    <row r="989">
      <c r="F989" s="27"/>
      <c r="G989" s="27"/>
      <c r="H989" s="27"/>
      <c r="J989" s="27"/>
      <c r="K989" s="27"/>
    </row>
    <row r="990">
      <c r="F990" s="27"/>
      <c r="G990" s="27"/>
      <c r="H990" s="27"/>
      <c r="J990" s="27"/>
      <c r="K990" s="27"/>
    </row>
    <row r="991">
      <c r="F991" s="27"/>
      <c r="G991" s="27"/>
      <c r="H991" s="27"/>
      <c r="J991" s="27"/>
      <c r="K991" s="27"/>
    </row>
    <row r="992">
      <c r="F992" s="27"/>
      <c r="G992" s="27"/>
      <c r="H992" s="27"/>
      <c r="J992" s="27"/>
      <c r="K992" s="27"/>
    </row>
    <row r="993">
      <c r="F993" s="27"/>
      <c r="G993" s="27"/>
      <c r="H993" s="27"/>
      <c r="J993" s="27"/>
      <c r="K993" s="27"/>
    </row>
    <row r="994">
      <c r="F994" s="27"/>
      <c r="G994" s="27"/>
      <c r="H994" s="27"/>
      <c r="J994" s="27"/>
      <c r="K994" s="27"/>
    </row>
    <row r="995">
      <c r="F995" s="27"/>
      <c r="G995" s="27"/>
      <c r="H995" s="27"/>
      <c r="J995" s="27"/>
      <c r="K995" s="27"/>
    </row>
    <row r="996">
      <c r="F996" s="27"/>
      <c r="G996" s="27"/>
      <c r="H996" s="27"/>
      <c r="J996" s="27"/>
      <c r="K996" s="27"/>
    </row>
    <row r="997">
      <c r="F997" s="27"/>
      <c r="G997" s="27"/>
      <c r="H997" s="27"/>
      <c r="J997" s="27"/>
      <c r="K997" s="27"/>
    </row>
    <row r="998">
      <c r="F998" s="27"/>
      <c r="G998" s="27"/>
      <c r="H998" s="27"/>
      <c r="J998" s="27"/>
      <c r="K998" s="27"/>
    </row>
    <row r="999">
      <c r="F999" s="27"/>
      <c r="G999" s="27"/>
      <c r="H999" s="27"/>
      <c r="J999" s="27"/>
      <c r="K999" s="27"/>
    </row>
    <row r="1000">
      <c r="F1000" s="27"/>
      <c r="G1000" s="27"/>
      <c r="H1000" s="27"/>
      <c r="J1000" s="27"/>
      <c r="K1000" s="27"/>
    </row>
    <row r="1001">
      <c r="F1001" s="27"/>
      <c r="G1001" s="27"/>
      <c r="H1001" s="27"/>
      <c r="J1001" s="27"/>
      <c r="K1001" s="27"/>
    </row>
    <row r="1002">
      <c r="F1002" s="27"/>
      <c r="G1002" s="27"/>
      <c r="H1002" s="27"/>
      <c r="J1002" s="27"/>
      <c r="K1002" s="27"/>
    </row>
  </sheetData>
  <conditionalFormatting sqref="D44:E44 D53:I53">
    <cfRule type="cellIs" dxfId="0" priority="1" operator="lessThan">
      <formula>0</formula>
    </cfRule>
  </conditionalFormatting>
  <conditionalFormatting sqref="D53:E53">
    <cfRule type="cellIs" dxfId="0" priority="2" operator="lessThan">
      <formula>0</formula>
    </cfRule>
  </conditionalFormatting>
  <drawing r:id="rId2"/>
  <legacy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9.38"/>
    <col customWidth="1" min="5" max="5" width="14.0"/>
    <col customWidth="1" hidden="1" min="6" max="6" width="14.63"/>
    <col customWidth="1" hidden="1" min="7" max="7" width="12.38"/>
    <col customWidth="1" hidden="1" min="8" max="8" width="13.25"/>
    <col customWidth="1" min="9" max="9" width="16.38"/>
    <col customWidth="1" min="10" max="10" width="12.75"/>
    <col customWidth="1" min="11" max="11" width="20.63"/>
    <col customWidth="1" min="12" max="12" width="23.38"/>
    <col customWidth="1" min="13" max="13" width="11.25"/>
    <col customWidth="1" min="14" max="14" width="9.25"/>
    <col customWidth="1" min="15" max="16" width="9.5"/>
    <col customWidth="1" min="19" max="19" width="9.88"/>
    <col customWidth="1" min="20" max="20" width="8.13"/>
  </cols>
  <sheetData>
    <row r="1">
      <c r="A1" s="18" t="s">
        <v>346</v>
      </c>
      <c r="B1" s="416" t="s">
        <v>296</v>
      </c>
      <c r="D1" s="107" t="s">
        <v>387</v>
      </c>
      <c r="E1" s="107" t="s">
        <v>388</v>
      </c>
      <c r="F1" s="107"/>
      <c r="G1" s="107"/>
      <c r="H1" s="107"/>
      <c r="J1" s="107"/>
      <c r="K1" s="107"/>
      <c r="L1" s="417" t="s">
        <v>325</v>
      </c>
      <c r="M1" s="107"/>
    </row>
    <row r="2">
      <c r="B2" s="18" t="s">
        <v>240</v>
      </c>
      <c r="C2" s="249">
        <v>13.0</v>
      </c>
      <c r="D2" s="27"/>
      <c r="E2" s="107">
        <v>13.0</v>
      </c>
      <c r="F2" s="27"/>
      <c r="G2" s="26"/>
      <c r="H2" s="26"/>
      <c r="J2" s="26"/>
      <c r="K2" s="26"/>
      <c r="L2" s="422" t="s">
        <v>119</v>
      </c>
      <c r="M2" s="302" t="s">
        <v>120</v>
      </c>
    </row>
    <row r="3">
      <c r="B3" s="18" t="s">
        <v>241</v>
      </c>
      <c r="C3" s="249">
        <v>70.7</v>
      </c>
      <c r="D3" s="107">
        <v>19.98</v>
      </c>
      <c r="E3" s="107">
        <v>73.49</v>
      </c>
      <c r="F3" s="107"/>
      <c r="G3" s="107"/>
      <c r="H3" s="107"/>
      <c r="J3" s="107"/>
      <c r="K3" s="107"/>
      <c r="L3" s="423" t="s">
        <v>326</v>
      </c>
      <c r="M3" s="7" t="s">
        <v>327</v>
      </c>
    </row>
    <row r="4">
      <c r="B4" s="18" t="s">
        <v>242</v>
      </c>
      <c r="C4" s="249">
        <v>13.0</v>
      </c>
      <c r="D4" s="107"/>
      <c r="E4" s="107">
        <v>13.0</v>
      </c>
      <c r="F4" s="26"/>
      <c r="G4" s="107"/>
      <c r="H4" s="107"/>
      <c r="J4" s="107"/>
      <c r="K4" s="107"/>
      <c r="L4" s="423" t="s">
        <v>328</v>
      </c>
      <c r="M4" s="7" t="s">
        <v>329</v>
      </c>
      <c r="N4" s="107"/>
    </row>
    <row r="5">
      <c r="B5" s="18" t="s">
        <v>285</v>
      </c>
      <c r="C5" s="249">
        <v>42.0</v>
      </c>
      <c r="D5" s="107">
        <v>15.17</v>
      </c>
      <c r="E5" s="107">
        <v>55.8</v>
      </c>
      <c r="F5" s="107"/>
      <c r="G5" s="107"/>
      <c r="H5" s="107"/>
      <c r="J5" s="107"/>
      <c r="K5" s="107"/>
      <c r="L5" s="423"/>
      <c r="M5" s="7" t="s">
        <v>192</v>
      </c>
      <c r="N5" s="107"/>
    </row>
    <row r="6">
      <c r="B6" s="18" t="s">
        <v>324</v>
      </c>
      <c r="C6" s="249">
        <v>6.0</v>
      </c>
      <c r="D6" s="107"/>
      <c r="E6" s="107">
        <v>6.0</v>
      </c>
      <c r="F6" s="107"/>
      <c r="N6" s="107"/>
    </row>
    <row r="7">
      <c r="C7" s="276">
        <f>SUM(C2:C6)</f>
        <v>144.7</v>
      </c>
      <c r="D7" s="27">
        <f>C7-13</f>
        <v>131.7</v>
      </c>
      <c r="E7" s="27">
        <f>SUM(E2:E6)</f>
        <v>161.29</v>
      </c>
      <c r="F7" s="107"/>
      <c r="N7" s="107"/>
    </row>
    <row r="8">
      <c r="N8" s="107"/>
    </row>
    <row r="9">
      <c r="N9" s="27"/>
    </row>
    <row r="10">
      <c r="J10" s="18" t="s">
        <v>366</v>
      </c>
      <c r="N10" s="107"/>
    </row>
    <row r="11">
      <c r="B11" s="55" t="s">
        <v>122</v>
      </c>
      <c r="C11" s="56"/>
      <c r="D11" s="140" t="s">
        <v>123</v>
      </c>
      <c r="E11" s="140" t="s">
        <v>124</v>
      </c>
      <c r="F11" s="140" t="s">
        <v>125</v>
      </c>
      <c r="G11" s="424" t="s">
        <v>126</v>
      </c>
      <c r="H11" s="140" t="s">
        <v>127</v>
      </c>
      <c r="I11" s="140" t="s">
        <v>128</v>
      </c>
      <c r="J11" s="140" t="s">
        <v>129</v>
      </c>
      <c r="N11" s="107"/>
      <c r="P11" s="18"/>
    </row>
    <row r="12">
      <c r="B12" s="59" t="s">
        <v>129</v>
      </c>
      <c r="C12" s="141"/>
      <c r="D12" s="113">
        <v>8402.26</v>
      </c>
      <c r="E12" s="113">
        <v>8473.39</v>
      </c>
      <c r="F12" s="113">
        <v>8402.26</v>
      </c>
      <c r="G12" s="425">
        <v>8402.26</v>
      </c>
      <c r="H12" s="113">
        <v>8661.72</v>
      </c>
      <c r="I12" s="113">
        <v>8661.71</v>
      </c>
      <c r="J12" s="113">
        <v>8661.71</v>
      </c>
      <c r="N12" s="107"/>
      <c r="P12" s="18"/>
    </row>
    <row r="13">
      <c r="B13" s="59" t="s">
        <v>136</v>
      </c>
      <c r="C13" s="141"/>
      <c r="D13" s="114">
        <f>2160+3349.61</f>
        <v>5509.61</v>
      </c>
      <c r="E13" s="114">
        <f>2160+3570.51</f>
        <v>5730.51</v>
      </c>
      <c r="F13" s="114">
        <f>2160+3544.87</f>
        <v>5704.87</v>
      </c>
      <c r="G13" s="426">
        <f>2230+3676.95</f>
        <v>5906.95</v>
      </c>
      <c r="H13" s="114">
        <f>2230+3690.95</f>
        <v>5920.95</v>
      </c>
      <c r="I13" s="426">
        <f>2230+3679.95</f>
        <v>5909.95</v>
      </c>
      <c r="J13" s="114">
        <f>2230+3663.96</f>
        <v>5893.96</v>
      </c>
      <c r="K13" s="407"/>
      <c r="L13" s="303"/>
      <c r="M13" s="107"/>
      <c r="N13" s="27"/>
      <c r="P13" s="18"/>
    </row>
    <row r="14">
      <c r="B14" s="59" t="s">
        <v>137</v>
      </c>
      <c r="C14" s="141"/>
      <c r="D14" s="115"/>
      <c r="E14" s="114"/>
      <c r="F14" s="115"/>
      <c r="G14" s="426"/>
      <c r="H14" s="115"/>
      <c r="I14" s="114"/>
      <c r="J14" s="115"/>
      <c r="K14" s="363"/>
      <c r="L14" s="363"/>
      <c r="M14" s="107"/>
      <c r="N14" s="107"/>
      <c r="P14" s="18"/>
    </row>
    <row r="15">
      <c r="B15" s="59" t="s">
        <v>138</v>
      </c>
      <c r="C15" s="141"/>
      <c r="D15" s="116"/>
      <c r="E15" s="117"/>
      <c r="F15" s="114">
        <f>16458.02+8673.34</f>
        <v>25131.36</v>
      </c>
      <c r="G15" s="426">
        <v>845.32</v>
      </c>
      <c r="H15" s="115"/>
      <c r="I15" s="118"/>
      <c r="J15" s="117">
        <v>20239.8</v>
      </c>
      <c r="K15" s="32"/>
      <c r="L15" s="32"/>
      <c r="M15" s="107"/>
      <c r="N15" s="107"/>
      <c r="P15" s="18"/>
    </row>
    <row r="16">
      <c r="B16" s="142" t="s">
        <v>139</v>
      </c>
      <c r="C16" s="143"/>
      <c r="D16" s="144">
        <f t="shared" ref="D16:E16" si="1">SUM(D12:D15)</f>
        <v>13911.87</v>
      </c>
      <c r="E16" s="144">
        <f t="shared" si="1"/>
        <v>14203.9</v>
      </c>
      <c r="F16" s="144">
        <f>SUM(F12:F14)</f>
        <v>14107.13</v>
      </c>
      <c r="G16" s="428">
        <f t="shared" ref="G16:I16" si="2">SUM(G12:G15)</f>
        <v>15154.53</v>
      </c>
      <c r="H16" s="144">
        <f t="shared" si="2"/>
        <v>14582.67</v>
      </c>
      <c r="I16" s="144">
        <f t="shared" si="2"/>
        <v>14571.66</v>
      </c>
      <c r="J16" s="144">
        <f>SUM(J12:J14)</f>
        <v>14555.67</v>
      </c>
      <c r="K16" s="257"/>
      <c r="L16" s="257"/>
      <c r="O16" s="27"/>
      <c r="P16" s="18"/>
      <c r="R16" s="107"/>
    </row>
    <row r="17">
      <c r="C17" s="27"/>
      <c r="K17" s="32"/>
      <c r="L17" s="32"/>
      <c r="M17" s="107"/>
      <c r="P17" s="18"/>
      <c r="R17" s="27"/>
    </row>
    <row r="18">
      <c r="B18" s="70" t="s">
        <v>140</v>
      </c>
      <c r="C18" s="71"/>
      <c r="D18" s="58" t="s">
        <v>123</v>
      </c>
      <c r="E18" s="58" t="s">
        <v>124</v>
      </c>
      <c r="F18" s="58" t="s">
        <v>125</v>
      </c>
      <c r="G18" s="430" t="s">
        <v>126</v>
      </c>
      <c r="H18" s="58" t="s">
        <v>127</v>
      </c>
      <c r="I18" s="58" t="s">
        <v>128</v>
      </c>
      <c r="J18" s="58" t="s">
        <v>129</v>
      </c>
      <c r="K18" s="418"/>
      <c r="L18" s="418" t="s">
        <v>331</v>
      </c>
      <c r="M18" s="192"/>
      <c r="P18" s="18"/>
    </row>
    <row r="19">
      <c r="B19" s="145" t="s">
        <v>141</v>
      </c>
      <c r="C19" s="146"/>
      <c r="D19" s="378">
        <v>410.0</v>
      </c>
      <c r="E19" s="378">
        <v>450.0</v>
      </c>
      <c r="F19" s="378">
        <v>450.0</v>
      </c>
      <c r="G19" s="446">
        <v>450.0</v>
      </c>
      <c r="H19" s="378">
        <v>450.0</v>
      </c>
      <c r="I19" s="378">
        <v>450.0</v>
      </c>
      <c r="J19" s="147">
        <v>450.0</v>
      </c>
      <c r="K19" s="192"/>
      <c r="L19" s="447"/>
      <c r="M19" s="448" t="s">
        <v>27</v>
      </c>
      <c r="N19" s="448" t="s">
        <v>274</v>
      </c>
      <c r="O19" s="448" t="s">
        <v>351</v>
      </c>
      <c r="P19" s="448" t="s">
        <v>333</v>
      </c>
      <c r="Q19" s="449" t="s">
        <v>390</v>
      </c>
      <c r="R19" s="448" t="s">
        <v>48</v>
      </c>
      <c r="S19" s="448" t="s">
        <v>383</v>
      </c>
      <c r="T19" s="448" t="s">
        <v>386</v>
      </c>
    </row>
    <row r="20">
      <c r="B20" s="145" t="s">
        <v>142</v>
      </c>
      <c r="C20" s="146"/>
      <c r="D20" s="378">
        <v>220.0</v>
      </c>
      <c r="E20" s="378">
        <v>220.0</v>
      </c>
      <c r="F20" s="378">
        <v>220.0</v>
      </c>
      <c r="G20" s="446">
        <v>220.0</v>
      </c>
      <c r="H20" s="446">
        <v>220.0</v>
      </c>
      <c r="I20" s="378">
        <v>220.0</v>
      </c>
      <c r="J20" s="147">
        <v>220.0</v>
      </c>
      <c r="K20" s="409"/>
      <c r="L20" s="450" t="s">
        <v>141</v>
      </c>
      <c r="M20" s="451"/>
      <c r="N20" s="452"/>
      <c r="O20" s="453">
        <v>450.0</v>
      </c>
      <c r="P20" s="452"/>
      <c r="Q20" s="452"/>
      <c r="R20" s="452"/>
      <c r="S20" s="452"/>
      <c r="T20" s="452"/>
    </row>
    <row r="21">
      <c r="B21" s="145" t="s">
        <v>143</v>
      </c>
      <c r="C21" s="146"/>
      <c r="D21" s="396">
        <v>139.9</v>
      </c>
      <c r="E21" s="396">
        <v>147.9</v>
      </c>
      <c r="F21" s="396">
        <v>147.9</v>
      </c>
      <c r="G21" s="454">
        <v>147.9</v>
      </c>
      <c r="H21" s="454">
        <v>147.9</v>
      </c>
      <c r="I21" s="378">
        <v>147.9</v>
      </c>
      <c r="J21" s="149">
        <v>147.9</v>
      </c>
      <c r="K21" s="409"/>
      <c r="L21" s="450" t="s">
        <v>142</v>
      </c>
      <c r="M21" s="451"/>
      <c r="N21" s="452"/>
      <c r="O21" s="453">
        <v>220.0</v>
      </c>
      <c r="P21" s="452"/>
      <c r="Q21" s="452"/>
      <c r="R21" s="452"/>
      <c r="S21" s="452"/>
      <c r="T21" s="452"/>
    </row>
    <row r="22">
      <c r="B22" s="145" t="s">
        <v>144</v>
      </c>
      <c r="C22" s="146"/>
      <c r="D22" s="378">
        <v>100.0</v>
      </c>
      <c r="E22" s="378">
        <v>100.0</v>
      </c>
      <c r="F22" s="378">
        <f t="shared" ref="F22:H22" si="3">E22</f>
        <v>100</v>
      </c>
      <c r="G22" s="446">
        <f t="shared" si="3"/>
        <v>100</v>
      </c>
      <c r="H22" s="446">
        <f t="shared" si="3"/>
        <v>100</v>
      </c>
      <c r="I22" s="378">
        <v>100.0</v>
      </c>
      <c r="J22" s="147">
        <f>I22</f>
        <v>100</v>
      </c>
      <c r="K22" s="409"/>
      <c r="L22" s="450" t="s">
        <v>143</v>
      </c>
      <c r="M22" s="451"/>
      <c r="N22" s="452"/>
      <c r="O22" s="453">
        <v>147.9</v>
      </c>
      <c r="P22" s="452"/>
      <c r="Q22" s="452"/>
      <c r="R22" s="452"/>
      <c r="S22" s="452"/>
      <c r="T22" s="452"/>
    </row>
    <row r="23">
      <c r="B23" s="145" t="s">
        <v>145</v>
      </c>
      <c r="C23" s="146"/>
      <c r="D23" s="378">
        <v>3004.8</v>
      </c>
      <c r="E23" s="378">
        <v>3004.8</v>
      </c>
      <c r="F23" s="378">
        <v>3004.8</v>
      </c>
      <c r="G23" s="446">
        <v>3004.8</v>
      </c>
      <c r="H23" s="446">
        <v>3004.8</v>
      </c>
      <c r="I23" s="378">
        <v>3004.8</v>
      </c>
      <c r="J23" s="147">
        <v>3004.8</v>
      </c>
      <c r="K23" s="409"/>
      <c r="L23" s="450" t="s">
        <v>144</v>
      </c>
      <c r="M23" s="451"/>
      <c r="N23" s="452"/>
      <c r="O23" s="453">
        <v>100.0</v>
      </c>
      <c r="P23" s="452"/>
      <c r="Q23" s="452"/>
      <c r="R23" s="452"/>
      <c r="S23" s="452"/>
      <c r="T23" s="452"/>
    </row>
    <row r="24">
      <c r="B24" s="145" t="s">
        <v>146</v>
      </c>
      <c r="C24" s="150" t="s">
        <v>136</v>
      </c>
      <c r="D24" s="378">
        <v>50.0</v>
      </c>
      <c r="E24" s="378">
        <v>0.0</v>
      </c>
      <c r="F24" s="378">
        <v>0.0</v>
      </c>
      <c r="G24" s="446"/>
      <c r="H24" s="446"/>
      <c r="I24" s="378"/>
      <c r="J24" s="147"/>
      <c r="K24" s="409"/>
      <c r="L24" s="450" t="s">
        <v>145</v>
      </c>
      <c r="M24" s="467">
        <v>3004.8</v>
      </c>
      <c r="N24" s="456"/>
      <c r="O24" s="451"/>
      <c r="P24" s="452"/>
      <c r="Q24" s="452"/>
      <c r="R24" s="452"/>
      <c r="S24" s="452"/>
      <c r="T24" s="452"/>
    </row>
    <row r="25">
      <c r="B25" s="145" t="s">
        <v>180</v>
      </c>
      <c r="C25" s="146"/>
      <c r="D25" s="378">
        <v>400.0</v>
      </c>
      <c r="E25" s="378">
        <v>400.0</v>
      </c>
      <c r="F25" s="378">
        <v>400.0</v>
      </c>
      <c r="G25" s="446">
        <v>400.0</v>
      </c>
      <c r="H25" s="446">
        <v>400.0</v>
      </c>
      <c r="I25" s="378">
        <v>400.0</v>
      </c>
      <c r="J25" s="147">
        <v>400.0</v>
      </c>
      <c r="K25" s="409"/>
      <c r="L25" s="450" t="s">
        <v>146</v>
      </c>
      <c r="M25" s="455"/>
      <c r="N25" s="457"/>
      <c r="O25" s="452"/>
      <c r="P25" s="452"/>
      <c r="Q25" s="452"/>
      <c r="R25" s="452"/>
      <c r="S25" s="452"/>
      <c r="T25" s="452"/>
    </row>
    <row r="26">
      <c r="B26" s="145" t="s">
        <v>148</v>
      </c>
      <c r="C26" s="146"/>
      <c r="D26" s="378">
        <v>600.0</v>
      </c>
      <c r="E26" s="378">
        <v>600.0</v>
      </c>
      <c r="F26" s="378">
        <v>600.0</v>
      </c>
      <c r="G26" s="446">
        <v>600.0</v>
      </c>
      <c r="H26" s="446">
        <v>600.0</v>
      </c>
      <c r="I26" s="378">
        <v>600.0</v>
      </c>
      <c r="J26" s="147">
        <v>600.0</v>
      </c>
      <c r="K26" s="409"/>
      <c r="L26" s="450" t="s">
        <v>180</v>
      </c>
      <c r="M26" s="451"/>
      <c r="N26" s="456"/>
      <c r="O26" s="452"/>
      <c r="P26" s="452"/>
      <c r="Q26" s="452"/>
      <c r="R26" s="452"/>
      <c r="S26" s="452"/>
      <c r="T26" s="458">
        <v>400.0</v>
      </c>
    </row>
    <row r="27">
      <c r="B27" s="145" t="s">
        <v>149</v>
      </c>
      <c r="C27" s="146"/>
      <c r="D27" s="378">
        <v>500.0</v>
      </c>
      <c r="E27" s="378">
        <v>500.0</v>
      </c>
      <c r="F27" s="378">
        <f t="shared" ref="F27:H27" si="4">E27</f>
        <v>500</v>
      </c>
      <c r="G27" s="446">
        <f t="shared" si="4"/>
        <v>500</v>
      </c>
      <c r="H27" s="446">
        <f t="shared" si="4"/>
        <v>500</v>
      </c>
      <c r="I27" s="378">
        <v>500.0</v>
      </c>
      <c r="J27" s="147">
        <f>I27</f>
        <v>500</v>
      </c>
      <c r="K27" s="409"/>
      <c r="L27" s="450" t="s">
        <v>148</v>
      </c>
      <c r="M27" s="451"/>
      <c r="N27" s="456"/>
      <c r="O27" s="453">
        <v>600.0</v>
      </c>
      <c r="P27" s="452"/>
      <c r="Q27" s="452"/>
      <c r="R27" s="452"/>
      <c r="S27" s="452"/>
      <c r="T27" s="452"/>
    </row>
    <row r="28">
      <c r="B28" s="145" t="s">
        <v>181</v>
      </c>
      <c r="C28" s="146"/>
      <c r="D28" s="378">
        <v>150.0</v>
      </c>
      <c r="E28" s="378">
        <v>150.0</v>
      </c>
      <c r="F28" s="378">
        <v>150.0</v>
      </c>
      <c r="G28" s="446">
        <v>150.0</v>
      </c>
      <c r="H28" s="446">
        <v>150.0</v>
      </c>
      <c r="I28" s="378">
        <v>150.0</v>
      </c>
      <c r="J28" s="147">
        <v>150.0</v>
      </c>
      <c r="K28" s="409"/>
      <c r="L28" s="450" t="s">
        <v>149</v>
      </c>
      <c r="M28" s="451"/>
      <c r="N28" s="456"/>
      <c r="O28" s="453">
        <v>500.0</v>
      </c>
      <c r="P28" s="452"/>
      <c r="Q28" s="452"/>
      <c r="R28" s="452"/>
      <c r="S28" s="452"/>
      <c r="T28" s="452"/>
    </row>
    <row r="29">
      <c r="B29" s="145" t="s">
        <v>150</v>
      </c>
      <c r="C29" s="146"/>
      <c r="D29" s="378">
        <v>400.0</v>
      </c>
      <c r="E29" s="378">
        <v>400.0</v>
      </c>
      <c r="F29" s="378">
        <f t="shared" ref="F29:H29" si="5">E29</f>
        <v>400</v>
      </c>
      <c r="G29" s="446">
        <f t="shared" si="5"/>
        <v>400</v>
      </c>
      <c r="H29" s="446">
        <f t="shared" si="5"/>
        <v>400</v>
      </c>
      <c r="I29" s="378">
        <v>400.0</v>
      </c>
      <c r="J29" s="147">
        <v>900.0</v>
      </c>
      <c r="K29" s="409"/>
      <c r="L29" s="450" t="s">
        <v>181</v>
      </c>
      <c r="M29" s="451"/>
      <c r="N29" s="456"/>
      <c r="O29" s="453">
        <v>150.0</v>
      </c>
      <c r="P29" s="452"/>
      <c r="Q29" s="452"/>
      <c r="R29" s="452"/>
      <c r="S29" s="452"/>
      <c r="T29" s="452"/>
    </row>
    <row r="30">
      <c r="B30" s="145" t="s">
        <v>182</v>
      </c>
      <c r="C30" s="146"/>
      <c r="D30" s="378">
        <v>160.0</v>
      </c>
      <c r="E30" s="378">
        <v>160.0</v>
      </c>
      <c r="F30" s="378">
        <v>160.0</v>
      </c>
      <c r="G30" s="446">
        <v>160.0</v>
      </c>
      <c r="H30" s="446">
        <v>160.0</v>
      </c>
      <c r="I30" s="378">
        <v>160.0</v>
      </c>
      <c r="J30" s="147">
        <v>0.0</v>
      </c>
      <c r="K30" s="409"/>
      <c r="L30" s="450" t="s">
        <v>150</v>
      </c>
      <c r="M30" s="451"/>
      <c r="N30" s="453">
        <v>400.0</v>
      </c>
      <c r="O30" s="452"/>
      <c r="P30" s="452"/>
      <c r="Q30" s="452"/>
      <c r="R30" s="452"/>
      <c r="S30" s="452"/>
      <c r="T30" s="452"/>
    </row>
    <row r="31">
      <c r="B31" s="145" t="s">
        <v>183</v>
      </c>
      <c r="C31" s="146"/>
      <c r="D31" s="378">
        <v>400.0</v>
      </c>
      <c r="E31" s="378">
        <v>400.0</v>
      </c>
      <c r="F31" s="378">
        <v>400.0</v>
      </c>
      <c r="G31" s="446">
        <v>400.0</v>
      </c>
      <c r="H31" s="446">
        <v>400.0</v>
      </c>
      <c r="I31" s="378">
        <v>400.0</v>
      </c>
      <c r="J31" s="147">
        <v>400.0</v>
      </c>
      <c r="K31" s="409"/>
      <c r="L31" s="450" t="s">
        <v>182</v>
      </c>
      <c r="M31" s="451"/>
      <c r="N31" s="456"/>
      <c r="O31" s="452"/>
      <c r="P31" s="452"/>
      <c r="Q31" s="458"/>
      <c r="R31" s="452"/>
      <c r="S31" s="452"/>
      <c r="T31" s="452"/>
    </row>
    <row r="32">
      <c r="B32" s="145" t="s">
        <v>152</v>
      </c>
      <c r="C32" s="146"/>
      <c r="D32" s="390"/>
      <c r="E32" s="378"/>
      <c r="F32" s="378"/>
      <c r="G32" s="459"/>
      <c r="H32" s="446"/>
      <c r="I32" s="378"/>
      <c r="J32" s="147"/>
      <c r="K32" s="409"/>
      <c r="L32" s="450" t="s">
        <v>183</v>
      </c>
      <c r="M32" s="451"/>
      <c r="N32" s="460"/>
      <c r="O32" s="452"/>
      <c r="P32" s="452"/>
      <c r="Q32" s="458"/>
      <c r="R32" s="456">
        <v>900.0</v>
      </c>
      <c r="S32" s="452"/>
      <c r="T32" s="452"/>
    </row>
    <row r="33">
      <c r="B33" s="145" t="s">
        <v>154</v>
      </c>
      <c r="C33" s="146"/>
      <c r="D33" s="390">
        <v>136.92</v>
      </c>
      <c r="E33" s="390">
        <v>136.92</v>
      </c>
      <c r="F33" s="390">
        <v>136.92</v>
      </c>
      <c r="G33" s="446">
        <v>144.7</v>
      </c>
      <c r="H33" s="446">
        <v>144.7</v>
      </c>
      <c r="I33" s="378">
        <v>161.29</v>
      </c>
      <c r="J33" s="147">
        <v>161.29</v>
      </c>
      <c r="K33" s="409"/>
      <c r="L33" s="450" t="s">
        <v>152</v>
      </c>
      <c r="M33" s="455"/>
      <c r="N33" s="456"/>
      <c r="O33" s="452"/>
      <c r="P33" s="452"/>
      <c r="Q33" s="452"/>
      <c r="R33" s="452"/>
      <c r="S33" s="452"/>
      <c r="T33" s="452"/>
    </row>
    <row r="34">
      <c r="B34" s="145" t="s">
        <v>155</v>
      </c>
      <c r="C34" s="146"/>
      <c r="D34" s="390"/>
      <c r="E34" s="390"/>
      <c r="F34" s="378" t="str">
        <f t="shared" ref="F34:H34" si="6">E34</f>
        <v/>
      </c>
      <c r="G34" s="446" t="str">
        <f t="shared" si="6"/>
        <v/>
      </c>
      <c r="H34" s="446" t="str">
        <f t="shared" si="6"/>
        <v/>
      </c>
      <c r="I34" s="378" t="str">
        <f>H32</f>
        <v/>
      </c>
      <c r="J34" s="147" t="str">
        <f>I34</f>
        <v/>
      </c>
      <c r="K34" s="409"/>
      <c r="L34" s="450" t="s">
        <v>154</v>
      </c>
      <c r="M34" s="468">
        <f>I33-N34</f>
        <v>148.29</v>
      </c>
      <c r="N34" s="468">
        <v>13.0</v>
      </c>
      <c r="O34" s="452"/>
      <c r="P34" s="452"/>
      <c r="Q34" s="452"/>
      <c r="R34" s="452"/>
      <c r="S34" s="452"/>
      <c r="T34" s="452"/>
    </row>
    <row r="35">
      <c r="B35" s="145" t="s">
        <v>156</v>
      </c>
      <c r="C35" s="146"/>
      <c r="D35" s="378">
        <v>100.0</v>
      </c>
      <c r="E35" s="378">
        <v>100.0</v>
      </c>
      <c r="F35" s="390"/>
      <c r="G35" s="446">
        <v>100.0</v>
      </c>
      <c r="H35" s="446">
        <v>600.0</v>
      </c>
      <c r="I35" s="378">
        <v>500.0</v>
      </c>
      <c r="J35" s="147">
        <v>200.0</v>
      </c>
      <c r="K35" s="409"/>
      <c r="L35" s="450" t="s">
        <v>155</v>
      </c>
      <c r="M35" s="455"/>
      <c r="N35" s="456"/>
      <c r="O35" s="452"/>
      <c r="P35" s="452"/>
      <c r="Q35" s="452"/>
      <c r="R35" s="452"/>
      <c r="S35" s="452"/>
      <c r="T35" s="452"/>
    </row>
    <row r="36">
      <c r="B36" s="145" t="s">
        <v>157</v>
      </c>
      <c r="C36" s="146"/>
      <c r="D36" s="378">
        <v>50.0</v>
      </c>
      <c r="E36" s="378">
        <v>50.0</v>
      </c>
      <c r="F36" s="378">
        <f t="shared" ref="F36:H36" si="7">E36</f>
        <v>50</v>
      </c>
      <c r="G36" s="446">
        <f t="shared" si="7"/>
        <v>50</v>
      </c>
      <c r="H36" s="446">
        <f t="shared" si="7"/>
        <v>50</v>
      </c>
      <c r="I36" s="378">
        <v>50.0</v>
      </c>
      <c r="J36" s="147">
        <f t="shared" ref="J36:J37" si="9">I36</f>
        <v>50</v>
      </c>
      <c r="K36" s="409"/>
      <c r="L36" s="450" t="s">
        <v>156</v>
      </c>
      <c r="M36" s="458"/>
      <c r="N36" s="458"/>
      <c r="O36" s="452"/>
      <c r="P36" s="452"/>
      <c r="Q36" s="458">
        <v>200.0</v>
      </c>
      <c r="R36" s="452"/>
      <c r="S36" s="452"/>
      <c r="T36" s="452"/>
      <c r="U36" s="18"/>
    </row>
    <row r="37">
      <c r="B37" s="145" t="s">
        <v>158</v>
      </c>
      <c r="C37" s="146"/>
      <c r="D37" s="390"/>
      <c r="E37" s="390"/>
      <c r="F37" s="378" t="str">
        <f t="shared" ref="F37:H37" si="8">E37</f>
        <v/>
      </c>
      <c r="G37" s="446" t="str">
        <f t="shared" si="8"/>
        <v/>
      </c>
      <c r="H37" s="446" t="str">
        <f t="shared" si="8"/>
        <v/>
      </c>
      <c r="I37" s="378"/>
      <c r="J37" s="147" t="str">
        <f t="shared" si="9"/>
        <v/>
      </c>
      <c r="K37" s="409"/>
      <c r="L37" s="450" t="s">
        <v>157</v>
      </c>
      <c r="M37" s="451"/>
      <c r="N37" s="456"/>
      <c r="O37" s="452"/>
      <c r="P37" s="452"/>
      <c r="Q37" s="452"/>
      <c r="R37" s="452"/>
      <c r="S37" s="458">
        <v>50.0</v>
      </c>
      <c r="T37" s="456"/>
      <c r="U37" s="18"/>
    </row>
    <row r="38">
      <c r="B38" s="145" t="s">
        <v>159</v>
      </c>
      <c r="C38" s="146"/>
      <c r="D38" s="378">
        <v>800.0</v>
      </c>
      <c r="E38" s="378">
        <v>800.0</v>
      </c>
      <c r="F38" s="378">
        <v>800.0</v>
      </c>
      <c r="G38" s="446">
        <v>800.0</v>
      </c>
      <c r="H38" s="446">
        <v>800.0</v>
      </c>
      <c r="I38" s="378">
        <v>800.0</v>
      </c>
      <c r="J38" s="147">
        <v>800.0</v>
      </c>
      <c r="K38" s="409"/>
      <c r="L38" s="450" t="s">
        <v>158</v>
      </c>
      <c r="M38" s="455"/>
      <c r="N38" s="456"/>
      <c r="O38" s="452"/>
      <c r="P38" s="452"/>
      <c r="Q38" s="452"/>
      <c r="R38" s="452"/>
      <c r="S38" s="452"/>
      <c r="T38" s="452"/>
    </row>
    <row r="39">
      <c r="B39" s="145" t="s">
        <v>160</v>
      </c>
      <c r="C39" s="146"/>
      <c r="D39" s="378">
        <v>3000.0</v>
      </c>
      <c r="E39" s="378">
        <v>3000.0</v>
      </c>
      <c r="F39" s="378">
        <f t="shared" ref="F39:H39" si="10">E39</f>
        <v>3000</v>
      </c>
      <c r="G39" s="446">
        <f t="shared" si="10"/>
        <v>3000</v>
      </c>
      <c r="H39" s="446">
        <f t="shared" si="10"/>
        <v>3000</v>
      </c>
      <c r="I39" s="378">
        <v>3000.0</v>
      </c>
      <c r="J39" s="147">
        <f>I39</f>
        <v>3000</v>
      </c>
      <c r="K39" s="409"/>
      <c r="L39" s="450" t="s">
        <v>159</v>
      </c>
      <c r="M39" s="467">
        <v>400.0</v>
      </c>
      <c r="N39" s="467">
        <v>400.0</v>
      </c>
      <c r="O39" s="452"/>
      <c r="P39" s="452"/>
      <c r="Q39" s="452"/>
      <c r="R39" s="452"/>
      <c r="S39" s="452"/>
      <c r="T39" s="452"/>
    </row>
    <row r="40">
      <c r="B40" s="145" t="s">
        <v>184</v>
      </c>
      <c r="C40" s="146"/>
      <c r="D40" s="378">
        <v>700.0</v>
      </c>
      <c r="E40" s="378">
        <v>700.0</v>
      </c>
      <c r="F40" s="378">
        <v>700.0</v>
      </c>
      <c r="G40" s="446">
        <v>700.0</v>
      </c>
      <c r="H40" s="446">
        <v>700.0</v>
      </c>
      <c r="I40" s="378">
        <v>700.0</v>
      </c>
      <c r="J40" s="147">
        <v>700.0</v>
      </c>
      <c r="K40" s="409"/>
      <c r="L40" s="450" t="s">
        <v>160</v>
      </c>
      <c r="M40" s="467">
        <v>1500.0</v>
      </c>
      <c r="N40" s="467">
        <v>1500.0</v>
      </c>
      <c r="O40" s="452"/>
      <c r="P40" s="452"/>
      <c r="Q40" s="452"/>
      <c r="R40" s="452"/>
      <c r="S40" s="452"/>
      <c r="T40" s="452"/>
    </row>
    <row r="41">
      <c r="B41" s="145" t="s">
        <v>3</v>
      </c>
      <c r="C41" s="146"/>
      <c r="D41" s="378">
        <v>500.0</v>
      </c>
      <c r="E41" s="378">
        <v>500.0</v>
      </c>
      <c r="F41" s="378">
        <v>500.0</v>
      </c>
      <c r="G41" s="446">
        <v>500.0</v>
      </c>
      <c r="H41" s="446">
        <v>500.0</v>
      </c>
      <c r="I41" s="378">
        <v>500.0</v>
      </c>
      <c r="J41" s="147">
        <v>500.0</v>
      </c>
      <c r="K41" s="409"/>
      <c r="L41" s="450" t="s">
        <v>184</v>
      </c>
      <c r="M41" s="451"/>
      <c r="N41" s="456"/>
      <c r="O41" s="452"/>
      <c r="P41" s="458">
        <v>700.0</v>
      </c>
      <c r="Q41" s="452"/>
      <c r="R41" s="452"/>
      <c r="S41" s="452"/>
      <c r="T41" s="452"/>
    </row>
    <row r="42">
      <c r="B42" s="152" t="s">
        <v>161</v>
      </c>
      <c r="C42" s="153"/>
      <c r="D42" s="154">
        <f t="shared" ref="D42:J42" si="11">SUM(D19:D41)*-1</f>
        <v>-11821.62</v>
      </c>
      <c r="E42" s="154">
        <f t="shared" si="11"/>
        <v>-11819.62</v>
      </c>
      <c r="F42" s="154">
        <f t="shared" si="11"/>
        <v>-11719.62</v>
      </c>
      <c r="G42" s="435">
        <f t="shared" si="11"/>
        <v>-11827.4</v>
      </c>
      <c r="H42" s="435">
        <f t="shared" si="11"/>
        <v>-12327.4</v>
      </c>
      <c r="I42" s="154">
        <f t="shared" si="11"/>
        <v>-12243.99</v>
      </c>
      <c r="J42" s="154">
        <f t="shared" si="11"/>
        <v>-12283.99</v>
      </c>
      <c r="K42" s="409"/>
      <c r="L42" s="450" t="s">
        <v>3</v>
      </c>
      <c r="M42" s="451"/>
      <c r="N42" s="452"/>
      <c r="O42" s="452"/>
      <c r="P42" s="458">
        <v>500.0</v>
      </c>
      <c r="Q42" s="452"/>
      <c r="R42" s="452"/>
      <c r="S42" s="452"/>
      <c r="T42" s="452"/>
    </row>
    <row r="43">
      <c r="C43" s="27"/>
      <c r="K43" s="409"/>
      <c r="L43" s="450" t="s">
        <v>385</v>
      </c>
      <c r="M43" s="461"/>
      <c r="N43" s="451"/>
      <c r="O43" s="451"/>
      <c r="P43" s="458">
        <v>200.0</v>
      </c>
      <c r="Q43" s="451"/>
      <c r="R43" s="451"/>
      <c r="S43" s="451"/>
      <c r="T43" s="451"/>
    </row>
    <row r="44">
      <c r="B44" s="156" t="s">
        <v>162</v>
      </c>
      <c r="C44" s="157"/>
      <c r="D44" s="469">
        <f t="shared" ref="D44:J44" si="12">D16+D42</f>
        <v>2090.25</v>
      </c>
      <c r="E44" s="469">
        <f t="shared" si="12"/>
        <v>2384.28</v>
      </c>
      <c r="F44" s="469">
        <f t="shared" si="12"/>
        <v>2387.51</v>
      </c>
      <c r="G44" s="470">
        <f t="shared" si="12"/>
        <v>3327.13</v>
      </c>
      <c r="H44" s="469">
        <f t="shared" si="12"/>
        <v>2255.27</v>
      </c>
      <c r="I44" s="469">
        <f t="shared" si="12"/>
        <v>2327.67</v>
      </c>
      <c r="J44" s="469">
        <f t="shared" si="12"/>
        <v>2271.68</v>
      </c>
      <c r="K44" s="18"/>
      <c r="L44" s="18" t="s">
        <v>391</v>
      </c>
      <c r="M44" s="455"/>
      <c r="N44" s="457"/>
      <c r="O44" s="452"/>
      <c r="P44" s="458">
        <v>847.43</v>
      </c>
      <c r="Q44" s="452"/>
      <c r="R44" s="451"/>
      <c r="S44" s="452"/>
      <c r="T44" s="452"/>
    </row>
    <row r="45">
      <c r="B45" s="83"/>
      <c r="C45" s="159"/>
      <c r="D45" s="84"/>
      <c r="E45" s="84"/>
      <c r="F45" s="84"/>
      <c r="G45" s="84"/>
      <c r="H45" s="84"/>
      <c r="I45" s="84"/>
      <c r="J45" s="84"/>
      <c r="K45" s="107"/>
      <c r="L45" s="462" t="s">
        <v>382</v>
      </c>
      <c r="M45" s="451"/>
      <c r="N45" s="452"/>
      <c r="O45" s="452"/>
      <c r="P45" s="458">
        <v>724.25</v>
      </c>
      <c r="Q45" s="452"/>
      <c r="R45" s="458">
        <v>500.0</v>
      </c>
      <c r="S45" s="452"/>
      <c r="T45" s="452"/>
    </row>
    <row r="46">
      <c r="B46" s="85" t="s">
        <v>163</v>
      </c>
      <c r="C46" s="160"/>
      <c r="D46" s="161" t="s">
        <v>123</v>
      </c>
      <c r="E46" s="161" t="s">
        <v>124</v>
      </c>
      <c r="F46" s="161" t="s">
        <v>125</v>
      </c>
      <c r="G46" s="437" t="s">
        <v>126</v>
      </c>
      <c r="H46" s="161" t="s">
        <v>127</v>
      </c>
      <c r="I46" s="161" t="s">
        <v>128</v>
      </c>
      <c r="J46" s="161" t="s">
        <v>129</v>
      </c>
      <c r="K46" s="107"/>
      <c r="L46" s="463" t="s">
        <v>26</v>
      </c>
      <c r="M46" s="464">
        <f t="shared" ref="M46:T46" si="13">SUM(M20:M45)</f>
        <v>5053.09</v>
      </c>
      <c r="N46" s="465">
        <f t="shared" si="13"/>
        <v>2313</v>
      </c>
      <c r="O46" s="465">
        <f t="shared" si="13"/>
        <v>2167.9</v>
      </c>
      <c r="P46" s="465">
        <f t="shared" si="13"/>
        <v>2971.68</v>
      </c>
      <c r="Q46" s="465">
        <f t="shared" si="13"/>
        <v>200</v>
      </c>
      <c r="R46" s="465">
        <f t="shared" si="13"/>
        <v>1400</v>
      </c>
      <c r="S46" s="465">
        <f t="shared" si="13"/>
        <v>50</v>
      </c>
      <c r="T46" s="465">
        <f t="shared" si="13"/>
        <v>400</v>
      </c>
      <c r="U46" s="27">
        <f>SUM(M46:T46)</f>
        <v>14555.67</v>
      </c>
    </row>
    <row r="47">
      <c r="B47" s="162"/>
      <c r="C47" s="163"/>
      <c r="D47" s="164"/>
      <c r="E47" s="164"/>
      <c r="F47" s="165"/>
      <c r="G47" s="438"/>
      <c r="H47" s="165"/>
      <c r="I47" s="165"/>
      <c r="J47" s="165"/>
      <c r="K47" s="248"/>
      <c r="L47" s="107" t="s">
        <v>389</v>
      </c>
      <c r="M47" s="471">
        <f>J12-M46</f>
        <v>3608.62</v>
      </c>
      <c r="N47" s="472">
        <f>J13-N46</f>
        <v>3580.96</v>
      </c>
      <c r="O47" s="287"/>
    </row>
    <row r="48">
      <c r="A48" s="298"/>
      <c r="B48" s="162" t="s">
        <v>58</v>
      </c>
      <c r="C48" s="163"/>
      <c r="D48" s="167">
        <v>962.79</v>
      </c>
      <c r="E48" s="167">
        <v>962.79</v>
      </c>
      <c r="F48" s="167">
        <v>962.79</v>
      </c>
      <c r="G48" s="439">
        <v>962.79</v>
      </c>
      <c r="H48" s="167">
        <v>724.25</v>
      </c>
      <c r="I48" s="167">
        <v>724.25</v>
      </c>
      <c r="J48" s="167">
        <v>724.25</v>
      </c>
      <c r="K48" s="107"/>
      <c r="L48" s="325" t="s">
        <v>353</v>
      </c>
      <c r="O48" s="28">
        <f>N47-2230</f>
        <v>1350.96</v>
      </c>
    </row>
    <row r="49">
      <c r="B49" s="162"/>
      <c r="C49" s="163"/>
      <c r="D49" s="166"/>
      <c r="E49" s="166"/>
      <c r="F49" s="166"/>
      <c r="G49" s="440"/>
      <c r="H49" s="166"/>
      <c r="I49" s="166"/>
      <c r="J49" s="166"/>
      <c r="K49" s="107"/>
      <c r="L49" s="107"/>
      <c r="P49" s="387"/>
      <c r="R49" s="387"/>
    </row>
    <row r="50">
      <c r="B50" s="168"/>
      <c r="C50" s="169"/>
      <c r="D50" s="170"/>
      <c r="E50" s="170"/>
      <c r="F50" s="170"/>
      <c r="G50" s="441"/>
      <c r="H50" s="170"/>
      <c r="I50" s="166"/>
      <c r="J50" s="170"/>
      <c r="K50" s="107"/>
      <c r="L50" s="107"/>
    </row>
    <row r="51">
      <c r="B51" s="152" t="s">
        <v>167</v>
      </c>
      <c r="C51" s="171"/>
      <c r="D51" s="172">
        <f t="shared" ref="D51:J51" si="14">SUM(D47:D50)*-1</f>
        <v>-962.79</v>
      </c>
      <c r="E51" s="172">
        <f t="shared" si="14"/>
        <v>-962.79</v>
      </c>
      <c r="F51" s="172">
        <f t="shared" si="14"/>
        <v>-962.79</v>
      </c>
      <c r="G51" s="442">
        <f t="shared" si="14"/>
        <v>-962.79</v>
      </c>
      <c r="H51" s="172">
        <f t="shared" si="14"/>
        <v>-724.25</v>
      </c>
      <c r="I51" s="172">
        <f t="shared" si="14"/>
        <v>-724.25</v>
      </c>
      <c r="J51" s="172">
        <f t="shared" si="14"/>
        <v>-724.25</v>
      </c>
    </row>
    <row r="52">
      <c r="B52" s="83"/>
      <c r="C52" s="159"/>
      <c r="D52" s="96"/>
      <c r="E52" s="96"/>
      <c r="F52" s="96"/>
      <c r="G52" s="96"/>
      <c r="H52" s="96"/>
      <c r="I52" s="96"/>
      <c r="J52" s="96"/>
      <c r="K52" s="107"/>
      <c r="L52" s="107"/>
    </row>
    <row r="53">
      <c r="B53" s="173" t="s">
        <v>168</v>
      </c>
      <c r="C53" s="174"/>
      <c r="D53" s="175">
        <f t="shared" ref="D53:J53" si="15">D44+D51</f>
        <v>1127.46</v>
      </c>
      <c r="E53" s="175">
        <f t="shared" si="15"/>
        <v>1421.49</v>
      </c>
      <c r="F53" s="175">
        <f t="shared" si="15"/>
        <v>1424.72</v>
      </c>
      <c r="G53" s="443">
        <f t="shared" si="15"/>
        <v>2364.34</v>
      </c>
      <c r="H53" s="175">
        <f t="shared" si="15"/>
        <v>1531.02</v>
      </c>
      <c r="I53" s="175">
        <f t="shared" si="15"/>
        <v>1603.42</v>
      </c>
      <c r="J53" s="175">
        <f t="shared" si="15"/>
        <v>1547.43</v>
      </c>
      <c r="K53" s="107"/>
      <c r="L53" s="107"/>
      <c r="M53" s="107"/>
    </row>
    <row r="54">
      <c r="B54" s="83"/>
      <c r="C54" s="159"/>
      <c r="D54" s="96"/>
      <c r="E54" s="96"/>
      <c r="F54" s="96"/>
      <c r="G54" s="96"/>
      <c r="H54" s="96"/>
      <c r="I54" s="96"/>
      <c r="J54" s="96"/>
      <c r="K54" s="107"/>
      <c r="L54" s="107"/>
      <c r="M54" s="18"/>
    </row>
    <row r="55">
      <c r="B55" s="100" t="s">
        <v>169</v>
      </c>
      <c r="C55" s="176"/>
      <c r="D55" s="177" t="s">
        <v>123</v>
      </c>
      <c r="E55" s="177" t="s">
        <v>124</v>
      </c>
      <c r="F55" s="177" t="s">
        <v>125</v>
      </c>
      <c r="G55" s="444" t="s">
        <v>126</v>
      </c>
      <c r="H55" s="177" t="s">
        <v>127</v>
      </c>
      <c r="I55" s="177" t="s">
        <v>128</v>
      </c>
      <c r="J55" s="177" t="s">
        <v>129</v>
      </c>
      <c r="K55" s="107"/>
      <c r="L55" s="107"/>
      <c r="M55" s="18"/>
    </row>
    <row r="56">
      <c r="B56" s="152" t="s">
        <v>171</v>
      </c>
      <c r="C56" s="153"/>
      <c r="D56" s="178">
        <f t="shared" ref="D56:J56" si="16">+D53</f>
        <v>1127.46</v>
      </c>
      <c r="E56" s="178">
        <f t="shared" si="16"/>
        <v>1421.49</v>
      </c>
      <c r="F56" s="178">
        <f t="shared" si="16"/>
        <v>1424.72</v>
      </c>
      <c r="G56" s="445">
        <f t="shared" si="16"/>
        <v>2364.34</v>
      </c>
      <c r="H56" s="178">
        <f t="shared" si="16"/>
        <v>1531.02</v>
      </c>
      <c r="I56" s="178">
        <f t="shared" si="16"/>
        <v>1603.42</v>
      </c>
      <c r="J56" s="178">
        <f t="shared" si="16"/>
        <v>1547.43</v>
      </c>
      <c r="K56" s="27"/>
      <c r="L56" s="27"/>
    </row>
    <row r="57">
      <c r="D57" s="362"/>
      <c r="E57" s="362"/>
      <c r="F57" s="27"/>
      <c r="G57" s="27"/>
      <c r="H57" s="27"/>
      <c r="J57" s="27"/>
      <c r="K57" s="27"/>
      <c r="L57" s="27"/>
    </row>
    <row r="58">
      <c r="F58" s="27"/>
      <c r="G58" s="27"/>
      <c r="H58" s="27"/>
      <c r="J58" s="27"/>
      <c r="K58" s="27"/>
      <c r="L58" s="27"/>
    </row>
    <row r="59">
      <c r="F59" s="27"/>
      <c r="G59" s="27"/>
      <c r="H59" s="27"/>
      <c r="J59" s="27"/>
      <c r="K59" s="27"/>
      <c r="L59" s="27"/>
    </row>
    <row r="60">
      <c r="F60" s="27"/>
      <c r="G60" s="27"/>
      <c r="H60" s="27"/>
      <c r="J60" s="27"/>
      <c r="K60" s="27"/>
      <c r="L60" s="27"/>
    </row>
    <row r="61">
      <c r="F61" s="27"/>
      <c r="G61" s="27"/>
      <c r="H61" s="27"/>
      <c r="J61" s="27"/>
      <c r="K61" s="27"/>
      <c r="L61" s="27"/>
    </row>
    <row r="62">
      <c r="F62" s="27"/>
      <c r="G62" s="27"/>
      <c r="H62" s="27"/>
      <c r="J62" s="27"/>
      <c r="K62" s="27"/>
      <c r="L62" s="27"/>
    </row>
    <row r="63">
      <c r="F63" s="27"/>
      <c r="G63" s="27"/>
      <c r="H63" s="27"/>
      <c r="J63" s="27"/>
      <c r="K63" s="27"/>
      <c r="L63" s="27"/>
    </row>
    <row r="64">
      <c r="F64" s="27"/>
      <c r="G64" s="27"/>
      <c r="H64" s="27"/>
      <c r="J64" s="27"/>
      <c r="K64" s="27"/>
      <c r="L64" s="27"/>
    </row>
    <row r="65">
      <c r="F65" s="27"/>
      <c r="G65" s="27"/>
      <c r="H65" s="27"/>
      <c r="J65" s="27"/>
      <c r="K65" s="27"/>
      <c r="L65" s="27"/>
    </row>
    <row r="66">
      <c r="F66" s="27"/>
      <c r="G66" s="27"/>
      <c r="H66" s="27"/>
      <c r="J66" s="27"/>
      <c r="K66" s="27"/>
      <c r="L66" s="27"/>
    </row>
    <row r="67">
      <c r="F67" s="27"/>
      <c r="G67" s="27"/>
      <c r="H67" s="27"/>
      <c r="J67" s="27"/>
      <c r="K67" s="27"/>
      <c r="L67" s="27"/>
    </row>
    <row r="68">
      <c r="F68" s="27"/>
      <c r="G68" s="27"/>
      <c r="H68" s="27"/>
      <c r="J68" s="27"/>
      <c r="K68" s="27"/>
      <c r="L68" s="27"/>
    </row>
    <row r="69">
      <c r="F69" s="27"/>
      <c r="G69" s="27"/>
      <c r="H69" s="27"/>
      <c r="J69" s="27"/>
      <c r="K69" s="27"/>
      <c r="L69" s="27"/>
    </row>
    <row r="70">
      <c r="F70" s="27"/>
      <c r="G70" s="27"/>
      <c r="H70" s="27"/>
      <c r="J70" s="27"/>
      <c r="K70" s="27"/>
      <c r="L70" s="27"/>
    </row>
    <row r="71">
      <c r="F71" s="27"/>
      <c r="G71" s="27"/>
      <c r="H71" s="27"/>
      <c r="J71" s="27"/>
      <c r="K71" s="27"/>
      <c r="L71" s="27"/>
    </row>
    <row r="72">
      <c r="F72" s="27"/>
      <c r="G72" s="27"/>
      <c r="H72" s="27"/>
      <c r="J72" s="27"/>
      <c r="K72" s="27"/>
      <c r="L72" s="27"/>
    </row>
    <row r="73">
      <c r="F73" s="27"/>
      <c r="G73" s="27"/>
      <c r="H73" s="27"/>
      <c r="J73" s="27"/>
      <c r="K73" s="27"/>
      <c r="L73" s="27"/>
    </row>
    <row r="74">
      <c r="F74" s="27"/>
      <c r="G74" s="27"/>
      <c r="H74" s="27"/>
      <c r="J74" s="27"/>
      <c r="K74" s="27"/>
      <c r="L74" s="27"/>
    </row>
    <row r="75">
      <c r="F75" s="27"/>
      <c r="G75" s="27"/>
      <c r="H75" s="27"/>
      <c r="J75" s="27"/>
      <c r="K75" s="27"/>
      <c r="L75" s="27"/>
    </row>
    <row r="76">
      <c r="F76" s="27"/>
      <c r="G76" s="27"/>
      <c r="H76" s="27"/>
      <c r="J76" s="27"/>
      <c r="K76" s="27"/>
      <c r="L76" s="27"/>
    </row>
    <row r="77">
      <c r="F77" s="27"/>
      <c r="G77" s="27"/>
      <c r="H77" s="27"/>
      <c r="J77" s="27"/>
      <c r="K77" s="27"/>
      <c r="L77" s="27"/>
    </row>
    <row r="78">
      <c r="F78" s="27"/>
      <c r="G78" s="27"/>
      <c r="H78" s="27"/>
      <c r="J78" s="27"/>
      <c r="K78" s="27"/>
      <c r="L78" s="27"/>
    </row>
    <row r="79">
      <c r="F79" s="27"/>
      <c r="G79" s="27"/>
      <c r="H79" s="27"/>
      <c r="J79" s="27"/>
      <c r="K79" s="27"/>
      <c r="L79" s="27"/>
    </row>
    <row r="80">
      <c r="F80" s="27"/>
      <c r="G80" s="27"/>
      <c r="H80" s="27"/>
      <c r="J80" s="27"/>
      <c r="K80" s="27"/>
      <c r="L80" s="27"/>
    </row>
    <row r="81">
      <c r="F81" s="27"/>
      <c r="G81" s="27"/>
      <c r="H81" s="27"/>
      <c r="J81" s="27"/>
      <c r="K81" s="27"/>
      <c r="L81" s="27"/>
    </row>
    <row r="82">
      <c r="F82" s="27"/>
      <c r="G82" s="27"/>
      <c r="H82" s="27"/>
      <c r="J82" s="27"/>
      <c r="K82" s="27"/>
      <c r="L82" s="27"/>
    </row>
    <row r="83">
      <c r="F83" s="27"/>
      <c r="G83" s="27"/>
      <c r="H83" s="27"/>
      <c r="J83" s="27"/>
      <c r="K83" s="27"/>
      <c r="L83" s="27"/>
    </row>
    <row r="84">
      <c r="F84" s="27"/>
      <c r="G84" s="27"/>
      <c r="H84" s="27"/>
      <c r="J84" s="27"/>
      <c r="K84" s="27"/>
      <c r="L84" s="27"/>
    </row>
    <row r="85">
      <c r="F85" s="27"/>
      <c r="G85" s="27"/>
      <c r="H85" s="27"/>
      <c r="J85" s="27"/>
      <c r="K85" s="27"/>
      <c r="L85" s="27"/>
    </row>
    <row r="86">
      <c r="F86" s="27"/>
      <c r="G86" s="27"/>
      <c r="H86" s="27"/>
      <c r="J86" s="27"/>
      <c r="K86" s="27"/>
      <c r="L86" s="27"/>
    </row>
    <row r="87">
      <c r="F87" s="27"/>
      <c r="G87" s="27"/>
      <c r="H87" s="27"/>
      <c r="J87" s="27"/>
      <c r="K87" s="27"/>
      <c r="L87" s="27"/>
    </row>
    <row r="88">
      <c r="F88" s="27"/>
      <c r="G88" s="27"/>
      <c r="H88" s="27"/>
      <c r="J88" s="27"/>
      <c r="K88" s="27"/>
      <c r="L88" s="27"/>
    </row>
    <row r="89">
      <c r="F89" s="27"/>
      <c r="G89" s="27"/>
      <c r="H89" s="27"/>
      <c r="J89" s="27"/>
      <c r="K89" s="27"/>
      <c r="L89" s="27"/>
    </row>
    <row r="90">
      <c r="F90" s="27"/>
      <c r="G90" s="27"/>
      <c r="H90" s="27"/>
      <c r="J90" s="27"/>
      <c r="K90" s="27"/>
      <c r="L90" s="27"/>
    </row>
    <row r="91">
      <c r="F91" s="27"/>
      <c r="G91" s="27"/>
      <c r="H91" s="27"/>
      <c r="J91" s="27"/>
      <c r="K91" s="27"/>
      <c r="L91" s="27"/>
    </row>
    <row r="92">
      <c r="F92" s="27"/>
      <c r="G92" s="27"/>
      <c r="H92" s="27"/>
      <c r="J92" s="27"/>
      <c r="K92" s="27"/>
      <c r="L92" s="27"/>
    </row>
    <row r="93">
      <c r="F93" s="27"/>
      <c r="G93" s="27"/>
      <c r="H93" s="27"/>
      <c r="J93" s="27"/>
      <c r="K93" s="27"/>
      <c r="L93" s="27"/>
    </row>
    <row r="94">
      <c r="F94" s="27"/>
      <c r="G94" s="27"/>
      <c r="H94" s="27"/>
      <c r="J94" s="27"/>
      <c r="K94" s="27"/>
      <c r="L94" s="27"/>
    </row>
    <row r="95">
      <c r="F95" s="27"/>
      <c r="G95" s="27"/>
      <c r="H95" s="27"/>
      <c r="J95" s="27"/>
      <c r="K95" s="27"/>
      <c r="L95" s="27"/>
    </row>
    <row r="96">
      <c r="F96" s="27"/>
      <c r="G96" s="27"/>
      <c r="H96" s="27"/>
      <c r="J96" s="27"/>
      <c r="K96" s="27"/>
      <c r="L96" s="27"/>
    </row>
    <row r="97">
      <c r="F97" s="27"/>
      <c r="G97" s="27"/>
      <c r="H97" s="27"/>
      <c r="J97" s="27"/>
      <c r="K97" s="27"/>
      <c r="L97" s="27"/>
    </row>
    <row r="98">
      <c r="F98" s="27"/>
      <c r="G98" s="27"/>
      <c r="H98" s="27"/>
      <c r="J98" s="27"/>
      <c r="K98" s="27"/>
      <c r="L98" s="27"/>
    </row>
    <row r="99">
      <c r="F99" s="27"/>
      <c r="G99" s="27"/>
      <c r="H99" s="27"/>
      <c r="J99" s="27"/>
      <c r="K99" s="27"/>
      <c r="L99" s="27"/>
    </row>
    <row r="100">
      <c r="F100" s="27"/>
      <c r="G100" s="27"/>
      <c r="H100" s="27"/>
      <c r="J100" s="27"/>
      <c r="K100" s="27"/>
      <c r="L100" s="27"/>
    </row>
    <row r="101">
      <c r="F101" s="27"/>
      <c r="G101" s="27"/>
      <c r="H101" s="27"/>
      <c r="J101" s="27"/>
      <c r="K101" s="27"/>
      <c r="L101" s="27"/>
    </row>
    <row r="102">
      <c r="F102" s="27"/>
      <c r="G102" s="27"/>
      <c r="H102" s="27"/>
      <c r="J102" s="27"/>
      <c r="K102" s="27"/>
      <c r="L102" s="27"/>
    </row>
    <row r="103">
      <c r="F103" s="27"/>
      <c r="G103" s="27"/>
      <c r="H103" s="27"/>
      <c r="J103" s="27"/>
      <c r="K103" s="27"/>
      <c r="L103" s="27"/>
    </row>
    <row r="104">
      <c r="F104" s="27"/>
      <c r="G104" s="27"/>
      <c r="H104" s="27"/>
      <c r="J104" s="27"/>
      <c r="K104" s="27"/>
      <c r="L104" s="27"/>
    </row>
    <row r="105">
      <c r="F105" s="27"/>
      <c r="G105" s="27"/>
      <c r="H105" s="27"/>
      <c r="J105" s="27"/>
      <c r="K105" s="27"/>
      <c r="L105" s="27"/>
    </row>
    <row r="106">
      <c r="F106" s="27"/>
      <c r="G106" s="27"/>
      <c r="H106" s="27"/>
      <c r="J106" s="27"/>
      <c r="K106" s="27"/>
      <c r="L106" s="27"/>
    </row>
    <row r="107">
      <c r="F107" s="27"/>
      <c r="G107" s="27"/>
      <c r="H107" s="27"/>
      <c r="J107" s="27"/>
      <c r="K107" s="27"/>
      <c r="L107" s="27"/>
    </row>
    <row r="108">
      <c r="F108" s="27"/>
      <c r="G108" s="27"/>
      <c r="H108" s="27"/>
      <c r="J108" s="27"/>
      <c r="K108" s="27"/>
      <c r="L108" s="27"/>
    </row>
    <row r="109">
      <c r="F109" s="27"/>
      <c r="G109" s="27"/>
      <c r="H109" s="27"/>
      <c r="J109" s="27"/>
      <c r="K109" s="27"/>
      <c r="L109" s="27"/>
    </row>
    <row r="110">
      <c r="F110" s="27"/>
      <c r="G110" s="27"/>
      <c r="H110" s="27"/>
      <c r="J110" s="27"/>
      <c r="K110" s="27"/>
      <c r="L110" s="27"/>
    </row>
    <row r="111">
      <c r="F111" s="27"/>
      <c r="G111" s="27"/>
      <c r="H111" s="27"/>
      <c r="J111" s="27"/>
      <c r="K111" s="27"/>
      <c r="L111" s="27"/>
    </row>
    <row r="112">
      <c r="F112" s="27"/>
      <c r="G112" s="27"/>
      <c r="H112" s="27"/>
      <c r="J112" s="27"/>
      <c r="K112" s="27"/>
      <c r="L112" s="27"/>
    </row>
    <row r="113">
      <c r="F113" s="27"/>
      <c r="G113" s="27"/>
      <c r="H113" s="27"/>
      <c r="J113" s="27"/>
      <c r="K113" s="27"/>
      <c r="L113" s="27"/>
    </row>
    <row r="114">
      <c r="F114" s="27"/>
      <c r="G114" s="27"/>
      <c r="H114" s="27"/>
      <c r="J114" s="27"/>
      <c r="K114" s="27"/>
      <c r="L114" s="27"/>
    </row>
    <row r="115">
      <c r="F115" s="27"/>
      <c r="G115" s="27"/>
      <c r="H115" s="27"/>
      <c r="J115" s="27"/>
      <c r="K115" s="27"/>
      <c r="L115" s="27"/>
    </row>
    <row r="116">
      <c r="F116" s="27"/>
      <c r="G116" s="27"/>
      <c r="H116" s="27"/>
      <c r="J116" s="27"/>
      <c r="K116" s="27"/>
      <c r="L116" s="27"/>
    </row>
    <row r="117">
      <c r="F117" s="27"/>
      <c r="G117" s="27"/>
      <c r="H117" s="27"/>
      <c r="J117" s="27"/>
      <c r="K117" s="27"/>
      <c r="L117" s="27"/>
    </row>
    <row r="118">
      <c r="F118" s="27"/>
      <c r="G118" s="27"/>
      <c r="H118" s="27"/>
      <c r="J118" s="27"/>
      <c r="K118" s="27"/>
      <c r="L118" s="27"/>
    </row>
    <row r="119">
      <c r="F119" s="27"/>
      <c r="G119" s="27"/>
      <c r="H119" s="27"/>
      <c r="J119" s="27"/>
      <c r="K119" s="27"/>
      <c r="L119" s="27"/>
    </row>
    <row r="120">
      <c r="F120" s="27"/>
      <c r="G120" s="27"/>
      <c r="H120" s="27"/>
      <c r="J120" s="27"/>
      <c r="K120" s="27"/>
      <c r="L120" s="27"/>
    </row>
    <row r="121">
      <c r="F121" s="27"/>
      <c r="G121" s="27"/>
      <c r="H121" s="27"/>
      <c r="J121" s="27"/>
      <c r="K121" s="27"/>
      <c r="L121" s="27"/>
    </row>
    <row r="122">
      <c r="F122" s="27"/>
      <c r="G122" s="27"/>
      <c r="H122" s="27"/>
      <c r="J122" s="27"/>
      <c r="K122" s="27"/>
      <c r="L122" s="27"/>
    </row>
    <row r="123">
      <c r="F123" s="27"/>
      <c r="G123" s="27"/>
      <c r="H123" s="27"/>
      <c r="J123" s="27"/>
      <c r="K123" s="27"/>
      <c r="L123" s="27"/>
    </row>
    <row r="124">
      <c r="F124" s="27"/>
      <c r="G124" s="27"/>
      <c r="H124" s="27"/>
      <c r="J124" s="27"/>
      <c r="K124" s="27"/>
      <c r="L124" s="27"/>
    </row>
    <row r="125">
      <c r="F125" s="27"/>
      <c r="G125" s="27"/>
      <c r="H125" s="27"/>
      <c r="J125" s="27"/>
      <c r="K125" s="27"/>
      <c r="L125" s="27"/>
    </row>
    <row r="126">
      <c r="F126" s="27"/>
      <c r="G126" s="27"/>
      <c r="H126" s="27"/>
      <c r="J126" s="27"/>
      <c r="K126" s="27"/>
      <c r="L126" s="27"/>
    </row>
    <row r="127">
      <c r="F127" s="27"/>
      <c r="G127" s="27"/>
      <c r="H127" s="27"/>
      <c r="J127" s="27"/>
      <c r="K127" s="27"/>
      <c r="L127" s="27"/>
    </row>
    <row r="128">
      <c r="F128" s="27"/>
      <c r="G128" s="27"/>
      <c r="H128" s="27"/>
      <c r="J128" s="27"/>
      <c r="K128" s="27"/>
      <c r="L128" s="27"/>
    </row>
    <row r="129">
      <c r="F129" s="27"/>
      <c r="G129" s="27"/>
      <c r="H129" s="27"/>
      <c r="J129" s="27"/>
      <c r="K129" s="27"/>
      <c r="L129" s="27"/>
    </row>
    <row r="130">
      <c r="F130" s="27"/>
      <c r="G130" s="27"/>
      <c r="H130" s="27"/>
      <c r="J130" s="27"/>
      <c r="K130" s="27"/>
      <c r="L130" s="27"/>
    </row>
    <row r="131">
      <c r="F131" s="27"/>
      <c r="G131" s="27"/>
      <c r="H131" s="27"/>
      <c r="J131" s="27"/>
      <c r="K131" s="27"/>
      <c r="L131" s="27"/>
    </row>
    <row r="132">
      <c r="F132" s="27"/>
      <c r="G132" s="27"/>
      <c r="H132" s="27"/>
      <c r="J132" s="27"/>
      <c r="K132" s="27"/>
      <c r="L132" s="27"/>
    </row>
    <row r="133">
      <c r="F133" s="27"/>
      <c r="G133" s="27"/>
      <c r="H133" s="27"/>
      <c r="J133" s="27"/>
      <c r="K133" s="27"/>
      <c r="L133" s="27"/>
    </row>
    <row r="134">
      <c r="F134" s="27"/>
      <c r="G134" s="27"/>
      <c r="H134" s="27"/>
      <c r="J134" s="27"/>
      <c r="K134" s="27"/>
      <c r="L134" s="27"/>
    </row>
    <row r="135">
      <c r="F135" s="27"/>
      <c r="G135" s="27"/>
      <c r="H135" s="27"/>
      <c r="J135" s="27"/>
      <c r="K135" s="27"/>
      <c r="L135" s="27"/>
    </row>
    <row r="136">
      <c r="F136" s="27"/>
      <c r="G136" s="27"/>
      <c r="H136" s="27"/>
      <c r="J136" s="27"/>
      <c r="K136" s="27"/>
      <c r="L136" s="27"/>
    </row>
    <row r="137">
      <c r="F137" s="27"/>
      <c r="G137" s="27"/>
      <c r="H137" s="27"/>
      <c r="J137" s="27"/>
      <c r="K137" s="27"/>
      <c r="L137" s="27"/>
    </row>
    <row r="138">
      <c r="F138" s="27"/>
      <c r="G138" s="27"/>
      <c r="H138" s="27"/>
      <c r="J138" s="27"/>
      <c r="K138" s="27"/>
      <c r="L138" s="27"/>
    </row>
    <row r="139">
      <c r="F139" s="27"/>
      <c r="G139" s="27"/>
      <c r="H139" s="27"/>
      <c r="J139" s="27"/>
      <c r="K139" s="27"/>
      <c r="L139" s="27"/>
    </row>
    <row r="140">
      <c r="F140" s="27"/>
      <c r="G140" s="27"/>
      <c r="H140" s="27"/>
      <c r="J140" s="27"/>
      <c r="K140" s="27"/>
      <c r="L140" s="27"/>
    </row>
    <row r="141">
      <c r="F141" s="27"/>
      <c r="G141" s="27"/>
      <c r="H141" s="27"/>
      <c r="J141" s="27"/>
      <c r="K141" s="27"/>
      <c r="L141" s="27"/>
    </row>
    <row r="142">
      <c r="F142" s="27"/>
      <c r="G142" s="27"/>
      <c r="H142" s="27"/>
      <c r="J142" s="27"/>
      <c r="K142" s="27"/>
      <c r="L142" s="27"/>
    </row>
    <row r="143">
      <c r="F143" s="27"/>
      <c r="G143" s="27"/>
      <c r="H143" s="27"/>
      <c r="J143" s="27"/>
      <c r="K143" s="27"/>
      <c r="L143" s="27"/>
    </row>
    <row r="144">
      <c r="F144" s="27"/>
      <c r="G144" s="27"/>
      <c r="H144" s="27"/>
      <c r="J144" s="27"/>
      <c r="K144" s="27"/>
      <c r="L144" s="27"/>
    </row>
    <row r="145">
      <c r="F145" s="27"/>
      <c r="G145" s="27"/>
      <c r="H145" s="27"/>
      <c r="J145" s="27"/>
      <c r="K145" s="27"/>
      <c r="L145" s="27"/>
    </row>
    <row r="146">
      <c r="F146" s="27"/>
      <c r="G146" s="27"/>
      <c r="H146" s="27"/>
      <c r="J146" s="27"/>
      <c r="K146" s="27"/>
      <c r="L146" s="27"/>
    </row>
    <row r="147">
      <c r="F147" s="27"/>
      <c r="G147" s="27"/>
      <c r="H147" s="27"/>
      <c r="J147" s="27"/>
      <c r="K147" s="27"/>
      <c r="L147" s="27"/>
    </row>
    <row r="148">
      <c r="F148" s="27"/>
      <c r="G148" s="27"/>
      <c r="H148" s="27"/>
      <c r="J148" s="27"/>
      <c r="K148" s="27"/>
      <c r="L148" s="27"/>
    </row>
    <row r="149">
      <c r="F149" s="27"/>
      <c r="G149" s="27"/>
      <c r="H149" s="27"/>
      <c r="J149" s="27"/>
      <c r="K149" s="27"/>
      <c r="L149" s="27"/>
    </row>
    <row r="150">
      <c r="F150" s="27"/>
      <c r="G150" s="27"/>
      <c r="H150" s="27"/>
      <c r="J150" s="27"/>
      <c r="K150" s="27"/>
      <c r="L150" s="27"/>
    </row>
    <row r="151">
      <c r="F151" s="27"/>
      <c r="G151" s="27"/>
      <c r="H151" s="27"/>
      <c r="J151" s="27"/>
      <c r="K151" s="27"/>
      <c r="L151" s="27"/>
    </row>
    <row r="152">
      <c r="F152" s="27"/>
      <c r="G152" s="27"/>
      <c r="H152" s="27"/>
      <c r="J152" s="27"/>
      <c r="K152" s="27"/>
      <c r="L152" s="27"/>
    </row>
    <row r="153">
      <c r="F153" s="27"/>
      <c r="G153" s="27"/>
      <c r="H153" s="27"/>
      <c r="J153" s="27"/>
      <c r="K153" s="27"/>
      <c r="L153" s="27"/>
    </row>
    <row r="154">
      <c r="F154" s="27"/>
      <c r="G154" s="27"/>
      <c r="H154" s="27"/>
      <c r="J154" s="27"/>
      <c r="K154" s="27"/>
      <c r="L154" s="27"/>
    </row>
    <row r="155">
      <c r="F155" s="27"/>
      <c r="G155" s="27"/>
      <c r="H155" s="27"/>
      <c r="J155" s="27"/>
      <c r="K155" s="27"/>
      <c r="L155" s="27"/>
    </row>
    <row r="156">
      <c r="F156" s="27"/>
      <c r="G156" s="27"/>
      <c r="H156" s="27"/>
      <c r="J156" s="27"/>
      <c r="K156" s="27"/>
      <c r="L156" s="27"/>
    </row>
    <row r="157">
      <c r="F157" s="27"/>
      <c r="G157" s="27"/>
      <c r="H157" s="27"/>
      <c r="J157" s="27"/>
      <c r="K157" s="27"/>
      <c r="L157" s="27"/>
    </row>
    <row r="158">
      <c r="F158" s="27"/>
      <c r="G158" s="27"/>
      <c r="H158" s="27"/>
      <c r="J158" s="27"/>
      <c r="K158" s="27"/>
      <c r="L158" s="27"/>
    </row>
    <row r="159">
      <c r="F159" s="27"/>
      <c r="G159" s="27"/>
      <c r="H159" s="27"/>
      <c r="J159" s="27"/>
      <c r="K159" s="27"/>
      <c r="L159" s="27"/>
    </row>
    <row r="160">
      <c r="F160" s="27"/>
      <c r="G160" s="27"/>
      <c r="H160" s="27"/>
      <c r="J160" s="27"/>
      <c r="K160" s="27"/>
      <c r="L160" s="27"/>
    </row>
    <row r="161">
      <c r="F161" s="27"/>
      <c r="G161" s="27"/>
      <c r="H161" s="27"/>
      <c r="J161" s="27"/>
      <c r="K161" s="27"/>
      <c r="L161" s="27"/>
    </row>
    <row r="162">
      <c r="F162" s="27"/>
      <c r="G162" s="27"/>
      <c r="H162" s="27"/>
      <c r="J162" s="27"/>
      <c r="K162" s="27"/>
      <c r="L162" s="27"/>
    </row>
    <row r="163">
      <c r="F163" s="27"/>
      <c r="G163" s="27"/>
      <c r="H163" s="27"/>
      <c r="J163" s="27"/>
      <c r="K163" s="27"/>
      <c r="L163" s="27"/>
    </row>
    <row r="164">
      <c r="F164" s="27"/>
      <c r="G164" s="27"/>
      <c r="H164" s="27"/>
      <c r="J164" s="27"/>
      <c r="K164" s="27"/>
      <c r="L164" s="27"/>
    </row>
    <row r="165">
      <c r="F165" s="27"/>
      <c r="G165" s="27"/>
      <c r="H165" s="27"/>
      <c r="J165" s="27"/>
      <c r="K165" s="27"/>
      <c r="L165" s="27"/>
    </row>
    <row r="166">
      <c r="F166" s="27"/>
      <c r="G166" s="27"/>
      <c r="H166" s="27"/>
      <c r="J166" s="27"/>
      <c r="K166" s="27"/>
      <c r="L166" s="27"/>
    </row>
    <row r="167">
      <c r="F167" s="27"/>
      <c r="G167" s="27"/>
      <c r="H167" s="27"/>
      <c r="J167" s="27"/>
      <c r="K167" s="27"/>
      <c r="L167" s="27"/>
    </row>
    <row r="168">
      <c r="F168" s="27"/>
      <c r="G168" s="27"/>
      <c r="H168" s="27"/>
      <c r="J168" s="27"/>
      <c r="K168" s="27"/>
      <c r="L168" s="27"/>
    </row>
    <row r="169">
      <c r="F169" s="27"/>
      <c r="G169" s="27"/>
      <c r="H169" s="27"/>
      <c r="J169" s="27"/>
      <c r="K169" s="27"/>
      <c r="L169" s="27"/>
    </row>
    <row r="170">
      <c r="F170" s="27"/>
      <c r="G170" s="27"/>
      <c r="H170" s="27"/>
      <c r="J170" s="27"/>
      <c r="K170" s="27"/>
      <c r="L170" s="27"/>
    </row>
    <row r="171">
      <c r="F171" s="27"/>
      <c r="G171" s="27"/>
      <c r="H171" s="27"/>
      <c r="J171" s="27"/>
      <c r="K171" s="27"/>
      <c r="L171" s="27"/>
    </row>
    <row r="172">
      <c r="F172" s="27"/>
      <c r="G172" s="27"/>
      <c r="H172" s="27"/>
      <c r="J172" s="27"/>
      <c r="K172" s="27"/>
      <c r="L172" s="27"/>
    </row>
    <row r="173">
      <c r="F173" s="27"/>
      <c r="G173" s="27"/>
      <c r="H173" s="27"/>
      <c r="J173" s="27"/>
      <c r="K173" s="27"/>
      <c r="L173" s="27"/>
    </row>
    <row r="174">
      <c r="F174" s="27"/>
      <c r="G174" s="27"/>
      <c r="H174" s="27"/>
      <c r="J174" s="27"/>
      <c r="K174" s="27"/>
      <c r="L174" s="27"/>
    </row>
    <row r="175">
      <c r="F175" s="27"/>
      <c r="G175" s="27"/>
      <c r="H175" s="27"/>
      <c r="J175" s="27"/>
      <c r="K175" s="27"/>
      <c r="L175" s="27"/>
    </row>
    <row r="176">
      <c r="F176" s="27"/>
      <c r="G176" s="27"/>
      <c r="H176" s="27"/>
      <c r="J176" s="27"/>
      <c r="K176" s="27"/>
      <c r="L176" s="27"/>
    </row>
    <row r="177">
      <c r="F177" s="27"/>
      <c r="G177" s="27"/>
      <c r="H177" s="27"/>
      <c r="J177" s="27"/>
      <c r="K177" s="27"/>
      <c r="L177" s="27"/>
    </row>
    <row r="178">
      <c r="F178" s="27"/>
      <c r="G178" s="27"/>
      <c r="H178" s="27"/>
      <c r="J178" s="27"/>
      <c r="K178" s="27"/>
      <c r="L178" s="27"/>
    </row>
    <row r="179">
      <c r="F179" s="27"/>
      <c r="G179" s="27"/>
      <c r="H179" s="27"/>
      <c r="J179" s="27"/>
      <c r="K179" s="27"/>
      <c r="L179" s="27"/>
    </row>
    <row r="180">
      <c r="F180" s="27"/>
      <c r="G180" s="27"/>
      <c r="H180" s="27"/>
      <c r="J180" s="27"/>
      <c r="K180" s="27"/>
      <c r="L180" s="27"/>
    </row>
    <row r="181">
      <c r="F181" s="27"/>
      <c r="G181" s="27"/>
      <c r="H181" s="27"/>
      <c r="J181" s="27"/>
      <c r="K181" s="27"/>
      <c r="L181" s="27"/>
    </row>
    <row r="182">
      <c r="F182" s="27"/>
      <c r="G182" s="27"/>
      <c r="H182" s="27"/>
      <c r="J182" s="27"/>
      <c r="K182" s="27"/>
      <c r="L182" s="27"/>
    </row>
    <row r="183">
      <c r="F183" s="27"/>
      <c r="G183" s="27"/>
      <c r="H183" s="27"/>
      <c r="J183" s="27"/>
      <c r="K183" s="27"/>
      <c r="L183" s="27"/>
    </row>
    <row r="184">
      <c r="F184" s="27"/>
      <c r="G184" s="27"/>
      <c r="H184" s="27"/>
      <c r="J184" s="27"/>
      <c r="K184" s="27"/>
      <c r="L184" s="27"/>
    </row>
    <row r="185">
      <c r="F185" s="27"/>
      <c r="G185" s="27"/>
      <c r="H185" s="27"/>
      <c r="J185" s="27"/>
      <c r="K185" s="27"/>
      <c r="L185" s="27"/>
    </row>
    <row r="186">
      <c r="F186" s="27"/>
      <c r="G186" s="27"/>
      <c r="H186" s="27"/>
      <c r="J186" s="27"/>
      <c r="K186" s="27"/>
      <c r="L186" s="27"/>
    </row>
    <row r="187">
      <c r="F187" s="27"/>
      <c r="G187" s="27"/>
      <c r="H187" s="27"/>
      <c r="J187" s="27"/>
      <c r="K187" s="27"/>
      <c r="L187" s="27"/>
    </row>
    <row r="188">
      <c r="F188" s="27"/>
      <c r="G188" s="27"/>
      <c r="H188" s="27"/>
      <c r="J188" s="27"/>
      <c r="K188" s="27"/>
      <c r="L188" s="27"/>
    </row>
    <row r="189">
      <c r="F189" s="27"/>
      <c r="G189" s="27"/>
      <c r="H189" s="27"/>
      <c r="J189" s="27"/>
      <c r="K189" s="27"/>
      <c r="L189" s="27"/>
    </row>
    <row r="190">
      <c r="F190" s="27"/>
      <c r="G190" s="27"/>
      <c r="H190" s="27"/>
      <c r="J190" s="27"/>
      <c r="K190" s="27"/>
      <c r="L190" s="27"/>
    </row>
    <row r="191">
      <c r="F191" s="27"/>
      <c r="G191" s="27"/>
      <c r="H191" s="27"/>
      <c r="J191" s="27"/>
      <c r="K191" s="27"/>
      <c r="L191" s="27"/>
    </row>
    <row r="192">
      <c r="F192" s="27"/>
      <c r="G192" s="27"/>
      <c r="H192" s="27"/>
      <c r="J192" s="27"/>
      <c r="K192" s="27"/>
      <c r="L192" s="27"/>
    </row>
    <row r="193">
      <c r="F193" s="27"/>
      <c r="G193" s="27"/>
      <c r="H193" s="27"/>
      <c r="J193" s="27"/>
      <c r="K193" s="27"/>
      <c r="L193" s="27"/>
    </row>
    <row r="194">
      <c r="F194" s="27"/>
      <c r="G194" s="27"/>
      <c r="H194" s="27"/>
      <c r="J194" s="27"/>
      <c r="K194" s="27"/>
      <c r="L194" s="27"/>
    </row>
    <row r="195">
      <c r="F195" s="27"/>
      <c r="G195" s="27"/>
      <c r="H195" s="27"/>
      <c r="J195" s="27"/>
      <c r="K195" s="27"/>
      <c r="L195" s="27"/>
    </row>
    <row r="196">
      <c r="F196" s="27"/>
      <c r="G196" s="27"/>
      <c r="H196" s="27"/>
      <c r="J196" s="27"/>
      <c r="K196" s="27"/>
      <c r="L196" s="27"/>
    </row>
    <row r="197">
      <c r="F197" s="27"/>
      <c r="G197" s="27"/>
      <c r="H197" s="27"/>
      <c r="J197" s="27"/>
      <c r="K197" s="27"/>
      <c r="L197" s="27"/>
    </row>
    <row r="198">
      <c r="F198" s="27"/>
      <c r="G198" s="27"/>
      <c r="H198" s="27"/>
      <c r="J198" s="27"/>
      <c r="K198" s="27"/>
      <c r="L198" s="27"/>
    </row>
    <row r="199">
      <c r="F199" s="27"/>
      <c r="G199" s="27"/>
      <c r="H199" s="27"/>
      <c r="J199" s="27"/>
      <c r="K199" s="27"/>
      <c r="L199" s="27"/>
    </row>
    <row r="200">
      <c r="F200" s="27"/>
      <c r="G200" s="27"/>
      <c r="H200" s="27"/>
      <c r="J200" s="27"/>
      <c r="K200" s="27"/>
      <c r="L200" s="27"/>
    </row>
    <row r="201">
      <c r="F201" s="27"/>
      <c r="G201" s="27"/>
      <c r="H201" s="27"/>
      <c r="J201" s="27"/>
      <c r="K201" s="27"/>
      <c r="L201" s="27"/>
    </row>
    <row r="202">
      <c r="F202" s="27"/>
      <c r="G202" s="27"/>
      <c r="H202" s="27"/>
      <c r="J202" s="27"/>
      <c r="K202" s="27"/>
      <c r="L202" s="27"/>
    </row>
    <row r="203">
      <c r="F203" s="27"/>
      <c r="G203" s="27"/>
      <c r="H203" s="27"/>
      <c r="J203" s="27"/>
      <c r="K203" s="27"/>
      <c r="L203" s="27"/>
    </row>
    <row r="204">
      <c r="F204" s="27"/>
      <c r="G204" s="27"/>
      <c r="H204" s="27"/>
      <c r="J204" s="27"/>
      <c r="K204" s="27"/>
      <c r="L204" s="27"/>
    </row>
    <row r="205">
      <c r="F205" s="27"/>
      <c r="G205" s="27"/>
      <c r="H205" s="27"/>
      <c r="J205" s="27"/>
      <c r="K205" s="27"/>
      <c r="L205" s="27"/>
    </row>
    <row r="206">
      <c r="F206" s="27"/>
      <c r="G206" s="27"/>
      <c r="H206" s="27"/>
      <c r="J206" s="27"/>
      <c r="K206" s="27"/>
      <c r="L206" s="27"/>
    </row>
    <row r="207">
      <c r="F207" s="27"/>
      <c r="G207" s="27"/>
      <c r="H207" s="27"/>
      <c r="J207" s="27"/>
      <c r="K207" s="27"/>
      <c r="L207" s="27"/>
    </row>
    <row r="208">
      <c r="F208" s="27"/>
      <c r="G208" s="27"/>
      <c r="H208" s="27"/>
      <c r="J208" s="27"/>
      <c r="K208" s="27"/>
      <c r="L208" s="27"/>
    </row>
    <row r="209">
      <c r="F209" s="27"/>
      <c r="G209" s="27"/>
      <c r="H209" s="27"/>
      <c r="J209" s="27"/>
      <c r="K209" s="27"/>
      <c r="L209" s="27"/>
    </row>
    <row r="210">
      <c r="F210" s="27"/>
      <c r="G210" s="27"/>
      <c r="H210" s="27"/>
      <c r="J210" s="27"/>
      <c r="K210" s="27"/>
      <c r="L210" s="27"/>
    </row>
    <row r="211">
      <c r="F211" s="27"/>
      <c r="G211" s="27"/>
      <c r="H211" s="27"/>
      <c r="J211" s="27"/>
      <c r="K211" s="27"/>
      <c r="L211" s="27"/>
    </row>
    <row r="212">
      <c r="F212" s="27"/>
      <c r="G212" s="27"/>
      <c r="H212" s="27"/>
      <c r="J212" s="27"/>
      <c r="K212" s="27"/>
      <c r="L212" s="27"/>
    </row>
    <row r="213">
      <c r="F213" s="27"/>
      <c r="G213" s="27"/>
      <c r="H213" s="27"/>
      <c r="J213" s="27"/>
      <c r="K213" s="27"/>
      <c r="L213" s="27"/>
    </row>
    <row r="214">
      <c r="F214" s="27"/>
      <c r="G214" s="27"/>
      <c r="H214" s="27"/>
      <c r="J214" s="27"/>
      <c r="K214" s="27"/>
      <c r="L214" s="27"/>
    </row>
    <row r="215">
      <c r="F215" s="27"/>
      <c r="G215" s="27"/>
      <c r="H215" s="27"/>
      <c r="J215" s="27"/>
      <c r="K215" s="27"/>
      <c r="L215" s="27"/>
    </row>
    <row r="216">
      <c r="F216" s="27"/>
      <c r="G216" s="27"/>
      <c r="H216" s="27"/>
      <c r="J216" s="27"/>
      <c r="K216" s="27"/>
      <c r="L216" s="27"/>
    </row>
    <row r="217">
      <c r="F217" s="27"/>
      <c r="G217" s="27"/>
      <c r="H217" s="27"/>
      <c r="J217" s="27"/>
      <c r="K217" s="27"/>
      <c r="L217" s="27"/>
    </row>
    <row r="218">
      <c r="F218" s="27"/>
      <c r="G218" s="27"/>
      <c r="H218" s="27"/>
      <c r="J218" s="27"/>
      <c r="K218" s="27"/>
      <c r="L218" s="27"/>
    </row>
    <row r="219">
      <c r="F219" s="27"/>
      <c r="G219" s="27"/>
      <c r="H219" s="27"/>
      <c r="J219" s="27"/>
      <c r="K219" s="27"/>
      <c r="L219" s="27"/>
    </row>
    <row r="220">
      <c r="F220" s="27"/>
      <c r="G220" s="27"/>
      <c r="H220" s="27"/>
      <c r="J220" s="27"/>
      <c r="K220" s="27"/>
      <c r="L220" s="27"/>
    </row>
    <row r="221">
      <c r="F221" s="27"/>
      <c r="G221" s="27"/>
      <c r="H221" s="27"/>
      <c r="J221" s="27"/>
      <c r="K221" s="27"/>
      <c r="L221" s="27"/>
    </row>
    <row r="222">
      <c r="F222" s="27"/>
      <c r="G222" s="27"/>
      <c r="H222" s="27"/>
      <c r="J222" s="27"/>
      <c r="K222" s="27"/>
      <c r="L222" s="27"/>
    </row>
    <row r="223">
      <c r="F223" s="27"/>
      <c r="G223" s="27"/>
      <c r="H223" s="27"/>
      <c r="J223" s="27"/>
      <c r="K223" s="27"/>
      <c r="L223" s="27"/>
    </row>
    <row r="224">
      <c r="F224" s="27"/>
      <c r="G224" s="27"/>
      <c r="H224" s="27"/>
      <c r="J224" s="27"/>
      <c r="K224" s="27"/>
      <c r="L224" s="27"/>
    </row>
    <row r="225">
      <c r="F225" s="27"/>
      <c r="G225" s="27"/>
      <c r="H225" s="27"/>
      <c r="J225" s="27"/>
      <c r="K225" s="27"/>
      <c r="L225" s="27"/>
    </row>
    <row r="226">
      <c r="F226" s="27"/>
      <c r="G226" s="27"/>
      <c r="H226" s="27"/>
      <c r="J226" s="27"/>
      <c r="K226" s="27"/>
      <c r="L226" s="27"/>
    </row>
    <row r="227">
      <c r="F227" s="27"/>
      <c r="G227" s="27"/>
      <c r="H227" s="27"/>
      <c r="J227" s="27"/>
      <c r="K227" s="27"/>
      <c r="L227" s="27"/>
    </row>
    <row r="228">
      <c r="F228" s="27"/>
      <c r="G228" s="27"/>
      <c r="H228" s="27"/>
      <c r="J228" s="27"/>
      <c r="K228" s="27"/>
      <c r="L228" s="27"/>
    </row>
    <row r="229">
      <c r="F229" s="27"/>
      <c r="G229" s="27"/>
      <c r="H229" s="27"/>
      <c r="J229" s="27"/>
      <c r="K229" s="27"/>
      <c r="L229" s="27"/>
    </row>
    <row r="230">
      <c r="F230" s="27"/>
      <c r="G230" s="27"/>
      <c r="H230" s="27"/>
      <c r="J230" s="27"/>
      <c r="K230" s="27"/>
      <c r="L230" s="27"/>
    </row>
    <row r="231">
      <c r="F231" s="27"/>
      <c r="G231" s="27"/>
      <c r="H231" s="27"/>
      <c r="J231" s="27"/>
      <c r="K231" s="27"/>
      <c r="L231" s="27"/>
    </row>
    <row r="232">
      <c r="F232" s="27"/>
      <c r="G232" s="27"/>
      <c r="H232" s="27"/>
      <c r="J232" s="27"/>
      <c r="K232" s="27"/>
      <c r="L232" s="27"/>
    </row>
    <row r="233">
      <c r="F233" s="27"/>
      <c r="G233" s="27"/>
      <c r="H233" s="27"/>
      <c r="J233" s="27"/>
      <c r="K233" s="27"/>
      <c r="L233" s="27"/>
    </row>
    <row r="234">
      <c r="F234" s="27"/>
      <c r="G234" s="27"/>
      <c r="H234" s="27"/>
      <c r="J234" s="27"/>
      <c r="K234" s="27"/>
      <c r="L234" s="27"/>
    </row>
    <row r="235">
      <c r="F235" s="27"/>
      <c r="G235" s="27"/>
      <c r="H235" s="27"/>
      <c r="J235" s="27"/>
      <c r="K235" s="27"/>
      <c r="L235" s="27"/>
    </row>
    <row r="236">
      <c r="F236" s="27"/>
      <c r="G236" s="27"/>
      <c r="H236" s="27"/>
      <c r="J236" s="27"/>
      <c r="K236" s="27"/>
      <c r="L236" s="27"/>
    </row>
    <row r="237">
      <c r="F237" s="27"/>
      <c r="G237" s="27"/>
      <c r="H237" s="27"/>
      <c r="J237" s="27"/>
      <c r="K237" s="27"/>
      <c r="L237" s="27"/>
    </row>
    <row r="238">
      <c r="F238" s="27"/>
      <c r="G238" s="27"/>
      <c r="H238" s="27"/>
      <c r="J238" s="27"/>
      <c r="K238" s="27"/>
      <c r="L238" s="27"/>
    </row>
    <row r="239">
      <c r="F239" s="27"/>
      <c r="G239" s="27"/>
      <c r="H239" s="27"/>
      <c r="J239" s="27"/>
      <c r="K239" s="27"/>
      <c r="L239" s="27"/>
    </row>
    <row r="240">
      <c r="F240" s="27"/>
      <c r="G240" s="27"/>
      <c r="H240" s="27"/>
      <c r="J240" s="27"/>
      <c r="K240" s="27"/>
      <c r="L240" s="27"/>
    </row>
    <row r="241">
      <c r="F241" s="27"/>
      <c r="G241" s="27"/>
      <c r="H241" s="27"/>
      <c r="J241" s="27"/>
      <c r="K241" s="27"/>
      <c r="L241" s="27"/>
    </row>
    <row r="242">
      <c r="F242" s="27"/>
      <c r="G242" s="27"/>
      <c r="H242" s="27"/>
      <c r="J242" s="27"/>
      <c r="K242" s="27"/>
      <c r="L242" s="27"/>
    </row>
    <row r="243">
      <c r="F243" s="27"/>
      <c r="G243" s="27"/>
      <c r="H243" s="27"/>
      <c r="J243" s="27"/>
      <c r="K243" s="27"/>
      <c r="L243" s="27"/>
    </row>
    <row r="244">
      <c r="F244" s="27"/>
      <c r="G244" s="27"/>
      <c r="H244" s="27"/>
      <c r="J244" s="27"/>
      <c r="K244" s="27"/>
      <c r="L244" s="27"/>
    </row>
    <row r="245">
      <c r="F245" s="27"/>
      <c r="G245" s="27"/>
      <c r="H245" s="27"/>
      <c r="J245" s="27"/>
      <c r="K245" s="27"/>
      <c r="L245" s="27"/>
    </row>
    <row r="246">
      <c r="F246" s="27"/>
      <c r="G246" s="27"/>
      <c r="H246" s="27"/>
      <c r="J246" s="27"/>
      <c r="K246" s="27"/>
      <c r="L246" s="27"/>
    </row>
    <row r="247">
      <c r="F247" s="27"/>
      <c r="G247" s="27"/>
      <c r="H247" s="27"/>
      <c r="J247" s="27"/>
      <c r="K247" s="27"/>
      <c r="L247" s="27"/>
    </row>
    <row r="248">
      <c r="F248" s="27"/>
      <c r="G248" s="27"/>
      <c r="H248" s="27"/>
      <c r="J248" s="27"/>
      <c r="K248" s="27"/>
      <c r="L248" s="27"/>
    </row>
    <row r="249">
      <c r="F249" s="27"/>
      <c r="G249" s="27"/>
      <c r="H249" s="27"/>
      <c r="J249" s="27"/>
      <c r="K249" s="27"/>
      <c r="L249" s="27"/>
    </row>
    <row r="250">
      <c r="F250" s="27"/>
      <c r="G250" s="27"/>
      <c r="H250" s="27"/>
      <c r="J250" s="27"/>
      <c r="K250" s="27"/>
      <c r="L250" s="27"/>
    </row>
    <row r="251">
      <c r="F251" s="27"/>
      <c r="G251" s="27"/>
      <c r="H251" s="27"/>
      <c r="J251" s="27"/>
      <c r="K251" s="27"/>
      <c r="L251" s="27"/>
    </row>
    <row r="252">
      <c r="F252" s="27"/>
      <c r="G252" s="27"/>
      <c r="H252" s="27"/>
      <c r="J252" s="27"/>
      <c r="K252" s="27"/>
      <c r="L252" s="27"/>
    </row>
    <row r="253">
      <c r="F253" s="27"/>
      <c r="G253" s="27"/>
      <c r="H253" s="27"/>
      <c r="J253" s="27"/>
      <c r="K253" s="27"/>
      <c r="L253" s="27"/>
    </row>
    <row r="254">
      <c r="F254" s="27"/>
      <c r="G254" s="27"/>
      <c r="H254" s="27"/>
      <c r="J254" s="27"/>
      <c r="K254" s="27"/>
      <c r="L254" s="27"/>
    </row>
    <row r="255">
      <c r="F255" s="27"/>
      <c r="G255" s="27"/>
      <c r="H255" s="27"/>
      <c r="J255" s="27"/>
      <c r="K255" s="27"/>
      <c r="L255" s="27"/>
    </row>
    <row r="256">
      <c r="F256" s="27"/>
      <c r="G256" s="27"/>
      <c r="H256" s="27"/>
      <c r="J256" s="27"/>
      <c r="K256" s="27"/>
      <c r="L256" s="27"/>
    </row>
    <row r="257">
      <c r="F257" s="27"/>
      <c r="G257" s="27"/>
      <c r="H257" s="27"/>
      <c r="J257" s="27"/>
      <c r="K257" s="27"/>
      <c r="L257" s="27"/>
    </row>
    <row r="258">
      <c r="F258" s="27"/>
      <c r="G258" s="27"/>
      <c r="H258" s="27"/>
      <c r="J258" s="27"/>
      <c r="K258" s="27"/>
      <c r="L258" s="27"/>
    </row>
    <row r="259">
      <c r="F259" s="27"/>
      <c r="G259" s="27"/>
      <c r="H259" s="27"/>
      <c r="J259" s="27"/>
      <c r="K259" s="27"/>
      <c r="L259" s="27"/>
    </row>
    <row r="260">
      <c r="F260" s="27"/>
      <c r="G260" s="27"/>
      <c r="H260" s="27"/>
      <c r="J260" s="27"/>
      <c r="K260" s="27"/>
      <c r="L260" s="27"/>
    </row>
    <row r="261">
      <c r="F261" s="27"/>
      <c r="G261" s="27"/>
      <c r="H261" s="27"/>
      <c r="J261" s="27"/>
      <c r="K261" s="27"/>
      <c r="L261" s="27"/>
    </row>
    <row r="262">
      <c r="F262" s="27"/>
      <c r="G262" s="27"/>
      <c r="H262" s="27"/>
      <c r="J262" s="27"/>
      <c r="K262" s="27"/>
      <c r="L262" s="27"/>
    </row>
    <row r="263">
      <c r="F263" s="27"/>
      <c r="G263" s="27"/>
      <c r="H263" s="27"/>
      <c r="J263" s="27"/>
      <c r="K263" s="27"/>
      <c r="L263" s="27"/>
    </row>
    <row r="264">
      <c r="F264" s="27"/>
      <c r="G264" s="27"/>
      <c r="H264" s="27"/>
      <c r="J264" s="27"/>
      <c r="K264" s="27"/>
      <c r="L264" s="27"/>
    </row>
    <row r="265">
      <c r="F265" s="27"/>
      <c r="G265" s="27"/>
      <c r="H265" s="27"/>
      <c r="J265" s="27"/>
      <c r="K265" s="27"/>
      <c r="L265" s="27"/>
    </row>
    <row r="266">
      <c r="F266" s="27"/>
      <c r="G266" s="27"/>
      <c r="H266" s="27"/>
      <c r="J266" s="27"/>
      <c r="K266" s="27"/>
      <c r="L266" s="27"/>
    </row>
    <row r="267">
      <c r="F267" s="27"/>
      <c r="G267" s="27"/>
      <c r="H267" s="27"/>
      <c r="J267" s="27"/>
      <c r="K267" s="27"/>
      <c r="L267" s="27"/>
    </row>
    <row r="268">
      <c r="F268" s="27"/>
      <c r="G268" s="27"/>
      <c r="H268" s="27"/>
      <c r="J268" s="27"/>
      <c r="K268" s="27"/>
      <c r="L268" s="27"/>
    </row>
    <row r="269">
      <c r="F269" s="27"/>
      <c r="G269" s="27"/>
      <c r="H269" s="27"/>
      <c r="J269" s="27"/>
      <c r="K269" s="27"/>
      <c r="L269" s="27"/>
    </row>
    <row r="270">
      <c r="F270" s="27"/>
      <c r="G270" s="27"/>
      <c r="H270" s="27"/>
      <c r="J270" s="27"/>
      <c r="K270" s="27"/>
      <c r="L270" s="27"/>
    </row>
    <row r="271">
      <c r="F271" s="27"/>
      <c r="G271" s="27"/>
      <c r="H271" s="27"/>
      <c r="J271" s="27"/>
      <c r="K271" s="27"/>
      <c r="L271" s="27"/>
    </row>
    <row r="272">
      <c r="F272" s="27"/>
      <c r="G272" s="27"/>
      <c r="H272" s="27"/>
      <c r="J272" s="27"/>
      <c r="K272" s="27"/>
      <c r="L272" s="27"/>
    </row>
    <row r="273">
      <c r="F273" s="27"/>
      <c r="G273" s="27"/>
      <c r="H273" s="27"/>
      <c r="J273" s="27"/>
      <c r="K273" s="27"/>
      <c r="L273" s="27"/>
    </row>
    <row r="274">
      <c r="F274" s="27"/>
      <c r="G274" s="27"/>
      <c r="H274" s="27"/>
      <c r="J274" s="27"/>
      <c r="K274" s="27"/>
      <c r="L274" s="27"/>
    </row>
    <row r="275">
      <c r="F275" s="27"/>
      <c r="G275" s="27"/>
      <c r="H275" s="27"/>
      <c r="J275" s="27"/>
      <c r="K275" s="27"/>
      <c r="L275" s="27"/>
    </row>
    <row r="276">
      <c r="F276" s="27"/>
      <c r="G276" s="27"/>
      <c r="H276" s="27"/>
      <c r="J276" s="27"/>
      <c r="K276" s="27"/>
      <c r="L276" s="27"/>
    </row>
    <row r="277">
      <c r="F277" s="27"/>
      <c r="G277" s="27"/>
      <c r="H277" s="27"/>
      <c r="J277" s="27"/>
      <c r="K277" s="27"/>
      <c r="L277" s="27"/>
    </row>
    <row r="278">
      <c r="F278" s="27"/>
      <c r="G278" s="27"/>
      <c r="H278" s="27"/>
      <c r="J278" s="27"/>
      <c r="K278" s="27"/>
      <c r="L278" s="27"/>
    </row>
    <row r="279">
      <c r="F279" s="27"/>
      <c r="G279" s="27"/>
      <c r="H279" s="27"/>
      <c r="J279" s="27"/>
      <c r="K279" s="27"/>
      <c r="L279" s="27"/>
    </row>
    <row r="280">
      <c r="F280" s="27"/>
      <c r="G280" s="27"/>
      <c r="H280" s="27"/>
      <c r="J280" s="27"/>
      <c r="K280" s="27"/>
      <c r="L280" s="27"/>
    </row>
    <row r="281">
      <c r="F281" s="27"/>
      <c r="G281" s="27"/>
      <c r="H281" s="27"/>
      <c r="J281" s="27"/>
      <c r="K281" s="27"/>
      <c r="L281" s="27"/>
    </row>
    <row r="282">
      <c r="F282" s="27"/>
      <c r="G282" s="27"/>
      <c r="H282" s="27"/>
      <c r="J282" s="27"/>
      <c r="K282" s="27"/>
      <c r="L282" s="27"/>
    </row>
    <row r="283">
      <c r="F283" s="27"/>
      <c r="G283" s="27"/>
      <c r="H283" s="27"/>
      <c r="J283" s="27"/>
      <c r="K283" s="27"/>
      <c r="L283" s="27"/>
    </row>
    <row r="284">
      <c r="F284" s="27"/>
      <c r="G284" s="27"/>
      <c r="H284" s="27"/>
      <c r="J284" s="27"/>
      <c r="K284" s="27"/>
      <c r="L284" s="27"/>
    </row>
    <row r="285">
      <c r="F285" s="27"/>
      <c r="G285" s="27"/>
      <c r="H285" s="27"/>
      <c r="J285" s="27"/>
      <c r="K285" s="27"/>
      <c r="L285" s="27"/>
    </row>
    <row r="286">
      <c r="F286" s="27"/>
      <c r="G286" s="27"/>
      <c r="H286" s="27"/>
      <c r="J286" s="27"/>
      <c r="K286" s="27"/>
      <c r="L286" s="27"/>
    </row>
    <row r="287">
      <c r="F287" s="27"/>
      <c r="G287" s="27"/>
      <c r="H287" s="27"/>
      <c r="J287" s="27"/>
      <c r="K287" s="27"/>
      <c r="L287" s="27"/>
    </row>
    <row r="288">
      <c r="F288" s="27"/>
      <c r="G288" s="27"/>
      <c r="H288" s="27"/>
      <c r="J288" s="27"/>
      <c r="K288" s="27"/>
      <c r="L288" s="27"/>
    </row>
    <row r="289">
      <c r="F289" s="27"/>
      <c r="G289" s="27"/>
      <c r="H289" s="27"/>
      <c r="J289" s="27"/>
      <c r="K289" s="27"/>
      <c r="L289" s="27"/>
    </row>
    <row r="290">
      <c r="F290" s="27"/>
      <c r="G290" s="27"/>
      <c r="H290" s="27"/>
      <c r="J290" s="27"/>
      <c r="K290" s="27"/>
      <c r="L290" s="27"/>
    </row>
    <row r="291">
      <c r="F291" s="27"/>
      <c r="G291" s="27"/>
      <c r="H291" s="27"/>
      <c r="J291" s="27"/>
      <c r="K291" s="27"/>
      <c r="L291" s="27"/>
    </row>
    <row r="292">
      <c r="F292" s="27"/>
      <c r="G292" s="27"/>
      <c r="H292" s="27"/>
      <c r="J292" s="27"/>
      <c r="K292" s="27"/>
      <c r="L292" s="27"/>
    </row>
    <row r="293">
      <c r="F293" s="27"/>
      <c r="G293" s="27"/>
      <c r="H293" s="27"/>
      <c r="J293" s="27"/>
      <c r="K293" s="27"/>
      <c r="L293" s="27"/>
    </row>
    <row r="294">
      <c r="F294" s="27"/>
      <c r="G294" s="27"/>
      <c r="H294" s="27"/>
      <c r="J294" s="27"/>
      <c r="K294" s="27"/>
      <c r="L294" s="27"/>
    </row>
    <row r="295">
      <c r="F295" s="27"/>
      <c r="G295" s="27"/>
      <c r="H295" s="27"/>
      <c r="J295" s="27"/>
      <c r="K295" s="27"/>
      <c r="L295" s="27"/>
    </row>
    <row r="296">
      <c r="F296" s="27"/>
      <c r="G296" s="27"/>
      <c r="H296" s="27"/>
      <c r="J296" s="27"/>
      <c r="K296" s="27"/>
      <c r="L296" s="27"/>
    </row>
    <row r="297">
      <c r="F297" s="27"/>
      <c r="G297" s="27"/>
      <c r="H297" s="27"/>
      <c r="J297" s="27"/>
      <c r="K297" s="27"/>
      <c r="L297" s="27"/>
    </row>
    <row r="298">
      <c r="F298" s="27"/>
      <c r="G298" s="27"/>
      <c r="H298" s="27"/>
      <c r="J298" s="27"/>
      <c r="K298" s="27"/>
      <c r="L298" s="27"/>
    </row>
    <row r="299">
      <c r="F299" s="27"/>
      <c r="G299" s="27"/>
      <c r="H299" s="27"/>
      <c r="J299" s="27"/>
      <c r="K299" s="27"/>
      <c r="L299" s="27"/>
    </row>
    <row r="300">
      <c r="F300" s="27"/>
      <c r="G300" s="27"/>
      <c r="H300" s="27"/>
      <c r="J300" s="27"/>
      <c r="K300" s="27"/>
      <c r="L300" s="27"/>
    </row>
    <row r="301">
      <c r="F301" s="27"/>
      <c r="G301" s="27"/>
      <c r="H301" s="27"/>
      <c r="J301" s="27"/>
      <c r="K301" s="27"/>
      <c r="L301" s="27"/>
    </row>
    <row r="302">
      <c r="F302" s="27"/>
      <c r="G302" s="27"/>
      <c r="H302" s="27"/>
      <c r="J302" s="27"/>
      <c r="K302" s="27"/>
      <c r="L302" s="27"/>
    </row>
    <row r="303">
      <c r="F303" s="27"/>
      <c r="G303" s="27"/>
      <c r="H303" s="27"/>
      <c r="J303" s="27"/>
      <c r="K303" s="27"/>
      <c r="L303" s="27"/>
    </row>
    <row r="304">
      <c r="F304" s="27"/>
      <c r="G304" s="27"/>
      <c r="H304" s="27"/>
      <c r="J304" s="27"/>
      <c r="K304" s="27"/>
      <c r="L304" s="27"/>
    </row>
    <row r="305">
      <c r="F305" s="27"/>
      <c r="G305" s="27"/>
      <c r="H305" s="27"/>
      <c r="J305" s="27"/>
      <c r="K305" s="27"/>
      <c r="L305" s="27"/>
    </row>
    <row r="306">
      <c r="F306" s="27"/>
      <c r="G306" s="27"/>
      <c r="H306" s="27"/>
      <c r="J306" s="27"/>
      <c r="K306" s="27"/>
      <c r="L306" s="27"/>
    </row>
    <row r="307">
      <c r="F307" s="27"/>
      <c r="G307" s="27"/>
      <c r="H307" s="27"/>
      <c r="J307" s="27"/>
      <c r="K307" s="27"/>
      <c r="L307" s="27"/>
    </row>
    <row r="308">
      <c r="F308" s="27"/>
      <c r="G308" s="27"/>
      <c r="H308" s="27"/>
      <c r="J308" s="27"/>
      <c r="K308" s="27"/>
      <c r="L308" s="27"/>
    </row>
    <row r="309">
      <c r="F309" s="27"/>
      <c r="G309" s="27"/>
      <c r="H309" s="27"/>
      <c r="J309" s="27"/>
      <c r="K309" s="27"/>
      <c r="L309" s="27"/>
    </row>
    <row r="310">
      <c r="F310" s="27"/>
      <c r="G310" s="27"/>
      <c r="H310" s="27"/>
      <c r="J310" s="27"/>
      <c r="K310" s="27"/>
      <c r="L310" s="27"/>
    </row>
    <row r="311">
      <c r="F311" s="27"/>
      <c r="G311" s="27"/>
      <c r="H311" s="27"/>
      <c r="J311" s="27"/>
      <c r="K311" s="27"/>
      <c r="L311" s="27"/>
    </row>
    <row r="312">
      <c r="F312" s="27"/>
      <c r="G312" s="27"/>
      <c r="H312" s="27"/>
      <c r="J312" s="27"/>
      <c r="K312" s="27"/>
      <c r="L312" s="27"/>
    </row>
    <row r="313">
      <c r="F313" s="27"/>
      <c r="G313" s="27"/>
      <c r="H313" s="27"/>
      <c r="J313" s="27"/>
      <c r="K313" s="27"/>
      <c r="L313" s="27"/>
    </row>
    <row r="314">
      <c r="F314" s="27"/>
      <c r="G314" s="27"/>
      <c r="H314" s="27"/>
      <c r="J314" s="27"/>
      <c r="K314" s="27"/>
      <c r="L314" s="27"/>
    </row>
    <row r="315">
      <c r="F315" s="27"/>
      <c r="G315" s="27"/>
      <c r="H315" s="27"/>
      <c r="J315" s="27"/>
      <c r="K315" s="27"/>
      <c r="L315" s="27"/>
    </row>
    <row r="316">
      <c r="F316" s="27"/>
      <c r="G316" s="27"/>
      <c r="H316" s="27"/>
      <c r="J316" s="27"/>
      <c r="K316" s="27"/>
      <c r="L316" s="27"/>
    </row>
    <row r="317">
      <c r="F317" s="27"/>
      <c r="G317" s="27"/>
      <c r="H317" s="27"/>
      <c r="J317" s="27"/>
      <c r="K317" s="27"/>
      <c r="L317" s="27"/>
    </row>
    <row r="318">
      <c r="F318" s="27"/>
      <c r="G318" s="27"/>
      <c r="H318" s="27"/>
      <c r="J318" s="27"/>
      <c r="K318" s="27"/>
      <c r="L318" s="27"/>
    </row>
    <row r="319">
      <c r="F319" s="27"/>
      <c r="G319" s="27"/>
      <c r="H319" s="27"/>
      <c r="J319" s="27"/>
      <c r="K319" s="27"/>
      <c r="L319" s="27"/>
    </row>
    <row r="320">
      <c r="F320" s="27"/>
      <c r="G320" s="27"/>
      <c r="H320" s="27"/>
      <c r="J320" s="27"/>
      <c r="K320" s="27"/>
      <c r="L320" s="27"/>
    </row>
    <row r="321">
      <c r="F321" s="27"/>
      <c r="G321" s="27"/>
      <c r="H321" s="27"/>
      <c r="J321" s="27"/>
      <c r="K321" s="27"/>
      <c r="L321" s="27"/>
    </row>
    <row r="322">
      <c r="F322" s="27"/>
      <c r="G322" s="27"/>
      <c r="H322" s="27"/>
      <c r="J322" s="27"/>
      <c r="K322" s="27"/>
      <c r="L322" s="27"/>
    </row>
    <row r="323">
      <c r="F323" s="27"/>
      <c r="G323" s="27"/>
      <c r="H323" s="27"/>
      <c r="J323" s="27"/>
      <c r="K323" s="27"/>
      <c r="L323" s="27"/>
    </row>
    <row r="324">
      <c r="F324" s="27"/>
      <c r="G324" s="27"/>
      <c r="H324" s="27"/>
      <c r="J324" s="27"/>
      <c r="K324" s="27"/>
      <c r="L324" s="27"/>
    </row>
    <row r="325">
      <c r="F325" s="27"/>
      <c r="G325" s="27"/>
      <c r="H325" s="27"/>
      <c r="J325" s="27"/>
      <c r="K325" s="27"/>
      <c r="L325" s="27"/>
    </row>
    <row r="326">
      <c r="F326" s="27"/>
      <c r="G326" s="27"/>
      <c r="H326" s="27"/>
      <c r="J326" s="27"/>
      <c r="K326" s="27"/>
      <c r="L326" s="27"/>
    </row>
    <row r="327">
      <c r="F327" s="27"/>
      <c r="G327" s="27"/>
      <c r="H327" s="27"/>
      <c r="J327" s="27"/>
      <c r="K327" s="27"/>
      <c r="L327" s="27"/>
    </row>
    <row r="328">
      <c r="F328" s="27"/>
      <c r="G328" s="27"/>
      <c r="H328" s="27"/>
      <c r="J328" s="27"/>
      <c r="K328" s="27"/>
      <c r="L328" s="27"/>
    </row>
    <row r="329">
      <c r="F329" s="27"/>
      <c r="G329" s="27"/>
      <c r="H329" s="27"/>
      <c r="J329" s="27"/>
      <c r="K329" s="27"/>
      <c r="L329" s="27"/>
    </row>
    <row r="330">
      <c r="F330" s="27"/>
      <c r="G330" s="27"/>
      <c r="H330" s="27"/>
      <c r="J330" s="27"/>
      <c r="K330" s="27"/>
      <c r="L330" s="27"/>
    </row>
    <row r="331">
      <c r="F331" s="27"/>
      <c r="G331" s="27"/>
      <c r="H331" s="27"/>
      <c r="J331" s="27"/>
      <c r="K331" s="27"/>
      <c r="L331" s="27"/>
    </row>
    <row r="332">
      <c r="F332" s="27"/>
      <c r="G332" s="27"/>
      <c r="H332" s="27"/>
      <c r="J332" s="27"/>
      <c r="K332" s="27"/>
      <c r="L332" s="27"/>
    </row>
    <row r="333">
      <c r="F333" s="27"/>
      <c r="G333" s="27"/>
      <c r="H333" s="27"/>
      <c r="J333" s="27"/>
      <c r="K333" s="27"/>
      <c r="L333" s="27"/>
    </row>
    <row r="334">
      <c r="F334" s="27"/>
      <c r="G334" s="27"/>
      <c r="H334" s="27"/>
      <c r="J334" s="27"/>
      <c r="K334" s="27"/>
      <c r="L334" s="27"/>
    </row>
    <row r="335">
      <c r="F335" s="27"/>
      <c r="G335" s="27"/>
      <c r="H335" s="27"/>
      <c r="J335" s="27"/>
      <c r="K335" s="27"/>
      <c r="L335" s="27"/>
    </row>
    <row r="336">
      <c r="F336" s="27"/>
      <c r="G336" s="27"/>
      <c r="H336" s="27"/>
      <c r="J336" s="27"/>
      <c r="K336" s="27"/>
      <c r="L336" s="27"/>
    </row>
    <row r="337">
      <c r="F337" s="27"/>
      <c r="G337" s="27"/>
      <c r="H337" s="27"/>
      <c r="J337" s="27"/>
      <c r="K337" s="27"/>
      <c r="L337" s="27"/>
    </row>
    <row r="338">
      <c r="F338" s="27"/>
      <c r="G338" s="27"/>
      <c r="H338" s="27"/>
      <c r="J338" s="27"/>
      <c r="K338" s="27"/>
      <c r="L338" s="27"/>
    </row>
    <row r="339">
      <c r="F339" s="27"/>
      <c r="G339" s="27"/>
      <c r="H339" s="27"/>
      <c r="J339" s="27"/>
      <c r="K339" s="27"/>
      <c r="L339" s="27"/>
    </row>
    <row r="340">
      <c r="F340" s="27"/>
      <c r="G340" s="27"/>
      <c r="H340" s="27"/>
      <c r="J340" s="27"/>
      <c r="K340" s="27"/>
      <c r="L340" s="27"/>
    </row>
    <row r="341">
      <c r="F341" s="27"/>
      <c r="G341" s="27"/>
      <c r="H341" s="27"/>
      <c r="J341" s="27"/>
      <c r="K341" s="27"/>
      <c r="L341" s="27"/>
    </row>
    <row r="342">
      <c r="F342" s="27"/>
      <c r="G342" s="27"/>
      <c r="H342" s="27"/>
      <c r="J342" s="27"/>
      <c r="K342" s="27"/>
      <c r="L342" s="27"/>
    </row>
    <row r="343">
      <c r="F343" s="27"/>
      <c r="G343" s="27"/>
      <c r="H343" s="27"/>
      <c r="J343" s="27"/>
      <c r="K343" s="27"/>
      <c r="L343" s="27"/>
    </row>
    <row r="344">
      <c r="F344" s="27"/>
      <c r="G344" s="27"/>
      <c r="H344" s="27"/>
      <c r="J344" s="27"/>
      <c r="K344" s="27"/>
      <c r="L344" s="27"/>
    </row>
    <row r="345">
      <c r="F345" s="27"/>
      <c r="G345" s="27"/>
      <c r="H345" s="27"/>
      <c r="J345" s="27"/>
      <c r="K345" s="27"/>
      <c r="L345" s="27"/>
    </row>
    <row r="346">
      <c r="F346" s="27"/>
      <c r="G346" s="27"/>
      <c r="H346" s="27"/>
      <c r="J346" s="27"/>
      <c r="K346" s="27"/>
      <c r="L346" s="27"/>
    </row>
    <row r="347">
      <c r="F347" s="27"/>
      <c r="G347" s="27"/>
      <c r="H347" s="27"/>
      <c r="J347" s="27"/>
      <c r="K347" s="27"/>
      <c r="L347" s="27"/>
    </row>
    <row r="348">
      <c r="F348" s="27"/>
      <c r="G348" s="27"/>
      <c r="H348" s="27"/>
      <c r="J348" s="27"/>
      <c r="K348" s="27"/>
      <c r="L348" s="27"/>
    </row>
    <row r="349">
      <c r="F349" s="27"/>
      <c r="G349" s="27"/>
      <c r="H349" s="27"/>
      <c r="J349" s="27"/>
      <c r="K349" s="27"/>
      <c r="L349" s="27"/>
    </row>
    <row r="350">
      <c r="F350" s="27"/>
      <c r="G350" s="27"/>
      <c r="H350" s="27"/>
      <c r="J350" s="27"/>
      <c r="K350" s="27"/>
      <c r="L350" s="27"/>
    </row>
    <row r="351">
      <c r="F351" s="27"/>
      <c r="G351" s="27"/>
      <c r="H351" s="27"/>
      <c r="J351" s="27"/>
      <c r="K351" s="27"/>
      <c r="L351" s="27"/>
    </row>
    <row r="352">
      <c r="F352" s="27"/>
      <c r="G352" s="27"/>
      <c r="H352" s="27"/>
      <c r="J352" s="27"/>
      <c r="K352" s="27"/>
      <c r="L352" s="27"/>
    </row>
    <row r="353">
      <c r="F353" s="27"/>
      <c r="G353" s="27"/>
      <c r="H353" s="27"/>
      <c r="J353" s="27"/>
      <c r="K353" s="27"/>
      <c r="L353" s="27"/>
    </row>
    <row r="354">
      <c r="F354" s="27"/>
      <c r="G354" s="27"/>
      <c r="H354" s="27"/>
      <c r="J354" s="27"/>
      <c r="K354" s="27"/>
      <c r="L354" s="27"/>
    </row>
    <row r="355">
      <c r="F355" s="27"/>
      <c r="G355" s="27"/>
      <c r="H355" s="27"/>
      <c r="J355" s="27"/>
      <c r="K355" s="27"/>
      <c r="L355" s="27"/>
    </row>
    <row r="356">
      <c r="F356" s="27"/>
      <c r="G356" s="27"/>
      <c r="H356" s="27"/>
      <c r="J356" s="27"/>
      <c r="K356" s="27"/>
      <c r="L356" s="27"/>
    </row>
    <row r="357">
      <c r="F357" s="27"/>
      <c r="G357" s="27"/>
      <c r="H357" s="27"/>
      <c r="J357" s="27"/>
      <c r="K357" s="27"/>
      <c r="L357" s="27"/>
    </row>
    <row r="358">
      <c r="F358" s="27"/>
      <c r="G358" s="27"/>
      <c r="H358" s="27"/>
      <c r="J358" s="27"/>
      <c r="K358" s="27"/>
      <c r="L358" s="27"/>
    </row>
    <row r="359">
      <c r="F359" s="27"/>
      <c r="G359" s="27"/>
      <c r="H359" s="27"/>
      <c r="J359" s="27"/>
      <c r="K359" s="27"/>
      <c r="L359" s="27"/>
    </row>
    <row r="360">
      <c r="F360" s="27"/>
      <c r="G360" s="27"/>
      <c r="H360" s="27"/>
      <c r="J360" s="27"/>
      <c r="K360" s="27"/>
      <c r="L360" s="27"/>
    </row>
    <row r="361">
      <c r="F361" s="27"/>
      <c r="G361" s="27"/>
      <c r="H361" s="27"/>
      <c r="J361" s="27"/>
      <c r="K361" s="27"/>
      <c r="L361" s="27"/>
    </row>
    <row r="362">
      <c r="F362" s="27"/>
      <c r="G362" s="27"/>
      <c r="H362" s="27"/>
      <c r="J362" s="27"/>
      <c r="K362" s="27"/>
      <c r="L362" s="27"/>
    </row>
    <row r="363">
      <c r="F363" s="27"/>
      <c r="G363" s="27"/>
      <c r="H363" s="27"/>
      <c r="J363" s="27"/>
      <c r="K363" s="27"/>
      <c r="L363" s="27"/>
    </row>
    <row r="364">
      <c r="F364" s="27"/>
      <c r="G364" s="27"/>
      <c r="H364" s="27"/>
      <c r="J364" s="27"/>
      <c r="K364" s="27"/>
      <c r="L364" s="27"/>
    </row>
    <row r="365">
      <c r="F365" s="27"/>
      <c r="G365" s="27"/>
      <c r="H365" s="27"/>
      <c r="J365" s="27"/>
      <c r="K365" s="27"/>
      <c r="L365" s="27"/>
    </row>
    <row r="366">
      <c r="F366" s="27"/>
      <c r="G366" s="27"/>
      <c r="H366" s="27"/>
      <c r="J366" s="27"/>
      <c r="K366" s="27"/>
      <c r="L366" s="27"/>
    </row>
    <row r="367">
      <c r="F367" s="27"/>
      <c r="G367" s="27"/>
      <c r="H367" s="27"/>
      <c r="J367" s="27"/>
      <c r="K367" s="27"/>
      <c r="L367" s="27"/>
    </row>
    <row r="368">
      <c r="F368" s="27"/>
      <c r="G368" s="27"/>
      <c r="H368" s="27"/>
      <c r="J368" s="27"/>
      <c r="K368" s="27"/>
      <c r="L368" s="27"/>
    </row>
    <row r="369">
      <c r="F369" s="27"/>
      <c r="G369" s="27"/>
      <c r="H369" s="27"/>
      <c r="J369" s="27"/>
      <c r="K369" s="27"/>
      <c r="L369" s="27"/>
    </row>
    <row r="370">
      <c r="F370" s="27"/>
      <c r="G370" s="27"/>
      <c r="H370" s="27"/>
      <c r="J370" s="27"/>
      <c r="K370" s="27"/>
      <c r="L370" s="27"/>
    </row>
    <row r="371">
      <c r="F371" s="27"/>
      <c r="G371" s="27"/>
      <c r="H371" s="27"/>
      <c r="J371" s="27"/>
      <c r="K371" s="27"/>
      <c r="L371" s="27"/>
    </row>
    <row r="372">
      <c r="F372" s="27"/>
      <c r="G372" s="27"/>
      <c r="H372" s="27"/>
      <c r="J372" s="27"/>
      <c r="K372" s="27"/>
      <c r="L372" s="27"/>
    </row>
    <row r="373">
      <c r="F373" s="27"/>
      <c r="G373" s="27"/>
      <c r="H373" s="27"/>
      <c r="J373" s="27"/>
      <c r="K373" s="27"/>
      <c r="L373" s="27"/>
    </row>
    <row r="374">
      <c r="F374" s="27"/>
      <c r="G374" s="27"/>
      <c r="H374" s="27"/>
      <c r="J374" s="27"/>
      <c r="K374" s="27"/>
      <c r="L374" s="27"/>
    </row>
    <row r="375">
      <c r="F375" s="27"/>
      <c r="G375" s="27"/>
      <c r="H375" s="27"/>
      <c r="J375" s="27"/>
      <c r="K375" s="27"/>
      <c r="L375" s="27"/>
    </row>
    <row r="376">
      <c r="F376" s="27"/>
      <c r="G376" s="27"/>
      <c r="H376" s="27"/>
      <c r="J376" s="27"/>
      <c r="K376" s="27"/>
      <c r="L376" s="27"/>
    </row>
    <row r="377">
      <c r="F377" s="27"/>
      <c r="G377" s="27"/>
      <c r="H377" s="27"/>
      <c r="J377" s="27"/>
      <c r="K377" s="27"/>
      <c r="L377" s="27"/>
    </row>
    <row r="378">
      <c r="F378" s="27"/>
      <c r="G378" s="27"/>
      <c r="H378" s="27"/>
      <c r="J378" s="27"/>
      <c r="K378" s="27"/>
      <c r="L378" s="27"/>
    </row>
    <row r="379">
      <c r="F379" s="27"/>
      <c r="G379" s="27"/>
      <c r="H379" s="27"/>
      <c r="J379" s="27"/>
      <c r="K379" s="27"/>
      <c r="L379" s="27"/>
    </row>
    <row r="380">
      <c r="F380" s="27"/>
      <c r="G380" s="27"/>
      <c r="H380" s="27"/>
      <c r="J380" s="27"/>
      <c r="K380" s="27"/>
      <c r="L380" s="27"/>
    </row>
    <row r="381">
      <c r="F381" s="27"/>
      <c r="G381" s="27"/>
      <c r="H381" s="27"/>
      <c r="J381" s="27"/>
      <c r="K381" s="27"/>
      <c r="L381" s="27"/>
    </row>
    <row r="382">
      <c r="F382" s="27"/>
      <c r="G382" s="27"/>
      <c r="H382" s="27"/>
      <c r="J382" s="27"/>
      <c r="K382" s="27"/>
      <c r="L382" s="27"/>
    </row>
    <row r="383">
      <c r="F383" s="27"/>
      <c r="G383" s="27"/>
      <c r="H383" s="27"/>
      <c r="J383" s="27"/>
      <c r="K383" s="27"/>
      <c r="L383" s="27"/>
    </row>
    <row r="384">
      <c r="F384" s="27"/>
      <c r="G384" s="27"/>
      <c r="H384" s="27"/>
      <c r="J384" s="27"/>
      <c r="K384" s="27"/>
      <c r="L384" s="27"/>
    </row>
    <row r="385">
      <c r="F385" s="27"/>
      <c r="G385" s="27"/>
      <c r="H385" s="27"/>
      <c r="J385" s="27"/>
      <c r="K385" s="27"/>
      <c r="L385" s="27"/>
    </row>
    <row r="386">
      <c r="F386" s="27"/>
      <c r="G386" s="27"/>
      <c r="H386" s="27"/>
      <c r="J386" s="27"/>
      <c r="K386" s="27"/>
      <c r="L386" s="27"/>
    </row>
    <row r="387">
      <c r="F387" s="27"/>
      <c r="G387" s="27"/>
      <c r="H387" s="27"/>
      <c r="J387" s="27"/>
      <c r="K387" s="27"/>
      <c r="L387" s="27"/>
    </row>
    <row r="388">
      <c r="F388" s="27"/>
      <c r="G388" s="27"/>
      <c r="H388" s="27"/>
      <c r="J388" s="27"/>
      <c r="K388" s="27"/>
      <c r="L388" s="27"/>
    </row>
    <row r="389">
      <c r="F389" s="27"/>
      <c r="G389" s="27"/>
      <c r="H389" s="27"/>
      <c r="J389" s="27"/>
      <c r="K389" s="27"/>
      <c r="L389" s="27"/>
    </row>
    <row r="390">
      <c r="F390" s="27"/>
      <c r="G390" s="27"/>
      <c r="H390" s="27"/>
      <c r="J390" s="27"/>
      <c r="K390" s="27"/>
      <c r="L390" s="27"/>
    </row>
    <row r="391">
      <c r="F391" s="27"/>
      <c r="G391" s="27"/>
      <c r="H391" s="27"/>
      <c r="J391" s="27"/>
      <c r="K391" s="27"/>
      <c r="L391" s="27"/>
    </row>
    <row r="392">
      <c r="F392" s="27"/>
      <c r="G392" s="27"/>
      <c r="H392" s="27"/>
      <c r="J392" s="27"/>
      <c r="K392" s="27"/>
      <c r="L392" s="27"/>
    </row>
    <row r="393">
      <c r="F393" s="27"/>
      <c r="G393" s="27"/>
      <c r="H393" s="27"/>
      <c r="J393" s="27"/>
      <c r="K393" s="27"/>
      <c r="L393" s="27"/>
    </row>
    <row r="394">
      <c r="F394" s="27"/>
      <c r="G394" s="27"/>
      <c r="H394" s="27"/>
      <c r="J394" s="27"/>
      <c r="K394" s="27"/>
      <c r="L394" s="27"/>
    </row>
    <row r="395">
      <c r="F395" s="27"/>
      <c r="G395" s="27"/>
      <c r="H395" s="27"/>
      <c r="J395" s="27"/>
      <c r="K395" s="27"/>
      <c r="L395" s="27"/>
    </row>
    <row r="396">
      <c r="F396" s="27"/>
      <c r="G396" s="27"/>
      <c r="H396" s="27"/>
      <c r="J396" s="27"/>
      <c r="K396" s="27"/>
      <c r="L396" s="27"/>
    </row>
    <row r="397">
      <c r="F397" s="27"/>
      <c r="G397" s="27"/>
      <c r="H397" s="27"/>
      <c r="J397" s="27"/>
      <c r="K397" s="27"/>
      <c r="L397" s="27"/>
    </row>
    <row r="398">
      <c r="F398" s="27"/>
      <c r="G398" s="27"/>
      <c r="H398" s="27"/>
      <c r="J398" s="27"/>
      <c r="K398" s="27"/>
      <c r="L398" s="27"/>
    </row>
    <row r="399">
      <c r="F399" s="27"/>
      <c r="G399" s="27"/>
      <c r="H399" s="27"/>
      <c r="J399" s="27"/>
      <c r="K399" s="27"/>
      <c r="L399" s="27"/>
    </row>
    <row r="400">
      <c r="F400" s="27"/>
      <c r="G400" s="27"/>
      <c r="H400" s="27"/>
      <c r="J400" s="27"/>
      <c r="K400" s="27"/>
      <c r="L400" s="27"/>
    </row>
    <row r="401">
      <c r="F401" s="27"/>
      <c r="G401" s="27"/>
      <c r="H401" s="27"/>
      <c r="J401" s="27"/>
      <c r="K401" s="27"/>
      <c r="L401" s="27"/>
    </row>
    <row r="402">
      <c r="F402" s="27"/>
      <c r="G402" s="27"/>
      <c r="H402" s="27"/>
      <c r="J402" s="27"/>
      <c r="K402" s="27"/>
      <c r="L402" s="27"/>
    </row>
    <row r="403">
      <c r="F403" s="27"/>
      <c r="G403" s="27"/>
      <c r="H403" s="27"/>
      <c r="J403" s="27"/>
      <c r="K403" s="27"/>
      <c r="L403" s="27"/>
    </row>
    <row r="404">
      <c r="F404" s="27"/>
      <c r="G404" s="27"/>
      <c r="H404" s="27"/>
      <c r="J404" s="27"/>
      <c r="K404" s="27"/>
      <c r="L404" s="27"/>
    </row>
    <row r="405">
      <c r="F405" s="27"/>
      <c r="G405" s="27"/>
      <c r="H405" s="27"/>
      <c r="J405" s="27"/>
      <c r="K405" s="27"/>
      <c r="L405" s="27"/>
    </row>
    <row r="406">
      <c r="F406" s="27"/>
      <c r="G406" s="27"/>
      <c r="H406" s="27"/>
      <c r="J406" s="27"/>
      <c r="K406" s="27"/>
      <c r="L406" s="27"/>
    </row>
    <row r="407">
      <c r="F407" s="27"/>
      <c r="G407" s="27"/>
      <c r="H407" s="27"/>
      <c r="J407" s="27"/>
      <c r="K407" s="27"/>
      <c r="L407" s="27"/>
    </row>
    <row r="408">
      <c r="F408" s="27"/>
      <c r="G408" s="27"/>
      <c r="H408" s="27"/>
      <c r="J408" s="27"/>
      <c r="K408" s="27"/>
      <c r="L408" s="27"/>
    </row>
    <row r="409">
      <c r="F409" s="27"/>
      <c r="G409" s="27"/>
      <c r="H409" s="27"/>
      <c r="J409" s="27"/>
      <c r="K409" s="27"/>
      <c r="L409" s="27"/>
    </row>
    <row r="410">
      <c r="F410" s="27"/>
      <c r="G410" s="27"/>
      <c r="H410" s="27"/>
      <c r="J410" s="27"/>
      <c r="K410" s="27"/>
      <c r="L410" s="27"/>
    </row>
    <row r="411">
      <c r="F411" s="27"/>
      <c r="G411" s="27"/>
      <c r="H411" s="27"/>
      <c r="J411" s="27"/>
      <c r="K411" s="27"/>
      <c r="L411" s="27"/>
    </row>
    <row r="412">
      <c r="F412" s="27"/>
      <c r="G412" s="27"/>
      <c r="H412" s="27"/>
      <c r="J412" s="27"/>
      <c r="K412" s="27"/>
      <c r="L412" s="27"/>
    </row>
    <row r="413">
      <c r="F413" s="27"/>
      <c r="G413" s="27"/>
      <c r="H413" s="27"/>
      <c r="J413" s="27"/>
      <c r="K413" s="27"/>
      <c r="L413" s="27"/>
    </row>
    <row r="414">
      <c r="F414" s="27"/>
      <c r="G414" s="27"/>
      <c r="H414" s="27"/>
      <c r="J414" s="27"/>
      <c r="K414" s="27"/>
      <c r="L414" s="27"/>
    </row>
    <row r="415">
      <c r="F415" s="27"/>
      <c r="G415" s="27"/>
      <c r="H415" s="27"/>
      <c r="J415" s="27"/>
      <c r="K415" s="27"/>
      <c r="L415" s="27"/>
    </row>
    <row r="416">
      <c r="F416" s="27"/>
      <c r="G416" s="27"/>
      <c r="H416" s="27"/>
      <c r="J416" s="27"/>
      <c r="K416" s="27"/>
      <c r="L416" s="27"/>
    </row>
    <row r="417">
      <c r="F417" s="27"/>
      <c r="G417" s="27"/>
      <c r="H417" s="27"/>
      <c r="J417" s="27"/>
      <c r="K417" s="27"/>
      <c r="L417" s="27"/>
    </row>
    <row r="418">
      <c r="F418" s="27"/>
      <c r="G418" s="27"/>
      <c r="H418" s="27"/>
      <c r="J418" s="27"/>
      <c r="K418" s="27"/>
      <c r="L418" s="27"/>
    </row>
    <row r="419">
      <c r="F419" s="27"/>
      <c r="G419" s="27"/>
      <c r="H419" s="27"/>
      <c r="J419" s="27"/>
      <c r="K419" s="27"/>
      <c r="L419" s="27"/>
    </row>
    <row r="420">
      <c r="F420" s="27"/>
      <c r="G420" s="27"/>
      <c r="H420" s="27"/>
      <c r="J420" s="27"/>
      <c r="K420" s="27"/>
      <c r="L420" s="27"/>
    </row>
    <row r="421">
      <c r="F421" s="27"/>
      <c r="G421" s="27"/>
      <c r="H421" s="27"/>
      <c r="J421" s="27"/>
      <c r="K421" s="27"/>
      <c r="L421" s="27"/>
    </row>
    <row r="422">
      <c r="F422" s="27"/>
      <c r="G422" s="27"/>
      <c r="H422" s="27"/>
      <c r="J422" s="27"/>
      <c r="K422" s="27"/>
      <c r="L422" s="27"/>
    </row>
    <row r="423">
      <c r="F423" s="27"/>
      <c r="G423" s="27"/>
      <c r="H423" s="27"/>
      <c r="J423" s="27"/>
      <c r="K423" s="27"/>
      <c r="L423" s="27"/>
    </row>
    <row r="424">
      <c r="F424" s="27"/>
      <c r="G424" s="27"/>
      <c r="H424" s="27"/>
      <c r="J424" s="27"/>
      <c r="K424" s="27"/>
      <c r="L424" s="27"/>
    </row>
    <row r="425">
      <c r="F425" s="27"/>
      <c r="G425" s="27"/>
      <c r="H425" s="27"/>
      <c r="J425" s="27"/>
      <c r="K425" s="27"/>
      <c r="L425" s="27"/>
    </row>
    <row r="426">
      <c r="F426" s="27"/>
      <c r="G426" s="27"/>
      <c r="H426" s="27"/>
      <c r="J426" s="27"/>
      <c r="K426" s="27"/>
      <c r="L426" s="27"/>
    </row>
    <row r="427">
      <c r="F427" s="27"/>
      <c r="G427" s="27"/>
      <c r="H427" s="27"/>
      <c r="J427" s="27"/>
      <c r="K427" s="27"/>
      <c r="L427" s="27"/>
    </row>
    <row r="428">
      <c r="F428" s="27"/>
      <c r="G428" s="27"/>
      <c r="H428" s="27"/>
      <c r="J428" s="27"/>
      <c r="K428" s="27"/>
      <c r="L428" s="27"/>
    </row>
    <row r="429">
      <c r="F429" s="27"/>
      <c r="G429" s="27"/>
      <c r="H429" s="27"/>
      <c r="J429" s="27"/>
      <c r="K429" s="27"/>
      <c r="L429" s="27"/>
    </row>
    <row r="430">
      <c r="F430" s="27"/>
      <c r="G430" s="27"/>
      <c r="H430" s="27"/>
      <c r="J430" s="27"/>
      <c r="K430" s="27"/>
      <c r="L430" s="27"/>
    </row>
    <row r="431">
      <c r="F431" s="27"/>
      <c r="G431" s="27"/>
      <c r="H431" s="27"/>
      <c r="J431" s="27"/>
      <c r="K431" s="27"/>
      <c r="L431" s="27"/>
    </row>
    <row r="432">
      <c r="F432" s="27"/>
      <c r="G432" s="27"/>
      <c r="H432" s="27"/>
      <c r="J432" s="27"/>
      <c r="K432" s="27"/>
      <c r="L432" s="27"/>
    </row>
    <row r="433">
      <c r="F433" s="27"/>
      <c r="G433" s="27"/>
      <c r="H433" s="27"/>
      <c r="J433" s="27"/>
      <c r="K433" s="27"/>
      <c r="L433" s="27"/>
    </row>
    <row r="434">
      <c r="F434" s="27"/>
      <c r="G434" s="27"/>
      <c r="H434" s="27"/>
      <c r="J434" s="27"/>
      <c r="K434" s="27"/>
      <c r="L434" s="27"/>
    </row>
    <row r="435">
      <c r="F435" s="27"/>
      <c r="G435" s="27"/>
      <c r="H435" s="27"/>
      <c r="J435" s="27"/>
      <c r="K435" s="27"/>
      <c r="L435" s="27"/>
    </row>
    <row r="436">
      <c r="F436" s="27"/>
      <c r="G436" s="27"/>
      <c r="H436" s="27"/>
      <c r="J436" s="27"/>
      <c r="K436" s="27"/>
      <c r="L436" s="27"/>
    </row>
    <row r="437">
      <c r="F437" s="27"/>
      <c r="G437" s="27"/>
      <c r="H437" s="27"/>
      <c r="J437" s="27"/>
      <c r="K437" s="27"/>
      <c r="L437" s="27"/>
    </row>
    <row r="438">
      <c r="F438" s="27"/>
      <c r="G438" s="27"/>
      <c r="H438" s="27"/>
      <c r="J438" s="27"/>
      <c r="K438" s="27"/>
      <c r="L438" s="27"/>
    </row>
    <row r="439">
      <c r="F439" s="27"/>
      <c r="G439" s="27"/>
      <c r="H439" s="27"/>
      <c r="J439" s="27"/>
      <c r="K439" s="27"/>
      <c r="L439" s="27"/>
    </row>
    <row r="440">
      <c r="F440" s="27"/>
      <c r="G440" s="27"/>
      <c r="H440" s="27"/>
      <c r="J440" s="27"/>
      <c r="K440" s="27"/>
      <c r="L440" s="27"/>
    </row>
    <row r="441">
      <c r="F441" s="27"/>
      <c r="G441" s="27"/>
      <c r="H441" s="27"/>
      <c r="J441" s="27"/>
      <c r="K441" s="27"/>
      <c r="L441" s="27"/>
    </row>
    <row r="442">
      <c r="F442" s="27"/>
      <c r="G442" s="27"/>
      <c r="H442" s="27"/>
      <c r="J442" s="27"/>
      <c r="K442" s="27"/>
      <c r="L442" s="27"/>
    </row>
    <row r="443">
      <c r="F443" s="27"/>
      <c r="G443" s="27"/>
      <c r="H443" s="27"/>
      <c r="J443" s="27"/>
      <c r="K443" s="27"/>
      <c r="L443" s="27"/>
    </row>
    <row r="444">
      <c r="F444" s="27"/>
      <c r="G444" s="27"/>
      <c r="H444" s="27"/>
      <c r="J444" s="27"/>
      <c r="K444" s="27"/>
      <c r="L444" s="27"/>
    </row>
    <row r="445">
      <c r="F445" s="27"/>
      <c r="G445" s="27"/>
      <c r="H445" s="27"/>
      <c r="J445" s="27"/>
      <c r="K445" s="27"/>
      <c r="L445" s="27"/>
    </row>
    <row r="446">
      <c r="F446" s="27"/>
      <c r="G446" s="27"/>
      <c r="H446" s="27"/>
      <c r="J446" s="27"/>
      <c r="K446" s="27"/>
      <c r="L446" s="27"/>
    </row>
    <row r="447">
      <c r="F447" s="27"/>
      <c r="G447" s="27"/>
      <c r="H447" s="27"/>
      <c r="J447" s="27"/>
      <c r="K447" s="27"/>
      <c r="L447" s="27"/>
    </row>
    <row r="448">
      <c r="F448" s="27"/>
      <c r="G448" s="27"/>
      <c r="H448" s="27"/>
      <c r="J448" s="27"/>
      <c r="K448" s="27"/>
      <c r="L448" s="27"/>
    </row>
    <row r="449">
      <c r="F449" s="27"/>
      <c r="G449" s="27"/>
      <c r="H449" s="27"/>
      <c r="J449" s="27"/>
      <c r="K449" s="27"/>
      <c r="L449" s="27"/>
    </row>
    <row r="450">
      <c r="F450" s="27"/>
      <c r="G450" s="27"/>
      <c r="H450" s="27"/>
      <c r="J450" s="27"/>
      <c r="K450" s="27"/>
      <c r="L450" s="27"/>
    </row>
    <row r="451">
      <c r="F451" s="27"/>
      <c r="G451" s="27"/>
      <c r="H451" s="27"/>
      <c r="J451" s="27"/>
      <c r="K451" s="27"/>
      <c r="L451" s="27"/>
    </row>
    <row r="452">
      <c r="F452" s="27"/>
      <c r="G452" s="27"/>
      <c r="H452" s="27"/>
      <c r="J452" s="27"/>
      <c r="K452" s="27"/>
      <c r="L452" s="27"/>
    </row>
    <row r="453">
      <c r="F453" s="27"/>
      <c r="G453" s="27"/>
      <c r="H453" s="27"/>
      <c r="J453" s="27"/>
      <c r="K453" s="27"/>
      <c r="L453" s="27"/>
    </row>
    <row r="454">
      <c r="F454" s="27"/>
      <c r="G454" s="27"/>
      <c r="H454" s="27"/>
      <c r="J454" s="27"/>
      <c r="K454" s="27"/>
      <c r="L454" s="27"/>
    </row>
    <row r="455">
      <c r="F455" s="27"/>
      <c r="G455" s="27"/>
      <c r="H455" s="27"/>
      <c r="J455" s="27"/>
      <c r="K455" s="27"/>
      <c r="L455" s="27"/>
    </row>
    <row r="456">
      <c r="F456" s="27"/>
      <c r="G456" s="27"/>
      <c r="H456" s="27"/>
      <c r="J456" s="27"/>
      <c r="K456" s="27"/>
      <c r="L456" s="27"/>
    </row>
    <row r="457">
      <c r="F457" s="27"/>
      <c r="G457" s="27"/>
      <c r="H457" s="27"/>
      <c r="J457" s="27"/>
      <c r="K457" s="27"/>
      <c r="L457" s="27"/>
    </row>
    <row r="458">
      <c r="F458" s="27"/>
      <c r="G458" s="27"/>
      <c r="H458" s="27"/>
      <c r="J458" s="27"/>
      <c r="K458" s="27"/>
      <c r="L458" s="27"/>
    </row>
    <row r="459">
      <c r="F459" s="27"/>
      <c r="G459" s="27"/>
      <c r="H459" s="27"/>
      <c r="J459" s="27"/>
      <c r="K459" s="27"/>
      <c r="L459" s="27"/>
    </row>
    <row r="460">
      <c r="F460" s="27"/>
      <c r="G460" s="27"/>
      <c r="H460" s="27"/>
      <c r="J460" s="27"/>
      <c r="K460" s="27"/>
      <c r="L460" s="27"/>
    </row>
    <row r="461">
      <c r="F461" s="27"/>
      <c r="G461" s="27"/>
      <c r="H461" s="27"/>
      <c r="J461" s="27"/>
      <c r="K461" s="27"/>
      <c r="L461" s="27"/>
    </row>
    <row r="462">
      <c r="F462" s="27"/>
      <c r="G462" s="27"/>
      <c r="H462" s="27"/>
      <c r="J462" s="27"/>
      <c r="K462" s="27"/>
      <c r="L462" s="27"/>
    </row>
    <row r="463">
      <c r="F463" s="27"/>
      <c r="G463" s="27"/>
      <c r="H463" s="27"/>
      <c r="J463" s="27"/>
      <c r="K463" s="27"/>
      <c r="L463" s="27"/>
    </row>
    <row r="464">
      <c r="F464" s="27"/>
      <c r="G464" s="27"/>
      <c r="H464" s="27"/>
      <c r="J464" s="27"/>
      <c r="K464" s="27"/>
      <c r="L464" s="27"/>
    </row>
    <row r="465">
      <c r="F465" s="27"/>
      <c r="G465" s="27"/>
      <c r="H465" s="27"/>
      <c r="J465" s="27"/>
      <c r="K465" s="27"/>
      <c r="L465" s="27"/>
    </row>
    <row r="466">
      <c r="F466" s="27"/>
      <c r="G466" s="27"/>
      <c r="H466" s="27"/>
      <c r="J466" s="27"/>
      <c r="K466" s="27"/>
      <c r="L466" s="27"/>
    </row>
    <row r="467">
      <c r="F467" s="27"/>
      <c r="G467" s="27"/>
      <c r="H467" s="27"/>
      <c r="J467" s="27"/>
      <c r="K467" s="27"/>
      <c r="L467" s="27"/>
    </row>
    <row r="468">
      <c r="F468" s="27"/>
      <c r="G468" s="27"/>
      <c r="H468" s="27"/>
      <c r="J468" s="27"/>
      <c r="K468" s="27"/>
      <c r="L468" s="27"/>
    </row>
    <row r="469">
      <c r="F469" s="27"/>
      <c r="G469" s="27"/>
      <c r="H469" s="27"/>
      <c r="J469" s="27"/>
      <c r="K469" s="27"/>
      <c r="L469" s="27"/>
    </row>
    <row r="470">
      <c r="F470" s="27"/>
      <c r="G470" s="27"/>
      <c r="H470" s="27"/>
      <c r="J470" s="27"/>
      <c r="K470" s="27"/>
      <c r="L470" s="27"/>
    </row>
    <row r="471">
      <c r="F471" s="27"/>
      <c r="G471" s="27"/>
      <c r="H471" s="27"/>
      <c r="J471" s="27"/>
      <c r="K471" s="27"/>
      <c r="L471" s="27"/>
    </row>
    <row r="472">
      <c r="F472" s="27"/>
      <c r="G472" s="27"/>
      <c r="H472" s="27"/>
      <c r="J472" s="27"/>
      <c r="K472" s="27"/>
      <c r="L472" s="27"/>
    </row>
    <row r="473">
      <c r="F473" s="27"/>
      <c r="G473" s="27"/>
      <c r="H473" s="27"/>
      <c r="J473" s="27"/>
      <c r="K473" s="27"/>
      <c r="L473" s="27"/>
    </row>
    <row r="474">
      <c r="F474" s="27"/>
      <c r="G474" s="27"/>
      <c r="H474" s="27"/>
      <c r="J474" s="27"/>
      <c r="K474" s="27"/>
      <c r="L474" s="27"/>
    </row>
    <row r="475">
      <c r="F475" s="27"/>
      <c r="G475" s="27"/>
      <c r="H475" s="27"/>
      <c r="J475" s="27"/>
      <c r="K475" s="27"/>
      <c r="L475" s="27"/>
    </row>
    <row r="476">
      <c r="F476" s="27"/>
      <c r="G476" s="27"/>
      <c r="H476" s="27"/>
      <c r="J476" s="27"/>
      <c r="K476" s="27"/>
      <c r="L476" s="27"/>
    </row>
    <row r="477">
      <c r="F477" s="27"/>
      <c r="G477" s="27"/>
      <c r="H477" s="27"/>
      <c r="J477" s="27"/>
      <c r="K477" s="27"/>
      <c r="L477" s="27"/>
    </row>
    <row r="478">
      <c r="F478" s="27"/>
      <c r="G478" s="27"/>
      <c r="H478" s="27"/>
      <c r="J478" s="27"/>
      <c r="K478" s="27"/>
      <c r="L478" s="27"/>
    </row>
    <row r="479">
      <c r="F479" s="27"/>
      <c r="G479" s="27"/>
      <c r="H479" s="27"/>
      <c r="J479" s="27"/>
      <c r="K479" s="27"/>
      <c r="L479" s="27"/>
    </row>
    <row r="480">
      <c r="F480" s="27"/>
      <c r="G480" s="27"/>
      <c r="H480" s="27"/>
      <c r="J480" s="27"/>
      <c r="K480" s="27"/>
      <c r="L480" s="27"/>
    </row>
    <row r="481">
      <c r="F481" s="27"/>
      <c r="G481" s="27"/>
      <c r="H481" s="27"/>
      <c r="J481" s="27"/>
      <c r="K481" s="27"/>
      <c r="L481" s="27"/>
    </row>
    <row r="482">
      <c r="F482" s="27"/>
      <c r="G482" s="27"/>
      <c r="H482" s="27"/>
      <c r="J482" s="27"/>
      <c r="K482" s="27"/>
      <c r="L482" s="27"/>
    </row>
    <row r="483">
      <c r="F483" s="27"/>
      <c r="G483" s="27"/>
      <c r="H483" s="27"/>
      <c r="J483" s="27"/>
      <c r="K483" s="27"/>
      <c r="L483" s="27"/>
    </row>
    <row r="484">
      <c r="F484" s="27"/>
      <c r="G484" s="27"/>
      <c r="H484" s="27"/>
      <c r="J484" s="27"/>
      <c r="K484" s="27"/>
      <c r="L484" s="27"/>
    </row>
    <row r="485">
      <c r="F485" s="27"/>
      <c r="G485" s="27"/>
      <c r="H485" s="27"/>
      <c r="J485" s="27"/>
      <c r="K485" s="27"/>
      <c r="L485" s="27"/>
    </row>
    <row r="486">
      <c r="F486" s="27"/>
      <c r="G486" s="27"/>
      <c r="H486" s="27"/>
      <c r="J486" s="27"/>
      <c r="K486" s="27"/>
      <c r="L486" s="27"/>
    </row>
    <row r="487">
      <c r="F487" s="27"/>
      <c r="G487" s="27"/>
      <c r="H487" s="27"/>
      <c r="J487" s="27"/>
      <c r="K487" s="27"/>
      <c r="L487" s="27"/>
    </row>
    <row r="488">
      <c r="F488" s="27"/>
      <c r="G488" s="27"/>
      <c r="H488" s="27"/>
      <c r="J488" s="27"/>
      <c r="K488" s="27"/>
      <c r="L488" s="27"/>
    </row>
    <row r="489">
      <c r="F489" s="27"/>
      <c r="G489" s="27"/>
      <c r="H489" s="27"/>
      <c r="J489" s="27"/>
      <c r="K489" s="27"/>
      <c r="L489" s="27"/>
    </row>
    <row r="490">
      <c r="F490" s="27"/>
      <c r="G490" s="27"/>
      <c r="H490" s="27"/>
      <c r="J490" s="27"/>
      <c r="K490" s="27"/>
      <c r="L490" s="27"/>
    </row>
    <row r="491">
      <c r="F491" s="27"/>
      <c r="G491" s="27"/>
      <c r="H491" s="27"/>
      <c r="J491" s="27"/>
      <c r="K491" s="27"/>
      <c r="L491" s="27"/>
    </row>
    <row r="492">
      <c r="F492" s="27"/>
      <c r="G492" s="27"/>
      <c r="H492" s="27"/>
      <c r="J492" s="27"/>
      <c r="K492" s="27"/>
      <c r="L492" s="27"/>
    </row>
    <row r="493">
      <c r="F493" s="27"/>
      <c r="G493" s="27"/>
      <c r="H493" s="27"/>
      <c r="J493" s="27"/>
      <c r="K493" s="27"/>
      <c r="L493" s="27"/>
    </row>
    <row r="494">
      <c r="F494" s="27"/>
      <c r="G494" s="27"/>
      <c r="H494" s="27"/>
      <c r="J494" s="27"/>
      <c r="K494" s="27"/>
      <c r="L494" s="27"/>
    </row>
    <row r="495">
      <c r="F495" s="27"/>
      <c r="G495" s="27"/>
      <c r="H495" s="27"/>
      <c r="J495" s="27"/>
      <c r="K495" s="27"/>
      <c r="L495" s="27"/>
    </row>
    <row r="496">
      <c r="F496" s="27"/>
      <c r="G496" s="27"/>
      <c r="H496" s="27"/>
      <c r="J496" s="27"/>
      <c r="K496" s="27"/>
      <c r="L496" s="27"/>
    </row>
    <row r="497">
      <c r="F497" s="27"/>
      <c r="G497" s="27"/>
      <c r="H497" s="27"/>
      <c r="J497" s="27"/>
      <c r="K497" s="27"/>
      <c r="L497" s="27"/>
    </row>
    <row r="498">
      <c r="F498" s="27"/>
      <c r="G498" s="27"/>
      <c r="H498" s="27"/>
      <c r="J498" s="27"/>
      <c r="K498" s="27"/>
      <c r="L498" s="27"/>
    </row>
    <row r="499">
      <c r="F499" s="27"/>
      <c r="G499" s="27"/>
      <c r="H499" s="27"/>
      <c r="J499" s="27"/>
      <c r="K499" s="27"/>
      <c r="L499" s="27"/>
    </row>
    <row r="500">
      <c r="F500" s="27"/>
      <c r="G500" s="27"/>
      <c r="H500" s="27"/>
      <c r="J500" s="27"/>
      <c r="K500" s="27"/>
      <c r="L500" s="27"/>
    </row>
    <row r="501">
      <c r="F501" s="27"/>
      <c r="G501" s="27"/>
      <c r="H501" s="27"/>
      <c r="J501" s="27"/>
      <c r="K501" s="27"/>
      <c r="L501" s="27"/>
    </row>
    <row r="502">
      <c r="F502" s="27"/>
      <c r="G502" s="27"/>
      <c r="H502" s="27"/>
      <c r="J502" s="27"/>
      <c r="K502" s="27"/>
      <c r="L502" s="27"/>
    </row>
    <row r="503">
      <c r="F503" s="27"/>
      <c r="G503" s="27"/>
      <c r="H503" s="27"/>
      <c r="J503" s="27"/>
      <c r="K503" s="27"/>
      <c r="L503" s="27"/>
    </row>
    <row r="504">
      <c r="F504" s="27"/>
      <c r="G504" s="27"/>
      <c r="H504" s="27"/>
      <c r="J504" s="27"/>
      <c r="K504" s="27"/>
      <c r="L504" s="27"/>
    </row>
    <row r="505">
      <c r="F505" s="27"/>
      <c r="G505" s="27"/>
      <c r="H505" s="27"/>
      <c r="J505" s="27"/>
      <c r="K505" s="27"/>
      <c r="L505" s="27"/>
    </row>
    <row r="506">
      <c r="F506" s="27"/>
      <c r="G506" s="27"/>
      <c r="H506" s="27"/>
      <c r="J506" s="27"/>
      <c r="K506" s="27"/>
      <c r="L506" s="27"/>
    </row>
    <row r="507">
      <c r="F507" s="27"/>
      <c r="G507" s="27"/>
      <c r="H507" s="27"/>
      <c r="J507" s="27"/>
      <c r="K507" s="27"/>
      <c r="L507" s="27"/>
    </row>
    <row r="508">
      <c r="F508" s="27"/>
      <c r="G508" s="27"/>
      <c r="H508" s="27"/>
      <c r="J508" s="27"/>
      <c r="K508" s="27"/>
      <c r="L508" s="27"/>
    </row>
    <row r="509">
      <c r="F509" s="27"/>
      <c r="G509" s="27"/>
      <c r="H509" s="27"/>
      <c r="J509" s="27"/>
      <c r="K509" s="27"/>
      <c r="L509" s="27"/>
    </row>
    <row r="510">
      <c r="F510" s="27"/>
      <c r="G510" s="27"/>
      <c r="H510" s="27"/>
      <c r="J510" s="27"/>
      <c r="K510" s="27"/>
      <c r="L510" s="27"/>
    </row>
    <row r="511">
      <c r="F511" s="27"/>
      <c r="G511" s="27"/>
      <c r="H511" s="27"/>
      <c r="J511" s="27"/>
      <c r="K511" s="27"/>
      <c r="L511" s="27"/>
    </row>
    <row r="512">
      <c r="F512" s="27"/>
      <c r="G512" s="27"/>
      <c r="H512" s="27"/>
      <c r="J512" s="27"/>
      <c r="K512" s="27"/>
      <c r="L512" s="27"/>
    </row>
    <row r="513">
      <c r="F513" s="27"/>
      <c r="G513" s="27"/>
      <c r="H513" s="27"/>
      <c r="J513" s="27"/>
      <c r="K513" s="27"/>
      <c r="L513" s="27"/>
    </row>
    <row r="514">
      <c r="F514" s="27"/>
      <c r="G514" s="27"/>
      <c r="H514" s="27"/>
      <c r="J514" s="27"/>
      <c r="K514" s="27"/>
      <c r="L514" s="27"/>
    </row>
    <row r="515">
      <c r="F515" s="27"/>
      <c r="G515" s="27"/>
      <c r="H515" s="27"/>
      <c r="J515" s="27"/>
      <c r="K515" s="27"/>
      <c r="L515" s="27"/>
    </row>
    <row r="516">
      <c r="F516" s="27"/>
      <c r="G516" s="27"/>
      <c r="H516" s="27"/>
      <c r="J516" s="27"/>
      <c r="K516" s="27"/>
      <c r="L516" s="27"/>
    </row>
    <row r="517">
      <c r="F517" s="27"/>
      <c r="G517" s="27"/>
      <c r="H517" s="27"/>
      <c r="J517" s="27"/>
      <c r="K517" s="27"/>
      <c r="L517" s="27"/>
    </row>
    <row r="518">
      <c r="F518" s="27"/>
      <c r="G518" s="27"/>
      <c r="H518" s="27"/>
      <c r="J518" s="27"/>
      <c r="K518" s="27"/>
      <c r="L518" s="27"/>
    </row>
    <row r="519">
      <c r="F519" s="27"/>
      <c r="G519" s="27"/>
      <c r="H519" s="27"/>
      <c r="J519" s="27"/>
      <c r="K519" s="27"/>
      <c r="L519" s="27"/>
    </row>
    <row r="520">
      <c r="F520" s="27"/>
      <c r="G520" s="27"/>
      <c r="H520" s="27"/>
      <c r="J520" s="27"/>
      <c r="K520" s="27"/>
      <c r="L520" s="27"/>
    </row>
    <row r="521">
      <c r="F521" s="27"/>
      <c r="G521" s="27"/>
      <c r="H521" s="27"/>
      <c r="J521" s="27"/>
      <c r="K521" s="27"/>
      <c r="L521" s="27"/>
    </row>
    <row r="522">
      <c r="F522" s="27"/>
      <c r="G522" s="27"/>
      <c r="H522" s="27"/>
      <c r="J522" s="27"/>
      <c r="K522" s="27"/>
      <c r="L522" s="27"/>
    </row>
    <row r="523">
      <c r="F523" s="27"/>
      <c r="G523" s="27"/>
      <c r="H523" s="27"/>
      <c r="J523" s="27"/>
      <c r="K523" s="27"/>
      <c r="L523" s="27"/>
    </row>
    <row r="524">
      <c r="F524" s="27"/>
      <c r="G524" s="27"/>
      <c r="H524" s="27"/>
      <c r="J524" s="27"/>
      <c r="K524" s="27"/>
      <c r="L524" s="27"/>
    </row>
    <row r="525">
      <c r="F525" s="27"/>
      <c r="G525" s="27"/>
      <c r="H525" s="27"/>
      <c r="J525" s="27"/>
      <c r="K525" s="27"/>
      <c r="L525" s="27"/>
    </row>
    <row r="526">
      <c r="F526" s="27"/>
      <c r="G526" s="27"/>
      <c r="H526" s="27"/>
      <c r="J526" s="27"/>
      <c r="K526" s="27"/>
      <c r="L526" s="27"/>
    </row>
    <row r="527">
      <c r="F527" s="27"/>
      <c r="G527" s="27"/>
      <c r="H527" s="27"/>
      <c r="J527" s="27"/>
      <c r="K527" s="27"/>
      <c r="L527" s="27"/>
    </row>
    <row r="528">
      <c r="F528" s="27"/>
      <c r="G528" s="27"/>
      <c r="H528" s="27"/>
      <c r="J528" s="27"/>
      <c r="K528" s="27"/>
      <c r="L528" s="27"/>
    </row>
    <row r="529">
      <c r="F529" s="27"/>
      <c r="G529" s="27"/>
      <c r="H529" s="27"/>
      <c r="J529" s="27"/>
      <c r="K529" s="27"/>
      <c r="L529" s="27"/>
    </row>
    <row r="530">
      <c r="F530" s="27"/>
      <c r="G530" s="27"/>
      <c r="H530" s="27"/>
      <c r="J530" s="27"/>
      <c r="K530" s="27"/>
      <c r="L530" s="27"/>
    </row>
    <row r="531">
      <c r="F531" s="27"/>
      <c r="G531" s="27"/>
      <c r="H531" s="27"/>
      <c r="J531" s="27"/>
      <c r="K531" s="27"/>
      <c r="L531" s="27"/>
    </row>
    <row r="532">
      <c r="F532" s="27"/>
      <c r="G532" s="27"/>
      <c r="H532" s="27"/>
      <c r="J532" s="27"/>
      <c r="K532" s="27"/>
      <c r="L532" s="27"/>
    </row>
    <row r="533">
      <c r="F533" s="27"/>
      <c r="G533" s="27"/>
      <c r="H533" s="27"/>
      <c r="J533" s="27"/>
      <c r="K533" s="27"/>
      <c r="L533" s="27"/>
    </row>
    <row r="534">
      <c r="F534" s="27"/>
      <c r="G534" s="27"/>
      <c r="H534" s="27"/>
      <c r="J534" s="27"/>
      <c r="K534" s="27"/>
      <c r="L534" s="27"/>
    </row>
    <row r="535">
      <c r="F535" s="27"/>
      <c r="G535" s="27"/>
      <c r="H535" s="27"/>
      <c r="J535" s="27"/>
      <c r="K535" s="27"/>
      <c r="L535" s="27"/>
    </row>
    <row r="536">
      <c r="F536" s="27"/>
      <c r="G536" s="27"/>
      <c r="H536" s="27"/>
      <c r="J536" s="27"/>
      <c r="K536" s="27"/>
      <c r="L536" s="27"/>
    </row>
    <row r="537">
      <c r="F537" s="27"/>
      <c r="G537" s="27"/>
      <c r="H537" s="27"/>
      <c r="J537" s="27"/>
      <c r="K537" s="27"/>
      <c r="L537" s="27"/>
    </row>
    <row r="538">
      <c r="F538" s="27"/>
      <c r="G538" s="27"/>
      <c r="H538" s="27"/>
      <c r="J538" s="27"/>
      <c r="K538" s="27"/>
      <c r="L538" s="27"/>
    </row>
    <row r="539">
      <c r="F539" s="27"/>
      <c r="G539" s="27"/>
      <c r="H539" s="27"/>
      <c r="J539" s="27"/>
      <c r="K539" s="27"/>
      <c r="L539" s="27"/>
    </row>
    <row r="540">
      <c r="F540" s="27"/>
      <c r="G540" s="27"/>
      <c r="H540" s="27"/>
      <c r="J540" s="27"/>
      <c r="K540" s="27"/>
      <c r="L540" s="27"/>
    </row>
    <row r="541">
      <c r="F541" s="27"/>
      <c r="G541" s="27"/>
      <c r="H541" s="27"/>
      <c r="J541" s="27"/>
      <c r="K541" s="27"/>
      <c r="L541" s="27"/>
    </row>
    <row r="542">
      <c r="F542" s="27"/>
      <c r="G542" s="27"/>
      <c r="H542" s="27"/>
      <c r="J542" s="27"/>
      <c r="K542" s="27"/>
      <c r="L542" s="27"/>
    </row>
    <row r="543">
      <c r="F543" s="27"/>
      <c r="G543" s="27"/>
      <c r="H543" s="27"/>
      <c r="J543" s="27"/>
      <c r="K543" s="27"/>
      <c r="L543" s="27"/>
    </row>
    <row r="544">
      <c r="F544" s="27"/>
      <c r="G544" s="27"/>
      <c r="H544" s="27"/>
      <c r="J544" s="27"/>
      <c r="K544" s="27"/>
      <c r="L544" s="27"/>
    </row>
    <row r="545">
      <c r="F545" s="27"/>
      <c r="G545" s="27"/>
      <c r="H545" s="27"/>
      <c r="J545" s="27"/>
      <c r="K545" s="27"/>
      <c r="L545" s="27"/>
    </row>
    <row r="546">
      <c r="F546" s="27"/>
      <c r="G546" s="27"/>
      <c r="H546" s="27"/>
      <c r="J546" s="27"/>
      <c r="K546" s="27"/>
      <c r="L546" s="27"/>
    </row>
    <row r="547">
      <c r="F547" s="27"/>
      <c r="G547" s="27"/>
      <c r="H547" s="27"/>
      <c r="J547" s="27"/>
      <c r="K547" s="27"/>
      <c r="L547" s="27"/>
    </row>
    <row r="548">
      <c r="F548" s="27"/>
      <c r="G548" s="27"/>
      <c r="H548" s="27"/>
      <c r="J548" s="27"/>
      <c r="K548" s="27"/>
      <c r="L548" s="27"/>
    </row>
    <row r="549">
      <c r="F549" s="27"/>
      <c r="G549" s="27"/>
      <c r="H549" s="27"/>
      <c r="J549" s="27"/>
      <c r="K549" s="27"/>
      <c r="L549" s="27"/>
    </row>
    <row r="550">
      <c r="F550" s="27"/>
      <c r="G550" s="27"/>
      <c r="H550" s="27"/>
      <c r="J550" s="27"/>
      <c r="K550" s="27"/>
      <c r="L550" s="27"/>
    </row>
    <row r="551">
      <c r="F551" s="27"/>
      <c r="G551" s="27"/>
      <c r="H551" s="27"/>
      <c r="J551" s="27"/>
      <c r="K551" s="27"/>
      <c r="L551" s="27"/>
    </row>
    <row r="552">
      <c r="F552" s="27"/>
      <c r="G552" s="27"/>
      <c r="H552" s="27"/>
      <c r="J552" s="27"/>
      <c r="K552" s="27"/>
      <c r="L552" s="27"/>
    </row>
    <row r="553">
      <c r="F553" s="27"/>
      <c r="G553" s="27"/>
      <c r="H553" s="27"/>
      <c r="J553" s="27"/>
      <c r="K553" s="27"/>
      <c r="L553" s="27"/>
    </row>
    <row r="554">
      <c r="F554" s="27"/>
      <c r="G554" s="27"/>
      <c r="H554" s="27"/>
      <c r="J554" s="27"/>
      <c r="K554" s="27"/>
      <c r="L554" s="27"/>
    </row>
    <row r="555">
      <c r="F555" s="27"/>
      <c r="G555" s="27"/>
      <c r="H555" s="27"/>
      <c r="J555" s="27"/>
      <c r="K555" s="27"/>
      <c r="L555" s="27"/>
    </row>
    <row r="556">
      <c r="F556" s="27"/>
      <c r="G556" s="27"/>
      <c r="H556" s="27"/>
      <c r="J556" s="27"/>
      <c r="K556" s="27"/>
      <c r="L556" s="27"/>
    </row>
    <row r="557">
      <c r="F557" s="27"/>
      <c r="G557" s="27"/>
      <c r="H557" s="27"/>
      <c r="J557" s="27"/>
      <c r="K557" s="27"/>
      <c r="L557" s="27"/>
    </row>
    <row r="558">
      <c r="F558" s="27"/>
      <c r="G558" s="27"/>
      <c r="H558" s="27"/>
      <c r="J558" s="27"/>
      <c r="K558" s="27"/>
      <c r="L558" s="27"/>
    </row>
    <row r="559">
      <c r="F559" s="27"/>
      <c r="G559" s="27"/>
      <c r="H559" s="27"/>
      <c r="J559" s="27"/>
      <c r="K559" s="27"/>
      <c r="L559" s="27"/>
    </row>
    <row r="560">
      <c r="F560" s="27"/>
      <c r="G560" s="27"/>
      <c r="H560" s="27"/>
      <c r="J560" s="27"/>
      <c r="K560" s="27"/>
      <c r="L560" s="27"/>
    </row>
    <row r="561">
      <c r="F561" s="27"/>
      <c r="G561" s="27"/>
      <c r="H561" s="27"/>
      <c r="J561" s="27"/>
      <c r="K561" s="27"/>
      <c r="L561" s="27"/>
    </row>
    <row r="562">
      <c r="F562" s="27"/>
      <c r="G562" s="27"/>
      <c r="H562" s="27"/>
      <c r="J562" s="27"/>
      <c r="K562" s="27"/>
      <c r="L562" s="27"/>
    </row>
    <row r="563">
      <c r="F563" s="27"/>
      <c r="G563" s="27"/>
      <c r="H563" s="27"/>
      <c r="J563" s="27"/>
      <c r="K563" s="27"/>
      <c r="L563" s="27"/>
    </row>
    <row r="564">
      <c r="F564" s="27"/>
      <c r="G564" s="27"/>
      <c r="H564" s="27"/>
      <c r="J564" s="27"/>
      <c r="K564" s="27"/>
      <c r="L564" s="27"/>
    </row>
    <row r="565">
      <c r="F565" s="27"/>
      <c r="G565" s="27"/>
      <c r="H565" s="27"/>
      <c r="J565" s="27"/>
      <c r="K565" s="27"/>
      <c r="L565" s="27"/>
    </row>
    <row r="566">
      <c r="F566" s="27"/>
      <c r="G566" s="27"/>
      <c r="H566" s="27"/>
      <c r="J566" s="27"/>
      <c r="K566" s="27"/>
      <c r="L566" s="27"/>
    </row>
    <row r="567">
      <c r="F567" s="27"/>
      <c r="G567" s="27"/>
      <c r="H567" s="27"/>
      <c r="J567" s="27"/>
      <c r="K567" s="27"/>
      <c r="L567" s="27"/>
    </row>
    <row r="568">
      <c r="F568" s="27"/>
      <c r="G568" s="27"/>
      <c r="H568" s="27"/>
      <c r="J568" s="27"/>
      <c r="K568" s="27"/>
      <c r="L568" s="27"/>
    </row>
    <row r="569">
      <c r="F569" s="27"/>
      <c r="G569" s="27"/>
      <c r="H569" s="27"/>
      <c r="J569" s="27"/>
      <c r="K569" s="27"/>
      <c r="L569" s="27"/>
    </row>
    <row r="570">
      <c r="F570" s="27"/>
      <c r="G570" s="27"/>
      <c r="H570" s="27"/>
      <c r="J570" s="27"/>
      <c r="K570" s="27"/>
      <c r="L570" s="27"/>
    </row>
    <row r="571">
      <c r="F571" s="27"/>
      <c r="G571" s="27"/>
      <c r="H571" s="27"/>
      <c r="J571" s="27"/>
      <c r="K571" s="27"/>
      <c r="L571" s="27"/>
    </row>
    <row r="572">
      <c r="F572" s="27"/>
      <c r="G572" s="27"/>
      <c r="H572" s="27"/>
      <c r="J572" s="27"/>
      <c r="K572" s="27"/>
      <c r="L572" s="27"/>
    </row>
    <row r="573">
      <c r="F573" s="27"/>
      <c r="G573" s="27"/>
      <c r="H573" s="27"/>
      <c r="J573" s="27"/>
      <c r="K573" s="27"/>
      <c r="L573" s="27"/>
    </row>
    <row r="574">
      <c r="F574" s="27"/>
      <c r="G574" s="27"/>
      <c r="H574" s="27"/>
      <c r="J574" s="27"/>
      <c r="K574" s="27"/>
      <c r="L574" s="27"/>
    </row>
    <row r="575">
      <c r="F575" s="27"/>
      <c r="G575" s="27"/>
      <c r="H575" s="27"/>
      <c r="J575" s="27"/>
      <c r="K575" s="27"/>
      <c r="L575" s="27"/>
    </row>
    <row r="576">
      <c r="F576" s="27"/>
      <c r="G576" s="27"/>
      <c r="H576" s="27"/>
      <c r="J576" s="27"/>
      <c r="K576" s="27"/>
      <c r="L576" s="27"/>
    </row>
    <row r="577">
      <c r="F577" s="27"/>
      <c r="G577" s="27"/>
      <c r="H577" s="27"/>
      <c r="J577" s="27"/>
      <c r="K577" s="27"/>
      <c r="L577" s="27"/>
    </row>
    <row r="578">
      <c r="F578" s="27"/>
      <c r="G578" s="27"/>
      <c r="H578" s="27"/>
      <c r="J578" s="27"/>
      <c r="K578" s="27"/>
      <c r="L578" s="27"/>
    </row>
    <row r="579">
      <c r="F579" s="27"/>
      <c r="G579" s="27"/>
      <c r="H579" s="27"/>
      <c r="J579" s="27"/>
      <c r="K579" s="27"/>
      <c r="L579" s="27"/>
    </row>
    <row r="580">
      <c r="F580" s="27"/>
      <c r="G580" s="27"/>
      <c r="H580" s="27"/>
      <c r="J580" s="27"/>
      <c r="K580" s="27"/>
      <c r="L580" s="27"/>
    </row>
    <row r="581">
      <c r="F581" s="27"/>
      <c r="G581" s="27"/>
      <c r="H581" s="27"/>
      <c r="J581" s="27"/>
      <c r="K581" s="27"/>
      <c r="L581" s="27"/>
    </row>
    <row r="582">
      <c r="F582" s="27"/>
      <c r="G582" s="27"/>
      <c r="H582" s="27"/>
      <c r="J582" s="27"/>
      <c r="K582" s="27"/>
      <c r="L582" s="27"/>
    </row>
    <row r="583">
      <c r="F583" s="27"/>
      <c r="G583" s="27"/>
      <c r="H583" s="27"/>
      <c r="J583" s="27"/>
      <c r="K583" s="27"/>
      <c r="L583" s="27"/>
    </row>
    <row r="584">
      <c r="F584" s="27"/>
      <c r="G584" s="27"/>
      <c r="H584" s="27"/>
      <c r="J584" s="27"/>
      <c r="K584" s="27"/>
      <c r="L584" s="27"/>
    </row>
    <row r="585">
      <c r="F585" s="27"/>
      <c r="G585" s="27"/>
      <c r="H585" s="27"/>
      <c r="J585" s="27"/>
      <c r="K585" s="27"/>
      <c r="L585" s="27"/>
    </row>
    <row r="586">
      <c r="F586" s="27"/>
      <c r="G586" s="27"/>
      <c r="H586" s="27"/>
      <c r="J586" s="27"/>
      <c r="K586" s="27"/>
      <c r="L586" s="27"/>
    </row>
    <row r="587">
      <c r="F587" s="27"/>
      <c r="G587" s="27"/>
      <c r="H587" s="27"/>
      <c r="J587" s="27"/>
      <c r="K587" s="27"/>
      <c r="L587" s="27"/>
    </row>
    <row r="588">
      <c r="F588" s="27"/>
      <c r="G588" s="27"/>
      <c r="H588" s="27"/>
      <c r="J588" s="27"/>
      <c r="K588" s="27"/>
      <c r="L588" s="27"/>
    </row>
    <row r="589">
      <c r="F589" s="27"/>
      <c r="G589" s="27"/>
      <c r="H589" s="27"/>
      <c r="J589" s="27"/>
      <c r="K589" s="27"/>
      <c r="L589" s="27"/>
    </row>
    <row r="590">
      <c r="F590" s="27"/>
      <c r="G590" s="27"/>
      <c r="H590" s="27"/>
      <c r="J590" s="27"/>
      <c r="K590" s="27"/>
      <c r="L590" s="27"/>
    </row>
    <row r="591">
      <c r="F591" s="27"/>
      <c r="G591" s="27"/>
      <c r="H591" s="27"/>
      <c r="J591" s="27"/>
      <c r="K591" s="27"/>
      <c r="L591" s="27"/>
    </row>
    <row r="592">
      <c r="F592" s="27"/>
      <c r="G592" s="27"/>
      <c r="H592" s="27"/>
      <c r="J592" s="27"/>
      <c r="K592" s="27"/>
      <c r="L592" s="27"/>
    </row>
    <row r="593">
      <c r="F593" s="27"/>
      <c r="G593" s="27"/>
      <c r="H593" s="27"/>
      <c r="J593" s="27"/>
      <c r="K593" s="27"/>
      <c r="L593" s="27"/>
    </row>
    <row r="594">
      <c r="F594" s="27"/>
      <c r="G594" s="27"/>
      <c r="H594" s="27"/>
      <c r="J594" s="27"/>
      <c r="K594" s="27"/>
      <c r="L594" s="27"/>
    </row>
    <row r="595">
      <c r="F595" s="27"/>
      <c r="G595" s="27"/>
      <c r="H595" s="27"/>
      <c r="J595" s="27"/>
      <c r="K595" s="27"/>
      <c r="L595" s="27"/>
    </row>
    <row r="596">
      <c r="F596" s="27"/>
      <c r="G596" s="27"/>
      <c r="H596" s="27"/>
      <c r="J596" s="27"/>
      <c r="K596" s="27"/>
      <c r="L596" s="27"/>
    </row>
    <row r="597">
      <c r="F597" s="27"/>
      <c r="G597" s="27"/>
      <c r="H597" s="27"/>
      <c r="J597" s="27"/>
      <c r="K597" s="27"/>
      <c r="L597" s="27"/>
    </row>
    <row r="598">
      <c r="F598" s="27"/>
      <c r="G598" s="27"/>
      <c r="H598" s="27"/>
      <c r="J598" s="27"/>
      <c r="K598" s="27"/>
      <c r="L598" s="27"/>
    </row>
    <row r="599">
      <c r="F599" s="27"/>
      <c r="G599" s="27"/>
      <c r="H599" s="27"/>
      <c r="J599" s="27"/>
      <c r="K599" s="27"/>
      <c r="L599" s="27"/>
    </row>
    <row r="600">
      <c r="F600" s="27"/>
      <c r="G600" s="27"/>
      <c r="H600" s="27"/>
      <c r="J600" s="27"/>
      <c r="K600" s="27"/>
      <c r="L600" s="27"/>
    </row>
    <row r="601">
      <c r="F601" s="27"/>
      <c r="G601" s="27"/>
      <c r="H601" s="27"/>
      <c r="J601" s="27"/>
      <c r="K601" s="27"/>
      <c r="L601" s="27"/>
    </row>
    <row r="602">
      <c r="F602" s="27"/>
      <c r="G602" s="27"/>
      <c r="H602" s="27"/>
      <c r="J602" s="27"/>
      <c r="K602" s="27"/>
      <c r="L602" s="27"/>
    </row>
    <row r="603">
      <c r="F603" s="27"/>
      <c r="G603" s="27"/>
      <c r="H603" s="27"/>
      <c r="J603" s="27"/>
      <c r="K603" s="27"/>
      <c r="L603" s="27"/>
    </row>
    <row r="604">
      <c r="F604" s="27"/>
      <c r="G604" s="27"/>
      <c r="H604" s="27"/>
      <c r="J604" s="27"/>
      <c r="K604" s="27"/>
      <c r="L604" s="27"/>
    </row>
    <row r="605">
      <c r="F605" s="27"/>
      <c r="G605" s="27"/>
      <c r="H605" s="27"/>
      <c r="J605" s="27"/>
      <c r="K605" s="27"/>
      <c r="L605" s="27"/>
    </row>
    <row r="606">
      <c r="F606" s="27"/>
      <c r="G606" s="27"/>
      <c r="H606" s="27"/>
      <c r="J606" s="27"/>
      <c r="K606" s="27"/>
      <c r="L606" s="27"/>
    </row>
    <row r="607">
      <c r="F607" s="27"/>
      <c r="G607" s="27"/>
      <c r="H607" s="27"/>
      <c r="J607" s="27"/>
      <c r="K607" s="27"/>
      <c r="L607" s="27"/>
    </row>
    <row r="608">
      <c r="F608" s="27"/>
      <c r="G608" s="27"/>
      <c r="H608" s="27"/>
      <c r="J608" s="27"/>
      <c r="K608" s="27"/>
      <c r="L608" s="27"/>
    </row>
    <row r="609">
      <c r="F609" s="27"/>
      <c r="G609" s="27"/>
      <c r="H609" s="27"/>
      <c r="J609" s="27"/>
      <c r="K609" s="27"/>
      <c r="L609" s="27"/>
    </row>
    <row r="610">
      <c r="F610" s="27"/>
      <c r="G610" s="27"/>
      <c r="H610" s="27"/>
      <c r="J610" s="27"/>
      <c r="K610" s="27"/>
      <c r="L610" s="27"/>
    </row>
    <row r="611">
      <c r="F611" s="27"/>
      <c r="G611" s="27"/>
      <c r="H611" s="27"/>
      <c r="J611" s="27"/>
      <c r="K611" s="27"/>
      <c r="L611" s="27"/>
    </row>
    <row r="612">
      <c r="F612" s="27"/>
      <c r="G612" s="27"/>
      <c r="H612" s="27"/>
      <c r="J612" s="27"/>
      <c r="K612" s="27"/>
      <c r="L612" s="27"/>
    </row>
    <row r="613">
      <c r="F613" s="27"/>
      <c r="G613" s="27"/>
      <c r="H613" s="27"/>
      <c r="J613" s="27"/>
      <c r="K613" s="27"/>
      <c r="L613" s="27"/>
    </row>
    <row r="614">
      <c r="F614" s="27"/>
      <c r="G614" s="27"/>
      <c r="H614" s="27"/>
      <c r="J614" s="27"/>
      <c r="K614" s="27"/>
      <c r="L614" s="27"/>
    </row>
    <row r="615">
      <c r="F615" s="27"/>
      <c r="G615" s="27"/>
      <c r="H615" s="27"/>
      <c r="J615" s="27"/>
      <c r="K615" s="27"/>
      <c r="L615" s="27"/>
    </row>
    <row r="616">
      <c r="F616" s="27"/>
      <c r="G616" s="27"/>
      <c r="H616" s="27"/>
      <c r="J616" s="27"/>
      <c r="K616" s="27"/>
      <c r="L616" s="27"/>
    </row>
    <row r="617">
      <c r="F617" s="27"/>
      <c r="G617" s="27"/>
      <c r="H617" s="27"/>
      <c r="J617" s="27"/>
      <c r="K617" s="27"/>
      <c r="L617" s="27"/>
    </row>
    <row r="618">
      <c r="F618" s="27"/>
      <c r="G618" s="27"/>
      <c r="H618" s="27"/>
      <c r="J618" s="27"/>
      <c r="K618" s="27"/>
      <c r="L618" s="27"/>
    </row>
    <row r="619">
      <c r="F619" s="27"/>
      <c r="G619" s="27"/>
      <c r="H619" s="27"/>
      <c r="J619" s="27"/>
      <c r="K619" s="27"/>
      <c r="L619" s="27"/>
    </row>
    <row r="620">
      <c r="F620" s="27"/>
      <c r="G620" s="27"/>
      <c r="H620" s="27"/>
      <c r="J620" s="27"/>
      <c r="K620" s="27"/>
      <c r="L620" s="27"/>
    </row>
    <row r="621">
      <c r="F621" s="27"/>
      <c r="G621" s="27"/>
      <c r="H621" s="27"/>
      <c r="J621" s="27"/>
      <c r="K621" s="27"/>
      <c r="L621" s="27"/>
    </row>
    <row r="622">
      <c r="F622" s="27"/>
      <c r="G622" s="27"/>
      <c r="H622" s="27"/>
      <c r="J622" s="27"/>
      <c r="K622" s="27"/>
      <c r="L622" s="27"/>
    </row>
    <row r="623">
      <c r="F623" s="27"/>
      <c r="G623" s="27"/>
      <c r="H623" s="27"/>
      <c r="J623" s="27"/>
      <c r="K623" s="27"/>
      <c r="L623" s="27"/>
    </row>
    <row r="624">
      <c r="F624" s="27"/>
      <c r="G624" s="27"/>
      <c r="H624" s="27"/>
      <c r="J624" s="27"/>
      <c r="K624" s="27"/>
      <c r="L624" s="27"/>
    </row>
    <row r="625">
      <c r="F625" s="27"/>
      <c r="G625" s="27"/>
      <c r="H625" s="27"/>
      <c r="J625" s="27"/>
      <c r="K625" s="27"/>
      <c r="L625" s="27"/>
    </row>
    <row r="626">
      <c r="F626" s="27"/>
      <c r="G626" s="27"/>
      <c r="H626" s="27"/>
      <c r="J626" s="27"/>
      <c r="K626" s="27"/>
      <c r="L626" s="27"/>
    </row>
    <row r="627">
      <c r="F627" s="27"/>
      <c r="G627" s="27"/>
      <c r="H627" s="27"/>
      <c r="J627" s="27"/>
      <c r="K627" s="27"/>
      <c r="L627" s="27"/>
    </row>
    <row r="628">
      <c r="F628" s="27"/>
      <c r="G628" s="27"/>
      <c r="H628" s="27"/>
      <c r="J628" s="27"/>
      <c r="K628" s="27"/>
      <c r="L628" s="27"/>
    </row>
    <row r="629">
      <c r="F629" s="27"/>
      <c r="G629" s="27"/>
      <c r="H629" s="27"/>
      <c r="J629" s="27"/>
      <c r="K629" s="27"/>
      <c r="L629" s="27"/>
    </row>
    <row r="630">
      <c r="F630" s="27"/>
      <c r="G630" s="27"/>
      <c r="H630" s="27"/>
      <c r="J630" s="27"/>
      <c r="K630" s="27"/>
      <c r="L630" s="27"/>
    </row>
    <row r="631">
      <c r="F631" s="27"/>
      <c r="G631" s="27"/>
      <c r="H631" s="27"/>
      <c r="J631" s="27"/>
      <c r="K631" s="27"/>
      <c r="L631" s="27"/>
    </row>
    <row r="632">
      <c r="F632" s="27"/>
      <c r="G632" s="27"/>
      <c r="H632" s="27"/>
      <c r="J632" s="27"/>
      <c r="K632" s="27"/>
      <c r="L632" s="27"/>
    </row>
    <row r="633">
      <c r="F633" s="27"/>
      <c r="G633" s="27"/>
      <c r="H633" s="27"/>
      <c r="J633" s="27"/>
      <c r="K633" s="27"/>
      <c r="L633" s="27"/>
    </row>
    <row r="634">
      <c r="F634" s="27"/>
      <c r="G634" s="27"/>
      <c r="H634" s="27"/>
      <c r="J634" s="27"/>
      <c r="K634" s="27"/>
      <c r="L634" s="27"/>
    </row>
    <row r="635">
      <c r="F635" s="27"/>
      <c r="G635" s="27"/>
      <c r="H635" s="27"/>
      <c r="J635" s="27"/>
      <c r="K635" s="27"/>
      <c r="L635" s="27"/>
    </row>
    <row r="636">
      <c r="F636" s="27"/>
      <c r="G636" s="27"/>
      <c r="H636" s="27"/>
      <c r="J636" s="27"/>
      <c r="K636" s="27"/>
      <c r="L636" s="27"/>
    </row>
    <row r="637">
      <c r="F637" s="27"/>
      <c r="G637" s="27"/>
      <c r="H637" s="27"/>
      <c r="J637" s="27"/>
      <c r="K637" s="27"/>
      <c r="L637" s="27"/>
    </row>
    <row r="638">
      <c r="F638" s="27"/>
      <c r="G638" s="27"/>
      <c r="H638" s="27"/>
      <c r="J638" s="27"/>
      <c r="K638" s="27"/>
      <c r="L638" s="27"/>
    </row>
    <row r="639">
      <c r="F639" s="27"/>
      <c r="G639" s="27"/>
      <c r="H639" s="27"/>
      <c r="J639" s="27"/>
      <c r="K639" s="27"/>
      <c r="L639" s="27"/>
    </row>
    <row r="640">
      <c r="F640" s="27"/>
      <c r="G640" s="27"/>
      <c r="H640" s="27"/>
      <c r="J640" s="27"/>
      <c r="K640" s="27"/>
      <c r="L640" s="27"/>
    </row>
    <row r="641">
      <c r="F641" s="27"/>
      <c r="G641" s="27"/>
      <c r="H641" s="27"/>
      <c r="J641" s="27"/>
      <c r="K641" s="27"/>
      <c r="L641" s="27"/>
    </row>
    <row r="642">
      <c r="F642" s="27"/>
      <c r="G642" s="27"/>
      <c r="H642" s="27"/>
      <c r="J642" s="27"/>
      <c r="K642" s="27"/>
      <c r="L642" s="27"/>
    </row>
    <row r="643">
      <c r="F643" s="27"/>
      <c r="G643" s="27"/>
      <c r="H643" s="27"/>
      <c r="J643" s="27"/>
      <c r="K643" s="27"/>
      <c r="L643" s="27"/>
    </row>
    <row r="644">
      <c r="F644" s="27"/>
      <c r="G644" s="27"/>
      <c r="H644" s="27"/>
      <c r="J644" s="27"/>
      <c r="K644" s="27"/>
      <c r="L644" s="27"/>
    </row>
    <row r="645">
      <c r="F645" s="27"/>
      <c r="G645" s="27"/>
      <c r="H645" s="27"/>
      <c r="J645" s="27"/>
      <c r="K645" s="27"/>
      <c r="L645" s="27"/>
    </row>
    <row r="646">
      <c r="F646" s="27"/>
      <c r="G646" s="27"/>
      <c r="H646" s="27"/>
      <c r="J646" s="27"/>
      <c r="K646" s="27"/>
      <c r="L646" s="27"/>
    </row>
    <row r="647">
      <c r="F647" s="27"/>
      <c r="G647" s="27"/>
      <c r="H647" s="27"/>
      <c r="J647" s="27"/>
      <c r="K647" s="27"/>
      <c r="L647" s="27"/>
    </row>
    <row r="648">
      <c r="F648" s="27"/>
      <c r="G648" s="27"/>
      <c r="H648" s="27"/>
      <c r="J648" s="27"/>
      <c r="K648" s="27"/>
      <c r="L648" s="27"/>
    </row>
    <row r="649">
      <c r="F649" s="27"/>
      <c r="G649" s="27"/>
      <c r="H649" s="27"/>
      <c r="J649" s="27"/>
      <c r="K649" s="27"/>
      <c r="L649" s="27"/>
    </row>
    <row r="650">
      <c r="F650" s="27"/>
      <c r="G650" s="27"/>
      <c r="H650" s="27"/>
      <c r="J650" s="27"/>
      <c r="K650" s="27"/>
      <c r="L650" s="27"/>
    </row>
    <row r="651">
      <c r="F651" s="27"/>
      <c r="G651" s="27"/>
      <c r="H651" s="27"/>
      <c r="J651" s="27"/>
      <c r="K651" s="27"/>
      <c r="L651" s="27"/>
    </row>
    <row r="652">
      <c r="F652" s="27"/>
      <c r="G652" s="27"/>
      <c r="H652" s="27"/>
      <c r="J652" s="27"/>
      <c r="K652" s="27"/>
      <c r="L652" s="27"/>
    </row>
    <row r="653">
      <c r="F653" s="27"/>
      <c r="G653" s="27"/>
      <c r="H653" s="27"/>
      <c r="J653" s="27"/>
      <c r="K653" s="27"/>
      <c r="L653" s="27"/>
    </row>
    <row r="654">
      <c r="F654" s="27"/>
      <c r="G654" s="27"/>
      <c r="H654" s="27"/>
      <c r="J654" s="27"/>
      <c r="K654" s="27"/>
      <c r="L654" s="27"/>
    </row>
    <row r="655">
      <c r="F655" s="27"/>
      <c r="G655" s="27"/>
      <c r="H655" s="27"/>
      <c r="J655" s="27"/>
      <c r="K655" s="27"/>
      <c r="L655" s="27"/>
    </row>
    <row r="656">
      <c r="F656" s="27"/>
      <c r="G656" s="27"/>
      <c r="H656" s="27"/>
      <c r="J656" s="27"/>
      <c r="K656" s="27"/>
      <c r="L656" s="27"/>
    </row>
    <row r="657">
      <c r="F657" s="27"/>
      <c r="G657" s="27"/>
      <c r="H657" s="27"/>
      <c r="J657" s="27"/>
      <c r="K657" s="27"/>
      <c r="L657" s="27"/>
    </row>
    <row r="658">
      <c r="F658" s="27"/>
      <c r="G658" s="27"/>
      <c r="H658" s="27"/>
      <c r="J658" s="27"/>
      <c r="K658" s="27"/>
      <c r="L658" s="27"/>
    </row>
    <row r="659">
      <c r="F659" s="27"/>
      <c r="G659" s="27"/>
      <c r="H659" s="27"/>
      <c r="J659" s="27"/>
      <c r="K659" s="27"/>
      <c r="L659" s="27"/>
    </row>
    <row r="660">
      <c r="F660" s="27"/>
      <c r="G660" s="27"/>
      <c r="H660" s="27"/>
      <c r="J660" s="27"/>
      <c r="K660" s="27"/>
      <c r="L660" s="27"/>
    </row>
    <row r="661">
      <c r="F661" s="27"/>
      <c r="G661" s="27"/>
      <c r="H661" s="27"/>
      <c r="J661" s="27"/>
      <c r="K661" s="27"/>
      <c r="L661" s="27"/>
    </row>
    <row r="662">
      <c r="F662" s="27"/>
      <c r="G662" s="27"/>
      <c r="H662" s="27"/>
      <c r="J662" s="27"/>
      <c r="K662" s="27"/>
      <c r="L662" s="27"/>
    </row>
    <row r="663">
      <c r="F663" s="27"/>
      <c r="G663" s="27"/>
      <c r="H663" s="27"/>
      <c r="J663" s="27"/>
      <c r="K663" s="27"/>
      <c r="L663" s="27"/>
    </row>
    <row r="664">
      <c r="F664" s="27"/>
      <c r="G664" s="27"/>
      <c r="H664" s="27"/>
      <c r="J664" s="27"/>
      <c r="K664" s="27"/>
      <c r="L664" s="27"/>
    </row>
    <row r="665">
      <c r="F665" s="27"/>
      <c r="G665" s="27"/>
      <c r="H665" s="27"/>
      <c r="J665" s="27"/>
      <c r="K665" s="27"/>
      <c r="L665" s="27"/>
    </row>
    <row r="666">
      <c r="F666" s="27"/>
      <c r="G666" s="27"/>
      <c r="H666" s="27"/>
      <c r="J666" s="27"/>
      <c r="K666" s="27"/>
      <c r="L666" s="27"/>
    </row>
    <row r="667">
      <c r="F667" s="27"/>
      <c r="G667" s="27"/>
      <c r="H667" s="27"/>
      <c r="J667" s="27"/>
      <c r="K667" s="27"/>
      <c r="L667" s="27"/>
    </row>
    <row r="668">
      <c r="F668" s="27"/>
      <c r="G668" s="27"/>
      <c r="H668" s="27"/>
      <c r="J668" s="27"/>
      <c r="K668" s="27"/>
      <c r="L668" s="27"/>
    </row>
    <row r="669">
      <c r="F669" s="27"/>
      <c r="G669" s="27"/>
      <c r="H669" s="27"/>
      <c r="J669" s="27"/>
      <c r="K669" s="27"/>
      <c r="L669" s="27"/>
    </row>
    <row r="670">
      <c r="F670" s="27"/>
      <c r="G670" s="27"/>
      <c r="H670" s="27"/>
      <c r="J670" s="27"/>
      <c r="K670" s="27"/>
      <c r="L670" s="27"/>
    </row>
    <row r="671">
      <c r="F671" s="27"/>
      <c r="G671" s="27"/>
      <c r="H671" s="27"/>
      <c r="J671" s="27"/>
      <c r="K671" s="27"/>
      <c r="L671" s="27"/>
    </row>
    <row r="672">
      <c r="F672" s="27"/>
      <c r="G672" s="27"/>
      <c r="H672" s="27"/>
      <c r="J672" s="27"/>
      <c r="K672" s="27"/>
      <c r="L672" s="27"/>
    </row>
    <row r="673">
      <c r="F673" s="27"/>
      <c r="G673" s="27"/>
      <c r="H673" s="27"/>
      <c r="J673" s="27"/>
      <c r="K673" s="27"/>
      <c r="L673" s="27"/>
    </row>
    <row r="674">
      <c r="F674" s="27"/>
      <c r="G674" s="27"/>
      <c r="H674" s="27"/>
      <c r="J674" s="27"/>
      <c r="K674" s="27"/>
      <c r="L674" s="27"/>
    </row>
    <row r="675">
      <c r="F675" s="27"/>
      <c r="G675" s="27"/>
      <c r="H675" s="27"/>
      <c r="J675" s="27"/>
      <c r="K675" s="27"/>
      <c r="L675" s="27"/>
    </row>
    <row r="676">
      <c r="F676" s="27"/>
      <c r="G676" s="27"/>
      <c r="H676" s="27"/>
      <c r="J676" s="27"/>
      <c r="K676" s="27"/>
      <c r="L676" s="27"/>
    </row>
    <row r="677">
      <c r="F677" s="27"/>
      <c r="G677" s="27"/>
      <c r="H677" s="27"/>
      <c r="J677" s="27"/>
      <c r="K677" s="27"/>
      <c r="L677" s="27"/>
    </row>
    <row r="678">
      <c r="F678" s="27"/>
      <c r="G678" s="27"/>
      <c r="H678" s="27"/>
      <c r="J678" s="27"/>
      <c r="K678" s="27"/>
      <c r="L678" s="27"/>
    </row>
    <row r="679">
      <c r="F679" s="27"/>
      <c r="G679" s="27"/>
      <c r="H679" s="27"/>
      <c r="J679" s="27"/>
      <c r="K679" s="27"/>
      <c r="L679" s="27"/>
    </row>
    <row r="680">
      <c r="F680" s="27"/>
      <c r="G680" s="27"/>
      <c r="H680" s="27"/>
      <c r="J680" s="27"/>
      <c r="K680" s="27"/>
      <c r="L680" s="27"/>
    </row>
    <row r="681">
      <c r="F681" s="27"/>
      <c r="G681" s="27"/>
      <c r="H681" s="27"/>
      <c r="J681" s="27"/>
      <c r="K681" s="27"/>
      <c r="L681" s="27"/>
    </row>
    <row r="682">
      <c r="F682" s="27"/>
      <c r="G682" s="27"/>
      <c r="H682" s="27"/>
      <c r="J682" s="27"/>
      <c r="K682" s="27"/>
      <c r="L682" s="27"/>
    </row>
    <row r="683">
      <c r="F683" s="27"/>
      <c r="G683" s="27"/>
      <c r="H683" s="27"/>
      <c r="J683" s="27"/>
      <c r="K683" s="27"/>
      <c r="L683" s="27"/>
    </row>
    <row r="684">
      <c r="F684" s="27"/>
      <c r="G684" s="27"/>
      <c r="H684" s="27"/>
      <c r="J684" s="27"/>
      <c r="K684" s="27"/>
      <c r="L684" s="27"/>
    </row>
    <row r="685">
      <c r="F685" s="27"/>
      <c r="G685" s="27"/>
      <c r="H685" s="27"/>
      <c r="J685" s="27"/>
      <c r="K685" s="27"/>
      <c r="L685" s="27"/>
    </row>
    <row r="686">
      <c r="F686" s="27"/>
      <c r="G686" s="27"/>
      <c r="H686" s="27"/>
      <c r="J686" s="27"/>
      <c r="K686" s="27"/>
      <c r="L686" s="27"/>
    </row>
    <row r="687">
      <c r="F687" s="27"/>
      <c r="G687" s="27"/>
      <c r="H687" s="27"/>
      <c r="J687" s="27"/>
      <c r="K687" s="27"/>
      <c r="L687" s="27"/>
    </row>
    <row r="688">
      <c r="F688" s="27"/>
      <c r="G688" s="27"/>
      <c r="H688" s="27"/>
      <c r="J688" s="27"/>
      <c r="K688" s="27"/>
      <c r="L688" s="27"/>
    </row>
    <row r="689">
      <c r="F689" s="27"/>
      <c r="G689" s="27"/>
      <c r="H689" s="27"/>
      <c r="J689" s="27"/>
      <c r="K689" s="27"/>
      <c r="L689" s="27"/>
    </row>
    <row r="690">
      <c r="F690" s="27"/>
      <c r="G690" s="27"/>
      <c r="H690" s="27"/>
      <c r="J690" s="27"/>
      <c r="K690" s="27"/>
      <c r="L690" s="27"/>
    </row>
    <row r="691">
      <c r="F691" s="27"/>
      <c r="G691" s="27"/>
      <c r="H691" s="27"/>
      <c r="J691" s="27"/>
      <c r="K691" s="27"/>
      <c r="L691" s="27"/>
    </row>
    <row r="692">
      <c r="F692" s="27"/>
      <c r="G692" s="27"/>
      <c r="H692" s="27"/>
      <c r="J692" s="27"/>
      <c r="K692" s="27"/>
      <c r="L692" s="27"/>
    </row>
    <row r="693">
      <c r="F693" s="27"/>
      <c r="G693" s="27"/>
      <c r="H693" s="27"/>
      <c r="J693" s="27"/>
      <c r="K693" s="27"/>
      <c r="L693" s="27"/>
    </row>
    <row r="694">
      <c r="F694" s="27"/>
      <c r="G694" s="27"/>
      <c r="H694" s="27"/>
      <c r="J694" s="27"/>
      <c r="K694" s="27"/>
      <c r="L694" s="27"/>
    </row>
    <row r="695">
      <c r="F695" s="27"/>
      <c r="G695" s="27"/>
      <c r="H695" s="27"/>
      <c r="J695" s="27"/>
      <c r="K695" s="27"/>
      <c r="L695" s="27"/>
    </row>
    <row r="696">
      <c r="F696" s="27"/>
      <c r="G696" s="27"/>
      <c r="H696" s="27"/>
      <c r="J696" s="27"/>
      <c r="K696" s="27"/>
      <c r="L696" s="27"/>
    </row>
    <row r="697">
      <c r="F697" s="27"/>
      <c r="G697" s="27"/>
      <c r="H697" s="27"/>
      <c r="J697" s="27"/>
      <c r="K697" s="27"/>
      <c r="L697" s="27"/>
    </row>
    <row r="698">
      <c r="F698" s="27"/>
      <c r="G698" s="27"/>
      <c r="H698" s="27"/>
      <c r="J698" s="27"/>
      <c r="K698" s="27"/>
      <c r="L698" s="27"/>
    </row>
    <row r="699">
      <c r="F699" s="27"/>
      <c r="G699" s="27"/>
      <c r="H699" s="27"/>
      <c r="J699" s="27"/>
      <c r="K699" s="27"/>
      <c r="L699" s="27"/>
    </row>
    <row r="700">
      <c r="F700" s="27"/>
      <c r="G700" s="27"/>
      <c r="H700" s="27"/>
      <c r="J700" s="27"/>
      <c r="K700" s="27"/>
      <c r="L700" s="27"/>
    </row>
    <row r="701">
      <c r="F701" s="27"/>
      <c r="G701" s="27"/>
      <c r="H701" s="27"/>
      <c r="J701" s="27"/>
      <c r="K701" s="27"/>
      <c r="L701" s="27"/>
    </row>
    <row r="702">
      <c r="F702" s="27"/>
      <c r="G702" s="27"/>
      <c r="H702" s="27"/>
      <c r="J702" s="27"/>
      <c r="K702" s="27"/>
      <c r="L702" s="27"/>
    </row>
    <row r="703">
      <c r="F703" s="27"/>
      <c r="G703" s="27"/>
      <c r="H703" s="27"/>
      <c r="J703" s="27"/>
      <c r="K703" s="27"/>
      <c r="L703" s="27"/>
    </row>
    <row r="704">
      <c r="F704" s="27"/>
      <c r="G704" s="27"/>
      <c r="H704" s="27"/>
      <c r="J704" s="27"/>
      <c r="K704" s="27"/>
      <c r="L704" s="27"/>
    </row>
    <row r="705">
      <c r="F705" s="27"/>
      <c r="G705" s="27"/>
      <c r="H705" s="27"/>
      <c r="J705" s="27"/>
      <c r="K705" s="27"/>
      <c r="L705" s="27"/>
    </row>
    <row r="706">
      <c r="F706" s="27"/>
      <c r="G706" s="27"/>
      <c r="H706" s="27"/>
      <c r="J706" s="27"/>
      <c r="K706" s="27"/>
      <c r="L706" s="27"/>
    </row>
    <row r="707">
      <c r="F707" s="27"/>
      <c r="G707" s="27"/>
      <c r="H707" s="27"/>
      <c r="J707" s="27"/>
      <c r="K707" s="27"/>
      <c r="L707" s="27"/>
    </row>
    <row r="708">
      <c r="F708" s="27"/>
      <c r="G708" s="27"/>
      <c r="H708" s="27"/>
      <c r="J708" s="27"/>
      <c r="K708" s="27"/>
      <c r="L708" s="27"/>
    </row>
    <row r="709">
      <c r="F709" s="27"/>
      <c r="G709" s="27"/>
      <c r="H709" s="27"/>
      <c r="J709" s="27"/>
      <c r="K709" s="27"/>
      <c r="L709" s="27"/>
    </row>
    <row r="710">
      <c r="F710" s="27"/>
      <c r="G710" s="27"/>
      <c r="H710" s="27"/>
      <c r="J710" s="27"/>
      <c r="K710" s="27"/>
      <c r="L710" s="27"/>
    </row>
    <row r="711">
      <c r="F711" s="27"/>
      <c r="G711" s="27"/>
      <c r="H711" s="27"/>
      <c r="J711" s="27"/>
      <c r="K711" s="27"/>
      <c r="L711" s="27"/>
    </row>
    <row r="712">
      <c r="F712" s="27"/>
      <c r="G712" s="27"/>
      <c r="H712" s="27"/>
      <c r="J712" s="27"/>
      <c r="K712" s="27"/>
      <c r="L712" s="27"/>
    </row>
    <row r="713">
      <c r="F713" s="27"/>
      <c r="G713" s="27"/>
      <c r="H713" s="27"/>
      <c r="J713" s="27"/>
      <c r="K713" s="27"/>
      <c r="L713" s="27"/>
    </row>
    <row r="714">
      <c r="F714" s="27"/>
      <c r="G714" s="27"/>
      <c r="H714" s="27"/>
      <c r="J714" s="27"/>
      <c r="K714" s="27"/>
      <c r="L714" s="27"/>
    </row>
    <row r="715">
      <c r="F715" s="27"/>
      <c r="G715" s="27"/>
      <c r="H715" s="27"/>
      <c r="J715" s="27"/>
      <c r="K715" s="27"/>
      <c r="L715" s="27"/>
    </row>
    <row r="716">
      <c r="F716" s="27"/>
      <c r="G716" s="27"/>
      <c r="H716" s="27"/>
      <c r="J716" s="27"/>
      <c r="K716" s="27"/>
      <c r="L716" s="27"/>
    </row>
    <row r="717">
      <c r="F717" s="27"/>
      <c r="G717" s="27"/>
      <c r="H717" s="27"/>
      <c r="J717" s="27"/>
      <c r="K717" s="27"/>
      <c r="L717" s="27"/>
    </row>
    <row r="718">
      <c r="F718" s="27"/>
      <c r="G718" s="27"/>
      <c r="H718" s="27"/>
      <c r="J718" s="27"/>
      <c r="K718" s="27"/>
      <c r="L718" s="27"/>
    </row>
    <row r="719">
      <c r="F719" s="27"/>
      <c r="G719" s="27"/>
      <c r="H719" s="27"/>
      <c r="J719" s="27"/>
      <c r="K719" s="27"/>
      <c r="L719" s="27"/>
    </row>
    <row r="720">
      <c r="F720" s="27"/>
      <c r="G720" s="27"/>
      <c r="H720" s="27"/>
      <c r="J720" s="27"/>
      <c r="K720" s="27"/>
      <c r="L720" s="27"/>
    </row>
    <row r="721">
      <c r="F721" s="27"/>
      <c r="G721" s="27"/>
      <c r="H721" s="27"/>
      <c r="J721" s="27"/>
      <c r="K721" s="27"/>
      <c r="L721" s="27"/>
    </row>
    <row r="722">
      <c r="F722" s="27"/>
      <c r="G722" s="27"/>
      <c r="H722" s="27"/>
      <c r="J722" s="27"/>
      <c r="K722" s="27"/>
      <c r="L722" s="27"/>
    </row>
    <row r="723">
      <c r="F723" s="27"/>
      <c r="G723" s="27"/>
      <c r="H723" s="27"/>
      <c r="J723" s="27"/>
      <c r="K723" s="27"/>
      <c r="L723" s="27"/>
    </row>
    <row r="724">
      <c r="F724" s="27"/>
      <c r="G724" s="27"/>
      <c r="H724" s="27"/>
      <c r="J724" s="27"/>
      <c r="K724" s="27"/>
      <c r="L724" s="27"/>
    </row>
    <row r="725">
      <c r="F725" s="27"/>
      <c r="G725" s="27"/>
      <c r="H725" s="27"/>
      <c r="J725" s="27"/>
      <c r="K725" s="27"/>
      <c r="L725" s="27"/>
    </row>
    <row r="726">
      <c r="F726" s="27"/>
      <c r="G726" s="27"/>
      <c r="H726" s="27"/>
      <c r="J726" s="27"/>
      <c r="K726" s="27"/>
      <c r="L726" s="27"/>
    </row>
    <row r="727">
      <c r="F727" s="27"/>
      <c r="G727" s="27"/>
      <c r="H727" s="27"/>
      <c r="J727" s="27"/>
      <c r="K727" s="27"/>
      <c r="L727" s="27"/>
    </row>
    <row r="728">
      <c r="F728" s="27"/>
      <c r="G728" s="27"/>
      <c r="H728" s="27"/>
      <c r="J728" s="27"/>
      <c r="K728" s="27"/>
      <c r="L728" s="27"/>
    </row>
    <row r="729">
      <c r="F729" s="27"/>
      <c r="G729" s="27"/>
      <c r="H729" s="27"/>
      <c r="J729" s="27"/>
      <c r="K729" s="27"/>
      <c r="L729" s="27"/>
    </row>
    <row r="730">
      <c r="F730" s="27"/>
      <c r="G730" s="27"/>
      <c r="H730" s="27"/>
      <c r="J730" s="27"/>
      <c r="K730" s="27"/>
      <c r="L730" s="27"/>
    </row>
    <row r="731">
      <c r="F731" s="27"/>
      <c r="G731" s="27"/>
      <c r="H731" s="27"/>
      <c r="J731" s="27"/>
      <c r="K731" s="27"/>
      <c r="L731" s="27"/>
    </row>
    <row r="732">
      <c r="F732" s="27"/>
      <c r="G732" s="27"/>
      <c r="H732" s="27"/>
      <c r="J732" s="27"/>
      <c r="K732" s="27"/>
      <c r="L732" s="27"/>
    </row>
    <row r="733">
      <c r="F733" s="27"/>
      <c r="G733" s="27"/>
      <c r="H733" s="27"/>
      <c r="J733" s="27"/>
      <c r="K733" s="27"/>
      <c r="L733" s="27"/>
    </row>
    <row r="734">
      <c r="F734" s="27"/>
      <c r="G734" s="27"/>
      <c r="H734" s="27"/>
      <c r="J734" s="27"/>
      <c r="K734" s="27"/>
      <c r="L734" s="27"/>
    </row>
    <row r="735">
      <c r="F735" s="27"/>
      <c r="G735" s="27"/>
      <c r="H735" s="27"/>
      <c r="J735" s="27"/>
      <c r="K735" s="27"/>
      <c r="L735" s="27"/>
    </row>
    <row r="736">
      <c r="F736" s="27"/>
      <c r="G736" s="27"/>
      <c r="H736" s="27"/>
      <c r="J736" s="27"/>
      <c r="K736" s="27"/>
      <c r="L736" s="27"/>
    </row>
    <row r="737">
      <c r="F737" s="27"/>
      <c r="G737" s="27"/>
      <c r="H737" s="27"/>
      <c r="J737" s="27"/>
      <c r="K737" s="27"/>
      <c r="L737" s="27"/>
    </row>
    <row r="738">
      <c r="F738" s="27"/>
      <c r="G738" s="27"/>
      <c r="H738" s="27"/>
      <c r="J738" s="27"/>
      <c r="K738" s="27"/>
      <c r="L738" s="27"/>
    </row>
    <row r="739">
      <c r="F739" s="27"/>
      <c r="G739" s="27"/>
      <c r="H739" s="27"/>
      <c r="J739" s="27"/>
      <c r="K739" s="27"/>
      <c r="L739" s="27"/>
    </row>
    <row r="740">
      <c r="F740" s="27"/>
      <c r="G740" s="27"/>
      <c r="H740" s="27"/>
      <c r="J740" s="27"/>
      <c r="K740" s="27"/>
      <c r="L740" s="27"/>
    </row>
    <row r="741">
      <c r="F741" s="27"/>
      <c r="G741" s="27"/>
      <c r="H741" s="27"/>
      <c r="J741" s="27"/>
      <c r="K741" s="27"/>
      <c r="L741" s="27"/>
    </row>
    <row r="742">
      <c r="F742" s="27"/>
      <c r="G742" s="27"/>
      <c r="H742" s="27"/>
      <c r="J742" s="27"/>
      <c r="K742" s="27"/>
      <c r="L742" s="27"/>
    </row>
    <row r="743">
      <c r="F743" s="27"/>
      <c r="G743" s="27"/>
      <c r="H743" s="27"/>
      <c r="J743" s="27"/>
      <c r="K743" s="27"/>
      <c r="L743" s="27"/>
    </row>
    <row r="744">
      <c r="F744" s="27"/>
      <c r="G744" s="27"/>
      <c r="H744" s="27"/>
      <c r="J744" s="27"/>
      <c r="K744" s="27"/>
      <c r="L744" s="27"/>
    </row>
    <row r="745">
      <c r="F745" s="27"/>
      <c r="G745" s="27"/>
      <c r="H745" s="27"/>
      <c r="J745" s="27"/>
      <c r="K745" s="27"/>
      <c r="L745" s="27"/>
    </row>
    <row r="746">
      <c r="F746" s="27"/>
      <c r="G746" s="27"/>
      <c r="H746" s="27"/>
      <c r="J746" s="27"/>
      <c r="K746" s="27"/>
      <c r="L746" s="27"/>
    </row>
    <row r="747">
      <c r="F747" s="27"/>
      <c r="G747" s="27"/>
      <c r="H747" s="27"/>
      <c r="J747" s="27"/>
      <c r="K747" s="27"/>
      <c r="L747" s="27"/>
    </row>
    <row r="748">
      <c r="F748" s="27"/>
      <c r="G748" s="27"/>
      <c r="H748" s="27"/>
      <c r="J748" s="27"/>
      <c r="K748" s="27"/>
      <c r="L748" s="27"/>
    </row>
    <row r="749">
      <c r="F749" s="27"/>
      <c r="G749" s="27"/>
      <c r="H749" s="27"/>
      <c r="J749" s="27"/>
      <c r="K749" s="27"/>
      <c r="L749" s="27"/>
    </row>
    <row r="750">
      <c r="F750" s="27"/>
      <c r="G750" s="27"/>
      <c r="H750" s="27"/>
      <c r="J750" s="27"/>
      <c r="K750" s="27"/>
      <c r="L750" s="27"/>
    </row>
    <row r="751">
      <c r="F751" s="27"/>
      <c r="G751" s="27"/>
      <c r="H751" s="27"/>
      <c r="J751" s="27"/>
      <c r="K751" s="27"/>
      <c r="L751" s="27"/>
    </row>
    <row r="752">
      <c r="F752" s="27"/>
      <c r="G752" s="27"/>
      <c r="H752" s="27"/>
      <c r="J752" s="27"/>
      <c r="K752" s="27"/>
      <c r="L752" s="27"/>
    </row>
    <row r="753">
      <c r="F753" s="27"/>
      <c r="G753" s="27"/>
      <c r="H753" s="27"/>
      <c r="J753" s="27"/>
      <c r="K753" s="27"/>
      <c r="L753" s="27"/>
    </row>
    <row r="754">
      <c r="F754" s="27"/>
      <c r="G754" s="27"/>
      <c r="H754" s="27"/>
      <c r="J754" s="27"/>
      <c r="K754" s="27"/>
      <c r="L754" s="27"/>
    </row>
    <row r="755">
      <c r="F755" s="27"/>
      <c r="G755" s="27"/>
      <c r="H755" s="27"/>
      <c r="J755" s="27"/>
      <c r="K755" s="27"/>
      <c r="L755" s="27"/>
    </row>
    <row r="756">
      <c r="F756" s="27"/>
      <c r="G756" s="27"/>
      <c r="H756" s="27"/>
      <c r="J756" s="27"/>
      <c r="K756" s="27"/>
      <c r="L756" s="27"/>
    </row>
    <row r="757">
      <c r="F757" s="27"/>
      <c r="G757" s="27"/>
      <c r="H757" s="27"/>
      <c r="J757" s="27"/>
      <c r="K757" s="27"/>
      <c r="L757" s="27"/>
    </row>
    <row r="758">
      <c r="F758" s="27"/>
      <c r="G758" s="27"/>
      <c r="H758" s="27"/>
      <c r="J758" s="27"/>
      <c r="K758" s="27"/>
      <c r="L758" s="27"/>
    </row>
    <row r="759">
      <c r="F759" s="27"/>
      <c r="G759" s="27"/>
      <c r="H759" s="27"/>
      <c r="J759" s="27"/>
      <c r="K759" s="27"/>
      <c r="L759" s="27"/>
    </row>
    <row r="760">
      <c r="F760" s="27"/>
      <c r="G760" s="27"/>
      <c r="H760" s="27"/>
      <c r="J760" s="27"/>
      <c r="K760" s="27"/>
      <c r="L760" s="27"/>
    </row>
    <row r="761">
      <c r="F761" s="27"/>
      <c r="G761" s="27"/>
      <c r="H761" s="27"/>
      <c r="J761" s="27"/>
      <c r="K761" s="27"/>
      <c r="L761" s="27"/>
    </row>
    <row r="762">
      <c r="F762" s="27"/>
      <c r="G762" s="27"/>
      <c r="H762" s="27"/>
      <c r="J762" s="27"/>
      <c r="K762" s="27"/>
      <c r="L762" s="27"/>
    </row>
    <row r="763">
      <c r="F763" s="27"/>
      <c r="G763" s="27"/>
      <c r="H763" s="27"/>
      <c r="J763" s="27"/>
      <c r="K763" s="27"/>
      <c r="L763" s="27"/>
    </row>
    <row r="764">
      <c r="F764" s="27"/>
      <c r="G764" s="27"/>
      <c r="H764" s="27"/>
      <c r="J764" s="27"/>
      <c r="K764" s="27"/>
      <c r="L764" s="27"/>
    </row>
    <row r="765">
      <c r="F765" s="27"/>
      <c r="G765" s="27"/>
      <c r="H765" s="27"/>
      <c r="J765" s="27"/>
      <c r="K765" s="27"/>
      <c r="L765" s="27"/>
    </row>
    <row r="766">
      <c r="F766" s="27"/>
      <c r="G766" s="27"/>
      <c r="H766" s="27"/>
      <c r="J766" s="27"/>
      <c r="K766" s="27"/>
      <c r="L766" s="27"/>
    </row>
    <row r="767">
      <c r="F767" s="27"/>
      <c r="G767" s="27"/>
      <c r="H767" s="27"/>
      <c r="J767" s="27"/>
      <c r="K767" s="27"/>
      <c r="L767" s="27"/>
    </row>
    <row r="768">
      <c r="F768" s="27"/>
      <c r="G768" s="27"/>
      <c r="H768" s="27"/>
      <c r="J768" s="27"/>
      <c r="K768" s="27"/>
      <c r="L768" s="27"/>
    </row>
    <row r="769">
      <c r="F769" s="27"/>
      <c r="G769" s="27"/>
      <c r="H769" s="27"/>
      <c r="J769" s="27"/>
      <c r="K769" s="27"/>
      <c r="L769" s="27"/>
    </row>
    <row r="770">
      <c r="F770" s="27"/>
      <c r="G770" s="27"/>
      <c r="H770" s="27"/>
      <c r="J770" s="27"/>
      <c r="K770" s="27"/>
      <c r="L770" s="27"/>
    </row>
    <row r="771">
      <c r="F771" s="27"/>
      <c r="G771" s="27"/>
      <c r="H771" s="27"/>
      <c r="J771" s="27"/>
      <c r="K771" s="27"/>
      <c r="L771" s="27"/>
    </row>
    <row r="772">
      <c r="F772" s="27"/>
      <c r="G772" s="27"/>
      <c r="H772" s="27"/>
      <c r="J772" s="27"/>
      <c r="K772" s="27"/>
      <c r="L772" s="27"/>
    </row>
    <row r="773">
      <c r="F773" s="27"/>
      <c r="G773" s="27"/>
      <c r="H773" s="27"/>
      <c r="J773" s="27"/>
      <c r="K773" s="27"/>
      <c r="L773" s="27"/>
    </row>
    <row r="774">
      <c r="F774" s="27"/>
      <c r="G774" s="27"/>
      <c r="H774" s="27"/>
      <c r="J774" s="27"/>
      <c r="K774" s="27"/>
      <c r="L774" s="27"/>
    </row>
    <row r="775">
      <c r="F775" s="27"/>
      <c r="G775" s="27"/>
      <c r="H775" s="27"/>
      <c r="J775" s="27"/>
      <c r="K775" s="27"/>
      <c r="L775" s="27"/>
    </row>
    <row r="776">
      <c r="F776" s="27"/>
      <c r="G776" s="27"/>
      <c r="H776" s="27"/>
      <c r="J776" s="27"/>
      <c r="K776" s="27"/>
      <c r="L776" s="27"/>
    </row>
    <row r="777">
      <c r="F777" s="27"/>
      <c r="G777" s="27"/>
      <c r="H777" s="27"/>
      <c r="J777" s="27"/>
      <c r="K777" s="27"/>
      <c r="L777" s="27"/>
    </row>
    <row r="778">
      <c r="F778" s="27"/>
      <c r="G778" s="27"/>
      <c r="H778" s="27"/>
      <c r="J778" s="27"/>
      <c r="K778" s="27"/>
      <c r="L778" s="27"/>
    </row>
    <row r="779">
      <c r="F779" s="27"/>
      <c r="G779" s="27"/>
      <c r="H779" s="27"/>
      <c r="J779" s="27"/>
      <c r="K779" s="27"/>
      <c r="L779" s="27"/>
    </row>
    <row r="780">
      <c r="F780" s="27"/>
      <c r="G780" s="27"/>
      <c r="H780" s="27"/>
      <c r="J780" s="27"/>
      <c r="K780" s="27"/>
      <c r="L780" s="27"/>
    </row>
    <row r="781">
      <c r="F781" s="27"/>
      <c r="G781" s="27"/>
      <c r="H781" s="27"/>
      <c r="J781" s="27"/>
      <c r="K781" s="27"/>
      <c r="L781" s="27"/>
    </row>
    <row r="782">
      <c r="F782" s="27"/>
      <c r="G782" s="27"/>
      <c r="H782" s="27"/>
      <c r="J782" s="27"/>
      <c r="K782" s="27"/>
      <c r="L782" s="27"/>
    </row>
    <row r="783">
      <c r="F783" s="27"/>
      <c r="G783" s="27"/>
      <c r="H783" s="27"/>
      <c r="J783" s="27"/>
      <c r="K783" s="27"/>
      <c r="L783" s="27"/>
    </row>
    <row r="784">
      <c r="F784" s="27"/>
      <c r="G784" s="27"/>
      <c r="H784" s="27"/>
      <c r="J784" s="27"/>
      <c r="K784" s="27"/>
      <c r="L784" s="27"/>
    </row>
    <row r="785">
      <c r="F785" s="27"/>
      <c r="G785" s="27"/>
      <c r="H785" s="27"/>
      <c r="J785" s="27"/>
      <c r="K785" s="27"/>
      <c r="L785" s="27"/>
    </row>
    <row r="786">
      <c r="F786" s="27"/>
      <c r="G786" s="27"/>
      <c r="H786" s="27"/>
      <c r="J786" s="27"/>
      <c r="K786" s="27"/>
      <c r="L786" s="27"/>
    </row>
    <row r="787">
      <c r="F787" s="27"/>
      <c r="G787" s="27"/>
      <c r="H787" s="27"/>
      <c r="J787" s="27"/>
      <c r="K787" s="27"/>
      <c r="L787" s="27"/>
    </row>
    <row r="788">
      <c r="F788" s="27"/>
      <c r="G788" s="27"/>
      <c r="H788" s="27"/>
      <c r="J788" s="27"/>
      <c r="K788" s="27"/>
      <c r="L788" s="27"/>
    </row>
    <row r="789">
      <c r="F789" s="27"/>
      <c r="G789" s="27"/>
      <c r="H789" s="27"/>
      <c r="J789" s="27"/>
      <c r="K789" s="27"/>
      <c r="L789" s="27"/>
    </row>
    <row r="790">
      <c r="F790" s="27"/>
      <c r="G790" s="27"/>
      <c r="H790" s="27"/>
      <c r="J790" s="27"/>
      <c r="K790" s="27"/>
      <c r="L790" s="27"/>
    </row>
    <row r="791">
      <c r="F791" s="27"/>
      <c r="G791" s="27"/>
      <c r="H791" s="27"/>
      <c r="J791" s="27"/>
      <c r="K791" s="27"/>
      <c r="L791" s="27"/>
    </row>
    <row r="792">
      <c r="F792" s="27"/>
      <c r="G792" s="27"/>
      <c r="H792" s="27"/>
      <c r="J792" s="27"/>
      <c r="K792" s="27"/>
      <c r="L792" s="27"/>
    </row>
    <row r="793">
      <c r="F793" s="27"/>
      <c r="G793" s="27"/>
      <c r="H793" s="27"/>
      <c r="J793" s="27"/>
      <c r="K793" s="27"/>
      <c r="L793" s="27"/>
    </row>
    <row r="794">
      <c r="F794" s="27"/>
      <c r="G794" s="27"/>
      <c r="H794" s="27"/>
      <c r="J794" s="27"/>
      <c r="K794" s="27"/>
      <c r="L794" s="27"/>
    </row>
    <row r="795">
      <c r="F795" s="27"/>
      <c r="G795" s="27"/>
      <c r="H795" s="27"/>
      <c r="J795" s="27"/>
      <c r="K795" s="27"/>
      <c r="L795" s="27"/>
    </row>
    <row r="796">
      <c r="F796" s="27"/>
      <c r="G796" s="27"/>
      <c r="H796" s="27"/>
      <c r="J796" s="27"/>
      <c r="K796" s="27"/>
      <c r="L796" s="27"/>
    </row>
    <row r="797">
      <c r="F797" s="27"/>
      <c r="G797" s="27"/>
      <c r="H797" s="27"/>
      <c r="J797" s="27"/>
      <c r="K797" s="27"/>
      <c r="L797" s="27"/>
    </row>
    <row r="798">
      <c r="F798" s="27"/>
      <c r="G798" s="27"/>
      <c r="H798" s="27"/>
      <c r="J798" s="27"/>
      <c r="K798" s="27"/>
      <c r="L798" s="27"/>
    </row>
    <row r="799">
      <c r="F799" s="27"/>
      <c r="G799" s="27"/>
      <c r="H799" s="27"/>
      <c r="J799" s="27"/>
      <c r="K799" s="27"/>
      <c r="L799" s="27"/>
    </row>
    <row r="800">
      <c r="F800" s="27"/>
      <c r="G800" s="27"/>
      <c r="H800" s="27"/>
      <c r="J800" s="27"/>
      <c r="K800" s="27"/>
      <c r="L800" s="27"/>
    </row>
    <row r="801">
      <c r="F801" s="27"/>
      <c r="G801" s="27"/>
      <c r="H801" s="27"/>
      <c r="J801" s="27"/>
      <c r="K801" s="27"/>
      <c r="L801" s="27"/>
    </row>
    <row r="802">
      <c r="F802" s="27"/>
      <c r="G802" s="27"/>
      <c r="H802" s="27"/>
      <c r="J802" s="27"/>
      <c r="K802" s="27"/>
      <c r="L802" s="27"/>
    </row>
    <row r="803">
      <c r="F803" s="27"/>
      <c r="G803" s="27"/>
      <c r="H803" s="27"/>
      <c r="J803" s="27"/>
      <c r="K803" s="27"/>
      <c r="L803" s="27"/>
    </row>
    <row r="804">
      <c r="F804" s="27"/>
      <c r="G804" s="27"/>
      <c r="H804" s="27"/>
      <c r="J804" s="27"/>
      <c r="K804" s="27"/>
      <c r="L804" s="27"/>
    </row>
    <row r="805">
      <c r="F805" s="27"/>
      <c r="G805" s="27"/>
      <c r="H805" s="27"/>
      <c r="J805" s="27"/>
      <c r="K805" s="27"/>
      <c r="L805" s="27"/>
    </row>
    <row r="806">
      <c r="F806" s="27"/>
      <c r="G806" s="27"/>
      <c r="H806" s="27"/>
      <c r="J806" s="27"/>
      <c r="K806" s="27"/>
      <c r="L806" s="27"/>
    </row>
    <row r="807">
      <c r="F807" s="27"/>
      <c r="G807" s="27"/>
      <c r="H807" s="27"/>
      <c r="J807" s="27"/>
      <c r="K807" s="27"/>
      <c r="L807" s="27"/>
    </row>
    <row r="808">
      <c r="F808" s="27"/>
      <c r="G808" s="27"/>
      <c r="H808" s="27"/>
      <c r="J808" s="27"/>
      <c r="K808" s="27"/>
      <c r="L808" s="27"/>
    </row>
    <row r="809">
      <c r="F809" s="27"/>
      <c r="G809" s="27"/>
      <c r="H809" s="27"/>
      <c r="J809" s="27"/>
      <c r="K809" s="27"/>
      <c r="L809" s="27"/>
    </row>
    <row r="810">
      <c r="F810" s="27"/>
      <c r="G810" s="27"/>
      <c r="H810" s="27"/>
      <c r="J810" s="27"/>
      <c r="K810" s="27"/>
      <c r="L810" s="27"/>
    </row>
    <row r="811">
      <c r="F811" s="27"/>
      <c r="G811" s="27"/>
      <c r="H811" s="27"/>
      <c r="J811" s="27"/>
      <c r="K811" s="27"/>
      <c r="L811" s="27"/>
    </row>
    <row r="812">
      <c r="F812" s="27"/>
      <c r="G812" s="27"/>
      <c r="H812" s="27"/>
      <c r="J812" s="27"/>
      <c r="K812" s="27"/>
      <c r="L812" s="27"/>
    </row>
    <row r="813">
      <c r="F813" s="27"/>
      <c r="G813" s="27"/>
      <c r="H813" s="27"/>
      <c r="J813" s="27"/>
      <c r="K813" s="27"/>
      <c r="L813" s="27"/>
    </row>
    <row r="814">
      <c r="F814" s="27"/>
      <c r="G814" s="27"/>
      <c r="H814" s="27"/>
      <c r="J814" s="27"/>
      <c r="K814" s="27"/>
      <c r="L814" s="27"/>
    </row>
    <row r="815">
      <c r="F815" s="27"/>
      <c r="G815" s="27"/>
      <c r="H815" s="27"/>
      <c r="J815" s="27"/>
      <c r="K815" s="27"/>
      <c r="L815" s="27"/>
    </row>
    <row r="816">
      <c r="F816" s="27"/>
      <c r="G816" s="27"/>
      <c r="H816" s="27"/>
      <c r="J816" s="27"/>
      <c r="K816" s="27"/>
      <c r="L816" s="27"/>
    </row>
    <row r="817">
      <c r="F817" s="27"/>
      <c r="G817" s="27"/>
      <c r="H817" s="27"/>
      <c r="J817" s="27"/>
      <c r="K817" s="27"/>
      <c r="L817" s="27"/>
    </row>
    <row r="818">
      <c r="F818" s="27"/>
      <c r="G818" s="27"/>
      <c r="H818" s="27"/>
      <c r="J818" s="27"/>
      <c r="K818" s="27"/>
      <c r="L818" s="27"/>
    </row>
    <row r="819">
      <c r="F819" s="27"/>
      <c r="G819" s="27"/>
      <c r="H819" s="27"/>
      <c r="J819" s="27"/>
      <c r="K819" s="27"/>
      <c r="L819" s="27"/>
    </row>
    <row r="820">
      <c r="F820" s="27"/>
      <c r="G820" s="27"/>
      <c r="H820" s="27"/>
      <c r="J820" s="27"/>
      <c r="K820" s="27"/>
      <c r="L820" s="27"/>
    </row>
    <row r="821">
      <c r="F821" s="27"/>
      <c r="G821" s="27"/>
      <c r="H821" s="27"/>
      <c r="J821" s="27"/>
      <c r="K821" s="27"/>
      <c r="L821" s="27"/>
    </row>
    <row r="822">
      <c r="F822" s="27"/>
      <c r="G822" s="27"/>
      <c r="H822" s="27"/>
      <c r="J822" s="27"/>
      <c r="K822" s="27"/>
      <c r="L822" s="27"/>
    </row>
    <row r="823">
      <c r="F823" s="27"/>
      <c r="G823" s="27"/>
      <c r="H823" s="27"/>
      <c r="J823" s="27"/>
      <c r="K823" s="27"/>
      <c r="L823" s="27"/>
    </row>
    <row r="824">
      <c r="F824" s="27"/>
      <c r="G824" s="27"/>
      <c r="H824" s="27"/>
      <c r="J824" s="27"/>
      <c r="K824" s="27"/>
      <c r="L824" s="27"/>
    </row>
    <row r="825">
      <c r="F825" s="27"/>
      <c r="G825" s="27"/>
      <c r="H825" s="27"/>
      <c r="J825" s="27"/>
      <c r="K825" s="27"/>
      <c r="L825" s="27"/>
    </row>
    <row r="826">
      <c r="F826" s="27"/>
      <c r="G826" s="27"/>
      <c r="H826" s="27"/>
      <c r="J826" s="27"/>
      <c r="K826" s="27"/>
      <c r="L826" s="27"/>
    </row>
    <row r="827">
      <c r="F827" s="27"/>
      <c r="G827" s="27"/>
      <c r="H827" s="27"/>
      <c r="J827" s="27"/>
      <c r="K827" s="27"/>
      <c r="L827" s="27"/>
    </row>
    <row r="828">
      <c r="F828" s="27"/>
      <c r="G828" s="27"/>
      <c r="H828" s="27"/>
      <c r="J828" s="27"/>
      <c r="K828" s="27"/>
      <c r="L828" s="27"/>
    </row>
    <row r="829">
      <c r="F829" s="27"/>
      <c r="G829" s="27"/>
      <c r="H829" s="27"/>
      <c r="J829" s="27"/>
      <c r="K829" s="27"/>
      <c r="L829" s="27"/>
    </row>
    <row r="830">
      <c r="F830" s="27"/>
      <c r="G830" s="27"/>
      <c r="H830" s="27"/>
      <c r="J830" s="27"/>
      <c r="K830" s="27"/>
      <c r="L830" s="27"/>
    </row>
    <row r="831">
      <c r="F831" s="27"/>
      <c r="G831" s="27"/>
      <c r="H831" s="27"/>
      <c r="J831" s="27"/>
      <c r="K831" s="27"/>
      <c r="L831" s="27"/>
    </row>
    <row r="832">
      <c r="F832" s="27"/>
      <c r="G832" s="27"/>
      <c r="H832" s="27"/>
      <c r="J832" s="27"/>
      <c r="K832" s="27"/>
      <c r="L832" s="27"/>
    </row>
    <row r="833">
      <c r="F833" s="27"/>
      <c r="G833" s="27"/>
      <c r="H833" s="27"/>
      <c r="J833" s="27"/>
      <c r="K833" s="27"/>
      <c r="L833" s="27"/>
    </row>
    <row r="834">
      <c r="F834" s="27"/>
      <c r="G834" s="27"/>
      <c r="H834" s="27"/>
      <c r="J834" s="27"/>
      <c r="K834" s="27"/>
      <c r="L834" s="27"/>
    </row>
    <row r="835">
      <c r="F835" s="27"/>
      <c r="G835" s="27"/>
      <c r="H835" s="27"/>
      <c r="J835" s="27"/>
      <c r="K835" s="27"/>
      <c r="L835" s="27"/>
    </row>
    <row r="836">
      <c r="F836" s="27"/>
      <c r="G836" s="27"/>
      <c r="H836" s="27"/>
      <c r="J836" s="27"/>
      <c r="K836" s="27"/>
      <c r="L836" s="27"/>
    </row>
    <row r="837">
      <c r="F837" s="27"/>
      <c r="G837" s="27"/>
      <c r="H837" s="27"/>
      <c r="J837" s="27"/>
      <c r="K837" s="27"/>
      <c r="L837" s="27"/>
    </row>
    <row r="838">
      <c r="F838" s="27"/>
      <c r="G838" s="27"/>
      <c r="H838" s="27"/>
      <c r="J838" s="27"/>
      <c r="K838" s="27"/>
      <c r="L838" s="27"/>
    </row>
    <row r="839">
      <c r="F839" s="27"/>
      <c r="G839" s="27"/>
      <c r="H839" s="27"/>
      <c r="J839" s="27"/>
      <c r="K839" s="27"/>
      <c r="L839" s="27"/>
    </row>
    <row r="840">
      <c r="F840" s="27"/>
      <c r="G840" s="27"/>
      <c r="H840" s="27"/>
      <c r="J840" s="27"/>
      <c r="K840" s="27"/>
      <c r="L840" s="27"/>
    </row>
    <row r="841">
      <c r="F841" s="27"/>
      <c r="G841" s="27"/>
      <c r="H841" s="27"/>
      <c r="J841" s="27"/>
      <c r="K841" s="27"/>
      <c r="L841" s="27"/>
    </row>
    <row r="842">
      <c r="F842" s="27"/>
      <c r="G842" s="27"/>
      <c r="H842" s="27"/>
      <c r="J842" s="27"/>
      <c r="K842" s="27"/>
      <c r="L842" s="27"/>
    </row>
    <row r="843">
      <c r="F843" s="27"/>
      <c r="G843" s="27"/>
      <c r="H843" s="27"/>
      <c r="J843" s="27"/>
      <c r="K843" s="27"/>
      <c r="L843" s="27"/>
    </row>
    <row r="844">
      <c r="F844" s="27"/>
      <c r="G844" s="27"/>
      <c r="H844" s="27"/>
      <c r="J844" s="27"/>
      <c r="K844" s="27"/>
      <c r="L844" s="27"/>
    </row>
    <row r="845">
      <c r="F845" s="27"/>
      <c r="G845" s="27"/>
      <c r="H845" s="27"/>
      <c r="J845" s="27"/>
      <c r="K845" s="27"/>
      <c r="L845" s="27"/>
    </row>
    <row r="846">
      <c r="F846" s="27"/>
      <c r="G846" s="27"/>
      <c r="H846" s="27"/>
      <c r="J846" s="27"/>
      <c r="K846" s="27"/>
      <c r="L846" s="27"/>
    </row>
    <row r="847">
      <c r="F847" s="27"/>
      <c r="G847" s="27"/>
      <c r="H847" s="27"/>
      <c r="J847" s="27"/>
      <c r="K847" s="27"/>
      <c r="L847" s="27"/>
    </row>
    <row r="848">
      <c r="F848" s="27"/>
      <c r="G848" s="27"/>
      <c r="H848" s="27"/>
      <c r="J848" s="27"/>
      <c r="K848" s="27"/>
      <c r="L848" s="27"/>
    </row>
    <row r="849">
      <c r="F849" s="27"/>
      <c r="G849" s="27"/>
      <c r="H849" s="27"/>
      <c r="J849" s="27"/>
      <c r="K849" s="27"/>
      <c r="L849" s="27"/>
    </row>
    <row r="850">
      <c r="F850" s="27"/>
      <c r="G850" s="27"/>
      <c r="H850" s="27"/>
      <c r="J850" s="27"/>
      <c r="K850" s="27"/>
      <c r="L850" s="27"/>
    </row>
    <row r="851">
      <c r="F851" s="27"/>
      <c r="G851" s="27"/>
      <c r="H851" s="27"/>
      <c r="J851" s="27"/>
      <c r="K851" s="27"/>
      <c r="L851" s="27"/>
    </row>
    <row r="852">
      <c r="F852" s="27"/>
      <c r="G852" s="27"/>
      <c r="H852" s="27"/>
      <c r="J852" s="27"/>
      <c r="K852" s="27"/>
      <c r="L852" s="27"/>
    </row>
    <row r="853">
      <c r="F853" s="27"/>
      <c r="G853" s="27"/>
      <c r="H853" s="27"/>
      <c r="J853" s="27"/>
      <c r="K853" s="27"/>
      <c r="L853" s="27"/>
    </row>
    <row r="854">
      <c r="F854" s="27"/>
      <c r="G854" s="27"/>
      <c r="H854" s="27"/>
      <c r="J854" s="27"/>
      <c r="K854" s="27"/>
      <c r="L854" s="27"/>
    </row>
    <row r="855">
      <c r="F855" s="27"/>
      <c r="G855" s="27"/>
      <c r="H855" s="27"/>
      <c r="J855" s="27"/>
      <c r="K855" s="27"/>
      <c r="L855" s="27"/>
    </row>
    <row r="856">
      <c r="F856" s="27"/>
      <c r="G856" s="27"/>
      <c r="H856" s="27"/>
      <c r="J856" s="27"/>
      <c r="K856" s="27"/>
      <c r="L856" s="27"/>
    </row>
    <row r="857">
      <c r="F857" s="27"/>
      <c r="G857" s="27"/>
      <c r="H857" s="27"/>
      <c r="J857" s="27"/>
      <c r="K857" s="27"/>
      <c r="L857" s="27"/>
    </row>
    <row r="858">
      <c r="F858" s="27"/>
      <c r="G858" s="27"/>
      <c r="H858" s="27"/>
      <c r="J858" s="27"/>
      <c r="K858" s="27"/>
      <c r="L858" s="27"/>
    </row>
    <row r="859">
      <c r="F859" s="27"/>
      <c r="G859" s="27"/>
      <c r="H859" s="27"/>
      <c r="J859" s="27"/>
      <c r="K859" s="27"/>
      <c r="L859" s="27"/>
    </row>
    <row r="860">
      <c r="F860" s="27"/>
      <c r="G860" s="27"/>
      <c r="H860" s="27"/>
      <c r="J860" s="27"/>
      <c r="K860" s="27"/>
      <c r="L860" s="27"/>
    </row>
    <row r="861">
      <c r="F861" s="27"/>
      <c r="G861" s="27"/>
      <c r="H861" s="27"/>
      <c r="J861" s="27"/>
      <c r="K861" s="27"/>
      <c r="L861" s="27"/>
    </row>
    <row r="862">
      <c r="F862" s="27"/>
      <c r="G862" s="27"/>
      <c r="H862" s="27"/>
      <c r="J862" s="27"/>
      <c r="K862" s="27"/>
      <c r="L862" s="27"/>
    </row>
    <row r="863">
      <c r="F863" s="27"/>
      <c r="G863" s="27"/>
      <c r="H863" s="27"/>
      <c r="J863" s="27"/>
      <c r="K863" s="27"/>
      <c r="L863" s="27"/>
    </row>
    <row r="864">
      <c r="F864" s="27"/>
      <c r="G864" s="27"/>
      <c r="H864" s="27"/>
      <c r="J864" s="27"/>
      <c r="K864" s="27"/>
      <c r="L864" s="27"/>
    </row>
    <row r="865">
      <c r="F865" s="27"/>
      <c r="G865" s="27"/>
      <c r="H865" s="27"/>
      <c r="J865" s="27"/>
      <c r="K865" s="27"/>
      <c r="L865" s="27"/>
    </row>
    <row r="866">
      <c r="F866" s="27"/>
      <c r="G866" s="27"/>
      <c r="H866" s="27"/>
      <c r="J866" s="27"/>
      <c r="K866" s="27"/>
      <c r="L866" s="27"/>
    </row>
    <row r="867">
      <c r="F867" s="27"/>
      <c r="G867" s="27"/>
      <c r="H867" s="27"/>
      <c r="J867" s="27"/>
      <c r="K867" s="27"/>
      <c r="L867" s="27"/>
    </row>
    <row r="868">
      <c r="F868" s="27"/>
      <c r="G868" s="27"/>
      <c r="H868" s="27"/>
      <c r="J868" s="27"/>
      <c r="K868" s="27"/>
      <c r="L868" s="27"/>
    </row>
    <row r="869">
      <c r="F869" s="27"/>
      <c r="G869" s="27"/>
      <c r="H869" s="27"/>
      <c r="J869" s="27"/>
      <c r="K869" s="27"/>
      <c r="L869" s="27"/>
    </row>
    <row r="870">
      <c r="F870" s="27"/>
      <c r="G870" s="27"/>
      <c r="H870" s="27"/>
      <c r="J870" s="27"/>
      <c r="K870" s="27"/>
      <c r="L870" s="27"/>
    </row>
    <row r="871">
      <c r="F871" s="27"/>
      <c r="G871" s="27"/>
      <c r="H871" s="27"/>
      <c r="J871" s="27"/>
      <c r="K871" s="27"/>
      <c r="L871" s="27"/>
    </row>
    <row r="872">
      <c r="F872" s="27"/>
      <c r="G872" s="27"/>
      <c r="H872" s="27"/>
      <c r="J872" s="27"/>
      <c r="K872" s="27"/>
      <c r="L872" s="27"/>
    </row>
    <row r="873">
      <c r="F873" s="27"/>
      <c r="G873" s="27"/>
      <c r="H873" s="27"/>
      <c r="J873" s="27"/>
      <c r="K873" s="27"/>
      <c r="L873" s="27"/>
    </row>
    <row r="874">
      <c r="F874" s="27"/>
      <c r="G874" s="27"/>
      <c r="H874" s="27"/>
      <c r="J874" s="27"/>
      <c r="K874" s="27"/>
      <c r="L874" s="27"/>
    </row>
    <row r="875">
      <c r="F875" s="27"/>
      <c r="G875" s="27"/>
      <c r="H875" s="27"/>
      <c r="J875" s="27"/>
      <c r="K875" s="27"/>
      <c r="L875" s="27"/>
    </row>
    <row r="876">
      <c r="F876" s="27"/>
      <c r="G876" s="27"/>
      <c r="H876" s="27"/>
      <c r="J876" s="27"/>
      <c r="K876" s="27"/>
      <c r="L876" s="27"/>
    </row>
    <row r="877">
      <c r="F877" s="27"/>
      <c r="G877" s="27"/>
      <c r="H877" s="27"/>
      <c r="J877" s="27"/>
      <c r="K877" s="27"/>
      <c r="L877" s="27"/>
    </row>
    <row r="878">
      <c r="F878" s="27"/>
      <c r="G878" s="27"/>
      <c r="H878" s="27"/>
      <c r="J878" s="27"/>
      <c r="K878" s="27"/>
      <c r="L878" s="27"/>
    </row>
    <row r="879">
      <c r="F879" s="27"/>
      <c r="G879" s="27"/>
      <c r="H879" s="27"/>
      <c r="J879" s="27"/>
      <c r="K879" s="27"/>
      <c r="L879" s="27"/>
    </row>
    <row r="880">
      <c r="F880" s="27"/>
      <c r="G880" s="27"/>
      <c r="H880" s="27"/>
      <c r="J880" s="27"/>
      <c r="K880" s="27"/>
      <c r="L880" s="27"/>
    </row>
    <row r="881">
      <c r="F881" s="27"/>
      <c r="G881" s="27"/>
      <c r="H881" s="27"/>
      <c r="J881" s="27"/>
      <c r="K881" s="27"/>
      <c r="L881" s="27"/>
    </row>
    <row r="882">
      <c r="F882" s="27"/>
      <c r="G882" s="27"/>
      <c r="H882" s="27"/>
      <c r="J882" s="27"/>
      <c r="K882" s="27"/>
      <c r="L882" s="27"/>
    </row>
    <row r="883">
      <c r="F883" s="27"/>
      <c r="G883" s="27"/>
      <c r="H883" s="27"/>
      <c r="J883" s="27"/>
      <c r="K883" s="27"/>
      <c r="L883" s="27"/>
    </row>
    <row r="884">
      <c r="F884" s="27"/>
      <c r="G884" s="27"/>
      <c r="H884" s="27"/>
      <c r="J884" s="27"/>
      <c r="K884" s="27"/>
      <c r="L884" s="27"/>
    </row>
    <row r="885">
      <c r="F885" s="27"/>
      <c r="G885" s="27"/>
      <c r="H885" s="27"/>
      <c r="J885" s="27"/>
      <c r="K885" s="27"/>
      <c r="L885" s="27"/>
    </row>
    <row r="886">
      <c r="F886" s="27"/>
      <c r="G886" s="27"/>
      <c r="H886" s="27"/>
      <c r="J886" s="27"/>
      <c r="K886" s="27"/>
      <c r="L886" s="27"/>
    </row>
    <row r="887">
      <c r="F887" s="27"/>
      <c r="G887" s="27"/>
      <c r="H887" s="27"/>
      <c r="J887" s="27"/>
      <c r="K887" s="27"/>
      <c r="L887" s="27"/>
    </row>
    <row r="888">
      <c r="F888" s="27"/>
      <c r="G888" s="27"/>
      <c r="H888" s="27"/>
      <c r="J888" s="27"/>
      <c r="K888" s="27"/>
      <c r="L888" s="27"/>
    </row>
    <row r="889">
      <c r="F889" s="27"/>
      <c r="G889" s="27"/>
      <c r="H889" s="27"/>
      <c r="J889" s="27"/>
      <c r="K889" s="27"/>
      <c r="L889" s="27"/>
    </row>
    <row r="890">
      <c r="F890" s="27"/>
      <c r="G890" s="27"/>
      <c r="H890" s="27"/>
      <c r="J890" s="27"/>
      <c r="K890" s="27"/>
      <c r="L890" s="27"/>
    </row>
    <row r="891">
      <c r="F891" s="27"/>
      <c r="G891" s="27"/>
      <c r="H891" s="27"/>
      <c r="J891" s="27"/>
      <c r="K891" s="27"/>
      <c r="L891" s="27"/>
    </row>
    <row r="892">
      <c r="F892" s="27"/>
      <c r="G892" s="27"/>
      <c r="H892" s="27"/>
      <c r="J892" s="27"/>
      <c r="K892" s="27"/>
      <c r="L892" s="27"/>
    </row>
    <row r="893">
      <c r="F893" s="27"/>
      <c r="G893" s="27"/>
      <c r="H893" s="27"/>
      <c r="J893" s="27"/>
      <c r="K893" s="27"/>
      <c r="L893" s="27"/>
    </row>
    <row r="894">
      <c r="F894" s="27"/>
      <c r="G894" s="27"/>
      <c r="H894" s="27"/>
      <c r="J894" s="27"/>
      <c r="K894" s="27"/>
      <c r="L894" s="27"/>
    </row>
    <row r="895">
      <c r="F895" s="27"/>
      <c r="G895" s="27"/>
      <c r="H895" s="27"/>
      <c r="J895" s="27"/>
      <c r="K895" s="27"/>
      <c r="L895" s="27"/>
    </row>
    <row r="896">
      <c r="F896" s="27"/>
      <c r="G896" s="27"/>
      <c r="H896" s="27"/>
      <c r="J896" s="27"/>
      <c r="K896" s="27"/>
      <c r="L896" s="27"/>
    </row>
    <row r="897">
      <c r="F897" s="27"/>
      <c r="G897" s="27"/>
      <c r="H897" s="27"/>
      <c r="J897" s="27"/>
      <c r="K897" s="27"/>
      <c r="L897" s="27"/>
    </row>
    <row r="898">
      <c r="F898" s="27"/>
      <c r="G898" s="27"/>
      <c r="H898" s="27"/>
      <c r="J898" s="27"/>
      <c r="K898" s="27"/>
      <c r="L898" s="27"/>
    </row>
    <row r="899">
      <c r="F899" s="27"/>
      <c r="G899" s="27"/>
      <c r="H899" s="27"/>
      <c r="J899" s="27"/>
      <c r="K899" s="27"/>
      <c r="L899" s="27"/>
    </row>
    <row r="900">
      <c r="F900" s="27"/>
      <c r="G900" s="27"/>
      <c r="H900" s="27"/>
      <c r="J900" s="27"/>
      <c r="K900" s="27"/>
      <c r="L900" s="27"/>
    </row>
    <row r="901">
      <c r="F901" s="27"/>
      <c r="G901" s="27"/>
      <c r="H901" s="27"/>
      <c r="J901" s="27"/>
      <c r="K901" s="27"/>
      <c r="L901" s="27"/>
    </row>
    <row r="902">
      <c r="F902" s="27"/>
      <c r="G902" s="27"/>
      <c r="H902" s="27"/>
      <c r="J902" s="27"/>
      <c r="K902" s="27"/>
      <c r="L902" s="27"/>
    </row>
    <row r="903">
      <c r="F903" s="27"/>
      <c r="G903" s="27"/>
      <c r="H903" s="27"/>
      <c r="J903" s="27"/>
      <c r="K903" s="27"/>
      <c r="L903" s="27"/>
    </row>
    <row r="904">
      <c r="F904" s="27"/>
      <c r="G904" s="27"/>
      <c r="H904" s="27"/>
      <c r="J904" s="27"/>
      <c r="K904" s="27"/>
      <c r="L904" s="27"/>
    </row>
    <row r="905">
      <c r="F905" s="27"/>
      <c r="G905" s="27"/>
      <c r="H905" s="27"/>
      <c r="J905" s="27"/>
      <c r="K905" s="27"/>
      <c r="L905" s="27"/>
    </row>
    <row r="906">
      <c r="F906" s="27"/>
      <c r="G906" s="27"/>
      <c r="H906" s="27"/>
      <c r="J906" s="27"/>
      <c r="K906" s="27"/>
      <c r="L906" s="27"/>
    </row>
    <row r="907">
      <c r="F907" s="27"/>
      <c r="G907" s="27"/>
      <c r="H907" s="27"/>
      <c r="J907" s="27"/>
      <c r="K907" s="27"/>
      <c r="L907" s="27"/>
    </row>
    <row r="908">
      <c r="F908" s="27"/>
      <c r="G908" s="27"/>
      <c r="H908" s="27"/>
      <c r="J908" s="27"/>
      <c r="K908" s="27"/>
      <c r="L908" s="27"/>
    </row>
    <row r="909">
      <c r="F909" s="27"/>
      <c r="G909" s="27"/>
      <c r="H909" s="27"/>
      <c r="J909" s="27"/>
      <c r="K909" s="27"/>
      <c r="L909" s="27"/>
    </row>
    <row r="910">
      <c r="F910" s="27"/>
      <c r="G910" s="27"/>
      <c r="H910" s="27"/>
      <c r="J910" s="27"/>
      <c r="K910" s="27"/>
      <c r="L910" s="27"/>
    </row>
    <row r="911">
      <c r="F911" s="27"/>
      <c r="G911" s="27"/>
      <c r="H911" s="27"/>
      <c r="J911" s="27"/>
      <c r="K911" s="27"/>
      <c r="L911" s="27"/>
    </row>
    <row r="912">
      <c r="F912" s="27"/>
      <c r="G912" s="27"/>
      <c r="H912" s="27"/>
      <c r="J912" s="27"/>
      <c r="K912" s="27"/>
      <c r="L912" s="27"/>
    </row>
    <row r="913">
      <c r="F913" s="27"/>
      <c r="G913" s="27"/>
      <c r="H913" s="27"/>
      <c r="J913" s="27"/>
      <c r="K913" s="27"/>
      <c r="L913" s="27"/>
    </row>
    <row r="914">
      <c r="F914" s="27"/>
      <c r="G914" s="27"/>
      <c r="H914" s="27"/>
      <c r="J914" s="27"/>
      <c r="K914" s="27"/>
      <c r="L914" s="27"/>
    </row>
    <row r="915">
      <c r="F915" s="27"/>
      <c r="G915" s="27"/>
      <c r="H915" s="27"/>
      <c r="J915" s="27"/>
      <c r="K915" s="27"/>
      <c r="L915" s="27"/>
    </row>
    <row r="916">
      <c r="F916" s="27"/>
      <c r="G916" s="27"/>
      <c r="H916" s="27"/>
      <c r="J916" s="27"/>
      <c r="K916" s="27"/>
      <c r="L916" s="27"/>
    </row>
    <row r="917">
      <c r="F917" s="27"/>
      <c r="G917" s="27"/>
      <c r="H917" s="27"/>
      <c r="J917" s="27"/>
      <c r="K917" s="27"/>
      <c r="L917" s="27"/>
    </row>
    <row r="918">
      <c r="F918" s="27"/>
      <c r="G918" s="27"/>
      <c r="H918" s="27"/>
      <c r="J918" s="27"/>
      <c r="K918" s="27"/>
      <c r="L918" s="27"/>
    </row>
    <row r="919">
      <c r="F919" s="27"/>
      <c r="G919" s="27"/>
      <c r="H919" s="27"/>
      <c r="J919" s="27"/>
      <c r="K919" s="27"/>
      <c r="L919" s="27"/>
    </row>
    <row r="920">
      <c r="F920" s="27"/>
      <c r="G920" s="27"/>
      <c r="H920" s="27"/>
      <c r="J920" s="27"/>
      <c r="K920" s="27"/>
      <c r="L920" s="27"/>
    </row>
    <row r="921">
      <c r="F921" s="27"/>
      <c r="G921" s="27"/>
      <c r="H921" s="27"/>
      <c r="J921" s="27"/>
      <c r="K921" s="27"/>
      <c r="L921" s="27"/>
    </row>
    <row r="922">
      <c r="F922" s="27"/>
      <c r="G922" s="27"/>
      <c r="H922" s="27"/>
      <c r="J922" s="27"/>
      <c r="K922" s="27"/>
      <c r="L922" s="27"/>
    </row>
    <row r="923">
      <c r="F923" s="27"/>
      <c r="G923" s="27"/>
      <c r="H923" s="27"/>
      <c r="J923" s="27"/>
      <c r="K923" s="27"/>
      <c r="L923" s="27"/>
    </row>
    <row r="924">
      <c r="F924" s="27"/>
      <c r="G924" s="27"/>
      <c r="H924" s="27"/>
      <c r="J924" s="27"/>
      <c r="K924" s="27"/>
      <c r="L924" s="27"/>
    </row>
    <row r="925">
      <c r="F925" s="27"/>
      <c r="G925" s="27"/>
      <c r="H925" s="27"/>
      <c r="J925" s="27"/>
      <c r="K925" s="27"/>
      <c r="L925" s="27"/>
    </row>
    <row r="926">
      <c r="F926" s="27"/>
      <c r="G926" s="27"/>
      <c r="H926" s="27"/>
      <c r="J926" s="27"/>
      <c r="K926" s="27"/>
      <c r="L926" s="27"/>
    </row>
    <row r="927">
      <c r="F927" s="27"/>
      <c r="G927" s="27"/>
      <c r="H927" s="27"/>
      <c r="J927" s="27"/>
      <c r="K927" s="27"/>
      <c r="L927" s="27"/>
    </row>
    <row r="928">
      <c r="F928" s="27"/>
      <c r="G928" s="27"/>
      <c r="H928" s="27"/>
      <c r="J928" s="27"/>
      <c r="K928" s="27"/>
      <c r="L928" s="27"/>
    </row>
    <row r="929">
      <c r="F929" s="27"/>
      <c r="G929" s="27"/>
      <c r="H929" s="27"/>
      <c r="J929" s="27"/>
      <c r="K929" s="27"/>
      <c r="L929" s="27"/>
    </row>
    <row r="930">
      <c r="F930" s="27"/>
      <c r="G930" s="27"/>
      <c r="H930" s="27"/>
      <c r="J930" s="27"/>
      <c r="K930" s="27"/>
      <c r="L930" s="27"/>
    </row>
    <row r="931">
      <c r="F931" s="27"/>
      <c r="G931" s="27"/>
      <c r="H931" s="27"/>
      <c r="J931" s="27"/>
      <c r="K931" s="27"/>
      <c r="L931" s="27"/>
    </row>
    <row r="932">
      <c r="F932" s="27"/>
      <c r="G932" s="27"/>
      <c r="H932" s="27"/>
      <c r="J932" s="27"/>
      <c r="K932" s="27"/>
      <c r="L932" s="27"/>
    </row>
    <row r="933">
      <c r="F933" s="27"/>
      <c r="G933" s="27"/>
      <c r="H933" s="27"/>
      <c r="J933" s="27"/>
      <c r="K933" s="27"/>
      <c r="L933" s="27"/>
    </row>
    <row r="934">
      <c r="F934" s="27"/>
      <c r="G934" s="27"/>
      <c r="H934" s="27"/>
      <c r="J934" s="27"/>
      <c r="K934" s="27"/>
      <c r="L934" s="27"/>
    </row>
    <row r="935">
      <c r="F935" s="27"/>
      <c r="G935" s="27"/>
      <c r="H935" s="27"/>
      <c r="J935" s="27"/>
      <c r="K935" s="27"/>
      <c r="L935" s="27"/>
    </row>
    <row r="936">
      <c r="F936" s="27"/>
      <c r="G936" s="27"/>
      <c r="H936" s="27"/>
      <c r="J936" s="27"/>
      <c r="K936" s="27"/>
      <c r="L936" s="27"/>
    </row>
    <row r="937">
      <c r="F937" s="27"/>
      <c r="G937" s="27"/>
      <c r="H937" s="27"/>
      <c r="J937" s="27"/>
      <c r="K937" s="27"/>
      <c r="L937" s="27"/>
    </row>
    <row r="938">
      <c r="F938" s="27"/>
      <c r="G938" s="27"/>
      <c r="H938" s="27"/>
      <c r="J938" s="27"/>
      <c r="K938" s="27"/>
      <c r="L938" s="27"/>
    </row>
    <row r="939">
      <c r="F939" s="27"/>
      <c r="G939" s="27"/>
      <c r="H939" s="27"/>
      <c r="J939" s="27"/>
      <c r="K939" s="27"/>
      <c r="L939" s="27"/>
    </row>
    <row r="940">
      <c r="F940" s="27"/>
      <c r="G940" s="27"/>
      <c r="H940" s="27"/>
      <c r="J940" s="27"/>
      <c r="K940" s="27"/>
      <c r="L940" s="27"/>
    </row>
    <row r="941">
      <c r="F941" s="27"/>
      <c r="G941" s="27"/>
      <c r="H941" s="27"/>
      <c r="J941" s="27"/>
      <c r="K941" s="27"/>
      <c r="L941" s="27"/>
    </row>
    <row r="942">
      <c r="F942" s="27"/>
      <c r="G942" s="27"/>
      <c r="H942" s="27"/>
      <c r="J942" s="27"/>
      <c r="K942" s="27"/>
      <c r="L942" s="27"/>
    </row>
    <row r="943">
      <c r="F943" s="27"/>
      <c r="G943" s="27"/>
      <c r="H943" s="27"/>
      <c r="J943" s="27"/>
      <c r="K943" s="27"/>
      <c r="L943" s="27"/>
    </row>
    <row r="944">
      <c r="F944" s="27"/>
      <c r="G944" s="27"/>
      <c r="H944" s="27"/>
      <c r="J944" s="27"/>
      <c r="K944" s="27"/>
      <c r="L944" s="27"/>
    </row>
    <row r="945">
      <c r="F945" s="27"/>
      <c r="G945" s="27"/>
      <c r="H945" s="27"/>
      <c r="J945" s="27"/>
      <c r="K945" s="27"/>
      <c r="L945" s="27"/>
    </row>
    <row r="946">
      <c r="F946" s="27"/>
      <c r="G946" s="27"/>
      <c r="H946" s="27"/>
      <c r="J946" s="27"/>
      <c r="K946" s="27"/>
      <c r="L946" s="27"/>
    </row>
    <row r="947">
      <c r="F947" s="27"/>
      <c r="G947" s="27"/>
      <c r="H947" s="27"/>
      <c r="J947" s="27"/>
      <c r="K947" s="27"/>
      <c r="L947" s="27"/>
    </row>
    <row r="948">
      <c r="F948" s="27"/>
      <c r="G948" s="27"/>
      <c r="H948" s="27"/>
      <c r="J948" s="27"/>
      <c r="K948" s="27"/>
      <c r="L948" s="27"/>
    </row>
    <row r="949">
      <c r="F949" s="27"/>
      <c r="G949" s="27"/>
      <c r="H949" s="27"/>
      <c r="J949" s="27"/>
      <c r="K949" s="27"/>
      <c r="L949" s="27"/>
    </row>
    <row r="950">
      <c r="F950" s="27"/>
      <c r="G950" s="27"/>
      <c r="H950" s="27"/>
      <c r="J950" s="27"/>
      <c r="K950" s="27"/>
      <c r="L950" s="27"/>
    </row>
    <row r="951">
      <c r="F951" s="27"/>
      <c r="G951" s="27"/>
      <c r="H951" s="27"/>
      <c r="J951" s="27"/>
      <c r="K951" s="27"/>
      <c r="L951" s="27"/>
    </row>
    <row r="952">
      <c r="F952" s="27"/>
      <c r="G952" s="27"/>
      <c r="H952" s="27"/>
      <c r="J952" s="27"/>
      <c r="K952" s="27"/>
      <c r="L952" s="27"/>
    </row>
    <row r="953">
      <c r="F953" s="27"/>
      <c r="G953" s="27"/>
      <c r="H953" s="27"/>
      <c r="J953" s="27"/>
      <c r="K953" s="27"/>
      <c r="L953" s="27"/>
    </row>
    <row r="954">
      <c r="F954" s="27"/>
      <c r="G954" s="27"/>
      <c r="H954" s="27"/>
      <c r="J954" s="27"/>
      <c r="K954" s="27"/>
      <c r="L954" s="27"/>
    </row>
    <row r="955">
      <c r="F955" s="27"/>
      <c r="G955" s="27"/>
      <c r="H955" s="27"/>
      <c r="J955" s="27"/>
      <c r="K955" s="27"/>
      <c r="L955" s="27"/>
    </row>
    <row r="956">
      <c r="F956" s="27"/>
      <c r="G956" s="27"/>
      <c r="H956" s="27"/>
      <c r="J956" s="27"/>
      <c r="K956" s="27"/>
      <c r="L956" s="27"/>
    </row>
    <row r="957">
      <c r="F957" s="27"/>
      <c r="G957" s="27"/>
      <c r="H957" s="27"/>
      <c r="J957" s="27"/>
      <c r="K957" s="27"/>
      <c r="L957" s="27"/>
    </row>
    <row r="958">
      <c r="F958" s="27"/>
      <c r="G958" s="27"/>
      <c r="H958" s="27"/>
      <c r="J958" s="27"/>
      <c r="K958" s="27"/>
      <c r="L958" s="27"/>
    </row>
    <row r="959">
      <c r="F959" s="27"/>
      <c r="G959" s="27"/>
      <c r="H959" s="27"/>
      <c r="J959" s="27"/>
      <c r="K959" s="27"/>
      <c r="L959" s="27"/>
    </row>
    <row r="960">
      <c r="F960" s="27"/>
      <c r="G960" s="27"/>
      <c r="H960" s="27"/>
      <c r="J960" s="27"/>
      <c r="K960" s="27"/>
      <c r="L960" s="27"/>
    </row>
    <row r="961">
      <c r="F961" s="27"/>
      <c r="G961" s="27"/>
      <c r="H961" s="27"/>
      <c r="J961" s="27"/>
      <c r="K961" s="27"/>
      <c r="L961" s="27"/>
    </row>
    <row r="962">
      <c r="F962" s="27"/>
      <c r="G962" s="27"/>
      <c r="H962" s="27"/>
      <c r="J962" s="27"/>
      <c r="K962" s="27"/>
      <c r="L962" s="27"/>
    </row>
    <row r="963">
      <c r="F963" s="27"/>
      <c r="G963" s="27"/>
      <c r="H963" s="27"/>
      <c r="J963" s="27"/>
      <c r="K963" s="27"/>
      <c r="L963" s="27"/>
    </row>
    <row r="964">
      <c r="F964" s="27"/>
      <c r="G964" s="27"/>
      <c r="H964" s="27"/>
      <c r="J964" s="27"/>
      <c r="K964" s="27"/>
      <c r="L964" s="27"/>
    </row>
    <row r="965">
      <c r="F965" s="27"/>
      <c r="G965" s="27"/>
      <c r="H965" s="27"/>
      <c r="J965" s="27"/>
      <c r="K965" s="27"/>
      <c r="L965" s="27"/>
    </row>
    <row r="966">
      <c r="F966" s="27"/>
      <c r="G966" s="27"/>
      <c r="H966" s="27"/>
      <c r="J966" s="27"/>
      <c r="K966" s="27"/>
      <c r="L966" s="27"/>
    </row>
    <row r="967">
      <c r="F967" s="27"/>
      <c r="G967" s="27"/>
      <c r="H967" s="27"/>
      <c r="J967" s="27"/>
      <c r="K967" s="27"/>
      <c r="L967" s="27"/>
    </row>
    <row r="968">
      <c r="F968" s="27"/>
      <c r="G968" s="27"/>
      <c r="H968" s="27"/>
      <c r="J968" s="27"/>
      <c r="K968" s="27"/>
      <c r="L968" s="27"/>
    </row>
    <row r="969">
      <c r="F969" s="27"/>
      <c r="G969" s="27"/>
      <c r="H969" s="27"/>
      <c r="J969" s="27"/>
      <c r="K969" s="27"/>
      <c r="L969" s="27"/>
    </row>
    <row r="970">
      <c r="F970" s="27"/>
      <c r="G970" s="27"/>
      <c r="H970" s="27"/>
      <c r="J970" s="27"/>
      <c r="K970" s="27"/>
      <c r="L970" s="27"/>
    </row>
    <row r="971">
      <c r="F971" s="27"/>
      <c r="G971" s="27"/>
      <c r="H971" s="27"/>
      <c r="J971" s="27"/>
      <c r="K971" s="27"/>
      <c r="L971" s="27"/>
    </row>
    <row r="972">
      <c r="F972" s="27"/>
      <c r="G972" s="27"/>
      <c r="H972" s="27"/>
      <c r="J972" s="27"/>
      <c r="K972" s="27"/>
      <c r="L972" s="27"/>
    </row>
    <row r="973">
      <c r="F973" s="27"/>
      <c r="G973" s="27"/>
      <c r="H973" s="27"/>
      <c r="J973" s="27"/>
      <c r="K973" s="27"/>
      <c r="L973" s="27"/>
    </row>
    <row r="974">
      <c r="F974" s="27"/>
      <c r="G974" s="27"/>
      <c r="H974" s="27"/>
      <c r="J974" s="27"/>
      <c r="K974" s="27"/>
      <c r="L974" s="27"/>
    </row>
    <row r="975">
      <c r="F975" s="27"/>
      <c r="G975" s="27"/>
      <c r="H975" s="27"/>
      <c r="J975" s="27"/>
      <c r="K975" s="27"/>
      <c r="L975" s="27"/>
    </row>
    <row r="976">
      <c r="F976" s="27"/>
      <c r="G976" s="27"/>
      <c r="H976" s="27"/>
      <c r="J976" s="27"/>
      <c r="K976" s="27"/>
      <c r="L976" s="27"/>
    </row>
    <row r="977">
      <c r="F977" s="27"/>
      <c r="G977" s="27"/>
      <c r="H977" s="27"/>
      <c r="J977" s="27"/>
      <c r="K977" s="27"/>
      <c r="L977" s="27"/>
    </row>
    <row r="978">
      <c r="F978" s="27"/>
      <c r="G978" s="27"/>
      <c r="H978" s="27"/>
      <c r="J978" s="27"/>
      <c r="K978" s="27"/>
      <c r="L978" s="27"/>
    </row>
    <row r="979">
      <c r="F979" s="27"/>
      <c r="G979" s="27"/>
      <c r="H979" s="27"/>
      <c r="J979" s="27"/>
      <c r="K979" s="27"/>
      <c r="L979" s="27"/>
    </row>
    <row r="980">
      <c r="F980" s="27"/>
      <c r="G980" s="27"/>
      <c r="H980" s="27"/>
      <c r="J980" s="27"/>
      <c r="K980" s="27"/>
      <c r="L980" s="27"/>
    </row>
    <row r="981">
      <c r="F981" s="27"/>
      <c r="G981" s="27"/>
      <c r="H981" s="27"/>
      <c r="J981" s="27"/>
      <c r="K981" s="27"/>
      <c r="L981" s="27"/>
    </row>
    <row r="982">
      <c r="F982" s="27"/>
      <c r="G982" s="27"/>
      <c r="H982" s="27"/>
      <c r="J982" s="27"/>
      <c r="K982" s="27"/>
      <c r="L982" s="27"/>
    </row>
    <row r="983">
      <c r="F983" s="27"/>
      <c r="G983" s="27"/>
      <c r="H983" s="27"/>
      <c r="J983" s="27"/>
      <c r="K983" s="27"/>
      <c r="L983" s="27"/>
    </row>
    <row r="984">
      <c r="F984" s="27"/>
      <c r="G984" s="27"/>
      <c r="H984" s="27"/>
      <c r="J984" s="27"/>
      <c r="K984" s="27"/>
      <c r="L984" s="27"/>
    </row>
    <row r="985">
      <c r="F985" s="27"/>
      <c r="G985" s="27"/>
      <c r="H985" s="27"/>
      <c r="J985" s="27"/>
      <c r="K985" s="27"/>
      <c r="L985" s="27"/>
    </row>
    <row r="986">
      <c r="F986" s="27"/>
      <c r="G986" s="27"/>
      <c r="H986" s="27"/>
      <c r="J986" s="27"/>
      <c r="K986" s="27"/>
      <c r="L986" s="27"/>
    </row>
    <row r="987">
      <c r="F987" s="27"/>
      <c r="G987" s="27"/>
      <c r="H987" s="27"/>
      <c r="J987" s="27"/>
      <c r="K987" s="27"/>
      <c r="L987" s="27"/>
    </row>
    <row r="988">
      <c r="F988" s="27"/>
      <c r="G988" s="27"/>
      <c r="H988" s="27"/>
      <c r="J988" s="27"/>
      <c r="K988" s="27"/>
      <c r="L988" s="27"/>
    </row>
    <row r="989">
      <c r="F989" s="27"/>
      <c r="G989" s="27"/>
      <c r="H989" s="27"/>
      <c r="J989" s="27"/>
      <c r="K989" s="27"/>
      <c r="L989" s="27"/>
    </row>
    <row r="990">
      <c r="F990" s="27"/>
      <c r="G990" s="27"/>
      <c r="H990" s="27"/>
      <c r="J990" s="27"/>
      <c r="K990" s="27"/>
      <c r="L990" s="27"/>
    </row>
    <row r="991">
      <c r="F991" s="27"/>
      <c r="G991" s="27"/>
      <c r="H991" s="27"/>
      <c r="J991" s="27"/>
      <c r="K991" s="27"/>
      <c r="L991" s="27"/>
    </row>
    <row r="992">
      <c r="F992" s="27"/>
      <c r="G992" s="27"/>
      <c r="H992" s="27"/>
      <c r="J992" s="27"/>
      <c r="K992" s="27"/>
      <c r="L992" s="27"/>
    </row>
    <row r="993">
      <c r="F993" s="27"/>
      <c r="G993" s="27"/>
      <c r="H993" s="27"/>
      <c r="J993" s="27"/>
      <c r="K993" s="27"/>
      <c r="L993" s="27"/>
    </row>
    <row r="994">
      <c r="F994" s="27"/>
      <c r="G994" s="27"/>
      <c r="H994" s="27"/>
      <c r="J994" s="27"/>
      <c r="K994" s="27"/>
      <c r="L994" s="27"/>
    </row>
    <row r="995">
      <c r="F995" s="27"/>
      <c r="G995" s="27"/>
      <c r="H995" s="27"/>
      <c r="J995" s="27"/>
      <c r="K995" s="27"/>
      <c r="L995" s="27"/>
    </row>
    <row r="996">
      <c r="F996" s="27"/>
      <c r="G996" s="27"/>
      <c r="H996" s="27"/>
      <c r="J996" s="27"/>
      <c r="K996" s="27"/>
      <c r="L996" s="27"/>
    </row>
    <row r="997">
      <c r="F997" s="27"/>
      <c r="G997" s="27"/>
      <c r="H997" s="27"/>
      <c r="J997" s="27"/>
      <c r="K997" s="27"/>
      <c r="L997" s="27"/>
    </row>
    <row r="998">
      <c r="F998" s="27"/>
      <c r="G998" s="27"/>
      <c r="H998" s="27"/>
      <c r="J998" s="27"/>
      <c r="K998" s="27"/>
      <c r="L998" s="27"/>
    </row>
    <row r="999">
      <c r="F999" s="27"/>
      <c r="G999" s="27"/>
      <c r="H999" s="27"/>
      <c r="J999" s="27"/>
      <c r="K999" s="27"/>
      <c r="L999" s="27"/>
    </row>
    <row r="1000">
      <c r="F1000" s="27"/>
      <c r="G1000" s="27"/>
      <c r="H1000" s="27"/>
      <c r="J1000" s="27"/>
      <c r="K1000" s="27"/>
      <c r="L1000" s="27"/>
    </row>
    <row r="1001">
      <c r="F1001" s="27"/>
      <c r="G1001" s="27"/>
      <c r="H1001" s="27"/>
      <c r="J1001" s="27"/>
      <c r="K1001" s="27"/>
      <c r="L1001" s="27"/>
    </row>
    <row r="1002">
      <c r="F1002" s="27"/>
      <c r="G1002" s="27"/>
      <c r="H1002" s="27"/>
      <c r="J1002" s="27"/>
      <c r="K1002" s="27"/>
      <c r="L1002" s="27"/>
    </row>
  </sheetData>
  <conditionalFormatting sqref="D44:E44 D53:J53">
    <cfRule type="cellIs" dxfId="0" priority="1" operator="lessThan">
      <formula>0</formula>
    </cfRule>
  </conditionalFormatting>
  <conditionalFormatting sqref="D53:E53">
    <cfRule type="cellIs" dxfId="0" priority="2" operator="lessThan">
      <formula>0</formula>
    </cfRule>
  </conditionalFormatting>
  <drawing r:id="rId2"/>
  <legacy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  <col customWidth="1" min="3" max="3" width="9.38"/>
    <col customWidth="1" min="5" max="5" width="14.0"/>
    <col customWidth="1" hidden="1" min="6" max="6" width="14.63"/>
    <col customWidth="1" hidden="1" min="7" max="7" width="12.38"/>
    <col customWidth="1" hidden="1" min="8" max="8" width="13.25"/>
    <col customWidth="1" min="9" max="9" width="16.38"/>
    <col customWidth="1" min="10" max="11" width="12.75"/>
    <col customWidth="1" min="12" max="12" width="20.63"/>
    <col customWidth="1" min="13" max="13" width="23.38"/>
    <col customWidth="1" min="14" max="14" width="11.25"/>
    <col customWidth="1" min="15" max="15" width="9.25"/>
    <col customWidth="1" min="16" max="17" width="9.5"/>
    <col customWidth="1" min="20" max="20" width="9.88"/>
    <col customWidth="1" min="21" max="21" width="8.13"/>
  </cols>
  <sheetData>
    <row r="1">
      <c r="A1" s="18" t="s">
        <v>346</v>
      </c>
      <c r="B1" s="416" t="s">
        <v>296</v>
      </c>
      <c r="D1" s="107" t="s">
        <v>387</v>
      </c>
      <c r="E1" s="107" t="s">
        <v>388</v>
      </c>
      <c r="F1" s="107"/>
      <c r="G1" s="107"/>
      <c r="H1" s="107"/>
      <c r="J1" s="107"/>
      <c r="K1" s="107"/>
      <c r="L1" s="107"/>
      <c r="M1" s="417" t="s">
        <v>325</v>
      </c>
      <c r="N1" s="107"/>
    </row>
    <row r="2">
      <c r="B2" s="18" t="s">
        <v>240</v>
      </c>
      <c r="C2" s="249">
        <v>13.0</v>
      </c>
      <c r="D2" s="27"/>
      <c r="E2" s="107">
        <v>13.0</v>
      </c>
      <c r="F2" s="27"/>
      <c r="G2" s="26"/>
      <c r="H2" s="26"/>
      <c r="J2" s="26"/>
      <c r="K2" s="107"/>
      <c r="L2" s="26"/>
      <c r="M2" s="422" t="s">
        <v>119</v>
      </c>
      <c r="N2" s="302" t="s">
        <v>120</v>
      </c>
    </row>
    <row r="3">
      <c r="B3" s="18" t="s">
        <v>241</v>
      </c>
      <c r="C3" s="249">
        <v>70.7</v>
      </c>
      <c r="D3" s="107">
        <v>19.98</v>
      </c>
      <c r="E3" s="107">
        <v>73.49</v>
      </c>
      <c r="F3" s="107"/>
      <c r="G3" s="107"/>
      <c r="H3" s="107"/>
      <c r="J3" s="107"/>
      <c r="K3" s="107"/>
      <c r="L3" s="107"/>
      <c r="M3" s="423" t="s">
        <v>326</v>
      </c>
      <c r="N3" s="7" t="s">
        <v>327</v>
      </c>
    </row>
    <row r="4">
      <c r="B4" s="18" t="s">
        <v>242</v>
      </c>
      <c r="C4" s="249">
        <v>13.0</v>
      </c>
      <c r="D4" s="107"/>
      <c r="E4" s="107">
        <v>13.0</v>
      </c>
      <c r="F4" s="26"/>
      <c r="G4" s="107"/>
      <c r="H4" s="107"/>
      <c r="J4" s="107"/>
      <c r="L4" s="107"/>
      <c r="M4" s="423" t="s">
        <v>328</v>
      </c>
      <c r="N4" s="7" t="s">
        <v>329</v>
      </c>
      <c r="O4" s="107"/>
    </row>
    <row r="5">
      <c r="B5" s="18" t="s">
        <v>285</v>
      </c>
      <c r="C5" s="249">
        <v>42.0</v>
      </c>
      <c r="D5" s="107">
        <v>15.17</v>
      </c>
      <c r="E5" s="107">
        <v>55.8</v>
      </c>
      <c r="F5" s="107"/>
      <c r="G5" s="107"/>
      <c r="H5" s="107"/>
      <c r="J5" s="107"/>
      <c r="L5" s="107"/>
      <c r="M5" s="423"/>
      <c r="N5" s="7" t="s">
        <v>192</v>
      </c>
      <c r="O5" s="107"/>
    </row>
    <row r="6">
      <c r="B6" s="18" t="s">
        <v>324</v>
      </c>
      <c r="C6" s="249">
        <v>6.0</v>
      </c>
      <c r="D6" s="107"/>
      <c r="E6" s="107">
        <v>6.0</v>
      </c>
      <c r="F6" s="107"/>
      <c r="O6" s="107"/>
    </row>
    <row r="7">
      <c r="C7" s="276">
        <f>SUM(C2:C6)</f>
        <v>144.7</v>
      </c>
      <c r="D7" s="27">
        <f>C7-13</f>
        <v>131.7</v>
      </c>
      <c r="E7" s="27">
        <f>SUM(E2:E6)</f>
        <v>161.29</v>
      </c>
      <c r="F7" s="107"/>
      <c r="O7" s="107"/>
    </row>
    <row r="8">
      <c r="O8" s="107"/>
    </row>
    <row r="9">
      <c r="O9" s="27"/>
    </row>
    <row r="10">
      <c r="K10" s="18" t="s">
        <v>366</v>
      </c>
      <c r="M10" s="18">
        <v>3637.5</v>
      </c>
      <c r="O10" s="107"/>
    </row>
    <row r="11">
      <c r="B11" s="55" t="s">
        <v>122</v>
      </c>
      <c r="C11" s="56"/>
      <c r="D11" s="140" t="s">
        <v>123</v>
      </c>
      <c r="E11" s="140" t="s">
        <v>124</v>
      </c>
      <c r="F11" s="140" t="s">
        <v>125</v>
      </c>
      <c r="G11" s="424" t="s">
        <v>126</v>
      </c>
      <c r="H11" s="140" t="s">
        <v>127</v>
      </c>
      <c r="I11" s="140" t="s">
        <v>128</v>
      </c>
      <c r="J11" s="140" t="s">
        <v>129</v>
      </c>
      <c r="K11" s="140" t="s">
        <v>130</v>
      </c>
      <c r="O11" s="107"/>
      <c r="Q11" s="18"/>
    </row>
    <row r="12">
      <c r="B12" s="59" t="s">
        <v>129</v>
      </c>
      <c r="C12" s="141"/>
      <c r="D12" s="113">
        <v>8402.26</v>
      </c>
      <c r="E12" s="113">
        <v>8473.39</v>
      </c>
      <c r="F12" s="113">
        <v>8402.26</v>
      </c>
      <c r="G12" s="425">
        <v>8402.26</v>
      </c>
      <c r="H12" s="113">
        <v>8661.72</v>
      </c>
      <c r="I12" s="113">
        <v>8661.71</v>
      </c>
      <c r="J12" s="113">
        <v>8661.71</v>
      </c>
      <c r="K12" s="113">
        <v>8661.71</v>
      </c>
      <c r="O12" s="107"/>
      <c r="Q12" s="18"/>
    </row>
    <row r="13">
      <c r="B13" s="59" t="s">
        <v>136</v>
      </c>
      <c r="C13" s="141"/>
      <c r="D13" s="114">
        <f>2160+3349.61</f>
        <v>5509.61</v>
      </c>
      <c r="E13" s="114">
        <f>2160+3570.51</f>
        <v>5730.51</v>
      </c>
      <c r="F13" s="114">
        <f>2160+3544.87</f>
        <v>5704.87</v>
      </c>
      <c r="G13" s="426">
        <f>2230+3676.95</f>
        <v>5906.95</v>
      </c>
      <c r="H13" s="114">
        <f>2230+3690.95</f>
        <v>5920.95</v>
      </c>
      <c r="I13" s="426">
        <f>2230+3679.95</f>
        <v>5909.95</v>
      </c>
      <c r="J13" s="114">
        <f>2230+3663.96</f>
        <v>5893.96</v>
      </c>
      <c r="K13" s="114">
        <f>2230+3637.5</f>
        <v>5867.5</v>
      </c>
      <c r="L13" s="407"/>
      <c r="M13" s="303"/>
      <c r="N13" s="107"/>
      <c r="O13" s="27"/>
      <c r="Q13" s="18"/>
    </row>
    <row r="14">
      <c r="B14" s="59" t="s">
        <v>137</v>
      </c>
      <c r="C14" s="141"/>
      <c r="D14" s="115"/>
      <c r="E14" s="114"/>
      <c r="F14" s="115"/>
      <c r="G14" s="426"/>
      <c r="H14" s="115"/>
      <c r="I14" s="114"/>
      <c r="J14" s="115"/>
      <c r="K14" s="114"/>
      <c r="L14" s="363"/>
      <c r="M14" s="363"/>
      <c r="N14" s="107"/>
      <c r="O14" s="107"/>
      <c r="Q14" s="18"/>
    </row>
    <row r="15">
      <c r="B15" s="59" t="s">
        <v>138</v>
      </c>
      <c r="C15" s="141"/>
      <c r="D15" s="116"/>
      <c r="E15" s="117"/>
      <c r="F15" s="114">
        <f>16458.02+8673.34</f>
        <v>25131.36</v>
      </c>
      <c r="G15" s="426">
        <v>845.32</v>
      </c>
      <c r="H15" s="115"/>
      <c r="I15" s="118"/>
      <c r="J15" s="117">
        <v>20239.8</v>
      </c>
      <c r="K15" s="118"/>
      <c r="L15" s="32"/>
      <c r="M15" s="32"/>
      <c r="N15" s="107"/>
      <c r="O15" s="107"/>
      <c r="Q15" s="18"/>
    </row>
    <row r="16">
      <c r="B16" s="142" t="s">
        <v>139</v>
      </c>
      <c r="C16" s="143"/>
      <c r="D16" s="144">
        <f t="shared" ref="D16:E16" si="1">SUM(D12:D15)</f>
        <v>13911.87</v>
      </c>
      <c r="E16" s="144">
        <f t="shared" si="1"/>
        <v>14203.9</v>
      </c>
      <c r="F16" s="144">
        <f>SUM(F12:F14)</f>
        <v>14107.13</v>
      </c>
      <c r="G16" s="428">
        <f t="shared" ref="G16:I16" si="2">SUM(G12:G15)</f>
        <v>15154.53</v>
      </c>
      <c r="H16" s="144">
        <f t="shared" si="2"/>
        <v>14582.67</v>
      </c>
      <c r="I16" s="144">
        <f t="shared" si="2"/>
        <v>14571.66</v>
      </c>
      <c r="J16" s="144">
        <f>SUM(J12:J14)</f>
        <v>14555.67</v>
      </c>
      <c r="K16" s="144">
        <f>SUM(K12:K15)</f>
        <v>14529.21</v>
      </c>
      <c r="L16" s="257"/>
      <c r="M16" s="257"/>
      <c r="P16" s="27"/>
      <c r="Q16" s="18"/>
      <c r="S16" s="107"/>
    </row>
    <row r="17">
      <c r="C17" s="27"/>
      <c r="L17" s="32"/>
      <c r="M17" s="32"/>
      <c r="N17" s="107"/>
      <c r="Q17" s="18"/>
      <c r="S17" s="27"/>
    </row>
    <row r="18">
      <c r="B18" s="70" t="s">
        <v>140</v>
      </c>
      <c r="C18" s="71"/>
      <c r="D18" s="58" t="s">
        <v>123</v>
      </c>
      <c r="E18" s="58" t="s">
        <v>124</v>
      </c>
      <c r="F18" s="58" t="s">
        <v>125</v>
      </c>
      <c r="G18" s="430" t="s">
        <v>126</v>
      </c>
      <c r="H18" s="58" t="s">
        <v>127</v>
      </c>
      <c r="I18" s="58" t="s">
        <v>128</v>
      </c>
      <c r="J18" s="58" t="s">
        <v>129</v>
      </c>
      <c r="K18" s="58" t="s">
        <v>130</v>
      </c>
      <c r="L18" s="418"/>
      <c r="M18" s="418" t="s">
        <v>331</v>
      </c>
      <c r="N18" s="192"/>
      <c r="Q18" s="18"/>
    </row>
    <row r="19">
      <c r="B19" s="145" t="s">
        <v>141</v>
      </c>
      <c r="C19" s="146"/>
      <c r="D19" s="378">
        <v>410.0</v>
      </c>
      <c r="E19" s="378">
        <v>450.0</v>
      </c>
      <c r="F19" s="378">
        <v>450.0</v>
      </c>
      <c r="G19" s="446">
        <v>450.0</v>
      </c>
      <c r="H19" s="378">
        <v>450.0</v>
      </c>
      <c r="I19" s="378">
        <v>450.0</v>
      </c>
      <c r="J19" s="378">
        <v>450.0</v>
      </c>
      <c r="K19" s="147">
        <v>450.0</v>
      </c>
      <c r="L19" s="192"/>
      <c r="M19" s="447"/>
      <c r="N19" s="448" t="s">
        <v>27</v>
      </c>
      <c r="O19" s="448" t="s">
        <v>274</v>
      </c>
      <c r="P19" s="448" t="s">
        <v>351</v>
      </c>
      <c r="Q19" s="448" t="s">
        <v>333</v>
      </c>
      <c r="R19" s="449" t="s">
        <v>390</v>
      </c>
      <c r="S19" s="448" t="s">
        <v>48</v>
      </c>
      <c r="T19" s="448" t="s">
        <v>383</v>
      </c>
      <c r="U19" s="448" t="s">
        <v>386</v>
      </c>
    </row>
    <row r="20">
      <c r="B20" s="145" t="s">
        <v>142</v>
      </c>
      <c r="C20" s="146"/>
      <c r="D20" s="378">
        <v>220.0</v>
      </c>
      <c r="E20" s="378">
        <v>220.0</v>
      </c>
      <c r="F20" s="378">
        <v>220.0</v>
      </c>
      <c r="G20" s="446">
        <v>220.0</v>
      </c>
      <c r="H20" s="446">
        <v>220.0</v>
      </c>
      <c r="I20" s="378">
        <v>220.0</v>
      </c>
      <c r="J20" s="378">
        <v>220.0</v>
      </c>
      <c r="K20" s="147">
        <v>220.0</v>
      </c>
      <c r="L20" s="409"/>
      <c r="M20" s="450" t="s">
        <v>141</v>
      </c>
      <c r="N20" s="451"/>
      <c r="O20" s="452"/>
      <c r="P20" s="453">
        <v>450.0</v>
      </c>
      <c r="Q20" s="452"/>
      <c r="R20" s="452"/>
      <c r="S20" s="452"/>
      <c r="T20" s="452"/>
      <c r="U20" s="452"/>
    </row>
    <row r="21">
      <c r="B21" s="145" t="s">
        <v>143</v>
      </c>
      <c r="C21" s="146"/>
      <c r="D21" s="396">
        <v>139.9</v>
      </c>
      <c r="E21" s="396">
        <v>147.9</v>
      </c>
      <c r="F21" s="396">
        <v>147.9</v>
      </c>
      <c r="G21" s="454">
        <v>147.9</v>
      </c>
      <c r="H21" s="454">
        <v>147.9</v>
      </c>
      <c r="I21" s="378">
        <v>147.9</v>
      </c>
      <c r="J21" s="396">
        <v>147.9</v>
      </c>
      <c r="K21" s="149">
        <v>147.9</v>
      </c>
      <c r="L21" s="409"/>
      <c r="M21" s="450" t="s">
        <v>142</v>
      </c>
      <c r="N21" s="451"/>
      <c r="O21" s="452"/>
      <c r="P21" s="453">
        <v>220.0</v>
      </c>
      <c r="Q21" s="452"/>
      <c r="R21" s="452"/>
      <c r="S21" s="452"/>
      <c r="T21" s="452"/>
      <c r="U21" s="452"/>
    </row>
    <row r="22">
      <c r="B22" s="145" t="s">
        <v>144</v>
      </c>
      <c r="C22" s="146"/>
      <c r="D22" s="378">
        <v>100.0</v>
      </c>
      <c r="E22" s="378">
        <v>100.0</v>
      </c>
      <c r="F22" s="378">
        <f t="shared" ref="F22:H22" si="3">E22</f>
        <v>100</v>
      </c>
      <c r="G22" s="446">
        <f t="shared" si="3"/>
        <v>100</v>
      </c>
      <c r="H22" s="446">
        <f t="shared" si="3"/>
        <v>100</v>
      </c>
      <c r="I22" s="378">
        <v>100.0</v>
      </c>
      <c r="J22" s="378">
        <f>I22</f>
        <v>100</v>
      </c>
      <c r="K22" s="147">
        <v>100.0</v>
      </c>
      <c r="L22" s="409"/>
      <c r="M22" s="450" t="s">
        <v>143</v>
      </c>
      <c r="N22" s="451"/>
      <c r="O22" s="452"/>
      <c r="P22" s="453">
        <v>147.9</v>
      </c>
      <c r="Q22" s="452"/>
      <c r="R22" s="452"/>
      <c r="S22" s="452"/>
      <c r="T22" s="452"/>
      <c r="U22" s="452"/>
    </row>
    <row r="23">
      <c r="B23" s="145" t="s">
        <v>145</v>
      </c>
      <c r="C23" s="146"/>
      <c r="D23" s="378">
        <v>3004.8</v>
      </c>
      <c r="E23" s="378">
        <v>3004.8</v>
      </c>
      <c r="F23" s="378">
        <v>3004.8</v>
      </c>
      <c r="G23" s="446">
        <v>3004.8</v>
      </c>
      <c r="H23" s="446">
        <v>3004.8</v>
      </c>
      <c r="I23" s="378">
        <v>3004.8</v>
      </c>
      <c r="J23" s="378">
        <v>3004.8</v>
      </c>
      <c r="K23" s="147">
        <v>3004.8</v>
      </c>
      <c r="L23" s="409"/>
      <c r="M23" s="450" t="s">
        <v>144</v>
      </c>
      <c r="N23" s="451"/>
      <c r="O23" s="452"/>
      <c r="P23" s="453">
        <v>100.0</v>
      </c>
      <c r="Q23" s="452"/>
      <c r="R23" s="452"/>
      <c r="S23" s="452"/>
      <c r="T23" s="452"/>
      <c r="U23" s="452"/>
    </row>
    <row r="24">
      <c r="B24" s="145" t="s">
        <v>146</v>
      </c>
      <c r="C24" s="150" t="s">
        <v>136</v>
      </c>
      <c r="D24" s="378">
        <v>50.0</v>
      </c>
      <c r="E24" s="378">
        <v>0.0</v>
      </c>
      <c r="F24" s="378">
        <v>0.0</v>
      </c>
      <c r="G24" s="446"/>
      <c r="H24" s="446"/>
      <c r="I24" s="378"/>
      <c r="J24" s="378"/>
      <c r="K24" s="147"/>
      <c r="L24" s="409"/>
      <c r="M24" s="450" t="s">
        <v>145</v>
      </c>
      <c r="N24" s="473">
        <v>3004.8</v>
      </c>
      <c r="O24" s="456"/>
      <c r="P24" s="451"/>
      <c r="Q24" s="452"/>
      <c r="R24" s="452"/>
      <c r="S24" s="452"/>
      <c r="T24" s="452"/>
      <c r="U24" s="452"/>
    </row>
    <row r="25">
      <c r="B25" s="145" t="s">
        <v>180</v>
      </c>
      <c r="C25" s="146"/>
      <c r="D25" s="378">
        <v>400.0</v>
      </c>
      <c r="E25" s="378">
        <v>400.0</v>
      </c>
      <c r="F25" s="378">
        <v>400.0</v>
      </c>
      <c r="G25" s="446">
        <v>400.0</v>
      </c>
      <c r="H25" s="446">
        <v>400.0</v>
      </c>
      <c r="I25" s="378">
        <v>400.0</v>
      </c>
      <c r="J25" s="378">
        <v>400.0</v>
      </c>
      <c r="K25" s="147">
        <v>400.0</v>
      </c>
      <c r="L25" s="409"/>
      <c r="M25" s="450" t="s">
        <v>146</v>
      </c>
      <c r="N25" s="455"/>
      <c r="O25" s="457"/>
      <c r="P25" s="452"/>
      <c r="Q25" s="452"/>
      <c r="R25" s="452"/>
      <c r="S25" s="452"/>
      <c r="T25" s="452"/>
      <c r="U25" s="452"/>
    </row>
    <row r="26">
      <c r="B26" s="145" t="s">
        <v>148</v>
      </c>
      <c r="C26" s="146"/>
      <c r="D26" s="378">
        <v>600.0</v>
      </c>
      <c r="E26" s="378">
        <v>600.0</v>
      </c>
      <c r="F26" s="378">
        <v>600.0</v>
      </c>
      <c r="G26" s="446">
        <v>600.0</v>
      </c>
      <c r="H26" s="446">
        <v>600.0</v>
      </c>
      <c r="I26" s="378">
        <v>600.0</v>
      </c>
      <c r="J26" s="378">
        <v>600.0</v>
      </c>
      <c r="K26" s="147">
        <v>600.0</v>
      </c>
      <c r="L26" s="409"/>
      <c r="M26" s="450" t="s">
        <v>180</v>
      </c>
      <c r="N26" s="451"/>
      <c r="O26" s="456"/>
      <c r="P26" s="452"/>
      <c r="Q26" s="452"/>
      <c r="R26" s="452"/>
      <c r="S26" s="452"/>
      <c r="T26" s="452"/>
      <c r="U26" s="474">
        <v>400.0</v>
      </c>
    </row>
    <row r="27">
      <c r="B27" s="145" t="s">
        <v>149</v>
      </c>
      <c r="C27" s="146"/>
      <c r="D27" s="378">
        <v>500.0</v>
      </c>
      <c r="E27" s="378">
        <v>500.0</v>
      </c>
      <c r="F27" s="378">
        <f t="shared" ref="F27:H27" si="4">E27</f>
        <v>500</v>
      </c>
      <c r="G27" s="446">
        <f t="shared" si="4"/>
        <v>500</v>
      </c>
      <c r="H27" s="446">
        <f t="shared" si="4"/>
        <v>500</v>
      </c>
      <c r="I27" s="378">
        <v>500.0</v>
      </c>
      <c r="J27" s="378">
        <f>I27</f>
        <v>500</v>
      </c>
      <c r="K27" s="147">
        <v>500.0</v>
      </c>
      <c r="L27" s="409"/>
      <c r="M27" s="450" t="s">
        <v>148</v>
      </c>
      <c r="N27" s="451"/>
      <c r="O27" s="456"/>
      <c r="P27" s="453">
        <v>600.0</v>
      </c>
      <c r="Q27" s="452"/>
      <c r="R27" s="452"/>
      <c r="S27" s="452"/>
      <c r="T27" s="452"/>
      <c r="U27" s="452"/>
    </row>
    <row r="28">
      <c r="B28" s="145" t="s">
        <v>181</v>
      </c>
      <c r="C28" s="146"/>
      <c r="D28" s="378">
        <v>150.0</v>
      </c>
      <c r="E28" s="378">
        <v>150.0</v>
      </c>
      <c r="F28" s="378">
        <v>150.0</v>
      </c>
      <c r="G28" s="446">
        <v>150.0</v>
      </c>
      <c r="H28" s="446">
        <v>150.0</v>
      </c>
      <c r="I28" s="378">
        <v>150.0</v>
      </c>
      <c r="J28" s="378">
        <v>150.0</v>
      </c>
      <c r="K28" s="147">
        <v>150.0</v>
      </c>
      <c r="L28" s="409"/>
      <c r="M28" s="450" t="s">
        <v>149</v>
      </c>
      <c r="N28" s="451"/>
      <c r="O28" s="456"/>
      <c r="P28" s="453">
        <v>500.0</v>
      </c>
      <c r="Q28" s="452"/>
      <c r="R28" s="452"/>
      <c r="S28" s="452"/>
      <c r="T28" s="452"/>
      <c r="U28" s="452"/>
    </row>
    <row r="29">
      <c r="B29" s="145" t="s">
        <v>150</v>
      </c>
      <c r="C29" s="146"/>
      <c r="D29" s="378">
        <v>400.0</v>
      </c>
      <c r="E29" s="378">
        <v>400.0</v>
      </c>
      <c r="F29" s="378">
        <f t="shared" ref="F29:H29" si="5">E29</f>
        <v>400</v>
      </c>
      <c r="G29" s="446">
        <f t="shared" si="5"/>
        <v>400</v>
      </c>
      <c r="H29" s="446">
        <f t="shared" si="5"/>
        <v>400</v>
      </c>
      <c r="I29" s="378">
        <v>400.0</v>
      </c>
      <c r="J29" s="378">
        <v>400.0</v>
      </c>
      <c r="K29" s="147">
        <v>400.0</v>
      </c>
      <c r="L29" s="409"/>
      <c r="M29" s="450" t="s">
        <v>181</v>
      </c>
      <c r="N29" s="451"/>
      <c r="O29" s="456"/>
      <c r="P29" s="453">
        <v>150.0</v>
      </c>
      <c r="Q29" s="452"/>
      <c r="R29" s="452"/>
      <c r="S29" s="452"/>
      <c r="T29" s="452"/>
      <c r="U29" s="452"/>
    </row>
    <row r="30">
      <c r="B30" s="145" t="s">
        <v>182</v>
      </c>
      <c r="C30" s="146"/>
      <c r="D30" s="378">
        <v>160.0</v>
      </c>
      <c r="E30" s="378">
        <v>160.0</v>
      </c>
      <c r="F30" s="378">
        <v>160.0</v>
      </c>
      <c r="G30" s="446">
        <v>160.0</v>
      </c>
      <c r="H30" s="446">
        <v>160.0</v>
      </c>
      <c r="I30" s="378">
        <v>160.0</v>
      </c>
      <c r="J30" s="378">
        <v>0.0</v>
      </c>
      <c r="K30" s="147">
        <v>160.0</v>
      </c>
      <c r="L30" s="409"/>
      <c r="M30" s="450" t="s">
        <v>150</v>
      </c>
      <c r="N30" s="451"/>
      <c r="O30" s="453">
        <v>400.0</v>
      </c>
      <c r="P30" s="452"/>
      <c r="Q30" s="452"/>
      <c r="R30" s="452"/>
      <c r="S30" s="452"/>
      <c r="T30" s="452"/>
      <c r="U30" s="452"/>
    </row>
    <row r="31">
      <c r="B31" s="145" t="s">
        <v>392</v>
      </c>
      <c r="C31" s="146"/>
      <c r="D31" s="378">
        <v>400.0</v>
      </c>
      <c r="E31" s="378">
        <v>400.0</v>
      </c>
      <c r="F31" s="378">
        <v>400.0</v>
      </c>
      <c r="G31" s="446">
        <v>400.0</v>
      </c>
      <c r="H31" s="446">
        <v>400.0</v>
      </c>
      <c r="I31" s="378">
        <v>400.0</v>
      </c>
      <c r="J31" s="378">
        <v>400.0</v>
      </c>
      <c r="K31" s="147">
        <v>1400.0</v>
      </c>
      <c r="L31" s="409"/>
      <c r="M31" s="450" t="s">
        <v>182</v>
      </c>
      <c r="N31" s="451"/>
      <c r="O31" s="456"/>
      <c r="P31" s="452"/>
      <c r="Q31" s="452"/>
      <c r="R31" s="474">
        <v>160.0</v>
      </c>
      <c r="S31" s="452"/>
      <c r="T31" s="452"/>
      <c r="U31" s="452"/>
    </row>
    <row r="32">
      <c r="B32" s="145" t="s">
        <v>152</v>
      </c>
      <c r="C32" s="146"/>
      <c r="D32" s="390"/>
      <c r="E32" s="378"/>
      <c r="F32" s="378"/>
      <c r="G32" s="459"/>
      <c r="H32" s="446"/>
      <c r="I32" s="378"/>
      <c r="J32" s="378"/>
      <c r="K32" s="147"/>
      <c r="L32" s="409"/>
      <c r="M32" s="450" t="s">
        <v>392</v>
      </c>
      <c r="N32" s="451"/>
      <c r="O32" s="460"/>
      <c r="P32" s="452"/>
      <c r="Q32" s="452"/>
      <c r="R32" s="475"/>
      <c r="S32" s="476">
        <v>1400.0</v>
      </c>
      <c r="T32" s="452"/>
      <c r="U32" s="452"/>
    </row>
    <row r="33">
      <c r="B33" s="145" t="s">
        <v>154</v>
      </c>
      <c r="C33" s="146"/>
      <c r="D33" s="390">
        <v>136.92</v>
      </c>
      <c r="E33" s="390">
        <v>136.92</v>
      </c>
      <c r="F33" s="390">
        <v>136.92</v>
      </c>
      <c r="G33" s="446">
        <v>144.7</v>
      </c>
      <c r="H33" s="446">
        <v>144.7</v>
      </c>
      <c r="I33" s="378">
        <v>161.29</v>
      </c>
      <c r="J33" s="378">
        <v>161.29</v>
      </c>
      <c r="K33" s="147">
        <v>161.29</v>
      </c>
      <c r="L33" s="409"/>
      <c r="M33" s="450" t="s">
        <v>152</v>
      </c>
      <c r="N33" s="455"/>
      <c r="O33" s="456"/>
      <c r="P33" s="452"/>
      <c r="Q33" s="452"/>
      <c r="R33" s="477"/>
      <c r="S33" s="452"/>
      <c r="T33" s="452"/>
      <c r="U33" s="452"/>
    </row>
    <row r="34">
      <c r="B34" s="145" t="s">
        <v>155</v>
      </c>
      <c r="C34" s="146"/>
      <c r="D34" s="390"/>
      <c r="E34" s="390"/>
      <c r="F34" s="378" t="str">
        <f t="shared" ref="F34:H34" si="6">E34</f>
        <v/>
      </c>
      <c r="G34" s="446" t="str">
        <f t="shared" si="6"/>
        <v/>
      </c>
      <c r="H34" s="446" t="str">
        <f t="shared" si="6"/>
        <v/>
      </c>
      <c r="I34" s="378" t="str">
        <f>H32</f>
        <v/>
      </c>
      <c r="J34" s="378" t="str">
        <f>I34</f>
        <v/>
      </c>
      <c r="K34" s="147" t="str">
        <f>J32</f>
        <v/>
      </c>
      <c r="L34" s="409"/>
      <c r="M34" s="450" t="s">
        <v>154</v>
      </c>
      <c r="N34" s="468">
        <f>I33-O34</f>
        <v>148.29</v>
      </c>
      <c r="O34" s="468">
        <v>13.0</v>
      </c>
      <c r="P34" s="452"/>
      <c r="Q34" s="452"/>
      <c r="R34" s="477"/>
      <c r="S34" s="456"/>
      <c r="T34" s="452"/>
      <c r="U34" s="452"/>
    </row>
    <row r="35">
      <c r="B35" s="145" t="s">
        <v>156</v>
      </c>
      <c r="C35" s="146"/>
      <c r="D35" s="378">
        <v>100.0</v>
      </c>
      <c r="E35" s="378">
        <v>100.0</v>
      </c>
      <c r="F35" s="390"/>
      <c r="G35" s="446">
        <v>100.0</v>
      </c>
      <c r="H35" s="446">
        <v>600.0</v>
      </c>
      <c r="I35" s="378">
        <v>500.0</v>
      </c>
      <c r="J35" s="378">
        <v>200.0</v>
      </c>
      <c r="K35" s="147">
        <v>100.0</v>
      </c>
      <c r="L35" s="409"/>
      <c r="M35" s="450" t="s">
        <v>155</v>
      </c>
      <c r="N35" s="455"/>
      <c r="O35" s="456"/>
      <c r="P35" s="452"/>
      <c r="Q35" s="452"/>
      <c r="R35" s="477"/>
      <c r="S35" s="452"/>
      <c r="T35" s="452"/>
      <c r="U35" s="452"/>
    </row>
    <row r="36">
      <c r="B36" s="145" t="s">
        <v>157</v>
      </c>
      <c r="C36" s="146"/>
      <c r="D36" s="378">
        <v>50.0</v>
      </c>
      <c r="E36" s="378">
        <v>50.0</v>
      </c>
      <c r="F36" s="378">
        <f t="shared" ref="F36:H36" si="7">E36</f>
        <v>50</v>
      </c>
      <c r="G36" s="446">
        <f t="shared" si="7"/>
        <v>50</v>
      </c>
      <c r="H36" s="446">
        <f t="shared" si="7"/>
        <v>50</v>
      </c>
      <c r="I36" s="378">
        <v>50.0</v>
      </c>
      <c r="J36" s="378">
        <f t="shared" ref="J36:J37" si="9">I36</f>
        <v>50</v>
      </c>
      <c r="K36" s="147">
        <v>50.0</v>
      </c>
      <c r="L36" s="409"/>
      <c r="M36" s="450" t="s">
        <v>156</v>
      </c>
      <c r="N36" s="458"/>
      <c r="O36" s="458"/>
      <c r="P36" s="452"/>
      <c r="Q36" s="452"/>
      <c r="R36" s="474">
        <v>100.0</v>
      </c>
      <c r="S36" s="452"/>
      <c r="T36" s="452"/>
      <c r="U36" s="452"/>
      <c r="V36" s="18"/>
    </row>
    <row r="37">
      <c r="B37" s="145" t="s">
        <v>393</v>
      </c>
      <c r="C37" s="146"/>
      <c r="D37" s="390"/>
      <c r="E37" s="390"/>
      <c r="F37" s="378" t="str">
        <f t="shared" ref="F37:H37" si="8">E37</f>
        <v/>
      </c>
      <c r="G37" s="446" t="str">
        <f t="shared" si="8"/>
        <v/>
      </c>
      <c r="H37" s="446" t="str">
        <f t="shared" si="8"/>
        <v/>
      </c>
      <c r="I37" s="378"/>
      <c r="J37" s="378" t="str">
        <f t="shared" si="9"/>
        <v/>
      </c>
      <c r="K37" s="147">
        <v>200.0</v>
      </c>
      <c r="L37" s="409"/>
      <c r="M37" s="450" t="s">
        <v>157</v>
      </c>
      <c r="N37" s="451"/>
      <c r="O37" s="456"/>
      <c r="P37" s="452"/>
      <c r="Q37" s="452"/>
      <c r="R37" s="477"/>
      <c r="S37" s="452"/>
      <c r="T37" s="474">
        <v>50.0</v>
      </c>
      <c r="U37" s="456"/>
      <c r="V37" s="18"/>
    </row>
    <row r="38">
      <c r="B38" s="145" t="s">
        <v>159</v>
      </c>
      <c r="C38" s="146"/>
      <c r="D38" s="378">
        <v>800.0</v>
      </c>
      <c r="E38" s="378">
        <v>800.0</v>
      </c>
      <c r="F38" s="378">
        <v>800.0</v>
      </c>
      <c r="G38" s="446">
        <v>800.0</v>
      </c>
      <c r="H38" s="446">
        <v>800.0</v>
      </c>
      <c r="I38" s="378">
        <v>800.0</v>
      </c>
      <c r="J38" s="378">
        <v>800.0</v>
      </c>
      <c r="K38" s="147">
        <v>800.0</v>
      </c>
      <c r="L38" s="409"/>
      <c r="M38" s="450" t="s">
        <v>158</v>
      </c>
      <c r="N38" s="455"/>
      <c r="O38" s="456"/>
      <c r="P38" s="452"/>
      <c r="Q38" s="452"/>
      <c r="R38" s="452"/>
      <c r="S38" s="452"/>
      <c r="T38" s="452"/>
      <c r="U38" s="452"/>
    </row>
    <row r="39">
      <c r="B39" s="145" t="s">
        <v>160</v>
      </c>
      <c r="C39" s="146"/>
      <c r="D39" s="378">
        <v>3000.0</v>
      </c>
      <c r="E39" s="378">
        <v>3000.0</v>
      </c>
      <c r="F39" s="378">
        <f t="shared" ref="F39:H39" si="10">E39</f>
        <v>3000</v>
      </c>
      <c r="G39" s="446">
        <f t="shared" si="10"/>
        <v>3000</v>
      </c>
      <c r="H39" s="446">
        <f t="shared" si="10"/>
        <v>3000</v>
      </c>
      <c r="I39" s="378">
        <v>3000.0</v>
      </c>
      <c r="J39" s="378">
        <f>I39</f>
        <v>3000</v>
      </c>
      <c r="K39" s="147">
        <v>3000.0</v>
      </c>
      <c r="L39" s="409"/>
      <c r="M39" s="450" t="s">
        <v>159</v>
      </c>
      <c r="N39" s="467">
        <v>400.0</v>
      </c>
      <c r="O39" s="467">
        <v>400.0</v>
      </c>
      <c r="P39" s="452"/>
      <c r="Q39" s="452"/>
      <c r="R39" s="452"/>
      <c r="S39" s="452"/>
      <c r="T39" s="452"/>
      <c r="U39" s="452"/>
    </row>
    <row r="40">
      <c r="B40" s="145" t="s">
        <v>184</v>
      </c>
      <c r="C40" s="146"/>
      <c r="D40" s="378">
        <v>700.0</v>
      </c>
      <c r="E40" s="378">
        <v>700.0</v>
      </c>
      <c r="F40" s="378">
        <v>700.0</v>
      </c>
      <c r="G40" s="446">
        <v>700.0</v>
      </c>
      <c r="H40" s="446">
        <v>700.0</v>
      </c>
      <c r="I40" s="378">
        <v>700.0</v>
      </c>
      <c r="J40" s="378">
        <v>700.0</v>
      </c>
      <c r="K40" s="147">
        <v>700.0</v>
      </c>
      <c r="L40" s="409"/>
      <c r="M40" s="450" t="s">
        <v>160</v>
      </c>
      <c r="N40" s="467">
        <v>1500.0</v>
      </c>
      <c r="O40" s="467">
        <v>1500.0</v>
      </c>
      <c r="P40" s="452"/>
      <c r="Q40" s="477"/>
      <c r="R40" s="452"/>
      <c r="S40" s="452"/>
      <c r="T40" s="452"/>
      <c r="U40" s="452"/>
    </row>
    <row r="41">
      <c r="B41" s="145" t="s">
        <v>3</v>
      </c>
      <c r="C41" s="146"/>
      <c r="D41" s="378">
        <v>500.0</v>
      </c>
      <c r="E41" s="378">
        <v>500.0</v>
      </c>
      <c r="F41" s="378">
        <v>500.0</v>
      </c>
      <c r="G41" s="446">
        <v>500.0</v>
      </c>
      <c r="H41" s="446">
        <v>500.0</v>
      </c>
      <c r="I41" s="378">
        <v>500.0</v>
      </c>
      <c r="J41" s="378">
        <v>500.0</v>
      </c>
      <c r="K41" s="147">
        <v>500.0</v>
      </c>
      <c r="L41" s="409"/>
      <c r="M41" s="450" t="s">
        <v>184</v>
      </c>
      <c r="N41" s="451"/>
      <c r="O41" s="456"/>
      <c r="P41" s="452"/>
      <c r="Q41" s="474">
        <v>700.0</v>
      </c>
      <c r="R41" s="452"/>
      <c r="S41" s="452"/>
      <c r="T41" s="452"/>
      <c r="U41" s="452"/>
    </row>
    <row r="42">
      <c r="B42" s="152" t="s">
        <v>161</v>
      </c>
      <c r="C42" s="153"/>
      <c r="D42" s="154">
        <f t="shared" ref="D42:K42" si="11">SUM(D19:D41)*-1</f>
        <v>-11821.62</v>
      </c>
      <c r="E42" s="154">
        <f t="shared" si="11"/>
        <v>-11819.62</v>
      </c>
      <c r="F42" s="154">
        <f t="shared" si="11"/>
        <v>-11719.62</v>
      </c>
      <c r="G42" s="435">
        <f t="shared" si="11"/>
        <v>-11827.4</v>
      </c>
      <c r="H42" s="435">
        <f t="shared" si="11"/>
        <v>-12327.4</v>
      </c>
      <c r="I42" s="154">
        <f t="shared" si="11"/>
        <v>-12243.99</v>
      </c>
      <c r="J42" s="154">
        <f t="shared" si="11"/>
        <v>-11783.99</v>
      </c>
      <c r="K42" s="154">
        <f t="shared" si="11"/>
        <v>-13043.99</v>
      </c>
      <c r="L42" s="409"/>
      <c r="M42" s="450" t="s">
        <v>3</v>
      </c>
      <c r="N42" s="451"/>
      <c r="O42" s="452"/>
      <c r="P42" s="452"/>
      <c r="Q42" s="474">
        <v>500.0</v>
      </c>
      <c r="R42" s="452"/>
      <c r="S42" s="452"/>
      <c r="T42" s="452"/>
      <c r="U42" s="452"/>
    </row>
    <row r="43">
      <c r="C43" s="27"/>
      <c r="L43" s="409"/>
      <c r="M43" s="450" t="s">
        <v>385</v>
      </c>
      <c r="N43" s="461"/>
      <c r="O43" s="451"/>
      <c r="P43" s="451"/>
      <c r="Q43" s="474">
        <v>200.0</v>
      </c>
      <c r="R43" s="451"/>
      <c r="S43" s="451"/>
      <c r="T43" s="451"/>
      <c r="U43" s="451"/>
    </row>
    <row r="44">
      <c r="B44" s="156" t="s">
        <v>162</v>
      </c>
      <c r="C44" s="157"/>
      <c r="D44" s="469">
        <f t="shared" ref="D44:K44" si="12">D16+D42</f>
        <v>2090.25</v>
      </c>
      <c r="E44" s="469">
        <f t="shared" si="12"/>
        <v>2384.28</v>
      </c>
      <c r="F44" s="469">
        <f t="shared" si="12"/>
        <v>2387.51</v>
      </c>
      <c r="G44" s="470">
        <f t="shared" si="12"/>
        <v>3327.13</v>
      </c>
      <c r="H44" s="469">
        <f t="shared" si="12"/>
        <v>2255.27</v>
      </c>
      <c r="I44" s="469">
        <f t="shared" si="12"/>
        <v>2327.67</v>
      </c>
      <c r="J44" s="469">
        <f t="shared" si="12"/>
        <v>2771.68</v>
      </c>
      <c r="K44" s="158">
        <f t="shared" si="12"/>
        <v>1485.22</v>
      </c>
      <c r="L44" s="18"/>
      <c r="M44" s="18" t="s">
        <v>391</v>
      </c>
      <c r="N44" s="455"/>
      <c r="O44" s="457"/>
      <c r="P44" s="452"/>
      <c r="Q44" s="475"/>
      <c r="R44" s="452"/>
      <c r="S44" s="451"/>
      <c r="T44" s="452"/>
      <c r="U44" s="452"/>
    </row>
    <row r="45">
      <c r="B45" s="83"/>
      <c r="C45" s="159"/>
      <c r="D45" s="84"/>
      <c r="E45" s="84"/>
      <c r="F45" s="84"/>
      <c r="G45" s="84"/>
      <c r="H45" s="84"/>
      <c r="I45" s="84"/>
      <c r="J45" s="84"/>
      <c r="K45" s="84"/>
      <c r="L45" s="107"/>
      <c r="M45" s="462" t="s">
        <v>382</v>
      </c>
      <c r="N45" s="451"/>
      <c r="O45" s="452"/>
      <c r="P45" s="452"/>
      <c r="Q45" s="474">
        <v>1485.22</v>
      </c>
      <c r="R45" s="452"/>
      <c r="S45" s="458"/>
      <c r="T45" s="452"/>
      <c r="U45" s="452"/>
    </row>
    <row r="46">
      <c r="B46" s="85" t="s">
        <v>163</v>
      </c>
      <c r="C46" s="160"/>
      <c r="D46" s="161" t="s">
        <v>123</v>
      </c>
      <c r="E46" s="161" t="s">
        <v>124</v>
      </c>
      <c r="F46" s="161" t="s">
        <v>125</v>
      </c>
      <c r="G46" s="437" t="s">
        <v>126</v>
      </c>
      <c r="H46" s="161" t="s">
        <v>127</v>
      </c>
      <c r="I46" s="161" t="s">
        <v>128</v>
      </c>
      <c r="J46" s="161" t="s">
        <v>129</v>
      </c>
      <c r="K46" s="161" t="s">
        <v>130</v>
      </c>
      <c r="L46" s="107"/>
      <c r="M46" s="463" t="s">
        <v>26</v>
      </c>
      <c r="N46" s="464">
        <f t="shared" ref="N46:U46" si="13">SUM(N20:N45)</f>
        <v>5053.09</v>
      </c>
      <c r="O46" s="465">
        <f t="shared" si="13"/>
        <v>2313</v>
      </c>
      <c r="P46" s="465">
        <f t="shared" si="13"/>
        <v>2167.9</v>
      </c>
      <c r="Q46" s="465">
        <f t="shared" si="13"/>
        <v>2885.22</v>
      </c>
      <c r="R46" s="465">
        <f t="shared" si="13"/>
        <v>260</v>
      </c>
      <c r="S46" s="465">
        <f t="shared" si="13"/>
        <v>1400</v>
      </c>
      <c r="T46" s="465">
        <f t="shared" si="13"/>
        <v>50</v>
      </c>
      <c r="U46" s="465">
        <f t="shared" si="13"/>
        <v>400</v>
      </c>
      <c r="V46" s="27">
        <f>SUM(N46:U46)</f>
        <v>14529.21</v>
      </c>
    </row>
    <row r="47">
      <c r="B47" s="162"/>
      <c r="C47" s="163"/>
      <c r="D47" s="164"/>
      <c r="E47" s="164"/>
      <c r="F47" s="165"/>
      <c r="G47" s="438"/>
      <c r="H47" s="165"/>
      <c r="I47" s="165"/>
      <c r="J47" s="165"/>
      <c r="K47" s="165"/>
      <c r="L47" s="248"/>
      <c r="M47" s="107" t="s">
        <v>389</v>
      </c>
      <c r="N47" s="471">
        <f>K12-N46</f>
        <v>3608.62</v>
      </c>
      <c r="O47" s="472">
        <f>J13-O46</f>
        <v>3580.96</v>
      </c>
      <c r="P47" s="287"/>
    </row>
    <row r="48">
      <c r="A48" s="298"/>
      <c r="B48" s="162" t="s">
        <v>58</v>
      </c>
      <c r="C48" s="163"/>
      <c r="D48" s="167">
        <v>962.79</v>
      </c>
      <c r="E48" s="167">
        <v>962.79</v>
      </c>
      <c r="F48" s="167">
        <v>962.79</v>
      </c>
      <c r="G48" s="439">
        <v>962.79</v>
      </c>
      <c r="H48" s="167">
        <v>724.25</v>
      </c>
      <c r="I48" s="167">
        <v>724.25</v>
      </c>
      <c r="J48" s="167">
        <v>724.25</v>
      </c>
      <c r="K48" s="167">
        <v>724.25</v>
      </c>
      <c r="L48" s="107"/>
      <c r="M48" s="325" t="s">
        <v>353</v>
      </c>
      <c r="P48" s="28">
        <f>O47-2230</f>
        <v>1350.96</v>
      </c>
    </row>
    <row r="49">
      <c r="B49" s="162"/>
      <c r="C49" s="163"/>
      <c r="D49" s="166"/>
      <c r="E49" s="166"/>
      <c r="F49" s="166"/>
      <c r="G49" s="440"/>
      <c r="H49" s="166"/>
      <c r="I49" s="166"/>
      <c r="J49" s="166"/>
      <c r="K49" s="166"/>
      <c r="L49" s="107"/>
      <c r="M49" s="107"/>
      <c r="Q49" s="387"/>
      <c r="S49" s="387"/>
    </row>
    <row r="50">
      <c r="B50" s="168"/>
      <c r="C50" s="169"/>
      <c r="D50" s="170"/>
      <c r="E50" s="170"/>
      <c r="F50" s="170"/>
      <c r="G50" s="441"/>
      <c r="H50" s="170"/>
      <c r="I50" s="166"/>
      <c r="J50" s="170"/>
      <c r="K50" s="170"/>
      <c r="L50" s="107"/>
      <c r="M50" s="107"/>
    </row>
    <row r="51">
      <c r="B51" s="152" t="s">
        <v>167</v>
      </c>
      <c r="C51" s="171"/>
      <c r="D51" s="172">
        <f t="shared" ref="D51:K51" si="14">SUM(D47:D50)*-1</f>
        <v>-962.79</v>
      </c>
      <c r="E51" s="172">
        <f t="shared" si="14"/>
        <v>-962.79</v>
      </c>
      <c r="F51" s="172">
        <f t="shared" si="14"/>
        <v>-962.79</v>
      </c>
      <c r="G51" s="442">
        <f t="shared" si="14"/>
        <v>-962.79</v>
      </c>
      <c r="H51" s="172">
        <f t="shared" si="14"/>
        <v>-724.25</v>
      </c>
      <c r="I51" s="172">
        <f t="shared" si="14"/>
        <v>-724.25</v>
      </c>
      <c r="J51" s="172">
        <f t="shared" si="14"/>
        <v>-724.25</v>
      </c>
      <c r="K51" s="172">
        <f t="shared" si="14"/>
        <v>-724.25</v>
      </c>
      <c r="M51" s="18" t="s">
        <v>394</v>
      </c>
      <c r="N51" s="393">
        <f>K56-Q43</f>
        <v>560.97</v>
      </c>
    </row>
    <row r="52">
      <c r="B52" s="83"/>
      <c r="C52" s="159"/>
      <c r="D52" s="96"/>
      <c r="E52" s="96"/>
      <c r="F52" s="96"/>
      <c r="G52" s="96"/>
      <c r="H52" s="96"/>
      <c r="I52" s="96"/>
      <c r="J52" s="96"/>
      <c r="K52" s="96"/>
      <c r="L52" s="107"/>
      <c r="M52" s="107"/>
      <c r="Q52" s="393">
        <v>-655.22</v>
      </c>
    </row>
    <row r="53">
      <c r="B53" s="173" t="s">
        <v>168</v>
      </c>
      <c r="C53" s="174"/>
      <c r="D53" s="175">
        <f t="shared" ref="D53:K53" si="15">D44+D51</f>
        <v>1127.46</v>
      </c>
      <c r="E53" s="175">
        <f t="shared" si="15"/>
        <v>1421.49</v>
      </c>
      <c r="F53" s="175">
        <f t="shared" si="15"/>
        <v>1424.72</v>
      </c>
      <c r="G53" s="443">
        <f t="shared" si="15"/>
        <v>2364.34</v>
      </c>
      <c r="H53" s="175">
        <f t="shared" si="15"/>
        <v>1531.02</v>
      </c>
      <c r="I53" s="175">
        <f t="shared" si="15"/>
        <v>1603.42</v>
      </c>
      <c r="J53" s="175">
        <f t="shared" si="15"/>
        <v>2047.43</v>
      </c>
      <c r="K53" s="175">
        <f t="shared" si="15"/>
        <v>760.97</v>
      </c>
      <c r="L53" s="107"/>
      <c r="M53" s="107"/>
      <c r="N53" s="107"/>
      <c r="Q53" s="404">
        <v>-572.22</v>
      </c>
    </row>
    <row r="54">
      <c r="B54" s="83"/>
      <c r="C54" s="159"/>
      <c r="D54" s="96"/>
      <c r="E54" s="96"/>
      <c r="F54" s="96"/>
      <c r="G54" s="96"/>
      <c r="H54" s="96"/>
      <c r="I54" s="96"/>
      <c r="J54" s="96"/>
      <c r="K54" s="96"/>
      <c r="L54" s="107"/>
      <c r="M54" s="107"/>
      <c r="N54" s="18"/>
    </row>
    <row r="55">
      <c r="B55" s="100" t="s">
        <v>169</v>
      </c>
      <c r="C55" s="176"/>
      <c r="D55" s="177" t="s">
        <v>123</v>
      </c>
      <c r="E55" s="177" t="s">
        <v>124</v>
      </c>
      <c r="F55" s="177" t="s">
        <v>125</v>
      </c>
      <c r="G55" s="444" t="s">
        <v>126</v>
      </c>
      <c r="H55" s="177" t="s">
        <v>127</v>
      </c>
      <c r="I55" s="177" t="s">
        <v>128</v>
      </c>
      <c r="J55" s="177" t="s">
        <v>129</v>
      </c>
      <c r="K55" s="177" t="s">
        <v>130</v>
      </c>
      <c r="L55" s="107"/>
      <c r="M55" s="107"/>
      <c r="N55" s="18"/>
    </row>
    <row r="56">
      <c r="B56" s="152" t="s">
        <v>171</v>
      </c>
      <c r="C56" s="153"/>
      <c r="D56" s="178">
        <f t="shared" ref="D56:K56" si="16">+D53</f>
        <v>1127.46</v>
      </c>
      <c r="E56" s="178">
        <f t="shared" si="16"/>
        <v>1421.49</v>
      </c>
      <c r="F56" s="178">
        <f t="shared" si="16"/>
        <v>1424.72</v>
      </c>
      <c r="G56" s="445">
        <f t="shared" si="16"/>
        <v>2364.34</v>
      </c>
      <c r="H56" s="178">
        <f t="shared" si="16"/>
        <v>1531.02</v>
      </c>
      <c r="I56" s="178">
        <f t="shared" si="16"/>
        <v>1603.42</v>
      </c>
      <c r="J56" s="178">
        <f t="shared" si="16"/>
        <v>2047.43</v>
      </c>
      <c r="K56" s="178">
        <f t="shared" si="16"/>
        <v>760.97</v>
      </c>
      <c r="L56" s="27"/>
      <c r="M56" s="27"/>
    </row>
    <row r="57">
      <c r="D57" s="362"/>
      <c r="E57" s="362"/>
      <c r="F57" s="27"/>
      <c r="G57" s="27"/>
      <c r="H57" s="27"/>
      <c r="J57" s="27"/>
      <c r="L57" s="27"/>
      <c r="M57" s="27"/>
    </row>
    <row r="58">
      <c r="F58" s="27"/>
      <c r="G58" s="27"/>
      <c r="H58" s="27"/>
      <c r="J58" s="27"/>
      <c r="L58" s="27"/>
      <c r="M58" s="27"/>
    </row>
    <row r="59">
      <c r="F59" s="27"/>
      <c r="G59" s="27"/>
      <c r="H59" s="27"/>
      <c r="J59" s="27"/>
      <c r="L59" s="27"/>
      <c r="M59" s="27"/>
    </row>
    <row r="60">
      <c r="F60" s="27"/>
      <c r="G60" s="27"/>
      <c r="H60" s="27"/>
      <c r="J60" s="27"/>
      <c r="L60" s="27"/>
      <c r="M60" s="27"/>
    </row>
    <row r="61">
      <c r="F61" s="27"/>
      <c r="G61" s="27"/>
      <c r="H61" s="27"/>
      <c r="J61" s="27"/>
      <c r="L61" s="27"/>
      <c r="M61" s="27"/>
    </row>
    <row r="62">
      <c r="F62" s="27"/>
      <c r="G62" s="27"/>
      <c r="H62" s="27"/>
      <c r="J62" s="27"/>
      <c r="L62" s="27"/>
      <c r="M62" s="27"/>
    </row>
    <row r="63">
      <c r="F63" s="27"/>
      <c r="G63" s="27"/>
      <c r="H63" s="27"/>
      <c r="J63" s="27"/>
      <c r="L63" s="27"/>
      <c r="M63" s="27"/>
    </row>
    <row r="64">
      <c r="F64" s="27"/>
      <c r="G64" s="27"/>
      <c r="H64" s="27"/>
      <c r="J64" s="27"/>
      <c r="L64" s="27"/>
      <c r="M64" s="27"/>
    </row>
    <row r="65">
      <c r="F65" s="27"/>
      <c r="G65" s="27"/>
      <c r="H65" s="27"/>
      <c r="J65" s="27"/>
      <c r="L65" s="27"/>
      <c r="M65" s="27"/>
    </row>
    <row r="66">
      <c r="F66" s="27"/>
      <c r="G66" s="27"/>
      <c r="H66" s="27"/>
      <c r="J66" s="27"/>
      <c r="L66" s="27"/>
      <c r="M66" s="27"/>
    </row>
    <row r="67">
      <c r="F67" s="27"/>
      <c r="G67" s="27"/>
      <c r="H67" s="27"/>
      <c r="J67" s="27"/>
      <c r="L67" s="27"/>
      <c r="M67" s="27"/>
    </row>
    <row r="68">
      <c r="F68" s="27"/>
      <c r="G68" s="27"/>
      <c r="H68" s="27"/>
      <c r="J68" s="27"/>
      <c r="L68" s="27"/>
      <c r="M68" s="27"/>
    </row>
    <row r="69">
      <c r="F69" s="27"/>
      <c r="G69" s="27"/>
      <c r="H69" s="27"/>
      <c r="J69" s="27"/>
      <c r="L69" s="27"/>
      <c r="M69" s="27"/>
    </row>
    <row r="70">
      <c r="F70" s="27"/>
      <c r="G70" s="27"/>
      <c r="H70" s="27"/>
      <c r="J70" s="27"/>
      <c r="L70" s="27"/>
      <c r="M70" s="27"/>
    </row>
    <row r="71">
      <c r="F71" s="27"/>
      <c r="G71" s="27"/>
      <c r="H71" s="27"/>
      <c r="J71" s="27"/>
      <c r="L71" s="27"/>
      <c r="M71" s="27"/>
    </row>
    <row r="72">
      <c r="F72" s="27"/>
      <c r="G72" s="27"/>
      <c r="H72" s="27"/>
      <c r="J72" s="27"/>
      <c r="L72" s="27"/>
      <c r="M72" s="27"/>
    </row>
    <row r="73">
      <c r="F73" s="27"/>
      <c r="G73" s="27"/>
      <c r="H73" s="27"/>
      <c r="J73" s="27"/>
      <c r="L73" s="27"/>
      <c r="M73" s="27"/>
    </row>
    <row r="74">
      <c r="F74" s="27"/>
      <c r="G74" s="27"/>
      <c r="H74" s="27"/>
      <c r="J74" s="27"/>
      <c r="L74" s="27"/>
      <c r="M74" s="27"/>
    </row>
    <row r="75">
      <c r="F75" s="27"/>
      <c r="G75" s="27"/>
      <c r="H75" s="27"/>
      <c r="J75" s="27"/>
      <c r="L75" s="27"/>
      <c r="M75" s="27"/>
    </row>
    <row r="76">
      <c r="F76" s="27"/>
      <c r="G76" s="27"/>
      <c r="H76" s="27"/>
      <c r="J76" s="27"/>
      <c r="L76" s="27"/>
      <c r="M76" s="27"/>
    </row>
    <row r="77">
      <c r="F77" s="27"/>
      <c r="G77" s="27"/>
      <c r="H77" s="27"/>
      <c r="J77" s="27"/>
      <c r="L77" s="27"/>
      <c r="M77" s="27"/>
    </row>
    <row r="78">
      <c r="F78" s="27"/>
      <c r="G78" s="27"/>
      <c r="H78" s="27"/>
      <c r="J78" s="27"/>
      <c r="L78" s="27"/>
      <c r="M78" s="27"/>
    </row>
    <row r="79">
      <c r="F79" s="27"/>
      <c r="G79" s="27"/>
      <c r="H79" s="27"/>
      <c r="J79" s="27"/>
      <c r="L79" s="27"/>
      <c r="M79" s="27"/>
    </row>
    <row r="80">
      <c r="F80" s="27"/>
      <c r="G80" s="27"/>
      <c r="H80" s="27"/>
      <c r="J80" s="27"/>
      <c r="L80" s="27"/>
      <c r="M80" s="27"/>
    </row>
    <row r="81">
      <c r="F81" s="27"/>
      <c r="G81" s="27"/>
      <c r="H81" s="27"/>
      <c r="J81" s="27"/>
      <c r="L81" s="27"/>
      <c r="M81" s="27"/>
    </row>
    <row r="82">
      <c r="F82" s="27"/>
      <c r="G82" s="27"/>
      <c r="H82" s="27"/>
      <c r="J82" s="27"/>
      <c r="L82" s="27"/>
      <c r="M82" s="27"/>
    </row>
    <row r="83">
      <c r="F83" s="27"/>
      <c r="G83" s="27"/>
      <c r="H83" s="27"/>
      <c r="J83" s="27"/>
      <c r="L83" s="27"/>
      <c r="M83" s="27"/>
    </row>
    <row r="84">
      <c r="F84" s="27"/>
      <c r="G84" s="27"/>
      <c r="H84" s="27"/>
      <c r="J84" s="27"/>
      <c r="L84" s="27"/>
      <c r="M84" s="27"/>
    </row>
    <row r="85">
      <c r="F85" s="27"/>
      <c r="G85" s="27"/>
      <c r="H85" s="27"/>
      <c r="J85" s="27"/>
      <c r="L85" s="27"/>
      <c r="M85" s="27"/>
    </row>
    <row r="86">
      <c r="F86" s="27"/>
      <c r="G86" s="27"/>
      <c r="H86" s="27"/>
      <c r="J86" s="27"/>
      <c r="L86" s="27"/>
      <c r="M86" s="27"/>
    </row>
    <row r="87">
      <c r="F87" s="27"/>
      <c r="G87" s="27"/>
      <c r="H87" s="27"/>
      <c r="J87" s="27"/>
      <c r="L87" s="27"/>
      <c r="M87" s="27"/>
    </row>
    <row r="88">
      <c r="F88" s="27"/>
      <c r="G88" s="27"/>
      <c r="H88" s="27"/>
      <c r="J88" s="27"/>
      <c r="L88" s="27"/>
      <c r="M88" s="27"/>
    </row>
    <row r="89">
      <c r="F89" s="27"/>
      <c r="G89" s="27"/>
      <c r="H89" s="27"/>
      <c r="J89" s="27"/>
      <c r="L89" s="27"/>
      <c r="M89" s="27"/>
    </row>
    <row r="90">
      <c r="F90" s="27"/>
      <c r="G90" s="27"/>
      <c r="H90" s="27"/>
      <c r="J90" s="27"/>
      <c r="L90" s="27"/>
      <c r="M90" s="27"/>
    </row>
    <row r="91">
      <c r="F91" s="27"/>
      <c r="G91" s="27"/>
      <c r="H91" s="27"/>
      <c r="J91" s="27"/>
      <c r="L91" s="27"/>
      <c r="M91" s="27"/>
    </row>
    <row r="92">
      <c r="F92" s="27"/>
      <c r="G92" s="27"/>
      <c r="H92" s="27"/>
      <c r="J92" s="27"/>
      <c r="L92" s="27"/>
      <c r="M92" s="27"/>
    </row>
    <row r="93">
      <c r="F93" s="27"/>
      <c r="G93" s="27"/>
      <c r="H93" s="27"/>
      <c r="J93" s="27"/>
      <c r="L93" s="27"/>
      <c r="M93" s="27"/>
    </row>
    <row r="94">
      <c r="F94" s="27"/>
      <c r="G94" s="27"/>
      <c r="H94" s="27"/>
      <c r="J94" s="27"/>
      <c r="L94" s="27"/>
      <c r="M94" s="27"/>
    </row>
    <row r="95">
      <c r="F95" s="27"/>
      <c r="G95" s="27"/>
      <c r="H95" s="27"/>
      <c r="J95" s="27"/>
      <c r="L95" s="27"/>
      <c r="M95" s="27"/>
    </row>
    <row r="96">
      <c r="F96" s="27"/>
      <c r="G96" s="27"/>
      <c r="H96" s="27"/>
      <c r="J96" s="27"/>
      <c r="L96" s="27"/>
      <c r="M96" s="27"/>
    </row>
    <row r="97">
      <c r="F97" s="27"/>
      <c r="G97" s="27"/>
      <c r="H97" s="27"/>
      <c r="J97" s="27"/>
      <c r="L97" s="27"/>
      <c r="M97" s="27"/>
    </row>
    <row r="98">
      <c r="F98" s="27"/>
      <c r="G98" s="27"/>
      <c r="H98" s="27"/>
      <c r="J98" s="27"/>
      <c r="L98" s="27"/>
      <c r="M98" s="27"/>
    </row>
    <row r="99">
      <c r="F99" s="27"/>
      <c r="G99" s="27"/>
      <c r="H99" s="27"/>
      <c r="J99" s="27"/>
      <c r="L99" s="27"/>
      <c r="M99" s="27"/>
    </row>
    <row r="100">
      <c r="F100" s="27"/>
      <c r="G100" s="27"/>
      <c r="H100" s="27"/>
      <c r="J100" s="27"/>
      <c r="L100" s="27"/>
      <c r="M100" s="27"/>
    </row>
    <row r="101">
      <c r="F101" s="27"/>
      <c r="G101" s="27"/>
      <c r="H101" s="27"/>
      <c r="J101" s="27"/>
      <c r="L101" s="27"/>
      <c r="M101" s="27"/>
    </row>
    <row r="102">
      <c r="F102" s="27"/>
      <c r="G102" s="27"/>
      <c r="H102" s="27"/>
      <c r="J102" s="27"/>
      <c r="L102" s="27"/>
      <c r="M102" s="27"/>
    </row>
    <row r="103">
      <c r="F103" s="27"/>
      <c r="G103" s="27"/>
      <c r="H103" s="27"/>
      <c r="J103" s="27"/>
      <c r="L103" s="27"/>
      <c r="M103" s="27"/>
    </row>
    <row r="104">
      <c r="F104" s="27"/>
      <c r="G104" s="27"/>
      <c r="H104" s="27"/>
      <c r="J104" s="27"/>
      <c r="L104" s="27"/>
      <c r="M104" s="27"/>
    </row>
    <row r="105">
      <c r="F105" s="27"/>
      <c r="G105" s="27"/>
      <c r="H105" s="27"/>
      <c r="J105" s="27"/>
      <c r="L105" s="27"/>
      <c r="M105" s="27"/>
    </row>
    <row r="106">
      <c r="F106" s="27"/>
      <c r="G106" s="27"/>
      <c r="H106" s="27"/>
      <c r="J106" s="27"/>
      <c r="L106" s="27"/>
      <c r="M106" s="27"/>
    </row>
    <row r="107">
      <c r="F107" s="27"/>
      <c r="G107" s="27"/>
      <c r="H107" s="27"/>
      <c r="J107" s="27"/>
      <c r="L107" s="27"/>
      <c r="M107" s="27"/>
    </row>
    <row r="108">
      <c r="F108" s="27"/>
      <c r="G108" s="27"/>
      <c r="H108" s="27"/>
      <c r="J108" s="27"/>
      <c r="L108" s="27"/>
      <c r="M108" s="27"/>
    </row>
    <row r="109">
      <c r="F109" s="27"/>
      <c r="G109" s="27"/>
      <c r="H109" s="27"/>
      <c r="J109" s="27"/>
      <c r="L109" s="27"/>
      <c r="M109" s="27"/>
    </row>
    <row r="110">
      <c r="F110" s="27"/>
      <c r="G110" s="27"/>
      <c r="H110" s="27"/>
      <c r="J110" s="27"/>
      <c r="L110" s="27"/>
      <c r="M110" s="27"/>
    </row>
    <row r="111">
      <c r="F111" s="27"/>
      <c r="G111" s="27"/>
      <c r="H111" s="27"/>
      <c r="J111" s="27"/>
      <c r="L111" s="27"/>
      <c r="M111" s="27"/>
    </row>
    <row r="112">
      <c r="F112" s="27"/>
      <c r="G112" s="27"/>
      <c r="H112" s="27"/>
      <c r="J112" s="27"/>
      <c r="L112" s="27"/>
      <c r="M112" s="27"/>
    </row>
    <row r="113">
      <c r="F113" s="27"/>
      <c r="G113" s="27"/>
      <c r="H113" s="27"/>
      <c r="J113" s="27"/>
      <c r="L113" s="27"/>
      <c r="M113" s="27"/>
    </row>
    <row r="114">
      <c r="F114" s="27"/>
      <c r="G114" s="27"/>
      <c r="H114" s="27"/>
      <c r="J114" s="27"/>
      <c r="L114" s="27"/>
      <c r="M114" s="27"/>
    </row>
    <row r="115">
      <c r="F115" s="27"/>
      <c r="G115" s="27"/>
      <c r="H115" s="27"/>
      <c r="J115" s="27"/>
      <c r="L115" s="27"/>
      <c r="M115" s="27"/>
    </row>
    <row r="116">
      <c r="F116" s="27"/>
      <c r="G116" s="27"/>
      <c r="H116" s="27"/>
      <c r="J116" s="27"/>
      <c r="L116" s="27"/>
      <c r="M116" s="27"/>
    </row>
    <row r="117">
      <c r="F117" s="27"/>
      <c r="G117" s="27"/>
      <c r="H117" s="27"/>
      <c r="J117" s="27"/>
      <c r="L117" s="27"/>
      <c r="M117" s="27"/>
    </row>
    <row r="118">
      <c r="F118" s="27"/>
      <c r="G118" s="27"/>
      <c r="H118" s="27"/>
      <c r="J118" s="27"/>
      <c r="L118" s="27"/>
      <c r="M118" s="27"/>
    </row>
    <row r="119">
      <c r="F119" s="27"/>
      <c r="G119" s="27"/>
      <c r="H119" s="27"/>
      <c r="J119" s="27"/>
      <c r="L119" s="27"/>
      <c r="M119" s="27"/>
    </row>
    <row r="120">
      <c r="F120" s="27"/>
      <c r="G120" s="27"/>
      <c r="H120" s="27"/>
      <c r="J120" s="27"/>
      <c r="L120" s="27"/>
      <c r="M120" s="27"/>
    </row>
    <row r="121">
      <c r="F121" s="27"/>
      <c r="G121" s="27"/>
      <c r="H121" s="27"/>
      <c r="J121" s="27"/>
      <c r="L121" s="27"/>
      <c r="M121" s="27"/>
    </row>
    <row r="122">
      <c r="F122" s="27"/>
      <c r="G122" s="27"/>
      <c r="H122" s="27"/>
      <c r="J122" s="27"/>
      <c r="L122" s="27"/>
      <c r="M122" s="27"/>
    </row>
    <row r="123">
      <c r="F123" s="27"/>
      <c r="G123" s="27"/>
      <c r="H123" s="27"/>
      <c r="J123" s="27"/>
      <c r="L123" s="27"/>
      <c r="M123" s="27"/>
    </row>
    <row r="124">
      <c r="F124" s="27"/>
      <c r="G124" s="27"/>
      <c r="H124" s="27"/>
      <c r="J124" s="27"/>
      <c r="L124" s="27"/>
      <c r="M124" s="27"/>
    </row>
    <row r="125">
      <c r="F125" s="27"/>
      <c r="G125" s="27"/>
      <c r="H125" s="27"/>
      <c r="J125" s="27"/>
      <c r="L125" s="27"/>
      <c r="M125" s="27"/>
    </row>
    <row r="126">
      <c r="F126" s="27"/>
      <c r="G126" s="27"/>
      <c r="H126" s="27"/>
      <c r="J126" s="27"/>
      <c r="L126" s="27"/>
      <c r="M126" s="27"/>
    </row>
    <row r="127">
      <c r="F127" s="27"/>
      <c r="G127" s="27"/>
      <c r="H127" s="27"/>
      <c r="J127" s="27"/>
      <c r="L127" s="27"/>
      <c r="M127" s="27"/>
    </row>
    <row r="128">
      <c r="F128" s="27"/>
      <c r="G128" s="27"/>
      <c r="H128" s="27"/>
      <c r="J128" s="27"/>
      <c r="L128" s="27"/>
      <c r="M128" s="27"/>
    </row>
    <row r="129">
      <c r="F129" s="27"/>
      <c r="G129" s="27"/>
      <c r="H129" s="27"/>
      <c r="J129" s="27"/>
      <c r="L129" s="27"/>
      <c r="M129" s="27"/>
    </row>
    <row r="130">
      <c r="F130" s="27"/>
      <c r="G130" s="27"/>
      <c r="H130" s="27"/>
      <c r="J130" s="27"/>
      <c r="L130" s="27"/>
      <c r="M130" s="27"/>
    </row>
    <row r="131">
      <c r="F131" s="27"/>
      <c r="G131" s="27"/>
      <c r="H131" s="27"/>
      <c r="J131" s="27"/>
      <c r="L131" s="27"/>
      <c r="M131" s="27"/>
    </row>
    <row r="132">
      <c r="F132" s="27"/>
      <c r="G132" s="27"/>
      <c r="H132" s="27"/>
      <c r="J132" s="27"/>
      <c r="L132" s="27"/>
      <c r="M132" s="27"/>
    </row>
    <row r="133">
      <c r="F133" s="27"/>
      <c r="G133" s="27"/>
      <c r="H133" s="27"/>
      <c r="J133" s="27"/>
      <c r="L133" s="27"/>
      <c r="M133" s="27"/>
    </row>
    <row r="134">
      <c r="F134" s="27"/>
      <c r="G134" s="27"/>
      <c r="H134" s="27"/>
      <c r="J134" s="27"/>
      <c r="L134" s="27"/>
      <c r="M134" s="27"/>
    </row>
    <row r="135">
      <c r="F135" s="27"/>
      <c r="G135" s="27"/>
      <c r="H135" s="27"/>
      <c r="J135" s="27"/>
      <c r="L135" s="27"/>
      <c r="M135" s="27"/>
    </row>
    <row r="136">
      <c r="F136" s="27"/>
      <c r="G136" s="27"/>
      <c r="H136" s="27"/>
      <c r="J136" s="27"/>
      <c r="L136" s="27"/>
      <c r="M136" s="27"/>
    </row>
    <row r="137">
      <c r="F137" s="27"/>
      <c r="G137" s="27"/>
      <c r="H137" s="27"/>
      <c r="J137" s="27"/>
      <c r="L137" s="27"/>
      <c r="M137" s="27"/>
    </row>
    <row r="138">
      <c r="F138" s="27"/>
      <c r="G138" s="27"/>
      <c r="H138" s="27"/>
      <c r="J138" s="27"/>
      <c r="L138" s="27"/>
      <c r="M138" s="27"/>
    </row>
    <row r="139">
      <c r="F139" s="27"/>
      <c r="G139" s="27"/>
      <c r="H139" s="27"/>
      <c r="J139" s="27"/>
      <c r="L139" s="27"/>
      <c r="M139" s="27"/>
    </row>
    <row r="140">
      <c r="F140" s="27"/>
      <c r="G140" s="27"/>
      <c r="H140" s="27"/>
      <c r="J140" s="27"/>
      <c r="L140" s="27"/>
      <c r="M140" s="27"/>
    </row>
    <row r="141">
      <c r="F141" s="27"/>
      <c r="G141" s="27"/>
      <c r="H141" s="27"/>
      <c r="J141" s="27"/>
      <c r="L141" s="27"/>
      <c r="M141" s="27"/>
    </row>
    <row r="142">
      <c r="F142" s="27"/>
      <c r="G142" s="27"/>
      <c r="H142" s="27"/>
      <c r="J142" s="27"/>
      <c r="L142" s="27"/>
      <c r="M142" s="27"/>
    </row>
    <row r="143">
      <c r="F143" s="27"/>
      <c r="G143" s="27"/>
      <c r="H143" s="27"/>
      <c r="J143" s="27"/>
      <c r="L143" s="27"/>
      <c r="M143" s="27"/>
    </row>
    <row r="144">
      <c r="F144" s="27"/>
      <c r="G144" s="27"/>
      <c r="H144" s="27"/>
      <c r="J144" s="27"/>
      <c r="L144" s="27"/>
      <c r="M144" s="27"/>
    </row>
    <row r="145">
      <c r="F145" s="27"/>
      <c r="G145" s="27"/>
      <c r="H145" s="27"/>
      <c r="J145" s="27"/>
      <c r="L145" s="27"/>
      <c r="M145" s="27"/>
    </row>
    <row r="146">
      <c r="F146" s="27"/>
      <c r="G146" s="27"/>
      <c r="H146" s="27"/>
      <c r="J146" s="27"/>
      <c r="L146" s="27"/>
      <c r="M146" s="27"/>
    </row>
    <row r="147">
      <c r="F147" s="27"/>
      <c r="G147" s="27"/>
      <c r="H147" s="27"/>
      <c r="J147" s="27"/>
      <c r="L147" s="27"/>
      <c r="M147" s="27"/>
    </row>
    <row r="148">
      <c r="F148" s="27"/>
      <c r="G148" s="27"/>
      <c r="H148" s="27"/>
      <c r="J148" s="27"/>
      <c r="L148" s="27"/>
      <c r="M148" s="27"/>
    </row>
    <row r="149">
      <c r="F149" s="27"/>
      <c r="G149" s="27"/>
      <c r="H149" s="27"/>
      <c r="J149" s="27"/>
      <c r="L149" s="27"/>
      <c r="M149" s="27"/>
    </row>
    <row r="150">
      <c r="F150" s="27"/>
      <c r="G150" s="27"/>
      <c r="H150" s="27"/>
      <c r="J150" s="27"/>
      <c r="L150" s="27"/>
      <c r="M150" s="27"/>
    </row>
    <row r="151">
      <c r="F151" s="27"/>
      <c r="G151" s="27"/>
      <c r="H151" s="27"/>
      <c r="J151" s="27"/>
      <c r="L151" s="27"/>
      <c r="M151" s="27"/>
    </row>
    <row r="152">
      <c r="F152" s="27"/>
      <c r="G152" s="27"/>
      <c r="H152" s="27"/>
      <c r="J152" s="27"/>
      <c r="L152" s="27"/>
      <c r="M152" s="27"/>
    </row>
    <row r="153">
      <c r="F153" s="27"/>
      <c r="G153" s="27"/>
      <c r="H153" s="27"/>
      <c r="J153" s="27"/>
      <c r="L153" s="27"/>
      <c r="M153" s="27"/>
    </row>
    <row r="154">
      <c r="F154" s="27"/>
      <c r="G154" s="27"/>
      <c r="H154" s="27"/>
      <c r="J154" s="27"/>
      <c r="L154" s="27"/>
      <c r="M154" s="27"/>
    </row>
    <row r="155">
      <c r="F155" s="27"/>
      <c r="G155" s="27"/>
      <c r="H155" s="27"/>
      <c r="J155" s="27"/>
      <c r="L155" s="27"/>
      <c r="M155" s="27"/>
    </row>
    <row r="156">
      <c r="F156" s="27"/>
      <c r="G156" s="27"/>
      <c r="H156" s="27"/>
      <c r="J156" s="27"/>
      <c r="L156" s="27"/>
      <c r="M156" s="27"/>
    </row>
    <row r="157">
      <c r="F157" s="27"/>
      <c r="G157" s="27"/>
      <c r="H157" s="27"/>
      <c r="J157" s="27"/>
      <c r="L157" s="27"/>
      <c r="M157" s="27"/>
    </row>
    <row r="158">
      <c r="F158" s="27"/>
      <c r="G158" s="27"/>
      <c r="H158" s="27"/>
      <c r="J158" s="27"/>
      <c r="L158" s="27"/>
      <c r="M158" s="27"/>
    </row>
    <row r="159">
      <c r="F159" s="27"/>
      <c r="G159" s="27"/>
      <c r="H159" s="27"/>
      <c r="J159" s="27"/>
      <c r="L159" s="27"/>
      <c r="M159" s="27"/>
    </row>
    <row r="160">
      <c r="F160" s="27"/>
      <c r="G160" s="27"/>
      <c r="H160" s="27"/>
      <c r="J160" s="27"/>
      <c r="L160" s="27"/>
      <c r="M160" s="27"/>
    </row>
    <row r="161">
      <c r="F161" s="27"/>
      <c r="G161" s="27"/>
      <c r="H161" s="27"/>
      <c r="J161" s="27"/>
      <c r="L161" s="27"/>
      <c r="M161" s="27"/>
    </row>
    <row r="162">
      <c r="F162" s="27"/>
      <c r="G162" s="27"/>
      <c r="H162" s="27"/>
      <c r="J162" s="27"/>
      <c r="L162" s="27"/>
      <c r="M162" s="27"/>
    </row>
    <row r="163">
      <c r="F163" s="27"/>
      <c r="G163" s="27"/>
      <c r="H163" s="27"/>
      <c r="J163" s="27"/>
      <c r="L163" s="27"/>
      <c r="M163" s="27"/>
    </row>
    <row r="164">
      <c r="F164" s="27"/>
      <c r="G164" s="27"/>
      <c r="H164" s="27"/>
      <c r="J164" s="27"/>
      <c r="L164" s="27"/>
      <c r="M164" s="27"/>
    </row>
    <row r="165">
      <c r="F165" s="27"/>
      <c r="G165" s="27"/>
      <c r="H165" s="27"/>
      <c r="J165" s="27"/>
      <c r="L165" s="27"/>
      <c r="M165" s="27"/>
    </row>
    <row r="166">
      <c r="F166" s="27"/>
      <c r="G166" s="27"/>
      <c r="H166" s="27"/>
      <c r="J166" s="27"/>
      <c r="L166" s="27"/>
      <c r="M166" s="27"/>
    </row>
    <row r="167">
      <c r="F167" s="27"/>
      <c r="G167" s="27"/>
      <c r="H167" s="27"/>
      <c r="J167" s="27"/>
      <c r="L167" s="27"/>
      <c r="M167" s="27"/>
    </row>
    <row r="168">
      <c r="F168" s="27"/>
      <c r="G168" s="27"/>
      <c r="H168" s="27"/>
      <c r="J168" s="27"/>
      <c r="L168" s="27"/>
      <c r="M168" s="27"/>
    </row>
    <row r="169">
      <c r="F169" s="27"/>
      <c r="G169" s="27"/>
      <c r="H169" s="27"/>
      <c r="J169" s="27"/>
      <c r="L169" s="27"/>
      <c r="M169" s="27"/>
    </row>
    <row r="170">
      <c r="F170" s="27"/>
      <c r="G170" s="27"/>
      <c r="H170" s="27"/>
      <c r="J170" s="27"/>
      <c r="L170" s="27"/>
      <c r="M170" s="27"/>
    </row>
    <row r="171">
      <c r="F171" s="27"/>
      <c r="G171" s="27"/>
      <c r="H171" s="27"/>
      <c r="J171" s="27"/>
      <c r="L171" s="27"/>
      <c r="M171" s="27"/>
    </row>
    <row r="172">
      <c r="F172" s="27"/>
      <c r="G172" s="27"/>
      <c r="H172" s="27"/>
      <c r="J172" s="27"/>
      <c r="L172" s="27"/>
      <c r="M172" s="27"/>
    </row>
    <row r="173">
      <c r="F173" s="27"/>
      <c r="G173" s="27"/>
      <c r="H173" s="27"/>
      <c r="J173" s="27"/>
      <c r="L173" s="27"/>
      <c r="M173" s="27"/>
    </row>
    <row r="174">
      <c r="F174" s="27"/>
      <c r="G174" s="27"/>
      <c r="H174" s="27"/>
      <c r="J174" s="27"/>
      <c r="L174" s="27"/>
      <c r="M174" s="27"/>
    </row>
    <row r="175">
      <c r="F175" s="27"/>
      <c r="G175" s="27"/>
      <c r="H175" s="27"/>
      <c r="J175" s="27"/>
      <c r="L175" s="27"/>
      <c r="M175" s="27"/>
    </row>
    <row r="176">
      <c r="F176" s="27"/>
      <c r="G176" s="27"/>
      <c r="H176" s="27"/>
      <c r="J176" s="27"/>
      <c r="L176" s="27"/>
      <c r="M176" s="27"/>
    </row>
    <row r="177">
      <c r="F177" s="27"/>
      <c r="G177" s="27"/>
      <c r="H177" s="27"/>
      <c r="J177" s="27"/>
      <c r="L177" s="27"/>
      <c r="M177" s="27"/>
    </row>
    <row r="178">
      <c r="F178" s="27"/>
      <c r="G178" s="27"/>
      <c r="H178" s="27"/>
      <c r="J178" s="27"/>
      <c r="L178" s="27"/>
      <c r="M178" s="27"/>
    </row>
    <row r="179">
      <c r="F179" s="27"/>
      <c r="G179" s="27"/>
      <c r="H179" s="27"/>
      <c r="J179" s="27"/>
      <c r="L179" s="27"/>
      <c r="M179" s="27"/>
    </row>
    <row r="180">
      <c r="F180" s="27"/>
      <c r="G180" s="27"/>
      <c r="H180" s="27"/>
      <c r="J180" s="27"/>
      <c r="L180" s="27"/>
      <c r="M180" s="27"/>
    </row>
    <row r="181">
      <c r="F181" s="27"/>
      <c r="G181" s="27"/>
      <c r="H181" s="27"/>
      <c r="J181" s="27"/>
      <c r="L181" s="27"/>
      <c r="M181" s="27"/>
    </row>
    <row r="182">
      <c r="F182" s="27"/>
      <c r="G182" s="27"/>
      <c r="H182" s="27"/>
      <c r="J182" s="27"/>
      <c r="L182" s="27"/>
      <c r="M182" s="27"/>
    </row>
    <row r="183">
      <c r="F183" s="27"/>
      <c r="G183" s="27"/>
      <c r="H183" s="27"/>
      <c r="J183" s="27"/>
      <c r="L183" s="27"/>
      <c r="M183" s="27"/>
    </row>
    <row r="184">
      <c r="F184" s="27"/>
      <c r="G184" s="27"/>
      <c r="H184" s="27"/>
      <c r="J184" s="27"/>
      <c r="L184" s="27"/>
      <c r="M184" s="27"/>
    </row>
    <row r="185">
      <c r="F185" s="27"/>
      <c r="G185" s="27"/>
      <c r="H185" s="27"/>
      <c r="J185" s="27"/>
      <c r="L185" s="27"/>
      <c r="M185" s="27"/>
    </row>
    <row r="186">
      <c r="F186" s="27"/>
      <c r="G186" s="27"/>
      <c r="H186" s="27"/>
      <c r="J186" s="27"/>
      <c r="L186" s="27"/>
      <c r="M186" s="27"/>
    </row>
    <row r="187">
      <c r="F187" s="27"/>
      <c r="G187" s="27"/>
      <c r="H187" s="27"/>
      <c r="J187" s="27"/>
      <c r="L187" s="27"/>
      <c r="M187" s="27"/>
    </row>
    <row r="188">
      <c r="F188" s="27"/>
      <c r="G188" s="27"/>
      <c r="H188" s="27"/>
      <c r="J188" s="27"/>
      <c r="L188" s="27"/>
      <c r="M188" s="27"/>
    </row>
    <row r="189">
      <c r="F189" s="27"/>
      <c r="G189" s="27"/>
      <c r="H189" s="27"/>
      <c r="J189" s="27"/>
      <c r="L189" s="27"/>
      <c r="M189" s="27"/>
    </row>
    <row r="190">
      <c r="F190" s="27"/>
      <c r="G190" s="27"/>
      <c r="H190" s="27"/>
      <c r="J190" s="27"/>
      <c r="L190" s="27"/>
      <c r="M190" s="27"/>
    </row>
    <row r="191">
      <c r="F191" s="27"/>
      <c r="G191" s="27"/>
      <c r="H191" s="27"/>
      <c r="J191" s="27"/>
      <c r="L191" s="27"/>
      <c r="M191" s="27"/>
    </row>
    <row r="192">
      <c r="F192" s="27"/>
      <c r="G192" s="27"/>
      <c r="H192" s="27"/>
      <c r="J192" s="27"/>
      <c r="L192" s="27"/>
      <c r="M192" s="27"/>
    </row>
    <row r="193">
      <c r="F193" s="27"/>
      <c r="G193" s="27"/>
      <c r="H193" s="27"/>
      <c r="J193" s="27"/>
      <c r="L193" s="27"/>
      <c r="M193" s="27"/>
    </row>
    <row r="194">
      <c r="F194" s="27"/>
      <c r="G194" s="27"/>
      <c r="H194" s="27"/>
      <c r="J194" s="27"/>
      <c r="L194" s="27"/>
      <c r="M194" s="27"/>
    </row>
    <row r="195">
      <c r="F195" s="27"/>
      <c r="G195" s="27"/>
      <c r="H195" s="27"/>
      <c r="J195" s="27"/>
      <c r="L195" s="27"/>
      <c r="M195" s="27"/>
    </row>
    <row r="196">
      <c r="F196" s="27"/>
      <c r="G196" s="27"/>
      <c r="H196" s="27"/>
      <c r="J196" s="27"/>
      <c r="L196" s="27"/>
      <c r="M196" s="27"/>
    </row>
    <row r="197">
      <c r="F197" s="27"/>
      <c r="G197" s="27"/>
      <c r="H197" s="27"/>
      <c r="J197" s="27"/>
      <c r="L197" s="27"/>
      <c r="M197" s="27"/>
    </row>
    <row r="198">
      <c r="F198" s="27"/>
      <c r="G198" s="27"/>
      <c r="H198" s="27"/>
      <c r="J198" s="27"/>
      <c r="L198" s="27"/>
      <c r="M198" s="27"/>
    </row>
    <row r="199">
      <c r="F199" s="27"/>
      <c r="G199" s="27"/>
      <c r="H199" s="27"/>
      <c r="J199" s="27"/>
      <c r="L199" s="27"/>
      <c r="M199" s="27"/>
    </row>
    <row r="200">
      <c r="F200" s="27"/>
      <c r="G200" s="27"/>
      <c r="H200" s="27"/>
      <c r="J200" s="27"/>
      <c r="L200" s="27"/>
      <c r="M200" s="27"/>
    </row>
    <row r="201">
      <c r="F201" s="27"/>
      <c r="G201" s="27"/>
      <c r="H201" s="27"/>
      <c r="J201" s="27"/>
      <c r="L201" s="27"/>
      <c r="M201" s="27"/>
    </row>
    <row r="202">
      <c r="F202" s="27"/>
      <c r="G202" s="27"/>
      <c r="H202" s="27"/>
      <c r="J202" s="27"/>
      <c r="L202" s="27"/>
      <c r="M202" s="27"/>
    </row>
    <row r="203">
      <c r="F203" s="27"/>
      <c r="G203" s="27"/>
      <c r="H203" s="27"/>
      <c r="J203" s="27"/>
      <c r="L203" s="27"/>
      <c r="M203" s="27"/>
    </row>
    <row r="204">
      <c r="F204" s="27"/>
      <c r="G204" s="27"/>
      <c r="H204" s="27"/>
      <c r="J204" s="27"/>
      <c r="L204" s="27"/>
      <c r="M204" s="27"/>
    </row>
    <row r="205">
      <c r="F205" s="27"/>
      <c r="G205" s="27"/>
      <c r="H205" s="27"/>
      <c r="J205" s="27"/>
      <c r="L205" s="27"/>
      <c r="M205" s="27"/>
    </row>
    <row r="206">
      <c r="F206" s="27"/>
      <c r="G206" s="27"/>
      <c r="H206" s="27"/>
      <c r="J206" s="27"/>
      <c r="L206" s="27"/>
      <c r="M206" s="27"/>
    </row>
    <row r="207">
      <c r="F207" s="27"/>
      <c r="G207" s="27"/>
      <c r="H207" s="27"/>
      <c r="J207" s="27"/>
      <c r="L207" s="27"/>
      <c r="M207" s="27"/>
    </row>
    <row r="208">
      <c r="F208" s="27"/>
      <c r="G208" s="27"/>
      <c r="H208" s="27"/>
      <c r="J208" s="27"/>
      <c r="L208" s="27"/>
      <c r="M208" s="27"/>
    </row>
    <row r="209">
      <c r="F209" s="27"/>
      <c r="G209" s="27"/>
      <c r="H209" s="27"/>
      <c r="J209" s="27"/>
      <c r="L209" s="27"/>
      <c r="M209" s="27"/>
    </row>
    <row r="210">
      <c r="F210" s="27"/>
      <c r="G210" s="27"/>
      <c r="H210" s="27"/>
      <c r="J210" s="27"/>
      <c r="L210" s="27"/>
      <c r="M210" s="27"/>
    </row>
    <row r="211">
      <c r="F211" s="27"/>
      <c r="G211" s="27"/>
      <c r="H211" s="27"/>
      <c r="J211" s="27"/>
      <c r="L211" s="27"/>
      <c r="M211" s="27"/>
    </row>
    <row r="212">
      <c r="F212" s="27"/>
      <c r="G212" s="27"/>
      <c r="H212" s="27"/>
      <c r="J212" s="27"/>
      <c r="L212" s="27"/>
      <c r="M212" s="27"/>
    </row>
    <row r="213">
      <c r="F213" s="27"/>
      <c r="G213" s="27"/>
      <c r="H213" s="27"/>
      <c r="J213" s="27"/>
      <c r="L213" s="27"/>
      <c r="M213" s="27"/>
    </row>
    <row r="214">
      <c r="F214" s="27"/>
      <c r="G214" s="27"/>
      <c r="H214" s="27"/>
      <c r="J214" s="27"/>
      <c r="L214" s="27"/>
      <c r="M214" s="27"/>
    </row>
    <row r="215">
      <c r="F215" s="27"/>
      <c r="G215" s="27"/>
      <c r="H215" s="27"/>
      <c r="J215" s="27"/>
      <c r="L215" s="27"/>
      <c r="M215" s="27"/>
    </row>
    <row r="216">
      <c r="F216" s="27"/>
      <c r="G216" s="27"/>
      <c r="H216" s="27"/>
      <c r="J216" s="27"/>
      <c r="L216" s="27"/>
      <c r="M216" s="27"/>
    </row>
    <row r="217">
      <c r="F217" s="27"/>
      <c r="G217" s="27"/>
      <c r="H217" s="27"/>
      <c r="J217" s="27"/>
      <c r="L217" s="27"/>
      <c r="M217" s="27"/>
    </row>
    <row r="218">
      <c r="F218" s="27"/>
      <c r="G218" s="27"/>
      <c r="H218" s="27"/>
      <c r="J218" s="27"/>
      <c r="L218" s="27"/>
      <c r="M218" s="27"/>
    </row>
    <row r="219">
      <c r="F219" s="27"/>
      <c r="G219" s="27"/>
      <c r="H219" s="27"/>
      <c r="J219" s="27"/>
      <c r="L219" s="27"/>
      <c r="M219" s="27"/>
    </row>
    <row r="220">
      <c r="F220" s="27"/>
      <c r="G220" s="27"/>
      <c r="H220" s="27"/>
      <c r="J220" s="27"/>
      <c r="L220" s="27"/>
      <c r="M220" s="27"/>
    </row>
    <row r="221">
      <c r="F221" s="27"/>
      <c r="G221" s="27"/>
      <c r="H221" s="27"/>
      <c r="J221" s="27"/>
      <c r="L221" s="27"/>
      <c r="M221" s="27"/>
    </row>
    <row r="222">
      <c r="F222" s="27"/>
      <c r="G222" s="27"/>
      <c r="H222" s="27"/>
      <c r="J222" s="27"/>
      <c r="L222" s="27"/>
      <c r="M222" s="27"/>
    </row>
    <row r="223">
      <c r="F223" s="27"/>
      <c r="G223" s="27"/>
      <c r="H223" s="27"/>
      <c r="J223" s="27"/>
      <c r="L223" s="27"/>
      <c r="M223" s="27"/>
    </row>
    <row r="224">
      <c r="F224" s="27"/>
      <c r="G224" s="27"/>
      <c r="H224" s="27"/>
      <c r="J224" s="27"/>
      <c r="L224" s="27"/>
      <c r="M224" s="27"/>
    </row>
    <row r="225">
      <c r="F225" s="27"/>
      <c r="G225" s="27"/>
      <c r="H225" s="27"/>
      <c r="J225" s="27"/>
      <c r="L225" s="27"/>
      <c r="M225" s="27"/>
    </row>
    <row r="226">
      <c r="F226" s="27"/>
      <c r="G226" s="27"/>
      <c r="H226" s="27"/>
      <c r="J226" s="27"/>
      <c r="L226" s="27"/>
      <c r="M226" s="27"/>
    </row>
    <row r="227">
      <c r="F227" s="27"/>
      <c r="G227" s="27"/>
      <c r="H227" s="27"/>
      <c r="J227" s="27"/>
      <c r="L227" s="27"/>
      <c r="M227" s="27"/>
    </row>
    <row r="228">
      <c r="F228" s="27"/>
      <c r="G228" s="27"/>
      <c r="H228" s="27"/>
      <c r="J228" s="27"/>
      <c r="L228" s="27"/>
      <c r="M228" s="27"/>
    </row>
    <row r="229">
      <c r="F229" s="27"/>
      <c r="G229" s="27"/>
      <c r="H229" s="27"/>
      <c r="J229" s="27"/>
      <c r="L229" s="27"/>
      <c r="M229" s="27"/>
    </row>
    <row r="230">
      <c r="F230" s="27"/>
      <c r="G230" s="27"/>
      <c r="H230" s="27"/>
      <c r="J230" s="27"/>
      <c r="L230" s="27"/>
      <c r="M230" s="27"/>
    </row>
    <row r="231">
      <c r="F231" s="27"/>
      <c r="G231" s="27"/>
      <c r="H231" s="27"/>
      <c r="J231" s="27"/>
      <c r="L231" s="27"/>
      <c r="M231" s="27"/>
    </row>
    <row r="232">
      <c r="F232" s="27"/>
      <c r="G232" s="27"/>
      <c r="H232" s="27"/>
      <c r="J232" s="27"/>
      <c r="L232" s="27"/>
      <c r="M232" s="27"/>
    </row>
    <row r="233">
      <c r="F233" s="27"/>
      <c r="G233" s="27"/>
      <c r="H233" s="27"/>
      <c r="J233" s="27"/>
      <c r="L233" s="27"/>
      <c r="M233" s="27"/>
    </row>
    <row r="234">
      <c r="F234" s="27"/>
      <c r="G234" s="27"/>
      <c r="H234" s="27"/>
      <c r="J234" s="27"/>
      <c r="L234" s="27"/>
      <c r="M234" s="27"/>
    </row>
    <row r="235">
      <c r="F235" s="27"/>
      <c r="G235" s="27"/>
      <c r="H235" s="27"/>
      <c r="J235" s="27"/>
      <c r="L235" s="27"/>
      <c r="M235" s="27"/>
    </row>
    <row r="236">
      <c r="F236" s="27"/>
      <c r="G236" s="27"/>
      <c r="H236" s="27"/>
      <c r="J236" s="27"/>
      <c r="L236" s="27"/>
      <c r="M236" s="27"/>
    </row>
    <row r="237">
      <c r="F237" s="27"/>
      <c r="G237" s="27"/>
      <c r="H237" s="27"/>
      <c r="J237" s="27"/>
      <c r="L237" s="27"/>
      <c r="M237" s="27"/>
    </row>
    <row r="238">
      <c r="F238" s="27"/>
      <c r="G238" s="27"/>
      <c r="H238" s="27"/>
      <c r="J238" s="27"/>
      <c r="L238" s="27"/>
      <c r="M238" s="27"/>
    </row>
    <row r="239">
      <c r="F239" s="27"/>
      <c r="G239" s="27"/>
      <c r="H239" s="27"/>
      <c r="J239" s="27"/>
      <c r="L239" s="27"/>
      <c r="M239" s="27"/>
    </row>
    <row r="240">
      <c r="F240" s="27"/>
      <c r="G240" s="27"/>
      <c r="H240" s="27"/>
      <c r="J240" s="27"/>
      <c r="L240" s="27"/>
      <c r="M240" s="27"/>
    </row>
    <row r="241">
      <c r="F241" s="27"/>
      <c r="G241" s="27"/>
      <c r="H241" s="27"/>
      <c r="J241" s="27"/>
      <c r="L241" s="27"/>
      <c r="M241" s="27"/>
    </row>
    <row r="242">
      <c r="F242" s="27"/>
      <c r="G242" s="27"/>
      <c r="H242" s="27"/>
      <c r="J242" s="27"/>
      <c r="L242" s="27"/>
      <c r="M242" s="27"/>
    </row>
    <row r="243">
      <c r="F243" s="27"/>
      <c r="G243" s="27"/>
      <c r="H243" s="27"/>
      <c r="J243" s="27"/>
      <c r="L243" s="27"/>
      <c r="M243" s="27"/>
    </row>
    <row r="244">
      <c r="F244" s="27"/>
      <c r="G244" s="27"/>
      <c r="H244" s="27"/>
      <c r="J244" s="27"/>
      <c r="L244" s="27"/>
      <c r="M244" s="27"/>
    </row>
    <row r="245">
      <c r="F245" s="27"/>
      <c r="G245" s="27"/>
      <c r="H245" s="27"/>
      <c r="J245" s="27"/>
      <c r="L245" s="27"/>
      <c r="M245" s="27"/>
    </row>
    <row r="246">
      <c r="F246" s="27"/>
      <c r="G246" s="27"/>
      <c r="H246" s="27"/>
      <c r="J246" s="27"/>
      <c r="L246" s="27"/>
      <c r="M246" s="27"/>
    </row>
    <row r="247">
      <c r="F247" s="27"/>
      <c r="G247" s="27"/>
      <c r="H247" s="27"/>
      <c r="J247" s="27"/>
      <c r="L247" s="27"/>
      <c r="M247" s="27"/>
    </row>
    <row r="248">
      <c r="F248" s="27"/>
      <c r="G248" s="27"/>
      <c r="H248" s="27"/>
      <c r="J248" s="27"/>
      <c r="L248" s="27"/>
      <c r="M248" s="27"/>
    </row>
    <row r="249">
      <c r="F249" s="27"/>
      <c r="G249" s="27"/>
      <c r="H249" s="27"/>
      <c r="J249" s="27"/>
      <c r="L249" s="27"/>
      <c r="M249" s="27"/>
    </row>
    <row r="250">
      <c r="F250" s="27"/>
      <c r="G250" s="27"/>
      <c r="H250" s="27"/>
      <c r="J250" s="27"/>
      <c r="L250" s="27"/>
      <c r="M250" s="27"/>
    </row>
    <row r="251">
      <c r="F251" s="27"/>
      <c r="G251" s="27"/>
      <c r="H251" s="27"/>
      <c r="J251" s="27"/>
      <c r="L251" s="27"/>
      <c r="M251" s="27"/>
    </row>
    <row r="252">
      <c r="F252" s="27"/>
      <c r="G252" s="27"/>
      <c r="H252" s="27"/>
      <c r="J252" s="27"/>
      <c r="L252" s="27"/>
      <c r="M252" s="27"/>
    </row>
    <row r="253">
      <c r="F253" s="27"/>
      <c r="G253" s="27"/>
      <c r="H253" s="27"/>
      <c r="J253" s="27"/>
      <c r="L253" s="27"/>
      <c r="M253" s="27"/>
    </row>
    <row r="254">
      <c r="F254" s="27"/>
      <c r="G254" s="27"/>
      <c r="H254" s="27"/>
      <c r="J254" s="27"/>
      <c r="L254" s="27"/>
      <c r="M254" s="27"/>
    </row>
    <row r="255">
      <c r="F255" s="27"/>
      <c r="G255" s="27"/>
      <c r="H255" s="27"/>
      <c r="J255" s="27"/>
      <c r="L255" s="27"/>
      <c r="M255" s="27"/>
    </row>
    <row r="256">
      <c r="F256" s="27"/>
      <c r="G256" s="27"/>
      <c r="H256" s="27"/>
      <c r="J256" s="27"/>
      <c r="L256" s="27"/>
      <c r="M256" s="27"/>
    </row>
    <row r="257">
      <c r="F257" s="27"/>
      <c r="G257" s="27"/>
      <c r="H257" s="27"/>
      <c r="J257" s="27"/>
      <c r="L257" s="27"/>
      <c r="M257" s="27"/>
    </row>
    <row r="258">
      <c r="F258" s="27"/>
      <c r="G258" s="27"/>
      <c r="H258" s="27"/>
      <c r="J258" s="27"/>
      <c r="L258" s="27"/>
      <c r="M258" s="27"/>
    </row>
    <row r="259">
      <c r="F259" s="27"/>
      <c r="G259" s="27"/>
      <c r="H259" s="27"/>
      <c r="J259" s="27"/>
      <c r="L259" s="27"/>
      <c r="M259" s="27"/>
    </row>
    <row r="260">
      <c r="F260" s="27"/>
      <c r="G260" s="27"/>
      <c r="H260" s="27"/>
      <c r="J260" s="27"/>
      <c r="L260" s="27"/>
      <c r="M260" s="27"/>
    </row>
    <row r="261">
      <c r="F261" s="27"/>
      <c r="G261" s="27"/>
      <c r="H261" s="27"/>
      <c r="J261" s="27"/>
      <c r="L261" s="27"/>
      <c r="M261" s="27"/>
    </row>
    <row r="262">
      <c r="F262" s="27"/>
      <c r="G262" s="27"/>
      <c r="H262" s="27"/>
      <c r="J262" s="27"/>
      <c r="L262" s="27"/>
      <c r="M262" s="27"/>
    </row>
    <row r="263">
      <c r="F263" s="27"/>
      <c r="G263" s="27"/>
      <c r="H263" s="27"/>
      <c r="J263" s="27"/>
      <c r="L263" s="27"/>
      <c r="M263" s="27"/>
    </row>
    <row r="264">
      <c r="F264" s="27"/>
      <c r="G264" s="27"/>
      <c r="H264" s="27"/>
      <c r="J264" s="27"/>
      <c r="L264" s="27"/>
      <c r="M264" s="27"/>
    </row>
    <row r="265">
      <c r="F265" s="27"/>
      <c r="G265" s="27"/>
      <c r="H265" s="27"/>
      <c r="J265" s="27"/>
      <c r="L265" s="27"/>
      <c r="M265" s="27"/>
    </row>
    <row r="266">
      <c r="F266" s="27"/>
      <c r="G266" s="27"/>
      <c r="H266" s="27"/>
      <c r="J266" s="27"/>
      <c r="L266" s="27"/>
      <c r="M266" s="27"/>
    </row>
    <row r="267">
      <c r="F267" s="27"/>
      <c r="G267" s="27"/>
      <c r="H267" s="27"/>
      <c r="J267" s="27"/>
      <c r="L267" s="27"/>
      <c r="M267" s="27"/>
    </row>
    <row r="268">
      <c r="F268" s="27"/>
      <c r="G268" s="27"/>
      <c r="H268" s="27"/>
      <c r="J268" s="27"/>
      <c r="L268" s="27"/>
      <c r="M268" s="27"/>
    </row>
    <row r="269">
      <c r="F269" s="27"/>
      <c r="G269" s="27"/>
      <c r="H269" s="27"/>
      <c r="J269" s="27"/>
      <c r="L269" s="27"/>
      <c r="M269" s="27"/>
    </row>
    <row r="270">
      <c r="F270" s="27"/>
      <c r="G270" s="27"/>
      <c r="H270" s="27"/>
      <c r="J270" s="27"/>
      <c r="L270" s="27"/>
      <c r="M270" s="27"/>
    </row>
    <row r="271">
      <c r="F271" s="27"/>
      <c r="G271" s="27"/>
      <c r="H271" s="27"/>
      <c r="J271" s="27"/>
      <c r="L271" s="27"/>
      <c r="M271" s="27"/>
    </row>
    <row r="272">
      <c r="F272" s="27"/>
      <c r="G272" s="27"/>
      <c r="H272" s="27"/>
      <c r="J272" s="27"/>
      <c r="L272" s="27"/>
      <c r="M272" s="27"/>
    </row>
    <row r="273">
      <c r="F273" s="27"/>
      <c r="G273" s="27"/>
      <c r="H273" s="27"/>
      <c r="J273" s="27"/>
      <c r="L273" s="27"/>
      <c r="M273" s="27"/>
    </row>
    <row r="274">
      <c r="F274" s="27"/>
      <c r="G274" s="27"/>
      <c r="H274" s="27"/>
      <c r="J274" s="27"/>
      <c r="L274" s="27"/>
      <c r="M274" s="27"/>
    </row>
    <row r="275">
      <c r="F275" s="27"/>
      <c r="G275" s="27"/>
      <c r="H275" s="27"/>
      <c r="J275" s="27"/>
      <c r="L275" s="27"/>
      <c r="M275" s="27"/>
    </row>
    <row r="276">
      <c r="F276" s="27"/>
      <c r="G276" s="27"/>
      <c r="H276" s="27"/>
      <c r="J276" s="27"/>
      <c r="L276" s="27"/>
      <c r="M276" s="27"/>
    </row>
    <row r="277">
      <c r="F277" s="27"/>
      <c r="G277" s="27"/>
      <c r="H277" s="27"/>
      <c r="J277" s="27"/>
      <c r="L277" s="27"/>
      <c r="M277" s="27"/>
    </row>
    <row r="278">
      <c r="F278" s="27"/>
      <c r="G278" s="27"/>
      <c r="H278" s="27"/>
      <c r="J278" s="27"/>
      <c r="L278" s="27"/>
      <c r="M278" s="27"/>
    </row>
    <row r="279">
      <c r="F279" s="27"/>
      <c r="G279" s="27"/>
      <c r="H279" s="27"/>
      <c r="J279" s="27"/>
      <c r="L279" s="27"/>
      <c r="M279" s="27"/>
    </row>
    <row r="280">
      <c r="F280" s="27"/>
      <c r="G280" s="27"/>
      <c r="H280" s="27"/>
      <c r="J280" s="27"/>
      <c r="L280" s="27"/>
      <c r="M280" s="27"/>
    </row>
    <row r="281">
      <c r="F281" s="27"/>
      <c r="G281" s="27"/>
      <c r="H281" s="27"/>
      <c r="J281" s="27"/>
      <c r="L281" s="27"/>
      <c r="M281" s="27"/>
    </row>
    <row r="282">
      <c r="F282" s="27"/>
      <c r="G282" s="27"/>
      <c r="H282" s="27"/>
      <c r="J282" s="27"/>
      <c r="L282" s="27"/>
      <c r="M282" s="27"/>
    </row>
    <row r="283">
      <c r="F283" s="27"/>
      <c r="G283" s="27"/>
      <c r="H283" s="27"/>
      <c r="J283" s="27"/>
      <c r="L283" s="27"/>
      <c r="M283" s="27"/>
    </row>
    <row r="284">
      <c r="F284" s="27"/>
      <c r="G284" s="27"/>
      <c r="H284" s="27"/>
      <c r="J284" s="27"/>
      <c r="L284" s="27"/>
      <c r="M284" s="27"/>
    </row>
    <row r="285">
      <c r="F285" s="27"/>
      <c r="G285" s="27"/>
      <c r="H285" s="27"/>
      <c r="J285" s="27"/>
      <c r="L285" s="27"/>
      <c r="M285" s="27"/>
    </row>
    <row r="286">
      <c r="F286" s="27"/>
      <c r="G286" s="27"/>
      <c r="H286" s="27"/>
      <c r="J286" s="27"/>
      <c r="L286" s="27"/>
      <c r="M286" s="27"/>
    </row>
    <row r="287">
      <c r="F287" s="27"/>
      <c r="G287" s="27"/>
      <c r="H287" s="27"/>
      <c r="J287" s="27"/>
      <c r="L287" s="27"/>
      <c r="M287" s="27"/>
    </row>
    <row r="288">
      <c r="F288" s="27"/>
      <c r="G288" s="27"/>
      <c r="H288" s="27"/>
      <c r="J288" s="27"/>
      <c r="L288" s="27"/>
      <c r="M288" s="27"/>
    </row>
    <row r="289">
      <c r="F289" s="27"/>
      <c r="G289" s="27"/>
      <c r="H289" s="27"/>
      <c r="J289" s="27"/>
      <c r="L289" s="27"/>
      <c r="M289" s="27"/>
    </row>
    <row r="290">
      <c r="F290" s="27"/>
      <c r="G290" s="27"/>
      <c r="H290" s="27"/>
      <c r="J290" s="27"/>
      <c r="L290" s="27"/>
      <c r="M290" s="27"/>
    </row>
    <row r="291">
      <c r="F291" s="27"/>
      <c r="G291" s="27"/>
      <c r="H291" s="27"/>
      <c r="J291" s="27"/>
      <c r="L291" s="27"/>
      <c r="M291" s="27"/>
    </row>
    <row r="292">
      <c r="F292" s="27"/>
      <c r="G292" s="27"/>
      <c r="H292" s="27"/>
      <c r="J292" s="27"/>
      <c r="L292" s="27"/>
      <c r="M292" s="27"/>
    </row>
    <row r="293">
      <c r="F293" s="27"/>
      <c r="G293" s="27"/>
      <c r="H293" s="27"/>
      <c r="J293" s="27"/>
      <c r="L293" s="27"/>
      <c r="M293" s="27"/>
    </row>
    <row r="294">
      <c r="F294" s="27"/>
      <c r="G294" s="27"/>
      <c r="H294" s="27"/>
      <c r="J294" s="27"/>
      <c r="L294" s="27"/>
      <c r="M294" s="27"/>
    </row>
    <row r="295">
      <c r="F295" s="27"/>
      <c r="G295" s="27"/>
      <c r="H295" s="27"/>
      <c r="J295" s="27"/>
      <c r="L295" s="27"/>
      <c r="M295" s="27"/>
    </row>
    <row r="296">
      <c r="F296" s="27"/>
      <c r="G296" s="27"/>
      <c r="H296" s="27"/>
      <c r="J296" s="27"/>
      <c r="L296" s="27"/>
      <c r="M296" s="27"/>
    </row>
    <row r="297">
      <c r="F297" s="27"/>
      <c r="G297" s="27"/>
      <c r="H297" s="27"/>
      <c r="J297" s="27"/>
      <c r="L297" s="27"/>
      <c r="M297" s="27"/>
    </row>
    <row r="298">
      <c r="F298" s="27"/>
      <c r="G298" s="27"/>
      <c r="H298" s="27"/>
      <c r="J298" s="27"/>
      <c r="L298" s="27"/>
      <c r="M298" s="27"/>
    </row>
    <row r="299">
      <c r="F299" s="27"/>
      <c r="G299" s="27"/>
      <c r="H299" s="27"/>
      <c r="J299" s="27"/>
      <c r="L299" s="27"/>
      <c r="M299" s="27"/>
    </row>
    <row r="300">
      <c r="F300" s="27"/>
      <c r="G300" s="27"/>
      <c r="H300" s="27"/>
      <c r="J300" s="27"/>
      <c r="L300" s="27"/>
      <c r="M300" s="27"/>
    </row>
    <row r="301">
      <c r="F301" s="27"/>
      <c r="G301" s="27"/>
      <c r="H301" s="27"/>
      <c r="J301" s="27"/>
      <c r="L301" s="27"/>
      <c r="M301" s="27"/>
    </row>
    <row r="302">
      <c r="F302" s="27"/>
      <c r="G302" s="27"/>
      <c r="H302" s="27"/>
      <c r="J302" s="27"/>
      <c r="L302" s="27"/>
      <c r="M302" s="27"/>
    </row>
    <row r="303">
      <c r="F303" s="27"/>
      <c r="G303" s="27"/>
      <c r="H303" s="27"/>
      <c r="J303" s="27"/>
      <c r="L303" s="27"/>
      <c r="M303" s="27"/>
    </row>
    <row r="304">
      <c r="F304" s="27"/>
      <c r="G304" s="27"/>
      <c r="H304" s="27"/>
      <c r="J304" s="27"/>
      <c r="L304" s="27"/>
      <c r="M304" s="27"/>
    </row>
    <row r="305">
      <c r="F305" s="27"/>
      <c r="G305" s="27"/>
      <c r="H305" s="27"/>
      <c r="J305" s="27"/>
      <c r="L305" s="27"/>
      <c r="M305" s="27"/>
    </row>
    <row r="306">
      <c r="F306" s="27"/>
      <c r="G306" s="27"/>
      <c r="H306" s="27"/>
      <c r="J306" s="27"/>
      <c r="L306" s="27"/>
      <c r="M306" s="27"/>
    </row>
    <row r="307">
      <c r="F307" s="27"/>
      <c r="G307" s="27"/>
      <c r="H307" s="27"/>
      <c r="J307" s="27"/>
      <c r="L307" s="27"/>
      <c r="M307" s="27"/>
    </row>
    <row r="308">
      <c r="F308" s="27"/>
      <c r="G308" s="27"/>
      <c r="H308" s="27"/>
      <c r="J308" s="27"/>
      <c r="L308" s="27"/>
      <c r="M308" s="27"/>
    </row>
    <row r="309">
      <c r="F309" s="27"/>
      <c r="G309" s="27"/>
      <c r="H309" s="27"/>
      <c r="J309" s="27"/>
      <c r="L309" s="27"/>
      <c r="M309" s="27"/>
    </row>
    <row r="310">
      <c r="F310" s="27"/>
      <c r="G310" s="27"/>
      <c r="H310" s="27"/>
      <c r="J310" s="27"/>
      <c r="L310" s="27"/>
      <c r="M310" s="27"/>
    </row>
    <row r="311">
      <c r="F311" s="27"/>
      <c r="G311" s="27"/>
      <c r="H311" s="27"/>
      <c r="J311" s="27"/>
      <c r="L311" s="27"/>
      <c r="M311" s="27"/>
    </row>
    <row r="312">
      <c r="F312" s="27"/>
      <c r="G312" s="27"/>
      <c r="H312" s="27"/>
      <c r="J312" s="27"/>
      <c r="L312" s="27"/>
      <c r="M312" s="27"/>
    </row>
    <row r="313">
      <c r="F313" s="27"/>
      <c r="G313" s="27"/>
      <c r="H313" s="27"/>
      <c r="J313" s="27"/>
      <c r="L313" s="27"/>
      <c r="M313" s="27"/>
    </row>
    <row r="314">
      <c r="F314" s="27"/>
      <c r="G314" s="27"/>
      <c r="H314" s="27"/>
      <c r="J314" s="27"/>
      <c r="L314" s="27"/>
      <c r="M314" s="27"/>
    </row>
    <row r="315">
      <c r="F315" s="27"/>
      <c r="G315" s="27"/>
      <c r="H315" s="27"/>
      <c r="J315" s="27"/>
      <c r="L315" s="27"/>
      <c r="M315" s="27"/>
    </row>
    <row r="316">
      <c r="F316" s="27"/>
      <c r="G316" s="27"/>
      <c r="H316" s="27"/>
      <c r="J316" s="27"/>
      <c r="L316" s="27"/>
      <c r="M316" s="27"/>
    </row>
    <row r="317">
      <c r="F317" s="27"/>
      <c r="G317" s="27"/>
      <c r="H317" s="27"/>
      <c r="J317" s="27"/>
      <c r="L317" s="27"/>
      <c r="M317" s="27"/>
    </row>
    <row r="318">
      <c r="F318" s="27"/>
      <c r="G318" s="27"/>
      <c r="H318" s="27"/>
      <c r="J318" s="27"/>
      <c r="L318" s="27"/>
      <c r="M318" s="27"/>
    </row>
    <row r="319">
      <c r="F319" s="27"/>
      <c r="G319" s="27"/>
      <c r="H319" s="27"/>
      <c r="J319" s="27"/>
      <c r="L319" s="27"/>
      <c r="M319" s="27"/>
    </row>
    <row r="320">
      <c r="F320" s="27"/>
      <c r="G320" s="27"/>
      <c r="H320" s="27"/>
      <c r="J320" s="27"/>
      <c r="L320" s="27"/>
      <c r="M320" s="27"/>
    </row>
    <row r="321">
      <c r="F321" s="27"/>
      <c r="G321" s="27"/>
      <c r="H321" s="27"/>
      <c r="J321" s="27"/>
      <c r="L321" s="27"/>
      <c r="M321" s="27"/>
    </row>
    <row r="322">
      <c r="F322" s="27"/>
      <c r="G322" s="27"/>
      <c r="H322" s="27"/>
      <c r="J322" s="27"/>
      <c r="L322" s="27"/>
      <c r="M322" s="27"/>
    </row>
    <row r="323">
      <c r="F323" s="27"/>
      <c r="G323" s="27"/>
      <c r="H323" s="27"/>
      <c r="J323" s="27"/>
      <c r="L323" s="27"/>
      <c r="M323" s="27"/>
    </row>
    <row r="324">
      <c r="F324" s="27"/>
      <c r="G324" s="27"/>
      <c r="H324" s="27"/>
      <c r="J324" s="27"/>
      <c r="L324" s="27"/>
      <c r="M324" s="27"/>
    </row>
    <row r="325">
      <c r="F325" s="27"/>
      <c r="G325" s="27"/>
      <c r="H325" s="27"/>
      <c r="J325" s="27"/>
      <c r="L325" s="27"/>
      <c r="M325" s="27"/>
    </row>
    <row r="326">
      <c r="F326" s="27"/>
      <c r="G326" s="27"/>
      <c r="H326" s="27"/>
      <c r="J326" s="27"/>
      <c r="L326" s="27"/>
      <c r="M326" s="27"/>
    </row>
    <row r="327">
      <c r="F327" s="27"/>
      <c r="G327" s="27"/>
      <c r="H327" s="27"/>
      <c r="J327" s="27"/>
      <c r="L327" s="27"/>
      <c r="M327" s="27"/>
    </row>
    <row r="328">
      <c r="F328" s="27"/>
      <c r="G328" s="27"/>
      <c r="H328" s="27"/>
      <c r="J328" s="27"/>
      <c r="L328" s="27"/>
      <c r="M328" s="27"/>
    </row>
    <row r="329">
      <c r="F329" s="27"/>
      <c r="G329" s="27"/>
      <c r="H329" s="27"/>
      <c r="J329" s="27"/>
      <c r="L329" s="27"/>
      <c r="M329" s="27"/>
    </row>
    <row r="330">
      <c r="F330" s="27"/>
      <c r="G330" s="27"/>
      <c r="H330" s="27"/>
      <c r="J330" s="27"/>
      <c r="L330" s="27"/>
      <c r="M330" s="27"/>
    </row>
    <row r="331">
      <c r="F331" s="27"/>
      <c r="G331" s="27"/>
      <c r="H331" s="27"/>
      <c r="J331" s="27"/>
      <c r="L331" s="27"/>
      <c r="M331" s="27"/>
    </row>
    <row r="332">
      <c r="F332" s="27"/>
      <c r="G332" s="27"/>
      <c r="H332" s="27"/>
      <c r="J332" s="27"/>
      <c r="L332" s="27"/>
      <c r="M332" s="27"/>
    </row>
    <row r="333">
      <c r="F333" s="27"/>
      <c r="G333" s="27"/>
      <c r="H333" s="27"/>
      <c r="J333" s="27"/>
      <c r="L333" s="27"/>
      <c r="M333" s="27"/>
    </row>
    <row r="334">
      <c r="F334" s="27"/>
      <c r="G334" s="27"/>
      <c r="H334" s="27"/>
      <c r="J334" s="27"/>
      <c r="L334" s="27"/>
      <c r="M334" s="27"/>
    </row>
    <row r="335">
      <c r="F335" s="27"/>
      <c r="G335" s="27"/>
      <c r="H335" s="27"/>
      <c r="J335" s="27"/>
      <c r="L335" s="27"/>
      <c r="M335" s="27"/>
    </row>
    <row r="336">
      <c r="F336" s="27"/>
      <c r="G336" s="27"/>
      <c r="H336" s="27"/>
      <c r="J336" s="27"/>
      <c r="L336" s="27"/>
      <c r="M336" s="27"/>
    </row>
    <row r="337">
      <c r="F337" s="27"/>
      <c r="G337" s="27"/>
      <c r="H337" s="27"/>
      <c r="J337" s="27"/>
      <c r="L337" s="27"/>
      <c r="M337" s="27"/>
    </row>
    <row r="338">
      <c r="F338" s="27"/>
      <c r="G338" s="27"/>
      <c r="H338" s="27"/>
      <c r="J338" s="27"/>
      <c r="L338" s="27"/>
      <c r="M338" s="27"/>
    </row>
    <row r="339">
      <c r="F339" s="27"/>
      <c r="G339" s="27"/>
      <c r="H339" s="27"/>
      <c r="J339" s="27"/>
      <c r="L339" s="27"/>
      <c r="M339" s="27"/>
    </row>
    <row r="340">
      <c r="F340" s="27"/>
      <c r="G340" s="27"/>
      <c r="H340" s="27"/>
      <c r="J340" s="27"/>
      <c r="L340" s="27"/>
      <c r="M340" s="27"/>
    </row>
    <row r="341">
      <c r="F341" s="27"/>
      <c r="G341" s="27"/>
      <c r="H341" s="27"/>
      <c r="J341" s="27"/>
      <c r="L341" s="27"/>
      <c r="M341" s="27"/>
    </row>
    <row r="342">
      <c r="F342" s="27"/>
      <c r="G342" s="27"/>
      <c r="H342" s="27"/>
      <c r="J342" s="27"/>
      <c r="L342" s="27"/>
      <c r="M342" s="27"/>
    </row>
    <row r="343">
      <c r="F343" s="27"/>
      <c r="G343" s="27"/>
      <c r="H343" s="27"/>
      <c r="J343" s="27"/>
      <c r="L343" s="27"/>
      <c r="M343" s="27"/>
    </row>
    <row r="344">
      <c r="F344" s="27"/>
      <c r="G344" s="27"/>
      <c r="H344" s="27"/>
      <c r="J344" s="27"/>
      <c r="L344" s="27"/>
      <c r="M344" s="27"/>
    </row>
    <row r="345">
      <c r="F345" s="27"/>
      <c r="G345" s="27"/>
      <c r="H345" s="27"/>
      <c r="J345" s="27"/>
      <c r="L345" s="27"/>
      <c r="M345" s="27"/>
    </row>
    <row r="346">
      <c r="F346" s="27"/>
      <c r="G346" s="27"/>
      <c r="H346" s="27"/>
      <c r="J346" s="27"/>
      <c r="L346" s="27"/>
      <c r="M346" s="27"/>
    </row>
    <row r="347">
      <c r="F347" s="27"/>
      <c r="G347" s="27"/>
      <c r="H347" s="27"/>
      <c r="J347" s="27"/>
      <c r="L347" s="27"/>
      <c r="M347" s="27"/>
    </row>
    <row r="348">
      <c r="F348" s="27"/>
      <c r="G348" s="27"/>
      <c r="H348" s="27"/>
      <c r="J348" s="27"/>
      <c r="L348" s="27"/>
      <c r="M348" s="27"/>
    </row>
    <row r="349">
      <c r="F349" s="27"/>
      <c r="G349" s="27"/>
      <c r="H349" s="27"/>
      <c r="J349" s="27"/>
      <c r="L349" s="27"/>
      <c r="M349" s="27"/>
    </row>
    <row r="350">
      <c r="F350" s="27"/>
      <c r="G350" s="27"/>
      <c r="H350" s="27"/>
      <c r="J350" s="27"/>
      <c r="L350" s="27"/>
      <c r="M350" s="27"/>
    </row>
    <row r="351">
      <c r="F351" s="27"/>
      <c r="G351" s="27"/>
      <c r="H351" s="27"/>
      <c r="J351" s="27"/>
      <c r="L351" s="27"/>
      <c r="M351" s="27"/>
    </row>
    <row r="352">
      <c r="F352" s="27"/>
      <c r="G352" s="27"/>
      <c r="H352" s="27"/>
      <c r="J352" s="27"/>
      <c r="L352" s="27"/>
      <c r="M352" s="27"/>
    </row>
    <row r="353">
      <c r="F353" s="27"/>
      <c r="G353" s="27"/>
      <c r="H353" s="27"/>
      <c r="J353" s="27"/>
      <c r="L353" s="27"/>
      <c r="M353" s="27"/>
    </row>
    <row r="354">
      <c r="F354" s="27"/>
      <c r="G354" s="27"/>
      <c r="H354" s="27"/>
      <c r="J354" s="27"/>
      <c r="L354" s="27"/>
      <c r="M354" s="27"/>
    </row>
    <row r="355">
      <c r="F355" s="27"/>
      <c r="G355" s="27"/>
      <c r="H355" s="27"/>
      <c r="J355" s="27"/>
      <c r="L355" s="27"/>
      <c r="M355" s="27"/>
    </row>
    <row r="356">
      <c r="F356" s="27"/>
      <c r="G356" s="27"/>
      <c r="H356" s="27"/>
      <c r="J356" s="27"/>
      <c r="L356" s="27"/>
      <c r="M356" s="27"/>
    </row>
    <row r="357">
      <c r="F357" s="27"/>
      <c r="G357" s="27"/>
      <c r="H357" s="27"/>
      <c r="J357" s="27"/>
      <c r="L357" s="27"/>
      <c r="M357" s="27"/>
    </row>
    <row r="358">
      <c r="F358" s="27"/>
      <c r="G358" s="27"/>
      <c r="H358" s="27"/>
      <c r="J358" s="27"/>
      <c r="L358" s="27"/>
      <c r="M358" s="27"/>
    </row>
    <row r="359">
      <c r="F359" s="27"/>
      <c r="G359" s="27"/>
      <c r="H359" s="27"/>
      <c r="J359" s="27"/>
      <c r="L359" s="27"/>
      <c r="M359" s="27"/>
    </row>
    <row r="360">
      <c r="F360" s="27"/>
      <c r="G360" s="27"/>
      <c r="H360" s="27"/>
      <c r="J360" s="27"/>
      <c r="L360" s="27"/>
      <c r="M360" s="27"/>
    </row>
    <row r="361">
      <c r="F361" s="27"/>
      <c r="G361" s="27"/>
      <c r="H361" s="27"/>
      <c r="J361" s="27"/>
      <c r="L361" s="27"/>
      <c r="M361" s="27"/>
    </row>
    <row r="362">
      <c r="F362" s="27"/>
      <c r="G362" s="27"/>
      <c r="H362" s="27"/>
      <c r="J362" s="27"/>
      <c r="L362" s="27"/>
      <c r="M362" s="27"/>
    </row>
    <row r="363">
      <c r="F363" s="27"/>
      <c r="G363" s="27"/>
      <c r="H363" s="27"/>
      <c r="J363" s="27"/>
      <c r="L363" s="27"/>
      <c r="M363" s="27"/>
    </row>
    <row r="364">
      <c r="F364" s="27"/>
      <c r="G364" s="27"/>
      <c r="H364" s="27"/>
      <c r="J364" s="27"/>
      <c r="L364" s="27"/>
      <c r="M364" s="27"/>
    </row>
    <row r="365">
      <c r="F365" s="27"/>
      <c r="G365" s="27"/>
      <c r="H365" s="27"/>
      <c r="J365" s="27"/>
      <c r="L365" s="27"/>
      <c r="M365" s="27"/>
    </row>
    <row r="366">
      <c r="F366" s="27"/>
      <c r="G366" s="27"/>
      <c r="H366" s="27"/>
      <c r="J366" s="27"/>
      <c r="L366" s="27"/>
      <c r="M366" s="27"/>
    </row>
    <row r="367">
      <c r="F367" s="27"/>
      <c r="G367" s="27"/>
      <c r="H367" s="27"/>
      <c r="J367" s="27"/>
      <c r="L367" s="27"/>
      <c r="M367" s="27"/>
    </row>
    <row r="368">
      <c r="F368" s="27"/>
      <c r="G368" s="27"/>
      <c r="H368" s="27"/>
      <c r="J368" s="27"/>
      <c r="L368" s="27"/>
      <c r="M368" s="27"/>
    </row>
    <row r="369">
      <c r="F369" s="27"/>
      <c r="G369" s="27"/>
      <c r="H369" s="27"/>
      <c r="J369" s="27"/>
      <c r="L369" s="27"/>
      <c r="M369" s="27"/>
    </row>
    <row r="370">
      <c r="F370" s="27"/>
      <c r="G370" s="27"/>
      <c r="H370" s="27"/>
      <c r="J370" s="27"/>
      <c r="L370" s="27"/>
      <c r="M370" s="27"/>
    </row>
    <row r="371">
      <c r="F371" s="27"/>
      <c r="G371" s="27"/>
      <c r="H371" s="27"/>
      <c r="J371" s="27"/>
      <c r="L371" s="27"/>
      <c r="M371" s="27"/>
    </row>
    <row r="372">
      <c r="F372" s="27"/>
      <c r="G372" s="27"/>
      <c r="H372" s="27"/>
      <c r="J372" s="27"/>
      <c r="L372" s="27"/>
      <c r="M372" s="27"/>
    </row>
    <row r="373">
      <c r="F373" s="27"/>
      <c r="G373" s="27"/>
      <c r="H373" s="27"/>
      <c r="J373" s="27"/>
      <c r="L373" s="27"/>
      <c r="M373" s="27"/>
    </row>
    <row r="374">
      <c r="F374" s="27"/>
      <c r="G374" s="27"/>
      <c r="H374" s="27"/>
      <c r="J374" s="27"/>
      <c r="L374" s="27"/>
      <c r="M374" s="27"/>
    </row>
    <row r="375">
      <c r="F375" s="27"/>
      <c r="G375" s="27"/>
      <c r="H375" s="27"/>
      <c r="J375" s="27"/>
      <c r="L375" s="27"/>
      <c r="M375" s="27"/>
    </row>
    <row r="376">
      <c r="F376" s="27"/>
      <c r="G376" s="27"/>
      <c r="H376" s="27"/>
      <c r="J376" s="27"/>
      <c r="L376" s="27"/>
      <c r="M376" s="27"/>
    </row>
    <row r="377">
      <c r="F377" s="27"/>
      <c r="G377" s="27"/>
      <c r="H377" s="27"/>
      <c r="J377" s="27"/>
      <c r="L377" s="27"/>
      <c r="M377" s="27"/>
    </row>
    <row r="378">
      <c r="F378" s="27"/>
      <c r="G378" s="27"/>
      <c r="H378" s="27"/>
      <c r="J378" s="27"/>
      <c r="L378" s="27"/>
      <c r="M378" s="27"/>
    </row>
    <row r="379">
      <c r="F379" s="27"/>
      <c r="G379" s="27"/>
      <c r="H379" s="27"/>
      <c r="J379" s="27"/>
      <c r="L379" s="27"/>
      <c r="M379" s="27"/>
    </row>
    <row r="380">
      <c r="F380" s="27"/>
      <c r="G380" s="27"/>
      <c r="H380" s="27"/>
      <c r="J380" s="27"/>
      <c r="L380" s="27"/>
      <c r="M380" s="27"/>
    </row>
    <row r="381">
      <c r="F381" s="27"/>
      <c r="G381" s="27"/>
      <c r="H381" s="27"/>
      <c r="J381" s="27"/>
      <c r="L381" s="27"/>
      <c r="M381" s="27"/>
    </row>
    <row r="382">
      <c r="F382" s="27"/>
      <c r="G382" s="27"/>
      <c r="H382" s="27"/>
      <c r="J382" s="27"/>
      <c r="L382" s="27"/>
      <c r="M382" s="27"/>
    </row>
    <row r="383">
      <c r="F383" s="27"/>
      <c r="G383" s="27"/>
      <c r="H383" s="27"/>
      <c r="J383" s="27"/>
      <c r="L383" s="27"/>
      <c r="M383" s="27"/>
    </row>
    <row r="384">
      <c r="F384" s="27"/>
      <c r="G384" s="27"/>
      <c r="H384" s="27"/>
      <c r="J384" s="27"/>
      <c r="L384" s="27"/>
      <c r="M384" s="27"/>
    </row>
    <row r="385">
      <c r="F385" s="27"/>
      <c r="G385" s="27"/>
      <c r="H385" s="27"/>
      <c r="J385" s="27"/>
      <c r="L385" s="27"/>
      <c r="M385" s="27"/>
    </row>
    <row r="386">
      <c r="F386" s="27"/>
      <c r="G386" s="27"/>
      <c r="H386" s="27"/>
      <c r="J386" s="27"/>
      <c r="L386" s="27"/>
      <c r="M386" s="27"/>
    </row>
    <row r="387">
      <c r="F387" s="27"/>
      <c r="G387" s="27"/>
      <c r="H387" s="27"/>
      <c r="J387" s="27"/>
      <c r="L387" s="27"/>
      <c r="M387" s="27"/>
    </row>
    <row r="388">
      <c r="F388" s="27"/>
      <c r="G388" s="27"/>
      <c r="H388" s="27"/>
      <c r="J388" s="27"/>
      <c r="L388" s="27"/>
      <c r="M388" s="27"/>
    </row>
    <row r="389">
      <c r="F389" s="27"/>
      <c r="G389" s="27"/>
      <c r="H389" s="27"/>
      <c r="J389" s="27"/>
      <c r="L389" s="27"/>
      <c r="M389" s="27"/>
    </row>
    <row r="390">
      <c r="F390" s="27"/>
      <c r="G390" s="27"/>
      <c r="H390" s="27"/>
      <c r="J390" s="27"/>
      <c r="L390" s="27"/>
      <c r="M390" s="27"/>
    </row>
    <row r="391">
      <c r="F391" s="27"/>
      <c r="G391" s="27"/>
      <c r="H391" s="27"/>
      <c r="J391" s="27"/>
      <c r="L391" s="27"/>
      <c r="M391" s="27"/>
    </row>
    <row r="392">
      <c r="F392" s="27"/>
      <c r="G392" s="27"/>
      <c r="H392" s="27"/>
      <c r="J392" s="27"/>
      <c r="L392" s="27"/>
      <c r="M392" s="27"/>
    </row>
    <row r="393">
      <c r="F393" s="27"/>
      <c r="G393" s="27"/>
      <c r="H393" s="27"/>
      <c r="J393" s="27"/>
      <c r="L393" s="27"/>
      <c r="M393" s="27"/>
    </row>
    <row r="394">
      <c r="F394" s="27"/>
      <c r="G394" s="27"/>
      <c r="H394" s="27"/>
      <c r="J394" s="27"/>
      <c r="L394" s="27"/>
      <c r="M394" s="27"/>
    </row>
    <row r="395">
      <c r="F395" s="27"/>
      <c r="G395" s="27"/>
      <c r="H395" s="27"/>
      <c r="J395" s="27"/>
      <c r="L395" s="27"/>
      <c r="M395" s="27"/>
    </row>
    <row r="396">
      <c r="F396" s="27"/>
      <c r="G396" s="27"/>
      <c r="H396" s="27"/>
      <c r="J396" s="27"/>
      <c r="L396" s="27"/>
      <c r="M396" s="27"/>
    </row>
    <row r="397">
      <c r="F397" s="27"/>
      <c r="G397" s="27"/>
      <c r="H397" s="27"/>
      <c r="J397" s="27"/>
      <c r="L397" s="27"/>
      <c r="M397" s="27"/>
    </row>
    <row r="398">
      <c r="F398" s="27"/>
      <c r="G398" s="27"/>
      <c r="H398" s="27"/>
      <c r="J398" s="27"/>
      <c r="L398" s="27"/>
      <c r="M398" s="27"/>
    </row>
    <row r="399">
      <c r="F399" s="27"/>
      <c r="G399" s="27"/>
      <c r="H399" s="27"/>
      <c r="J399" s="27"/>
      <c r="L399" s="27"/>
      <c r="M399" s="27"/>
    </row>
    <row r="400">
      <c r="F400" s="27"/>
      <c r="G400" s="27"/>
      <c r="H400" s="27"/>
      <c r="J400" s="27"/>
      <c r="L400" s="27"/>
      <c r="M400" s="27"/>
    </row>
    <row r="401">
      <c r="F401" s="27"/>
      <c r="G401" s="27"/>
      <c r="H401" s="27"/>
      <c r="J401" s="27"/>
      <c r="L401" s="27"/>
      <c r="M401" s="27"/>
    </row>
    <row r="402">
      <c r="F402" s="27"/>
      <c r="G402" s="27"/>
      <c r="H402" s="27"/>
      <c r="J402" s="27"/>
      <c r="L402" s="27"/>
      <c r="M402" s="27"/>
    </row>
    <row r="403">
      <c r="F403" s="27"/>
      <c r="G403" s="27"/>
      <c r="H403" s="27"/>
      <c r="J403" s="27"/>
      <c r="L403" s="27"/>
      <c r="M403" s="27"/>
    </row>
    <row r="404">
      <c r="F404" s="27"/>
      <c r="G404" s="27"/>
      <c r="H404" s="27"/>
      <c r="J404" s="27"/>
      <c r="L404" s="27"/>
      <c r="M404" s="27"/>
    </row>
    <row r="405">
      <c r="F405" s="27"/>
      <c r="G405" s="27"/>
      <c r="H405" s="27"/>
      <c r="J405" s="27"/>
      <c r="L405" s="27"/>
      <c r="M405" s="27"/>
    </row>
    <row r="406">
      <c r="F406" s="27"/>
      <c r="G406" s="27"/>
      <c r="H406" s="27"/>
      <c r="J406" s="27"/>
      <c r="L406" s="27"/>
      <c r="M406" s="27"/>
    </row>
    <row r="407">
      <c r="F407" s="27"/>
      <c r="G407" s="27"/>
      <c r="H407" s="27"/>
      <c r="J407" s="27"/>
      <c r="L407" s="27"/>
      <c r="M407" s="27"/>
    </row>
    <row r="408">
      <c r="F408" s="27"/>
      <c r="G408" s="27"/>
      <c r="H408" s="27"/>
      <c r="J408" s="27"/>
      <c r="L408" s="27"/>
      <c r="M408" s="27"/>
    </row>
    <row r="409">
      <c r="F409" s="27"/>
      <c r="G409" s="27"/>
      <c r="H409" s="27"/>
      <c r="J409" s="27"/>
      <c r="L409" s="27"/>
      <c r="M409" s="27"/>
    </row>
    <row r="410">
      <c r="F410" s="27"/>
      <c r="G410" s="27"/>
      <c r="H410" s="27"/>
      <c r="J410" s="27"/>
      <c r="L410" s="27"/>
      <c r="M410" s="27"/>
    </row>
    <row r="411">
      <c r="F411" s="27"/>
      <c r="G411" s="27"/>
      <c r="H411" s="27"/>
      <c r="J411" s="27"/>
      <c r="L411" s="27"/>
      <c r="M411" s="27"/>
    </row>
    <row r="412">
      <c r="F412" s="27"/>
      <c r="G412" s="27"/>
      <c r="H412" s="27"/>
      <c r="J412" s="27"/>
      <c r="L412" s="27"/>
      <c r="M412" s="27"/>
    </row>
    <row r="413">
      <c r="F413" s="27"/>
      <c r="G413" s="27"/>
      <c r="H413" s="27"/>
      <c r="J413" s="27"/>
      <c r="L413" s="27"/>
      <c r="M413" s="27"/>
    </row>
    <row r="414">
      <c r="F414" s="27"/>
      <c r="G414" s="27"/>
      <c r="H414" s="27"/>
      <c r="J414" s="27"/>
      <c r="L414" s="27"/>
      <c r="M414" s="27"/>
    </row>
    <row r="415">
      <c r="F415" s="27"/>
      <c r="G415" s="27"/>
      <c r="H415" s="27"/>
      <c r="J415" s="27"/>
      <c r="L415" s="27"/>
      <c r="M415" s="27"/>
    </row>
    <row r="416">
      <c r="F416" s="27"/>
      <c r="G416" s="27"/>
      <c r="H416" s="27"/>
      <c r="J416" s="27"/>
      <c r="L416" s="27"/>
      <c r="M416" s="27"/>
    </row>
    <row r="417">
      <c r="F417" s="27"/>
      <c r="G417" s="27"/>
      <c r="H417" s="27"/>
      <c r="J417" s="27"/>
      <c r="L417" s="27"/>
      <c r="M417" s="27"/>
    </row>
    <row r="418">
      <c r="F418" s="27"/>
      <c r="G418" s="27"/>
      <c r="H418" s="27"/>
      <c r="J418" s="27"/>
      <c r="L418" s="27"/>
      <c r="M418" s="27"/>
    </row>
    <row r="419">
      <c r="F419" s="27"/>
      <c r="G419" s="27"/>
      <c r="H419" s="27"/>
      <c r="J419" s="27"/>
      <c r="L419" s="27"/>
      <c r="M419" s="27"/>
    </row>
    <row r="420">
      <c r="F420" s="27"/>
      <c r="G420" s="27"/>
      <c r="H420" s="27"/>
      <c r="J420" s="27"/>
      <c r="L420" s="27"/>
      <c r="M420" s="27"/>
    </row>
    <row r="421">
      <c r="F421" s="27"/>
      <c r="G421" s="27"/>
      <c r="H421" s="27"/>
      <c r="J421" s="27"/>
      <c r="L421" s="27"/>
      <c r="M421" s="27"/>
    </row>
    <row r="422">
      <c r="F422" s="27"/>
      <c r="G422" s="27"/>
      <c r="H422" s="27"/>
      <c r="J422" s="27"/>
      <c r="L422" s="27"/>
      <c r="M422" s="27"/>
    </row>
    <row r="423">
      <c r="F423" s="27"/>
      <c r="G423" s="27"/>
      <c r="H423" s="27"/>
      <c r="J423" s="27"/>
      <c r="L423" s="27"/>
      <c r="M423" s="27"/>
    </row>
    <row r="424">
      <c r="F424" s="27"/>
      <c r="G424" s="27"/>
      <c r="H424" s="27"/>
      <c r="J424" s="27"/>
      <c r="L424" s="27"/>
      <c r="M424" s="27"/>
    </row>
    <row r="425">
      <c r="F425" s="27"/>
      <c r="G425" s="27"/>
      <c r="H425" s="27"/>
      <c r="J425" s="27"/>
      <c r="L425" s="27"/>
      <c r="M425" s="27"/>
    </row>
    <row r="426">
      <c r="F426" s="27"/>
      <c r="G426" s="27"/>
      <c r="H426" s="27"/>
      <c r="J426" s="27"/>
      <c r="L426" s="27"/>
      <c r="M426" s="27"/>
    </row>
    <row r="427">
      <c r="F427" s="27"/>
      <c r="G427" s="27"/>
      <c r="H427" s="27"/>
      <c r="J427" s="27"/>
      <c r="L427" s="27"/>
      <c r="M427" s="27"/>
    </row>
    <row r="428">
      <c r="F428" s="27"/>
      <c r="G428" s="27"/>
      <c r="H428" s="27"/>
      <c r="J428" s="27"/>
      <c r="L428" s="27"/>
      <c r="M428" s="27"/>
    </row>
    <row r="429">
      <c r="F429" s="27"/>
      <c r="G429" s="27"/>
      <c r="H429" s="27"/>
      <c r="J429" s="27"/>
      <c r="L429" s="27"/>
      <c r="M429" s="27"/>
    </row>
    <row r="430">
      <c r="F430" s="27"/>
      <c r="G430" s="27"/>
      <c r="H430" s="27"/>
      <c r="J430" s="27"/>
      <c r="L430" s="27"/>
      <c r="M430" s="27"/>
    </row>
    <row r="431">
      <c r="F431" s="27"/>
      <c r="G431" s="27"/>
      <c r="H431" s="27"/>
      <c r="J431" s="27"/>
      <c r="L431" s="27"/>
      <c r="M431" s="27"/>
    </row>
    <row r="432">
      <c r="F432" s="27"/>
      <c r="G432" s="27"/>
      <c r="H432" s="27"/>
      <c r="J432" s="27"/>
      <c r="L432" s="27"/>
      <c r="M432" s="27"/>
    </row>
    <row r="433">
      <c r="F433" s="27"/>
      <c r="G433" s="27"/>
      <c r="H433" s="27"/>
      <c r="J433" s="27"/>
      <c r="L433" s="27"/>
      <c r="M433" s="27"/>
    </row>
    <row r="434">
      <c r="F434" s="27"/>
      <c r="G434" s="27"/>
      <c r="H434" s="27"/>
      <c r="J434" s="27"/>
      <c r="L434" s="27"/>
      <c r="M434" s="27"/>
    </row>
    <row r="435">
      <c r="F435" s="27"/>
      <c r="G435" s="27"/>
      <c r="H435" s="27"/>
      <c r="J435" s="27"/>
      <c r="L435" s="27"/>
      <c r="M435" s="27"/>
    </row>
    <row r="436">
      <c r="F436" s="27"/>
      <c r="G436" s="27"/>
      <c r="H436" s="27"/>
      <c r="J436" s="27"/>
      <c r="L436" s="27"/>
      <c r="M436" s="27"/>
    </row>
    <row r="437">
      <c r="F437" s="27"/>
      <c r="G437" s="27"/>
      <c r="H437" s="27"/>
      <c r="J437" s="27"/>
      <c r="L437" s="27"/>
      <c r="M437" s="27"/>
    </row>
    <row r="438">
      <c r="F438" s="27"/>
      <c r="G438" s="27"/>
      <c r="H438" s="27"/>
      <c r="J438" s="27"/>
      <c r="L438" s="27"/>
      <c r="M438" s="27"/>
    </row>
    <row r="439">
      <c r="F439" s="27"/>
      <c r="G439" s="27"/>
      <c r="H439" s="27"/>
      <c r="J439" s="27"/>
      <c r="L439" s="27"/>
      <c r="M439" s="27"/>
    </row>
    <row r="440">
      <c r="F440" s="27"/>
      <c r="G440" s="27"/>
      <c r="H440" s="27"/>
      <c r="J440" s="27"/>
      <c r="L440" s="27"/>
      <c r="M440" s="27"/>
    </row>
    <row r="441">
      <c r="F441" s="27"/>
      <c r="G441" s="27"/>
      <c r="H441" s="27"/>
      <c r="J441" s="27"/>
      <c r="L441" s="27"/>
      <c r="M441" s="27"/>
    </row>
    <row r="442">
      <c r="F442" s="27"/>
      <c r="G442" s="27"/>
      <c r="H442" s="27"/>
      <c r="J442" s="27"/>
      <c r="L442" s="27"/>
      <c r="M442" s="27"/>
    </row>
    <row r="443">
      <c r="F443" s="27"/>
      <c r="G443" s="27"/>
      <c r="H443" s="27"/>
      <c r="J443" s="27"/>
      <c r="L443" s="27"/>
      <c r="M443" s="27"/>
    </row>
    <row r="444">
      <c r="F444" s="27"/>
      <c r="G444" s="27"/>
      <c r="H444" s="27"/>
      <c r="J444" s="27"/>
      <c r="L444" s="27"/>
      <c r="M444" s="27"/>
    </row>
    <row r="445">
      <c r="F445" s="27"/>
      <c r="G445" s="27"/>
      <c r="H445" s="27"/>
      <c r="J445" s="27"/>
      <c r="L445" s="27"/>
      <c r="M445" s="27"/>
    </row>
    <row r="446">
      <c r="F446" s="27"/>
      <c r="G446" s="27"/>
      <c r="H446" s="27"/>
      <c r="J446" s="27"/>
      <c r="L446" s="27"/>
      <c r="M446" s="27"/>
    </row>
    <row r="447">
      <c r="F447" s="27"/>
      <c r="G447" s="27"/>
      <c r="H447" s="27"/>
      <c r="J447" s="27"/>
      <c r="L447" s="27"/>
      <c r="M447" s="27"/>
    </row>
    <row r="448">
      <c r="F448" s="27"/>
      <c r="G448" s="27"/>
      <c r="H448" s="27"/>
      <c r="J448" s="27"/>
      <c r="L448" s="27"/>
      <c r="M448" s="27"/>
    </row>
    <row r="449">
      <c r="F449" s="27"/>
      <c r="G449" s="27"/>
      <c r="H449" s="27"/>
      <c r="J449" s="27"/>
      <c r="L449" s="27"/>
      <c r="M449" s="27"/>
    </row>
    <row r="450">
      <c r="F450" s="27"/>
      <c r="G450" s="27"/>
      <c r="H450" s="27"/>
      <c r="J450" s="27"/>
      <c r="L450" s="27"/>
      <c r="M450" s="27"/>
    </row>
    <row r="451">
      <c r="F451" s="27"/>
      <c r="G451" s="27"/>
      <c r="H451" s="27"/>
      <c r="J451" s="27"/>
      <c r="L451" s="27"/>
      <c r="M451" s="27"/>
    </row>
    <row r="452">
      <c r="F452" s="27"/>
      <c r="G452" s="27"/>
      <c r="H452" s="27"/>
      <c r="J452" s="27"/>
      <c r="L452" s="27"/>
      <c r="M452" s="27"/>
    </row>
    <row r="453">
      <c r="F453" s="27"/>
      <c r="G453" s="27"/>
      <c r="H453" s="27"/>
      <c r="J453" s="27"/>
      <c r="L453" s="27"/>
      <c r="M453" s="27"/>
    </row>
    <row r="454">
      <c r="F454" s="27"/>
      <c r="G454" s="27"/>
      <c r="H454" s="27"/>
      <c r="J454" s="27"/>
      <c r="L454" s="27"/>
      <c r="M454" s="27"/>
    </row>
    <row r="455">
      <c r="F455" s="27"/>
      <c r="G455" s="27"/>
      <c r="H455" s="27"/>
      <c r="J455" s="27"/>
      <c r="L455" s="27"/>
      <c r="M455" s="27"/>
    </row>
    <row r="456">
      <c r="F456" s="27"/>
      <c r="G456" s="27"/>
      <c r="H456" s="27"/>
      <c r="J456" s="27"/>
      <c r="L456" s="27"/>
      <c r="M456" s="27"/>
    </row>
    <row r="457">
      <c r="F457" s="27"/>
      <c r="G457" s="27"/>
      <c r="H457" s="27"/>
      <c r="J457" s="27"/>
      <c r="L457" s="27"/>
      <c r="M457" s="27"/>
    </row>
    <row r="458">
      <c r="F458" s="27"/>
      <c r="G458" s="27"/>
      <c r="H458" s="27"/>
      <c r="J458" s="27"/>
      <c r="L458" s="27"/>
      <c r="M458" s="27"/>
    </row>
    <row r="459">
      <c r="F459" s="27"/>
      <c r="G459" s="27"/>
      <c r="H459" s="27"/>
      <c r="J459" s="27"/>
      <c r="L459" s="27"/>
      <c r="M459" s="27"/>
    </row>
    <row r="460">
      <c r="F460" s="27"/>
      <c r="G460" s="27"/>
      <c r="H460" s="27"/>
      <c r="J460" s="27"/>
      <c r="L460" s="27"/>
      <c r="M460" s="27"/>
    </row>
    <row r="461">
      <c r="F461" s="27"/>
      <c r="G461" s="27"/>
      <c r="H461" s="27"/>
      <c r="J461" s="27"/>
      <c r="L461" s="27"/>
      <c r="M461" s="27"/>
    </row>
    <row r="462">
      <c r="F462" s="27"/>
      <c r="G462" s="27"/>
      <c r="H462" s="27"/>
      <c r="J462" s="27"/>
      <c r="L462" s="27"/>
      <c r="M462" s="27"/>
    </row>
    <row r="463">
      <c r="F463" s="27"/>
      <c r="G463" s="27"/>
      <c r="H463" s="27"/>
      <c r="J463" s="27"/>
      <c r="L463" s="27"/>
      <c r="M463" s="27"/>
    </row>
    <row r="464">
      <c r="F464" s="27"/>
      <c r="G464" s="27"/>
      <c r="H464" s="27"/>
      <c r="J464" s="27"/>
      <c r="L464" s="27"/>
      <c r="M464" s="27"/>
    </row>
    <row r="465">
      <c r="F465" s="27"/>
      <c r="G465" s="27"/>
      <c r="H465" s="27"/>
      <c r="J465" s="27"/>
      <c r="L465" s="27"/>
      <c r="M465" s="27"/>
    </row>
    <row r="466">
      <c r="F466" s="27"/>
      <c r="G466" s="27"/>
      <c r="H466" s="27"/>
      <c r="J466" s="27"/>
      <c r="L466" s="27"/>
      <c r="M466" s="27"/>
    </row>
    <row r="467">
      <c r="F467" s="27"/>
      <c r="G467" s="27"/>
      <c r="H467" s="27"/>
      <c r="J467" s="27"/>
      <c r="L467" s="27"/>
      <c r="M467" s="27"/>
    </row>
    <row r="468">
      <c r="F468" s="27"/>
      <c r="G468" s="27"/>
      <c r="H468" s="27"/>
      <c r="J468" s="27"/>
      <c r="L468" s="27"/>
      <c r="M468" s="27"/>
    </row>
    <row r="469">
      <c r="F469" s="27"/>
      <c r="G469" s="27"/>
      <c r="H469" s="27"/>
      <c r="J469" s="27"/>
      <c r="L469" s="27"/>
      <c r="M469" s="27"/>
    </row>
    <row r="470">
      <c r="F470" s="27"/>
      <c r="G470" s="27"/>
      <c r="H470" s="27"/>
      <c r="J470" s="27"/>
      <c r="L470" s="27"/>
      <c r="M470" s="27"/>
    </row>
    <row r="471">
      <c r="F471" s="27"/>
      <c r="G471" s="27"/>
      <c r="H471" s="27"/>
      <c r="J471" s="27"/>
      <c r="L471" s="27"/>
      <c r="M471" s="27"/>
    </row>
    <row r="472">
      <c r="F472" s="27"/>
      <c r="G472" s="27"/>
      <c r="H472" s="27"/>
      <c r="J472" s="27"/>
      <c r="L472" s="27"/>
      <c r="M472" s="27"/>
    </row>
    <row r="473">
      <c r="F473" s="27"/>
      <c r="G473" s="27"/>
      <c r="H473" s="27"/>
      <c r="J473" s="27"/>
      <c r="L473" s="27"/>
      <c r="M473" s="27"/>
    </row>
    <row r="474">
      <c r="F474" s="27"/>
      <c r="G474" s="27"/>
      <c r="H474" s="27"/>
      <c r="J474" s="27"/>
      <c r="L474" s="27"/>
      <c r="M474" s="27"/>
    </row>
    <row r="475">
      <c r="F475" s="27"/>
      <c r="G475" s="27"/>
      <c r="H475" s="27"/>
      <c r="J475" s="27"/>
      <c r="L475" s="27"/>
      <c r="M475" s="27"/>
    </row>
    <row r="476">
      <c r="F476" s="27"/>
      <c r="G476" s="27"/>
      <c r="H476" s="27"/>
      <c r="J476" s="27"/>
      <c r="L476" s="27"/>
      <c r="M476" s="27"/>
    </row>
    <row r="477">
      <c r="F477" s="27"/>
      <c r="G477" s="27"/>
      <c r="H477" s="27"/>
      <c r="J477" s="27"/>
      <c r="L477" s="27"/>
      <c r="M477" s="27"/>
    </row>
    <row r="478">
      <c r="F478" s="27"/>
      <c r="G478" s="27"/>
      <c r="H478" s="27"/>
      <c r="J478" s="27"/>
      <c r="L478" s="27"/>
      <c r="M478" s="27"/>
    </row>
    <row r="479">
      <c r="F479" s="27"/>
      <c r="G479" s="27"/>
      <c r="H479" s="27"/>
      <c r="J479" s="27"/>
      <c r="L479" s="27"/>
      <c r="M479" s="27"/>
    </row>
    <row r="480">
      <c r="F480" s="27"/>
      <c r="G480" s="27"/>
      <c r="H480" s="27"/>
      <c r="J480" s="27"/>
      <c r="L480" s="27"/>
      <c r="M480" s="27"/>
    </row>
    <row r="481">
      <c r="F481" s="27"/>
      <c r="G481" s="27"/>
      <c r="H481" s="27"/>
      <c r="J481" s="27"/>
      <c r="L481" s="27"/>
      <c r="M481" s="27"/>
    </row>
    <row r="482">
      <c r="F482" s="27"/>
      <c r="G482" s="27"/>
      <c r="H482" s="27"/>
      <c r="J482" s="27"/>
      <c r="L482" s="27"/>
      <c r="M482" s="27"/>
    </row>
    <row r="483">
      <c r="F483" s="27"/>
      <c r="G483" s="27"/>
      <c r="H483" s="27"/>
      <c r="J483" s="27"/>
      <c r="L483" s="27"/>
      <c r="M483" s="27"/>
    </row>
    <row r="484">
      <c r="F484" s="27"/>
      <c r="G484" s="27"/>
      <c r="H484" s="27"/>
      <c r="J484" s="27"/>
      <c r="L484" s="27"/>
      <c r="M484" s="27"/>
    </row>
    <row r="485">
      <c r="F485" s="27"/>
      <c r="G485" s="27"/>
      <c r="H485" s="27"/>
      <c r="J485" s="27"/>
      <c r="L485" s="27"/>
      <c r="M485" s="27"/>
    </row>
    <row r="486">
      <c r="F486" s="27"/>
      <c r="G486" s="27"/>
      <c r="H486" s="27"/>
      <c r="J486" s="27"/>
      <c r="L486" s="27"/>
      <c r="M486" s="27"/>
    </row>
    <row r="487">
      <c r="F487" s="27"/>
      <c r="G487" s="27"/>
      <c r="H487" s="27"/>
      <c r="J487" s="27"/>
      <c r="L487" s="27"/>
      <c r="M487" s="27"/>
    </row>
    <row r="488">
      <c r="F488" s="27"/>
      <c r="G488" s="27"/>
      <c r="H488" s="27"/>
      <c r="J488" s="27"/>
      <c r="L488" s="27"/>
      <c r="M488" s="27"/>
    </row>
    <row r="489">
      <c r="F489" s="27"/>
      <c r="G489" s="27"/>
      <c r="H489" s="27"/>
      <c r="J489" s="27"/>
      <c r="L489" s="27"/>
      <c r="M489" s="27"/>
    </row>
    <row r="490">
      <c r="F490" s="27"/>
      <c r="G490" s="27"/>
      <c r="H490" s="27"/>
      <c r="J490" s="27"/>
      <c r="L490" s="27"/>
      <c r="M490" s="27"/>
    </row>
    <row r="491">
      <c r="F491" s="27"/>
      <c r="G491" s="27"/>
      <c r="H491" s="27"/>
      <c r="J491" s="27"/>
      <c r="L491" s="27"/>
      <c r="M491" s="27"/>
    </row>
    <row r="492">
      <c r="F492" s="27"/>
      <c r="G492" s="27"/>
      <c r="H492" s="27"/>
      <c r="J492" s="27"/>
      <c r="L492" s="27"/>
      <c r="M492" s="27"/>
    </row>
    <row r="493">
      <c r="F493" s="27"/>
      <c r="G493" s="27"/>
      <c r="H493" s="27"/>
      <c r="J493" s="27"/>
      <c r="L493" s="27"/>
      <c r="M493" s="27"/>
    </row>
    <row r="494">
      <c r="F494" s="27"/>
      <c r="G494" s="27"/>
      <c r="H494" s="27"/>
      <c r="J494" s="27"/>
      <c r="L494" s="27"/>
      <c r="M494" s="27"/>
    </row>
    <row r="495">
      <c r="F495" s="27"/>
      <c r="G495" s="27"/>
      <c r="H495" s="27"/>
      <c r="J495" s="27"/>
      <c r="L495" s="27"/>
      <c r="M495" s="27"/>
    </row>
    <row r="496">
      <c r="F496" s="27"/>
      <c r="G496" s="27"/>
      <c r="H496" s="27"/>
      <c r="J496" s="27"/>
      <c r="L496" s="27"/>
      <c r="M496" s="27"/>
    </row>
    <row r="497">
      <c r="F497" s="27"/>
      <c r="G497" s="27"/>
      <c r="H497" s="27"/>
      <c r="J497" s="27"/>
      <c r="L497" s="27"/>
      <c r="M497" s="27"/>
    </row>
    <row r="498">
      <c r="F498" s="27"/>
      <c r="G498" s="27"/>
      <c r="H498" s="27"/>
      <c r="J498" s="27"/>
      <c r="L498" s="27"/>
      <c r="M498" s="27"/>
    </row>
    <row r="499">
      <c r="F499" s="27"/>
      <c r="G499" s="27"/>
      <c r="H499" s="27"/>
      <c r="J499" s="27"/>
      <c r="L499" s="27"/>
      <c r="M499" s="27"/>
    </row>
    <row r="500">
      <c r="F500" s="27"/>
      <c r="G500" s="27"/>
      <c r="H500" s="27"/>
      <c r="J500" s="27"/>
      <c r="L500" s="27"/>
      <c r="M500" s="27"/>
    </row>
    <row r="501">
      <c r="F501" s="27"/>
      <c r="G501" s="27"/>
      <c r="H501" s="27"/>
      <c r="J501" s="27"/>
      <c r="L501" s="27"/>
      <c r="M501" s="27"/>
    </row>
    <row r="502">
      <c r="F502" s="27"/>
      <c r="G502" s="27"/>
      <c r="H502" s="27"/>
      <c r="J502" s="27"/>
      <c r="L502" s="27"/>
      <c r="M502" s="27"/>
    </row>
    <row r="503">
      <c r="F503" s="27"/>
      <c r="G503" s="27"/>
      <c r="H503" s="27"/>
      <c r="J503" s="27"/>
      <c r="L503" s="27"/>
      <c r="M503" s="27"/>
    </row>
    <row r="504">
      <c r="F504" s="27"/>
      <c r="G504" s="27"/>
      <c r="H504" s="27"/>
      <c r="J504" s="27"/>
      <c r="L504" s="27"/>
      <c r="M504" s="27"/>
    </row>
    <row r="505">
      <c r="F505" s="27"/>
      <c r="G505" s="27"/>
      <c r="H505" s="27"/>
      <c r="J505" s="27"/>
      <c r="L505" s="27"/>
      <c r="M505" s="27"/>
    </row>
    <row r="506">
      <c r="F506" s="27"/>
      <c r="G506" s="27"/>
      <c r="H506" s="27"/>
      <c r="J506" s="27"/>
      <c r="L506" s="27"/>
      <c r="M506" s="27"/>
    </row>
    <row r="507">
      <c r="F507" s="27"/>
      <c r="G507" s="27"/>
      <c r="H507" s="27"/>
      <c r="J507" s="27"/>
      <c r="L507" s="27"/>
      <c r="M507" s="27"/>
    </row>
    <row r="508">
      <c r="F508" s="27"/>
      <c r="G508" s="27"/>
      <c r="H508" s="27"/>
      <c r="J508" s="27"/>
      <c r="L508" s="27"/>
      <c r="M508" s="27"/>
    </row>
    <row r="509">
      <c r="F509" s="27"/>
      <c r="G509" s="27"/>
      <c r="H509" s="27"/>
      <c r="J509" s="27"/>
      <c r="L509" s="27"/>
      <c r="M509" s="27"/>
    </row>
    <row r="510">
      <c r="F510" s="27"/>
      <c r="G510" s="27"/>
      <c r="H510" s="27"/>
      <c r="J510" s="27"/>
      <c r="L510" s="27"/>
      <c r="M510" s="27"/>
    </row>
    <row r="511">
      <c r="F511" s="27"/>
      <c r="G511" s="27"/>
      <c r="H511" s="27"/>
      <c r="J511" s="27"/>
      <c r="L511" s="27"/>
      <c r="M511" s="27"/>
    </row>
    <row r="512">
      <c r="F512" s="27"/>
      <c r="G512" s="27"/>
      <c r="H512" s="27"/>
      <c r="J512" s="27"/>
      <c r="L512" s="27"/>
      <c r="M512" s="27"/>
    </row>
    <row r="513">
      <c r="F513" s="27"/>
      <c r="G513" s="27"/>
      <c r="H513" s="27"/>
      <c r="J513" s="27"/>
      <c r="L513" s="27"/>
      <c r="M513" s="27"/>
    </row>
    <row r="514">
      <c r="F514" s="27"/>
      <c r="G514" s="27"/>
      <c r="H514" s="27"/>
      <c r="J514" s="27"/>
      <c r="L514" s="27"/>
      <c r="M514" s="27"/>
    </row>
    <row r="515">
      <c r="F515" s="27"/>
      <c r="G515" s="27"/>
      <c r="H515" s="27"/>
      <c r="J515" s="27"/>
      <c r="L515" s="27"/>
      <c r="M515" s="27"/>
    </row>
    <row r="516">
      <c r="F516" s="27"/>
      <c r="G516" s="27"/>
      <c r="H516" s="27"/>
      <c r="J516" s="27"/>
      <c r="L516" s="27"/>
      <c r="M516" s="27"/>
    </row>
    <row r="517">
      <c r="F517" s="27"/>
      <c r="G517" s="27"/>
      <c r="H517" s="27"/>
      <c r="J517" s="27"/>
      <c r="L517" s="27"/>
      <c r="M517" s="27"/>
    </row>
    <row r="518">
      <c r="F518" s="27"/>
      <c r="G518" s="27"/>
      <c r="H518" s="27"/>
      <c r="J518" s="27"/>
      <c r="L518" s="27"/>
      <c r="M518" s="27"/>
    </row>
    <row r="519">
      <c r="F519" s="27"/>
      <c r="G519" s="27"/>
      <c r="H519" s="27"/>
      <c r="J519" s="27"/>
      <c r="L519" s="27"/>
      <c r="M519" s="27"/>
    </row>
    <row r="520">
      <c r="F520" s="27"/>
      <c r="G520" s="27"/>
      <c r="H520" s="27"/>
      <c r="J520" s="27"/>
      <c r="L520" s="27"/>
      <c r="M520" s="27"/>
    </row>
    <row r="521">
      <c r="F521" s="27"/>
      <c r="G521" s="27"/>
      <c r="H521" s="27"/>
      <c r="J521" s="27"/>
      <c r="L521" s="27"/>
      <c r="M521" s="27"/>
    </row>
    <row r="522">
      <c r="F522" s="27"/>
      <c r="G522" s="27"/>
      <c r="H522" s="27"/>
      <c r="J522" s="27"/>
      <c r="L522" s="27"/>
      <c r="M522" s="27"/>
    </row>
    <row r="523">
      <c r="F523" s="27"/>
      <c r="G523" s="27"/>
      <c r="H523" s="27"/>
      <c r="J523" s="27"/>
      <c r="L523" s="27"/>
      <c r="M523" s="27"/>
    </row>
    <row r="524">
      <c r="F524" s="27"/>
      <c r="G524" s="27"/>
      <c r="H524" s="27"/>
      <c r="J524" s="27"/>
      <c r="L524" s="27"/>
      <c r="M524" s="27"/>
    </row>
    <row r="525">
      <c r="F525" s="27"/>
      <c r="G525" s="27"/>
      <c r="H525" s="27"/>
      <c r="J525" s="27"/>
      <c r="L525" s="27"/>
      <c r="M525" s="27"/>
    </row>
    <row r="526">
      <c r="F526" s="27"/>
      <c r="G526" s="27"/>
      <c r="H526" s="27"/>
      <c r="J526" s="27"/>
      <c r="L526" s="27"/>
      <c r="M526" s="27"/>
    </row>
    <row r="527">
      <c r="F527" s="27"/>
      <c r="G527" s="27"/>
      <c r="H527" s="27"/>
      <c r="J527" s="27"/>
      <c r="L527" s="27"/>
      <c r="M527" s="27"/>
    </row>
    <row r="528">
      <c r="F528" s="27"/>
      <c r="G528" s="27"/>
      <c r="H528" s="27"/>
      <c r="J528" s="27"/>
      <c r="L528" s="27"/>
      <c r="M528" s="27"/>
    </row>
    <row r="529">
      <c r="F529" s="27"/>
      <c r="G529" s="27"/>
      <c r="H529" s="27"/>
      <c r="J529" s="27"/>
      <c r="L529" s="27"/>
      <c r="M529" s="27"/>
    </row>
    <row r="530">
      <c r="F530" s="27"/>
      <c r="G530" s="27"/>
      <c r="H530" s="27"/>
      <c r="J530" s="27"/>
      <c r="L530" s="27"/>
      <c r="M530" s="27"/>
    </row>
    <row r="531">
      <c r="F531" s="27"/>
      <c r="G531" s="27"/>
      <c r="H531" s="27"/>
      <c r="J531" s="27"/>
      <c r="L531" s="27"/>
      <c r="M531" s="27"/>
    </row>
    <row r="532">
      <c r="F532" s="27"/>
      <c r="G532" s="27"/>
      <c r="H532" s="27"/>
      <c r="J532" s="27"/>
      <c r="L532" s="27"/>
      <c r="M532" s="27"/>
    </row>
    <row r="533">
      <c r="F533" s="27"/>
      <c r="G533" s="27"/>
      <c r="H533" s="27"/>
      <c r="J533" s="27"/>
      <c r="L533" s="27"/>
      <c r="M533" s="27"/>
    </row>
    <row r="534">
      <c r="F534" s="27"/>
      <c r="G534" s="27"/>
      <c r="H534" s="27"/>
      <c r="J534" s="27"/>
      <c r="L534" s="27"/>
      <c r="M534" s="27"/>
    </row>
    <row r="535">
      <c r="F535" s="27"/>
      <c r="G535" s="27"/>
      <c r="H535" s="27"/>
      <c r="J535" s="27"/>
      <c r="L535" s="27"/>
      <c r="M535" s="27"/>
    </row>
    <row r="536">
      <c r="F536" s="27"/>
      <c r="G536" s="27"/>
      <c r="H536" s="27"/>
      <c r="J536" s="27"/>
      <c r="L536" s="27"/>
      <c r="M536" s="27"/>
    </row>
    <row r="537">
      <c r="F537" s="27"/>
      <c r="G537" s="27"/>
      <c r="H537" s="27"/>
      <c r="J537" s="27"/>
      <c r="L537" s="27"/>
      <c r="M537" s="27"/>
    </row>
    <row r="538">
      <c r="F538" s="27"/>
      <c r="G538" s="27"/>
      <c r="H538" s="27"/>
      <c r="J538" s="27"/>
      <c r="L538" s="27"/>
      <c r="M538" s="27"/>
    </row>
    <row r="539">
      <c r="F539" s="27"/>
      <c r="G539" s="27"/>
      <c r="H539" s="27"/>
      <c r="J539" s="27"/>
      <c r="L539" s="27"/>
      <c r="M539" s="27"/>
    </row>
    <row r="540">
      <c r="F540" s="27"/>
      <c r="G540" s="27"/>
      <c r="H540" s="27"/>
      <c r="J540" s="27"/>
      <c r="L540" s="27"/>
      <c r="M540" s="27"/>
    </row>
    <row r="541">
      <c r="F541" s="27"/>
      <c r="G541" s="27"/>
      <c r="H541" s="27"/>
      <c r="J541" s="27"/>
      <c r="L541" s="27"/>
      <c r="M541" s="27"/>
    </row>
    <row r="542">
      <c r="F542" s="27"/>
      <c r="G542" s="27"/>
      <c r="H542" s="27"/>
      <c r="J542" s="27"/>
      <c r="L542" s="27"/>
      <c r="M542" s="27"/>
    </row>
    <row r="543">
      <c r="F543" s="27"/>
      <c r="G543" s="27"/>
      <c r="H543" s="27"/>
      <c r="J543" s="27"/>
      <c r="L543" s="27"/>
      <c r="M543" s="27"/>
    </row>
    <row r="544">
      <c r="F544" s="27"/>
      <c r="G544" s="27"/>
      <c r="H544" s="27"/>
      <c r="J544" s="27"/>
      <c r="L544" s="27"/>
      <c r="M544" s="27"/>
    </row>
    <row r="545">
      <c r="F545" s="27"/>
      <c r="G545" s="27"/>
      <c r="H545" s="27"/>
      <c r="J545" s="27"/>
      <c r="L545" s="27"/>
      <c r="M545" s="27"/>
    </row>
    <row r="546">
      <c r="F546" s="27"/>
      <c r="G546" s="27"/>
      <c r="H546" s="27"/>
      <c r="J546" s="27"/>
      <c r="L546" s="27"/>
      <c r="M546" s="27"/>
    </row>
    <row r="547">
      <c r="F547" s="27"/>
      <c r="G547" s="27"/>
      <c r="H547" s="27"/>
      <c r="J547" s="27"/>
      <c r="L547" s="27"/>
      <c r="M547" s="27"/>
    </row>
    <row r="548">
      <c r="F548" s="27"/>
      <c r="G548" s="27"/>
      <c r="H548" s="27"/>
      <c r="J548" s="27"/>
      <c r="L548" s="27"/>
      <c r="M548" s="27"/>
    </row>
    <row r="549">
      <c r="F549" s="27"/>
      <c r="G549" s="27"/>
      <c r="H549" s="27"/>
      <c r="J549" s="27"/>
      <c r="L549" s="27"/>
      <c r="M549" s="27"/>
    </row>
    <row r="550">
      <c r="F550" s="27"/>
      <c r="G550" s="27"/>
      <c r="H550" s="27"/>
      <c r="J550" s="27"/>
      <c r="L550" s="27"/>
      <c r="M550" s="27"/>
    </row>
    <row r="551">
      <c r="F551" s="27"/>
      <c r="G551" s="27"/>
      <c r="H551" s="27"/>
      <c r="J551" s="27"/>
      <c r="L551" s="27"/>
      <c r="M551" s="27"/>
    </row>
    <row r="552">
      <c r="F552" s="27"/>
      <c r="G552" s="27"/>
      <c r="H552" s="27"/>
      <c r="J552" s="27"/>
      <c r="L552" s="27"/>
      <c r="M552" s="27"/>
    </row>
    <row r="553">
      <c r="F553" s="27"/>
      <c r="G553" s="27"/>
      <c r="H553" s="27"/>
      <c r="J553" s="27"/>
      <c r="L553" s="27"/>
      <c r="M553" s="27"/>
    </row>
    <row r="554">
      <c r="F554" s="27"/>
      <c r="G554" s="27"/>
      <c r="H554" s="27"/>
      <c r="J554" s="27"/>
      <c r="L554" s="27"/>
      <c r="M554" s="27"/>
    </row>
    <row r="555">
      <c r="F555" s="27"/>
      <c r="G555" s="27"/>
      <c r="H555" s="27"/>
      <c r="J555" s="27"/>
      <c r="L555" s="27"/>
      <c r="M555" s="27"/>
    </row>
    <row r="556">
      <c r="F556" s="27"/>
      <c r="G556" s="27"/>
      <c r="H556" s="27"/>
      <c r="J556" s="27"/>
      <c r="L556" s="27"/>
      <c r="M556" s="27"/>
    </row>
    <row r="557">
      <c r="F557" s="27"/>
      <c r="G557" s="27"/>
      <c r="H557" s="27"/>
      <c r="J557" s="27"/>
      <c r="L557" s="27"/>
      <c r="M557" s="27"/>
    </row>
    <row r="558">
      <c r="F558" s="27"/>
      <c r="G558" s="27"/>
      <c r="H558" s="27"/>
      <c r="J558" s="27"/>
      <c r="L558" s="27"/>
      <c r="M558" s="27"/>
    </row>
    <row r="559">
      <c r="F559" s="27"/>
      <c r="G559" s="27"/>
      <c r="H559" s="27"/>
      <c r="J559" s="27"/>
      <c r="L559" s="27"/>
      <c r="M559" s="27"/>
    </row>
    <row r="560">
      <c r="F560" s="27"/>
      <c r="G560" s="27"/>
      <c r="H560" s="27"/>
      <c r="J560" s="27"/>
      <c r="L560" s="27"/>
      <c r="M560" s="27"/>
    </row>
    <row r="561">
      <c r="F561" s="27"/>
      <c r="G561" s="27"/>
      <c r="H561" s="27"/>
      <c r="J561" s="27"/>
      <c r="L561" s="27"/>
      <c r="M561" s="27"/>
    </row>
    <row r="562">
      <c r="F562" s="27"/>
      <c r="G562" s="27"/>
      <c r="H562" s="27"/>
      <c r="J562" s="27"/>
      <c r="L562" s="27"/>
      <c r="M562" s="27"/>
    </row>
    <row r="563">
      <c r="F563" s="27"/>
      <c r="G563" s="27"/>
      <c r="H563" s="27"/>
      <c r="J563" s="27"/>
      <c r="L563" s="27"/>
      <c r="M563" s="27"/>
    </row>
    <row r="564">
      <c r="F564" s="27"/>
      <c r="G564" s="27"/>
      <c r="H564" s="27"/>
      <c r="J564" s="27"/>
      <c r="L564" s="27"/>
      <c r="M564" s="27"/>
    </row>
    <row r="565">
      <c r="F565" s="27"/>
      <c r="G565" s="27"/>
      <c r="H565" s="27"/>
      <c r="J565" s="27"/>
      <c r="L565" s="27"/>
      <c r="M565" s="27"/>
    </row>
    <row r="566">
      <c r="F566" s="27"/>
      <c r="G566" s="27"/>
      <c r="H566" s="27"/>
      <c r="J566" s="27"/>
      <c r="L566" s="27"/>
      <c r="M566" s="27"/>
    </row>
    <row r="567">
      <c r="F567" s="27"/>
      <c r="G567" s="27"/>
      <c r="H567" s="27"/>
      <c r="J567" s="27"/>
      <c r="L567" s="27"/>
      <c r="M567" s="27"/>
    </row>
    <row r="568">
      <c r="F568" s="27"/>
      <c r="G568" s="27"/>
      <c r="H568" s="27"/>
      <c r="J568" s="27"/>
      <c r="L568" s="27"/>
      <c r="M568" s="27"/>
    </row>
    <row r="569">
      <c r="F569" s="27"/>
      <c r="G569" s="27"/>
      <c r="H569" s="27"/>
      <c r="J569" s="27"/>
      <c r="L569" s="27"/>
      <c r="M569" s="27"/>
    </row>
    <row r="570">
      <c r="F570" s="27"/>
      <c r="G570" s="27"/>
      <c r="H570" s="27"/>
      <c r="J570" s="27"/>
      <c r="L570" s="27"/>
      <c r="M570" s="27"/>
    </row>
    <row r="571">
      <c r="F571" s="27"/>
      <c r="G571" s="27"/>
      <c r="H571" s="27"/>
      <c r="J571" s="27"/>
      <c r="L571" s="27"/>
      <c r="M571" s="27"/>
    </row>
    <row r="572">
      <c r="F572" s="27"/>
      <c r="G572" s="27"/>
      <c r="H572" s="27"/>
      <c r="J572" s="27"/>
      <c r="L572" s="27"/>
      <c r="M572" s="27"/>
    </row>
    <row r="573">
      <c r="F573" s="27"/>
      <c r="G573" s="27"/>
      <c r="H573" s="27"/>
      <c r="J573" s="27"/>
      <c r="L573" s="27"/>
      <c r="M573" s="27"/>
    </row>
    <row r="574">
      <c r="F574" s="27"/>
      <c r="G574" s="27"/>
      <c r="H574" s="27"/>
      <c r="J574" s="27"/>
      <c r="L574" s="27"/>
      <c r="M574" s="27"/>
    </row>
    <row r="575">
      <c r="F575" s="27"/>
      <c r="G575" s="27"/>
      <c r="H575" s="27"/>
      <c r="J575" s="27"/>
      <c r="L575" s="27"/>
      <c r="M575" s="27"/>
    </row>
    <row r="576">
      <c r="F576" s="27"/>
      <c r="G576" s="27"/>
      <c r="H576" s="27"/>
      <c r="J576" s="27"/>
      <c r="L576" s="27"/>
      <c r="M576" s="27"/>
    </row>
    <row r="577">
      <c r="F577" s="27"/>
      <c r="G577" s="27"/>
      <c r="H577" s="27"/>
      <c r="J577" s="27"/>
      <c r="L577" s="27"/>
      <c r="M577" s="27"/>
    </row>
    <row r="578">
      <c r="F578" s="27"/>
      <c r="G578" s="27"/>
      <c r="H578" s="27"/>
      <c r="J578" s="27"/>
      <c r="L578" s="27"/>
      <c r="M578" s="27"/>
    </row>
    <row r="579">
      <c r="F579" s="27"/>
      <c r="G579" s="27"/>
      <c r="H579" s="27"/>
      <c r="J579" s="27"/>
      <c r="L579" s="27"/>
      <c r="M579" s="27"/>
    </row>
    <row r="580">
      <c r="F580" s="27"/>
      <c r="G580" s="27"/>
      <c r="H580" s="27"/>
      <c r="J580" s="27"/>
      <c r="L580" s="27"/>
      <c r="M580" s="27"/>
    </row>
    <row r="581">
      <c r="F581" s="27"/>
      <c r="G581" s="27"/>
      <c r="H581" s="27"/>
      <c r="J581" s="27"/>
      <c r="L581" s="27"/>
      <c r="M581" s="27"/>
    </row>
    <row r="582">
      <c r="F582" s="27"/>
      <c r="G582" s="27"/>
      <c r="H582" s="27"/>
      <c r="J582" s="27"/>
      <c r="L582" s="27"/>
      <c r="M582" s="27"/>
    </row>
    <row r="583">
      <c r="F583" s="27"/>
      <c r="G583" s="27"/>
      <c r="H583" s="27"/>
      <c r="J583" s="27"/>
      <c r="L583" s="27"/>
      <c r="M583" s="27"/>
    </row>
    <row r="584">
      <c r="F584" s="27"/>
      <c r="G584" s="27"/>
      <c r="H584" s="27"/>
      <c r="J584" s="27"/>
      <c r="L584" s="27"/>
      <c r="M584" s="27"/>
    </row>
    <row r="585">
      <c r="F585" s="27"/>
      <c r="G585" s="27"/>
      <c r="H585" s="27"/>
      <c r="J585" s="27"/>
      <c r="L585" s="27"/>
      <c r="M585" s="27"/>
    </row>
    <row r="586">
      <c r="F586" s="27"/>
      <c r="G586" s="27"/>
      <c r="H586" s="27"/>
      <c r="J586" s="27"/>
      <c r="L586" s="27"/>
      <c r="M586" s="27"/>
    </row>
    <row r="587">
      <c r="F587" s="27"/>
      <c r="G587" s="27"/>
      <c r="H587" s="27"/>
      <c r="J587" s="27"/>
      <c r="L587" s="27"/>
      <c r="M587" s="27"/>
    </row>
    <row r="588">
      <c r="F588" s="27"/>
      <c r="G588" s="27"/>
      <c r="H588" s="27"/>
      <c r="J588" s="27"/>
      <c r="L588" s="27"/>
      <c r="M588" s="27"/>
    </row>
    <row r="589">
      <c r="F589" s="27"/>
      <c r="G589" s="27"/>
      <c r="H589" s="27"/>
      <c r="J589" s="27"/>
      <c r="L589" s="27"/>
      <c r="M589" s="27"/>
    </row>
    <row r="590">
      <c r="F590" s="27"/>
      <c r="G590" s="27"/>
      <c r="H590" s="27"/>
      <c r="J590" s="27"/>
      <c r="L590" s="27"/>
      <c r="M590" s="27"/>
    </row>
    <row r="591">
      <c r="F591" s="27"/>
      <c r="G591" s="27"/>
      <c r="H591" s="27"/>
      <c r="J591" s="27"/>
      <c r="L591" s="27"/>
      <c r="M591" s="27"/>
    </row>
    <row r="592">
      <c r="F592" s="27"/>
      <c r="G592" s="27"/>
      <c r="H592" s="27"/>
      <c r="J592" s="27"/>
      <c r="L592" s="27"/>
      <c r="M592" s="27"/>
    </row>
    <row r="593">
      <c r="F593" s="27"/>
      <c r="G593" s="27"/>
      <c r="H593" s="27"/>
      <c r="J593" s="27"/>
      <c r="L593" s="27"/>
      <c r="M593" s="27"/>
    </row>
    <row r="594">
      <c r="F594" s="27"/>
      <c r="G594" s="27"/>
      <c r="H594" s="27"/>
      <c r="J594" s="27"/>
      <c r="L594" s="27"/>
      <c r="M594" s="27"/>
    </row>
    <row r="595">
      <c r="F595" s="27"/>
      <c r="G595" s="27"/>
      <c r="H595" s="27"/>
      <c r="J595" s="27"/>
      <c r="L595" s="27"/>
      <c r="M595" s="27"/>
    </row>
    <row r="596">
      <c r="F596" s="27"/>
      <c r="G596" s="27"/>
      <c r="H596" s="27"/>
      <c r="J596" s="27"/>
      <c r="L596" s="27"/>
      <c r="M596" s="27"/>
    </row>
    <row r="597">
      <c r="F597" s="27"/>
      <c r="G597" s="27"/>
      <c r="H597" s="27"/>
      <c r="J597" s="27"/>
      <c r="L597" s="27"/>
      <c r="M597" s="27"/>
    </row>
    <row r="598">
      <c r="F598" s="27"/>
      <c r="G598" s="27"/>
      <c r="H598" s="27"/>
      <c r="J598" s="27"/>
      <c r="L598" s="27"/>
      <c r="M598" s="27"/>
    </row>
    <row r="599">
      <c r="F599" s="27"/>
      <c r="G599" s="27"/>
      <c r="H599" s="27"/>
      <c r="J599" s="27"/>
      <c r="L599" s="27"/>
      <c r="M599" s="27"/>
    </row>
    <row r="600">
      <c r="F600" s="27"/>
      <c r="G600" s="27"/>
      <c r="H600" s="27"/>
      <c r="J600" s="27"/>
      <c r="L600" s="27"/>
      <c r="M600" s="27"/>
    </row>
    <row r="601">
      <c r="F601" s="27"/>
      <c r="G601" s="27"/>
      <c r="H601" s="27"/>
      <c r="J601" s="27"/>
      <c r="L601" s="27"/>
      <c r="M601" s="27"/>
    </row>
    <row r="602">
      <c r="F602" s="27"/>
      <c r="G602" s="27"/>
      <c r="H602" s="27"/>
      <c r="J602" s="27"/>
      <c r="L602" s="27"/>
      <c r="M602" s="27"/>
    </row>
    <row r="603">
      <c r="F603" s="27"/>
      <c r="G603" s="27"/>
      <c r="H603" s="27"/>
      <c r="J603" s="27"/>
      <c r="L603" s="27"/>
      <c r="M603" s="27"/>
    </row>
    <row r="604">
      <c r="F604" s="27"/>
      <c r="G604" s="27"/>
      <c r="H604" s="27"/>
      <c r="J604" s="27"/>
      <c r="L604" s="27"/>
      <c r="M604" s="27"/>
    </row>
    <row r="605">
      <c r="F605" s="27"/>
      <c r="G605" s="27"/>
      <c r="H605" s="27"/>
      <c r="J605" s="27"/>
      <c r="L605" s="27"/>
      <c r="M605" s="27"/>
    </row>
    <row r="606">
      <c r="F606" s="27"/>
      <c r="G606" s="27"/>
      <c r="H606" s="27"/>
      <c r="J606" s="27"/>
      <c r="L606" s="27"/>
      <c r="M606" s="27"/>
    </row>
    <row r="607">
      <c r="F607" s="27"/>
      <c r="G607" s="27"/>
      <c r="H607" s="27"/>
      <c r="J607" s="27"/>
      <c r="L607" s="27"/>
      <c r="M607" s="27"/>
    </row>
    <row r="608">
      <c r="F608" s="27"/>
      <c r="G608" s="27"/>
      <c r="H608" s="27"/>
      <c r="J608" s="27"/>
      <c r="L608" s="27"/>
      <c r="M608" s="27"/>
    </row>
    <row r="609">
      <c r="F609" s="27"/>
      <c r="G609" s="27"/>
      <c r="H609" s="27"/>
      <c r="J609" s="27"/>
      <c r="L609" s="27"/>
      <c r="M609" s="27"/>
    </row>
    <row r="610">
      <c r="F610" s="27"/>
      <c r="G610" s="27"/>
      <c r="H610" s="27"/>
      <c r="J610" s="27"/>
      <c r="L610" s="27"/>
      <c r="M610" s="27"/>
    </row>
    <row r="611">
      <c r="F611" s="27"/>
      <c r="G611" s="27"/>
      <c r="H611" s="27"/>
      <c r="J611" s="27"/>
      <c r="L611" s="27"/>
      <c r="M611" s="27"/>
    </row>
    <row r="612">
      <c r="F612" s="27"/>
      <c r="G612" s="27"/>
      <c r="H612" s="27"/>
      <c r="J612" s="27"/>
      <c r="L612" s="27"/>
      <c r="M612" s="27"/>
    </row>
    <row r="613">
      <c r="F613" s="27"/>
      <c r="G613" s="27"/>
      <c r="H613" s="27"/>
      <c r="J613" s="27"/>
      <c r="L613" s="27"/>
      <c r="M613" s="27"/>
    </row>
    <row r="614">
      <c r="F614" s="27"/>
      <c r="G614" s="27"/>
      <c r="H614" s="27"/>
      <c r="J614" s="27"/>
      <c r="L614" s="27"/>
      <c r="M614" s="27"/>
    </row>
    <row r="615">
      <c r="F615" s="27"/>
      <c r="G615" s="27"/>
      <c r="H615" s="27"/>
      <c r="J615" s="27"/>
      <c r="L615" s="27"/>
      <c r="M615" s="27"/>
    </row>
    <row r="616">
      <c r="F616" s="27"/>
      <c r="G616" s="27"/>
      <c r="H616" s="27"/>
      <c r="J616" s="27"/>
      <c r="L616" s="27"/>
      <c r="M616" s="27"/>
    </row>
    <row r="617">
      <c r="F617" s="27"/>
      <c r="G617" s="27"/>
      <c r="H617" s="27"/>
      <c r="J617" s="27"/>
      <c r="L617" s="27"/>
      <c r="M617" s="27"/>
    </row>
    <row r="618">
      <c r="F618" s="27"/>
      <c r="G618" s="27"/>
      <c r="H618" s="27"/>
      <c r="J618" s="27"/>
      <c r="L618" s="27"/>
      <c r="M618" s="27"/>
    </row>
    <row r="619">
      <c r="F619" s="27"/>
      <c r="G619" s="27"/>
      <c r="H619" s="27"/>
      <c r="J619" s="27"/>
      <c r="L619" s="27"/>
      <c r="M619" s="27"/>
    </row>
    <row r="620">
      <c r="F620" s="27"/>
      <c r="G620" s="27"/>
      <c r="H620" s="27"/>
      <c r="J620" s="27"/>
      <c r="L620" s="27"/>
      <c r="M620" s="27"/>
    </row>
    <row r="621">
      <c r="F621" s="27"/>
      <c r="G621" s="27"/>
      <c r="H621" s="27"/>
      <c r="J621" s="27"/>
      <c r="L621" s="27"/>
      <c r="M621" s="27"/>
    </row>
    <row r="622">
      <c r="F622" s="27"/>
      <c r="G622" s="27"/>
      <c r="H622" s="27"/>
      <c r="J622" s="27"/>
      <c r="L622" s="27"/>
      <c r="M622" s="27"/>
    </row>
    <row r="623">
      <c r="F623" s="27"/>
      <c r="G623" s="27"/>
      <c r="H623" s="27"/>
      <c r="J623" s="27"/>
      <c r="L623" s="27"/>
      <c r="M623" s="27"/>
    </row>
    <row r="624">
      <c r="F624" s="27"/>
      <c r="G624" s="27"/>
      <c r="H624" s="27"/>
      <c r="J624" s="27"/>
      <c r="L624" s="27"/>
      <c r="M624" s="27"/>
    </row>
    <row r="625">
      <c r="F625" s="27"/>
      <c r="G625" s="27"/>
      <c r="H625" s="27"/>
      <c r="J625" s="27"/>
      <c r="L625" s="27"/>
      <c r="M625" s="27"/>
    </row>
    <row r="626">
      <c r="F626" s="27"/>
      <c r="G626" s="27"/>
      <c r="H626" s="27"/>
      <c r="J626" s="27"/>
      <c r="L626" s="27"/>
      <c r="M626" s="27"/>
    </row>
    <row r="627">
      <c r="F627" s="27"/>
      <c r="G627" s="27"/>
      <c r="H627" s="27"/>
      <c r="J627" s="27"/>
      <c r="L627" s="27"/>
      <c r="M627" s="27"/>
    </row>
    <row r="628">
      <c r="F628" s="27"/>
      <c r="G628" s="27"/>
      <c r="H628" s="27"/>
      <c r="J628" s="27"/>
      <c r="L628" s="27"/>
      <c r="M628" s="27"/>
    </row>
    <row r="629">
      <c r="F629" s="27"/>
      <c r="G629" s="27"/>
      <c r="H629" s="27"/>
      <c r="J629" s="27"/>
      <c r="L629" s="27"/>
      <c r="M629" s="27"/>
    </row>
    <row r="630">
      <c r="F630" s="27"/>
      <c r="G630" s="27"/>
      <c r="H630" s="27"/>
      <c r="J630" s="27"/>
      <c r="L630" s="27"/>
      <c r="M630" s="27"/>
    </row>
    <row r="631">
      <c r="F631" s="27"/>
      <c r="G631" s="27"/>
      <c r="H631" s="27"/>
      <c r="J631" s="27"/>
      <c r="L631" s="27"/>
      <c r="M631" s="27"/>
    </row>
    <row r="632">
      <c r="F632" s="27"/>
      <c r="G632" s="27"/>
      <c r="H632" s="27"/>
      <c r="J632" s="27"/>
      <c r="L632" s="27"/>
      <c r="M632" s="27"/>
    </row>
    <row r="633">
      <c r="F633" s="27"/>
      <c r="G633" s="27"/>
      <c r="H633" s="27"/>
      <c r="J633" s="27"/>
      <c r="L633" s="27"/>
      <c r="M633" s="27"/>
    </row>
    <row r="634">
      <c r="F634" s="27"/>
      <c r="G634" s="27"/>
      <c r="H634" s="27"/>
      <c r="J634" s="27"/>
      <c r="L634" s="27"/>
      <c r="M634" s="27"/>
    </row>
    <row r="635">
      <c r="F635" s="27"/>
      <c r="G635" s="27"/>
      <c r="H635" s="27"/>
      <c r="J635" s="27"/>
      <c r="L635" s="27"/>
      <c r="M635" s="27"/>
    </row>
    <row r="636">
      <c r="F636" s="27"/>
      <c r="G636" s="27"/>
      <c r="H636" s="27"/>
      <c r="J636" s="27"/>
      <c r="L636" s="27"/>
      <c r="M636" s="27"/>
    </row>
    <row r="637">
      <c r="F637" s="27"/>
      <c r="G637" s="27"/>
      <c r="H637" s="27"/>
      <c r="J637" s="27"/>
      <c r="L637" s="27"/>
      <c r="M637" s="27"/>
    </row>
    <row r="638">
      <c r="F638" s="27"/>
      <c r="G638" s="27"/>
      <c r="H638" s="27"/>
      <c r="J638" s="27"/>
      <c r="L638" s="27"/>
      <c r="M638" s="27"/>
    </row>
    <row r="639">
      <c r="F639" s="27"/>
      <c r="G639" s="27"/>
      <c r="H639" s="27"/>
      <c r="J639" s="27"/>
      <c r="L639" s="27"/>
      <c r="M639" s="27"/>
    </row>
    <row r="640">
      <c r="F640" s="27"/>
      <c r="G640" s="27"/>
      <c r="H640" s="27"/>
      <c r="J640" s="27"/>
      <c r="L640" s="27"/>
      <c r="M640" s="27"/>
    </row>
    <row r="641">
      <c r="F641" s="27"/>
      <c r="G641" s="27"/>
      <c r="H641" s="27"/>
      <c r="J641" s="27"/>
      <c r="L641" s="27"/>
      <c r="M641" s="27"/>
    </row>
    <row r="642">
      <c r="F642" s="27"/>
      <c r="G642" s="27"/>
      <c r="H642" s="27"/>
      <c r="J642" s="27"/>
      <c r="L642" s="27"/>
      <c r="M642" s="27"/>
    </row>
    <row r="643">
      <c r="F643" s="27"/>
      <c r="G643" s="27"/>
      <c r="H643" s="27"/>
      <c r="J643" s="27"/>
      <c r="L643" s="27"/>
      <c r="M643" s="27"/>
    </row>
    <row r="644">
      <c r="F644" s="27"/>
      <c r="G644" s="27"/>
      <c r="H644" s="27"/>
      <c r="J644" s="27"/>
      <c r="L644" s="27"/>
      <c r="M644" s="27"/>
    </row>
    <row r="645">
      <c r="F645" s="27"/>
      <c r="G645" s="27"/>
      <c r="H645" s="27"/>
      <c r="J645" s="27"/>
      <c r="L645" s="27"/>
      <c r="M645" s="27"/>
    </row>
    <row r="646">
      <c r="F646" s="27"/>
      <c r="G646" s="27"/>
      <c r="H646" s="27"/>
      <c r="J646" s="27"/>
      <c r="L646" s="27"/>
      <c r="M646" s="27"/>
    </row>
    <row r="647">
      <c r="F647" s="27"/>
      <c r="G647" s="27"/>
      <c r="H647" s="27"/>
      <c r="J647" s="27"/>
      <c r="L647" s="27"/>
      <c r="M647" s="27"/>
    </row>
    <row r="648">
      <c r="F648" s="27"/>
      <c r="G648" s="27"/>
      <c r="H648" s="27"/>
      <c r="J648" s="27"/>
      <c r="L648" s="27"/>
      <c r="M648" s="27"/>
    </row>
    <row r="649">
      <c r="F649" s="27"/>
      <c r="G649" s="27"/>
      <c r="H649" s="27"/>
      <c r="J649" s="27"/>
      <c r="L649" s="27"/>
      <c r="M649" s="27"/>
    </row>
    <row r="650">
      <c r="F650" s="27"/>
      <c r="G650" s="27"/>
      <c r="H650" s="27"/>
      <c r="J650" s="27"/>
      <c r="L650" s="27"/>
      <c r="M650" s="27"/>
    </row>
    <row r="651">
      <c r="F651" s="27"/>
      <c r="G651" s="27"/>
      <c r="H651" s="27"/>
      <c r="J651" s="27"/>
      <c r="L651" s="27"/>
      <c r="M651" s="27"/>
    </row>
    <row r="652">
      <c r="F652" s="27"/>
      <c r="G652" s="27"/>
      <c r="H652" s="27"/>
      <c r="J652" s="27"/>
      <c r="L652" s="27"/>
      <c r="M652" s="27"/>
    </row>
    <row r="653">
      <c r="F653" s="27"/>
      <c r="G653" s="27"/>
      <c r="H653" s="27"/>
      <c r="J653" s="27"/>
      <c r="L653" s="27"/>
      <c r="M653" s="27"/>
    </row>
    <row r="654">
      <c r="F654" s="27"/>
      <c r="G654" s="27"/>
      <c r="H654" s="27"/>
      <c r="J654" s="27"/>
      <c r="L654" s="27"/>
      <c r="M654" s="27"/>
    </row>
    <row r="655">
      <c r="F655" s="27"/>
      <c r="G655" s="27"/>
      <c r="H655" s="27"/>
      <c r="J655" s="27"/>
      <c r="L655" s="27"/>
      <c r="M655" s="27"/>
    </row>
    <row r="656">
      <c r="F656" s="27"/>
      <c r="G656" s="27"/>
      <c r="H656" s="27"/>
      <c r="J656" s="27"/>
      <c r="L656" s="27"/>
      <c r="M656" s="27"/>
    </row>
    <row r="657">
      <c r="F657" s="27"/>
      <c r="G657" s="27"/>
      <c r="H657" s="27"/>
      <c r="J657" s="27"/>
      <c r="L657" s="27"/>
      <c r="M657" s="27"/>
    </row>
    <row r="658">
      <c r="F658" s="27"/>
      <c r="G658" s="27"/>
      <c r="H658" s="27"/>
      <c r="J658" s="27"/>
      <c r="L658" s="27"/>
      <c r="M658" s="27"/>
    </row>
    <row r="659">
      <c r="F659" s="27"/>
      <c r="G659" s="27"/>
      <c r="H659" s="27"/>
      <c r="J659" s="27"/>
      <c r="L659" s="27"/>
      <c r="M659" s="27"/>
    </row>
    <row r="660">
      <c r="F660" s="27"/>
      <c r="G660" s="27"/>
      <c r="H660" s="27"/>
      <c r="J660" s="27"/>
      <c r="L660" s="27"/>
      <c r="M660" s="27"/>
    </row>
    <row r="661">
      <c r="F661" s="27"/>
      <c r="G661" s="27"/>
      <c r="H661" s="27"/>
      <c r="J661" s="27"/>
      <c r="L661" s="27"/>
      <c r="M661" s="27"/>
    </row>
    <row r="662">
      <c r="F662" s="27"/>
      <c r="G662" s="27"/>
      <c r="H662" s="27"/>
      <c r="J662" s="27"/>
      <c r="L662" s="27"/>
      <c r="M662" s="27"/>
    </row>
    <row r="663">
      <c r="F663" s="27"/>
      <c r="G663" s="27"/>
      <c r="H663" s="27"/>
      <c r="J663" s="27"/>
      <c r="L663" s="27"/>
      <c r="M663" s="27"/>
    </row>
    <row r="664">
      <c r="F664" s="27"/>
      <c r="G664" s="27"/>
      <c r="H664" s="27"/>
      <c r="J664" s="27"/>
      <c r="L664" s="27"/>
      <c r="M664" s="27"/>
    </row>
    <row r="665">
      <c r="F665" s="27"/>
      <c r="G665" s="27"/>
      <c r="H665" s="27"/>
      <c r="J665" s="27"/>
      <c r="L665" s="27"/>
      <c r="M665" s="27"/>
    </row>
    <row r="666">
      <c r="F666" s="27"/>
      <c r="G666" s="27"/>
      <c r="H666" s="27"/>
      <c r="J666" s="27"/>
      <c r="L666" s="27"/>
      <c r="M666" s="27"/>
    </row>
    <row r="667">
      <c r="F667" s="27"/>
      <c r="G667" s="27"/>
      <c r="H667" s="27"/>
      <c r="J667" s="27"/>
      <c r="L667" s="27"/>
      <c r="M667" s="27"/>
    </row>
    <row r="668">
      <c r="F668" s="27"/>
      <c r="G668" s="27"/>
      <c r="H668" s="27"/>
      <c r="J668" s="27"/>
      <c r="L668" s="27"/>
      <c r="M668" s="27"/>
    </row>
    <row r="669">
      <c r="F669" s="27"/>
      <c r="G669" s="27"/>
      <c r="H669" s="27"/>
      <c r="J669" s="27"/>
      <c r="L669" s="27"/>
      <c r="M669" s="27"/>
    </row>
    <row r="670">
      <c r="F670" s="27"/>
      <c r="G670" s="27"/>
      <c r="H670" s="27"/>
      <c r="J670" s="27"/>
      <c r="L670" s="27"/>
      <c r="M670" s="27"/>
    </row>
    <row r="671">
      <c r="F671" s="27"/>
      <c r="G671" s="27"/>
      <c r="H671" s="27"/>
      <c r="J671" s="27"/>
      <c r="L671" s="27"/>
      <c r="M671" s="27"/>
    </row>
    <row r="672">
      <c r="F672" s="27"/>
      <c r="G672" s="27"/>
      <c r="H672" s="27"/>
      <c r="J672" s="27"/>
      <c r="L672" s="27"/>
      <c r="M672" s="27"/>
    </row>
    <row r="673">
      <c r="F673" s="27"/>
      <c r="G673" s="27"/>
      <c r="H673" s="27"/>
      <c r="J673" s="27"/>
      <c r="L673" s="27"/>
      <c r="M673" s="27"/>
    </row>
    <row r="674">
      <c r="F674" s="27"/>
      <c r="G674" s="27"/>
      <c r="H674" s="27"/>
      <c r="J674" s="27"/>
      <c r="L674" s="27"/>
      <c r="M674" s="27"/>
    </row>
    <row r="675">
      <c r="F675" s="27"/>
      <c r="G675" s="27"/>
      <c r="H675" s="27"/>
      <c r="J675" s="27"/>
      <c r="L675" s="27"/>
      <c r="M675" s="27"/>
    </row>
    <row r="676">
      <c r="F676" s="27"/>
      <c r="G676" s="27"/>
      <c r="H676" s="27"/>
      <c r="J676" s="27"/>
      <c r="L676" s="27"/>
      <c r="M676" s="27"/>
    </row>
    <row r="677">
      <c r="F677" s="27"/>
      <c r="G677" s="27"/>
      <c r="H677" s="27"/>
      <c r="J677" s="27"/>
      <c r="L677" s="27"/>
      <c r="M677" s="27"/>
    </row>
    <row r="678">
      <c r="F678" s="27"/>
      <c r="G678" s="27"/>
      <c r="H678" s="27"/>
      <c r="J678" s="27"/>
      <c r="L678" s="27"/>
      <c r="M678" s="27"/>
    </row>
    <row r="679">
      <c r="F679" s="27"/>
      <c r="G679" s="27"/>
      <c r="H679" s="27"/>
      <c r="J679" s="27"/>
      <c r="L679" s="27"/>
      <c r="M679" s="27"/>
    </row>
    <row r="680">
      <c r="F680" s="27"/>
      <c r="G680" s="27"/>
      <c r="H680" s="27"/>
      <c r="J680" s="27"/>
      <c r="L680" s="27"/>
      <c r="M680" s="27"/>
    </row>
    <row r="681">
      <c r="F681" s="27"/>
      <c r="G681" s="27"/>
      <c r="H681" s="27"/>
      <c r="J681" s="27"/>
      <c r="L681" s="27"/>
      <c r="M681" s="27"/>
    </row>
    <row r="682">
      <c r="F682" s="27"/>
      <c r="G682" s="27"/>
      <c r="H682" s="27"/>
      <c r="J682" s="27"/>
      <c r="L682" s="27"/>
      <c r="M682" s="27"/>
    </row>
    <row r="683">
      <c r="F683" s="27"/>
      <c r="G683" s="27"/>
      <c r="H683" s="27"/>
      <c r="J683" s="27"/>
      <c r="L683" s="27"/>
      <c r="M683" s="27"/>
    </row>
    <row r="684">
      <c r="F684" s="27"/>
      <c r="G684" s="27"/>
      <c r="H684" s="27"/>
      <c r="J684" s="27"/>
      <c r="L684" s="27"/>
      <c r="M684" s="27"/>
    </row>
    <row r="685">
      <c r="F685" s="27"/>
      <c r="G685" s="27"/>
      <c r="H685" s="27"/>
      <c r="J685" s="27"/>
      <c r="L685" s="27"/>
      <c r="M685" s="27"/>
    </row>
    <row r="686">
      <c r="F686" s="27"/>
      <c r="G686" s="27"/>
      <c r="H686" s="27"/>
      <c r="J686" s="27"/>
      <c r="L686" s="27"/>
      <c r="M686" s="27"/>
    </row>
    <row r="687">
      <c r="F687" s="27"/>
      <c r="G687" s="27"/>
      <c r="H687" s="27"/>
      <c r="J687" s="27"/>
      <c r="L687" s="27"/>
      <c r="M687" s="27"/>
    </row>
    <row r="688">
      <c r="F688" s="27"/>
      <c r="G688" s="27"/>
      <c r="H688" s="27"/>
      <c r="J688" s="27"/>
      <c r="L688" s="27"/>
      <c r="M688" s="27"/>
    </row>
    <row r="689">
      <c r="F689" s="27"/>
      <c r="G689" s="27"/>
      <c r="H689" s="27"/>
      <c r="J689" s="27"/>
      <c r="L689" s="27"/>
      <c r="M689" s="27"/>
    </row>
    <row r="690">
      <c r="F690" s="27"/>
      <c r="G690" s="27"/>
      <c r="H690" s="27"/>
      <c r="J690" s="27"/>
      <c r="L690" s="27"/>
      <c r="M690" s="27"/>
    </row>
    <row r="691">
      <c r="F691" s="27"/>
      <c r="G691" s="27"/>
      <c r="H691" s="27"/>
      <c r="J691" s="27"/>
      <c r="L691" s="27"/>
      <c r="M691" s="27"/>
    </row>
    <row r="692">
      <c r="F692" s="27"/>
      <c r="G692" s="27"/>
      <c r="H692" s="27"/>
      <c r="J692" s="27"/>
      <c r="L692" s="27"/>
      <c r="M692" s="27"/>
    </row>
    <row r="693">
      <c r="F693" s="27"/>
      <c r="G693" s="27"/>
      <c r="H693" s="27"/>
      <c r="J693" s="27"/>
      <c r="L693" s="27"/>
      <c r="M693" s="27"/>
    </row>
    <row r="694">
      <c r="F694" s="27"/>
      <c r="G694" s="27"/>
      <c r="H694" s="27"/>
      <c r="J694" s="27"/>
      <c r="L694" s="27"/>
      <c r="M694" s="27"/>
    </row>
    <row r="695">
      <c r="F695" s="27"/>
      <c r="G695" s="27"/>
      <c r="H695" s="27"/>
      <c r="J695" s="27"/>
      <c r="L695" s="27"/>
      <c r="M695" s="27"/>
    </row>
    <row r="696">
      <c r="F696" s="27"/>
      <c r="G696" s="27"/>
      <c r="H696" s="27"/>
      <c r="J696" s="27"/>
      <c r="L696" s="27"/>
      <c r="M696" s="27"/>
    </row>
    <row r="697">
      <c r="F697" s="27"/>
      <c r="G697" s="27"/>
      <c r="H697" s="27"/>
      <c r="J697" s="27"/>
      <c r="L697" s="27"/>
      <c r="M697" s="27"/>
    </row>
    <row r="698">
      <c r="F698" s="27"/>
      <c r="G698" s="27"/>
      <c r="H698" s="27"/>
      <c r="J698" s="27"/>
      <c r="L698" s="27"/>
      <c r="M698" s="27"/>
    </row>
    <row r="699">
      <c r="F699" s="27"/>
      <c r="G699" s="27"/>
      <c r="H699" s="27"/>
      <c r="J699" s="27"/>
      <c r="L699" s="27"/>
      <c r="M699" s="27"/>
    </row>
    <row r="700">
      <c r="F700" s="27"/>
      <c r="G700" s="27"/>
      <c r="H700" s="27"/>
      <c r="J700" s="27"/>
      <c r="L700" s="27"/>
      <c r="M700" s="27"/>
    </row>
    <row r="701">
      <c r="F701" s="27"/>
      <c r="G701" s="27"/>
      <c r="H701" s="27"/>
      <c r="J701" s="27"/>
      <c r="L701" s="27"/>
      <c r="M701" s="27"/>
    </row>
    <row r="702">
      <c r="F702" s="27"/>
      <c r="G702" s="27"/>
      <c r="H702" s="27"/>
      <c r="J702" s="27"/>
      <c r="L702" s="27"/>
      <c r="M702" s="27"/>
    </row>
    <row r="703">
      <c r="F703" s="27"/>
      <c r="G703" s="27"/>
      <c r="H703" s="27"/>
      <c r="J703" s="27"/>
      <c r="L703" s="27"/>
      <c r="M703" s="27"/>
    </row>
    <row r="704">
      <c r="F704" s="27"/>
      <c r="G704" s="27"/>
      <c r="H704" s="27"/>
      <c r="J704" s="27"/>
      <c r="L704" s="27"/>
      <c r="M704" s="27"/>
    </row>
    <row r="705">
      <c r="F705" s="27"/>
      <c r="G705" s="27"/>
      <c r="H705" s="27"/>
      <c r="J705" s="27"/>
      <c r="L705" s="27"/>
      <c r="M705" s="27"/>
    </row>
    <row r="706">
      <c r="F706" s="27"/>
      <c r="G706" s="27"/>
      <c r="H706" s="27"/>
      <c r="J706" s="27"/>
      <c r="L706" s="27"/>
      <c r="M706" s="27"/>
    </row>
    <row r="707">
      <c r="F707" s="27"/>
      <c r="G707" s="27"/>
      <c r="H707" s="27"/>
      <c r="J707" s="27"/>
      <c r="L707" s="27"/>
      <c r="M707" s="27"/>
    </row>
    <row r="708">
      <c r="F708" s="27"/>
      <c r="G708" s="27"/>
      <c r="H708" s="27"/>
      <c r="J708" s="27"/>
      <c r="L708" s="27"/>
      <c r="M708" s="27"/>
    </row>
    <row r="709">
      <c r="F709" s="27"/>
      <c r="G709" s="27"/>
      <c r="H709" s="27"/>
      <c r="J709" s="27"/>
      <c r="L709" s="27"/>
      <c r="M709" s="27"/>
    </row>
    <row r="710">
      <c r="F710" s="27"/>
      <c r="G710" s="27"/>
      <c r="H710" s="27"/>
      <c r="J710" s="27"/>
      <c r="L710" s="27"/>
      <c r="M710" s="27"/>
    </row>
    <row r="711">
      <c r="F711" s="27"/>
      <c r="G711" s="27"/>
      <c r="H711" s="27"/>
      <c r="J711" s="27"/>
      <c r="L711" s="27"/>
      <c r="M711" s="27"/>
    </row>
    <row r="712">
      <c r="F712" s="27"/>
      <c r="G712" s="27"/>
      <c r="H712" s="27"/>
      <c r="J712" s="27"/>
      <c r="L712" s="27"/>
      <c r="M712" s="27"/>
    </row>
    <row r="713">
      <c r="F713" s="27"/>
      <c r="G713" s="27"/>
      <c r="H713" s="27"/>
      <c r="J713" s="27"/>
      <c r="L713" s="27"/>
      <c r="M713" s="27"/>
    </row>
    <row r="714">
      <c r="F714" s="27"/>
      <c r="G714" s="27"/>
      <c r="H714" s="27"/>
      <c r="J714" s="27"/>
      <c r="L714" s="27"/>
      <c r="M714" s="27"/>
    </row>
    <row r="715">
      <c r="F715" s="27"/>
      <c r="G715" s="27"/>
      <c r="H715" s="27"/>
      <c r="J715" s="27"/>
      <c r="L715" s="27"/>
      <c r="M715" s="27"/>
    </row>
    <row r="716">
      <c r="F716" s="27"/>
      <c r="G716" s="27"/>
      <c r="H716" s="27"/>
      <c r="J716" s="27"/>
      <c r="L716" s="27"/>
      <c r="M716" s="27"/>
    </row>
    <row r="717">
      <c r="F717" s="27"/>
      <c r="G717" s="27"/>
      <c r="H717" s="27"/>
      <c r="J717" s="27"/>
      <c r="L717" s="27"/>
      <c r="M717" s="27"/>
    </row>
    <row r="718">
      <c r="F718" s="27"/>
      <c r="G718" s="27"/>
      <c r="H718" s="27"/>
      <c r="J718" s="27"/>
      <c r="L718" s="27"/>
      <c r="M718" s="27"/>
    </row>
    <row r="719">
      <c r="F719" s="27"/>
      <c r="G719" s="27"/>
      <c r="H719" s="27"/>
      <c r="J719" s="27"/>
      <c r="L719" s="27"/>
      <c r="M719" s="27"/>
    </row>
    <row r="720">
      <c r="F720" s="27"/>
      <c r="G720" s="27"/>
      <c r="H720" s="27"/>
      <c r="J720" s="27"/>
      <c r="L720" s="27"/>
      <c r="M720" s="27"/>
    </row>
    <row r="721">
      <c r="F721" s="27"/>
      <c r="G721" s="27"/>
      <c r="H721" s="27"/>
      <c r="J721" s="27"/>
      <c r="L721" s="27"/>
      <c r="M721" s="27"/>
    </row>
    <row r="722">
      <c r="F722" s="27"/>
      <c r="G722" s="27"/>
      <c r="H722" s="27"/>
      <c r="J722" s="27"/>
      <c r="L722" s="27"/>
      <c r="M722" s="27"/>
    </row>
    <row r="723">
      <c r="F723" s="27"/>
      <c r="G723" s="27"/>
      <c r="H723" s="27"/>
      <c r="J723" s="27"/>
      <c r="L723" s="27"/>
      <c r="M723" s="27"/>
    </row>
    <row r="724">
      <c r="F724" s="27"/>
      <c r="G724" s="27"/>
      <c r="H724" s="27"/>
      <c r="J724" s="27"/>
      <c r="L724" s="27"/>
      <c r="M724" s="27"/>
    </row>
    <row r="725">
      <c r="F725" s="27"/>
      <c r="G725" s="27"/>
      <c r="H725" s="27"/>
      <c r="J725" s="27"/>
      <c r="L725" s="27"/>
      <c r="M725" s="27"/>
    </row>
    <row r="726">
      <c r="F726" s="27"/>
      <c r="G726" s="27"/>
      <c r="H726" s="27"/>
      <c r="J726" s="27"/>
      <c r="L726" s="27"/>
      <c r="M726" s="27"/>
    </row>
    <row r="727">
      <c r="F727" s="27"/>
      <c r="G727" s="27"/>
      <c r="H727" s="27"/>
      <c r="J727" s="27"/>
      <c r="L727" s="27"/>
      <c r="M727" s="27"/>
    </row>
    <row r="728">
      <c r="F728" s="27"/>
      <c r="G728" s="27"/>
      <c r="H728" s="27"/>
      <c r="J728" s="27"/>
      <c r="L728" s="27"/>
      <c r="M728" s="27"/>
    </row>
    <row r="729">
      <c r="F729" s="27"/>
      <c r="G729" s="27"/>
      <c r="H729" s="27"/>
      <c r="J729" s="27"/>
      <c r="L729" s="27"/>
      <c r="M729" s="27"/>
    </row>
    <row r="730">
      <c r="F730" s="27"/>
      <c r="G730" s="27"/>
      <c r="H730" s="27"/>
      <c r="J730" s="27"/>
      <c r="L730" s="27"/>
      <c r="M730" s="27"/>
    </row>
    <row r="731">
      <c r="F731" s="27"/>
      <c r="G731" s="27"/>
      <c r="H731" s="27"/>
      <c r="J731" s="27"/>
      <c r="L731" s="27"/>
      <c r="M731" s="27"/>
    </row>
    <row r="732">
      <c r="F732" s="27"/>
      <c r="G732" s="27"/>
      <c r="H732" s="27"/>
      <c r="J732" s="27"/>
      <c r="L732" s="27"/>
      <c r="M732" s="27"/>
    </row>
    <row r="733">
      <c r="F733" s="27"/>
      <c r="G733" s="27"/>
      <c r="H733" s="27"/>
      <c r="J733" s="27"/>
      <c r="L733" s="27"/>
      <c r="M733" s="27"/>
    </row>
    <row r="734">
      <c r="F734" s="27"/>
      <c r="G734" s="27"/>
      <c r="H734" s="27"/>
      <c r="J734" s="27"/>
      <c r="L734" s="27"/>
      <c r="M734" s="27"/>
    </row>
    <row r="735">
      <c r="F735" s="27"/>
      <c r="G735" s="27"/>
      <c r="H735" s="27"/>
      <c r="J735" s="27"/>
      <c r="L735" s="27"/>
      <c r="M735" s="27"/>
    </row>
    <row r="736">
      <c r="F736" s="27"/>
      <c r="G736" s="27"/>
      <c r="H736" s="27"/>
      <c r="J736" s="27"/>
      <c r="L736" s="27"/>
      <c r="M736" s="27"/>
    </row>
    <row r="737">
      <c r="F737" s="27"/>
      <c r="G737" s="27"/>
      <c r="H737" s="27"/>
      <c r="J737" s="27"/>
      <c r="L737" s="27"/>
      <c r="M737" s="27"/>
    </row>
    <row r="738">
      <c r="F738" s="27"/>
      <c r="G738" s="27"/>
      <c r="H738" s="27"/>
      <c r="J738" s="27"/>
      <c r="L738" s="27"/>
      <c r="M738" s="27"/>
    </row>
    <row r="739">
      <c r="F739" s="27"/>
      <c r="G739" s="27"/>
      <c r="H739" s="27"/>
      <c r="J739" s="27"/>
      <c r="L739" s="27"/>
      <c r="M739" s="27"/>
    </row>
    <row r="740">
      <c r="F740" s="27"/>
      <c r="G740" s="27"/>
      <c r="H740" s="27"/>
      <c r="J740" s="27"/>
      <c r="L740" s="27"/>
      <c r="M740" s="27"/>
    </row>
    <row r="741">
      <c r="F741" s="27"/>
      <c r="G741" s="27"/>
      <c r="H741" s="27"/>
      <c r="J741" s="27"/>
      <c r="L741" s="27"/>
      <c r="M741" s="27"/>
    </row>
    <row r="742">
      <c r="F742" s="27"/>
      <c r="G742" s="27"/>
      <c r="H742" s="27"/>
      <c r="J742" s="27"/>
      <c r="L742" s="27"/>
      <c r="M742" s="27"/>
    </row>
    <row r="743">
      <c r="F743" s="27"/>
      <c r="G743" s="27"/>
      <c r="H743" s="27"/>
      <c r="J743" s="27"/>
      <c r="L743" s="27"/>
      <c r="M743" s="27"/>
    </row>
    <row r="744">
      <c r="F744" s="27"/>
      <c r="G744" s="27"/>
      <c r="H744" s="27"/>
      <c r="J744" s="27"/>
      <c r="L744" s="27"/>
      <c r="M744" s="27"/>
    </row>
    <row r="745">
      <c r="F745" s="27"/>
      <c r="G745" s="27"/>
      <c r="H745" s="27"/>
      <c r="J745" s="27"/>
      <c r="L745" s="27"/>
      <c r="M745" s="27"/>
    </row>
    <row r="746">
      <c r="F746" s="27"/>
      <c r="G746" s="27"/>
      <c r="H746" s="27"/>
      <c r="J746" s="27"/>
      <c r="L746" s="27"/>
      <c r="M746" s="27"/>
    </row>
    <row r="747">
      <c r="F747" s="27"/>
      <c r="G747" s="27"/>
      <c r="H747" s="27"/>
      <c r="J747" s="27"/>
      <c r="L747" s="27"/>
      <c r="M747" s="27"/>
    </row>
    <row r="748">
      <c r="F748" s="27"/>
      <c r="G748" s="27"/>
      <c r="H748" s="27"/>
      <c r="J748" s="27"/>
      <c r="L748" s="27"/>
      <c r="M748" s="27"/>
    </row>
    <row r="749">
      <c r="F749" s="27"/>
      <c r="G749" s="27"/>
      <c r="H749" s="27"/>
      <c r="J749" s="27"/>
      <c r="L749" s="27"/>
      <c r="M749" s="27"/>
    </row>
    <row r="750">
      <c r="F750" s="27"/>
      <c r="G750" s="27"/>
      <c r="H750" s="27"/>
      <c r="J750" s="27"/>
      <c r="L750" s="27"/>
      <c r="M750" s="27"/>
    </row>
    <row r="751">
      <c r="F751" s="27"/>
      <c r="G751" s="27"/>
      <c r="H751" s="27"/>
      <c r="J751" s="27"/>
      <c r="L751" s="27"/>
      <c r="M751" s="27"/>
    </row>
    <row r="752">
      <c r="F752" s="27"/>
      <c r="G752" s="27"/>
      <c r="H752" s="27"/>
      <c r="J752" s="27"/>
      <c r="L752" s="27"/>
      <c r="M752" s="27"/>
    </row>
    <row r="753">
      <c r="F753" s="27"/>
      <c r="G753" s="27"/>
      <c r="H753" s="27"/>
      <c r="J753" s="27"/>
      <c r="L753" s="27"/>
      <c r="M753" s="27"/>
    </row>
    <row r="754">
      <c r="F754" s="27"/>
      <c r="G754" s="27"/>
      <c r="H754" s="27"/>
      <c r="J754" s="27"/>
      <c r="L754" s="27"/>
      <c r="M754" s="27"/>
    </row>
    <row r="755">
      <c r="F755" s="27"/>
      <c r="G755" s="27"/>
      <c r="H755" s="27"/>
      <c r="J755" s="27"/>
      <c r="L755" s="27"/>
      <c r="M755" s="27"/>
    </row>
    <row r="756">
      <c r="F756" s="27"/>
      <c r="G756" s="27"/>
      <c r="H756" s="27"/>
      <c r="J756" s="27"/>
      <c r="L756" s="27"/>
      <c r="M756" s="27"/>
    </row>
    <row r="757">
      <c r="F757" s="27"/>
      <c r="G757" s="27"/>
      <c r="H757" s="27"/>
      <c r="J757" s="27"/>
      <c r="L757" s="27"/>
      <c r="M757" s="27"/>
    </row>
    <row r="758">
      <c r="F758" s="27"/>
      <c r="G758" s="27"/>
      <c r="H758" s="27"/>
      <c r="J758" s="27"/>
      <c r="L758" s="27"/>
      <c r="M758" s="27"/>
    </row>
    <row r="759">
      <c r="F759" s="27"/>
      <c r="G759" s="27"/>
      <c r="H759" s="27"/>
      <c r="J759" s="27"/>
      <c r="L759" s="27"/>
      <c r="M759" s="27"/>
    </row>
    <row r="760">
      <c r="F760" s="27"/>
      <c r="G760" s="27"/>
      <c r="H760" s="27"/>
      <c r="J760" s="27"/>
      <c r="L760" s="27"/>
      <c r="M760" s="27"/>
    </row>
    <row r="761">
      <c r="F761" s="27"/>
      <c r="G761" s="27"/>
      <c r="H761" s="27"/>
      <c r="J761" s="27"/>
      <c r="L761" s="27"/>
      <c r="M761" s="27"/>
    </row>
    <row r="762">
      <c r="F762" s="27"/>
      <c r="G762" s="27"/>
      <c r="H762" s="27"/>
      <c r="J762" s="27"/>
      <c r="L762" s="27"/>
      <c r="M762" s="27"/>
    </row>
    <row r="763">
      <c r="F763" s="27"/>
      <c r="G763" s="27"/>
      <c r="H763" s="27"/>
      <c r="J763" s="27"/>
      <c r="L763" s="27"/>
      <c r="M763" s="27"/>
    </row>
    <row r="764">
      <c r="F764" s="27"/>
      <c r="G764" s="27"/>
      <c r="H764" s="27"/>
      <c r="J764" s="27"/>
      <c r="L764" s="27"/>
      <c r="M764" s="27"/>
    </row>
    <row r="765">
      <c r="F765" s="27"/>
      <c r="G765" s="27"/>
      <c r="H765" s="27"/>
      <c r="J765" s="27"/>
      <c r="L765" s="27"/>
      <c r="M765" s="27"/>
    </row>
    <row r="766">
      <c r="F766" s="27"/>
      <c r="G766" s="27"/>
      <c r="H766" s="27"/>
      <c r="J766" s="27"/>
      <c r="L766" s="27"/>
      <c r="M766" s="27"/>
    </row>
    <row r="767">
      <c r="F767" s="27"/>
      <c r="G767" s="27"/>
      <c r="H767" s="27"/>
      <c r="J767" s="27"/>
      <c r="L767" s="27"/>
      <c r="M767" s="27"/>
    </row>
    <row r="768">
      <c r="F768" s="27"/>
      <c r="G768" s="27"/>
      <c r="H768" s="27"/>
      <c r="J768" s="27"/>
      <c r="L768" s="27"/>
      <c r="M768" s="27"/>
    </row>
    <row r="769">
      <c r="F769" s="27"/>
      <c r="G769" s="27"/>
      <c r="H769" s="27"/>
      <c r="J769" s="27"/>
      <c r="L769" s="27"/>
      <c r="M769" s="27"/>
    </row>
    <row r="770">
      <c r="F770" s="27"/>
      <c r="G770" s="27"/>
      <c r="H770" s="27"/>
      <c r="J770" s="27"/>
      <c r="L770" s="27"/>
      <c r="M770" s="27"/>
    </row>
    <row r="771">
      <c r="F771" s="27"/>
      <c r="G771" s="27"/>
      <c r="H771" s="27"/>
      <c r="J771" s="27"/>
      <c r="L771" s="27"/>
      <c r="M771" s="27"/>
    </row>
    <row r="772">
      <c r="F772" s="27"/>
      <c r="G772" s="27"/>
      <c r="H772" s="27"/>
      <c r="J772" s="27"/>
      <c r="L772" s="27"/>
      <c r="M772" s="27"/>
    </row>
    <row r="773">
      <c r="F773" s="27"/>
      <c r="G773" s="27"/>
      <c r="H773" s="27"/>
      <c r="J773" s="27"/>
      <c r="L773" s="27"/>
      <c r="M773" s="27"/>
    </row>
    <row r="774">
      <c r="F774" s="27"/>
      <c r="G774" s="27"/>
      <c r="H774" s="27"/>
      <c r="J774" s="27"/>
      <c r="L774" s="27"/>
      <c r="M774" s="27"/>
    </row>
    <row r="775">
      <c r="F775" s="27"/>
      <c r="G775" s="27"/>
      <c r="H775" s="27"/>
      <c r="J775" s="27"/>
      <c r="L775" s="27"/>
      <c r="M775" s="27"/>
    </row>
    <row r="776">
      <c r="F776" s="27"/>
      <c r="G776" s="27"/>
      <c r="H776" s="27"/>
      <c r="J776" s="27"/>
      <c r="L776" s="27"/>
      <c r="M776" s="27"/>
    </row>
    <row r="777">
      <c r="F777" s="27"/>
      <c r="G777" s="27"/>
      <c r="H777" s="27"/>
      <c r="J777" s="27"/>
      <c r="L777" s="27"/>
      <c r="M777" s="27"/>
    </row>
    <row r="778">
      <c r="F778" s="27"/>
      <c r="G778" s="27"/>
      <c r="H778" s="27"/>
      <c r="J778" s="27"/>
      <c r="L778" s="27"/>
      <c r="M778" s="27"/>
    </row>
    <row r="779">
      <c r="F779" s="27"/>
      <c r="G779" s="27"/>
      <c r="H779" s="27"/>
      <c r="J779" s="27"/>
      <c r="L779" s="27"/>
      <c r="M779" s="27"/>
    </row>
    <row r="780">
      <c r="F780" s="27"/>
      <c r="G780" s="27"/>
      <c r="H780" s="27"/>
      <c r="J780" s="27"/>
      <c r="L780" s="27"/>
      <c r="M780" s="27"/>
    </row>
    <row r="781">
      <c r="F781" s="27"/>
      <c r="G781" s="27"/>
      <c r="H781" s="27"/>
      <c r="J781" s="27"/>
      <c r="L781" s="27"/>
      <c r="M781" s="27"/>
    </row>
    <row r="782">
      <c r="F782" s="27"/>
      <c r="G782" s="27"/>
      <c r="H782" s="27"/>
      <c r="J782" s="27"/>
      <c r="L782" s="27"/>
      <c r="M782" s="27"/>
    </row>
    <row r="783">
      <c r="F783" s="27"/>
      <c r="G783" s="27"/>
      <c r="H783" s="27"/>
      <c r="J783" s="27"/>
      <c r="L783" s="27"/>
      <c r="M783" s="27"/>
    </row>
    <row r="784">
      <c r="F784" s="27"/>
      <c r="G784" s="27"/>
      <c r="H784" s="27"/>
      <c r="J784" s="27"/>
      <c r="L784" s="27"/>
      <c r="M784" s="27"/>
    </row>
    <row r="785">
      <c r="F785" s="27"/>
      <c r="G785" s="27"/>
      <c r="H785" s="27"/>
      <c r="J785" s="27"/>
      <c r="L785" s="27"/>
      <c r="M785" s="27"/>
    </row>
    <row r="786">
      <c r="F786" s="27"/>
      <c r="G786" s="27"/>
      <c r="H786" s="27"/>
      <c r="J786" s="27"/>
      <c r="L786" s="27"/>
      <c r="M786" s="27"/>
    </row>
    <row r="787">
      <c r="F787" s="27"/>
      <c r="G787" s="27"/>
      <c r="H787" s="27"/>
      <c r="J787" s="27"/>
      <c r="L787" s="27"/>
      <c r="M787" s="27"/>
    </row>
    <row r="788">
      <c r="F788" s="27"/>
      <c r="G788" s="27"/>
      <c r="H788" s="27"/>
      <c r="J788" s="27"/>
      <c r="L788" s="27"/>
      <c r="M788" s="27"/>
    </row>
    <row r="789">
      <c r="F789" s="27"/>
      <c r="G789" s="27"/>
      <c r="H789" s="27"/>
      <c r="J789" s="27"/>
      <c r="L789" s="27"/>
      <c r="M789" s="27"/>
    </row>
    <row r="790">
      <c r="F790" s="27"/>
      <c r="G790" s="27"/>
      <c r="H790" s="27"/>
      <c r="J790" s="27"/>
      <c r="L790" s="27"/>
      <c r="M790" s="27"/>
    </row>
    <row r="791">
      <c r="F791" s="27"/>
      <c r="G791" s="27"/>
      <c r="H791" s="27"/>
      <c r="J791" s="27"/>
      <c r="L791" s="27"/>
      <c r="M791" s="27"/>
    </row>
    <row r="792">
      <c r="F792" s="27"/>
      <c r="G792" s="27"/>
      <c r="H792" s="27"/>
      <c r="J792" s="27"/>
      <c r="L792" s="27"/>
      <c r="M792" s="27"/>
    </row>
    <row r="793">
      <c r="F793" s="27"/>
      <c r="G793" s="27"/>
      <c r="H793" s="27"/>
      <c r="J793" s="27"/>
      <c r="L793" s="27"/>
      <c r="M793" s="27"/>
    </row>
    <row r="794">
      <c r="F794" s="27"/>
      <c r="G794" s="27"/>
      <c r="H794" s="27"/>
      <c r="J794" s="27"/>
      <c r="L794" s="27"/>
      <c r="M794" s="27"/>
    </row>
    <row r="795">
      <c r="F795" s="27"/>
      <c r="G795" s="27"/>
      <c r="H795" s="27"/>
      <c r="J795" s="27"/>
      <c r="L795" s="27"/>
      <c r="M795" s="27"/>
    </row>
    <row r="796">
      <c r="F796" s="27"/>
      <c r="G796" s="27"/>
      <c r="H796" s="27"/>
      <c r="J796" s="27"/>
      <c r="L796" s="27"/>
      <c r="M796" s="27"/>
    </row>
    <row r="797">
      <c r="F797" s="27"/>
      <c r="G797" s="27"/>
      <c r="H797" s="27"/>
      <c r="J797" s="27"/>
      <c r="L797" s="27"/>
      <c r="M797" s="27"/>
    </row>
    <row r="798">
      <c r="F798" s="27"/>
      <c r="G798" s="27"/>
      <c r="H798" s="27"/>
      <c r="J798" s="27"/>
      <c r="L798" s="27"/>
      <c r="M798" s="27"/>
    </row>
    <row r="799">
      <c r="F799" s="27"/>
      <c r="G799" s="27"/>
      <c r="H799" s="27"/>
      <c r="J799" s="27"/>
      <c r="L799" s="27"/>
      <c r="M799" s="27"/>
    </row>
    <row r="800">
      <c r="F800" s="27"/>
      <c r="G800" s="27"/>
      <c r="H800" s="27"/>
      <c r="J800" s="27"/>
      <c r="L800" s="27"/>
      <c r="M800" s="27"/>
    </row>
    <row r="801">
      <c r="F801" s="27"/>
      <c r="G801" s="27"/>
      <c r="H801" s="27"/>
      <c r="J801" s="27"/>
      <c r="L801" s="27"/>
      <c r="M801" s="27"/>
    </row>
    <row r="802">
      <c r="F802" s="27"/>
      <c r="G802" s="27"/>
      <c r="H802" s="27"/>
      <c r="J802" s="27"/>
      <c r="L802" s="27"/>
      <c r="M802" s="27"/>
    </row>
    <row r="803">
      <c r="F803" s="27"/>
      <c r="G803" s="27"/>
      <c r="H803" s="27"/>
      <c r="J803" s="27"/>
      <c r="L803" s="27"/>
      <c r="M803" s="27"/>
    </row>
    <row r="804">
      <c r="F804" s="27"/>
      <c r="G804" s="27"/>
      <c r="H804" s="27"/>
      <c r="J804" s="27"/>
      <c r="L804" s="27"/>
      <c r="M804" s="27"/>
    </row>
    <row r="805">
      <c r="F805" s="27"/>
      <c r="G805" s="27"/>
      <c r="H805" s="27"/>
      <c r="J805" s="27"/>
      <c r="L805" s="27"/>
      <c r="M805" s="27"/>
    </row>
    <row r="806">
      <c r="F806" s="27"/>
      <c r="G806" s="27"/>
      <c r="H806" s="27"/>
      <c r="J806" s="27"/>
      <c r="L806" s="27"/>
      <c r="M806" s="27"/>
    </row>
    <row r="807">
      <c r="F807" s="27"/>
      <c r="G807" s="27"/>
      <c r="H807" s="27"/>
      <c r="J807" s="27"/>
      <c r="L807" s="27"/>
      <c r="M807" s="27"/>
    </row>
    <row r="808">
      <c r="F808" s="27"/>
      <c r="G808" s="27"/>
      <c r="H808" s="27"/>
      <c r="J808" s="27"/>
      <c r="L808" s="27"/>
      <c r="M808" s="27"/>
    </row>
    <row r="809">
      <c r="F809" s="27"/>
      <c r="G809" s="27"/>
      <c r="H809" s="27"/>
      <c r="J809" s="27"/>
      <c r="L809" s="27"/>
      <c r="M809" s="27"/>
    </row>
    <row r="810">
      <c r="F810" s="27"/>
      <c r="G810" s="27"/>
      <c r="H810" s="27"/>
      <c r="J810" s="27"/>
      <c r="L810" s="27"/>
      <c r="M810" s="27"/>
    </row>
    <row r="811">
      <c r="F811" s="27"/>
      <c r="G811" s="27"/>
      <c r="H811" s="27"/>
      <c r="J811" s="27"/>
      <c r="L811" s="27"/>
      <c r="M811" s="27"/>
    </row>
    <row r="812">
      <c r="F812" s="27"/>
      <c r="G812" s="27"/>
      <c r="H812" s="27"/>
      <c r="J812" s="27"/>
      <c r="L812" s="27"/>
      <c r="M812" s="27"/>
    </row>
    <row r="813">
      <c r="F813" s="27"/>
      <c r="G813" s="27"/>
      <c r="H813" s="27"/>
      <c r="J813" s="27"/>
      <c r="L813" s="27"/>
      <c r="M813" s="27"/>
    </row>
    <row r="814">
      <c r="F814" s="27"/>
      <c r="G814" s="27"/>
      <c r="H814" s="27"/>
      <c r="J814" s="27"/>
      <c r="L814" s="27"/>
      <c r="M814" s="27"/>
    </row>
    <row r="815">
      <c r="F815" s="27"/>
      <c r="G815" s="27"/>
      <c r="H815" s="27"/>
      <c r="J815" s="27"/>
      <c r="L815" s="27"/>
      <c r="M815" s="27"/>
    </row>
    <row r="816">
      <c r="F816" s="27"/>
      <c r="G816" s="27"/>
      <c r="H816" s="27"/>
      <c r="J816" s="27"/>
      <c r="L816" s="27"/>
      <c r="M816" s="27"/>
    </row>
    <row r="817">
      <c r="F817" s="27"/>
      <c r="G817" s="27"/>
      <c r="H817" s="27"/>
      <c r="J817" s="27"/>
      <c r="L817" s="27"/>
      <c r="M817" s="27"/>
    </row>
    <row r="818">
      <c r="F818" s="27"/>
      <c r="G818" s="27"/>
      <c r="H818" s="27"/>
      <c r="J818" s="27"/>
      <c r="L818" s="27"/>
      <c r="M818" s="27"/>
    </row>
    <row r="819">
      <c r="F819" s="27"/>
      <c r="G819" s="27"/>
      <c r="H819" s="27"/>
      <c r="J819" s="27"/>
      <c r="L819" s="27"/>
      <c r="M819" s="27"/>
    </row>
    <row r="820">
      <c r="F820" s="27"/>
      <c r="G820" s="27"/>
      <c r="H820" s="27"/>
      <c r="J820" s="27"/>
      <c r="L820" s="27"/>
      <c r="M820" s="27"/>
    </row>
    <row r="821">
      <c r="F821" s="27"/>
      <c r="G821" s="27"/>
      <c r="H821" s="27"/>
      <c r="J821" s="27"/>
      <c r="L821" s="27"/>
      <c r="M821" s="27"/>
    </row>
    <row r="822">
      <c r="F822" s="27"/>
      <c r="G822" s="27"/>
      <c r="H822" s="27"/>
      <c r="J822" s="27"/>
      <c r="L822" s="27"/>
      <c r="M822" s="27"/>
    </row>
    <row r="823">
      <c r="F823" s="27"/>
      <c r="G823" s="27"/>
      <c r="H823" s="27"/>
      <c r="J823" s="27"/>
      <c r="L823" s="27"/>
      <c r="M823" s="27"/>
    </row>
    <row r="824">
      <c r="F824" s="27"/>
      <c r="G824" s="27"/>
      <c r="H824" s="27"/>
      <c r="J824" s="27"/>
      <c r="L824" s="27"/>
      <c r="M824" s="27"/>
    </row>
    <row r="825">
      <c r="F825" s="27"/>
      <c r="G825" s="27"/>
      <c r="H825" s="27"/>
      <c r="J825" s="27"/>
      <c r="L825" s="27"/>
      <c r="M825" s="27"/>
    </row>
    <row r="826">
      <c r="F826" s="27"/>
      <c r="G826" s="27"/>
      <c r="H826" s="27"/>
      <c r="J826" s="27"/>
      <c r="L826" s="27"/>
      <c r="M826" s="27"/>
    </row>
    <row r="827">
      <c r="F827" s="27"/>
      <c r="G827" s="27"/>
      <c r="H827" s="27"/>
      <c r="J827" s="27"/>
      <c r="L827" s="27"/>
      <c r="M827" s="27"/>
    </row>
    <row r="828">
      <c r="F828" s="27"/>
      <c r="G828" s="27"/>
      <c r="H828" s="27"/>
      <c r="J828" s="27"/>
      <c r="L828" s="27"/>
      <c r="M828" s="27"/>
    </row>
    <row r="829">
      <c r="F829" s="27"/>
      <c r="G829" s="27"/>
      <c r="H829" s="27"/>
      <c r="J829" s="27"/>
      <c r="L829" s="27"/>
      <c r="M829" s="27"/>
    </row>
    <row r="830">
      <c r="F830" s="27"/>
      <c r="G830" s="27"/>
      <c r="H830" s="27"/>
      <c r="J830" s="27"/>
      <c r="L830" s="27"/>
      <c r="M830" s="27"/>
    </row>
    <row r="831">
      <c r="F831" s="27"/>
      <c r="G831" s="27"/>
      <c r="H831" s="27"/>
      <c r="J831" s="27"/>
      <c r="L831" s="27"/>
      <c r="M831" s="27"/>
    </row>
    <row r="832">
      <c r="F832" s="27"/>
      <c r="G832" s="27"/>
      <c r="H832" s="27"/>
      <c r="J832" s="27"/>
      <c r="L832" s="27"/>
      <c r="M832" s="27"/>
    </row>
    <row r="833">
      <c r="F833" s="27"/>
      <c r="G833" s="27"/>
      <c r="H833" s="27"/>
      <c r="J833" s="27"/>
      <c r="L833" s="27"/>
      <c r="M833" s="27"/>
    </row>
    <row r="834">
      <c r="F834" s="27"/>
      <c r="G834" s="27"/>
      <c r="H834" s="27"/>
      <c r="J834" s="27"/>
      <c r="L834" s="27"/>
      <c r="M834" s="27"/>
    </row>
    <row r="835">
      <c r="F835" s="27"/>
      <c r="G835" s="27"/>
      <c r="H835" s="27"/>
      <c r="J835" s="27"/>
      <c r="L835" s="27"/>
      <c r="M835" s="27"/>
    </row>
    <row r="836">
      <c r="F836" s="27"/>
      <c r="G836" s="27"/>
      <c r="H836" s="27"/>
      <c r="J836" s="27"/>
      <c r="L836" s="27"/>
      <c r="M836" s="27"/>
    </row>
    <row r="837">
      <c r="F837" s="27"/>
      <c r="G837" s="27"/>
      <c r="H837" s="27"/>
      <c r="J837" s="27"/>
      <c r="L837" s="27"/>
      <c r="M837" s="27"/>
    </row>
    <row r="838">
      <c r="F838" s="27"/>
      <c r="G838" s="27"/>
      <c r="H838" s="27"/>
      <c r="J838" s="27"/>
      <c r="L838" s="27"/>
      <c r="M838" s="27"/>
    </row>
    <row r="839">
      <c r="F839" s="27"/>
      <c r="G839" s="27"/>
      <c r="H839" s="27"/>
      <c r="J839" s="27"/>
      <c r="L839" s="27"/>
      <c r="M839" s="27"/>
    </row>
    <row r="840">
      <c r="F840" s="27"/>
      <c r="G840" s="27"/>
      <c r="H840" s="27"/>
      <c r="J840" s="27"/>
      <c r="L840" s="27"/>
      <c r="M840" s="27"/>
    </row>
    <row r="841">
      <c r="F841" s="27"/>
      <c r="G841" s="27"/>
      <c r="H841" s="27"/>
      <c r="J841" s="27"/>
      <c r="L841" s="27"/>
      <c r="M841" s="27"/>
    </row>
    <row r="842">
      <c r="F842" s="27"/>
      <c r="G842" s="27"/>
      <c r="H842" s="27"/>
      <c r="J842" s="27"/>
      <c r="L842" s="27"/>
      <c r="M842" s="27"/>
    </row>
    <row r="843">
      <c r="F843" s="27"/>
      <c r="G843" s="27"/>
      <c r="H843" s="27"/>
      <c r="J843" s="27"/>
      <c r="L843" s="27"/>
      <c r="M843" s="27"/>
    </row>
    <row r="844">
      <c r="F844" s="27"/>
      <c r="G844" s="27"/>
      <c r="H844" s="27"/>
      <c r="J844" s="27"/>
      <c r="L844" s="27"/>
      <c r="M844" s="27"/>
    </row>
    <row r="845">
      <c r="F845" s="27"/>
      <c r="G845" s="27"/>
      <c r="H845" s="27"/>
      <c r="J845" s="27"/>
      <c r="L845" s="27"/>
      <c r="M845" s="27"/>
    </row>
    <row r="846">
      <c r="F846" s="27"/>
      <c r="G846" s="27"/>
      <c r="H846" s="27"/>
      <c r="J846" s="27"/>
      <c r="L846" s="27"/>
      <c r="M846" s="27"/>
    </row>
    <row r="847">
      <c r="F847" s="27"/>
      <c r="G847" s="27"/>
      <c r="H847" s="27"/>
      <c r="J847" s="27"/>
      <c r="L847" s="27"/>
      <c r="M847" s="27"/>
    </row>
    <row r="848">
      <c r="F848" s="27"/>
      <c r="G848" s="27"/>
      <c r="H848" s="27"/>
      <c r="J848" s="27"/>
      <c r="L848" s="27"/>
      <c r="M848" s="27"/>
    </row>
    <row r="849">
      <c r="F849" s="27"/>
      <c r="G849" s="27"/>
      <c r="H849" s="27"/>
      <c r="J849" s="27"/>
      <c r="L849" s="27"/>
      <c r="M849" s="27"/>
    </row>
    <row r="850">
      <c r="F850" s="27"/>
      <c r="G850" s="27"/>
      <c r="H850" s="27"/>
      <c r="J850" s="27"/>
      <c r="L850" s="27"/>
      <c r="M850" s="27"/>
    </row>
    <row r="851">
      <c r="F851" s="27"/>
      <c r="G851" s="27"/>
      <c r="H851" s="27"/>
      <c r="J851" s="27"/>
      <c r="L851" s="27"/>
      <c r="M851" s="27"/>
    </row>
    <row r="852">
      <c r="F852" s="27"/>
      <c r="G852" s="27"/>
      <c r="H852" s="27"/>
      <c r="J852" s="27"/>
      <c r="L852" s="27"/>
      <c r="M852" s="27"/>
    </row>
    <row r="853">
      <c r="F853" s="27"/>
      <c r="G853" s="27"/>
      <c r="H853" s="27"/>
      <c r="J853" s="27"/>
      <c r="L853" s="27"/>
      <c r="M853" s="27"/>
    </row>
    <row r="854">
      <c r="F854" s="27"/>
      <c r="G854" s="27"/>
      <c r="H854" s="27"/>
      <c r="J854" s="27"/>
      <c r="L854" s="27"/>
      <c r="M854" s="27"/>
    </row>
    <row r="855">
      <c r="F855" s="27"/>
      <c r="G855" s="27"/>
      <c r="H855" s="27"/>
      <c r="J855" s="27"/>
      <c r="L855" s="27"/>
      <c r="M855" s="27"/>
    </row>
    <row r="856">
      <c r="F856" s="27"/>
      <c r="G856" s="27"/>
      <c r="H856" s="27"/>
      <c r="J856" s="27"/>
      <c r="L856" s="27"/>
      <c r="M856" s="27"/>
    </row>
    <row r="857">
      <c r="F857" s="27"/>
      <c r="G857" s="27"/>
      <c r="H857" s="27"/>
      <c r="J857" s="27"/>
      <c r="L857" s="27"/>
      <c r="M857" s="27"/>
    </row>
    <row r="858">
      <c r="F858" s="27"/>
      <c r="G858" s="27"/>
      <c r="H858" s="27"/>
      <c r="J858" s="27"/>
      <c r="L858" s="27"/>
      <c r="M858" s="27"/>
    </row>
    <row r="859">
      <c r="F859" s="27"/>
      <c r="G859" s="27"/>
      <c r="H859" s="27"/>
      <c r="J859" s="27"/>
      <c r="L859" s="27"/>
      <c r="M859" s="27"/>
    </row>
    <row r="860">
      <c r="F860" s="27"/>
      <c r="G860" s="27"/>
      <c r="H860" s="27"/>
      <c r="J860" s="27"/>
      <c r="L860" s="27"/>
      <c r="M860" s="27"/>
    </row>
    <row r="861">
      <c r="F861" s="27"/>
      <c r="G861" s="27"/>
      <c r="H861" s="27"/>
      <c r="J861" s="27"/>
      <c r="L861" s="27"/>
      <c r="M861" s="27"/>
    </row>
    <row r="862">
      <c r="F862" s="27"/>
      <c r="G862" s="27"/>
      <c r="H862" s="27"/>
      <c r="J862" s="27"/>
      <c r="L862" s="27"/>
      <c r="M862" s="27"/>
    </row>
    <row r="863">
      <c r="F863" s="27"/>
      <c r="G863" s="27"/>
      <c r="H863" s="27"/>
      <c r="J863" s="27"/>
      <c r="L863" s="27"/>
      <c r="M863" s="27"/>
    </row>
    <row r="864">
      <c r="F864" s="27"/>
      <c r="G864" s="27"/>
      <c r="H864" s="27"/>
      <c r="J864" s="27"/>
      <c r="L864" s="27"/>
      <c r="M864" s="27"/>
    </row>
    <row r="865">
      <c r="F865" s="27"/>
      <c r="G865" s="27"/>
      <c r="H865" s="27"/>
      <c r="J865" s="27"/>
      <c r="L865" s="27"/>
      <c r="M865" s="27"/>
    </row>
    <row r="866">
      <c r="F866" s="27"/>
      <c r="G866" s="27"/>
      <c r="H866" s="27"/>
      <c r="J866" s="27"/>
      <c r="L866" s="27"/>
      <c r="M866" s="27"/>
    </row>
    <row r="867">
      <c r="F867" s="27"/>
      <c r="G867" s="27"/>
      <c r="H867" s="27"/>
      <c r="J867" s="27"/>
      <c r="L867" s="27"/>
      <c r="M867" s="27"/>
    </row>
    <row r="868">
      <c r="F868" s="27"/>
      <c r="G868" s="27"/>
      <c r="H868" s="27"/>
      <c r="J868" s="27"/>
      <c r="L868" s="27"/>
      <c r="M868" s="27"/>
    </row>
    <row r="869">
      <c r="F869" s="27"/>
      <c r="G869" s="27"/>
      <c r="H869" s="27"/>
      <c r="J869" s="27"/>
      <c r="L869" s="27"/>
      <c r="M869" s="27"/>
    </row>
    <row r="870">
      <c r="F870" s="27"/>
      <c r="G870" s="27"/>
      <c r="H870" s="27"/>
      <c r="J870" s="27"/>
      <c r="L870" s="27"/>
      <c r="M870" s="27"/>
    </row>
    <row r="871">
      <c r="F871" s="27"/>
      <c r="G871" s="27"/>
      <c r="H871" s="27"/>
      <c r="J871" s="27"/>
      <c r="L871" s="27"/>
      <c r="M871" s="27"/>
    </row>
    <row r="872">
      <c r="F872" s="27"/>
      <c r="G872" s="27"/>
      <c r="H872" s="27"/>
      <c r="J872" s="27"/>
      <c r="L872" s="27"/>
      <c r="M872" s="27"/>
    </row>
    <row r="873">
      <c r="F873" s="27"/>
      <c r="G873" s="27"/>
      <c r="H873" s="27"/>
      <c r="J873" s="27"/>
      <c r="L873" s="27"/>
      <c r="M873" s="27"/>
    </row>
    <row r="874">
      <c r="F874" s="27"/>
      <c r="G874" s="27"/>
      <c r="H874" s="27"/>
      <c r="J874" s="27"/>
      <c r="L874" s="27"/>
      <c r="M874" s="27"/>
    </row>
    <row r="875">
      <c r="F875" s="27"/>
      <c r="G875" s="27"/>
      <c r="H875" s="27"/>
      <c r="J875" s="27"/>
      <c r="L875" s="27"/>
      <c r="M875" s="27"/>
    </row>
    <row r="876">
      <c r="F876" s="27"/>
      <c r="G876" s="27"/>
      <c r="H876" s="27"/>
      <c r="J876" s="27"/>
      <c r="L876" s="27"/>
      <c r="M876" s="27"/>
    </row>
    <row r="877">
      <c r="F877" s="27"/>
      <c r="G877" s="27"/>
      <c r="H877" s="27"/>
      <c r="J877" s="27"/>
      <c r="L877" s="27"/>
      <c r="M877" s="27"/>
    </row>
    <row r="878">
      <c r="F878" s="27"/>
      <c r="G878" s="27"/>
      <c r="H878" s="27"/>
      <c r="J878" s="27"/>
      <c r="L878" s="27"/>
      <c r="M878" s="27"/>
    </row>
    <row r="879">
      <c r="F879" s="27"/>
      <c r="G879" s="27"/>
      <c r="H879" s="27"/>
      <c r="J879" s="27"/>
      <c r="L879" s="27"/>
      <c r="M879" s="27"/>
    </row>
    <row r="880">
      <c r="F880" s="27"/>
      <c r="G880" s="27"/>
      <c r="H880" s="27"/>
      <c r="J880" s="27"/>
      <c r="L880" s="27"/>
      <c r="M880" s="27"/>
    </row>
    <row r="881">
      <c r="F881" s="27"/>
      <c r="G881" s="27"/>
      <c r="H881" s="27"/>
      <c r="J881" s="27"/>
      <c r="L881" s="27"/>
      <c r="M881" s="27"/>
    </row>
    <row r="882">
      <c r="F882" s="27"/>
      <c r="G882" s="27"/>
      <c r="H882" s="27"/>
      <c r="J882" s="27"/>
      <c r="L882" s="27"/>
      <c r="M882" s="27"/>
    </row>
    <row r="883">
      <c r="F883" s="27"/>
      <c r="G883" s="27"/>
      <c r="H883" s="27"/>
      <c r="J883" s="27"/>
      <c r="L883" s="27"/>
      <c r="M883" s="27"/>
    </row>
    <row r="884">
      <c r="F884" s="27"/>
      <c r="G884" s="27"/>
      <c r="H884" s="27"/>
      <c r="J884" s="27"/>
      <c r="L884" s="27"/>
      <c r="M884" s="27"/>
    </row>
    <row r="885">
      <c r="F885" s="27"/>
      <c r="G885" s="27"/>
      <c r="H885" s="27"/>
      <c r="J885" s="27"/>
      <c r="L885" s="27"/>
      <c r="M885" s="27"/>
    </row>
    <row r="886">
      <c r="F886" s="27"/>
      <c r="G886" s="27"/>
      <c r="H886" s="27"/>
      <c r="J886" s="27"/>
      <c r="L886" s="27"/>
      <c r="M886" s="27"/>
    </row>
    <row r="887">
      <c r="F887" s="27"/>
      <c r="G887" s="27"/>
      <c r="H887" s="27"/>
      <c r="J887" s="27"/>
      <c r="L887" s="27"/>
      <c r="M887" s="27"/>
    </row>
    <row r="888">
      <c r="F888" s="27"/>
      <c r="G888" s="27"/>
      <c r="H888" s="27"/>
      <c r="J888" s="27"/>
      <c r="L888" s="27"/>
      <c r="M888" s="27"/>
    </row>
    <row r="889">
      <c r="F889" s="27"/>
      <c r="G889" s="27"/>
      <c r="H889" s="27"/>
      <c r="J889" s="27"/>
      <c r="L889" s="27"/>
      <c r="M889" s="27"/>
    </row>
    <row r="890">
      <c r="F890" s="27"/>
      <c r="G890" s="27"/>
      <c r="H890" s="27"/>
      <c r="J890" s="27"/>
      <c r="L890" s="27"/>
      <c r="M890" s="27"/>
    </row>
    <row r="891">
      <c r="F891" s="27"/>
      <c r="G891" s="27"/>
      <c r="H891" s="27"/>
      <c r="J891" s="27"/>
      <c r="L891" s="27"/>
      <c r="M891" s="27"/>
    </row>
    <row r="892">
      <c r="F892" s="27"/>
      <c r="G892" s="27"/>
      <c r="H892" s="27"/>
      <c r="J892" s="27"/>
      <c r="L892" s="27"/>
      <c r="M892" s="27"/>
    </row>
    <row r="893">
      <c r="F893" s="27"/>
      <c r="G893" s="27"/>
      <c r="H893" s="27"/>
      <c r="J893" s="27"/>
      <c r="L893" s="27"/>
      <c r="M893" s="27"/>
    </row>
    <row r="894">
      <c r="F894" s="27"/>
      <c r="G894" s="27"/>
      <c r="H894" s="27"/>
      <c r="J894" s="27"/>
      <c r="L894" s="27"/>
      <c r="M894" s="27"/>
    </row>
    <row r="895">
      <c r="F895" s="27"/>
      <c r="G895" s="27"/>
      <c r="H895" s="27"/>
      <c r="J895" s="27"/>
      <c r="L895" s="27"/>
      <c r="M895" s="27"/>
    </row>
    <row r="896">
      <c r="F896" s="27"/>
      <c r="G896" s="27"/>
      <c r="H896" s="27"/>
      <c r="J896" s="27"/>
      <c r="L896" s="27"/>
      <c r="M896" s="27"/>
    </row>
    <row r="897">
      <c r="F897" s="27"/>
      <c r="G897" s="27"/>
      <c r="H897" s="27"/>
      <c r="J897" s="27"/>
      <c r="L897" s="27"/>
      <c r="M897" s="27"/>
    </row>
    <row r="898">
      <c r="F898" s="27"/>
      <c r="G898" s="27"/>
      <c r="H898" s="27"/>
      <c r="J898" s="27"/>
      <c r="L898" s="27"/>
      <c r="M898" s="27"/>
    </row>
    <row r="899">
      <c r="F899" s="27"/>
      <c r="G899" s="27"/>
      <c r="H899" s="27"/>
      <c r="J899" s="27"/>
      <c r="L899" s="27"/>
      <c r="M899" s="27"/>
    </row>
    <row r="900">
      <c r="F900" s="27"/>
      <c r="G900" s="27"/>
      <c r="H900" s="27"/>
      <c r="J900" s="27"/>
      <c r="L900" s="27"/>
      <c r="M900" s="27"/>
    </row>
    <row r="901">
      <c r="F901" s="27"/>
      <c r="G901" s="27"/>
      <c r="H901" s="27"/>
      <c r="J901" s="27"/>
      <c r="L901" s="27"/>
      <c r="M901" s="27"/>
    </row>
    <row r="902">
      <c r="F902" s="27"/>
      <c r="G902" s="27"/>
      <c r="H902" s="27"/>
      <c r="J902" s="27"/>
      <c r="L902" s="27"/>
      <c r="M902" s="27"/>
    </row>
    <row r="903">
      <c r="F903" s="27"/>
      <c r="G903" s="27"/>
      <c r="H903" s="27"/>
      <c r="J903" s="27"/>
      <c r="L903" s="27"/>
      <c r="M903" s="27"/>
    </row>
    <row r="904">
      <c r="F904" s="27"/>
      <c r="G904" s="27"/>
      <c r="H904" s="27"/>
      <c r="J904" s="27"/>
      <c r="L904" s="27"/>
      <c r="M904" s="27"/>
    </row>
    <row r="905">
      <c r="F905" s="27"/>
      <c r="G905" s="27"/>
      <c r="H905" s="27"/>
      <c r="J905" s="27"/>
      <c r="L905" s="27"/>
      <c r="M905" s="27"/>
    </row>
    <row r="906">
      <c r="F906" s="27"/>
      <c r="G906" s="27"/>
      <c r="H906" s="27"/>
      <c r="J906" s="27"/>
      <c r="L906" s="27"/>
      <c r="M906" s="27"/>
    </row>
    <row r="907">
      <c r="F907" s="27"/>
      <c r="G907" s="27"/>
      <c r="H907" s="27"/>
      <c r="J907" s="27"/>
      <c r="L907" s="27"/>
      <c r="M907" s="27"/>
    </row>
    <row r="908">
      <c r="F908" s="27"/>
      <c r="G908" s="27"/>
      <c r="H908" s="27"/>
      <c r="J908" s="27"/>
      <c r="L908" s="27"/>
      <c r="M908" s="27"/>
    </row>
    <row r="909">
      <c r="F909" s="27"/>
      <c r="G909" s="27"/>
      <c r="H909" s="27"/>
      <c r="J909" s="27"/>
      <c r="L909" s="27"/>
      <c r="M909" s="27"/>
    </row>
    <row r="910">
      <c r="F910" s="27"/>
      <c r="G910" s="27"/>
      <c r="H910" s="27"/>
      <c r="J910" s="27"/>
      <c r="L910" s="27"/>
      <c r="M910" s="27"/>
    </row>
    <row r="911">
      <c r="F911" s="27"/>
      <c r="G911" s="27"/>
      <c r="H911" s="27"/>
      <c r="J911" s="27"/>
      <c r="L911" s="27"/>
      <c r="M911" s="27"/>
    </row>
    <row r="912">
      <c r="F912" s="27"/>
      <c r="G912" s="27"/>
      <c r="H912" s="27"/>
      <c r="J912" s="27"/>
      <c r="L912" s="27"/>
      <c r="M912" s="27"/>
    </row>
    <row r="913">
      <c r="F913" s="27"/>
      <c r="G913" s="27"/>
      <c r="H913" s="27"/>
      <c r="J913" s="27"/>
      <c r="L913" s="27"/>
      <c r="M913" s="27"/>
    </row>
    <row r="914">
      <c r="F914" s="27"/>
      <c r="G914" s="27"/>
      <c r="H914" s="27"/>
      <c r="J914" s="27"/>
      <c r="L914" s="27"/>
      <c r="M914" s="27"/>
    </row>
    <row r="915">
      <c r="F915" s="27"/>
      <c r="G915" s="27"/>
      <c r="H915" s="27"/>
      <c r="J915" s="27"/>
      <c r="L915" s="27"/>
      <c r="M915" s="27"/>
    </row>
    <row r="916">
      <c r="F916" s="27"/>
      <c r="G916" s="27"/>
      <c r="H916" s="27"/>
      <c r="J916" s="27"/>
      <c r="L916" s="27"/>
      <c r="M916" s="27"/>
    </row>
    <row r="917">
      <c r="F917" s="27"/>
      <c r="G917" s="27"/>
      <c r="H917" s="27"/>
      <c r="J917" s="27"/>
      <c r="L917" s="27"/>
      <c r="M917" s="27"/>
    </row>
    <row r="918">
      <c r="F918" s="27"/>
      <c r="G918" s="27"/>
      <c r="H918" s="27"/>
      <c r="J918" s="27"/>
      <c r="L918" s="27"/>
      <c r="M918" s="27"/>
    </row>
    <row r="919">
      <c r="F919" s="27"/>
      <c r="G919" s="27"/>
      <c r="H919" s="27"/>
      <c r="J919" s="27"/>
      <c r="L919" s="27"/>
      <c r="M919" s="27"/>
    </row>
    <row r="920">
      <c r="F920" s="27"/>
      <c r="G920" s="27"/>
      <c r="H920" s="27"/>
      <c r="J920" s="27"/>
      <c r="L920" s="27"/>
      <c r="M920" s="27"/>
    </row>
    <row r="921">
      <c r="F921" s="27"/>
      <c r="G921" s="27"/>
      <c r="H921" s="27"/>
      <c r="J921" s="27"/>
      <c r="L921" s="27"/>
      <c r="M921" s="27"/>
    </row>
    <row r="922">
      <c r="F922" s="27"/>
      <c r="G922" s="27"/>
      <c r="H922" s="27"/>
      <c r="J922" s="27"/>
      <c r="L922" s="27"/>
      <c r="M922" s="27"/>
    </row>
    <row r="923">
      <c r="F923" s="27"/>
      <c r="G923" s="27"/>
      <c r="H923" s="27"/>
      <c r="J923" s="27"/>
      <c r="L923" s="27"/>
      <c r="M923" s="27"/>
    </row>
    <row r="924">
      <c r="F924" s="27"/>
      <c r="G924" s="27"/>
      <c r="H924" s="27"/>
      <c r="J924" s="27"/>
      <c r="L924" s="27"/>
      <c r="M924" s="27"/>
    </row>
    <row r="925">
      <c r="F925" s="27"/>
      <c r="G925" s="27"/>
      <c r="H925" s="27"/>
      <c r="J925" s="27"/>
      <c r="L925" s="27"/>
      <c r="M925" s="27"/>
    </row>
    <row r="926">
      <c r="F926" s="27"/>
      <c r="G926" s="27"/>
      <c r="H926" s="27"/>
      <c r="J926" s="27"/>
      <c r="L926" s="27"/>
      <c r="M926" s="27"/>
    </row>
    <row r="927">
      <c r="F927" s="27"/>
      <c r="G927" s="27"/>
      <c r="H927" s="27"/>
      <c r="J927" s="27"/>
      <c r="L927" s="27"/>
      <c r="M927" s="27"/>
    </row>
    <row r="928">
      <c r="F928" s="27"/>
      <c r="G928" s="27"/>
      <c r="H928" s="27"/>
      <c r="J928" s="27"/>
      <c r="L928" s="27"/>
      <c r="M928" s="27"/>
    </row>
    <row r="929">
      <c r="F929" s="27"/>
      <c r="G929" s="27"/>
      <c r="H929" s="27"/>
      <c r="J929" s="27"/>
      <c r="L929" s="27"/>
      <c r="M929" s="27"/>
    </row>
    <row r="930">
      <c r="F930" s="27"/>
      <c r="G930" s="27"/>
      <c r="H930" s="27"/>
      <c r="J930" s="27"/>
      <c r="L930" s="27"/>
      <c r="M930" s="27"/>
    </row>
    <row r="931">
      <c r="F931" s="27"/>
      <c r="G931" s="27"/>
      <c r="H931" s="27"/>
      <c r="J931" s="27"/>
      <c r="L931" s="27"/>
      <c r="M931" s="27"/>
    </row>
    <row r="932">
      <c r="F932" s="27"/>
      <c r="G932" s="27"/>
      <c r="H932" s="27"/>
      <c r="J932" s="27"/>
      <c r="L932" s="27"/>
      <c r="M932" s="27"/>
    </row>
    <row r="933">
      <c r="F933" s="27"/>
      <c r="G933" s="27"/>
      <c r="H933" s="27"/>
      <c r="J933" s="27"/>
      <c r="L933" s="27"/>
      <c r="M933" s="27"/>
    </row>
    <row r="934">
      <c r="F934" s="27"/>
      <c r="G934" s="27"/>
      <c r="H934" s="27"/>
      <c r="J934" s="27"/>
      <c r="L934" s="27"/>
      <c r="M934" s="27"/>
    </row>
    <row r="935">
      <c r="F935" s="27"/>
      <c r="G935" s="27"/>
      <c r="H935" s="27"/>
      <c r="J935" s="27"/>
      <c r="L935" s="27"/>
      <c r="M935" s="27"/>
    </row>
    <row r="936">
      <c r="F936" s="27"/>
      <c r="G936" s="27"/>
      <c r="H936" s="27"/>
      <c r="J936" s="27"/>
      <c r="L936" s="27"/>
      <c r="M936" s="27"/>
    </row>
    <row r="937">
      <c r="F937" s="27"/>
      <c r="G937" s="27"/>
      <c r="H937" s="27"/>
      <c r="J937" s="27"/>
      <c r="L937" s="27"/>
      <c r="M937" s="27"/>
    </row>
    <row r="938">
      <c r="F938" s="27"/>
      <c r="G938" s="27"/>
      <c r="H938" s="27"/>
      <c r="J938" s="27"/>
      <c r="L938" s="27"/>
      <c r="M938" s="27"/>
    </row>
    <row r="939">
      <c r="F939" s="27"/>
      <c r="G939" s="27"/>
      <c r="H939" s="27"/>
      <c r="J939" s="27"/>
      <c r="L939" s="27"/>
      <c r="M939" s="27"/>
    </row>
    <row r="940">
      <c r="F940" s="27"/>
      <c r="G940" s="27"/>
      <c r="H940" s="27"/>
      <c r="J940" s="27"/>
      <c r="L940" s="27"/>
      <c r="M940" s="27"/>
    </row>
    <row r="941">
      <c r="F941" s="27"/>
      <c r="G941" s="27"/>
      <c r="H941" s="27"/>
      <c r="J941" s="27"/>
      <c r="L941" s="27"/>
      <c r="M941" s="27"/>
    </row>
    <row r="942">
      <c r="F942" s="27"/>
      <c r="G942" s="27"/>
      <c r="H942" s="27"/>
      <c r="J942" s="27"/>
      <c r="L942" s="27"/>
      <c r="M942" s="27"/>
    </row>
    <row r="943">
      <c r="F943" s="27"/>
      <c r="G943" s="27"/>
      <c r="H943" s="27"/>
      <c r="J943" s="27"/>
      <c r="L943" s="27"/>
      <c r="M943" s="27"/>
    </row>
    <row r="944">
      <c r="F944" s="27"/>
      <c r="G944" s="27"/>
      <c r="H944" s="27"/>
      <c r="J944" s="27"/>
      <c r="L944" s="27"/>
      <c r="M944" s="27"/>
    </row>
    <row r="945">
      <c r="F945" s="27"/>
      <c r="G945" s="27"/>
      <c r="H945" s="27"/>
      <c r="J945" s="27"/>
      <c r="L945" s="27"/>
      <c r="M945" s="27"/>
    </row>
    <row r="946">
      <c r="F946" s="27"/>
      <c r="G946" s="27"/>
      <c r="H946" s="27"/>
      <c r="J946" s="27"/>
      <c r="L946" s="27"/>
      <c r="M946" s="27"/>
    </row>
    <row r="947">
      <c r="F947" s="27"/>
      <c r="G947" s="27"/>
      <c r="H947" s="27"/>
      <c r="J947" s="27"/>
      <c r="L947" s="27"/>
      <c r="M947" s="27"/>
    </row>
    <row r="948">
      <c r="F948" s="27"/>
      <c r="G948" s="27"/>
      <c r="H948" s="27"/>
      <c r="J948" s="27"/>
      <c r="L948" s="27"/>
      <c r="M948" s="27"/>
    </row>
    <row r="949">
      <c r="F949" s="27"/>
      <c r="G949" s="27"/>
      <c r="H949" s="27"/>
      <c r="J949" s="27"/>
      <c r="L949" s="27"/>
      <c r="M949" s="27"/>
    </row>
    <row r="950">
      <c r="F950" s="27"/>
      <c r="G950" s="27"/>
      <c r="H950" s="27"/>
      <c r="J950" s="27"/>
      <c r="L950" s="27"/>
      <c r="M950" s="27"/>
    </row>
    <row r="951">
      <c r="F951" s="27"/>
      <c r="G951" s="27"/>
      <c r="H951" s="27"/>
      <c r="J951" s="27"/>
      <c r="L951" s="27"/>
      <c r="M951" s="27"/>
    </row>
    <row r="952">
      <c r="F952" s="27"/>
      <c r="G952" s="27"/>
      <c r="H952" s="27"/>
      <c r="J952" s="27"/>
      <c r="L952" s="27"/>
      <c r="M952" s="27"/>
    </row>
    <row r="953">
      <c r="F953" s="27"/>
      <c r="G953" s="27"/>
      <c r="H953" s="27"/>
      <c r="J953" s="27"/>
      <c r="L953" s="27"/>
      <c r="M953" s="27"/>
    </row>
    <row r="954">
      <c r="F954" s="27"/>
      <c r="G954" s="27"/>
      <c r="H954" s="27"/>
      <c r="J954" s="27"/>
      <c r="L954" s="27"/>
      <c r="M954" s="27"/>
    </row>
    <row r="955">
      <c r="F955" s="27"/>
      <c r="G955" s="27"/>
      <c r="H955" s="27"/>
      <c r="J955" s="27"/>
      <c r="L955" s="27"/>
      <c r="M955" s="27"/>
    </row>
    <row r="956">
      <c r="F956" s="27"/>
      <c r="G956" s="27"/>
      <c r="H956" s="27"/>
      <c r="J956" s="27"/>
      <c r="L956" s="27"/>
      <c r="M956" s="27"/>
    </row>
    <row r="957">
      <c r="F957" s="27"/>
      <c r="G957" s="27"/>
      <c r="H957" s="27"/>
      <c r="J957" s="27"/>
      <c r="L957" s="27"/>
      <c r="M957" s="27"/>
    </row>
    <row r="958">
      <c r="F958" s="27"/>
      <c r="G958" s="27"/>
      <c r="H958" s="27"/>
      <c r="J958" s="27"/>
      <c r="L958" s="27"/>
      <c r="M958" s="27"/>
    </row>
    <row r="959">
      <c r="F959" s="27"/>
      <c r="G959" s="27"/>
      <c r="H959" s="27"/>
      <c r="J959" s="27"/>
      <c r="L959" s="27"/>
      <c r="M959" s="27"/>
    </row>
    <row r="960">
      <c r="F960" s="27"/>
      <c r="G960" s="27"/>
      <c r="H960" s="27"/>
      <c r="J960" s="27"/>
      <c r="L960" s="27"/>
      <c r="M960" s="27"/>
    </row>
    <row r="961">
      <c r="F961" s="27"/>
      <c r="G961" s="27"/>
      <c r="H961" s="27"/>
      <c r="J961" s="27"/>
      <c r="L961" s="27"/>
      <c r="M961" s="27"/>
    </row>
    <row r="962">
      <c r="F962" s="27"/>
      <c r="G962" s="27"/>
      <c r="H962" s="27"/>
      <c r="J962" s="27"/>
      <c r="L962" s="27"/>
      <c r="M962" s="27"/>
    </row>
    <row r="963">
      <c r="F963" s="27"/>
      <c r="G963" s="27"/>
      <c r="H963" s="27"/>
      <c r="J963" s="27"/>
      <c r="L963" s="27"/>
      <c r="M963" s="27"/>
    </row>
    <row r="964">
      <c r="F964" s="27"/>
      <c r="G964" s="27"/>
      <c r="H964" s="27"/>
      <c r="J964" s="27"/>
      <c r="L964" s="27"/>
      <c r="M964" s="27"/>
    </row>
    <row r="965">
      <c r="F965" s="27"/>
      <c r="G965" s="27"/>
      <c r="H965" s="27"/>
      <c r="J965" s="27"/>
      <c r="L965" s="27"/>
      <c r="M965" s="27"/>
    </row>
    <row r="966">
      <c r="F966" s="27"/>
      <c r="G966" s="27"/>
      <c r="H966" s="27"/>
      <c r="J966" s="27"/>
      <c r="L966" s="27"/>
      <c r="M966" s="27"/>
    </row>
    <row r="967">
      <c r="F967" s="27"/>
      <c r="G967" s="27"/>
      <c r="H967" s="27"/>
      <c r="J967" s="27"/>
      <c r="L967" s="27"/>
      <c r="M967" s="27"/>
    </row>
    <row r="968">
      <c r="F968" s="27"/>
      <c r="G968" s="27"/>
      <c r="H968" s="27"/>
      <c r="J968" s="27"/>
      <c r="L968" s="27"/>
      <c r="M968" s="27"/>
    </row>
    <row r="969">
      <c r="F969" s="27"/>
      <c r="G969" s="27"/>
      <c r="H969" s="27"/>
      <c r="J969" s="27"/>
      <c r="L969" s="27"/>
      <c r="M969" s="27"/>
    </row>
    <row r="970">
      <c r="F970" s="27"/>
      <c r="G970" s="27"/>
      <c r="H970" s="27"/>
      <c r="J970" s="27"/>
      <c r="L970" s="27"/>
      <c r="M970" s="27"/>
    </row>
    <row r="971">
      <c r="F971" s="27"/>
      <c r="G971" s="27"/>
      <c r="H971" s="27"/>
      <c r="J971" s="27"/>
      <c r="L971" s="27"/>
      <c r="M971" s="27"/>
    </row>
    <row r="972">
      <c r="F972" s="27"/>
      <c r="G972" s="27"/>
      <c r="H972" s="27"/>
      <c r="J972" s="27"/>
      <c r="L972" s="27"/>
      <c r="M972" s="27"/>
    </row>
    <row r="973">
      <c r="F973" s="27"/>
      <c r="G973" s="27"/>
      <c r="H973" s="27"/>
      <c r="J973" s="27"/>
      <c r="L973" s="27"/>
      <c r="M973" s="27"/>
    </row>
    <row r="974">
      <c r="F974" s="27"/>
      <c r="G974" s="27"/>
      <c r="H974" s="27"/>
      <c r="J974" s="27"/>
      <c r="L974" s="27"/>
      <c r="M974" s="27"/>
    </row>
    <row r="975">
      <c r="F975" s="27"/>
      <c r="G975" s="27"/>
      <c r="H975" s="27"/>
      <c r="J975" s="27"/>
      <c r="L975" s="27"/>
      <c r="M975" s="27"/>
    </row>
    <row r="976">
      <c r="F976" s="27"/>
      <c r="G976" s="27"/>
      <c r="H976" s="27"/>
      <c r="J976" s="27"/>
      <c r="L976" s="27"/>
      <c r="M976" s="27"/>
    </row>
    <row r="977">
      <c r="F977" s="27"/>
      <c r="G977" s="27"/>
      <c r="H977" s="27"/>
      <c r="J977" s="27"/>
      <c r="L977" s="27"/>
      <c r="M977" s="27"/>
    </row>
    <row r="978">
      <c r="F978" s="27"/>
      <c r="G978" s="27"/>
      <c r="H978" s="27"/>
      <c r="J978" s="27"/>
      <c r="L978" s="27"/>
      <c r="M978" s="27"/>
    </row>
    <row r="979">
      <c r="F979" s="27"/>
      <c r="G979" s="27"/>
      <c r="H979" s="27"/>
      <c r="J979" s="27"/>
      <c r="L979" s="27"/>
      <c r="M979" s="27"/>
    </row>
    <row r="980">
      <c r="F980" s="27"/>
      <c r="G980" s="27"/>
      <c r="H980" s="27"/>
      <c r="J980" s="27"/>
      <c r="L980" s="27"/>
      <c r="M980" s="27"/>
    </row>
    <row r="981">
      <c r="F981" s="27"/>
      <c r="G981" s="27"/>
      <c r="H981" s="27"/>
      <c r="J981" s="27"/>
      <c r="L981" s="27"/>
      <c r="M981" s="27"/>
    </row>
    <row r="982">
      <c r="F982" s="27"/>
      <c r="G982" s="27"/>
      <c r="H982" s="27"/>
      <c r="J982" s="27"/>
      <c r="L982" s="27"/>
      <c r="M982" s="27"/>
    </row>
    <row r="983">
      <c r="F983" s="27"/>
      <c r="G983" s="27"/>
      <c r="H983" s="27"/>
      <c r="J983" s="27"/>
      <c r="L983" s="27"/>
      <c r="M983" s="27"/>
    </row>
    <row r="984">
      <c r="F984" s="27"/>
      <c r="G984" s="27"/>
      <c r="H984" s="27"/>
      <c r="J984" s="27"/>
      <c r="L984" s="27"/>
      <c r="M984" s="27"/>
    </row>
    <row r="985">
      <c r="F985" s="27"/>
      <c r="G985" s="27"/>
      <c r="H985" s="27"/>
      <c r="J985" s="27"/>
      <c r="L985" s="27"/>
      <c r="M985" s="27"/>
    </row>
    <row r="986">
      <c r="F986" s="27"/>
      <c r="G986" s="27"/>
      <c r="H986" s="27"/>
      <c r="J986" s="27"/>
      <c r="L986" s="27"/>
      <c r="M986" s="27"/>
    </row>
    <row r="987">
      <c r="F987" s="27"/>
      <c r="G987" s="27"/>
      <c r="H987" s="27"/>
      <c r="J987" s="27"/>
      <c r="L987" s="27"/>
      <c r="M987" s="27"/>
    </row>
    <row r="988">
      <c r="F988" s="27"/>
      <c r="G988" s="27"/>
      <c r="H988" s="27"/>
      <c r="J988" s="27"/>
      <c r="L988" s="27"/>
      <c r="M988" s="27"/>
    </row>
    <row r="989">
      <c r="F989" s="27"/>
      <c r="G989" s="27"/>
      <c r="H989" s="27"/>
      <c r="J989" s="27"/>
      <c r="L989" s="27"/>
      <c r="M989" s="27"/>
    </row>
    <row r="990">
      <c r="F990" s="27"/>
      <c r="G990" s="27"/>
      <c r="H990" s="27"/>
      <c r="J990" s="27"/>
      <c r="L990" s="27"/>
      <c r="M990" s="27"/>
    </row>
    <row r="991">
      <c r="F991" s="27"/>
      <c r="G991" s="27"/>
      <c r="H991" s="27"/>
      <c r="J991" s="27"/>
      <c r="L991" s="27"/>
      <c r="M991" s="27"/>
    </row>
    <row r="992">
      <c r="F992" s="27"/>
      <c r="G992" s="27"/>
      <c r="H992" s="27"/>
      <c r="J992" s="27"/>
      <c r="L992" s="27"/>
      <c r="M992" s="27"/>
    </row>
    <row r="993">
      <c r="F993" s="27"/>
      <c r="G993" s="27"/>
      <c r="H993" s="27"/>
      <c r="J993" s="27"/>
      <c r="L993" s="27"/>
      <c r="M993" s="27"/>
    </row>
    <row r="994">
      <c r="F994" s="27"/>
      <c r="G994" s="27"/>
      <c r="H994" s="27"/>
      <c r="J994" s="27"/>
      <c r="L994" s="27"/>
      <c r="M994" s="27"/>
    </row>
    <row r="995">
      <c r="F995" s="27"/>
      <c r="G995" s="27"/>
      <c r="H995" s="27"/>
      <c r="J995" s="27"/>
      <c r="L995" s="27"/>
      <c r="M995" s="27"/>
    </row>
    <row r="996">
      <c r="F996" s="27"/>
      <c r="G996" s="27"/>
      <c r="H996" s="27"/>
      <c r="J996" s="27"/>
      <c r="L996" s="27"/>
      <c r="M996" s="27"/>
    </row>
    <row r="997">
      <c r="F997" s="27"/>
      <c r="G997" s="27"/>
      <c r="H997" s="27"/>
      <c r="J997" s="27"/>
      <c r="L997" s="27"/>
      <c r="M997" s="27"/>
    </row>
    <row r="998">
      <c r="F998" s="27"/>
      <c r="G998" s="27"/>
      <c r="H998" s="27"/>
      <c r="J998" s="27"/>
      <c r="L998" s="27"/>
      <c r="M998" s="27"/>
    </row>
    <row r="999">
      <c r="F999" s="27"/>
      <c r="G999" s="27"/>
      <c r="H999" s="27"/>
      <c r="J999" s="27"/>
      <c r="L999" s="27"/>
      <c r="M999" s="27"/>
    </row>
    <row r="1000">
      <c r="F1000" s="27"/>
      <c r="G1000" s="27"/>
      <c r="H1000" s="27"/>
      <c r="J1000" s="27"/>
      <c r="L1000" s="27"/>
      <c r="M1000" s="27"/>
    </row>
    <row r="1001">
      <c r="F1001" s="27"/>
      <c r="G1001" s="27"/>
      <c r="H1001" s="27"/>
      <c r="J1001" s="27"/>
      <c r="L1001" s="27"/>
      <c r="M1001" s="27"/>
    </row>
    <row r="1002">
      <c r="F1002" s="27"/>
      <c r="G1002" s="27"/>
      <c r="H1002" s="27"/>
      <c r="J1002" s="27"/>
      <c r="L1002" s="27"/>
      <c r="M1002" s="27"/>
    </row>
  </sheetData>
  <conditionalFormatting sqref="D44:E44 K51 D53:K53 K55">
    <cfRule type="cellIs" dxfId="0" priority="1" operator="lessThan">
      <formula>0</formula>
    </cfRule>
  </conditionalFormatting>
  <conditionalFormatting sqref="D53:E53">
    <cfRule type="cellIs" dxfId="0" priority="2" operator="lessThan">
      <formula>0</formula>
    </cfRule>
  </conditionalFormatting>
  <drawing r:id="rId2"/>
  <legacy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  <col customWidth="1" min="3" max="3" width="9.38"/>
    <col customWidth="1" min="5" max="5" width="14.0"/>
    <col customWidth="1" hidden="1" min="6" max="6" width="14.63"/>
    <col customWidth="1" hidden="1" min="7" max="7" width="12.38"/>
    <col customWidth="1" hidden="1" min="8" max="8" width="13.25"/>
    <col customWidth="1" min="9" max="9" width="16.38"/>
    <col customWidth="1" min="10" max="11" width="12.75"/>
    <col customWidth="1" min="12" max="12" width="14.0"/>
    <col customWidth="1" min="13" max="13" width="20.63"/>
    <col customWidth="1" min="14" max="14" width="23.38"/>
    <col customWidth="1" min="15" max="15" width="11.25"/>
    <col customWidth="1" min="16" max="16" width="9.25"/>
    <col customWidth="1" min="17" max="18" width="9.5"/>
    <col customWidth="1" min="21" max="21" width="9.88"/>
    <col customWidth="1" min="22" max="22" width="8.13"/>
  </cols>
  <sheetData>
    <row r="1">
      <c r="A1" s="18" t="s">
        <v>346</v>
      </c>
      <c r="B1" s="416" t="s">
        <v>296</v>
      </c>
      <c r="D1" s="107" t="s">
        <v>387</v>
      </c>
      <c r="E1" s="107" t="s">
        <v>388</v>
      </c>
      <c r="F1" s="107"/>
      <c r="G1" s="107"/>
      <c r="H1" s="107"/>
      <c r="J1" s="107"/>
      <c r="K1" s="107"/>
      <c r="L1" s="107"/>
      <c r="M1" s="107"/>
      <c r="N1" s="417" t="s">
        <v>325</v>
      </c>
      <c r="O1" s="107"/>
    </row>
    <row r="2">
      <c r="B2" s="18" t="s">
        <v>240</v>
      </c>
      <c r="C2" s="249">
        <v>13.0</v>
      </c>
      <c r="D2" s="27"/>
      <c r="E2" s="107">
        <v>13.0</v>
      </c>
      <c r="F2" s="27"/>
      <c r="G2" s="26"/>
      <c r="H2" s="26"/>
      <c r="J2" s="26"/>
      <c r="K2" s="107"/>
      <c r="L2" s="26"/>
      <c r="M2" s="26"/>
      <c r="N2" s="422" t="s">
        <v>119</v>
      </c>
      <c r="O2" s="302" t="s">
        <v>120</v>
      </c>
    </row>
    <row r="3">
      <c r="B3" s="18" t="s">
        <v>241</v>
      </c>
      <c r="C3" s="249">
        <v>70.7</v>
      </c>
      <c r="D3" s="107">
        <v>19.98</v>
      </c>
      <c r="E3" s="107">
        <v>73.49</v>
      </c>
      <c r="F3" s="107"/>
      <c r="G3" s="107"/>
      <c r="H3" s="107"/>
      <c r="J3" s="107"/>
      <c r="K3" s="107"/>
      <c r="L3" s="107"/>
      <c r="M3" s="107"/>
      <c r="N3" s="423" t="s">
        <v>326</v>
      </c>
      <c r="O3" s="7" t="s">
        <v>327</v>
      </c>
    </row>
    <row r="4">
      <c r="B4" s="18" t="s">
        <v>242</v>
      </c>
      <c r="C4" s="249">
        <v>13.0</v>
      </c>
      <c r="D4" s="107"/>
      <c r="E4" s="107">
        <v>13.0</v>
      </c>
      <c r="F4" s="26"/>
      <c r="G4" s="107"/>
      <c r="H4" s="107"/>
      <c r="J4" s="107"/>
      <c r="L4" s="107"/>
      <c r="M4" s="107"/>
      <c r="N4" s="423" t="s">
        <v>328</v>
      </c>
      <c r="O4" s="7" t="s">
        <v>329</v>
      </c>
      <c r="P4" s="107"/>
    </row>
    <row r="5">
      <c r="B5" s="18" t="s">
        <v>285</v>
      </c>
      <c r="C5" s="249">
        <v>42.0</v>
      </c>
      <c r="D5" s="107">
        <v>15.17</v>
      </c>
      <c r="E5" s="107">
        <v>55.8</v>
      </c>
      <c r="F5" s="107"/>
      <c r="G5" s="107"/>
      <c r="H5" s="107"/>
      <c r="J5" s="107"/>
      <c r="L5" s="107"/>
      <c r="M5" s="107"/>
      <c r="N5" s="423"/>
      <c r="O5" s="7" t="s">
        <v>192</v>
      </c>
      <c r="P5" s="107"/>
    </row>
    <row r="6">
      <c r="B6" s="18" t="s">
        <v>324</v>
      </c>
      <c r="C6" s="249">
        <v>6.0</v>
      </c>
      <c r="D6" s="107"/>
      <c r="E6" s="107">
        <v>6.0</v>
      </c>
      <c r="F6" s="107"/>
      <c r="P6" s="107"/>
    </row>
    <row r="7">
      <c r="C7" s="276">
        <f>SUM(C2:C6)</f>
        <v>144.7</v>
      </c>
      <c r="D7" s="27">
        <f>C7-13</f>
        <v>131.7</v>
      </c>
      <c r="E7" s="27">
        <f>SUM(E2:E6)</f>
        <v>161.29</v>
      </c>
      <c r="F7" s="107"/>
      <c r="P7" s="107"/>
    </row>
    <row r="8">
      <c r="P8" s="107"/>
      <c r="S8" s="12">
        <f>8661.72-3000-400</f>
        <v>5261.72</v>
      </c>
    </row>
    <row r="9">
      <c r="P9" s="27"/>
    </row>
    <row r="10">
      <c r="K10" s="18" t="s">
        <v>366</v>
      </c>
      <c r="N10" s="18">
        <v>3637.5</v>
      </c>
      <c r="P10" s="107"/>
    </row>
    <row r="11">
      <c r="B11" s="55" t="s">
        <v>122</v>
      </c>
      <c r="C11" s="56"/>
      <c r="D11" s="140" t="s">
        <v>123</v>
      </c>
      <c r="E11" s="140" t="s">
        <v>124</v>
      </c>
      <c r="F11" s="140" t="s">
        <v>125</v>
      </c>
      <c r="G11" s="424" t="s">
        <v>126</v>
      </c>
      <c r="H11" s="140" t="s">
        <v>127</v>
      </c>
      <c r="I11" s="140" t="s">
        <v>128</v>
      </c>
      <c r="J11" s="140" t="s">
        <v>129</v>
      </c>
      <c r="K11" s="140" t="s">
        <v>130</v>
      </c>
      <c r="L11" s="140" t="s">
        <v>131</v>
      </c>
      <c r="P11" s="107"/>
      <c r="R11" s="18"/>
    </row>
    <row r="12">
      <c r="B12" s="59" t="s">
        <v>129</v>
      </c>
      <c r="C12" s="141"/>
      <c r="D12" s="113">
        <v>8402.26</v>
      </c>
      <c r="E12" s="113">
        <v>8473.39</v>
      </c>
      <c r="F12" s="113">
        <v>8402.26</v>
      </c>
      <c r="G12" s="425">
        <v>8402.26</v>
      </c>
      <c r="H12" s="113">
        <v>8661.72</v>
      </c>
      <c r="I12" s="113">
        <v>8661.71</v>
      </c>
      <c r="J12" s="113">
        <v>8661.71</v>
      </c>
      <c r="K12" s="113">
        <v>8661.71</v>
      </c>
      <c r="L12" s="113">
        <v>8661.72</v>
      </c>
      <c r="P12" s="107"/>
      <c r="R12" s="18"/>
    </row>
    <row r="13">
      <c r="B13" s="59" t="s">
        <v>136</v>
      </c>
      <c r="C13" s="141"/>
      <c r="D13" s="114">
        <f>2160+3349.61</f>
        <v>5509.61</v>
      </c>
      <c r="E13" s="114">
        <f>2160+3570.51</f>
        <v>5730.51</v>
      </c>
      <c r="F13" s="114">
        <f>2160+3544.87</f>
        <v>5704.87</v>
      </c>
      <c r="G13" s="426">
        <f>2230+3676.95</f>
        <v>5906.95</v>
      </c>
      <c r="H13" s="114">
        <f>2230+3690.95</f>
        <v>5920.95</v>
      </c>
      <c r="I13" s="426">
        <f>2230+3679.95</f>
        <v>5909.95</v>
      </c>
      <c r="J13" s="114">
        <f>2230+3663.96</f>
        <v>5893.96</v>
      </c>
      <c r="K13" s="114">
        <f>2230+3637.5</f>
        <v>5867.5</v>
      </c>
      <c r="L13" s="114">
        <f>2230+3709.95</f>
        <v>5939.95</v>
      </c>
      <c r="M13" s="407"/>
      <c r="N13" s="303"/>
      <c r="O13" s="107"/>
      <c r="P13" s="27"/>
      <c r="R13" s="18"/>
    </row>
    <row r="14">
      <c r="B14" s="59" t="s">
        <v>137</v>
      </c>
      <c r="C14" s="141"/>
      <c r="D14" s="115"/>
      <c r="E14" s="114"/>
      <c r="F14" s="115"/>
      <c r="G14" s="426"/>
      <c r="H14" s="115"/>
      <c r="I14" s="114"/>
      <c r="J14" s="115"/>
      <c r="K14" s="114"/>
      <c r="L14" s="115"/>
      <c r="M14" s="363"/>
      <c r="N14" s="363"/>
      <c r="O14" s="107"/>
      <c r="P14" s="107"/>
      <c r="R14" s="18"/>
    </row>
    <row r="15">
      <c r="B15" s="59" t="s">
        <v>138</v>
      </c>
      <c r="C15" s="141"/>
      <c r="D15" s="116"/>
      <c r="E15" s="117"/>
      <c r="F15" s="114">
        <f>16458.02+8673.34</f>
        <v>25131.36</v>
      </c>
      <c r="G15" s="426">
        <v>845.32</v>
      </c>
      <c r="H15" s="115"/>
      <c r="I15" s="118"/>
      <c r="J15" s="117">
        <v>20239.8</v>
      </c>
      <c r="K15" s="118"/>
      <c r="L15" s="118"/>
      <c r="M15" s="32"/>
      <c r="N15" s="32"/>
      <c r="O15" s="107"/>
      <c r="P15" s="107"/>
      <c r="R15" s="18"/>
    </row>
    <row r="16">
      <c r="B16" s="142" t="s">
        <v>139</v>
      </c>
      <c r="C16" s="143"/>
      <c r="D16" s="144">
        <f t="shared" ref="D16:E16" si="1">SUM(D12:D15)</f>
        <v>13911.87</v>
      </c>
      <c r="E16" s="144">
        <f t="shared" si="1"/>
        <v>14203.9</v>
      </c>
      <c r="F16" s="144">
        <f>SUM(F12:F14)</f>
        <v>14107.13</v>
      </c>
      <c r="G16" s="428">
        <f t="shared" ref="G16:I16" si="2">SUM(G12:G15)</f>
        <v>15154.53</v>
      </c>
      <c r="H16" s="144">
        <f t="shared" si="2"/>
        <v>14582.67</v>
      </c>
      <c r="I16" s="144">
        <f t="shared" si="2"/>
        <v>14571.66</v>
      </c>
      <c r="J16" s="144">
        <f>SUM(J12:J14)</f>
        <v>14555.67</v>
      </c>
      <c r="K16" s="144">
        <f t="shared" ref="K16:L16" si="3">SUM(K12:K15)</f>
        <v>14529.21</v>
      </c>
      <c r="L16" s="144">
        <f t="shared" si="3"/>
        <v>14601.67</v>
      </c>
      <c r="M16" s="257"/>
      <c r="N16" s="257"/>
      <c r="Q16" s="27"/>
      <c r="R16" s="18"/>
      <c r="T16" s="107"/>
    </row>
    <row r="17">
      <c r="C17" s="27"/>
      <c r="M17" s="32"/>
      <c r="N17" s="32"/>
      <c r="O17" s="107"/>
      <c r="R17" s="18"/>
      <c r="T17" s="27"/>
    </row>
    <row r="18">
      <c r="B18" s="70" t="s">
        <v>140</v>
      </c>
      <c r="C18" s="71"/>
      <c r="D18" s="58" t="s">
        <v>123</v>
      </c>
      <c r="E18" s="58" t="s">
        <v>124</v>
      </c>
      <c r="F18" s="58" t="s">
        <v>125</v>
      </c>
      <c r="G18" s="430" t="s">
        <v>126</v>
      </c>
      <c r="H18" s="58" t="s">
        <v>127</v>
      </c>
      <c r="I18" s="58" t="s">
        <v>128</v>
      </c>
      <c r="J18" s="58" t="s">
        <v>129</v>
      </c>
      <c r="K18" s="58" t="s">
        <v>130</v>
      </c>
      <c r="L18" s="58" t="s">
        <v>131</v>
      </c>
      <c r="M18" s="418"/>
      <c r="N18" s="418" t="s">
        <v>331</v>
      </c>
      <c r="O18" s="192"/>
      <c r="R18" s="18"/>
    </row>
    <row r="19">
      <c r="B19" s="145" t="s">
        <v>141</v>
      </c>
      <c r="C19" s="146"/>
      <c r="D19" s="378">
        <v>410.0</v>
      </c>
      <c r="E19" s="378">
        <v>450.0</v>
      </c>
      <c r="F19" s="378">
        <v>450.0</v>
      </c>
      <c r="G19" s="446">
        <v>450.0</v>
      </c>
      <c r="H19" s="378">
        <v>450.0</v>
      </c>
      <c r="I19" s="378">
        <v>450.0</v>
      </c>
      <c r="J19" s="378">
        <v>450.0</v>
      </c>
      <c r="K19" s="378">
        <v>450.0</v>
      </c>
      <c r="L19" s="147">
        <v>450.0</v>
      </c>
      <c r="M19" s="192"/>
      <c r="N19" s="447"/>
      <c r="O19" s="448" t="s">
        <v>27</v>
      </c>
      <c r="P19" s="448" t="s">
        <v>274</v>
      </c>
      <c r="Q19" s="448" t="s">
        <v>351</v>
      </c>
      <c r="R19" s="448" t="s">
        <v>333</v>
      </c>
      <c r="S19" s="449" t="s">
        <v>390</v>
      </c>
      <c r="T19" s="448" t="s">
        <v>48</v>
      </c>
      <c r="U19" s="448" t="s">
        <v>383</v>
      </c>
      <c r="V19" s="448" t="s">
        <v>386</v>
      </c>
    </row>
    <row r="20">
      <c r="B20" s="145" t="s">
        <v>142</v>
      </c>
      <c r="C20" s="146"/>
      <c r="D20" s="378">
        <v>220.0</v>
      </c>
      <c r="E20" s="378">
        <v>220.0</v>
      </c>
      <c r="F20" s="378">
        <v>220.0</v>
      </c>
      <c r="G20" s="446">
        <v>220.0</v>
      </c>
      <c r="H20" s="446">
        <v>220.0</v>
      </c>
      <c r="I20" s="378">
        <v>220.0</v>
      </c>
      <c r="J20" s="378">
        <v>220.0</v>
      </c>
      <c r="K20" s="378">
        <v>220.0</v>
      </c>
      <c r="L20" s="147">
        <v>220.0</v>
      </c>
      <c r="M20" s="409"/>
      <c r="N20" s="450" t="s">
        <v>141</v>
      </c>
      <c r="O20" s="451"/>
      <c r="P20" s="452"/>
      <c r="Q20" s="453">
        <v>450.0</v>
      </c>
      <c r="R20" s="452"/>
      <c r="S20" s="452"/>
      <c r="T20" s="452"/>
      <c r="U20" s="452"/>
      <c r="V20" s="452"/>
    </row>
    <row r="21">
      <c r="B21" s="145" t="s">
        <v>143</v>
      </c>
      <c r="C21" s="146"/>
      <c r="D21" s="396">
        <v>139.9</v>
      </c>
      <c r="E21" s="396">
        <v>147.9</v>
      </c>
      <c r="F21" s="396">
        <v>147.9</v>
      </c>
      <c r="G21" s="454">
        <v>147.9</v>
      </c>
      <c r="H21" s="454">
        <v>147.9</v>
      </c>
      <c r="I21" s="378">
        <v>147.9</v>
      </c>
      <c r="J21" s="396">
        <v>147.9</v>
      </c>
      <c r="K21" s="396">
        <v>147.9</v>
      </c>
      <c r="L21" s="396">
        <v>147.9</v>
      </c>
      <c r="M21" s="409"/>
      <c r="N21" s="450" t="s">
        <v>142</v>
      </c>
      <c r="O21" s="451"/>
      <c r="P21" s="452"/>
      <c r="Q21" s="453">
        <v>220.0</v>
      </c>
      <c r="R21" s="452"/>
      <c r="S21" s="452"/>
      <c r="T21" s="452"/>
      <c r="U21" s="452"/>
      <c r="V21" s="452"/>
    </row>
    <row r="22">
      <c r="B22" s="145" t="s">
        <v>144</v>
      </c>
      <c r="C22" s="146"/>
      <c r="D22" s="378">
        <v>100.0</v>
      </c>
      <c r="E22" s="378">
        <v>100.0</v>
      </c>
      <c r="F22" s="378">
        <f t="shared" ref="F22:H22" si="4">E22</f>
        <v>100</v>
      </c>
      <c r="G22" s="446">
        <f t="shared" si="4"/>
        <v>100</v>
      </c>
      <c r="H22" s="446">
        <f t="shared" si="4"/>
        <v>100</v>
      </c>
      <c r="I22" s="378">
        <v>100.0</v>
      </c>
      <c r="J22" s="378">
        <f>I22</f>
        <v>100</v>
      </c>
      <c r="K22" s="378">
        <v>100.0</v>
      </c>
      <c r="L22" s="147">
        <f>K22</f>
        <v>100</v>
      </c>
      <c r="M22" s="409"/>
      <c r="N22" s="450" t="s">
        <v>143</v>
      </c>
      <c r="O22" s="451"/>
      <c r="P22" s="452"/>
      <c r="Q22" s="453">
        <v>147.9</v>
      </c>
      <c r="R22" s="452"/>
      <c r="S22" s="452"/>
      <c r="T22" s="452"/>
      <c r="U22" s="452"/>
      <c r="V22" s="452"/>
    </row>
    <row r="23">
      <c r="B23" s="145" t="s">
        <v>145</v>
      </c>
      <c r="C23" s="146"/>
      <c r="D23" s="378">
        <v>3004.8</v>
      </c>
      <c r="E23" s="378">
        <v>3004.8</v>
      </c>
      <c r="F23" s="378">
        <v>3004.8</v>
      </c>
      <c r="G23" s="446">
        <v>3004.8</v>
      </c>
      <c r="H23" s="446">
        <v>3004.8</v>
      </c>
      <c r="I23" s="378">
        <v>3004.8</v>
      </c>
      <c r="J23" s="378">
        <v>3004.8</v>
      </c>
      <c r="K23" s="378">
        <v>3004.8</v>
      </c>
      <c r="L23" s="378">
        <v>3004.8</v>
      </c>
      <c r="M23" s="409"/>
      <c r="N23" s="450" t="s">
        <v>144</v>
      </c>
      <c r="O23" s="451"/>
      <c r="P23" s="452"/>
      <c r="Q23" s="453">
        <v>100.0</v>
      </c>
      <c r="R23" s="452"/>
      <c r="S23" s="452"/>
      <c r="T23" s="452"/>
      <c r="U23" s="452"/>
      <c r="V23" s="452"/>
    </row>
    <row r="24">
      <c r="B24" s="145" t="s">
        <v>146</v>
      </c>
      <c r="C24" s="150" t="s">
        <v>136</v>
      </c>
      <c r="D24" s="378">
        <v>50.0</v>
      </c>
      <c r="E24" s="378">
        <v>0.0</v>
      </c>
      <c r="F24" s="378">
        <v>0.0</v>
      </c>
      <c r="G24" s="446"/>
      <c r="H24" s="446"/>
      <c r="I24" s="378"/>
      <c r="J24" s="378"/>
      <c r="K24" s="378"/>
      <c r="L24" s="147"/>
      <c r="M24" s="409"/>
      <c r="N24" s="450" t="s">
        <v>145</v>
      </c>
      <c r="O24" s="478">
        <v>4.8</v>
      </c>
      <c r="P24" s="456"/>
      <c r="Q24" s="451"/>
      <c r="R24" s="452"/>
      <c r="S24" s="452"/>
      <c r="T24" s="452"/>
      <c r="U24" s="452"/>
      <c r="V24" s="452"/>
    </row>
    <row r="25">
      <c r="B25" s="145" t="s">
        <v>180</v>
      </c>
      <c r="C25" s="146"/>
      <c r="D25" s="378">
        <v>400.0</v>
      </c>
      <c r="E25" s="378">
        <v>400.0</v>
      </c>
      <c r="F25" s="378">
        <v>400.0</v>
      </c>
      <c r="G25" s="446">
        <v>400.0</v>
      </c>
      <c r="H25" s="446">
        <v>400.0</v>
      </c>
      <c r="I25" s="378">
        <v>400.0</v>
      </c>
      <c r="J25" s="378">
        <v>400.0</v>
      </c>
      <c r="K25" s="378">
        <v>400.0</v>
      </c>
      <c r="L25" s="147">
        <v>400.0</v>
      </c>
      <c r="M25" s="409"/>
      <c r="N25" s="450" t="s">
        <v>146</v>
      </c>
      <c r="O25" s="455"/>
      <c r="P25" s="457"/>
      <c r="Q25" s="452"/>
      <c r="R25" s="452"/>
      <c r="S25" s="452"/>
      <c r="T25" s="452"/>
      <c r="U25" s="452"/>
      <c r="V25" s="452"/>
    </row>
    <row r="26">
      <c r="B26" s="145" t="s">
        <v>148</v>
      </c>
      <c r="C26" s="146"/>
      <c r="D26" s="378">
        <v>600.0</v>
      </c>
      <c r="E26" s="378">
        <v>600.0</v>
      </c>
      <c r="F26" s="378">
        <v>600.0</v>
      </c>
      <c r="G26" s="446">
        <v>600.0</v>
      </c>
      <c r="H26" s="446">
        <v>600.0</v>
      </c>
      <c r="I26" s="378">
        <v>600.0</v>
      </c>
      <c r="J26" s="378">
        <v>600.0</v>
      </c>
      <c r="K26" s="378">
        <v>600.0</v>
      </c>
      <c r="L26" s="147">
        <v>600.0</v>
      </c>
      <c r="M26" s="409"/>
      <c r="N26" s="450" t="s">
        <v>180</v>
      </c>
      <c r="O26" s="462"/>
      <c r="P26" s="456"/>
      <c r="Q26" s="452"/>
      <c r="R26" s="452"/>
      <c r="S26" s="452"/>
      <c r="T26" s="452"/>
      <c r="U26" s="452"/>
      <c r="V26" s="479">
        <v>400.0</v>
      </c>
    </row>
    <row r="27">
      <c r="B27" s="145" t="s">
        <v>149</v>
      </c>
      <c r="C27" s="146"/>
      <c r="D27" s="378">
        <v>500.0</v>
      </c>
      <c r="E27" s="378">
        <v>500.0</v>
      </c>
      <c r="F27" s="378">
        <f t="shared" ref="F27:H27" si="5">E27</f>
        <v>500</v>
      </c>
      <c r="G27" s="446">
        <f t="shared" si="5"/>
        <v>500</v>
      </c>
      <c r="H27" s="446">
        <f t="shared" si="5"/>
        <v>500</v>
      </c>
      <c r="I27" s="378">
        <v>500.0</v>
      </c>
      <c r="J27" s="378">
        <f>I27</f>
        <v>500</v>
      </c>
      <c r="K27" s="378">
        <v>500.0</v>
      </c>
      <c r="L27" s="147">
        <f>K27</f>
        <v>500</v>
      </c>
      <c r="M27" s="409"/>
      <c r="N27" s="450" t="s">
        <v>148</v>
      </c>
      <c r="O27" s="451"/>
      <c r="P27" s="456"/>
      <c r="Q27" s="453">
        <v>600.0</v>
      </c>
      <c r="R27" s="452"/>
      <c r="S27" s="452"/>
      <c r="T27" s="452"/>
      <c r="U27" s="452"/>
      <c r="V27" s="452"/>
    </row>
    <row r="28">
      <c r="B28" s="145" t="s">
        <v>181</v>
      </c>
      <c r="C28" s="146"/>
      <c r="D28" s="378">
        <v>150.0</v>
      </c>
      <c r="E28" s="378">
        <v>150.0</v>
      </c>
      <c r="F28" s="378">
        <v>150.0</v>
      </c>
      <c r="G28" s="446">
        <v>150.0</v>
      </c>
      <c r="H28" s="446">
        <v>150.0</v>
      </c>
      <c r="I28" s="378">
        <v>150.0</v>
      </c>
      <c r="J28" s="378">
        <v>150.0</v>
      </c>
      <c r="K28" s="378">
        <v>150.0</v>
      </c>
      <c r="L28" s="147">
        <v>150.0</v>
      </c>
      <c r="M28" s="409"/>
      <c r="N28" s="450" t="s">
        <v>149</v>
      </c>
      <c r="O28" s="451"/>
      <c r="P28" s="456"/>
      <c r="Q28" s="453">
        <v>500.0</v>
      </c>
      <c r="R28" s="452"/>
      <c r="S28" s="452"/>
      <c r="T28" s="452"/>
      <c r="U28" s="452"/>
      <c r="V28" s="452"/>
    </row>
    <row r="29">
      <c r="B29" s="145" t="s">
        <v>150</v>
      </c>
      <c r="C29" s="146"/>
      <c r="D29" s="378">
        <v>400.0</v>
      </c>
      <c r="E29" s="378">
        <v>400.0</v>
      </c>
      <c r="F29" s="378">
        <f t="shared" ref="F29:H29" si="6">E29</f>
        <v>400</v>
      </c>
      <c r="G29" s="446">
        <f t="shared" si="6"/>
        <v>400</v>
      </c>
      <c r="H29" s="446">
        <f t="shared" si="6"/>
        <v>400</v>
      </c>
      <c r="I29" s="378">
        <v>400.0</v>
      </c>
      <c r="J29" s="378">
        <v>400.0</v>
      </c>
      <c r="K29" s="378">
        <v>400.0</v>
      </c>
      <c r="L29" s="147">
        <f>K29</f>
        <v>400</v>
      </c>
      <c r="M29" s="409"/>
      <c r="N29" s="450" t="s">
        <v>181</v>
      </c>
      <c r="O29" s="451"/>
      <c r="P29" s="456"/>
      <c r="Q29" s="453">
        <v>150.0</v>
      </c>
      <c r="R29" s="452"/>
      <c r="S29" s="452"/>
      <c r="T29" s="452"/>
      <c r="U29" s="452"/>
      <c r="V29" s="452"/>
    </row>
    <row r="30">
      <c r="B30" s="145" t="s">
        <v>182</v>
      </c>
      <c r="C30" s="146"/>
      <c r="D30" s="378">
        <v>160.0</v>
      </c>
      <c r="E30" s="378">
        <v>160.0</v>
      </c>
      <c r="F30" s="378">
        <v>160.0</v>
      </c>
      <c r="G30" s="446">
        <v>160.0</v>
      </c>
      <c r="H30" s="446">
        <v>160.0</v>
      </c>
      <c r="I30" s="378">
        <v>160.0</v>
      </c>
      <c r="J30" s="378">
        <v>0.0</v>
      </c>
      <c r="K30" s="378">
        <v>160.0</v>
      </c>
      <c r="L30" s="147">
        <v>160.0</v>
      </c>
      <c r="M30" s="409"/>
      <c r="N30" s="450" t="s">
        <v>150</v>
      </c>
      <c r="O30" s="451"/>
      <c r="P30" s="458">
        <v>400.0</v>
      </c>
      <c r="Q30" s="452"/>
      <c r="R30" s="452"/>
      <c r="S30" s="452"/>
      <c r="T30" s="452"/>
      <c r="U30" s="452"/>
      <c r="V30" s="452"/>
    </row>
    <row r="31">
      <c r="B31" s="145" t="s">
        <v>392</v>
      </c>
      <c r="C31" s="146"/>
      <c r="D31" s="378">
        <v>400.0</v>
      </c>
      <c r="E31" s="378">
        <v>400.0</v>
      </c>
      <c r="F31" s="378">
        <v>400.0</v>
      </c>
      <c r="G31" s="446">
        <v>400.0</v>
      </c>
      <c r="H31" s="446">
        <v>400.0</v>
      </c>
      <c r="I31" s="378">
        <v>400.0</v>
      </c>
      <c r="J31" s="378">
        <v>400.0</v>
      </c>
      <c r="K31" s="378">
        <v>1400.0</v>
      </c>
      <c r="L31" s="147">
        <v>1400.0</v>
      </c>
      <c r="M31" s="409"/>
      <c r="N31" s="450" t="s">
        <v>182</v>
      </c>
      <c r="O31" s="451"/>
      <c r="P31" s="456"/>
      <c r="Q31" s="452"/>
      <c r="R31" s="452"/>
      <c r="S31" s="479">
        <v>160.0</v>
      </c>
      <c r="T31" s="452"/>
      <c r="U31" s="452"/>
      <c r="V31" s="452"/>
    </row>
    <row r="32">
      <c r="B32" s="145" t="s">
        <v>152</v>
      </c>
      <c r="C32" s="146"/>
      <c r="D32" s="390"/>
      <c r="E32" s="378"/>
      <c r="F32" s="378"/>
      <c r="G32" s="459"/>
      <c r="H32" s="446"/>
      <c r="I32" s="378"/>
      <c r="J32" s="378"/>
      <c r="K32" s="378"/>
      <c r="L32" s="147"/>
      <c r="M32" s="409"/>
      <c r="N32" s="450" t="s">
        <v>392</v>
      </c>
      <c r="O32" s="451"/>
      <c r="P32" s="460"/>
      <c r="Q32" s="452"/>
      <c r="R32" s="452"/>
      <c r="S32" s="479"/>
      <c r="T32" s="480">
        <v>1400.0</v>
      </c>
      <c r="U32" s="452"/>
      <c r="V32" s="452"/>
    </row>
    <row r="33">
      <c r="B33" s="145" t="s">
        <v>154</v>
      </c>
      <c r="C33" s="146"/>
      <c r="D33" s="390">
        <v>136.92</v>
      </c>
      <c r="E33" s="390">
        <v>136.92</v>
      </c>
      <c r="F33" s="390">
        <v>136.92</v>
      </c>
      <c r="G33" s="446">
        <v>144.7</v>
      </c>
      <c r="H33" s="446">
        <v>144.7</v>
      </c>
      <c r="I33" s="378">
        <v>161.29</v>
      </c>
      <c r="J33" s="378">
        <v>161.29</v>
      </c>
      <c r="K33" s="378">
        <v>161.29</v>
      </c>
      <c r="L33" s="378">
        <v>161.29</v>
      </c>
      <c r="M33" s="409"/>
      <c r="N33" s="450" t="s">
        <v>152</v>
      </c>
      <c r="O33" s="455"/>
      <c r="P33" s="456"/>
      <c r="Q33" s="452"/>
      <c r="R33" s="452"/>
      <c r="S33" s="481"/>
      <c r="T33" s="452"/>
      <c r="U33" s="452"/>
      <c r="V33" s="452"/>
    </row>
    <row r="34">
      <c r="B34" s="145" t="s">
        <v>155</v>
      </c>
      <c r="C34" s="146"/>
      <c r="D34" s="390"/>
      <c r="E34" s="390"/>
      <c r="F34" s="378" t="str">
        <f t="shared" ref="F34:H34" si="7">E34</f>
        <v/>
      </c>
      <c r="G34" s="446" t="str">
        <f t="shared" si="7"/>
        <v/>
      </c>
      <c r="H34" s="446" t="str">
        <f t="shared" si="7"/>
        <v/>
      </c>
      <c r="I34" s="378" t="str">
        <f>H32</f>
        <v/>
      </c>
      <c r="J34" s="378" t="str">
        <f>I34</f>
        <v/>
      </c>
      <c r="K34" s="378" t="str">
        <f>J32</f>
        <v/>
      </c>
      <c r="L34" s="147" t="str">
        <f>K34</f>
        <v/>
      </c>
      <c r="M34" s="409"/>
      <c r="N34" s="450" t="s">
        <v>154</v>
      </c>
      <c r="O34" s="457">
        <f>I33-P34</f>
        <v>148.29</v>
      </c>
      <c r="P34" s="457">
        <v>13.0</v>
      </c>
      <c r="Q34" s="452"/>
      <c r="R34" s="452"/>
      <c r="S34" s="481"/>
      <c r="T34" s="456"/>
      <c r="U34" s="452"/>
      <c r="V34" s="452"/>
    </row>
    <row r="35">
      <c r="B35" s="145" t="s">
        <v>156</v>
      </c>
      <c r="C35" s="146"/>
      <c r="D35" s="378">
        <v>100.0</v>
      </c>
      <c r="E35" s="378">
        <v>100.0</v>
      </c>
      <c r="F35" s="390"/>
      <c r="G35" s="446">
        <v>100.0</v>
      </c>
      <c r="H35" s="446">
        <v>600.0</v>
      </c>
      <c r="I35" s="378">
        <v>500.0</v>
      </c>
      <c r="J35" s="378">
        <v>200.0</v>
      </c>
      <c r="K35" s="378">
        <v>100.0</v>
      </c>
      <c r="L35" s="151"/>
      <c r="M35" s="409"/>
      <c r="N35" s="450" t="s">
        <v>155</v>
      </c>
      <c r="O35" s="455"/>
      <c r="P35" s="456"/>
      <c r="Q35" s="452"/>
      <c r="R35" s="452"/>
      <c r="S35" s="481"/>
      <c r="T35" s="452"/>
      <c r="U35" s="452"/>
      <c r="V35" s="452"/>
    </row>
    <row r="36">
      <c r="B36" s="145" t="s">
        <v>157</v>
      </c>
      <c r="C36" s="146"/>
      <c r="D36" s="378">
        <v>50.0</v>
      </c>
      <c r="E36" s="378">
        <v>50.0</v>
      </c>
      <c r="F36" s="378">
        <f t="shared" ref="F36:H36" si="8">E36</f>
        <v>50</v>
      </c>
      <c r="G36" s="446">
        <f t="shared" si="8"/>
        <v>50</v>
      </c>
      <c r="H36" s="446">
        <f t="shared" si="8"/>
        <v>50</v>
      </c>
      <c r="I36" s="378">
        <v>50.0</v>
      </c>
      <c r="J36" s="378">
        <f t="shared" ref="J36:J37" si="10">I36</f>
        <v>50</v>
      </c>
      <c r="K36" s="378">
        <v>50.0</v>
      </c>
      <c r="L36" s="147">
        <f t="shared" ref="L36:L37" si="11">K36</f>
        <v>50</v>
      </c>
      <c r="M36" s="409"/>
      <c r="N36" s="450" t="s">
        <v>156</v>
      </c>
      <c r="O36" s="458"/>
      <c r="P36" s="458"/>
      <c r="Q36" s="452"/>
      <c r="R36" s="452"/>
      <c r="S36" s="479"/>
      <c r="T36" s="452"/>
      <c r="U36" s="452"/>
      <c r="V36" s="452"/>
      <c r="W36" s="18"/>
    </row>
    <row r="37">
      <c r="B37" s="145" t="s">
        <v>393</v>
      </c>
      <c r="C37" s="146"/>
      <c r="D37" s="390"/>
      <c r="E37" s="390"/>
      <c r="F37" s="378" t="str">
        <f t="shared" ref="F37:H37" si="9">E37</f>
        <v/>
      </c>
      <c r="G37" s="446" t="str">
        <f t="shared" si="9"/>
        <v/>
      </c>
      <c r="H37" s="446" t="str">
        <f t="shared" si="9"/>
        <v/>
      </c>
      <c r="I37" s="378"/>
      <c r="J37" s="378" t="str">
        <f t="shared" si="10"/>
        <v/>
      </c>
      <c r="K37" s="378">
        <v>200.0</v>
      </c>
      <c r="L37" s="147">
        <f t="shared" si="11"/>
        <v>200</v>
      </c>
      <c r="M37" s="409"/>
      <c r="N37" s="450" t="s">
        <v>157</v>
      </c>
      <c r="O37" s="451"/>
      <c r="P37" s="456"/>
      <c r="Q37" s="452"/>
      <c r="R37" s="452"/>
      <c r="S37" s="481"/>
      <c r="T37" s="452"/>
      <c r="U37" s="479">
        <v>50.0</v>
      </c>
      <c r="V37" s="456"/>
      <c r="W37" s="18"/>
    </row>
    <row r="38">
      <c r="B38" s="145" t="s">
        <v>159</v>
      </c>
      <c r="C38" s="146"/>
      <c r="D38" s="378">
        <v>800.0</v>
      </c>
      <c r="E38" s="378">
        <v>800.0</v>
      </c>
      <c r="F38" s="378">
        <v>800.0</v>
      </c>
      <c r="G38" s="446">
        <v>800.0</v>
      </c>
      <c r="H38" s="446">
        <v>800.0</v>
      </c>
      <c r="I38" s="378">
        <v>800.0</v>
      </c>
      <c r="J38" s="378">
        <v>800.0</v>
      </c>
      <c r="K38" s="378">
        <v>800.0</v>
      </c>
      <c r="L38" s="147">
        <v>800.0</v>
      </c>
      <c r="M38" s="409"/>
      <c r="N38" s="450" t="s">
        <v>158</v>
      </c>
      <c r="O38" s="455"/>
      <c r="P38" s="456"/>
      <c r="Q38" s="452"/>
      <c r="R38" s="452"/>
      <c r="S38" s="452"/>
      <c r="T38" s="452"/>
      <c r="U38" s="452"/>
      <c r="V38" s="452"/>
    </row>
    <row r="39">
      <c r="B39" s="145" t="s">
        <v>160</v>
      </c>
      <c r="C39" s="146"/>
      <c r="D39" s="378">
        <v>3000.0</v>
      </c>
      <c r="E39" s="378">
        <v>3000.0</v>
      </c>
      <c r="F39" s="378">
        <f t="shared" ref="F39:H39" si="12">E39</f>
        <v>3000</v>
      </c>
      <c r="G39" s="446">
        <f t="shared" si="12"/>
        <v>3000</v>
      </c>
      <c r="H39" s="446">
        <f t="shared" si="12"/>
        <v>3000</v>
      </c>
      <c r="I39" s="378">
        <v>3000.0</v>
      </c>
      <c r="J39" s="378">
        <f>I39</f>
        <v>3000</v>
      </c>
      <c r="K39" s="378">
        <v>3000.0</v>
      </c>
      <c r="L39" s="147">
        <f>K39</f>
        <v>3000</v>
      </c>
      <c r="M39" s="409"/>
      <c r="N39" s="450" t="s">
        <v>159</v>
      </c>
      <c r="O39" s="455">
        <v>0.0</v>
      </c>
      <c r="P39" s="455">
        <v>400.0</v>
      </c>
      <c r="Q39" s="452"/>
      <c r="R39" s="452"/>
      <c r="S39" s="452"/>
      <c r="T39" s="452"/>
      <c r="U39" s="452"/>
      <c r="V39" s="452"/>
    </row>
    <row r="40">
      <c r="B40" s="145" t="s">
        <v>184</v>
      </c>
      <c r="C40" s="146"/>
      <c r="D40" s="378">
        <v>700.0</v>
      </c>
      <c r="E40" s="378">
        <v>700.0</v>
      </c>
      <c r="F40" s="378">
        <v>700.0</v>
      </c>
      <c r="G40" s="446">
        <v>700.0</v>
      </c>
      <c r="H40" s="446">
        <v>700.0</v>
      </c>
      <c r="I40" s="378">
        <v>700.0</v>
      </c>
      <c r="J40" s="378">
        <v>700.0</v>
      </c>
      <c r="K40" s="378">
        <v>700.0</v>
      </c>
      <c r="L40" s="147">
        <v>700.0</v>
      </c>
      <c r="M40" s="409"/>
      <c r="N40" s="450" t="s">
        <v>160</v>
      </c>
      <c r="O40" s="455">
        <v>1500.0</v>
      </c>
      <c r="P40" s="455">
        <v>1500.0</v>
      </c>
      <c r="Q40" s="452"/>
      <c r="R40" s="481"/>
      <c r="S40" s="452"/>
      <c r="T40" s="452"/>
      <c r="U40" s="452"/>
      <c r="V40" s="452"/>
    </row>
    <row r="41">
      <c r="B41" s="145" t="s">
        <v>3</v>
      </c>
      <c r="C41" s="146"/>
      <c r="D41" s="378">
        <v>500.0</v>
      </c>
      <c r="E41" s="378">
        <v>500.0</v>
      </c>
      <c r="F41" s="378">
        <v>500.0</v>
      </c>
      <c r="G41" s="446">
        <v>500.0</v>
      </c>
      <c r="H41" s="446">
        <v>500.0</v>
      </c>
      <c r="I41" s="378">
        <v>500.0</v>
      </c>
      <c r="J41" s="378">
        <v>500.0</v>
      </c>
      <c r="K41" s="378">
        <v>500.0</v>
      </c>
      <c r="L41" s="147">
        <v>500.0</v>
      </c>
      <c r="M41" s="409"/>
      <c r="N41" s="450" t="s">
        <v>184</v>
      </c>
      <c r="O41" s="451"/>
      <c r="P41" s="456"/>
      <c r="Q41" s="452"/>
      <c r="R41" s="479">
        <v>700.0</v>
      </c>
      <c r="S41" s="452"/>
      <c r="T41" s="452"/>
      <c r="U41" s="452"/>
      <c r="V41" s="452"/>
    </row>
    <row r="42">
      <c r="B42" s="152" t="s">
        <v>161</v>
      </c>
      <c r="C42" s="153"/>
      <c r="D42" s="154">
        <f t="shared" ref="D42:L42" si="13">SUM(D19:D41)*-1</f>
        <v>-11821.62</v>
      </c>
      <c r="E42" s="154">
        <f t="shared" si="13"/>
        <v>-11819.62</v>
      </c>
      <c r="F42" s="154">
        <f t="shared" si="13"/>
        <v>-11719.62</v>
      </c>
      <c r="G42" s="435">
        <f t="shared" si="13"/>
        <v>-11827.4</v>
      </c>
      <c r="H42" s="435">
        <f t="shared" si="13"/>
        <v>-12327.4</v>
      </c>
      <c r="I42" s="154">
        <f t="shared" si="13"/>
        <v>-12243.99</v>
      </c>
      <c r="J42" s="154">
        <f t="shared" si="13"/>
        <v>-11783.99</v>
      </c>
      <c r="K42" s="154">
        <f t="shared" si="13"/>
        <v>-13043.99</v>
      </c>
      <c r="L42" s="154">
        <f t="shared" si="13"/>
        <v>-12943.99</v>
      </c>
      <c r="M42" s="409"/>
      <c r="N42" s="450" t="s">
        <v>3</v>
      </c>
      <c r="O42" s="451"/>
      <c r="P42" s="452"/>
      <c r="Q42" s="452"/>
      <c r="R42" s="479">
        <v>500.0</v>
      </c>
      <c r="S42" s="452"/>
      <c r="T42" s="452"/>
      <c r="U42" s="452"/>
      <c r="V42" s="452"/>
    </row>
    <row r="43">
      <c r="C43" s="27"/>
      <c r="M43" s="409"/>
      <c r="N43" s="450" t="s">
        <v>385</v>
      </c>
      <c r="O43" s="461"/>
      <c r="P43" s="451"/>
      <c r="Q43" s="451"/>
      <c r="R43" s="479">
        <v>200.0</v>
      </c>
      <c r="S43" s="451"/>
      <c r="T43" s="451"/>
      <c r="U43" s="451"/>
      <c r="V43" s="451"/>
    </row>
    <row r="44">
      <c r="B44" s="156" t="s">
        <v>162</v>
      </c>
      <c r="C44" s="157"/>
      <c r="D44" s="469">
        <f t="shared" ref="D44:L44" si="14">D16+D42</f>
        <v>2090.25</v>
      </c>
      <c r="E44" s="469">
        <f t="shared" si="14"/>
        <v>2384.28</v>
      </c>
      <c r="F44" s="469">
        <f t="shared" si="14"/>
        <v>2387.51</v>
      </c>
      <c r="G44" s="470">
        <f t="shared" si="14"/>
        <v>3327.13</v>
      </c>
      <c r="H44" s="469">
        <f t="shared" si="14"/>
        <v>2255.27</v>
      </c>
      <c r="I44" s="469">
        <f t="shared" si="14"/>
        <v>2327.67</v>
      </c>
      <c r="J44" s="469">
        <f t="shared" si="14"/>
        <v>2771.68</v>
      </c>
      <c r="K44" s="158">
        <f t="shared" si="14"/>
        <v>1485.22</v>
      </c>
      <c r="L44" s="158">
        <f t="shared" si="14"/>
        <v>1657.68</v>
      </c>
      <c r="M44" s="18"/>
      <c r="N44" s="18" t="s">
        <v>391</v>
      </c>
      <c r="O44" s="455"/>
      <c r="P44" s="457"/>
      <c r="Q44" s="452"/>
      <c r="R44" s="479"/>
      <c r="S44" s="452"/>
      <c r="T44" s="451"/>
      <c r="U44" s="452"/>
      <c r="V44" s="452"/>
    </row>
    <row r="45">
      <c r="B45" s="83"/>
      <c r="C45" s="159"/>
      <c r="D45" s="84"/>
      <c r="E45" s="84"/>
      <c r="F45" s="84"/>
      <c r="G45" s="84"/>
      <c r="H45" s="84"/>
      <c r="I45" s="84"/>
      <c r="J45" s="84"/>
      <c r="K45" s="84"/>
      <c r="L45" s="84"/>
      <c r="M45" s="107"/>
      <c r="N45" s="462" t="s">
        <v>382</v>
      </c>
      <c r="O45" s="451"/>
      <c r="P45" s="452"/>
      <c r="Q45" s="452"/>
      <c r="R45" s="482">
        <v>1657.68</v>
      </c>
      <c r="S45" s="452"/>
      <c r="T45" s="458"/>
      <c r="U45" s="452"/>
      <c r="V45" s="452"/>
    </row>
    <row r="46">
      <c r="B46" s="85" t="s">
        <v>163</v>
      </c>
      <c r="C46" s="160"/>
      <c r="D46" s="161" t="s">
        <v>123</v>
      </c>
      <c r="E46" s="161" t="s">
        <v>124</v>
      </c>
      <c r="F46" s="161" t="s">
        <v>125</v>
      </c>
      <c r="G46" s="437" t="s">
        <v>126</v>
      </c>
      <c r="H46" s="161" t="s">
        <v>127</v>
      </c>
      <c r="I46" s="161" t="s">
        <v>128</v>
      </c>
      <c r="J46" s="161" t="s">
        <v>129</v>
      </c>
      <c r="K46" s="161" t="s">
        <v>130</v>
      </c>
      <c r="L46" s="161" t="s">
        <v>131</v>
      </c>
      <c r="M46" s="107"/>
      <c r="N46" s="463" t="s">
        <v>26</v>
      </c>
      <c r="O46" s="464">
        <f t="shared" ref="O46:V46" si="15">SUM(O20:O45)</f>
        <v>1653.09</v>
      </c>
      <c r="P46" s="465">
        <f t="shared" si="15"/>
        <v>2313</v>
      </c>
      <c r="Q46" s="465">
        <f t="shared" si="15"/>
        <v>2167.9</v>
      </c>
      <c r="R46" s="465">
        <f t="shared" si="15"/>
        <v>3057.68</v>
      </c>
      <c r="S46" s="465">
        <f t="shared" si="15"/>
        <v>160</v>
      </c>
      <c r="T46" s="465">
        <f t="shared" si="15"/>
        <v>1400</v>
      </c>
      <c r="U46" s="465">
        <f t="shared" si="15"/>
        <v>50</v>
      </c>
      <c r="V46" s="465">
        <f t="shared" si="15"/>
        <v>400</v>
      </c>
      <c r="W46" s="27">
        <f>SUM(O46:V46)</f>
        <v>11201.67</v>
      </c>
    </row>
    <row r="47">
      <c r="B47" s="162"/>
      <c r="C47" s="163"/>
      <c r="D47" s="164"/>
      <c r="E47" s="164"/>
      <c r="F47" s="165"/>
      <c r="G47" s="438"/>
      <c r="H47" s="165"/>
      <c r="I47" s="165"/>
      <c r="J47" s="165"/>
      <c r="K47" s="165"/>
      <c r="L47" s="165"/>
      <c r="M47" s="248"/>
      <c r="N47" s="107" t="s">
        <v>389</v>
      </c>
      <c r="O47" s="181">
        <f>S8-O46</f>
        <v>3608.63</v>
      </c>
      <c r="P47" s="472">
        <f>L13-P46</f>
        <v>3626.95</v>
      </c>
      <c r="Q47" s="287"/>
    </row>
    <row r="48">
      <c r="A48" s="298"/>
      <c r="B48" s="162" t="s">
        <v>58</v>
      </c>
      <c r="C48" s="163"/>
      <c r="D48" s="167">
        <v>962.79</v>
      </c>
      <c r="E48" s="167">
        <v>962.79</v>
      </c>
      <c r="F48" s="167">
        <v>962.79</v>
      </c>
      <c r="G48" s="439">
        <v>962.79</v>
      </c>
      <c r="H48" s="167">
        <v>724.25</v>
      </c>
      <c r="I48" s="167">
        <v>724.25</v>
      </c>
      <c r="J48" s="167">
        <v>724.25</v>
      </c>
      <c r="K48" s="167">
        <v>724.25</v>
      </c>
      <c r="L48" s="167">
        <v>724.25</v>
      </c>
      <c r="M48" s="107"/>
      <c r="N48" s="325" t="s">
        <v>353</v>
      </c>
      <c r="Q48" s="28">
        <f>P47-2230</f>
        <v>1396.95</v>
      </c>
    </row>
    <row r="49">
      <c r="B49" s="162"/>
      <c r="C49" s="163"/>
      <c r="D49" s="166"/>
      <c r="E49" s="166"/>
      <c r="F49" s="166"/>
      <c r="G49" s="440"/>
      <c r="H49" s="166"/>
      <c r="I49" s="166"/>
      <c r="J49" s="166"/>
      <c r="K49" s="166"/>
      <c r="L49" s="166"/>
      <c r="M49" s="107"/>
      <c r="N49" s="107"/>
      <c r="R49" s="387"/>
      <c r="T49" s="387"/>
    </row>
    <row r="50">
      <c r="B50" s="168"/>
      <c r="C50" s="169"/>
      <c r="D50" s="170"/>
      <c r="E50" s="170"/>
      <c r="F50" s="170"/>
      <c r="G50" s="441"/>
      <c r="H50" s="170"/>
      <c r="I50" s="166"/>
      <c r="J50" s="170"/>
      <c r="K50" s="170"/>
      <c r="L50" s="170"/>
      <c r="M50" s="107"/>
      <c r="N50" s="107"/>
    </row>
    <row r="51">
      <c r="B51" s="152" t="s">
        <v>167</v>
      </c>
      <c r="C51" s="171"/>
      <c r="D51" s="172">
        <f t="shared" ref="D51:L51" si="16">SUM(D47:D50)*-1</f>
        <v>-962.79</v>
      </c>
      <c r="E51" s="172">
        <f t="shared" si="16"/>
        <v>-962.79</v>
      </c>
      <c r="F51" s="172">
        <f t="shared" si="16"/>
        <v>-962.79</v>
      </c>
      <c r="G51" s="442">
        <f t="shared" si="16"/>
        <v>-962.79</v>
      </c>
      <c r="H51" s="172">
        <f t="shared" si="16"/>
        <v>-724.25</v>
      </c>
      <c r="I51" s="172">
        <f t="shared" si="16"/>
        <v>-724.25</v>
      </c>
      <c r="J51" s="172">
        <f t="shared" si="16"/>
        <v>-724.25</v>
      </c>
      <c r="K51" s="172">
        <f t="shared" si="16"/>
        <v>-724.25</v>
      </c>
      <c r="L51" s="172">
        <f t="shared" si="16"/>
        <v>-724.25</v>
      </c>
      <c r="N51" s="18" t="s">
        <v>394</v>
      </c>
      <c r="O51" s="393">
        <f>K56-R43</f>
        <v>560.97</v>
      </c>
    </row>
    <row r="52">
      <c r="B52" s="83"/>
      <c r="C52" s="159"/>
      <c r="D52" s="96"/>
      <c r="E52" s="96"/>
      <c r="F52" s="96"/>
      <c r="G52" s="96"/>
      <c r="H52" s="96"/>
      <c r="I52" s="96"/>
      <c r="J52" s="96"/>
      <c r="K52" s="96"/>
      <c r="L52" s="96"/>
      <c r="M52" s="107"/>
      <c r="N52" s="107"/>
      <c r="R52" s="393">
        <v>-827.68</v>
      </c>
    </row>
    <row r="53">
      <c r="B53" s="173" t="s">
        <v>168</v>
      </c>
      <c r="C53" s="174"/>
      <c r="D53" s="175">
        <f t="shared" ref="D53:L53" si="17">D44+D51</f>
        <v>1127.46</v>
      </c>
      <c r="E53" s="175">
        <f t="shared" si="17"/>
        <v>1421.49</v>
      </c>
      <c r="F53" s="175">
        <f t="shared" si="17"/>
        <v>1424.72</v>
      </c>
      <c r="G53" s="443">
        <f t="shared" si="17"/>
        <v>2364.34</v>
      </c>
      <c r="H53" s="175">
        <f t="shared" si="17"/>
        <v>1531.02</v>
      </c>
      <c r="I53" s="175">
        <f t="shared" si="17"/>
        <v>1603.42</v>
      </c>
      <c r="J53" s="175">
        <f t="shared" si="17"/>
        <v>2047.43</v>
      </c>
      <c r="K53" s="175">
        <f t="shared" si="17"/>
        <v>760.97</v>
      </c>
      <c r="L53" s="175">
        <f t="shared" si="17"/>
        <v>933.43</v>
      </c>
      <c r="M53" s="107"/>
      <c r="N53" s="107"/>
      <c r="O53" s="107"/>
      <c r="R53" s="404">
        <v>-744.68</v>
      </c>
    </row>
    <row r="54">
      <c r="B54" s="83"/>
      <c r="C54" s="159"/>
      <c r="D54" s="96"/>
      <c r="E54" s="96"/>
      <c r="F54" s="96"/>
      <c r="G54" s="96"/>
      <c r="H54" s="96"/>
      <c r="I54" s="96"/>
      <c r="J54" s="96"/>
      <c r="K54" s="96"/>
      <c r="L54" s="96"/>
      <c r="M54" s="107"/>
      <c r="N54" s="107"/>
      <c r="O54" s="18"/>
    </row>
    <row r="55">
      <c r="B55" s="100" t="s">
        <v>169</v>
      </c>
      <c r="C55" s="176"/>
      <c r="D55" s="177" t="s">
        <v>123</v>
      </c>
      <c r="E55" s="177" t="s">
        <v>124</v>
      </c>
      <c r="F55" s="177" t="s">
        <v>125</v>
      </c>
      <c r="G55" s="444" t="s">
        <v>126</v>
      </c>
      <c r="H55" s="177" t="s">
        <v>127</v>
      </c>
      <c r="I55" s="177" t="s">
        <v>128</v>
      </c>
      <c r="J55" s="177" t="s">
        <v>129</v>
      </c>
      <c r="K55" s="177" t="s">
        <v>130</v>
      </c>
      <c r="L55" s="177" t="s">
        <v>131</v>
      </c>
      <c r="M55" s="107"/>
      <c r="N55" s="107"/>
      <c r="O55" s="18"/>
    </row>
    <row r="56">
      <c r="B56" s="152" t="s">
        <v>171</v>
      </c>
      <c r="C56" s="153"/>
      <c r="D56" s="178">
        <f t="shared" ref="D56:L56" si="18">+D53</f>
        <v>1127.46</v>
      </c>
      <c r="E56" s="178">
        <f t="shared" si="18"/>
        <v>1421.49</v>
      </c>
      <c r="F56" s="178">
        <f t="shared" si="18"/>
        <v>1424.72</v>
      </c>
      <c r="G56" s="445">
        <f t="shared" si="18"/>
        <v>2364.34</v>
      </c>
      <c r="H56" s="178">
        <f t="shared" si="18"/>
        <v>1531.02</v>
      </c>
      <c r="I56" s="178">
        <f t="shared" si="18"/>
        <v>1603.42</v>
      </c>
      <c r="J56" s="178">
        <f t="shared" si="18"/>
        <v>2047.43</v>
      </c>
      <c r="K56" s="178">
        <f t="shared" si="18"/>
        <v>760.97</v>
      </c>
      <c r="L56" s="178">
        <f t="shared" si="18"/>
        <v>933.43</v>
      </c>
      <c r="M56" s="27"/>
      <c r="N56" s="27"/>
    </row>
    <row r="57">
      <c r="D57" s="362"/>
      <c r="E57" s="362"/>
      <c r="F57" s="27"/>
      <c r="G57" s="27"/>
      <c r="H57" s="27"/>
      <c r="J57" s="27"/>
      <c r="L57" s="27"/>
      <c r="M57" s="27"/>
      <c r="N57" s="27"/>
    </row>
    <row r="58">
      <c r="F58" s="27"/>
      <c r="G58" s="27"/>
      <c r="H58" s="27"/>
      <c r="J58" s="27"/>
      <c r="L58" s="27"/>
      <c r="M58" s="27"/>
      <c r="N58" s="27"/>
      <c r="Q58" s="12">
        <f>1100-778.37</f>
        <v>321.63</v>
      </c>
    </row>
    <row r="59">
      <c r="F59" s="27"/>
      <c r="G59" s="27"/>
      <c r="H59" s="27"/>
      <c r="J59" s="27"/>
      <c r="L59" s="27"/>
      <c r="M59" s="27"/>
      <c r="N59" s="27"/>
    </row>
    <row r="60">
      <c r="F60" s="27"/>
      <c r="G60" s="27"/>
      <c r="H60" s="27"/>
      <c r="J60" s="27"/>
      <c r="L60" s="27"/>
      <c r="M60" s="27"/>
      <c r="N60" s="27"/>
    </row>
    <row r="61">
      <c r="F61" s="27"/>
      <c r="G61" s="27"/>
      <c r="H61" s="27"/>
      <c r="J61" s="27"/>
      <c r="L61" s="27"/>
      <c r="M61" s="27"/>
      <c r="N61" s="27"/>
    </row>
    <row r="62">
      <c r="F62" s="27"/>
      <c r="G62" s="27"/>
      <c r="H62" s="27"/>
      <c r="J62" s="27"/>
      <c r="L62" s="27"/>
      <c r="M62" s="27"/>
      <c r="N62" s="27"/>
    </row>
    <row r="63">
      <c r="F63" s="27"/>
      <c r="G63" s="27"/>
      <c r="H63" s="27"/>
      <c r="J63" s="27"/>
      <c r="L63" s="27"/>
      <c r="M63" s="27"/>
      <c r="N63" s="27"/>
    </row>
    <row r="64">
      <c r="F64" s="27"/>
      <c r="G64" s="27"/>
      <c r="H64" s="27"/>
      <c r="J64" s="27"/>
      <c r="L64" s="27"/>
      <c r="M64" s="27"/>
      <c r="N64" s="27"/>
    </row>
    <row r="65">
      <c r="F65" s="27"/>
      <c r="G65" s="27"/>
      <c r="H65" s="27"/>
      <c r="J65" s="27"/>
      <c r="L65" s="27"/>
      <c r="M65" s="27"/>
      <c r="N65" s="27"/>
    </row>
    <row r="66">
      <c r="F66" s="27"/>
      <c r="G66" s="27"/>
      <c r="H66" s="27"/>
      <c r="J66" s="27"/>
      <c r="L66" s="27"/>
      <c r="M66" s="27"/>
      <c r="N66" s="27"/>
    </row>
    <row r="67">
      <c r="F67" s="27"/>
      <c r="G67" s="27"/>
      <c r="H67" s="27"/>
      <c r="J67" s="27"/>
      <c r="L67" s="27"/>
      <c r="M67" s="27"/>
      <c r="N67" s="27"/>
    </row>
    <row r="68">
      <c r="F68" s="27"/>
      <c r="G68" s="27"/>
      <c r="H68" s="27"/>
      <c r="J68" s="27"/>
      <c r="L68" s="27"/>
      <c r="M68" s="27"/>
      <c r="N68" s="27"/>
    </row>
    <row r="69">
      <c r="F69" s="27"/>
      <c r="G69" s="27"/>
      <c r="H69" s="27"/>
      <c r="J69" s="27"/>
      <c r="L69" s="27"/>
      <c r="M69" s="27"/>
      <c r="N69" s="27"/>
    </row>
    <row r="70">
      <c r="F70" s="27"/>
      <c r="G70" s="27"/>
      <c r="H70" s="27"/>
      <c r="J70" s="27"/>
      <c r="L70" s="27"/>
      <c r="M70" s="27"/>
      <c r="N70" s="27"/>
    </row>
    <row r="71">
      <c r="F71" s="27"/>
      <c r="G71" s="27"/>
      <c r="H71" s="27"/>
      <c r="J71" s="27"/>
      <c r="L71" s="27"/>
      <c r="M71" s="27"/>
      <c r="N71" s="27"/>
    </row>
    <row r="72">
      <c r="F72" s="27"/>
      <c r="G72" s="27"/>
      <c r="H72" s="27"/>
      <c r="J72" s="27"/>
      <c r="L72" s="27"/>
      <c r="M72" s="27"/>
      <c r="N72" s="27"/>
    </row>
    <row r="73">
      <c r="F73" s="27"/>
      <c r="G73" s="27"/>
      <c r="H73" s="27"/>
      <c r="J73" s="27"/>
      <c r="L73" s="27"/>
      <c r="M73" s="27"/>
      <c r="N73" s="27"/>
    </row>
    <row r="74">
      <c r="F74" s="27"/>
      <c r="G74" s="27"/>
      <c r="H74" s="27"/>
      <c r="J74" s="27"/>
      <c r="L74" s="27"/>
      <c r="M74" s="27"/>
      <c r="N74" s="27"/>
    </row>
    <row r="75">
      <c r="F75" s="27"/>
      <c r="G75" s="27"/>
      <c r="H75" s="27"/>
      <c r="J75" s="27"/>
      <c r="L75" s="27"/>
      <c r="M75" s="27"/>
      <c r="N75" s="27"/>
    </row>
    <row r="76">
      <c r="F76" s="27"/>
      <c r="G76" s="27"/>
      <c r="H76" s="27"/>
      <c r="J76" s="27"/>
      <c r="L76" s="27"/>
      <c r="M76" s="27"/>
      <c r="N76" s="27"/>
    </row>
    <row r="77">
      <c r="F77" s="27"/>
      <c r="G77" s="27"/>
      <c r="H77" s="27"/>
      <c r="J77" s="27"/>
      <c r="L77" s="27"/>
      <c r="M77" s="27"/>
      <c r="N77" s="27"/>
    </row>
    <row r="78">
      <c r="F78" s="27"/>
      <c r="G78" s="27"/>
      <c r="H78" s="27"/>
      <c r="J78" s="27"/>
      <c r="L78" s="27"/>
      <c r="M78" s="27"/>
      <c r="N78" s="27"/>
    </row>
    <row r="79">
      <c r="F79" s="27"/>
      <c r="G79" s="27"/>
      <c r="H79" s="27"/>
      <c r="J79" s="27"/>
      <c r="L79" s="27"/>
      <c r="M79" s="27"/>
      <c r="N79" s="27"/>
    </row>
    <row r="80">
      <c r="F80" s="27"/>
      <c r="G80" s="27"/>
      <c r="H80" s="27"/>
      <c r="J80" s="27"/>
      <c r="L80" s="27"/>
      <c r="M80" s="27"/>
      <c r="N80" s="27"/>
    </row>
    <row r="81">
      <c r="F81" s="27"/>
      <c r="G81" s="27"/>
      <c r="H81" s="27"/>
      <c r="J81" s="27"/>
      <c r="L81" s="27"/>
      <c r="M81" s="27"/>
      <c r="N81" s="27"/>
    </row>
    <row r="82">
      <c r="F82" s="27"/>
      <c r="G82" s="27"/>
      <c r="H82" s="27"/>
      <c r="J82" s="27"/>
      <c r="L82" s="27"/>
      <c r="M82" s="27"/>
      <c r="N82" s="27"/>
    </row>
    <row r="83">
      <c r="F83" s="27"/>
      <c r="G83" s="27"/>
      <c r="H83" s="27"/>
      <c r="J83" s="27"/>
      <c r="L83" s="27"/>
      <c r="M83" s="27"/>
      <c r="N83" s="27"/>
    </row>
    <row r="84">
      <c r="F84" s="27"/>
      <c r="G84" s="27"/>
      <c r="H84" s="27"/>
      <c r="J84" s="27"/>
      <c r="L84" s="27"/>
      <c r="M84" s="27"/>
      <c r="N84" s="27"/>
    </row>
    <row r="85">
      <c r="F85" s="27"/>
      <c r="G85" s="27"/>
      <c r="H85" s="27"/>
      <c r="J85" s="27"/>
      <c r="L85" s="27"/>
      <c r="M85" s="27"/>
      <c r="N85" s="27"/>
    </row>
    <row r="86">
      <c r="F86" s="27"/>
      <c r="G86" s="27"/>
      <c r="H86" s="27"/>
      <c r="J86" s="27"/>
      <c r="L86" s="27"/>
      <c r="M86" s="27"/>
      <c r="N86" s="27"/>
    </row>
    <row r="87">
      <c r="F87" s="27"/>
      <c r="G87" s="27"/>
      <c r="H87" s="27"/>
      <c r="J87" s="27"/>
      <c r="L87" s="27"/>
      <c r="M87" s="27"/>
      <c r="N87" s="27"/>
    </row>
    <row r="88">
      <c r="F88" s="27"/>
      <c r="G88" s="27"/>
      <c r="H88" s="27"/>
      <c r="J88" s="27"/>
      <c r="L88" s="27"/>
      <c r="M88" s="27"/>
      <c r="N88" s="27"/>
    </row>
    <row r="89">
      <c r="F89" s="27"/>
      <c r="G89" s="27"/>
      <c r="H89" s="27"/>
      <c r="J89" s="27"/>
      <c r="L89" s="27"/>
      <c r="M89" s="27"/>
      <c r="N89" s="27"/>
    </row>
    <row r="90">
      <c r="F90" s="27"/>
      <c r="G90" s="27"/>
      <c r="H90" s="27"/>
      <c r="J90" s="27"/>
      <c r="L90" s="27"/>
      <c r="M90" s="27"/>
      <c r="N90" s="27"/>
    </row>
    <row r="91">
      <c r="F91" s="27"/>
      <c r="G91" s="27"/>
      <c r="H91" s="27"/>
      <c r="J91" s="27"/>
      <c r="L91" s="27"/>
      <c r="M91" s="27"/>
      <c r="N91" s="27"/>
    </row>
    <row r="92">
      <c r="F92" s="27"/>
      <c r="G92" s="27"/>
      <c r="H92" s="27"/>
      <c r="J92" s="27"/>
      <c r="L92" s="27"/>
      <c r="M92" s="27"/>
      <c r="N92" s="27"/>
    </row>
    <row r="93">
      <c r="F93" s="27"/>
      <c r="G93" s="27"/>
      <c r="H93" s="27"/>
      <c r="J93" s="27"/>
      <c r="L93" s="27"/>
      <c r="M93" s="27"/>
      <c r="N93" s="27"/>
    </row>
    <row r="94">
      <c r="F94" s="27"/>
      <c r="G94" s="27"/>
      <c r="H94" s="27"/>
      <c r="J94" s="27"/>
      <c r="L94" s="27"/>
      <c r="M94" s="27"/>
      <c r="N94" s="27"/>
    </row>
    <row r="95">
      <c r="F95" s="27"/>
      <c r="G95" s="27"/>
      <c r="H95" s="27"/>
      <c r="J95" s="27"/>
      <c r="L95" s="27"/>
      <c r="M95" s="27"/>
      <c r="N95" s="27"/>
    </row>
    <row r="96">
      <c r="F96" s="27"/>
      <c r="G96" s="27"/>
      <c r="H96" s="27"/>
      <c r="J96" s="27"/>
      <c r="L96" s="27"/>
      <c r="M96" s="27"/>
      <c r="N96" s="27"/>
    </row>
    <row r="97">
      <c r="F97" s="27"/>
      <c r="G97" s="27"/>
      <c r="H97" s="27"/>
      <c r="J97" s="27"/>
      <c r="L97" s="27"/>
      <c r="M97" s="27"/>
      <c r="N97" s="27"/>
    </row>
    <row r="98">
      <c r="F98" s="27"/>
      <c r="G98" s="27"/>
      <c r="H98" s="27"/>
      <c r="J98" s="27"/>
      <c r="L98" s="27"/>
      <c r="M98" s="27"/>
      <c r="N98" s="27"/>
    </row>
    <row r="99">
      <c r="F99" s="27"/>
      <c r="G99" s="27"/>
      <c r="H99" s="27"/>
      <c r="J99" s="27"/>
      <c r="L99" s="27"/>
      <c r="M99" s="27"/>
      <c r="N99" s="27"/>
    </row>
    <row r="100">
      <c r="F100" s="27"/>
      <c r="G100" s="27"/>
      <c r="H100" s="27"/>
      <c r="J100" s="27"/>
      <c r="L100" s="27"/>
      <c r="M100" s="27"/>
      <c r="N100" s="27"/>
    </row>
    <row r="101">
      <c r="F101" s="27"/>
      <c r="G101" s="27"/>
      <c r="H101" s="27"/>
      <c r="J101" s="27"/>
      <c r="L101" s="27"/>
      <c r="M101" s="27"/>
      <c r="N101" s="27"/>
    </row>
    <row r="102">
      <c r="F102" s="27"/>
      <c r="G102" s="27"/>
      <c r="H102" s="27"/>
      <c r="J102" s="27"/>
      <c r="L102" s="27"/>
      <c r="M102" s="27"/>
      <c r="N102" s="27"/>
    </row>
    <row r="103">
      <c r="F103" s="27"/>
      <c r="G103" s="27"/>
      <c r="H103" s="27"/>
      <c r="J103" s="27"/>
      <c r="L103" s="27"/>
      <c r="M103" s="27"/>
      <c r="N103" s="27"/>
    </row>
    <row r="104">
      <c r="F104" s="27"/>
      <c r="G104" s="27"/>
      <c r="H104" s="27"/>
      <c r="J104" s="27"/>
      <c r="L104" s="27"/>
      <c r="M104" s="27"/>
      <c r="N104" s="27"/>
    </row>
    <row r="105">
      <c r="F105" s="27"/>
      <c r="G105" s="27"/>
      <c r="H105" s="27"/>
      <c r="J105" s="27"/>
      <c r="L105" s="27"/>
      <c r="M105" s="27"/>
      <c r="N105" s="27"/>
    </row>
    <row r="106">
      <c r="F106" s="27"/>
      <c r="G106" s="27"/>
      <c r="H106" s="27"/>
      <c r="J106" s="27"/>
      <c r="L106" s="27"/>
      <c r="M106" s="27"/>
      <c r="N106" s="27"/>
    </row>
    <row r="107">
      <c r="F107" s="27"/>
      <c r="G107" s="27"/>
      <c r="H107" s="27"/>
      <c r="J107" s="27"/>
      <c r="L107" s="27"/>
      <c r="M107" s="27"/>
      <c r="N107" s="27"/>
    </row>
    <row r="108">
      <c r="F108" s="27"/>
      <c r="G108" s="27"/>
      <c r="H108" s="27"/>
      <c r="J108" s="27"/>
      <c r="L108" s="27"/>
      <c r="M108" s="27"/>
      <c r="N108" s="27"/>
    </row>
    <row r="109">
      <c r="F109" s="27"/>
      <c r="G109" s="27"/>
      <c r="H109" s="27"/>
      <c r="J109" s="27"/>
      <c r="L109" s="27"/>
      <c r="M109" s="27"/>
      <c r="N109" s="27"/>
    </row>
    <row r="110">
      <c r="F110" s="27"/>
      <c r="G110" s="27"/>
      <c r="H110" s="27"/>
      <c r="J110" s="27"/>
      <c r="L110" s="27"/>
      <c r="M110" s="27"/>
      <c r="N110" s="27"/>
    </row>
    <row r="111">
      <c r="F111" s="27"/>
      <c r="G111" s="27"/>
      <c r="H111" s="27"/>
      <c r="J111" s="27"/>
      <c r="L111" s="27"/>
      <c r="M111" s="27"/>
      <c r="N111" s="27"/>
    </row>
    <row r="112">
      <c r="F112" s="27"/>
      <c r="G112" s="27"/>
      <c r="H112" s="27"/>
      <c r="J112" s="27"/>
      <c r="L112" s="27"/>
      <c r="M112" s="27"/>
      <c r="N112" s="27"/>
    </row>
    <row r="113">
      <c r="F113" s="27"/>
      <c r="G113" s="27"/>
      <c r="H113" s="27"/>
      <c r="J113" s="27"/>
      <c r="L113" s="27"/>
      <c r="M113" s="27"/>
      <c r="N113" s="27"/>
    </row>
    <row r="114">
      <c r="F114" s="27"/>
      <c r="G114" s="27"/>
      <c r="H114" s="27"/>
      <c r="J114" s="27"/>
      <c r="L114" s="27"/>
      <c r="M114" s="27"/>
      <c r="N114" s="27"/>
    </row>
    <row r="115">
      <c r="F115" s="27"/>
      <c r="G115" s="27"/>
      <c r="H115" s="27"/>
      <c r="J115" s="27"/>
      <c r="L115" s="27"/>
      <c r="M115" s="27"/>
      <c r="N115" s="27"/>
    </row>
    <row r="116">
      <c r="F116" s="27"/>
      <c r="G116" s="27"/>
      <c r="H116" s="27"/>
      <c r="J116" s="27"/>
      <c r="L116" s="27"/>
      <c r="M116" s="27"/>
      <c r="N116" s="27"/>
    </row>
    <row r="117">
      <c r="F117" s="27"/>
      <c r="G117" s="27"/>
      <c r="H117" s="27"/>
      <c r="J117" s="27"/>
      <c r="L117" s="27"/>
      <c r="M117" s="27"/>
      <c r="N117" s="27"/>
    </row>
    <row r="118">
      <c r="F118" s="27"/>
      <c r="G118" s="27"/>
      <c r="H118" s="27"/>
      <c r="J118" s="27"/>
      <c r="L118" s="27"/>
      <c r="M118" s="27"/>
      <c r="N118" s="27"/>
    </row>
    <row r="119">
      <c r="F119" s="27"/>
      <c r="G119" s="27"/>
      <c r="H119" s="27"/>
      <c r="J119" s="27"/>
      <c r="L119" s="27"/>
      <c r="M119" s="27"/>
      <c r="N119" s="27"/>
    </row>
    <row r="120">
      <c r="F120" s="27"/>
      <c r="G120" s="27"/>
      <c r="H120" s="27"/>
      <c r="J120" s="27"/>
      <c r="L120" s="27"/>
      <c r="M120" s="27"/>
      <c r="N120" s="27"/>
    </row>
    <row r="121">
      <c r="F121" s="27"/>
      <c r="G121" s="27"/>
      <c r="H121" s="27"/>
      <c r="J121" s="27"/>
      <c r="L121" s="27"/>
      <c r="M121" s="27"/>
      <c r="N121" s="27"/>
    </row>
    <row r="122">
      <c r="F122" s="27"/>
      <c r="G122" s="27"/>
      <c r="H122" s="27"/>
      <c r="J122" s="27"/>
      <c r="L122" s="27"/>
      <c r="M122" s="27"/>
      <c r="N122" s="27"/>
    </row>
    <row r="123">
      <c r="F123" s="27"/>
      <c r="G123" s="27"/>
      <c r="H123" s="27"/>
      <c r="J123" s="27"/>
      <c r="L123" s="27"/>
      <c r="M123" s="27"/>
      <c r="N123" s="27"/>
    </row>
    <row r="124">
      <c r="F124" s="27"/>
      <c r="G124" s="27"/>
      <c r="H124" s="27"/>
      <c r="J124" s="27"/>
      <c r="L124" s="27"/>
      <c r="M124" s="27"/>
      <c r="N124" s="27"/>
    </row>
    <row r="125">
      <c r="F125" s="27"/>
      <c r="G125" s="27"/>
      <c r="H125" s="27"/>
      <c r="J125" s="27"/>
      <c r="L125" s="27"/>
      <c r="M125" s="27"/>
      <c r="N125" s="27"/>
    </row>
    <row r="126">
      <c r="F126" s="27"/>
      <c r="G126" s="27"/>
      <c r="H126" s="27"/>
      <c r="J126" s="27"/>
      <c r="L126" s="27"/>
      <c r="M126" s="27"/>
      <c r="N126" s="27"/>
    </row>
    <row r="127">
      <c r="F127" s="27"/>
      <c r="G127" s="27"/>
      <c r="H127" s="27"/>
      <c r="J127" s="27"/>
      <c r="L127" s="27"/>
      <c r="M127" s="27"/>
      <c r="N127" s="27"/>
    </row>
    <row r="128">
      <c r="F128" s="27"/>
      <c r="G128" s="27"/>
      <c r="H128" s="27"/>
      <c r="J128" s="27"/>
      <c r="L128" s="27"/>
      <c r="M128" s="27"/>
      <c r="N128" s="27"/>
    </row>
    <row r="129">
      <c r="F129" s="27"/>
      <c r="G129" s="27"/>
      <c r="H129" s="27"/>
      <c r="J129" s="27"/>
      <c r="L129" s="27"/>
      <c r="M129" s="27"/>
      <c r="N129" s="27"/>
    </row>
    <row r="130">
      <c r="F130" s="27"/>
      <c r="G130" s="27"/>
      <c r="H130" s="27"/>
      <c r="J130" s="27"/>
      <c r="L130" s="27"/>
      <c r="M130" s="27"/>
      <c r="N130" s="27"/>
    </row>
    <row r="131">
      <c r="F131" s="27"/>
      <c r="G131" s="27"/>
      <c r="H131" s="27"/>
      <c r="J131" s="27"/>
      <c r="L131" s="27"/>
      <c r="M131" s="27"/>
      <c r="N131" s="27"/>
    </row>
    <row r="132">
      <c r="F132" s="27"/>
      <c r="G132" s="27"/>
      <c r="H132" s="27"/>
      <c r="J132" s="27"/>
      <c r="L132" s="27"/>
      <c r="M132" s="27"/>
      <c r="N132" s="27"/>
    </row>
    <row r="133">
      <c r="F133" s="27"/>
      <c r="G133" s="27"/>
      <c r="H133" s="27"/>
      <c r="J133" s="27"/>
      <c r="L133" s="27"/>
      <c r="M133" s="27"/>
      <c r="N133" s="27"/>
    </row>
    <row r="134">
      <c r="F134" s="27"/>
      <c r="G134" s="27"/>
      <c r="H134" s="27"/>
      <c r="J134" s="27"/>
      <c r="L134" s="27"/>
      <c r="M134" s="27"/>
      <c r="N134" s="27"/>
    </row>
    <row r="135">
      <c r="F135" s="27"/>
      <c r="G135" s="27"/>
      <c r="H135" s="27"/>
      <c r="J135" s="27"/>
      <c r="L135" s="27"/>
      <c r="M135" s="27"/>
      <c r="N135" s="27"/>
    </row>
    <row r="136">
      <c r="F136" s="27"/>
      <c r="G136" s="27"/>
      <c r="H136" s="27"/>
      <c r="J136" s="27"/>
      <c r="L136" s="27"/>
      <c r="M136" s="27"/>
      <c r="N136" s="27"/>
    </row>
    <row r="137">
      <c r="F137" s="27"/>
      <c r="G137" s="27"/>
      <c r="H137" s="27"/>
      <c r="J137" s="27"/>
      <c r="L137" s="27"/>
      <c r="M137" s="27"/>
      <c r="N137" s="27"/>
    </row>
    <row r="138">
      <c r="F138" s="27"/>
      <c r="G138" s="27"/>
      <c r="H138" s="27"/>
      <c r="J138" s="27"/>
      <c r="L138" s="27"/>
      <c r="M138" s="27"/>
      <c r="N138" s="27"/>
    </row>
    <row r="139">
      <c r="F139" s="27"/>
      <c r="G139" s="27"/>
      <c r="H139" s="27"/>
      <c r="J139" s="27"/>
      <c r="L139" s="27"/>
      <c r="M139" s="27"/>
      <c r="N139" s="27"/>
    </row>
    <row r="140">
      <c r="F140" s="27"/>
      <c r="G140" s="27"/>
      <c r="H140" s="27"/>
      <c r="J140" s="27"/>
      <c r="L140" s="27"/>
      <c r="M140" s="27"/>
      <c r="N140" s="27"/>
    </row>
    <row r="141">
      <c r="F141" s="27"/>
      <c r="G141" s="27"/>
      <c r="H141" s="27"/>
      <c r="J141" s="27"/>
      <c r="L141" s="27"/>
      <c r="M141" s="27"/>
      <c r="N141" s="27"/>
    </row>
    <row r="142">
      <c r="F142" s="27"/>
      <c r="G142" s="27"/>
      <c r="H142" s="27"/>
      <c r="J142" s="27"/>
      <c r="L142" s="27"/>
      <c r="M142" s="27"/>
      <c r="N142" s="27"/>
    </row>
    <row r="143">
      <c r="F143" s="27"/>
      <c r="G143" s="27"/>
      <c r="H143" s="27"/>
      <c r="J143" s="27"/>
      <c r="L143" s="27"/>
      <c r="M143" s="27"/>
      <c r="N143" s="27"/>
    </row>
    <row r="144">
      <c r="F144" s="27"/>
      <c r="G144" s="27"/>
      <c r="H144" s="27"/>
      <c r="J144" s="27"/>
      <c r="L144" s="27"/>
      <c r="M144" s="27"/>
      <c r="N144" s="27"/>
    </row>
    <row r="145">
      <c r="F145" s="27"/>
      <c r="G145" s="27"/>
      <c r="H145" s="27"/>
      <c r="J145" s="27"/>
      <c r="L145" s="27"/>
      <c r="M145" s="27"/>
      <c r="N145" s="27"/>
    </row>
    <row r="146">
      <c r="F146" s="27"/>
      <c r="G146" s="27"/>
      <c r="H146" s="27"/>
      <c r="J146" s="27"/>
      <c r="L146" s="27"/>
      <c r="M146" s="27"/>
      <c r="N146" s="27"/>
    </row>
    <row r="147">
      <c r="F147" s="27"/>
      <c r="G147" s="27"/>
      <c r="H147" s="27"/>
      <c r="J147" s="27"/>
      <c r="L147" s="27"/>
      <c r="M147" s="27"/>
      <c r="N147" s="27"/>
    </row>
    <row r="148">
      <c r="F148" s="27"/>
      <c r="G148" s="27"/>
      <c r="H148" s="27"/>
      <c r="J148" s="27"/>
      <c r="L148" s="27"/>
      <c r="M148" s="27"/>
      <c r="N148" s="27"/>
    </row>
    <row r="149">
      <c r="F149" s="27"/>
      <c r="G149" s="27"/>
      <c r="H149" s="27"/>
      <c r="J149" s="27"/>
      <c r="L149" s="27"/>
      <c r="M149" s="27"/>
      <c r="N149" s="27"/>
    </row>
    <row r="150">
      <c r="F150" s="27"/>
      <c r="G150" s="27"/>
      <c r="H150" s="27"/>
      <c r="J150" s="27"/>
      <c r="L150" s="27"/>
      <c r="M150" s="27"/>
      <c r="N150" s="27"/>
    </row>
    <row r="151">
      <c r="F151" s="27"/>
      <c r="G151" s="27"/>
      <c r="H151" s="27"/>
      <c r="J151" s="27"/>
      <c r="L151" s="27"/>
      <c r="M151" s="27"/>
      <c r="N151" s="27"/>
    </row>
    <row r="152">
      <c r="F152" s="27"/>
      <c r="G152" s="27"/>
      <c r="H152" s="27"/>
      <c r="J152" s="27"/>
      <c r="L152" s="27"/>
      <c r="M152" s="27"/>
      <c r="N152" s="27"/>
    </row>
    <row r="153">
      <c r="F153" s="27"/>
      <c r="G153" s="27"/>
      <c r="H153" s="27"/>
      <c r="J153" s="27"/>
      <c r="L153" s="27"/>
      <c r="M153" s="27"/>
      <c r="N153" s="27"/>
    </row>
    <row r="154">
      <c r="F154" s="27"/>
      <c r="G154" s="27"/>
      <c r="H154" s="27"/>
      <c r="J154" s="27"/>
      <c r="L154" s="27"/>
      <c r="M154" s="27"/>
      <c r="N154" s="27"/>
    </row>
    <row r="155">
      <c r="F155" s="27"/>
      <c r="G155" s="27"/>
      <c r="H155" s="27"/>
      <c r="J155" s="27"/>
      <c r="L155" s="27"/>
      <c r="M155" s="27"/>
      <c r="N155" s="27"/>
    </row>
    <row r="156">
      <c r="F156" s="27"/>
      <c r="G156" s="27"/>
      <c r="H156" s="27"/>
      <c r="J156" s="27"/>
      <c r="L156" s="27"/>
      <c r="M156" s="27"/>
      <c r="N156" s="27"/>
    </row>
    <row r="157">
      <c r="F157" s="27"/>
      <c r="G157" s="27"/>
      <c r="H157" s="27"/>
      <c r="J157" s="27"/>
      <c r="L157" s="27"/>
      <c r="M157" s="27"/>
      <c r="N157" s="27"/>
    </row>
    <row r="158">
      <c r="F158" s="27"/>
      <c r="G158" s="27"/>
      <c r="H158" s="27"/>
      <c r="J158" s="27"/>
      <c r="L158" s="27"/>
      <c r="M158" s="27"/>
      <c r="N158" s="27"/>
    </row>
    <row r="159">
      <c r="F159" s="27"/>
      <c r="G159" s="27"/>
      <c r="H159" s="27"/>
      <c r="J159" s="27"/>
      <c r="L159" s="27"/>
      <c r="M159" s="27"/>
      <c r="N159" s="27"/>
    </row>
    <row r="160">
      <c r="F160" s="27"/>
      <c r="G160" s="27"/>
      <c r="H160" s="27"/>
      <c r="J160" s="27"/>
      <c r="L160" s="27"/>
      <c r="M160" s="27"/>
      <c r="N160" s="27"/>
    </row>
    <row r="161">
      <c r="F161" s="27"/>
      <c r="G161" s="27"/>
      <c r="H161" s="27"/>
      <c r="J161" s="27"/>
      <c r="L161" s="27"/>
      <c r="M161" s="27"/>
      <c r="N161" s="27"/>
    </row>
    <row r="162">
      <c r="F162" s="27"/>
      <c r="G162" s="27"/>
      <c r="H162" s="27"/>
      <c r="J162" s="27"/>
      <c r="L162" s="27"/>
      <c r="M162" s="27"/>
      <c r="N162" s="27"/>
    </row>
    <row r="163">
      <c r="F163" s="27"/>
      <c r="G163" s="27"/>
      <c r="H163" s="27"/>
      <c r="J163" s="27"/>
      <c r="L163" s="27"/>
      <c r="M163" s="27"/>
      <c r="N163" s="27"/>
    </row>
    <row r="164">
      <c r="F164" s="27"/>
      <c r="G164" s="27"/>
      <c r="H164" s="27"/>
      <c r="J164" s="27"/>
      <c r="L164" s="27"/>
      <c r="M164" s="27"/>
      <c r="N164" s="27"/>
    </row>
    <row r="165">
      <c r="F165" s="27"/>
      <c r="G165" s="27"/>
      <c r="H165" s="27"/>
      <c r="J165" s="27"/>
      <c r="L165" s="27"/>
      <c r="M165" s="27"/>
      <c r="N165" s="27"/>
    </row>
    <row r="166">
      <c r="F166" s="27"/>
      <c r="G166" s="27"/>
      <c r="H166" s="27"/>
      <c r="J166" s="27"/>
      <c r="L166" s="27"/>
      <c r="M166" s="27"/>
      <c r="N166" s="27"/>
    </row>
    <row r="167">
      <c r="F167" s="27"/>
      <c r="G167" s="27"/>
      <c r="H167" s="27"/>
      <c r="J167" s="27"/>
      <c r="L167" s="27"/>
      <c r="M167" s="27"/>
      <c r="N167" s="27"/>
    </row>
    <row r="168">
      <c r="F168" s="27"/>
      <c r="G168" s="27"/>
      <c r="H168" s="27"/>
      <c r="J168" s="27"/>
      <c r="L168" s="27"/>
      <c r="M168" s="27"/>
      <c r="N168" s="27"/>
    </row>
    <row r="169">
      <c r="F169" s="27"/>
      <c r="G169" s="27"/>
      <c r="H169" s="27"/>
      <c r="J169" s="27"/>
      <c r="L169" s="27"/>
      <c r="M169" s="27"/>
      <c r="N169" s="27"/>
    </row>
    <row r="170">
      <c r="F170" s="27"/>
      <c r="G170" s="27"/>
      <c r="H170" s="27"/>
      <c r="J170" s="27"/>
      <c r="L170" s="27"/>
      <c r="M170" s="27"/>
      <c r="N170" s="27"/>
    </row>
    <row r="171">
      <c r="F171" s="27"/>
      <c r="G171" s="27"/>
      <c r="H171" s="27"/>
      <c r="J171" s="27"/>
      <c r="L171" s="27"/>
      <c r="M171" s="27"/>
      <c r="N171" s="27"/>
    </row>
    <row r="172">
      <c r="F172" s="27"/>
      <c r="G172" s="27"/>
      <c r="H172" s="27"/>
      <c r="J172" s="27"/>
      <c r="L172" s="27"/>
      <c r="M172" s="27"/>
      <c r="N172" s="27"/>
    </row>
    <row r="173">
      <c r="F173" s="27"/>
      <c r="G173" s="27"/>
      <c r="H173" s="27"/>
      <c r="J173" s="27"/>
      <c r="L173" s="27"/>
      <c r="M173" s="27"/>
      <c r="N173" s="27"/>
    </row>
    <row r="174">
      <c r="F174" s="27"/>
      <c r="G174" s="27"/>
      <c r="H174" s="27"/>
      <c r="J174" s="27"/>
      <c r="L174" s="27"/>
      <c r="M174" s="27"/>
      <c r="N174" s="27"/>
    </row>
    <row r="175">
      <c r="F175" s="27"/>
      <c r="G175" s="27"/>
      <c r="H175" s="27"/>
      <c r="J175" s="27"/>
      <c r="L175" s="27"/>
      <c r="M175" s="27"/>
      <c r="N175" s="27"/>
    </row>
    <row r="176">
      <c r="F176" s="27"/>
      <c r="G176" s="27"/>
      <c r="H176" s="27"/>
      <c r="J176" s="27"/>
      <c r="L176" s="27"/>
      <c r="M176" s="27"/>
      <c r="N176" s="27"/>
    </row>
    <row r="177">
      <c r="F177" s="27"/>
      <c r="G177" s="27"/>
      <c r="H177" s="27"/>
      <c r="J177" s="27"/>
      <c r="L177" s="27"/>
      <c r="M177" s="27"/>
      <c r="N177" s="27"/>
    </row>
    <row r="178">
      <c r="F178" s="27"/>
      <c r="G178" s="27"/>
      <c r="H178" s="27"/>
      <c r="J178" s="27"/>
      <c r="L178" s="27"/>
      <c r="M178" s="27"/>
      <c r="N178" s="27"/>
    </row>
    <row r="179">
      <c r="F179" s="27"/>
      <c r="G179" s="27"/>
      <c r="H179" s="27"/>
      <c r="J179" s="27"/>
      <c r="L179" s="27"/>
      <c r="M179" s="27"/>
      <c r="N179" s="27"/>
    </row>
    <row r="180">
      <c r="F180" s="27"/>
      <c r="G180" s="27"/>
      <c r="H180" s="27"/>
      <c r="J180" s="27"/>
      <c r="L180" s="27"/>
      <c r="M180" s="27"/>
      <c r="N180" s="27"/>
    </row>
    <row r="181">
      <c r="F181" s="27"/>
      <c r="G181" s="27"/>
      <c r="H181" s="27"/>
      <c r="J181" s="27"/>
      <c r="L181" s="27"/>
      <c r="M181" s="27"/>
      <c r="N181" s="27"/>
    </row>
    <row r="182">
      <c r="F182" s="27"/>
      <c r="G182" s="27"/>
      <c r="H182" s="27"/>
      <c r="J182" s="27"/>
      <c r="L182" s="27"/>
      <c r="M182" s="27"/>
      <c r="N182" s="27"/>
    </row>
    <row r="183">
      <c r="F183" s="27"/>
      <c r="G183" s="27"/>
      <c r="H183" s="27"/>
      <c r="J183" s="27"/>
      <c r="L183" s="27"/>
      <c r="M183" s="27"/>
      <c r="N183" s="27"/>
    </row>
    <row r="184">
      <c r="F184" s="27"/>
      <c r="G184" s="27"/>
      <c r="H184" s="27"/>
      <c r="J184" s="27"/>
      <c r="L184" s="27"/>
      <c r="M184" s="27"/>
      <c r="N184" s="27"/>
    </row>
    <row r="185">
      <c r="F185" s="27"/>
      <c r="G185" s="27"/>
      <c r="H185" s="27"/>
      <c r="J185" s="27"/>
      <c r="L185" s="27"/>
      <c r="M185" s="27"/>
      <c r="N185" s="27"/>
    </row>
    <row r="186">
      <c r="F186" s="27"/>
      <c r="G186" s="27"/>
      <c r="H186" s="27"/>
      <c r="J186" s="27"/>
      <c r="L186" s="27"/>
      <c r="M186" s="27"/>
      <c r="N186" s="27"/>
    </row>
    <row r="187">
      <c r="F187" s="27"/>
      <c r="G187" s="27"/>
      <c r="H187" s="27"/>
      <c r="J187" s="27"/>
      <c r="L187" s="27"/>
      <c r="M187" s="27"/>
      <c r="N187" s="27"/>
    </row>
    <row r="188">
      <c r="F188" s="27"/>
      <c r="G188" s="27"/>
      <c r="H188" s="27"/>
      <c r="J188" s="27"/>
      <c r="L188" s="27"/>
      <c r="M188" s="27"/>
      <c r="N188" s="27"/>
    </row>
    <row r="189">
      <c r="F189" s="27"/>
      <c r="G189" s="27"/>
      <c r="H189" s="27"/>
      <c r="J189" s="27"/>
      <c r="L189" s="27"/>
      <c r="M189" s="27"/>
      <c r="N189" s="27"/>
    </row>
    <row r="190">
      <c r="F190" s="27"/>
      <c r="G190" s="27"/>
      <c r="H190" s="27"/>
      <c r="J190" s="27"/>
      <c r="L190" s="27"/>
      <c r="M190" s="27"/>
      <c r="N190" s="27"/>
    </row>
    <row r="191">
      <c r="F191" s="27"/>
      <c r="G191" s="27"/>
      <c r="H191" s="27"/>
      <c r="J191" s="27"/>
      <c r="L191" s="27"/>
      <c r="M191" s="27"/>
      <c r="N191" s="27"/>
    </row>
    <row r="192">
      <c r="F192" s="27"/>
      <c r="G192" s="27"/>
      <c r="H192" s="27"/>
      <c r="J192" s="27"/>
      <c r="L192" s="27"/>
      <c r="M192" s="27"/>
      <c r="N192" s="27"/>
    </row>
    <row r="193">
      <c r="F193" s="27"/>
      <c r="G193" s="27"/>
      <c r="H193" s="27"/>
      <c r="J193" s="27"/>
      <c r="L193" s="27"/>
      <c r="M193" s="27"/>
      <c r="N193" s="27"/>
    </row>
    <row r="194">
      <c r="F194" s="27"/>
      <c r="G194" s="27"/>
      <c r="H194" s="27"/>
      <c r="J194" s="27"/>
      <c r="L194" s="27"/>
      <c r="M194" s="27"/>
      <c r="N194" s="27"/>
    </row>
    <row r="195">
      <c r="F195" s="27"/>
      <c r="G195" s="27"/>
      <c r="H195" s="27"/>
      <c r="J195" s="27"/>
      <c r="L195" s="27"/>
      <c r="M195" s="27"/>
      <c r="N195" s="27"/>
    </row>
    <row r="196">
      <c r="F196" s="27"/>
      <c r="G196" s="27"/>
      <c r="H196" s="27"/>
      <c r="J196" s="27"/>
      <c r="L196" s="27"/>
      <c r="M196" s="27"/>
      <c r="N196" s="27"/>
    </row>
    <row r="197">
      <c r="F197" s="27"/>
      <c r="G197" s="27"/>
      <c r="H197" s="27"/>
      <c r="J197" s="27"/>
      <c r="L197" s="27"/>
      <c r="M197" s="27"/>
      <c r="N197" s="27"/>
    </row>
    <row r="198">
      <c r="F198" s="27"/>
      <c r="G198" s="27"/>
      <c r="H198" s="27"/>
      <c r="J198" s="27"/>
      <c r="L198" s="27"/>
      <c r="M198" s="27"/>
      <c r="N198" s="27"/>
    </row>
    <row r="199">
      <c r="F199" s="27"/>
      <c r="G199" s="27"/>
      <c r="H199" s="27"/>
      <c r="J199" s="27"/>
      <c r="L199" s="27"/>
      <c r="M199" s="27"/>
      <c r="N199" s="27"/>
    </row>
    <row r="200">
      <c r="F200" s="27"/>
      <c r="G200" s="27"/>
      <c r="H200" s="27"/>
      <c r="J200" s="27"/>
      <c r="L200" s="27"/>
      <c r="M200" s="27"/>
      <c r="N200" s="27"/>
    </row>
    <row r="201">
      <c r="F201" s="27"/>
      <c r="G201" s="27"/>
      <c r="H201" s="27"/>
      <c r="J201" s="27"/>
      <c r="L201" s="27"/>
      <c r="M201" s="27"/>
      <c r="N201" s="27"/>
    </row>
    <row r="202">
      <c r="F202" s="27"/>
      <c r="G202" s="27"/>
      <c r="H202" s="27"/>
      <c r="J202" s="27"/>
      <c r="L202" s="27"/>
      <c r="M202" s="27"/>
      <c r="N202" s="27"/>
    </row>
    <row r="203">
      <c r="F203" s="27"/>
      <c r="G203" s="27"/>
      <c r="H203" s="27"/>
      <c r="J203" s="27"/>
      <c r="L203" s="27"/>
      <c r="M203" s="27"/>
      <c r="N203" s="27"/>
    </row>
    <row r="204">
      <c r="F204" s="27"/>
      <c r="G204" s="27"/>
      <c r="H204" s="27"/>
      <c r="J204" s="27"/>
      <c r="L204" s="27"/>
      <c r="M204" s="27"/>
      <c r="N204" s="27"/>
    </row>
    <row r="205">
      <c r="F205" s="27"/>
      <c r="G205" s="27"/>
      <c r="H205" s="27"/>
      <c r="J205" s="27"/>
      <c r="L205" s="27"/>
      <c r="M205" s="27"/>
      <c r="N205" s="27"/>
    </row>
    <row r="206">
      <c r="F206" s="27"/>
      <c r="G206" s="27"/>
      <c r="H206" s="27"/>
      <c r="J206" s="27"/>
      <c r="L206" s="27"/>
      <c r="M206" s="27"/>
      <c r="N206" s="27"/>
    </row>
    <row r="207">
      <c r="F207" s="27"/>
      <c r="G207" s="27"/>
      <c r="H207" s="27"/>
      <c r="J207" s="27"/>
      <c r="L207" s="27"/>
      <c r="M207" s="27"/>
      <c r="N207" s="27"/>
    </row>
    <row r="208">
      <c r="F208" s="27"/>
      <c r="G208" s="27"/>
      <c r="H208" s="27"/>
      <c r="J208" s="27"/>
      <c r="L208" s="27"/>
      <c r="M208" s="27"/>
      <c r="N208" s="27"/>
    </row>
    <row r="209">
      <c r="F209" s="27"/>
      <c r="G209" s="27"/>
      <c r="H209" s="27"/>
      <c r="J209" s="27"/>
      <c r="L209" s="27"/>
      <c r="M209" s="27"/>
      <c r="N209" s="27"/>
    </row>
    <row r="210">
      <c r="F210" s="27"/>
      <c r="G210" s="27"/>
      <c r="H210" s="27"/>
      <c r="J210" s="27"/>
      <c r="L210" s="27"/>
      <c r="M210" s="27"/>
      <c r="N210" s="27"/>
    </row>
    <row r="211">
      <c r="F211" s="27"/>
      <c r="G211" s="27"/>
      <c r="H211" s="27"/>
      <c r="J211" s="27"/>
      <c r="L211" s="27"/>
      <c r="M211" s="27"/>
      <c r="N211" s="27"/>
    </row>
    <row r="212">
      <c r="F212" s="27"/>
      <c r="G212" s="27"/>
      <c r="H212" s="27"/>
      <c r="J212" s="27"/>
      <c r="L212" s="27"/>
      <c r="M212" s="27"/>
      <c r="N212" s="27"/>
    </row>
    <row r="213">
      <c r="F213" s="27"/>
      <c r="G213" s="27"/>
      <c r="H213" s="27"/>
      <c r="J213" s="27"/>
      <c r="L213" s="27"/>
      <c r="M213" s="27"/>
      <c r="N213" s="27"/>
    </row>
    <row r="214">
      <c r="F214" s="27"/>
      <c r="G214" s="27"/>
      <c r="H214" s="27"/>
      <c r="J214" s="27"/>
      <c r="L214" s="27"/>
      <c r="M214" s="27"/>
      <c r="N214" s="27"/>
    </row>
    <row r="215">
      <c r="F215" s="27"/>
      <c r="G215" s="27"/>
      <c r="H215" s="27"/>
      <c r="J215" s="27"/>
      <c r="L215" s="27"/>
      <c r="M215" s="27"/>
      <c r="N215" s="27"/>
    </row>
    <row r="216">
      <c r="F216" s="27"/>
      <c r="G216" s="27"/>
      <c r="H216" s="27"/>
      <c r="J216" s="27"/>
      <c r="L216" s="27"/>
      <c r="M216" s="27"/>
      <c r="N216" s="27"/>
    </row>
    <row r="217">
      <c r="F217" s="27"/>
      <c r="G217" s="27"/>
      <c r="H217" s="27"/>
      <c r="J217" s="27"/>
      <c r="L217" s="27"/>
      <c r="M217" s="27"/>
      <c r="N217" s="27"/>
    </row>
    <row r="218">
      <c r="F218" s="27"/>
      <c r="G218" s="27"/>
      <c r="H218" s="27"/>
      <c r="J218" s="27"/>
      <c r="L218" s="27"/>
      <c r="M218" s="27"/>
      <c r="N218" s="27"/>
    </row>
    <row r="219">
      <c r="F219" s="27"/>
      <c r="G219" s="27"/>
      <c r="H219" s="27"/>
      <c r="J219" s="27"/>
      <c r="L219" s="27"/>
      <c r="M219" s="27"/>
      <c r="N219" s="27"/>
    </row>
    <row r="220">
      <c r="F220" s="27"/>
      <c r="G220" s="27"/>
      <c r="H220" s="27"/>
      <c r="J220" s="27"/>
      <c r="L220" s="27"/>
      <c r="M220" s="27"/>
      <c r="N220" s="27"/>
    </row>
    <row r="221">
      <c r="F221" s="27"/>
      <c r="G221" s="27"/>
      <c r="H221" s="27"/>
      <c r="J221" s="27"/>
      <c r="L221" s="27"/>
      <c r="M221" s="27"/>
      <c r="N221" s="27"/>
    </row>
    <row r="222">
      <c r="F222" s="27"/>
      <c r="G222" s="27"/>
      <c r="H222" s="27"/>
      <c r="J222" s="27"/>
      <c r="L222" s="27"/>
      <c r="M222" s="27"/>
      <c r="N222" s="27"/>
    </row>
    <row r="223">
      <c r="F223" s="27"/>
      <c r="G223" s="27"/>
      <c r="H223" s="27"/>
      <c r="J223" s="27"/>
      <c r="L223" s="27"/>
      <c r="M223" s="27"/>
      <c r="N223" s="27"/>
    </row>
    <row r="224">
      <c r="F224" s="27"/>
      <c r="G224" s="27"/>
      <c r="H224" s="27"/>
      <c r="J224" s="27"/>
      <c r="L224" s="27"/>
      <c r="M224" s="27"/>
      <c r="N224" s="27"/>
    </row>
    <row r="225">
      <c r="F225" s="27"/>
      <c r="G225" s="27"/>
      <c r="H225" s="27"/>
      <c r="J225" s="27"/>
      <c r="L225" s="27"/>
      <c r="M225" s="27"/>
      <c r="N225" s="27"/>
    </row>
    <row r="226">
      <c r="F226" s="27"/>
      <c r="G226" s="27"/>
      <c r="H226" s="27"/>
      <c r="J226" s="27"/>
      <c r="L226" s="27"/>
      <c r="M226" s="27"/>
      <c r="N226" s="27"/>
    </row>
    <row r="227">
      <c r="F227" s="27"/>
      <c r="G227" s="27"/>
      <c r="H227" s="27"/>
      <c r="J227" s="27"/>
      <c r="L227" s="27"/>
      <c r="M227" s="27"/>
      <c r="N227" s="27"/>
    </row>
    <row r="228">
      <c r="F228" s="27"/>
      <c r="G228" s="27"/>
      <c r="H228" s="27"/>
      <c r="J228" s="27"/>
      <c r="L228" s="27"/>
      <c r="M228" s="27"/>
      <c r="N228" s="27"/>
    </row>
    <row r="229">
      <c r="F229" s="27"/>
      <c r="G229" s="27"/>
      <c r="H229" s="27"/>
      <c r="J229" s="27"/>
      <c r="L229" s="27"/>
      <c r="M229" s="27"/>
      <c r="N229" s="27"/>
    </row>
    <row r="230">
      <c r="F230" s="27"/>
      <c r="G230" s="27"/>
      <c r="H230" s="27"/>
      <c r="J230" s="27"/>
      <c r="L230" s="27"/>
      <c r="M230" s="27"/>
      <c r="N230" s="27"/>
    </row>
    <row r="231">
      <c r="F231" s="27"/>
      <c r="G231" s="27"/>
      <c r="H231" s="27"/>
      <c r="J231" s="27"/>
      <c r="L231" s="27"/>
      <c r="M231" s="27"/>
      <c r="N231" s="27"/>
    </row>
    <row r="232">
      <c r="F232" s="27"/>
      <c r="G232" s="27"/>
      <c r="H232" s="27"/>
      <c r="J232" s="27"/>
      <c r="L232" s="27"/>
      <c r="M232" s="27"/>
      <c r="N232" s="27"/>
    </row>
    <row r="233">
      <c r="F233" s="27"/>
      <c r="G233" s="27"/>
      <c r="H233" s="27"/>
      <c r="J233" s="27"/>
      <c r="L233" s="27"/>
      <c r="M233" s="27"/>
      <c r="N233" s="27"/>
    </row>
    <row r="234">
      <c r="F234" s="27"/>
      <c r="G234" s="27"/>
      <c r="H234" s="27"/>
      <c r="J234" s="27"/>
      <c r="L234" s="27"/>
      <c r="M234" s="27"/>
      <c r="N234" s="27"/>
    </row>
    <row r="235">
      <c r="F235" s="27"/>
      <c r="G235" s="27"/>
      <c r="H235" s="27"/>
      <c r="J235" s="27"/>
      <c r="L235" s="27"/>
      <c r="M235" s="27"/>
      <c r="N235" s="27"/>
    </row>
    <row r="236">
      <c r="F236" s="27"/>
      <c r="G236" s="27"/>
      <c r="H236" s="27"/>
      <c r="J236" s="27"/>
      <c r="L236" s="27"/>
      <c r="M236" s="27"/>
      <c r="N236" s="27"/>
    </row>
    <row r="237">
      <c r="F237" s="27"/>
      <c r="G237" s="27"/>
      <c r="H237" s="27"/>
      <c r="J237" s="27"/>
      <c r="L237" s="27"/>
      <c r="M237" s="27"/>
      <c r="N237" s="27"/>
    </row>
    <row r="238">
      <c r="F238" s="27"/>
      <c r="G238" s="27"/>
      <c r="H238" s="27"/>
      <c r="J238" s="27"/>
      <c r="L238" s="27"/>
      <c r="M238" s="27"/>
      <c r="N238" s="27"/>
    </row>
    <row r="239">
      <c r="F239" s="27"/>
      <c r="G239" s="27"/>
      <c r="H239" s="27"/>
      <c r="J239" s="27"/>
      <c r="L239" s="27"/>
      <c r="M239" s="27"/>
      <c r="N239" s="27"/>
    </row>
    <row r="240">
      <c r="F240" s="27"/>
      <c r="G240" s="27"/>
      <c r="H240" s="27"/>
      <c r="J240" s="27"/>
      <c r="L240" s="27"/>
      <c r="M240" s="27"/>
      <c r="N240" s="27"/>
    </row>
    <row r="241">
      <c r="F241" s="27"/>
      <c r="G241" s="27"/>
      <c r="H241" s="27"/>
      <c r="J241" s="27"/>
      <c r="L241" s="27"/>
      <c r="M241" s="27"/>
      <c r="N241" s="27"/>
    </row>
    <row r="242">
      <c r="F242" s="27"/>
      <c r="G242" s="27"/>
      <c r="H242" s="27"/>
      <c r="J242" s="27"/>
      <c r="L242" s="27"/>
      <c r="M242" s="27"/>
      <c r="N242" s="27"/>
    </row>
    <row r="243">
      <c r="F243" s="27"/>
      <c r="G243" s="27"/>
      <c r="H243" s="27"/>
      <c r="J243" s="27"/>
      <c r="L243" s="27"/>
      <c r="M243" s="27"/>
      <c r="N243" s="27"/>
    </row>
    <row r="244">
      <c r="F244" s="27"/>
      <c r="G244" s="27"/>
      <c r="H244" s="27"/>
      <c r="J244" s="27"/>
      <c r="L244" s="27"/>
      <c r="M244" s="27"/>
      <c r="N244" s="27"/>
    </row>
    <row r="245">
      <c r="F245" s="27"/>
      <c r="G245" s="27"/>
      <c r="H245" s="27"/>
      <c r="J245" s="27"/>
      <c r="L245" s="27"/>
      <c r="M245" s="27"/>
      <c r="N245" s="27"/>
    </row>
    <row r="246">
      <c r="F246" s="27"/>
      <c r="G246" s="27"/>
      <c r="H246" s="27"/>
      <c r="J246" s="27"/>
      <c r="L246" s="27"/>
      <c r="M246" s="27"/>
      <c r="N246" s="27"/>
    </row>
    <row r="247">
      <c r="F247" s="27"/>
      <c r="G247" s="27"/>
      <c r="H247" s="27"/>
      <c r="J247" s="27"/>
      <c r="L247" s="27"/>
      <c r="M247" s="27"/>
      <c r="N247" s="27"/>
    </row>
    <row r="248">
      <c r="F248" s="27"/>
      <c r="G248" s="27"/>
      <c r="H248" s="27"/>
      <c r="J248" s="27"/>
      <c r="L248" s="27"/>
      <c r="M248" s="27"/>
      <c r="N248" s="27"/>
    </row>
    <row r="249">
      <c r="F249" s="27"/>
      <c r="G249" s="27"/>
      <c r="H249" s="27"/>
      <c r="J249" s="27"/>
      <c r="L249" s="27"/>
      <c r="M249" s="27"/>
      <c r="N249" s="27"/>
    </row>
    <row r="250">
      <c r="F250" s="27"/>
      <c r="G250" s="27"/>
      <c r="H250" s="27"/>
      <c r="J250" s="27"/>
      <c r="L250" s="27"/>
      <c r="M250" s="27"/>
      <c r="N250" s="27"/>
    </row>
    <row r="251">
      <c r="F251" s="27"/>
      <c r="G251" s="27"/>
      <c r="H251" s="27"/>
      <c r="J251" s="27"/>
      <c r="L251" s="27"/>
      <c r="M251" s="27"/>
      <c r="N251" s="27"/>
    </row>
    <row r="252">
      <c r="F252" s="27"/>
      <c r="G252" s="27"/>
      <c r="H252" s="27"/>
      <c r="J252" s="27"/>
      <c r="L252" s="27"/>
      <c r="M252" s="27"/>
      <c r="N252" s="27"/>
    </row>
    <row r="253">
      <c r="F253" s="27"/>
      <c r="G253" s="27"/>
      <c r="H253" s="27"/>
      <c r="J253" s="27"/>
      <c r="L253" s="27"/>
      <c r="M253" s="27"/>
      <c r="N253" s="27"/>
    </row>
    <row r="254">
      <c r="F254" s="27"/>
      <c r="G254" s="27"/>
      <c r="H254" s="27"/>
      <c r="J254" s="27"/>
      <c r="L254" s="27"/>
      <c r="M254" s="27"/>
      <c r="N254" s="27"/>
    </row>
    <row r="255">
      <c r="F255" s="27"/>
      <c r="G255" s="27"/>
      <c r="H255" s="27"/>
      <c r="J255" s="27"/>
      <c r="L255" s="27"/>
      <c r="M255" s="27"/>
      <c r="N255" s="27"/>
    </row>
    <row r="256">
      <c r="F256" s="27"/>
      <c r="G256" s="27"/>
      <c r="H256" s="27"/>
      <c r="J256" s="27"/>
      <c r="L256" s="27"/>
      <c r="M256" s="27"/>
      <c r="N256" s="27"/>
    </row>
    <row r="257">
      <c r="F257" s="27"/>
      <c r="G257" s="27"/>
      <c r="H257" s="27"/>
      <c r="J257" s="27"/>
      <c r="L257" s="27"/>
      <c r="M257" s="27"/>
      <c r="N257" s="27"/>
    </row>
    <row r="258">
      <c r="F258" s="27"/>
      <c r="G258" s="27"/>
      <c r="H258" s="27"/>
      <c r="J258" s="27"/>
      <c r="L258" s="27"/>
      <c r="M258" s="27"/>
      <c r="N258" s="27"/>
    </row>
    <row r="259">
      <c r="F259" s="27"/>
      <c r="G259" s="27"/>
      <c r="H259" s="27"/>
      <c r="J259" s="27"/>
      <c r="L259" s="27"/>
      <c r="M259" s="27"/>
      <c r="N259" s="27"/>
    </row>
    <row r="260">
      <c r="F260" s="27"/>
      <c r="G260" s="27"/>
      <c r="H260" s="27"/>
      <c r="J260" s="27"/>
      <c r="L260" s="27"/>
      <c r="M260" s="27"/>
      <c r="N260" s="27"/>
    </row>
    <row r="261">
      <c r="F261" s="27"/>
      <c r="G261" s="27"/>
      <c r="H261" s="27"/>
      <c r="J261" s="27"/>
      <c r="L261" s="27"/>
      <c r="M261" s="27"/>
      <c r="N261" s="27"/>
    </row>
    <row r="262">
      <c r="F262" s="27"/>
      <c r="G262" s="27"/>
      <c r="H262" s="27"/>
      <c r="J262" s="27"/>
      <c r="L262" s="27"/>
      <c r="M262" s="27"/>
      <c r="N262" s="27"/>
    </row>
    <row r="263">
      <c r="F263" s="27"/>
      <c r="G263" s="27"/>
      <c r="H263" s="27"/>
      <c r="J263" s="27"/>
      <c r="L263" s="27"/>
      <c r="M263" s="27"/>
      <c r="N263" s="27"/>
    </row>
    <row r="264">
      <c r="F264" s="27"/>
      <c r="G264" s="27"/>
      <c r="H264" s="27"/>
      <c r="J264" s="27"/>
      <c r="L264" s="27"/>
      <c r="M264" s="27"/>
      <c r="N264" s="27"/>
    </row>
    <row r="265">
      <c r="F265" s="27"/>
      <c r="G265" s="27"/>
      <c r="H265" s="27"/>
      <c r="J265" s="27"/>
      <c r="L265" s="27"/>
      <c r="M265" s="27"/>
      <c r="N265" s="27"/>
    </row>
    <row r="266">
      <c r="F266" s="27"/>
      <c r="G266" s="27"/>
      <c r="H266" s="27"/>
      <c r="J266" s="27"/>
      <c r="L266" s="27"/>
      <c r="M266" s="27"/>
      <c r="N266" s="27"/>
    </row>
    <row r="267">
      <c r="F267" s="27"/>
      <c r="G267" s="27"/>
      <c r="H267" s="27"/>
      <c r="J267" s="27"/>
      <c r="L267" s="27"/>
      <c r="M267" s="27"/>
      <c r="N267" s="27"/>
    </row>
    <row r="268">
      <c r="F268" s="27"/>
      <c r="G268" s="27"/>
      <c r="H268" s="27"/>
      <c r="J268" s="27"/>
      <c r="L268" s="27"/>
      <c r="M268" s="27"/>
      <c r="N268" s="27"/>
    </row>
    <row r="269">
      <c r="F269" s="27"/>
      <c r="G269" s="27"/>
      <c r="H269" s="27"/>
      <c r="J269" s="27"/>
      <c r="L269" s="27"/>
      <c r="M269" s="27"/>
      <c r="N269" s="27"/>
    </row>
    <row r="270">
      <c r="F270" s="27"/>
      <c r="G270" s="27"/>
      <c r="H270" s="27"/>
      <c r="J270" s="27"/>
      <c r="L270" s="27"/>
      <c r="M270" s="27"/>
      <c r="N270" s="27"/>
    </row>
    <row r="271">
      <c r="F271" s="27"/>
      <c r="G271" s="27"/>
      <c r="H271" s="27"/>
      <c r="J271" s="27"/>
      <c r="L271" s="27"/>
      <c r="M271" s="27"/>
      <c r="N271" s="27"/>
    </row>
    <row r="272">
      <c r="F272" s="27"/>
      <c r="G272" s="27"/>
      <c r="H272" s="27"/>
      <c r="J272" s="27"/>
      <c r="L272" s="27"/>
      <c r="M272" s="27"/>
      <c r="N272" s="27"/>
    </row>
    <row r="273">
      <c r="F273" s="27"/>
      <c r="G273" s="27"/>
      <c r="H273" s="27"/>
      <c r="J273" s="27"/>
      <c r="L273" s="27"/>
      <c r="M273" s="27"/>
      <c r="N273" s="27"/>
    </row>
    <row r="274">
      <c r="F274" s="27"/>
      <c r="G274" s="27"/>
      <c r="H274" s="27"/>
      <c r="J274" s="27"/>
      <c r="L274" s="27"/>
      <c r="M274" s="27"/>
      <c r="N274" s="27"/>
    </row>
    <row r="275">
      <c r="F275" s="27"/>
      <c r="G275" s="27"/>
      <c r="H275" s="27"/>
      <c r="J275" s="27"/>
      <c r="L275" s="27"/>
      <c r="M275" s="27"/>
      <c r="N275" s="27"/>
    </row>
    <row r="276">
      <c r="F276" s="27"/>
      <c r="G276" s="27"/>
      <c r="H276" s="27"/>
      <c r="J276" s="27"/>
      <c r="L276" s="27"/>
      <c r="M276" s="27"/>
      <c r="N276" s="27"/>
    </row>
    <row r="277">
      <c r="F277" s="27"/>
      <c r="G277" s="27"/>
      <c r="H277" s="27"/>
      <c r="J277" s="27"/>
      <c r="L277" s="27"/>
      <c r="M277" s="27"/>
      <c r="N277" s="27"/>
    </row>
    <row r="278">
      <c r="F278" s="27"/>
      <c r="G278" s="27"/>
      <c r="H278" s="27"/>
      <c r="J278" s="27"/>
      <c r="L278" s="27"/>
      <c r="M278" s="27"/>
      <c r="N278" s="27"/>
    </row>
    <row r="279">
      <c r="F279" s="27"/>
      <c r="G279" s="27"/>
      <c r="H279" s="27"/>
      <c r="J279" s="27"/>
      <c r="L279" s="27"/>
      <c r="M279" s="27"/>
      <c r="N279" s="27"/>
    </row>
    <row r="280">
      <c r="F280" s="27"/>
      <c r="G280" s="27"/>
      <c r="H280" s="27"/>
      <c r="J280" s="27"/>
      <c r="L280" s="27"/>
      <c r="M280" s="27"/>
      <c r="N280" s="27"/>
    </row>
    <row r="281">
      <c r="F281" s="27"/>
      <c r="G281" s="27"/>
      <c r="H281" s="27"/>
      <c r="J281" s="27"/>
      <c r="L281" s="27"/>
      <c r="M281" s="27"/>
      <c r="N281" s="27"/>
    </row>
    <row r="282">
      <c r="F282" s="27"/>
      <c r="G282" s="27"/>
      <c r="H282" s="27"/>
      <c r="J282" s="27"/>
      <c r="L282" s="27"/>
      <c r="M282" s="27"/>
      <c r="N282" s="27"/>
    </row>
    <row r="283">
      <c r="F283" s="27"/>
      <c r="G283" s="27"/>
      <c r="H283" s="27"/>
      <c r="J283" s="27"/>
      <c r="L283" s="27"/>
      <c r="M283" s="27"/>
      <c r="N283" s="27"/>
    </row>
    <row r="284">
      <c r="F284" s="27"/>
      <c r="G284" s="27"/>
      <c r="H284" s="27"/>
      <c r="J284" s="27"/>
      <c r="L284" s="27"/>
      <c r="M284" s="27"/>
      <c r="N284" s="27"/>
    </row>
    <row r="285">
      <c r="F285" s="27"/>
      <c r="G285" s="27"/>
      <c r="H285" s="27"/>
      <c r="J285" s="27"/>
      <c r="L285" s="27"/>
      <c r="M285" s="27"/>
      <c r="N285" s="27"/>
    </row>
    <row r="286">
      <c r="F286" s="27"/>
      <c r="G286" s="27"/>
      <c r="H286" s="27"/>
      <c r="J286" s="27"/>
      <c r="L286" s="27"/>
      <c r="M286" s="27"/>
      <c r="N286" s="27"/>
    </row>
    <row r="287">
      <c r="F287" s="27"/>
      <c r="G287" s="27"/>
      <c r="H287" s="27"/>
      <c r="J287" s="27"/>
      <c r="L287" s="27"/>
      <c r="M287" s="27"/>
      <c r="N287" s="27"/>
    </row>
    <row r="288">
      <c r="F288" s="27"/>
      <c r="G288" s="27"/>
      <c r="H288" s="27"/>
      <c r="J288" s="27"/>
      <c r="L288" s="27"/>
      <c r="M288" s="27"/>
      <c r="N288" s="27"/>
    </row>
    <row r="289">
      <c r="F289" s="27"/>
      <c r="G289" s="27"/>
      <c r="H289" s="27"/>
      <c r="J289" s="27"/>
      <c r="L289" s="27"/>
      <c r="M289" s="27"/>
      <c r="N289" s="27"/>
    </row>
    <row r="290">
      <c r="F290" s="27"/>
      <c r="G290" s="27"/>
      <c r="H290" s="27"/>
      <c r="J290" s="27"/>
      <c r="L290" s="27"/>
      <c r="M290" s="27"/>
      <c r="N290" s="27"/>
    </row>
    <row r="291">
      <c r="F291" s="27"/>
      <c r="G291" s="27"/>
      <c r="H291" s="27"/>
      <c r="J291" s="27"/>
      <c r="L291" s="27"/>
      <c r="M291" s="27"/>
      <c r="N291" s="27"/>
    </row>
    <row r="292">
      <c r="F292" s="27"/>
      <c r="G292" s="27"/>
      <c r="H292" s="27"/>
      <c r="J292" s="27"/>
      <c r="L292" s="27"/>
      <c r="M292" s="27"/>
      <c r="N292" s="27"/>
    </row>
    <row r="293">
      <c r="F293" s="27"/>
      <c r="G293" s="27"/>
      <c r="H293" s="27"/>
      <c r="J293" s="27"/>
      <c r="L293" s="27"/>
      <c r="M293" s="27"/>
      <c r="N293" s="27"/>
    </row>
    <row r="294">
      <c r="F294" s="27"/>
      <c r="G294" s="27"/>
      <c r="H294" s="27"/>
      <c r="J294" s="27"/>
      <c r="L294" s="27"/>
      <c r="M294" s="27"/>
      <c r="N294" s="27"/>
    </row>
    <row r="295">
      <c r="F295" s="27"/>
      <c r="G295" s="27"/>
      <c r="H295" s="27"/>
      <c r="J295" s="27"/>
      <c r="L295" s="27"/>
      <c r="M295" s="27"/>
      <c r="N295" s="27"/>
    </row>
    <row r="296">
      <c r="F296" s="27"/>
      <c r="G296" s="27"/>
      <c r="H296" s="27"/>
      <c r="J296" s="27"/>
      <c r="L296" s="27"/>
      <c r="M296" s="27"/>
      <c r="N296" s="27"/>
    </row>
    <row r="297">
      <c r="F297" s="27"/>
      <c r="G297" s="27"/>
      <c r="H297" s="27"/>
      <c r="J297" s="27"/>
      <c r="L297" s="27"/>
      <c r="M297" s="27"/>
      <c r="N297" s="27"/>
    </row>
    <row r="298">
      <c r="F298" s="27"/>
      <c r="G298" s="27"/>
      <c r="H298" s="27"/>
      <c r="J298" s="27"/>
      <c r="L298" s="27"/>
      <c r="M298" s="27"/>
      <c r="N298" s="27"/>
    </row>
    <row r="299">
      <c r="F299" s="27"/>
      <c r="G299" s="27"/>
      <c r="H299" s="27"/>
      <c r="J299" s="27"/>
      <c r="L299" s="27"/>
      <c r="M299" s="27"/>
      <c r="N299" s="27"/>
    </row>
    <row r="300">
      <c r="F300" s="27"/>
      <c r="G300" s="27"/>
      <c r="H300" s="27"/>
      <c r="J300" s="27"/>
      <c r="L300" s="27"/>
      <c r="M300" s="27"/>
      <c r="N300" s="27"/>
    </row>
    <row r="301">
      <c r="F301" s="27"/>
      <c r="G301" s="27"/>
      <c r="H301" s="27"/>
      <c r="J301" s="27"/>
      <c r="L301" s="27"/>
      <c r="M301" s="27"/>
      <c r="N301" s="27"/>
    </row>
    <row r="302">
      <c r="F302" s="27"/>
      <c r="G302" s="27"/>
      <c r="H302" s="27"/>
      <c r="J302" s="27"/>
      <c r="L302" s="27"/>
      <c r="M302" s="27"/>
      <c r="N302" s="27"/>
    </row>
    <row r="303">
      <c r="F303" s="27"/>
      <c r="G303" s="27"/>
      <c r="H303" s="27"/>
      <c r="J303" s="27"/>
      <c r="L303" s="27"/>
      <c r="M303" s="27"/>
      <c r="N303" s="27"/>
    </row>
    <row r="304">
      <c r="F304" s="27"/>
      <c r="G304" s="27"/>
      <c r="H304" s="27"/>
      <c r="J304" s="27"/>
      <c r="L304" s="27"/>
      <c r="M304" s="27"/>
      <c r="N304" s="27"/>
    </row>
    <row r="305">
      <c r="F305" s="27"/>
      <c r="G305" s="27"/>
      <c r="H305" s="27"/>
      <c r="J305" s="27"/>
      <c r="L305" s="27"/>
      <c r="M305" s="27"/>
      <c r="N305" s="27"/>
    </row>
    <row r="306">
      <c r="F306" s="27"/>
      <c r="G306" s="27"/>
      <c r="H306" s="27"/>
      <c r="J306" s="27"/>
      <c r="L306" s="27"/>
      <c r="M306" s="27"/>
      <c r="N306" s="27"/>
    </row>
    <row r="307">
      <c r="F307" s="27"/>
      <c r="G307" s="27"/>
      <c r="H307" s="27"/>
      <c r="J307" s="27"/>
      <c r="L307" s="27"/>
      <c r="M307" s="27"/>
      <c r="N307" s="27"/>
    </row>
    <row r="308">
      <c r="F308" s="27"/>
      <c r="G308" s="27"/>
      <c r="H308" s="27"/>
      <c r="J308" s="27"/>
      <c r="L308" s="27"/>
      <c r="M308" s="27"/>
      <c r="N308" s="27"/>
    </row>
    <row r="309">
      <c r="F309" s="27"/>
      <c r="G309" s="27"/>
      <c r="H309" s="27"/>
      <c r="J309" s="27"/>
      <c r="L309" s="27"/>
      <c r="M309" s="27"/>
      <c r="N309" s="27"/>
    </row>
    <row r="310">
      <c r="F310" s="27"/>
      <c r="G310" s="27"/>
      <c r="H310" s="27"/>
      <c r="J310" s="27"/>
      <c r="L310" s="27"/>
      <c r="M310" s="27"/>
      <c r="N310" s="27"/>
    </row>
    <row r="311">
      <c r="F311" s="27"/>
      <c r="G311" s="27"/>
      <c r="H311" s="27"/>
      <c r="J311" s="27"/>
      <c r="L311" s="27"/>
      <c r="M311" s="27"/>
      <c r="N311" s="27"/>
    </row>
    <row r="312">
      <c r="F312" s="27"/>
      <c r="G312" s="27"/>
      <c r="H312" s="27"/>
      <c r="J312" s="27"/>
      <c r="L312" s="27"/>
      <c r="M312" s="27"/>
      <c r="N312" s="27"/>
    </row>
    <row r="313">
      <c r="F313" s="27"/>
      <c r="G313" s="27"/>
      <c r="H313" s="27"/>
      <c r="J313" s="27"/>
      <c r="L313" s="27"/>
      <c r="M313" s="27"/>
      <c r="N313" s="27"/>
    </row>
    <row r="314">
      <c r="F314" s="27"/>
      <c r="G314" s="27"/>
      <c r="H314" s="27"/>
      <c r="J314" s="27"/>
      <c r="L314" s="27"/>
      <c r="M314" s="27"/>
      <c r="N314" s="27"/>
    </row>
    <row r="315">
      <c r="F315" s="27"/>
      <c r="G315" s="27"/>
      <c r="H315" s="27"/>
      <c r="J315" s="27"/>
      <c r="L315" s="27"/>
      <c r="M315" s="27"/>
      <c r="N315" s="27"/>
    </row>
    <row r="316">
      <c r="F316" s="27"/>
      <c r="G316" s="27"/>
      <c r="H316" s="27"/>
      <c r="J316" s="27"/>
      <c r="L316" s="27"/>
      <c r="M316" s="27"/>
      <c r="N316" s="27"/>
    </row>
    <row r="317">
      <c r="F317" s="27"/>
      <c r="G317" s="27"/>
      <c r="H317" s="27"/>
      <c r="J317" s="27"/>
      <c r="L317" s="27"/>
      <c r="M317" s="27"/>
      <c r="N317" s="27"/>
    </row>
    <row r="318">
      <c r="F318" s="27"/>
      <c r="G318" s="27"/>
      <c r="H318" s="27"/>
      <c r="J318" s="27"/>
      <c r="L318" s="27"/>
      <c r="M318" s="27"/>
      <c r="N318" s="27"/>
    </row>
    <row r="319">
      <c r="F319" s="27"/>
      <c r="G319" s="27"/>
      <c r="H319" s="27"/>
      <c r="J319" s="27"/>
      <c r="L319" s="27"/>
      <c r="M319" s="27"/>
      <c r="N319" s="27"/>
    </row>
    <row r="320">
      <c r="F320" s="27"/>
      <c r="G320" s="27"/>
      <c r="H320" s="27"/>
      <c r="J320" s="27"/>
      <c r="L320" s="27"/>
      <c r="M320" s="27"/>
      <c r="N320" s="27"/>
    </row>
    <row r="321">
      <c r="F321" s="27"/>
      <c r="G321" s="27"/>
      <c r="H321" s="27"/>
      <c r="J321" s="27"/>
      <c r="L321" s="27"/>
      <c r="M321" s="27"/>
      <c r="N321" s="27"/>
    </row>
    <row r="322">
      <c r="F322" s="27"/>
      <c r="G322" s="27"/>
      <c r="H322" s="27"/>
      <c r="J322" s="27"/>
      <c r="L322" s="27"/>
      <c r="M322" s="27"/>
      <c r="N322" s="27"/>
    </row>
    <row r="323">
      <c r="F323" s="27"/>
      <c r="G323" s="27"/>
      <c r="H323" s="27"/>
      <c r="J323" s="27"/>
      <c r="L323" s="27"/>
      <c r="M323" s="27"/>
      <c r="N323" s="27"/>
    </row>
    <row r="324">
      <c r="F324" s="27"/>
      <c r="G324" s="27"/>
      <c r="H324" s="27"/>
      <c r="J324" s="27"/>
      <c r="L324" s="27"/>
      <c r="M324" s="27"/>
      <c r="N324" s="27"/>
    </row>
    <row r="325">
      <c r="F325" s="27"/>
      <c r="G325" s="27"/>
      <c r="H325" s="27"/>
      <c r="J325" s="27"/>
      <c r="L325" s="27"/>
      <c r="M325" s="27"/>
      <c r="N325" s="27"/>
    </row>
    <row r="326">
      <c r="F326" s="27"/>
      <c r="G326" s="27"/>
      <c r="H326" s="27"/>
      <c r="J326" s="27"/>
      <c r="L326" s="27"/>
      <c r="M326" s="27"/>
      <c r="N326" s="27"/>
    </row>
    <row r="327">
      <c r="F327" s="27"/>
      <c r="G327" s="27"/>
      <c r="H327" s="27"/>
      <c r="J327" s="27"/>
      <c r="L327" s="27"/>
      <c r="M327" s="27"/>
      <c r="N327" s="27"/>
    </row>
    <row r="328">
      <c r="F328" s="27"/>
      <c r="G328" s="27"/>
      <c r="H328" s="27"/>
      <c r="J328" s="27"/>
      <c r="L328" s="27"/>
      <c r="M328" s="27"/>
      <c r="N328" s="27"/>
    </row>
    <row r="329">
      <c r="F329" s="27"/>
      <c r="G329" s="27"/>
      <c r="H329" s="27"/>
      <c r="J329" s="27"/>
      <c r="L329" s="27"/>
      <c r="M329" s="27"/>
      <c r="N329" s="27"/>
    </row>
    <row r="330">
      <c r="F330" s="27"/>
      <c r="G330" s="27"/>
      <c r="H330" s="27"/>
      <c r="J330" s="27"/>
      <c r="L330" s="27"/>
      <c r="M330" s="27"/>
      <c r="N330" s="27"/>
    </row>
    <row r="331">
      <c r="F331" s="27"/>
      <c r="G331" s="27"/>
      <c r="H331" s="27"/>
      <c r="J331" s="27"/>
      <c r="L331" s="27"/>
      <c r="M331" s="27"/>
      <c r="N331" s="27"/>
    </row>
    <row r="332">
      <c r="F332" s="27"/>
      <c r="G332" s="27"/>
      <c r="H332" s="27"/>
      <c r="J332" s="27"/>
      <c r="L332" s="27"/>
      <c r="M332" s="27"/>
      <c r="N332" s="27"/>
    </row>
    <row r="333">
      <c r="F333" s="27"/>
      <c r="G333" s="27"/>
      <c r="H333" s="27"/>
      <c r="J333" s="27"/>
      <c r="L333" s="27"/>
      <c r="M333" s="27"/>
      <c r="N333" s="27"/>
    </row>
    <row r="334">
      <c r="F334" s="27"/>
      <c r="G334" s="27"/>
      <c r="H334" s="27"/>
      <c r="J334" s="27"/>
      <c r="L334" s="27"/>
      <c r="M334" s="27"/>
      <c r="N334" s="27"/>
    </row>
    <row r="335">
      <c r="F335" s="27"/>
      <c r="G335" s="27"/>
      <c r="H335" s="27"/>
      <c r="J335" s="27"/>
      <c r="L335" s="27"/>
      <c r="M335" s="27"/>
      <c r="N335" s="27"/>
    </row>
    <row r="336">
      <c r="F336" s="27"/>
      <c r="G336" s="27"/>
      <c r="H336" s="27"/>
      <c r="J336" s="27"/>
      <c r="L336" s="27"/>
      <c r="M336" s="27"/>
      <c r="N336" s="27"/>
    </row>
    <row r="337">
      <c r="F337" s="27"/>
      <c r="G337" s="27"/>
      <c r="H337" s="27"/>
      <c r="J337" s="27"/>
      <c r="L337" s="27"/>
      <c r="M337" s="27"/>
      <c r="N337" s="27"/>
    </row>
    <row r="338">
      <c r="F338" s="27"/>
      <c r="G338" s="27"/>
      <c r="H338" s="27"/>
      <c r="J338" s="27"/>
      <c r="L338" s="27"/>
      <c r="M338" s="27"/>
      <c r="N338" s="27"/>
    </row>
    <row r="339">
      <c r="F339" s="27"/>
      <c r="G339" s="27"/>
      <c r="H339" s="27"/>
      <c r="J339" s="27"/>
      <c r="L339" s="27"/>
      <c r="M339" s="27"/>
      <c r="N339" s="27"/>
    </row>
    <row r="340">
      <c r="F340" s="27"/>
      <c r="G340" s="27"/>
      <c r="H340" s="27"/>
      <c r="J340" s="27"/>
      <c r="L340" s="27"/>
      <c r="M340" s="27"/>
      <c r="N340" s="27"/>
    </row>
    <row r="341">
      <c r="F341" s="27"/>
      <c r="G341" s="27"/>
      <c r="H341" s="27"/>
      <c r="J341" s="27"/>
      <c r="L341" s="27"/>
      <c r="M341" s="27"/>
      <c r="N341" s="27"/>
    </row>
    <row r="342">
      <c r="F342" s="27"/>
      <c r="G342" s="27"/>
      <c r="H342" s="27"/>
      <c r="J342" s="27"/>
      <c r="L342" s="27"/>
      <c r="M342" s="27"/>
      <c r="N342" s="27"/>
    </row>
    <row r="343">
      <c r="F343" s="27"/>
      <c r="G343" s="27"/>
      <c r="H343" s="27"/>
      <c r="J343" s="27"/>
      <c r="L343" s="27"/>
      <c r="M343" s="27"/>
      <c r="N343" s="27"/>
    </row>
    <row r="344">
      <c r="F344" s="27"/>
      <c r="G344" s="27"/>
      <c r="H344" s="27"/>
      <c r="J344" s="27"/>
      <c r="L344" s="27"/>
      <c r="M344" s="27"/>
      <c r="N344" s="27"/>
    </row>
    <row r="345">
      <c r="F345" s="27"/>
      <c r="G345" s="27"/>
      <c r="H345" s="27"/>
      <c r="J345" s="27"/>
      <c r="L345" s="27"/>
      <c r="M345" s="27"/>
      <c r="N345" s="27"/>
    </row>
    <row r="346">
      <c r="F346" s="27"/>
      <c r="G346" s="27"/>
      <c r="H346" s="27"/>
      <c r="J346" s="27"/>
      <c r="L346" s="27"/>
      <c r="M346" s="27"/>
      <c r="N346" s="27"/>
    </row>
    <row r="347">
      <c r="F347" s="27"/>
      <c r="G347" s="27"/>
      <c r="H347" s="27"/>
      <c r="J347" s="27"/>
      <c r="L347" s="27"/>
      <c r="M347" s="27"/>
      <c r="N347" s="27"/>
    </row>
    <row r="348">
      <c r="F348" s="27"/>
      <c r="G348" s="27"/>
      <c r="H348" s="27"/>
      <c r="J348" s="27"/>
      <c r="L348" s="27"/>
      <c r="M348" s="27"/>
      <c r="N348" s="27"/>
    </row>
    <row r="349">
      <c r="F349" s="27"/>
      <c r="G349" s="27"/>
      <c r="H349" s="27"/>
      <c r="J349" s="27"/>
      <c r="L349" s="27"/>
      <c r="M349" s="27"/>
      <c r="N349" s="27"/>
    </row>
    <row r="350">
      <c r="F350" s="27"/>
      <c r="G350" s="27"/>
      <c r="H350" s="27"/>
      <c r="J350" s="27"/>
      <c r="L350" s="27"/>
      <c r="M350" s="27"/>
      <c r="N350" s="27"/>
    </row>
    <row r="351">
      <c r="F351" s="27"/>
      <c r="G351" s="27"/>
      <c r="H351" s="27"/>
      <c r="J351" s="27"/>
      <c r="L351" s="27"/>
      <c r="M351" s="27"/>
      <c r="N351" s="27"/>
    </row>
    <row r="352">
      <c r="F352" s="27"/>
      <c r="G352" s="27"/>
      <c r="H352" s="27"/>
      <c r="J352" s="27"/>
      <c r="L352" s="27"/>
      <c r="M352" s="27"/>
      <c r="N352" s="27"/>
    </row>
    <row r="353">
      <c r="F353" s="27"/>
      <c r="G353" s="27"/>
      <c r="H353" s="27"/>
      <c r="J353" s="27"/>
      <c r="L353" s="27"/>
      <c r="M353" s="27"/>
      <c r="N353" s="27"/>
    </row>
    <row r="354">
      <c r="F354" s="27"/>
      <c r="G354" s="27"/>
      <c r="H354" s="27"/>
      <c r="J354" s="27"/>
      <c r="L354" s="27"/>
      <c r="M354" s="27"/>
      <c r="N354" s="27"/>
    </row>
    <row r="355">
      <c r="F355" s="27"/>
      <c r="G355" s="27"/>
      <c r="H355" s="27"/>
      <c r="J355" s="27"/>
      <c r="L355" s="27"/>
      <c r="M355" s="27"/>
      <c r="N355" s="27"/>
    </row>
    <row r="356">
      <c r="F356" s="27"/>
      <c r="G356" s="27"/>
      <c r="H356" s="27"/>
      <c r="J356" s="27"/>
      <c r="L356" s="27"/>
      <c r="M356" s="27"/>
      <c r="N356" s="27"/>
    </row>
    <row r="357">
      <c r="F357" s="27"/>
      <c r="G357" s="27"/>
      <c r="H357" s="27"/>
      <c r="J357" s="27"/>
      <c r="L357" s="27"/>
      <c r="M357" s="27"/>
      <c r="N357" s="27"/>
    </row>
    <row r="358">
      <c r="F358" s="27"/>
      <c r="G358" s="27"/>
      <c r="H358" s="27"/>
      <c r="J358" s="27"/>
      <c r="L358" s="27"/>
      <c r="M358" s="27"/>
      <c r="N358" s="27"/>
    </row>
    <row r="359">
      <c r="F359" s="27"/>
      <c r="G359" s="27"/>
      <c r="H359" s="27"/>
      <c r="J359" s="27"/>
      <c r="L359" s="27"/>
      <c r="M359" s="27"/>
      <c r="N359" s="27"/>
    </row>
    <row r="360">
      <c r="F360" s="27"/>
      <c r="G360" s="27"/>
      <c r="H360" s="27"/>
      <c r="J360" s="27"/>
      <c r="L360" s="27"/>
      <c r="M360" s="27"/>
      <c r="N360" s="27"/>
    </row>
    <row r="361">
      <c r="F361" s="27"/>
      <c r="G361" s="27"/>
      <c r="H361" s="27"/>
      <c r="J361" s="27"/>
      <c r="L361" s="27"/>
      <c r="M361" s="27"/>
      <c r="N361" s="27"/>
    </row>
    <row r="362">
      <c r="F362" s="27"/>
      <c r="G362" s="27"/>
      <c r="H362" s="27"/>
      <c r="J362" s="27"/>
      <c r="L362" s="27"/>
      <c r="M362" s="27"/>
      <c r="N362" s="27"/>
    </row>
    <row r="363">
      <c r="F363" s="27"/>
      <c r="G363" s="27"/>
      <c r="H363" s="27"/>
      <c r="J363" s="27"/>
      <c r="L363" s="27"/>
      <c r="M363" s="27"/>
      <c r="N363" s="27"/>
    </row>
    <row r="364">
      <c r="F364" s="27"/>
      <c r="G364" s="27"/>
      <c r="H364" s="27"/>
      <c r="J364" s="27"/>
      <c r="L364" s="27"/>
      <c r="M364" s="27"/>
      <c r="N364" s="27"/>
    </row>
    <row r="365">
      <c r="F365" s="27"/>
      <c r="G365" s="27"/>
      <c r="H365" s="27"/>
      <c r="J365" s="27"/>
      <c r="L365" s="27"/>
      <c r="M365" s="27"/>
      <c r="N365" s="27"/>
    </row>
    <row r="366">
      <c r="F366" s="27"/>
      <c r="G366" s="27"/>
      <c r="H366" s="27"/>
      <c r="J366" s="27"/>
      <c r="L366" s="27"/>
      <c r="M366" s="27"/>
      <c r="N366" s="27"/>
    </row>
    <row r="367">
      <c r="F367" s="27"/>
      <c r="G367" s="27"/>
      <c r="H367" s="27"/>
      <c r="J367" s="27"/>
      <c r="L367" s="27"/>
      <c r="M367" s="27"/>
      <c r="N367" s="27"/>
    </row>
    <row r="368">
      <c r="F368" s="27"/>
      <c r="G368" s="27"/>
      <c r="H368" s="27"/>
      <c r="J368" s="27"/>
      <c r="L368" s="27"/>
      <c r="M368" s="27"/>
      <c r="N368" s="27"/>
    </row>
    <row r="369">
      <c r="F369" s="27"/>
      <c r="G369" s="27"/>
      <c r="H369" s="27"/>
      <c r="J369" s="27"/>
      <c r="L369" s="27"/>
      <c r="M369" s="27"/>
      <c r="N369" s="27"/>
    </row>
    <row r="370">
      <c r="F370" s="27"/>
      <c r="G370" s="27"/>
      <c r="H370" s="27"/>
      <c r="J370" s="27"/>
      <c r="L370" s="27"/>
      <c r="M370" s="27"/>
      <c r="N370" s="27"/>
    </row>
    <row r="371">
      <c r="F371" s="27"/>
      <c r="G371" s="27"/>
      <c r="H371" s="27"/>
      <c r="J371" s="27"/>
      <c r="L371" s="27"/>
      <c r="M371" s="27"/>
      <c r="N371" s="27"/>
    </row>
    <row r="372">
      <c r="F372" s="27"/>
      <c r="G372" s="27"/>
      <c r="H372" s="27"/>
      <c r="J372" s="27"/>
      <c r="L372" s="27"/>
      <c r="M372" s="27"/>
      <c r="N372" s="27"/>
    </row>
    <row r="373">
      <c r="F373" s="27"/>
      <c r="G373" s="27"/>
      <c r="H373" s="27"/>
      <c r="J373" s="27"/>
      <c r="L373" s="27"/>
      <c r="M373" s="27"/>
      <c r="N373" s="27"/>
    </row>
    <row r="374">
      <c r="F374" s="27"/>
      <c r="G374" s="27"/>
      <c r="H374" s="27"/>
      <c r="J374" s="27"/>
      <c r="L374" s="27"/>
      <c r="M374" s="27"/>
      <c r="N374" s="27"/>
    </row>
    <row r="375">
      <c r="F375" s="27"/>
      <c r="G375" s="27"/>
      <c r="H375" s="27"/>
      <c r="J375" s="27"/>
      <c r="L375" s="27"/>
      <c r="M375" s="27"/>
      <c r="N375" s="27"/>
    </row>
    <row r="376">
      <c r="F376" s="27"/>
      <c r="G376" s="27"/>
      <c r="H376" s="27"/>
      <c r="J376" s="27"/>
      <c r="L376" s="27"/>
      <c r="M376" s="27"/>
      <c r="N376" s="27"/>
    </row>
    <row r="377">
      <c r="F377" s="27"/>
      <c r="G377" s="27"/>
      <c r="H377" s="27"/>
      <c r="J377" s="27"/>
      <c r="L377" s="27"/>
      <c r="M377" s="27"/>
      <c r="N377" s="27"/>
    </row>
    <row r="378">
      <c r="F378" s="27"/>
      <c r="G378" s="27"/>
      <c r="H378" s="27"/>
      <c r="J378" s="27"/>
      <c r="L378" s="27"/>
      <c r="M378" s="27"/>
      <c r="N378" s="27"/>
    </row>
    <row r="379">
      <c r="F379" s="27"/>
      <c r="G379" s="27"/>
      <c r="H379" s="27"/>
      <c r="J379" s="27"/>
      <c r="L379" s="27"/>
      <c r="M379" s="27"/>
      <c r="N379" s="27"/>
    </row>
    <row r="380">
      <c r="F380" s="27"/>
      <c r="G380" s="27"/>
      <c r="H380" s="27"/>
      <c r="J380" s="27"/>
      <c r="L380" s="27"/>
      <c r="M380" s="27"/>
      <c r="N380" s="27"/>
    </row>
    <row r="381">
      <c r="F381" s="27"/>
      <c r="G381" s="27"/>
      <c r="H381" s="27"/>
      <c r="J381" s="27"/>
      <c r="L381" s="27"/>
      <c r="M381" s="27"/>
      <c r="N381" s="27"/>
    </row>
    <row r="382">
      <c r="F382" s="27"/>
      <c r="G382" s="27"/>
      <c r="H382" s="27"/>
      <c r="J382" s="27"/>
      <c r="L382" s="27"/>
      <c r="M382" s="27"/>
      <c r="N382" s="27"/>
    </row>
    <row r="383">
      <c r="F383" s="27"/>
      <c r="G383" s="27"/>
      <c r="H383" s="27"/>
      <c r="J383" s="27"/>
      <c r="L383" s="27"/>
      <c r="M383" s="27"/>
      <c r="N383" s="27"/>
    </row>
    <row r="384">
      <c r="F384" s="27"/>
      <c r="G384" s="27"/>
      <c r="H384" s="27"/>
      <c r="J384" s="27"/>
      <c r="L384" s="27"/>
      <c r="M384" s="27"/>
      <c r="N384" s="27"/>
    </row>
    <row r="385">
      <c r="F385" s="27"/>
      <c r="G385" s="27"/>
      <c r="H385" s="27"/>
      <c r="J385" s="27"/>
      <c r="L385" s="27"/>
      <c r="M385" s="27"/>
      <c r="N385" s="27"/>
    </row>
    <row r="386">
      <c r="F386" s="27"/>
      <c r="G386" s="27"/>
      <c r="H386" s="27"/>
      <c r="J386" s="27"/>
      <c r="L386" s="27"/>
      <c r="M386" s="27"/>
      <c r="N386" s="27"/>
    </row>
    <row r="387">
      <c r="F387" s="27"/>
      <c r="G387" s="27"/>
      <c r="H387" s="27"/>
      <c r="J387" s="27"/>
      <c r="L387" s="27"/>
      <c r="M387" s="27"/>
      <c r="N387" s="27"/>
    </row>
    <row r="388">
      <c r="F388" s="27"/>
      <c r="G388" s="27"/>
      <c r="H388" s="27"/>
      <c r="J388" s="27"/>
      <c r="L388" s="27"/>
      <c r="M388" s="27"/>
      <c r="N388" s="27"/>
    </row>
    <row r="389">
      <c r="F389" s="27"/>
      <c r="G389" s="27"/>
      <c r="H389" s="27"/>
      <c r="J389" s="27"/>
      <c r="L389" s="27"/>
      <c r="M389" s="27"/>
      <c r="N389" s="27"/>
    </row>
    <row r="390">
      <c r="F390" s="27"/>
      <c r="G390" s="27"/>
      <c r="H390" s="27"/>
      <c r="J390" s="27"/>
      <c r="L390" s="27"/>
      <c r="M390" s="27"/>
      <c r="N390" s="27"/>
    </row>
    <row r="391">
      <c r="F391" s="27"/>
      <c r="G391" s="27"/>
      <c r="H391" s="27"/>
      <c r="J391" s="27"/>
      <c r="L391" s="27"/>
      <c r="M391" s="27"/>
      <c r="N391" s="27"/>
    </row>
    <row r="392">
      <c r="F392" s="27"/>
      <c r="G392" s="27"/>
      <c r="H392" s="27"/>
      <c r="J392" s="27"/>
      <c r="L392" s="27"/>
      <c r="M392" s="27"/>
      <c r="N392" s="27"/>
    </row>
    <row r="393">
      <c r="F393" s="27"/>
      <c r="G393" s="27"/>
      <c r="H393" s="27"/>
      <c r="J393" s="27"/>
      <c r="L393" s="27"/>
      <c r="M393" s="27"/>
      <c r="N393" s="27"/>
    </row>
    <row r="394">
      <c r="F394" s="27"/>
      <c r="G394" s="27"/>
      <c r="H394" s="27"/>
      <c r="J394" s="27"/>
      <c r="L394" s="27"/>
      <c r="M394" s="27"/>
      <c r="N394" s="27"/>
    </row>
    <row r="395">
      <c r="F395" s="27"/>
      <c r="G395" s="27"/>
      <c r="H395" s="27"/>
      <c r="J395" s="27"/>
      <c r="L395" s="27"/>
      <c r="M395" s="27"/>
      <c r="N395" s="27"/>
    </row>
    <row r="396">
      <c r="F396" s="27"/>
      <c r="G396" s="27"/>
      <c r="H396" s="27"/>
      <c r="J396" s="27"/>
      <c r="L396" s="27"/>
      <c r="M396" s="27"/>
      <c r="N396" s="27"/>
    </row>
    <row r="397">
      <c r="F397" s="27"/>
      <c r="G397" s="27"/>
      <c r="H397" s="27"/>
      <c r="J397" s="27"/>
      <c r="L397" s="27"/>
      <c r="M397" s="27"/>
      <c r="N397" s="27"/>
    </row>
    <row r="398">
      <c r="F398" s="27"/>
      <c r="G398" s="27"/>
      <c r="H398" s="27"/>
      <c r="J398" s="27"/>
      <c r="L398" s="27"/>
      <c r="M398" s="27"/>
      <c r="N398" s="27"/>
    </row>
    <row r="399">
      <c r="F399" s="27"/>
      <c r="G399" s="27"/>
      <c r="H399" s="27"/>
      <c r="J399" s="27"/>
      <c r="L399" s="27"/>
      <c r="M399" s="27"/>
      <c r="N399" s="27"/>
    </row>
    <row r="400">
      <c r="F400" s="27"/>
      <c r="G400" s="27"/>
      <c r="H400" s="27"/>
      <c r="J400" s="27"/>
      <c r="L400" s="27"/>
      <c r="M400" s="27"/>
      <c r="N400" s="27"/>
    </row>
    <row r="401">
      <c r="F401" s="27"/>
      <c r="G401" s="27"/>
      <c r="H401" s="27"/>
      <c r="J401" s="27"/>
      <c r="L401" s="27"/>
      <c r="M401" s="27"/>
      <c r="N401" s="27"/>
    </row>
    <row r="402">
      <c r="F402" s="27"/>
      <c r="G402" s="27"/>
      <c r="H402" s="27"/>
      <c r="J402" s="27"/>
      <c r="L402" s="27"/>
      <c r="M402" s="27"/>
      <c r="N402" s="27"/>
    </row>
    <row r="403">
      <c r="F403" s="27"/>
      <c r="G403" s="27"/>
      <c r="H403" s="27"/>
      <c r="J403" s="27"/>
      <c r="L403" s="27"/>
      <c r="M403" s="27"/>
      <c r="N403" s="27"/>
    </row>
    <row r="404">
      <c r="F404" s="27"/>
      <c r="G404" s="27"/>
      <c r="H404" s="27"/>
      <c r="J404" s="27"/>
      <c r="L404" s="27"/>
      <c r="M404" s="27"/>
      <c r="N404" s="27"/>
    </row>
    <row r="405">
      <c r="F405" s="27"/>
      <c r="G405" s="27"/>
      <c r="H405" s="27"/>
      <c r="J405" s="27"/>
      <c r="L405" s="27"/>
      <c r="M405" s="27"/>
      <c r="N405" s="27"/>
    </row>
    <row r="406">
      <c r="F406" s="27"/>
      <c r="G406" s="27"/>
      <c r="H406" s="27"/>
      <c r="J406" s="27"/>
      <c r="L406" s="27"/>
      <c r="M406" s="27"/>
      <c r="N406" s="27"/>
    </row>
    <row r="407">
      <c r="F407" s="27"/>
      <c r="G407" s="27"/>
      <c r="H407" s="27"/>
      <c r="J407" s="27"/>
      <c r="L407" s="27"/>
      <c r="M407" s="27"/>
      <c r="N407" s="27"/>
    </row>
    <row r="408">
      <c r="F408" s="27"/>
      <c r="G408" s="27"/>
      <c r="H408" s="27"/>
      <c r="J408" s="27"/>
      <c r="L408" s="27"/>
      <c r="M408" s="27"/>
      <c r="N408" s="27"/>
    </row>
    <row r="409">
      <c r="F409" s="27"/>
      <c r="G409" s="27"/>
      <c r="H409" s="27"/>
      <c r="J409" s="27"/>
      <c r="L409" s="27"/>
      <c r="M409" s="27"/>
      <c r="N409" s="27"/>
    </row>
    <row r="410">
      <c r="F410" s="27"/>
      <c r="G410" s="27"/>
      <c r="H410" s="27"/>
      <c r="J410" s="27"/>
      <c r="L410" s="27"/>
      <c r="M410" s="27"/>
      <c r="N410" s="27"/>
    </row>
    <row r="411">
      <c r="F411" s="27"/>
      <c r="G411" s="27"/>
      <c r="H411" s="27"/>
      <c r="J411" s="27"/>
      <c r="L411" s="27"/>
      <c r="M411" s="27"/>
      <c r="N411" s="27"/>
    </row>
    <row r="412">
      <c r="F412" s="27"/>
      <c r="G412" s="27"/>
      <c r="H412" s="27"/>
      <c r="J412" s="27"/>
      <c r="L412" s="27"/>
      <c r="M412" s="27"/>
      <c r="N412" s="27"/>
    </row>
    <row r="413">
      <c r="F413" s="27"/>
      <c r="G413" s="27"/>
      <c r="H413" s="27"/>
      <c r="J413" s="27"/>
      <c r="L413" s="27"/>
      <c r="M413" s="27"/>
      <c r="N413" s="27"/>
    </row>
    <row r="414">
      <c r="F414" s="27"/>
      <c r="G414" s="27"/>
      <c r="H414" s="27"/>
      <c r="J414" s="27"/>
      <c r="L414" s="27"/>
      <c r="M414" s="27"/>
      <c r="N414" s="27"/>
    </row>
    <row r="415">
      <c r="F415" s="27"/>
      <c r="G415" s="27"/>
      <c r="H415" s="27"/>
      <c r="J415" s="27"/>
      <c r="L415" s="27"/>
      <c r="M415" s="27"/>
      <c r="N415" s="27"/>
    </row>
    <row r="416">
      <c r="F416" s="27"/>
      <c r="G416" s="27"/>
      <c r="H416" s="27"/>
      <c r="J416" s="27"/>
      <c r="L416" s="27"/>
      <c r="M416" s="27"/>
      <c r="N416" s="27"/>
    </row>
    <row r="417">
      <c r="F417" s="27"/>
      <c r="G417" s="27"/>
      <c r="H417" s="27"/>
      <c r="J417" s="27"/>
      <c r="L417" s="27"/>
      <c r="M417" s="27"/>
      <c r="N417" s="27"/>
    </row>
    <row r="418">
      <c r="F418" s="27"/>
      <c r="G418" s="27"/>
      <c r="H418" s="27"/>
      <c r="J418" s="27"/>
      <c r="L418" s="27"/>
      <c r="M418" s="27"/>
      <c r="N418" s="27"/>
    </row>
    <row r="419">
      <c r="F419" s="27"/>
      <c r="G419" s="27"/>
      <c r="H419" s="27"/>
      <c r="J419" s="27"/>
      <c r="L419" s="27"/>
      <c r="M419" s="27"/>
      <c r="N419" s="27"/>
    </row>
    <row r="420">
      <c r="F420" s="27"/>
      <c r="G420" s="27"/>
      <c r="H420" s="27"/>
      <c r="J420" s="27"/>
      <c r="L420" s="27"/>
      <c r="M420" s="27"/>
      <c r="N420" s="27"/>
    </row>
    <row r="421">
      <c r="F421" s="27"/>
      <c r="G421" s="27"/>
      <c r="H421" s="27"/>
      <c r="J421" s="27"/>
      <c r="L421" s="27"/>
      <c r="M421" s="27"/>
      <c r="N421" s="27"/>
    </row>
    <row r="422">
      <c r="F422" s="27"/>
      <c r="G422" s="27"/>
      <c r="H422" s="27"/>
      <c r="J422" s="27"/>
      <c r="L422" s="27"/>
      <c r="M422" s="27"/>
      <c r="N422" s="27"/>
    </row>
    <row r="423">
      <c r="F423" s="27"/>
      <c r="G423" s="27"/>
      <c r="H423" s="27"/>
      <c r="J423" s="27"/>
      <c r="L423" s="27"/>
      <c r="M423" s="27"/>
      <c r="N423" s="27"/>
    </row>
    <row r="424">
      <c r="F424" s="27"/>
      <c r="G424" s="27"/>
      <c r="H424" s="27"/>
      <c r="J424" s="27"/>
      <c r="L424" s="27"/>
      <c r="M424" s="27"/>
      <c r="N424" s="27"/>
    </row>
    <row r="425">
      <c r="F425" s="27"/>
      <c r="G425" s="27"/>
      <c r="H425" s="27"/>
      <c r="J425" s="27"/>
      <c r="L425" s="27"/>
      <c r="M425" s="27"/>
      <c r="N425" s="27"/>
    </row>
    <row r="426">
      <c r="F426" s="27"/>
      <c r="G426" s="27"/>
      <c r="H426" s="27"/>
      <c r="J426" s="27"/>
      <c r="L426" s="27"/>
      <c r="M426" s="27"/>
      <c r="N426" s="27"/>
    </row>
    <row r="427">
      <c r="F427" s="27"/>
      <c r="G427" s="27"/>
      <c r="H427" s="27"/>
      <c r="J427" s="27"/>
      <c r="L427" s="27"/>
      <c r="M427" s="27"/>
      <c r="N427" s="27"/>
    </row>
    <row r="428">
      <c r="F428" s="27"/>
      <c r="G428" s="27"/>
      <c r="H428" s="27"/>
      <c r="J428" s="27"/>
      <c r="L428" s="27"/>
      <c r="M428" s="27"/>
      <c r="N428" s="27"/>
    </row>
    <row r="429">
      <c r="F429" s="27"/>
      <c r="G429" s="27"/>
      <c r="H429" s="27"/>
      <c r="J429" s="27"/>
      <c r="L429" s="27"/>
      <c r="M429" s="27"/>
      <c r="N429" s="27"/>
    </row>
    <row r="430">
      <c r="F430" s="27"/>
      <c r="G430" s="27"/>
      <c r="H430" s="27"/>
      <c r="J430" s="27"/>
      <c r="L430" s="27"/>
      <c r="M430" s="27"/>
      <c r="N430" s="27"/>
    </row>
    <row r="431">
      <c r="F431" s="27"/>
      <c r="G431" s="27"/>
      <c r="H431" s="27"/>
      <c r="J431" s="27"/>
      <c r="L431" s="27"/>
      <c r="M431" s="27"/>
      <c r="N431" s="27"/>
    </row>
    <row r="432">
      <c r="F432" s="27"/>
      <c r="G432" s="27"/>
      <c r="H432" s="27"/>
      <c r="J432" s="27"/>
      <c r="L432" s="27"/>
      <c r="M432" s="27"/>
      <c r="N432" s="27"/>
    </row>
    <row r="433">
      <c r="F433" s="27"/>
      <c r="G433" s="27"/>
      <c r="H433" s="27"/>
      <c r="J433" s="27"/>
      <c r="L433" s="27"/>
      <c r="M433" s="27"/>
      <c r="N433" s="27"/>
    </row>
    <row r="434">
      <c r="F434" s="27"/>
      <c r="G434" s="27"/>
      <c r="H434" s="27"/>
      <c r="J434" s="27"/>
      <c r="L434" s="27"/>
      <c r="M434" s="27"/>
      <c r="N434" s="27"/>
    </row>
    <row r="435">
      <c r="F435" s="27"/>
      <c r="G435" s="27"/>
      <c r="H435" s="27"/>
      <c r="J435" s="27"/>
      <c r="L435" s="27"/>
      <c r="M435" s="27"/>
      <c r="N435" s="27"/>
    </row>
    <row r="436">
      <c r="F436" s="27"/>
      <c r="G436" s="27"/>
      <c r="H436" s="27"/>
      <c r="J436" s="27"/>
      <c r="L436" s="27"/>
      <c r="M436" s="27"/>
      <c r="N436" s="27"/>
    </row>
    <row r="437">
      <c r="F437" s="27"/>
      <c r="G437" s="27"/>
      <c r="H437" s="27"/>
      <c r="J437" s="27"/>
      <c r="L437" s="27"/>
      <c r="M437" s="27"/>
      <c r="N437" s="27"/>
    </row>
    <row r="438">
      <c r="F438" s="27"/>
      <c r="G438" s="27"/>
      <c r="H438" s="27"/>
      <c r="J438" s="27"/>
      <c r="L438" s="27"/>
      <c r="M438" s="27"/>
      <c r="N438" s="27"/>
    </row>
    <row r="439">
      <c r="F439" s="27"/>
      <c r="G439" s="27"/>
      <c r="H439" s="27"/>
      <c r="J439" s="27"/>
      <c r="L439" s="27"/>
      <c r="M439" s="27"/>
      <c r="N439" s="27"/>
    </row>
    <row r="440">
      <c r="F440" s="27"/>
      <c r="G440" s="27"/>
      <c r="H440" s="27"/>
      <c r="J440" s="27"/>
      <c r="L440" s="27"/>
      <c r="M440" s="27"/>
      <c r="N440" s="27"/>
    </row>
    <row r="441">
      <c r="F441" s="27"/>
      <c r="G441" s="27"/>
      <c r="H441" s="27"/>
      <c r="J441" s="27"/>
      <c r="L441" s="27"/>
      <c r="M441" s="27"/>
      <c r="N441" s="27"/>
    </row>
    <row r="442">
      <c r="F442" s="27"/>
      <c r="G442" s="27"/>
      <c r="H442" s="27"/>
      <c r="J442" s="27"/>
      <c r="L442" s="27"/>
      <c r="M442" s="27"/>
      <c r="N442" s="27"/>
    </row>
    <row r="443">
      <c r="F443" s="27"/>
      <c r="G443" s="27"/>
      <c r="H443" s="27"/>
      <c r="J443" s="27"/>
      <c r="L443" s="27"/>
      <c r="M443" s="27"/>
      <c r="N443" s="27"/>
    </row>
    <row r="444">
      <c r="F444" s="27"/>
      <c r="G444" s="27"/>
      <c r="H444" s="27"/>
      <c r="J444" s="27"/>
      <c r="L444" s="27"/>
      <c r="M444" s="27"/>
      <c r="N444" s="27"/>
    </row>
    <row r="445">
      <c r="F445" s="27"/>
      <c r="G445" s="27"/>
      <c r="H445" s="27"/>
      <c r="J445" s="27"/>
      <c r="L445" s="27"/>
      <c r="M445" s="27"/>
      <c r="N445" s="27"/>
    </row>
    <row r="446">
      <c r="F446" s="27"/>
      <c r="G446" s="27"/>
      <c r="H446" s="27"/>
      <c r="J446" s="27"/>
      <c r="L446" s="27"/>
      <c r="M446" s="27"/>
      <c r="N446" s="27"/>
    </row>
    <row r="447">
      <c r="F447" s="27"/>
      <c r="G447" s="27"/>
      <c r="H447" s="27"/>
      <c r="J447" s="27"/>
      <c r="L447" s="27"/>
      <c r="M447" s="27"/>
      <c r="N447" s="27"/>
    </row>
    <row r="448">
      <c r="F448" s="27"/>
      <c r="G448" s="27"/>
      <c r="H448" s="27"/>
      <c r="J448" s="27"/>
      <c r="L448" s="27"/>
      <c r="M448" s="27"/>
      <c r="N448" s="27"/>
    </row>
    <row r="449">
      <c r="F449" s="27"/>
      <c r="G449" s="27"/>
      <c r="H449" s="27"/>
      <c r="J449" s="27"/>
      <c r="L449" s="27"/>
      <c r="M449" s="27"/>
      <c r="N449" s="27"/>
    </row>
    <row r="450">
      <c r="F450" s="27"/>
      <c r="G450" s="27"/>
      <c r="H450" s="27"/>
      <c r="J450" s="27"/>
      <c r="L450" s="27"/>
      <c r="M450" s="27"/>
      <c r="N450" s="27"/>
    </row>
    <row r="451">
      <c r="F451" s="27"/>
      <c r="G451" s="27"/>
      <c r="H451" s="27"/>
      <c r="J451" s="27"/>
      <c r="L451" s="27"/>
      <c r="M451" s="27"/>
      <c r="N451" s="27"/>
    </row>
    <row r="452">
      <c r="F452" s="27"/>
      <c r="G452" s="27"/>
      <c r="H452" s="27"/>
      <c r="J452" s="27"/>
      <c r="L452" s="27"/>
      <c r="M452" s="27"/>
      <c r="N452" s="27"/>
    </row>
    <row r="453">
      <c r="F453" s="27"/>
      <c r="G453" s="27"/>
      <c r="H453" s="27"/>
      <c r="J453" s="27"/>
      <c r="L453" s="27"/>
      <c r="M453" s="27"/>
      <c r="N453" s="27"/>
    </row>
    <row r="454">
      <c r="F454" s="27"/>
      <c r="G454" s="27"/>
      <c r="H454" s="27"/>
      <c r="J454" s="27"/>
      <c r="L454" s="27"/>
      <c r="M454" s="27"/>
      <c r="N454" s="27"/>
    </row>
    <row r="455">
      <c r="F455" s="27"/>
      <c r="G455" s="27"/>
      <c r="H455" s="27"/>
      <c r="J455" s="27"/>
      <c r="L455" s="27"/>
      <c r="M455" s="27"/>
      <c r="N455" s="27"/>
    </row>
    <row r="456">
      <c r="F456" s="27"/>
      <c r="G456" s="27"/>
      <c r="H456" s="27"/>
      <c r="J456" s="27"/>
      <c r="L456" s="27"/>
      <c r="M456" s="27"/>
      <c r="N456" s="27"/>
    </row>
    <row r="457">
      <c r="F457" s="27"/>
      <c r="G457" s="27"/>
      <c r="H457" s="27"/>
      <c r="J457" s="27"/>
      <c r="L457" s="27"/>
      <c r="M457" s="27"/>
      <c r="N457" s="27"/>
    </row>
    <row r="458">
      <c r="F458" s="27"/>
      <c r="G458" s="27"/>
      <c r="H458" s="27"/>
      <c r="J458" s="27"/>
      <c r="L458" s="27"/>
      <c r="M458" s="27"/>
      <c r="N458" s="27"/>
    </row>
    <row r="459">
      <c r="F459" s="27"/>
      <c r="G459" s="27"/>
      <c r="H459" s="27"/>
      <c r="J459" s="27"/>
      <c r="L459" s="27"/>
      <c r="M459" s="27"/>
      <c r="N459" s="27"/>
    </row>
    <row r="460">
      <c r="F460" s="27"/>
      <c r="G460" s="27"/>
      <c r="H460" s="27"/>
      <c r="J460" s="27"/>
      <c r="L460" s="27"/>
      <c r="M460" s="27"/>
      <c r="N460" s="27"/>
    </row>
    <row r="461">
      <c r="F461" s="27"/>
      <c r="G461" s="27"/>
      <c r="H461" s="27"/>
      <c r="J461" s="27"/>
      <c r="L461" s="27"/>
      <c r="M461" s="27"/>
      <c r="N461" s="27"/>
    </row>
    <row r="462">
      <c r="F462" s="27"/>
      <c r="G462" s="27"/>
      <c r="H462" s="27"/>
      <c r="J462" s="27"/>
      <c r="L462" s="27"/>
      <c r="M462" s="27"/>
      <c r="N462" s="27"/>
    </row>
    <row r="463">
      <c r="F463" s="27"/>
      <c r="G463" s="27"/>
      <c r="H463" s="27"/>
      <c r="J463" s="27"/>
      <c r="L463" s="27"/>
      <c r="M463" s="27"/>
      <c r="N463" s="27"/>
    </row>
    <row r="464">
      <c r="F464" s="27"/>
      <c r="G464" s="27"/>
      <c r="H464" s="27"/>
      <c r="J464" s="27"/>
      <c r="L464" s="27"/>
      <c r="M464" s="27"/>
      <c r="N464" s="27"/>
    </row>
    <row r="465">
      <c r="F465" s="27"/>
      <c r="G465" s="27"/>
      <c r="H465" s="27"/>
      <c r="J465" s="27"/>
      <c r="L465" s="27"/>
      <c r="M465" s="27"/>
      <c r="N465" s="27"/>
    </row>
    <row r="466">
      <c r="F466" s="27"/>
      <c r="G466" s="27"/>
      <c r="H466" s="27"/>
      <c r="J466" s="27"/>
      <c r="L466" s="27"/>
      <c r="M466" s="27"/>
      <c r="N466" s="27"/>
    </row>
    <row r="467">
      <c r="F467" s="27"/>
      <c r="G467" s="27"/>
      <c r="H467" s="27"/>
      <c r="J467" s="27"/>
      <c r="L467" s="27"/>
      <c r="M467" s="27"/>
      <c r="N467" s="27"/>
    </row>
    <row r="468">
      <c r="F468" s="27"/>
      <c r="G468" s="27"/>
      <c r="H468" s="27"/>
      <c r="J468" s="27"/>
      <c r="L468" s="27"/>
      <c r="M468" s="27"/>
      <c r="N468" s="27"/>
    </row>
    <row r="469">
      <c r="F469" s="27"/>
      <c r="G469" s="27"/>
      <c r="H469" s="27"/>
      <c r="J469" s="27"/>
      <c r="L469" s="27"/>
      <c r="M469" s="27"/>
      <c r="N469" s="27"/>
    </row>
    <row r="470">
      <c r="F470" s="27"/>
      <c r="G470" s="27"/>
      <c r="H470" s="27"/>
      <c r="J470" s="27"/>
      <c r="L470" s="27"/>
      <c r="M470" s="27"/>
      <c r="N470" s="27"/>
    </row>
    <row r="471">
      <c r="F471" s="27"/>
      <c r="G471" s="27"/>
      <c r="H471" s="27"/>
      <c r="J471" s="27"/>
      <c r="L471" s="27"/>
      <c r="M471" s="27"/>
      <c r="N471" s="27"/>
    </row>
    <row r="472">
      <c r="F472" s="27"/>
      <c r="G472" s="27"/>
      <c r="H472" s="27"/>
      <c r="J472" s="27"/>
      <c r="L472" s="27"/>
      <c r="M472" s="27"/>
      <c r="N472" s="27"/>
    </row>
    <row r="473">
      <c r="F473" s="27"/>
      <c r="G473" s="27"/>
      <c r="H473" s="27"/>
      <c r="J473" s="27"/>
      <c r="L473" s="27"/>
      <c r="M473" s="27"/>
      <c r="N473" s="27"/>
    </row>
    <row r="474">
      <c r="F474" s="27"/>
      <c r="G474" s="27"/>
      <c r="H474" s="27"/>
      <c r="J474" s="27"/>
      <c r="L474" s="27"/>
      <c r="M474" s="27"/>
      <c r="N474" s="27"/>
    </row>
    <row r="475">
      <c r="F475" s="27"/>
      <c r="G475" s="27"/>
      <c r="H475" s="27"/>
      <c r="J475" s="27"/>
      <c r="L475" s="27"/>
      <c r="M475" s="27"/>
      <c r="N475" s="27"/>
    </row>
    <row r="476">
      <c r="F476" s="27"/>
      <c r="G476" s="27"/>
      <c r="H476" s="27"/>
      <c r="J476" s="27"/>
      <c r="L476" s="27"/>
      <c r="M476" s="27"/>
      <c r="N476" s="27"/>
    </row>
    <row r="477">
      <c r="F477" s="27"/>
      <c r="G477" s="27"/>
      <c r="H477" s="27"/>
      <c r="J477" s="27"/>
      <c r="L477" s="27"/>
      <c r="M477" s="27"/>
      <c r="N477" s="27"/>
    </row>
    <row r="478">
      <c r="F478" s="27"/>
      <c r="G478" s="27"/>
      <c r="H478" s="27"/>
      <c r="J478" s="27"/>
      <c r="L478" s="27"/>
      <c r="M478" s="27"/>
      <c r="N478" s="27"/>
    </row>
    <row r="479">
      <c r="F479" s="27"/>
      <c r="G479" s="27"/>
      <c r="H479" s="27"/>
      <c r="J479" s="27"/>
      <c r="L479" s="27"/>
      <c r="M479" s="27"/>
      <c r="N479" s="27"/>
    </row>
    <row r="480">
      <c r="F480" s="27"/>
      <c r="G480" s="27"/>
      <c r="H480" s="27"/>
      <c r="J480" s="27"/>
      <c r="L480" s="27"/>
      <c r="M480" s="27"/>
      <c r="N480" s="27"/>
    </row>
    <row r="481">
      <c r="F481" s="27"/>
      <c r="G481" s="27"/>
      <c r="H481" s="27"/>
      <c r="J481" s="27"/>
      <c r="L481" s="27"/>
      <c r="M481" s="27"/>
      <c r="N481" s="27"/>
    </row>
    <row r="482">
      <c r="F482" s="27"/>
      <c r="G482" s="27"/>
      <c r="H482" s="27"/>
      <c r="J482" s="27"/>
      <c r="L482" s="27"/>
      <c r="M482" s="27"/>
      <c r="N482" s="27"/>
    </row>
    <row r="483">
      <c r="F483" s="27"/>
      <c r="G483" s="27"/>
      <c r="H483" s="27"/>
      <c r="J483" s="27"/>
      <c r="L483" s="27"/>
      <c r="M483" s="27"/>
      <c r="N483" s="27"/>
    </row>
    <row r="484">
      <c r="F484" s="27"/>
      <c r="G484" s="27"/>
      <c r="H484" s="27"/>
      <c r="J484" s="27"/>
      <c r="L484" s="27"/>
      <c r="M484" s="27"/>
      <c r="N484" s="27"/>
    </row>
    <row r="485">
      <c r="F485" s="27"/>
      <c r="G485" s="27"/>
      <c r="H485" s="27"/>
      <c r="J485" s="27"/>
      <c r="L485" s="27"/>
      <c r="M485" s="27"/>
      <c r="N485" s="27"/>
    </row>
    <row r="486">
      <c r="F486" s="27"/>
      <c r="G486" s="27"/>
      <c r="H486" s="27"/>
      <c r="J486" s="27"/>
      <c r="L486" s="27"/>
      <c r="M486" s="27"/>
      <c r="N486" s="27"/>
    </row>
    <row r="487">
      <c r="F487" s="27"/>
      <c r="G487" s="27"/>
      <c r="H487" s="27"/>
      <c r="J487" s="27"/>
      <c r="L487" s="27"/>
      <c r="M487" s="27"/>
      <c r="N487" s="27"/>
    </row>
    <row r="488">
      <c r="F488" s="27"/>
      <c r="G488" s="27"/>
      <c r="H488" s="27"/>
      <c r="J488" s="27"/>
      <c r="L488" s="27"/>
      <c r="M488" s="27"/>
      <c r="N488" s="27"/>
    </row>
    <row r="489">
      <c r="F489" s="27"/>
      <c r="G489" s="27"/>
      <c r="H489" s="27"/>
      <c r="J489" s="27"/>
      <c r="L489" s="27"/>
      <c r="M489" s="27"/>
      <c r="N489" s="27"/>
    </row>
    <row r="490">
      <c r="F490" s="27"/>
      <c r="G490" s="27"/>
      <c r="H490" s="27"/>
      <c r="J490" s="27"/>
      <c r="L490" s="27"/>
      <c r="M490" s="27"/>
      <c r="N490" s="27"/>
    </row>
    <row r="491">
      <c r="F491" s="27"/>
      <c r="G491" s="27"/>
      <c r="H491" s="27"/>
      <c r="J491" s="27"/>
      <c r="L491" s="27"/>
      <c r="M491" s="27"/>
      <c r="N491" s="27"/>
    </row>
    <row r="492">
      <c r="F492" s="27"/>
      <c r="G492" s="27"/>
      <c r="H492" s="27"/>
      <c r="J492" s="27"/>
      <c r="L492" s="27"/>
      <c r="M492" s="27"/>
      <c r="N492" s="27"/>
    </row>
    <row r="493">
      <c r="F493" s="27"/>
      <c r="G493" s="27"/>
      <c r="H493" s="27"/>
      <c r="J493" s="27"/>
      <c r="L493" s="27"/>
      <c r="M493" s="27"/>
      <c r="N493" s="27"/>
    </row>
    <row r="494">
      <c r="F494" s="27"/>
      <c r="G494" s="27"/>
      <c r="H494" s="27"/>
      <c r="J494" s="27"/>
      <c r="L494" s="27"/>
      <c r="M494" s="27"/>
      <c r="N494" s="27"/>
    </row>
    <row r="495">
      <c r="F495" s="27"/>
      <c r="G495" s="27"/>
      <c r="H495" s="27"/>
      <c r="J495" s="27"/>
      <c r="L495" s="27"/>
      <c r="M495" s="27"/>
      <c r="N495" s="27"/>
    </row>
    <row r="496">
      <c r="F496" s="27"/>
      <c r="G496" s="27"/>
      <c r="H496" s="27"/>
      <c r="J496" s="27"/>
      <c r="L496" s="27"/>
      <c r="M496" s="27"/>
      <c r="N496" s="27"/>
    </row>
    <row r="497">
      <c r="F497" s="27"/>
      <c r="G497" s="27"/>
      <c r="H497" s="27"/>
      <c r="J497" s="27"/>
      <c r="L497" s="27"/>
      <c r="M497" s="27"/>
      <c r="N497" s="27"/>
    </row>
    <row r="498">
      <c r="F498" s="27"/>
      <c r="G498" s="27"/>
      <c r="H498" s="27"/>
      <c r="J498" s="27"/>
      <c r="L498" s="27"/>
      <c r="M498" s="27"/>
      <c r="N498" s="27"/>
    </row>
    <row r="499">
      <c r="F499" s="27"/>
      <c r="G499" s="27"/>
      <c r="H499" s="27"/>
      <c r="J499" s="27"/>
      <c r="L499" s="27"/>
      <c r="M499" s="27"/>
      <c r="N499" s="27"/>
    </row>
    <row r="500">
      <c r="F500" s="27"/>
      <c r="G500" s="27"/>
      <c r="H500" s="27"/>
      <c r="J500" s="27"/>
      <c r="L500" s="27"/>
      <c r="M500" s="27"/>
      <c r="N500" s="27"/>
    </row>
    <row r="501">
      <c r="F501" s="27"/>
      <c r="G501" s="27"/>
      <c r="H501" s="27"/>
      <c r="J501" s="27"/>
      <c r="L501" s="27"/>
      <c r="M501" s="27"/>
      <c r="N501" s="27"/>
    </row>
    <row r="502">
      <c r="F502" s="27"/>
      <c r="G502" s="27"/>
      <c r="H502" s="27"/>
      <c r="J502" s="27"/>
      <c r="L502" s="27"/>
      <c r="M502" s="27"/>
      <c r="N502" s="27"/>
    </row>
    <row r="503">
      <c r="F503" s="27"/>
      <c r="G503" s="27"/>
      <c r="H503" s="27"/>
      <c r="J503" s="27"/>
      <c r="L503" s="27"/>
      <c r="M503" s="27"/>
      <c r="N503" s="27"/>
    </row>
    <row r="504">
      <c r="F504" s="27"/>
      <c r="G504" s="27"/>
      <c r="H504" s="27"/>
      <c r="J504" s="27"/>
      <c r="L504" s="27"/>
      <c r="M504" s="27"/>
      <c r="N504" s="27"/>
    </row>
    <row r="505">
      <c r="F505" s="27"/>
      <c r="G505" s="27"/>
      <c r="H505" s="27"/>
      <c r="J505" s="27"/>
      <c r="L505" s="27"/>
      <c r="M505" s="27"/>
      <c r="N505" s="27"/>
    </row>
    <row r="506">
      <c r="F506" s="27"/>
      <c r="G506" s="27"/>
      <c r="H506" s="27"/>
      <c r="J506" s="27"/>
      <c r="L506" s="27"/>
      <c r="M506" s="27"/>
      <c r="N506" s="27"/>
    </row>
    <row r="507">
      <c r="F507" s="27"/>
      <c r="G507" s="27"/>
      <c r="H507" s="27"/>
      <c r="J507" s="27"/>
      <c r="L507" s="27"/>
      <c r="M507" s="27"/>
      <c r="N507" s="27"/>
    </row>
    <row r="508">
      <c r="F508" s="27"/>
      <c r="G508" s="27"/>
      <c r="H508" s="27"/>
      <c r="J508" s="27"/>
      <c r="L508" s="27"/>
      <c r="M508" s="27"/>
      <c r="N508" s="27"/>
    </row>
    <row r="509">
      <c r="F509" s="27"/>
      <c r="G509" s="27"/>
      <c r="H509" s="27"/>
      <c r="J509" s="27"/>
      <c r="L509" s="27"/>
      <c r="M509" s="27"/>
      <c r="N509" s="27"/>
    </row>
    <row r="510">
      <c r="F510" s="27"/>
      <c r="G510" s="27"/>
      <c r="H510" s="27"/>
      <c r="J510" s="27"/>
      <c r="L510" s="27"/>
      <c r="M510" s="27"/>
      <c r="N510" s="27"/>
    </row>
    <row r="511">
      <c r="F511" s="27"/>
      <c r="G511" s="27"/>
      <c r="H511" s="27"/>
      <c r="J511" s="27"/>
      <c r="L511" s="27"/>
      <c r="M511" s="27"/>
      <c r="N511" s="27"/>
    </row>
    <row r="512">
      <c r="F512" s="27"/>
      <c r="G512" s="27"/>
      <c r="H512" s="27"/>
      <c r="J512" s="27"/>
      <c r="L512" s="27"/>
      <c r="M512" s="27"/>
      <c r="N512" s="27"/>
    </row>
    <row r="513">
      <c r="F513" s="27"/>
      <c r="G513" s="27"/>
      <c r="H513" s="27"/>
      <c r="J513" s="27"/>
      <c r="L513" s="27"/>
      <c r="M513" s="27"/>
      <c r="N513" s="27"/>
    </row>
    <row r="514">
      <c r="F514" s="27"/>
      <c r="G514" s="27"/>
      <c r="H514" s="27"/>
      <c r="J514" s="27"/>
      <c r="L514" s="27"/>
      <c r="M514" s="27"/>
      <c r="N514" s="27"/>
    </row>
    <row r="515">
      <c r="F515" s="27"/>
      <c r="G515" s="27"/>
      <c r="H515" s="27"/>
      <c r="J515" s="27"/>
      <c r="L515" s="27"/>
      <c r="M515" s="27"/>
      <c r="N515" s="27"/>
    </row>
    <row r="516">
      <c r="F516" s="27"/>
      <c r="G516" s="27"/>
      <c r="H516" s="27"/>
      <c r="J516" s="27"/>
      <c r="L516" s="27"/>
      <c r="M516" s="27"/>
      <c r="N516" s="27"/>
    </row>
    <row r="517">
      <c r="F517" s="27"/>
      <c r="G517" s="27"/>
      <c r="H517" s="27"/>
      <c r="J517" s="27"/>
      <c r="L517" s="27"/>
      <c r="M517" s="27"/>
      <c r="N517" s="27"/>
    </row>
    <row r="518">
      <c r="F518" s="27"/>
      <c r="G518" s="27"/>
      <c r="H518" s="27"/>
      <c r="J518" s="27"/>
      <c r="L518" s="27"/>
      <c r="M518" s="27"/>
      <c r="N518" s="27"/>
    </row>
    <row r="519">
      <c r="F519" s="27"/>
      <c r="G519" s="27"/>
      <c r="H519" s="27"/>
      <c r="J519" s="27"/>
      <c r="L519" s="27"/>
      <c r="M519" s="27"/>
      <c r="N519" s="27"/>
    </row>
    <row r="520">
      <c r="F520" s="27"/>
      <c r="G520" s="27"/>
      <c r="H520" s="27"/>
      <c r="J520" s="27"/>
      <c r="L520" s="27"/>
      <c r="M520" s="27"/>
      <c r="N520" s="27"/>
    </row>
    <row r="521">
      <c r="F521" s="27"/>
      <c r="G521" s="27"/>
      <c r="H521" s="27"/>
      <c r="J521" s="27"/>
      <c r="L521" s="27"/>
      <c r="M521" s="27"/>
      <c r="N521" s="27"/>
    </row>
    <row r="522">
      <c r="F522" s="27"/>
      <c r="G522" s="27"/>
      <c r="H522" s="27"/>
      <c r="J522" s="27"/>
      <c r="L522" s="27"/>
      <c r="M522" s="27"/>
      <c r="N522" s="27"/>
    </row>
    <row r="523">
      <c r="F523" s="27"/>
      <c r="G523" s="27"/>
      <c r="H523" s="27"/>
      <c r="J523" s="27"/>
      <c r="L523" s="27"/>
      <c r="M523" s="27"/>
      <c r="N523" s="27"/>
    </row>
    <row r="524">
      <c r="F524" s="27"/>
      <c r="G524" s="27"/>
      <c r="H524" s="27"/>
      <c r="J524" s="27"/>
      <c r="L524" s="27"/>
      <c r="M524" s="27"/>
      <c r="N524" s="27"/>
    </row>
    <row r="525">
      <c r="F525" s="27"/>
      <c r="G525" s="27"/>
      <c r="H525" s="27"/>
      <c r="J525" s="27"/>
      <c r="L525" s="27"/>
      <c r="M525" s="27"/>
      <c r="N525" s="27"/>
    </row>
    <row r="526">
      <c r="F526" s="27"/>
      <c r="G526" s="27"/>
      <c r="H526" s="27"/>
      <c r="J526" s="27"/>
      <c r="L526" s="27"/>
      <c r="M526" s="27"/>
      <c r="N526" s="27"/>
    </row>
    <row r="527">
      <c r="F527" s="27"/>
      <c r="G527" s="27"/>
      <c r="H527" s="27"/>
      <c r="J527" s="27"/>
      <c r="L527" s="27"/>
      <c r="M527" s="27"/>
      <c r="N527" s="27"/>
    </row>
    <row r="528">
      <c r="F528" s="27"/>
      <c r="G528" s="27"/>
      <c r="H528" s="27"/>
      <c r="J528" s="27"/>
      <c r="L528" s="27"/>
      <c r="M528" s="27"/>
      <c r="N528" s="27"/>
    </row>
    <row r="529">
      <c r="F529" s="27"/>
      <c r="G529" s="27"/>
      <c r="H529" s="27"/>
      <c r="J529" s="27"/>
      <c r="L529" s="27"/>
      <c r="M529" s="27"/>
      <c r="N529" s="27"/>
    </row>
    <row r="530">
      <c r="F530" s="27"/>
      <c r="G530" s="27"/>
      <c r="H530" s="27"/>
      <c r="J530" s="27"/>
      <c r="L530" s="27"/>
      <c r="M530" s="27"/>
      <c r="N530" s="27"/>
    </row>
    <row r="531">
      <c r="F531" s="27"/>
      <c r="G531" s="27"/>
      <c r="H531" s="27"/>
      <c r="J531" s="27"/>
      <c r="L531" s="27"/>
      <c r="M531" s="27"/>
      <c r="N531" s="27"/>
    </row>
    <row r="532">
      <c r="F532" s="27"/>
      <c r="G532" s="27"/>
      <c r="H532" s="27"/>
      <c r="J532" s="27"/>
      <c r="L532" s="27"/>
      <c r="M532" s="27"/>
      <c r="N532" s="27"/>
    </row>
    <row r="533">
      <c r="F533" s="27"/>
      <c r="G533" s="27"/>
      <c r="H533" s="27"/>
      <c r="J533" s="27"/>
      <c r="L533" s="27"/>
      <c r="M533" s="27"/>
      <c r="N533" s="27"/>
    </row>
    <row r="534">
      <c r="F534" s="27"/>
      <c r="G534" s="27"/>
      <c r="H534" s="27"/>
      <c r="J534" s="27"/>
      <c r="L534" s="27"/>
      <c r="M534" s="27"/>
      <c r="N534" s="27"/>
    </row>
    <row r="535">
      <c r="F535" s="27"/>
      <c r="G535" s="27"/>
      <c r="H535" s="27"/>
      <c r="J535" s="27"/>
      <c r="L535" s="27"/>
      <c r="M535" s="27"/>
      <c r="N535" s="27"/>
    </row>
    <row r="536">
      <c r="F536" s="27"/>
      <c r="G536" s="27"/>
      <c r="H536" s="27"/>
      <c r="J536" s="27"/>
      <c r="L536" s="27"/>
      <c r="M536" s="27"/>
      <c r="N536" s="27"/>
    </row>
    <row r="537">
      <c r="F537" s="27"/>
      <c r="G537" s="27"/>
      <c r="H537" s="27"/>
      <c r="J537" s="27"/>
      <c r="L537" s="27"/>
      <c r="M537" s="27"/>
      <c r="N537" s="27"/>
    </row>
    <row r="538">
      <c r="F538" s="27"/>
      <c r="G538" s="27"/>
      <c r="H538" s="27"/>
      <c r="J538" s="27"/>
      <c r="L538" s="27"/>
      <c r="M538" s="27"/>
      <c r="N538" s="27"/>
    </row>
    <row r="539">
      <c r="F539" s="27"/>
      <c r="G539" s="27"/>
      <c r="H539" s="27"/>
      <c r="J539" s="27"/>
      <c r="L539" s="27"/>
      <c r="M539" s="27"/>
      <c r="N539" s="27"/>
    </row>
    <row r="540">
      <c r="F540" s="27"/>
      <c r="G540" s="27"/>
      <c r="H540" s="27"/>
      <c r="J540" s="27"/>
      <c r="L540" s="27"/>
      <c r="M540" s="27"/>
      <c r="N540" s="27"/>
    </row>
    <row r="541">
      <c r="F541" s="27"/>
      <c r="G541" s="27"/>
      <c r="H541" s="27"/>
      <c r="J541" s="27"/>
      <c r="L541" s="27"/>
      <c r="M541" s="27"/>
      <c r="N541" s="27"/>
    </row>
    <row r="542">
      <c r="F542" s="27"/>
      <c r="G542" s="27"/>
      <c r="H542" s="27"/>
      <c r="J542" s="27"/>
      <c r="L542" s="27"/>
      <c r="M542" s="27"/>
      <c r="N542" s="27"/>
    </row>
    <row r="543">
      <c r="F543" s="27"/>
      <c r="G543" s="27"/>
      <c r="H543" s="27"/>
      <c r="J543" s="27"/>
      <c r="L543" s="27"/>
      <c r="M543" s="27"/>
      <c r="N543" s="27"/>
    </row>
    <row r="544">
      <c r="F544" s="27"/>
      <c r="G544" s="27"/>
      <c r="H544" s="27"/>
      <c r="J544" s="27"/>
      <c r="L544" s="27"/>
      <c r="M544" s="27"/>
      <c r="N544" s="27"/>
    </row>
    <row r="545">
      <c r="F545" s="27"/>
      <c r="G545" s="27"/>
      <c r="H545" s="27"/>
      <c r="J545" s="27"/>
      <c r="L545" s="27"/>
      <c r="M545" s="27"/>
      <c r="N545" s="27"/>
    </row>
    <row r="546">
      <c r="F546" s="27"/>
      <c r="G546" s="27"/>
      <c r="H546" s="27"/>
      <c r="J546" s="27"/>
      <c r="L546" s="27"/>
      <c r="M546" s="27"/>
      <c r="N546" s="27"/>
    </row>
    <row r="547">
      <c r="F547" s="27"/>
      <c r="G547" s="27"/>
      <c r="H547" s="27"/>
      <c r="J547" s="27"/>
      <c r="L547" s="27"/>
      <c r="M547" s="27"/>
      <c r="N547" s="27"/>
    </row>
    <row r="548">
      <c r="F548" s="27"/>
      <c r="G548" s="27"/>
      <c r="H548" s="27"/>
      <c r="J548" s="27"/>
      <c r="L548" s="27"/>
      <c r="M548" s="27"/>
      <c r="N548" s="27"/>
    </row>
    <row r="549">
      <c r="F549" s="27"/>
      <c r="G549" s="27"/>
      <c r="H549" s="27"/>
      <c r="J549" s="27"/>
      <c r="L549" s="27"/>
      <c r="M549" s="27"/>
      <c r="N549" s="27"/>
    </row>
    <row r="550">
      <c r="F550" s="27"/>
      <c r="G550" s="27"/>
      <c r="H550" s="27"/>
      <c r="J550" s="27"/>
      <c r="L550" s="27"/>
      <c r="M550" s="27"/>
      <c r="N550" s="27"/>
    </row>
    <row r="551">
      <c r="F551" s="27"/>
      <c r="G551" s="27"/>
      <c r="H551" s="27"/>
      <c r="J551" s="27"/>
      <c r="L551" s="27"/>
      <c r="M551" s="27"/>
      <c r="N551" s="27"/>
    </row>
    <row r="552">
      <c r="F552" s="27"/>
      <c r="G552" s="27"/>
      <c r="H552" s="27"/>
      <c r="J552" s="27"/>
      <c r="L552" s="27"/>
      <c r="M552" s="27"/>
      <c r="N552" s="27"/>
    </row>
    <row r="553">
      <c r="F553" s="27"/>
      <c r="G553" s="27"/>
      <c r="H553" s="27"/>
      <c r="J553" s="27"/>
      <c r="L553" s="27"/>
      <c r="M553" s="27"/>
      <c r="N553" s="27"/>
    </row>
    <row r="554">
      <c r="F554" s="27"/>
      <c r="G554" s="27"/>
      <c r="H554" s="27"/>
      <c r="J554" s="27"/>
      <c r="L554" s="27"/>
      <c r="M554" s="27"/>
      <c r="N554" s="27"/>
    </row>
    <row r="555">
      <c r="F555" s="27"/>
      <c r="G555" s="27"/>
      <c r="H555" s="27"/>
      <c r="J555" s="27"/>
      <c r="L555" s="27"/>
      <c r="M555" s="27"/>
      <c r="N555" s="27"/>
    </row>
    <row r="556">
      <c r="F556" s="27"/>
      <c r="G556" s="27"/>
      <c r="H556" s="27"/>
      <c r="J556" s="27"/>
      <c r="L556" s="27"/>
      <c r="M556" s="27"/>
      <c r="N556" s="27"/>
    </row>
    <row r="557">
      <c r="F557" s="27"/>
      <c r="G557" s="27"/>
      <c r="H557" s="27"/>
      <c r="J557" s="27"/>
      <c r="L557" s="27"/>
      <c r="M557" s="27"/>
      <c r="N557" s="27"/>
    </row>
    <row r="558">
      <c r="F558" s="27"/>
      <c r="G558" s="27"/>
      <c r="H558" s="27"/>
      <c r="J558" s="27"/>
      <c r="L558" s="27"/>
      <c r="M558" s="27"/>
      <c r="N558" s="27"/>
    </row>
    <row r="559">
      <c r="F559" s="27"/>
      <c r="G559" s="27"/>
      <c r="H559" s="27"/>
      <c r="J559" s="27"/>
      <c r="L559" s="27"/>
      <c r="M559" s="27"/>
      <c r="N559" s="27"/>
    </row>
    <row r="560">
      <c r="F560" s="27"/>
      <c r="G560" s="27"/>
      <c r="H560" s="27"/>
      <c r="J560" s="27"/>
      <c r="L560" s="27"/>
      <c r="M560" s="27"/>
      <c r="N560" s="27"/>
    </row>
    <row r="561">
      <c r="F561" s="27"/>
      <c r="G561" s="27"/>
      <c r="H561" s="27"/>
      <c r="J561" s="27"/>
      <c r="L561" s="27"/>
      <c r="M561" s="27"/>
      <c r="N561" s="27"/>
    </row>
    <row r="562">
      <c r="F562" s="27"/>
      <c r="G562" s="27"/>
      <c r="H562" s="27"/>
      <c r="J562" s="27"/>
      <c r="L562" s="27"/>
      <c r="M562" s="27"/>
      <c r="N562" s="27"/>
    </row>
    <row r="563">
      <c r="F563" s="27"/>
      <c r="G563" s="27"/>
      <c r="H563" s="27"/>
      <c r="J563" s="27"/>
      <c r="L563" s="27"/>
      <c r="M563" s="27"/>
      <c r="N563" s="27"/>
    </row>
    <row r="564">
      <c r="F564" s="27"/>
      <c r="G564" s="27"/>
      <c r="H564" s="27"/>
      <c r="J564" s="27"/>
      <c r="L564" s="27"/>
      <c r="M564" s="27"/>
      <c r="N564" s="27"/>
    </row>
    <row r="565">
      <c r="F565" s="27"/>
      <c r="G565" s="27"/>
      <c r="H565" s="27"/>
      <c r="J565" s="27"/>
      <c r="L565" s="27"/>
      <c r="M565" s="27"/>
      <c r="N565" s="27"/>
    </row>
    <row r="566">
      <c r="F566" s="27"/>
      <c r="G566" s="27"/>
      <c r="H566" s="27"/>
      <c r="J566" s="27"/>
      <c r="L566" s="27"/>
      <c r="M566" s="27"/>
      <c r="N566" s="27"/>
    </row>
    <row r="567">
      <c r="F567" s="27"/>
      <c r="G567" s="27"/>
      <c r="H567" s="27"/>
      <c r="J567" s="27"/>
      <c r="L567" s="27"/>
      <c r="M567" s="27"/>
      <c r="N567" s="27"/>
    </row>
    <row r="568">
      <c r="F568" s="27"/>
      <c r="G568" s="27"/>
      <c r="H568" s="27"/>
      <c r="J568" s="27"/>
      <c r="L568" s="27"/>
      <c r="M568" s="27"/>
      <c r="N568" s="27"/>
    </row>
    <row r="569">
      <c r="F569" s="27"/>
      <c r="G569" s="27"/>
      <c r="H569" s="27"/>
      <c r="J569" s="27"/>
      <c r="L569" s="27"/>
      <c r="M569" s="27"/>
      <c r="N569" s="27"/>
    </row>
    <row r="570">
      <c r="F570" s="27"/>
      <c r="G570" s="27"/>
      <c r="H570" s="27"/>
      <c r="J570" s="27"/>
      <c r="L570" s="27"/>
      <c r="M570" s="27"/>
      <c r="N570" s="27"/>
    </row>
    <row r="571">
      <c r="F571" s="27"/>
      <c r="G571" s="27"/>
      <c r="H571" s="27"/>
      <c r="J571" s="27"/>
      <c r="L571" s="27"/>
      <c r="M571" s="27"/>
      <c r="N571" s="27"/>
    </row>
    <row r="572">
      <c r="F572" s="27"/>
      <c r="G572" s="27"/>
      <c r="H572" s="27"/>
      <c r="J572" s="27"/>
      <c r="L572" s="27"/>
      <c r="M572" s="27"/>
      <c r="N572" s="27"/>
    </row>
    <row r="573">
      <c r="F573" s="27"/>
      <c r="G573" s="27"/>
      <c r="H573" s="27"/>
      <c r="J573" s="27"/>
      <c r="L573" s="27"/>
      <c r="M573" s="27"/>
      <c r="N573" s="27"/>
    </row>
    <row r="574">
      <c r="F574" s="27"/>
      <c r="G574" s="27"/>
      <c r="H574" s="27"/>
      <c r="J574" s="27"/>
      <c r="L574" s="27"/>
      <c r="M574" s="27"/>
      <c r="N574" s="27"/>
    </row>
    <row r="575">
      <c r="F575" s="27"/>
      <c r="G575" s="27"/>
      <c r="H575" s="27"/>
      <c r="J575" s="27"/>
      <c r="L575" s="27"/>
      <c r="M575" s="27"/>
      <c r="N575" s="27"/>
    </row>
    <row r="576">
      <c r="F576" s="27"/>
      <c r="G576" s="27"/>
      <c r="H576" s="27"/>
      <c r="J576" s="27"/>
      <c r="L576" s="27"/>
      <c r="M576" s="27"/>
      <c r="N576" s="27"/>
    </row>
    <row r="577">
      <c r="F577" s="27"/>
      <c r="G577" s="27"/>
      <c r="H577" s="27"/>
      <c r="J577" s="27"/>
      <c r="L577" s="27"/>
      <c r="M577" s="27"/>
      <c r="N577" s="27"/>
    </row>
    <row r="578">
      <c r="F578" s="27"/>
      <c r="G578" s="27"/>
      <c r="H578" s="27"/>
      <c r="J578" s="27"/>
      <c r="L578" s="27"/>
      <c r="M578" s="27"/>
      <c r="N578" s="27"/>
    </row>
    <row r="579">
      <c r="F579" s="27"/>
      <c r="G579" s="27"/>
      <c r="H579" s="27"/>
      <c r="J579" s="27"/>
      <c r="L579" s="27"/>
      <c r="M579" s="27"/>
      <c r="N579" s="27"/>
    </row>
    <row r="580">
      <c r="F580" s="27"/>
      <c r="G580" s="27"/>
      <c r="H580" s="27"/>
      <c r="J580" s="27"/>
      <c r="L580" s="27"/>
      <c r="M580" s="27"/>
      <c r="N580" s="27"/>
    </row>
    <row r="581">
      <c r="F581" s="27"/>
      <c r="G581" s="27"/>
      <c r="H581" s="27"/>
      <c r="J581" s="27"/>
      <c r="L581" s="27"/>
      <c r="M581" s="27"/>
      <c r="N581" s="27"/>
    </row>
    <row r="582">
      <c r="F582" s="27"/>
      <c r="G582" s="27"/>
      <c r="H582" s="27"/>
      <c r="J582" s="27"/>
      <c r="L582" s="27"/>
      <c r="M582" s="27"/>
      <c r="N582" s="27"/>
    </row>
    <row r="583">
      <c r="F583" s="27"/>
      <c r="G583" s="27"/>
      <c r="H583" s="27"/>
      <c r="J583" s="27"/>
      <c r="L583" s="27"/>
      <c r="M583" s="27"/>
      <c r="N583" s="27"/>
    </row>
    <row r="584">
      <c r="F584" s="27"/>
      <c r="G584" s="27"/>
      <c r="H584" s="27"/>
      <c r="J584" s="27"/>
      <c r="L584" s="27"/>
      <c r="M584" s="27"/>
      <c r="N584" s="27"/>
    </row>
    <row r="585">
      <c r="F585" s="27"/>
      <c r="G585" s="27"/>
      <c r="H585" s="27"/>
      <c r="J585" s="27"/>
      <c r="L585" s="27"/>
      <c r="M585" s="27"/>
      <c r="N585" s="27"/>
    </row>
    <row r="586">
      <c r="F586" s="27"/>
      <c r="G586" s="27"/>
      <c r="H586" s="27"/>
      <c r="J586" s="27"/>
      <c r="L586" s="27"/>
      <c r="M586" s="27"/>
      <c r="N586" s="27"/>
    </row>
    <row r="587">
      <c r="F587" s="27"/>
      <c r="G587" s="27"/>
      <c r="H587" s="27"/>
      <c r="J587" s="27"/>
      <c r="L587" s="27"/>
      <c r="M587" s="27"/>
      <c r="N587" s="27"/>
    </row>
    <row r="588">
      <c r="F588" s="27"/>
      <c r="G588" s="27"/>
      <c r="H588" s="27"/>
      <c r="J588" s="27"/>
      <c r="L588" s="27"/>
      <c r="M588" s="27"/>
      <c r="N588" s="27"/>
    </row>
    <row r="589">
      <c r="F589" s="27"/>
      <c r="G589" s="27"/>
      <c r="H589" s="27"/>
      <c r="J589" s="27"/>
      <c r="L589" s="27"/>
      <c r="M589" s="27"/>
      <c r="N589" s="27"/>
    </row>
    <row r="590">
      <c r="F590" s="27"/>
      <c r="G590" s="27"/>
      <c r="H590" s="27"/>
      <c r="J590" s="27"/>
      <c r="L590" s="27"/>
      <c r="M590" s="27"/>
      <c r="N590" s="27"/>
    </row>
    <row r="591">
      <c r="F591" s="27"/>
      <c r="G591" s="27"/>
      <c r="H591" s="27"/>
      <c r="J591" s="27"/>
      <c r="L591" s="27"/>
      <c r="M591" s="27"/>
      <c r="N591" s="27"/>
    </row>
    <row r="592">
      <c r="F592" s="27"/>
      <c r="G592" s="27"/>
      <c r="H592" s="27"/>
      <c r="J592" s="27"/>
      <c r="L592" s="27"/>
      <c r="M592" s="27"/>
      <c r="N592" s="27"/>
    </row>
    <row r="593">
      <c r="F593" s="27"/>
      <c r="G593" s="27"/>
      <c r="H593" s="27"/>
      <c r="J593" s="27"/>
      <c r="L593" s="27"/>
      <c r="M593" s="27"/>
      <c r="N593" s="27"/>
    </row>
    <row r="594">
      <c r="F594" s="27"/>
      <c r="G594" s="27"/>
      <c r="H594" s="27"/>
      <c r="J594" s="27"/>
      <c r="L594" s="27"/>
      <c r="M594" s="27"/>
      <c r="N594" s="27"/>
    </row>
    <row r="595">
      <c r="F595" s="27"/>
      <c r="G595" s="27"/>
      <c r="H595" s="27"/>
      <c r="J595" s="27"/>
      <c r="L595" s="27"/>
      <c r="M595" s="27"/>
      <c r="N595" s="27"/>
    </row>
    <row r="596">
      <c r="F596" s="27"/>
      <c r="G596" s="27"/>
      <c r="H596" s="27"/>
      <c r="J596" s="27"/>
      <c r="L596" s="27"/>
      <c r="M596" s="27"/>
      <c r="N596" s="27"/>
    </row>
    <row r="597">
      <c r="F597" s="27"/>
      <c r="G597" s="27"/>
      <c r="H597" s="27"/>
      <c r="J597" s="27"/>
      <c r="L597" s="27"/>
      <c r="M597" s="27"/>
      <c r="N597" s="27"/>
    </row>
    <row r="598">
      <c r="F598" s="27"/>
      <c r="G598" s="27"/>
      <c r="H598" s="27"/>
      <c r="J598" s="27"/>
      <c r="L598" s="27"/>
      <c r="M598" s="27"/>
      <c r="N598" s="27"/>
    </row>
    <row r="599">
      <c r="F599" s="27"/>
      <c r="G599" s="27"/>
      <c r="H599" s="27"/>
      <c r="J599" s="27"/>
      <c r="L599" s="27"/>
      <c r="M599" s="27"/>
      <c r="N599" s="27"/>
    </row>
    <row r="600">
      <c r="F600" s="27"/>
      <c r="G600" s="27"/>
      <c r="H600" s="27"/>
      <c r="J600" s="27"/>
      <c r="L600" s="27"/>
      <c r="M600" s="27"/>
      <c r="N600" s="27"/>
    </row>
    <row r="601">
      <c r="F601" s="27"/>
      <c r="G601" s="27"/>
      <c r="H601" s="27"/>
      <c r="J601" s="27"/>
      <c r="L601" s="27"/>
      <c r="M601" s="27"/>
      <c r="N601" s="27"/>
    </row>
    <row r="602">
      <c r="F602" s="27"/>
      <c r="G602" s="27"/>
      <c r="H602" s="27"/>
      <c r="J602" s="27"/>
      <c r="L602" s="27"/>
      <c r="M602" s="27"/>
      <c r="N602" s="27"/>
    </row>
    <row r="603">
      <c r="F603" s="27"/>
      <c r="G603" s="27"/>
      <c r="H603" s="27"/>
      <c r="J603" s="27"/>
      <c r="L603" s="27"/>
      <c r="M603" s="27"/>
      <c r="N603" s="27"/>
    </row>
    <row r="604">
      <c r="F604" s="27"/>
      <c r="G604" s="27"/>
      <c r="H604" s="27"/>
      <c r="J604" s="27"/>
      <c r="L604" s="27"/>
      <c r="M604" s="27"/>
      <c r="N604" s="27"/>
    </row>
    <row r="605">
      <c r="F605" s="27"/>
      <c r="G605" s="27"/>
      <c r="H605" s="27"/>
      <c r="J605" s="27"/>
      <c r="L605" s="27"/>
      <c r="M605" s="27"/>
      <c r="N605" s="27"/>
    </row>
    <row r="606">
      <c r="F606" s="27"/>
      <c r="G606" s="27"/>
      <c r="H606" s="27"/>
      <c r="J606" s="27"/>
      <c r="L606" s="27"/>
      <c r="M606" s="27"/>
      <c r="N606" s="27"/>
    </row>
    <row r="607">
      <c r="F607" s="27"/>
      <c r="G607" s="27"/>
      <c r="H607" s="27"/>
      <c r="J607" s="27"/>
      <c r="L607" s="27"/>
      <c r="M607" s="27"/>
      <c r="N607" s="27"/>
    </row>
    <row r="608">
      <c r="F608" s="27"/>
      <c r="G608" s="27"/>
      <c r="H608" s="27"/>
      <c r="J608" s="27"/>
      <c r="L608" s="27"/>
      <c r="M608" s="27"/>
      <c r="N608" s="27"/>
    </row>
    <row r="609">
      <c r="F609" s="27"/>
      <c r="G609" s="27"/>
      <c r="H609" s="27"/>
      <c r="J609" s="27"/>
      <c r="L609" s="27"/>
      <c r="M609" s="27"/>
      <c r="N609" s="27"/>
    </row>
    <row r="610">
      <c r="F610" s="27"/>
      <c r="G610" s="27"/>
      <c r="H610" s="27"/>
      <c r="J610" s="27"/>
      <c r="L610" s="27"/>
      <c r="M610" s="27"/>
      <c r="N610" s="27"/>
    </row>
    <row r="611">
      <c r="F611" s="27"/>
      <c r="G611" s="27"/>
      <c r="H611" s="27"/>
      <c r="J611" s="27"/>
      <c r="L611" s="27"/>
      <c r="M611" s="27"/>
      <c r="N611" s="27"/>
    </row>
    <row r="612">
      <c r="F612" s="27"/>
      <c r="G612" s="27"/>
      <c r="H612" s="27"/>
      <c r="J612" s="27"/>
      <c r="L612" s="27"/>
      <c r="M612" s="27"/>
      <c r="N612" s="27"/>
    </row>
    <row r="613">
      <c r="F613" s="27"/>
      <c r="G613" s="27"/>
      <c r="H613" s="27"/>
      <c r="J613" s="27"/>
      <c r="L613" s="27"/>
      <c r="M613" s="27"/>
      <c r="N613" s="27"/>
    </row>
    <row r="614">
      <c r="F614" s="27"/>
      <c r="G614" s="27"/>
      <c r="H614" s="27"/>
      <c r="J614" s="27"/>
      <c r="L614" s="27"/>
      <c r="M614" s="27"/>
      <c r="N614" s="27"/>
    </row>
    <row r="615">
      <c r="F615" s="27"/>
      <c r="G615" s="27"/>
      <c r="H615" s="27"/>
      <c r="J615" s="27"/>
      <c r="L615" s="27"/>
      <c r="M615" s="27"/>
      <c r="N615" s="27"/>
    </row>
    <row r="616">
      <c r="F616" s="27"/>
      <c r="G616" s="27"/>
      <c r="H616" s="27"/>
      <c r="J616" s="27"/>
      <c r="L616" s="27"/>
      <c r="M616" s="27"/>
      <c r="N616" s="27"/>
    </row>
    <row r="617">
      <c r="F617" s="27"/>
      <c r="G617" s="27"/>
      <c r="H617" s="27"/>
      <c r="J617" s="27"/>
      <c r="L617" s="27"/>
      <c r="M617" s="27"/>
      <c r="N617" s="27"/>
    </row>
    <row r="618">
      <c r="F618" s="27"/>
      <c r="G618" s="27"/>
      <c r="H618" s="27"/>
      <c r="J618" s="27"/>
      <c r="L618" s="27"/>
      <c r="M618" s="27"/>
      <c r="N618" s="27"/>
    </row>
    <row r="619">
      <c r="F619" s="27"/>
      <c r="G619" s="27"/>
      <c r="H619" s="27"/>
      <c r="J619" s="27"/>
      <c r="L619" s="27"/>
      <c r="M619" s="27"/>
      <c r="N619" s="27"/>
    </row>
    <row r="620">
      <c r="F620" s="27"/>
      <c r="G620" s="27"/>
      <c r="H620" s="27"/>
      <c r="J620" s="27"/>
      <c r="L620" s="27"/>
      <c r="M620" s="27"/>
      <c r="N620" s="27"/>
    </row>
    <row r="621">
      <c r="F621" s="27"/>
      <c r="G621" s="27"/>
      <c r="H621" s="27"/>
      <c r="J621" s="27"/>
      <c r="L621" s="27"/>
      <c r="M621" s="27"/>
      <c r="N621" s="27"/>
    </row>
    <row r="622">
      <c r="F622" s="27"/>
      <c r="G622" s="27"/>
      <c r="H622" s="27"/>
      <c r="J622" s="27"/>
      <c r="L622" s="27"/>
      <c r="M622" s="27"/>
      <c r="N622" s="27"/>
    </row>
    <row r="623">
      <c r="F623" s="27"/>
      <c r="G623" s="27"/>
      <c r="H623" s="27"/>
      <c r="J623" s="27"/>
      <c r="L623" s="27"/>
      <c r="M623" s="27"/>
      <c r="N623" s="27"/>
    </row>
    <row r="624">
      <c r="F624" s="27"/>
      <c r="G624" s="27"/>
      <c r="H624" s="27"/>
      <c r="J624" s="27"/>
      <c r="L624" s="27"/>
      <c r="M624" s="27"/>
      <c r="N624" s="27"/>
    </row>
    <row r="625">
      <c r="F625" s="27"/>
      <c r="G625" s="27"/>
      <c r="H625" s="27"/>
      <c r="J625" s="27"/>
      <c r="L625" s="27"/>
      <c r="M625" s="27"/>
      <c r="N625" s="27"/>
    </row>
    <row r="626">
      <c r="F626" s="27"/>
      <c r="G626" s="27"/>
      <c r="H626" s="27"/>
      <c r="J626" s="27"/>
      <c r="L626" s="27"/>
      <c r="M626" s="27"/>
      <c r="N626" s="27"/>
    </row>
    <row r="627">
      <c r="F627" s="27"/>
      <c r="G627" s="27"/>
      <c r="H627" s="27"/>
      <c r="J627" s="27"/>
      <c r="L627" s="27"/>
      <c r="M627" s="27"/>
      <c r="N627" s="27"/>
    </row>
    <row r="628">
      <c r="F628" s="27"/>
      <c r="G628" s="27"/>
      <c r="H628" s="27"/>
      <c r="J628" s="27"/>
      <c r="L628" s="27"/>
      <c r="M628" s="27"/>
      <c r="N628" s="27"/>
    </row>
    <row r="629">
      <c r="F629" s="27"/>
      <c r="G629" s="27"/>
      <c r="H629" s="27"/>
      <c r="J629" s="27"/>
      <c r="L629" s="27"/>
      <c r="M629" s="27"/>
      <c r="N629" s="27"/>
    </row>
    <row r="630">
      <c r="F630" s="27"/>
      <c r="G630" s="27"/>
      <c r="H630" s="27"/>
      <c r="J630" s="27"/>
      <c r="L630" s="27"/>
      <c r="M630" s="27"/>
      <c r="N630" s="27"/>
    </row>
    <row r="631">
      <c r="F631" s="27"/>
      <c r="G631" s="27"/>
      <c r="H631" s="27"/>
      <c r="J631" s="27"/>
      <c r="L631" s="27"/>
      <c r="M631" s="27"/>
      <c r="N631" s="27"/>
    </row>
    <row r="632">
      <c r="F632" s="27"/>
      <c r="G632" s="27"/>
      <c r="H632" s="27"/>
      <c r="J632" s="27"/>
      <c r="L632" s="27"/>
      <c r="M632" s="27"/>
      <c r="N632" s="27"/>
    </row>
    <row r="633">
      <c r="F633" s="27"/>
      <c r="G633" s="27"/>
      <c r="H633" s="27"/>
      <c r="J633" s="27"/>
      <c r="L633" s="27"/>
      <c r="M633" s="27"/>
      <c r="N633" s="27"/>
    </row>
    <row r="634">
      <c r="F634" s="27"/>
      <c r="G634" s="27"/>
      <c r="H634" s="27"/>
      <c r="J634" s="27"/>
      <c r="L634" s="27"/>
      <c r="M634" s="27"/>
      <c r="N634" s="27"/>
    </row>
    <row r="635">
      <c r="F635" s="27"/>
      <c r="G635" s="27"/>
      <c r="H635" s="27"/>
      <c r="J635" s="27"/>
      <c r="L635" s="27"/>
      <c r="M635" s="27"/>
      <c r="N635" s="27"/>
    </row>
    <row r="636">
      <c r="F636" s="27"/>
      <c r="G636" s="27"/>
      <c r="H636" s="27"/>
      <c r="J636" s="27"/>
      <c r="L636" s="27"/>
      <c r="M636" s="27"/>
      <c r="N636" s="27"/>
    </row>
    <row r="637">
      <c r="F637" s="27"/>
      <c r="G637" s="27"/>
      <c r="H637" s="27"/>
      <c r="J637" s="27"/>
      <c r="L637" s="27"/>
      <c r="M637" s="27"/>
      <c r="N637" s="27"/>
    </row>
    <row r="638">
      <c r="F638" s="27"/>
      <c r="G638" s="27"/>
      <c r="H638" s="27"/>
      <c r="J638" s="27"/>
      <c r="L638" s="27"/>
      <c r="M638" s="27"/>
      <c r="N638" s="27"/>
    </row>
    <row r="639">
      <c r="F639" s="27"/>
      <c r="G639" s="27"/>
      <c r="H639" s="27"/>
      <c r="J639" s="27"/>
      <c r="L639" s="27"/>
      <c r="M639" s="27"/>
      <c r="N639" s="27"/>
    </row>
    <row r="640">
      <c r="F640" s="27"/>
      <c r="G640" s="27"/>
      <c r="H640" s="27"/>
      <c r="J640" s="27"/>
      <c r="L640" s="27"/>
      <c r="M640" s="27"/>
      <c r="N640" s="27"/>
    </row>
    <row r="641">
      <c r="F641" s="27"/>
      <c r="G641" s="27"/>
      <c r="H641" s="27"/>
      <c r="J641" s="27"/>
      <c r="L641" s="27"/>
      <c r="M641" s="27"/>
      <c r="N641" s="27"/>
    </row>
    <row r="642">
      <c r="F642" s="27"/>
      <c r="G642" s="27"/>
      <c r="H642" s="27"/>
      <c r="J642" s="27"/>
      <c r="L642" s="27"/>
      <c r="M642" s="27"/>
      <c r="N642" s="27"/>
    </row>
    <row r="643">
      <c r="F643" s="27"/>
      <c r="G643" s="27"/>
      <c r="H643" s="27"/>
      <c r="J643" s="27"/>
      <c r="L643" s="27"/>
      <c r="M643" s="27"/>
      <c r="N643" s="27"/>
    </row>
    <row r="644">
      <c r="F644" s="27"/>
      <c r="G644" s="27"/>
      <c r="H644" s="27"/>
      <c r="J644" s="27"/>
      <c r="L644" s="27"/>
      <c r="M644" s="27"/>
      <c r="N644" s="27"/>
    </row>
    <row r="645">
      <c r="F645" s="27"/>
      <c r="G645" s="27"/>
      <c r="H645" s="27"/>
      <c r="J645" s="27"/>
      <c r="L645" s="27"/>
      <c r="M645" s="27"/>
      <c r="N645" s="27"/>
    </row>
    <row r="646">
      <c r="F646" s="27"/>
      <c r="G646" s="27"/>
      <c r="H646" s="27"/>
      <c r="J646" s="27"/>
      <c r="L646" s="27"/>
      <c r="M646" s="27"/>
      <c r="N646" s="27"/>
    </row>
    <row r="647">
      <c r="F647" s="27"/>
      <c r="G647" s="27"/>
      <c r="H647" s="27"/>
      <c r="J647" s="27"/>
      <c r="L647" s="27"/>
      <c r="M647" s="27"/>
      <c r="N647" s="27"/>
    </row>
    <row r="648">
      <c r="F648" s="27"/>
      <c r="G648" s="27"/>
      <c r="H648" s="27"/>
      <c r="J648" s="27"/>
      <c r="L648" s="27"/>
      <c r="M648" s="27"/>
      <c r="N648" s="27"/>
    </row>
    <row r="649">
      <c r="F649" s="27"/>
      <c r="G649" s="27"/>
      <c r="H649" s="27"/>
      <c r="J649" s="27"/>
      <c r="L649" s="27"/>
      <c r="M649" s="27"/>
      <c r="N649" s="27"/>
    </row>
    <row r="650">
      <c r="F650" s="27"/>
      <c r="G650" s="27"/>
      <c r="H650" s="27"/>
      <c r="J650" s="27"/>
      <c r="L650" s="27"/>
      <c r="M650" s="27"/>
      <c r="N650" s="27"/>
    </row>
    <row r="651">
      <c r="F651" s="27"/>
      <c r="G651" s="27"/>
      <c r="H651" s="27"/>
      <c r="J651" s="27"/>
      <c r="L651" s="27"/>
      <c r="M651" s="27"/>
      <c r="N651" s="27"/>
    </row>
    <row r="652">
      <c r="F652" s="27"/>
      <c r="G652" s="27"/>
      <c r="H652" s="27"/>
      <c r="J652" s="27"/>
      <c r="L652" s="27"/>
      <c r="M652" s="27"/>
      <c r="N652" s="27"/>
    </row>
    <row r="653">
      <c r="F653" s="27"/>
      <c r="G653" s="27"/>
      <c r="H653" s="27"/>
      <c r="J653" s="27"/>
      <c r="L653" s="27"/>
      <c r="M653" s="27"/>
      <c r="N653" s="27"/>
    </row>
    <row r="654">
      <c r="F654" s="27"/>
      <c r="G654" s="27"/>
      <c r="H654" s="27"/>
      <c r="J654" s="27"/>
      <c r="L654" s="27"/>
      <c r="M654" s="27"/>
      <c r="N654" s="27"/>
    </row>
    <row r="655">
      <c r="F655" s="27"/>
      <c r="G655" s="27"/>
      <c r="H655" s="27"/>
      <c r="J655" s="27"/>
      <c r="L655" s="27"/>
      <c r="M655" s="27"/>
      <c r="N655" s="27"/>
    </row>
    <row r="656">
      <c r="F656" s="27"/>
      <c r="G656" s="27"/>
      <c r="H656" s="27"/>
      <c r="J656" s="27"/>
      <c r="L656" s="27"/>
      <c r="M656" s="27"/>
      <c r="N656" s="27"/>
    </row>
    <row r="657">
      <c r="F657" s="27"/>
      <c r="G657" s="27"/>
      <c r="H657" s="27"/>
      <c r="J657" s="27"/>
      <c r="L657" s="27"/>
      <c r="M657" s="27"/>
      <c r="N657" s="27"/>
    </row>
    <row r="658">
      <c r="F658" s="27"/>
      <c r="G658" s="27"/>
      <c r="H658" s="27"/>
      <c r="J658" s="27"/>
      <c r="L658" s="27"/>
      <c r="M658" s="27"/>
      <c r="N658" s="27"/>
    </row>
    <row r="659">
      <c r="F659" s="27"/>
      <c r="G659" s="27"/>
      <c r="H659" s="27"/>
      <c r="J659" s="27"/>
      <c r="L659" s="27"/>
      <c r="M659" s="27"/>
      <c r="N659" s="27"/>
    </row>
    <row r="660">
      <c r="F660" s="27"/>
      <c r="G660" s="27"/>
      <c r="H660" s="27"/>
      <c r="J660" s="27"/>
      <c r="L660" s="27"/>
      <c r="M660" s="27"/>
      <c r="N660" s="27"/>
    </row>
    <row r="661">
      <c r="F661" s="27"/>
      <c r="G661" s="27"/>
      <c r="H661" s="27"/>
      <c r="J661" s="27"/>
      <c r="L661" s="27"/>
      <c r="M661" s="27"/>
      <c r="N661" s="27"/>
    </row>
    <row r="662">
      <c r="F662" s="27"/>
      <c r="G662" s="27"/>
      <c r="H662" s="27"/>
      <c r="J662" s="27"/>
      <c r="L662" s="27"/>
      <c r="M662" s="27"/>
      <c r="N662" s="27"/>
    </row>
    <row r="663">
      <c r="F663" s="27"/>
      <c r="G663" s="27"/>
      <c r="H663" s="27"/>
      <c r="J663" s="27"/>
      <c r="L663" s="27"/>
      <c r="M663" s="27"/>
      <c r="N663" s="27"/>
    </row>
    <row r="664">
      <c r="F664" s="27"/>
      <c r="G664" s="27"/>
      <c r="H664" s="27"/>
      <c r="J664" s="27"/>
      <c r="L664" s="27"/>
      <c r="M664" s="27"/>
      <c r="N664" s="27"/>
    </row>
    <row r="665">
      <c r="F665" s="27"/>
      <c r="G665" s="27"/>
      <c r="H665" s="27"/>
      <c r="J665" s="27"/>
      <c r="L665" s="27"/>
      <c r="M665" s="27"/>
      <c r="N665" s="27"/>
    </row>
    <row r="666">
      <c r="F666" s="27"/>
      <c r="G666" s="27"/>
      <c r="H666" s="27"/>
      <c r="J666" s="27"/>
      <c r="L666" s="27"/>
      <c r="M666" s="27"/>
      <c r="N666" s="27"/>
    </row>
    <row r="667">
      <c r="F667" s="27"/>
      <c r="G667" s="27"/>
      <c r="H667" s="27"/>
      <c r="J667" s="27"/>
      <c r="L667" s="27"/>
      <c r="M667" s="27"/>
      <c r="N667" s="27"/>
    </row>
    <row r="668">
      <c r="F668" s="27"/>
      <c r="G668" s="27"/>
      <c r="H668" s="27"/>
      <c r="J668" s="27"/>
      <c r="L668" s="27"/>
      <c r="M668" s="27"/>
      <c r="N668" s="27"/>
    </row>
    <row r="669">
      <c r="F669" s="27"/>
      <c r="G669" s="27"/>
      <c r="H669" s="27"/>
      <c r="J669" s="27"/>
      <c r="L669" s="27"/>
      <c r="M669" s="27"/>
      <c r="N669" s="27"/>
    </row>
    <row r="670">
      <c r="F670" s="27"/>
      <c r="G670" s="27"/>
      <c r="H670" s="27"/>
      <c r="J670" s="27"/>
      <c r="L670" s="27"/>
      <c r="M670" s="27"/>
      <c r="N670" s="27"/>
    </row>
    <row r="671">
      <c r="F671" s="27"/>
      <c r="G671" s="27"/>
      <c r="H671" s="27"/>
      <c r="J671" s="27"/>
      <c r="L671" s="27"/>
      <c r="M671" s="27"/>
      <c r="N671" s="27"/>
    </row>
    <row r="672">
      <c r="F672" s="27"/>
      <c r="G672" s="27"/>
      <c r="H672" s="27"/>
      <c r="J672" s="27"/>
      <c r="L672" s="27"/>
      <c r="M672" s="27"/>
      <c r="N672" s="27"/>
    </row>
    <row r="673">
      <c r="F673" s="27"/>
      <c r="G673" s="27"/>
      <c r="H673" s="27"/>
      <c r="J673" s="27"/>
      <c r="L673" s="27"/>
      <c r="M673" s="27"/>
      <c r="N673" s="27"/>
    </row>
    <row r="674">
      <c r="F674" s="27"/>
      <c r="G674" s="27"/>
      <c r="H674" s="27"/>
      <c r="J674" s="27"/>
      <c r="L674" s="27"/>
      <c r="M674" s="27"/>
      <c r="N674" s="27"/>
    </row>
    <row r="675">
      <c r="F675" s="27"/>
      <c r="G675" s="27"/>
      <c r="H675" s="27"/>
      <c r="J675" s="27"/>
      <c r="L675" s="27"/>
      <c r="M675" s="27"/>
      <c r="N675" s="27"/>
    </row>
    <row r="676">
      <c r="F676" s="27"/>
      <c r="G676" s="27"/>
      <c r="H676" s="27"/>
      <c r="J676" s="27"/>
      <c r="L676" s="27"/>
      <c r="M676" s="27"/>
      <c r="N676" s="27"/>
    </row>
    <row r="677">
      <c r="F677" s="27"/>
      <c r="G677" s="27"/>
      <c r="H677" s="27"/>
      <c r="J677" s="27"/>
      <c r="L677" s="27"/>
      <c r="M677" s="27"/>
      <c r="N677" s="27"/>
    </row>
    <row r="678">
      <c r="F678" s="27"/>
      <c r="G678" s="27"/>
      <c r="H678" s="27"/>
      <c r="J678" s="27"/>
      <c r="L678" s="27"/>
      <c r="M678" s="27"/>
      <c r="N678" s="27"/>
    </row>
    <row r="679">
      <c r="F679" s="27"/>
      <c r="G679" s="27"/>
      <c r="H679" s="27"/>
      <c r="J679" s="27"/>
      <c r="L679" s="27"/>
      <c r="M679" s="27"/>
      <c r="N679" s="27"/>
    </row>
    <row r="680">
      <c r="F680" s="27"/>
      <c r="G680" s="27"/>
      <c r="H680" s="27"/>
      <c r="J680" s="27"/>
      <c r="L680" s="27"/>
      <c r="M680" s="27"/>
      <c r="N680" s="27"/>
    </row>
    <row r="681">
      <c r="F681" s="27"/>
      <c r="G681" s="27"/>
      <c r="H681" s="27"/>
      <c r="J681" s="27"/>
      <c r="L681" s="27"/>
      <c r="M681" s="27"/>
      <c r="N681" s="27"/>
    </row>
    <row r="682">
      <c r="F682" s="27"/>
      <c r="G682" s="27"/>
      <c r="H682" s="27"/>
      <c r="J682" s="27"/>
      <c r="L682" s="27"/>
      <c r="M682" s="27"/>
      <c r="N682" s="27"/>
    </row>
    <row r="683">
      <c r="F683" s="27"/>
      <c r="G683" s="27"/>
      <c r="H683" s="27"/>
      <c r="J683" s="27"/>
      <c r="L683" s="27"/>
      <c r="M683" s="27"/>
      <c r="N683" s="27"/>
    </row>
    <row r="684">
      <c r="F684" s="27"/>
      <c r="G684" s="27"/>
      <c r="H684" s="27"/>
      <c r="J684" s="27"/>
      <c r="L684" s="27"/>
      <c r="M684" s="27"/>
      <c r="N684" s="27"/>
    </row>
    <row r="685">
      <c r="F685" s="27"/>
      <c r="G685" s="27"/>
      <c r="H685" s="27"/>
      <c r="J685" s="27"/>
      <c r="L685" s="27"/>
      <c r="M685" s="27"/>
      <c r="N685" s="27"/>
    </row>
    <row r="686">
      <c r="F686" s="27"/>
      <c r="G686" s="27"/>
      <c r="H686" s="27"/>
      <c r="J686" s="27"/>
      <c r="L686" s="27"/>
      <c r="M686" s="27"/>
      <c r="N686" s="27"/>
    </row>
    <row r="687">
      <c r="F687" s="27"/>
      <c r="G687" s="27"/>
      <c r="H687" s="27"/>
      <c r="J687" s="27"/>
      <c r="L687" s="27"/>
      <c r="M687" s="27"/>
      <c r="N687" s="27"/>
    </row>
    <row r="688">
      <c r="F688" s="27"/>
      <c r="G688" s="27"/>
      <c r="H688" s="27"/>
      <c r="J688" s="27"/>
      <c r="L688" s="27"/>
      <c r="M688" s="27"/>
      <c r="N688" s="27"/>
    </row>
    <row r="689">
      <c r="F689" s="27"/>
      <c r="G689" s="27"/>
      <c r="H689" s="27"/>
      <c r="J689" s="27"/>
      <c r="L689" s="27"/>
      <c r="M689" s="27"/>
      <c r="N689" s="27"/>
    </row>
    <row r="690">
      <c r="F690" s="27"/>
      <c r="G690" s="27"/>
      <c r="H690" s="27"/>
      <c r="J690" s="27"/>
      <c r="L690" s="27"/>
      <c r="M690" s="27"/>
      <c r="N690" s="27"/>
    </row>
    <row r="691">
      <c r="F691" s="27"/>
      <c r="G691" s="27"/>
      <c r="H691" s="27"/>
      <c r="J691" s="27"/>
      <c r="L691" s="27"/>
      <c r="M691" s="27"/>
      <c r="N691" s="27"/>
    </row>
    <row r="692">
      <c r="F692" s="27"/>
      <c r="G692" s="27"/>
      <c r="H692" s="27"/>
      <c r="J692" s="27"/>
      <c r="L692" s="27"/>
      <c r="M692" s="27"/>
      <c r="N692" s="27"/>
    </row>
    <row r="693">
      <c r="F693" s="27"/>
      <c r="G693" s="27"/>
      <c r="H693" s="27"/>
      <c r="J693" s="27"/>
      <c r="L693" s="27"/>
      <c r="M693" s="27"/>
      <c r="N693" s="27"/>
    </row>
    <row r="694">
      <c r="F694" s="27"/>
      <c r="G694" s="27"/>
      <c r="H694" s="27"/>
      <c r="J694" s="27"/>
      <c r="L694" s="27"/>
      <c r="M694" s="27"/>
      <c r="N694" s="27"/>
    </row>
    <row r="695">
      <c r="F695" s="27"/>
      <c r="G695" s="27"/>
      <c r="H695" s="27"/>
      <c r="J695" s="27"/>
      <c r="L695" s="27"/>
      <c r="M695" s="27"/>
      <c r="N695" s="27"/>
    </row>
    <row r="696">
      <c r="F696" s="27"/>
      <c r="G696" s="27"/>
      <c r="H696" s="27"/>
      <c r="J696" s="27"/>
      <c r="L696" s="27"/>
      <c r="M696" s="27"/>
      <c r="N696" s="27"/>
    </row>
    <row r="697">
      <c r="F697" s="27"/>
      <c r="G697" s="27"/>
      <c r="H697" s="27"/>
      <c r="J697" s="27"/>
      <c r="L697" s="27"/>
      <c r="M697" s="27"/>
      <c r="N697" s="27"/>
    </row>
    <row r="698">
      <c r="F698" s="27"/>
      <c r="G698" s="27"/>
      <c r="H698" s="27"/>
      <c r="J698" s="27"/>
      <c r="L698" s="27"/>
      <c r="M698" s="27"/>
      <c r="N698" s="27"/>
    </row>
    <row r="699">
      <c r="F699" s="27"/>
      <c r="G699" s="27"/>
      <c r="H699" s="27"/>
      <c r="J699" s="27"/>
      <c r="L699" s="27"/>
      <c r="M699" s="27"/>
      <c r="N699" s="27"/>
    </row>
    <row r="700">
      <c r="F700" s="27"/>
      <c r="G700" s="27"/>
      <c r="H700" s="27"/>
      <c r="J700" s="27"/>
      <c r="L700" s="27"/>
      <c r="M700" s="27"/>
      <c r="N700" s="27"/>
    </row>
    <row r="701">
      <c r="F701" s="27"/>
      <c r="G701" s="27"/>
      <c r="H701" s="27"/>
      <c r="J701" s="27"/>
      <c r="L701" s="27"/>
      <c r="M701" s="27"/>
      <c r="N701" s="27"/>
    </row>
    <row r="702">
      <c r="F702" s="27"/>
      <c r="G702" s="27"/>
      <c r="H702" s="27"/>
      <c r="J702" s="27"/>
      <c r="L702" s="27"/>
      <c r="M702" s="27"/>
      <c r="N702" s="27"/>
    </row>
    <row r="703">
      <c r="F703" s="27"/>
      <c r="G703" s="27"/>
      <c r="H703" s="27"/>
      <c r="J703" s="27"/>
      <c r="L703" s="27"/>
      <c r="M703" s="27"/>
      <c r="N703" s="27"/>
    </row>
    <row r="704">
      <c r="F704" s="27"/>
      <c r="G704" s="27"/>
      <c r="H704" s="27"/>
      <c r="J704" s="27"/>
      <c r="L704" s="27"/>
      <c r="M704" s="27"/>
      <c r="N704" s="27"/>
    </row>
    <row r="705">
      <c r="F705" s="27"/>
      <c r="G705" s="27"/>
      <c r="H705" s="27"/>
      <c r="J705" s="27"/>
      <c r="L705" s="27"/>
      <c r="M705" s="27"/>
      <c r="N705" s="27"/>
    </row>
    <row r="706">
      <c r="F706" s="27"/>
      <c r="G706" s="27"/>
      <c r="H706" s="27"/>
      <c r="J706" s="27"/>
      <c r="L706" s="27"/>
      <c r="M706" s="27"/>
      <c r="N706" s="27"/>
    </row>
    <row r="707">
      <c r="F707" s="27"/>
      <c r="G707" s="27"/>
      <c r="H707" s="27"/>
      <c r="J707" s="27"/>
      <c r="L707" s="27"/>
      <c r="M707" s="27"/>
      <c r="N707" s="27"/>
    </row>
    <row r="708">
      <c r="F708" s="27"/>
      <c r="G708" s="27"/>
      <c r="H708" s="27"/>
      <c r="J708" s="27"/>
      <c r="L708" s="27"/>
      <c r="M708" s="27"/>
      <c r="N708" s="27"/>
    </row>
    <row r="709">
      <c r="F709" s="27"/>
      <c r="G709" s="27"/>
      <c r="H709" s="27"/>
      <c r="J709" s="27"/>
      <c r="L709" s="27"/>
      <c r="M709" s="27"/>
      <c r="N709" s="27"/>
    </row>
    <row r="710">
      <c r="F710" s="27"/>
      <c r="G710" s="27"/>
      <c r="H710" s="27"/>
      <c r="J710" s="27"/>
      <c r="L710" s="27"/>
      <c r="M710" s="27"/>
      <c r="N710" s="27"/>
    </row>
    <row r="711">
      <c r="F711" s="27"/>
      <c r="G711" s="27"/>
      <c r="H711" s="27"/>
      <c r="J711" s="27"/>
      <c r="L711" s="27"/>
      <c r="M711" s="27"/>
      <c r="N711" s="27"/>
    </row>
    <row r="712">
      <c r="F712" s="27"/>
      <c r="G712" s="27"/>
      <c r="H712" s="27"/>
      <c r="J712" s="27"/>
      <c r="L712" s="27"/>
      <c r="M712" s="27"/>
      <c r="N712" s="27"/>
    </row>
    <row r="713">
      <c r="F713" s="27"/>
      <c r="G713" s="27"/>
      <c r="H713" s="27"/>
      <c r="J713" s="27"/>
      <c r="L713" s="27"/>
      <c r="M713" s="27"/>
      <c r="N713" s="27"/>
    </row>
    <row r="714">
      <c r="F714" s="27"/>
      <c r="G714" s="27"/>
      <c r="H714" s="27"/>
      <c r="J714" s="27"/>
      <c r="L714" s="27"/>
      <c r="M714" s="27"/>
      <c r="N714" s="27"/>
    </row>
    <row r="715">
      <c r="F715" s="27"/>
      <c r="G715" s="27"/>
      <c r="H715" s="27"/>
      <c r="J715" s="27"/>
      <c r="L715" s="27"/>
      <c r="M715" s="27"/>
      <c r="N715" s="27"/>
    </row>
    <row r="716">
      <c r="F716" s="27"/>
      <c r="G716" s="27"/>
      <c r="H716" s="27"/>
      <c r="J716" s="27"/>
      <c r="L716" s="27"/>
      <c r="M716" s="27"/>
      <c r="N716" s="27"/>
    </row>
    <row r="717">
      <c r="F717" s="27"/>
      <c r="G717" s="27"/>
      <c r="H717" s="27"/>
      <c r="J717" s="27"/>
      <c r="L717" s="27"/>
      <c r="M717" s="27"/>
      <c r="N717" s="27"/>
    </row>
    <row r="718">
      <c r="F718" s="27"/>
      <c r="G718" s="27"/>
      <c r="H718" s="27"/>
      <c r="J718" s="27"/>
      <c r="L718" s="27"/>
      <c r="M718" s="27"/>
      <c r="N718" s="27"/>
    </row>
    <row r="719">
      <c r="F719" s="27"/>
      <c r="G719" s="27"/>
      <c r="H719" s="27"/>
      <c r="J719" s="27"/>
      <c r="L719" s="27"/>
      <c r="M719" s="27"/>
      <c r="N719" s="27"/>
    </row>
    <row r="720">
      <c r="F720" s="27"/>
      <c r="G720" s="27"/>
      <c r="H720" s="27"/>
      <c r="J720" s="27"/>
      <c r="L720" s="27"/>
      <c r="M720" s="27"/>
      <c r="N720" s="27"/>
    </row>
    <row r="721">
      <c r="F721" s="27"/>
      <c r="G721" s="27"/>
      <c r="H721" s="27"/>
      <c r="J721" s="27"/>
      <c r="L721" s="27"/>
      <c r="M721" s="27"/>
      <c r="N721" s="27"/>
    </row>
    <row r="722">
      <c r="F722" s="27"/>
      <c r="G722" s="27"/>
      <c r="H722" s="27"/>
      <c r="J722" s="27"/>
      <c r="L722" s="27"/>
      <c r="M722" s="27"/>
      <c r="N722" s="27"/>
    </row>
    <row r="723">
      <c r="F723" s="27"/>
      <c r="G723" s="27"/>
      <c r="H723" s="27"/>
      <c r="J723" s="27"/>
      <c r="L723" s="27"/>
      <c r="M723" s="27"/>
      <c r="N723" s="27"/>
    </row>
    <row r="724">
      <c r="F724" s="27"/>
      <c r="G724" s="27"/>
      <c r="H724" s="27"/>
      <c r="J724" s="27"/>
      <c r="L724" s="27"/>
      <c r="M724" s="27"/>
      <c r="N724" s="27"/>
    </row>
    <row r="725">
      <c r="F725" s="27"/>
      <c r="G725" s="27"/>
      <c r="H725" s="27"/>
      <c r="J725" s="27"/>
      <c r="L725" s="27"/>
      <c r="M725" s="27"/>
      <c r="N725" s="27"/>
    </row>
    <row r="726">
      <c r="F726" s="27"/>
      <c r="G726" s="27"/>
      <c r="H726" s="27"/>
      <c r="J726" s="27"/>
      <c r="L726" s="27"/>
      <c r="M726" s="27"/>
      <c r="N726" s="27"/>
    </row>
    <row r="727">
      <c r="F727" s="27"/>
      <c r="G727" s="27"/>
      <c r="H727" s="27"/>
      <c r="J727" s="27"/>
      <c r="L727" s="27"/>
      <c r="M727" s="27"/>
      <c r="N727" s="27"/>
    </row>
    <row r="728">
      <c r="F728" s="27"/>
      <c r="G728" s="27"/>
      <c r="H728" s="27"/>
      <c r="J728" s="27"/>
      <c r="L728" s="27"/>
      <c r="M728" s="27"/>
      <c r="N728" s="27"/>
    </row>
    <row r="729">
      <c r="F729" s="27"/>
      <c r="G729" s="27"/>
      <c r="H729" s="27"/>
      <c r="J729" s="27"/>
      <c r="L729" s="27"/>
      <c r="M729" s="27"/>
      <c r="N729" s="27"/>
    </row>
    <row r="730">
      <c r="F730" s="27"/>
      <c r="G730" s="27"/>
      <c r="H730" s="27"/>
      <c r="J730" s="27"/>
      <c r="L730" s="27"/>
      <c r="M730" s="27"/>
      <c r="N730" s="27"/>
    </row>
    <row r="731">
      <c r="F731" s="27"/>
      <c r="G731" s="27"/>
      <c r="H731" s="27"/>
      <c r="J731" s="27"/>
      <c r="L731" s="27"/>
      <c r="M731" s="27"/>
      <c r="N731" s="27"/>
    </row>
    <row r="732">
      <c r="F732" s="27"/>
      <c r="G732" s="27"/>
      <c r="H732" s="27"/>
      <c r="J732" s="27"/>
      <c r="L732" s="27"/>
      <c r="M732" s="27"/>
      <c r="N732" s="27"/>
    </row>
    <row r="733">
      <c r="F733" s="27"/>
      <c r="G733" s="27"/>
      <c r="H733" s="27"/>
      <c r="J733" s="27"/>
      <c r="L733" s="27"/>
      <c r="M733" s="27"/>
      <c r="N733" s="27"/>
    </row>
    <row r="734">
      <c r="F734" s="27"/>
      <c r="G734" s="27"/>
      <c r="H734" s="27"/>
      <c r="J734" s="27"/>
      <c r="L734" s="27"/>
      <c r="M734" s="27"/>
      <c r="N734" s="27"/>
    </row>
    <row r="735">
      <c r="F735" s="27"/>
      <c r="G735" s="27"/>
      <c r="H735" s="27"/>
      <c r="J735" s="27"/>
      <c r="L735" s="27"/>
      <c r="M735" s="27"/>
      <c r="N735" s="27"/>
    </row>
    <row r="736">
      <c r="F736" s="27"/>
      <c r="G736" s="27"/>
      <c r="H736" s="27"/>
      <c r="J736" s="27"/>
      <c r="L736" s="27"/>
      <c r="M736" s="27"/>
      <c r="N736" s="27"/>
    </row>
    <row r="737">
      <c r="F737" s="27"/>
      <c r="G737" s="27"/>
      <c r="H737" s="27"/>
      <c r="J737" s="27"/>
      <c r="L737" s="27"/>
      <c r="M737" s="27"/>
      <c r="N737" s="27"/>
    </row>
    <row r="738">
      <c r="F738" s="27"/>
      <c r="G738" s="27"/>
      <c r="H738" s="27"/>
      <c r="J738" s="27"/>
      <c r="L738" s="27"/>
      <c r="M738" s="27"/>
      <c r="N738" s="27"/>
    </row>
    <row r="739">
      <c r="F739" s="27"/>
      <c r="G739" s="27"/>
      <c r="H739" s="27"/>
      <c r="J739" s="27"/>
      <c r="L739" s="27"/>
      <c r="M739" s="27"/>
      <c r="N739" s="27"/>
    </row>
    <row r="740">
      <c r="F740" s="27"/>
      <c r="G740" s="27"/>
      <c r="H740" s="27"/>
      <c r="J740" s="27"/>
      <c r="L740" s="27"/>
      <c r="M740" s="27"/>
      <c r="N740" s="27"/>
    </row>
    <row r="741">
      <c r="F741" s="27"/>
      <c r="G741" s="27"/>
      <c r="H741" s="27"/>
      <c r="J741" s="27"/>
      <c r="L741" s="27"/>
      <c r="M741" s="27"/>
      <c r="N741" s="27"/>
    </row>
    <row r="742">
      <c r="F742" s="27"/>
      <c r="G742" s="27"/>
      <c r="H742" s="27"/>
      <c r="J742" s="27"/>
      <c r="L742" s="27"/>
      <c r="M742" s="27"/>
      <c r="N742" s="27"/>
    </row>
    <row r="743">
      <c r="F743" s="27"/>
      <c r="G743" s="27"/>
      <c r="H743" s="27"/>
      <c r="J743" s="27"/>
      <c r="L743" s="27"/>
      <c r="M743" s="27"/>
      <c r="N743" s="27"/>
    </row>
    <row r="744">
      <c r="F744" s="27"/>
      <c r="G744" s="27"/>
      <c r="H744" s="27"/>
      <c r="J744" s="27"/>
      <c r="L744" s="27"/>
      <c r="M744" s="27"/>
      <c r="N744" s="27"/>
    </row>
    <row r="745">
      <c r="F745" s="27"/>
      <c r="G745" s="27"/>
      <c r="H745" s="27"/>
      <c r="J745" s="27"/>
      <c r="L745" s="27"/>
      <c r="M745" s="27"/>
      <c r="N745" s="27"/>
    </row>
    <row r="746">
      <c r="F746" s="27"/>
      <c r="G746" s="27"/>
      <c r="H746" s="27"/>
      <c r="J746" s="27"/>
      <c r="L746" s="27"/>
      <c r="M746" s="27"/>
      <c r="N746" s="27"/>
    </row>
    <row r="747">
      <c r="F747" s="27"/>
      <c r="G747" s="27"/>
      <c r="H747" s="27"/>
      <c r="J747" s="27"/>
      <c r="L747" s="27"/>
      <c r="M747" s="27"/>
      <c r="N747" s="27"/>
    </row>
    <row r="748">
      <c r="F748" s="27"/>
      <c r="G748" s="27"/>
      <c r="H748" s="27"/>
      <c r="J748" s="27"/>
      <c r="L748" s="27"/>
      <c r="M748" s="27"/>
      <c r="N748" s="27"/>
    </row>
    <row r="749">
      <c r="F749" s="27"/>
      <c r="G749" s="27"/>
      <c r="H749" s="27"/>
      <c r="J749" s="27"/>
      <c r="L749" s="27"/>
      <c r="M749" s="27"/>
      <c r="N749" s="27"/>
    </row>
    <row r="750">
      <c r="F750" s="27"/>
      <c r="G750" s="27"/>
      <c r="H750" s="27"/>
      <c r="J750" s="27"/>
      <c r="L750" s="27"/>
      <c r="M750" s="27"/>
      <c r="N750" s="27"/>
    </row>
    <row r="751">
      <c r="F751" s="27"/>
      <c r="G751" s="27"/>
      <c r="H751" s="27"/>
      <c r="J751" s="27"/>
      <c r="L751" s="27"/>
      <c r="M751" s="27"/>
      <c r="N751" s="27"/>
    </row>
    <row r="752">
      <c r="F752" s="27"/>
      <c r="G752" s="27"/>
      <c r="H752" s="27"/>
      <c r="J752" s="27"/>
      <c r="L752" s="27"/>
      <c r="M752" s="27"/>
      <c r="N752" s="27"/>
    </row>
    <row r="753">
      <c r="F753" s="27"/>
      <c r="G753" s="27"/>
      <c r="H753" s="27"/>
      <c r="J753" s="27"/>
      <c r="L753" s="27"/>
      <c r="M753" s="27"/>
      <c r="N753" s="27"/>
    </row>
    <row r="754">
      <c r="F754" s="27"/>
      <c r="G754" s="27"/>
      <c r="H754" s="27"/>
      <c r="J754" s="27"/>
      <c r="L754" s="27"/>
      <c r="M754" s="27"/>
      <c r="N754" s="27"/>
    </row>
    <row r="755">
      <c r="F755" s="27"/>
      <c r="G755" s="27"/>
      <c r="H755" s="27"/>
      <c r="J755" s="27"/>
      <c r="L755" s="27"/>
      <c r="M755" s="27"/>
      <c r="N755" s="27"/>
    </row>
    <row r="756">
      <c r="F756" s="27"/>
      <c r="G756" s="27"/>
      <c r="H756" s="27"/>
      <c r="J756" s="27"/>
      <c r="L756" s="27"/>
      <c r="M756" s="27"/>
      <c r="N756" s="27"/>
    </row>
    <row r="757">
      <c r="F757" s="27"/>
      <c r="G757" s="27"/>
      <c r="H757" s="27"/>
      <c r="J757" s="27"/>
      <c r="L757" s="27"/>
      <c r="M757" s="27"/>
      <c r="N757" s="27"/>
    </row>
    <row r="758">
      <c r="F758" s="27"/>
      <c r="G758" s="27"/>
      <c r="H758" s="27"/>
      <c r="J758" s="27"/>
      <c r="L758" s="27"/>
      <c r="M758" s="27"/>
      <c r="N758" s="27"/>
    </row>
    <row r="759">
      <c r="F759" s="27"/>
      <c r="G759" s="27"/>
      <c r="H759" s="27"/>
      <c r="J759" s="27"/>
      <c r="L759" s="27"/>
      <c r="M759" s="27"/>
      <c r="N759" s="27"/>
    </row>
    <row r="760">
      <c r="F760" s="27"/>
      <c r="G760" s="27"/>
      <c r="H760" s="27"/>
      <c r="J760" s="27"/>
      <c r="L760" s="27"/>
      <c r="M760" s="27"/>
      <c r="N760" s="27"/>
    </row>
    <row r="761">
      <c r="F761" s="27"/>
      <c r="G761" s="27"/>
      <c r="H761" s="27"/>
      <c r="J761" s="27"/>
      <c r="L761" s="27"/>
      <c r="M761" s="27"/>
      <c r="N761" s="27"/>
    </row>
    <row r="762">
      <c r="F762" s="27"/>
      <c r="G762" s="27"/>
      <c r="H762" s="27"/>
      <c r="J762" s="27"/>
      <c r="L762" s="27"/>
      <c r="M762" s="27"/>
      <c r="N762" s="27"/>
    </row>
    <row r="763">
      <c r="F763" s="27"/>
      <c r="G763" s="27"/>
      <c r="H763" s="27"/>
      <c r="J763" s="27"/>
      <c r="L763" s="27"/>
      <c r="M763" s="27"/>
      <c r="N763" s="27"/>
    </row>
    <row r="764">
      <c r="F764" s="27"/>
      <c r="G764" s="27"/>
      <c r="H764" s="27"/>
      <c r="J764" s="27"/>
      <c r="L764" s="27"/>
      <c r="M764" s="27"/>
      <c r="N764" s="27"/>
    </row>
    <row r="765">
      <c r="F765" s="27"/>
      <c r="G765" s="27"/>
      <c r="H765" s="27"/>
      <c r="J765" s="27"/>
      <c r="L765" s="27"/>
      <c r="M765" s="27"/>
      <c r="N765" s="27"/>
    </row>
    <row r="766">
      <c r="F766" s="27"/>
      <c r="G766" s="27"/>
      <c r="H766" s="27"/>
      <c r="J766" s="27"/>
      <c r="L766" s="27"/>
      <c r="M766" s="27"/>
      <c r="N766" s="27"/>
    </row>
    <row r="767">
      <c r="F767" s="27"/>
      <c r="G767" s="27"/>
      <c r="H767" s="27"/>
      <c r="J767" s="27"/>
      <c r="L767" s="27"/>
      <c r="M767" s="27"/>
      <c r="N767" s="27"/>
    </row>
    <row r="768">
      <c r="F768" s="27"/>
      <c r="G768" s="27"/>
      <c r="H768" s="27"/>
      <c r="J768" s="27"/>
      <c r="L768" s="27"/>
      <c r="M768" s="27"/>
      <c r="N768" s="27"/>
    </row>
    <row r="769">
      <c r="F769" s="27"/>
      <c r="G769" s="27"/>
      <c r="H769" s="27"/>
      <c r="J769" s="27"/>
      <c r="L769" s="27"/>
      <c r="M769" s="27"/>
      <c r="N769" s="27"/>
    </row>
    <row r="770">
      <c r="F770" s="27"/>
      <c r="G770" s="27"/>
      <c r="H770" s="27"/>
      <c r="J770" s="27"/>
      <c r="L770" s="27"/>
      <c r="M770" s="27"/>
      <c r="N770" s="27"/>
    </row>
    <row r="771">
      <c r="F771" s="27"/>
      <c r="G771" s="27"/>
      <c r="H771" s="27"/>
      <c r="J771" s="27"/>
      <c r="L771" s="27"/>
      <c r="M771" s="27"/>
      <c r="N771" s="27"/>
    </row>
    <row r="772">
      <c r="F772" s="27"/>
      <c r="G772" s="27"/>
      <c r="H772" s="27"/>
      <c r="J772" s="27"/>
      <c r="L772" s="27"/>
      <c r="M772" s="27"/>
      <c r="N772" s="27"/>
    </row>
    <row r="773">
      <c r="F773" s="27"/>
      <c r="G773" s="27"/>
      <c r="H773" s="27"/>
      <c r="J773" s="27"/>
      <c r="L773" s="27"/>
      <c r="M773" s="27"/>
      <c r="N773" s="27"/>
    </row>
    <row r="774">
      <c r="F774" s="27"/>
      <c r="G774" s="27"/>
      <c r="H774" s="27"/>
      <c r="J774" s="27"/>
      <c r="L774" s="27"/>
      <c r="M774" s="27"/>
      <c r="N774" s="27"/>
    </row>
    <row r="775">
      <c r="F775" s="27"/>
      <c r="G775" s="27"/>
      <c r="H775" s="27"/>
      <c r="J775" s="27"/>
      <c r="L775" s="27"/>
      <c r="M775" s="27"/>
      <c r="N775" s="27"/>
    </row>
    <row r="776">
      <c r="F776" s="27"/>
      <c r="G776" s="27"/>
      <c r="H776" s="27"/>
      <c r="J776" s="27"/>
      <c r="L776" s="27"/>
      <c r="M776" s="27"/>
      <c r="N776" s="27"/>
    </row>
    <row r="777">
      <c r="F777" s="27"/>
      <c r="G777" s="27"/>
      <c r="H777" s="27"/>
      <c r="J777" s="27"/>
      <c r="L777" s="27"/>
      <c r="M777" s="27"/>
      <c r="N777" s="27"/>
    </row>
    <row r="778">
      <c r="F778" s="27"/>
      <c r="G778" s="27"/>
      <c r="H778" s="27"/>
      <c r="J778" s="27"/>
      <c r="L778" s="27"/>
      <c r="M778" s="27"/>
      <c r="N778" s="27"/>
    </row>
    <row r="779">
      <c r="F779" s="27"/>
      <c r="G779" s="27"/>
      <c r="H779" s="27"/>
      <c r="J779" s="27"/>
      <c r="L779" s="27"/>
      <c r="M779" s="27"/>
      <c r="N779" s="27"/>
    </row>
    <row r="780">
      <c r="F780" s="27"/>
      <c r="G780" s="27"/>
      <c r="H780" s="27"/>
      <c r="J780" s="27"/>
      <c r="L780" s="27"/>
      <c r="M780" s="27"/>
      <c r="N780" s="27"/>
    </row>
    <row r="781">
      <c r="F781" s="27"/>
      <c r="G781" s="27"/>
      <c r="H781" s="27"/>
      <c r="J781" s="27"/>
      <c r="L781" s="27"/>
      <c r="M781" s="27"/>
      <c r="N781" s="27"/>
    </row>
    <row r="782">
      <c r="F782" s="27"/>
      <c r="G782" s="27"/>
      <c r="H782" s="27"/>
      <c r="J782" s="27"/>
      <c r="L782" s="27"/>
      <c r="M782" s="27"/>
      <c r="N782" s="27"/>
    </row>
    <row r="783">
      <c r="F783" s="27"/>
      <c r="G783" s="27"/>
      <c r="H783" s="27"/>
      <c r="J783" s="27"/>
      <c r="L783" s="27"/>
      <c r="M783" s="27"/>
      <c r="N783" s="27"/>
    </row>
    <row r="784">
      <c r="F784" s="27"/>
      <c r="G784" s="27"/>
      <c r="H784" s="27"/>
      <c r="J784" s="27"/>
      <c r="L784" s="27"/>
      <c r="M784" s="27"/>
      <c r="N784" s="27"/>
    </row>
    <row r="785">
      <c r="F785" s="27"/>
      <c r="G785" s="27"/>
      <c r="H785" s="27"/>
      <c r="J785" s="27"/>
      <c r="L785" s="27"/>
      <c r="M785" s="27"/>
      <c r="N785" s="27"/>
    </row>
    <row r="786">
      <c r="F786" s="27"/>
      <c r="G786" s="27"/>
      <c r="H786" s="27"/>
      <c r="J786" s="27"/>
      <c r="L786" s="27"/>
      <c r="M786" s="27"/>
      <c r="N786" s="27"/>
    </row>
    <row r="787">
      <c r="F787" s="27"/>
      <c r="G787" s="27"/>
      <c r="H787" s="27"/>
      <c r="J787" s="27"/>
      <c r="L787" s="27"/>
      <c r="M787" s="27"/>
      <c r="N787" s="27"/>
    </row>
    <row r="788">
      <c r="F788" s="27"/>
      <c r="G788" s="27"/>
      <c r="H788" s="27"/>
      <c r="J788" s="27"/>
      <c r="L788" s="27"/>
      <c r="M788" s="27"/>
      <c r="N788" s="27"/>
    </row>
    <row r="789">
      <c r="F789" s="27"/>
      <c r="G789" s="27"/>
      <c r="H789" s="27"/>
      <c r="J789" s="27"/>
      <c r="L789" s="27"/>
      <c r="M789" s="27"/>
      <c r="N789" s="27"/>
    </row>
    <row r="790">
      <c r="F790" s="27"/>
      <c r="G790" s="27"/>
      <c r="H790" s="27"/>
      <c r="J790" s="27"/>
      <c r="L790" s="27"/>
      <c r="M790" s="27"/>
      <c r="N790" s="27"/>
    </row>
    <row r="791">
      <c r="F791" s="27"/>
      <c r="G791" s="27"/>
      <c r="H791" s="27"/>
      <c r="J791" s="27"/>
      <c r="L791" s="27"/>
      <c r="M791" s="27"/>
      <c r="N791" s="27"/>
    </row>
    <row r="792">
      <c r="F792" s="27"/>
      <c r="G792" s="27"/>
      <c r="H792" s="27"/>
      <c r="J792" s="27"/>
      <c r="L792" s="27"/>
      <c r="M792" s="27"/>
      <c r="N792" s="27"/>
    </row>
    <row r="793">
      <c r="F793" s="27"/>
      <c r="G793" s="27"/>
      <c r="H793" s="27"/>
      <c r="J793" s="27"/>
      <c r="L793" s="27"/>
      <c r="M793" s="27"/>
      <c r="N793" s="27"/>
    </row>
    <row r="794">
      <c r="F794" s="27"/>
      <c r="G794" s="27"/>
      <c r="H794" s="27"/>
      <c r="J794" s="27"/>
      <c r="L794" s="27"/>
      <c r="M794" s="27"/>
      <c r="N794" s="27"/>
    </row>
    <row r="795">
      <c r="F795" s="27"/>
      <c r="G795" s="27"/>
      <c r="H795" s="27"/>
      <c r="J795" s="27"/>
      <c r="L795" s="27"/>
      <c r="M795" s="27"/>
      <c r="N795" s="27"/>
    </row>
    <row r="796">
      <c r="F796" s="27"/>
      <c r="G796" s="27"/>
      <c r="H796" s="27"/>
      <c r="J796" s="27"/>
      <c r="L796" s="27"/>
      <c r="M796" s="27"/>
      <c r="N796" s="27"/>
    </row>
    <row r="797">
      <c r="F797" s="27"/>
      <c r="G797" s="27"/>
      <c r="H797" s="27"/>
      <c r="J797" s="27"/>
      <c r="L797" s="27"/>
      <c r="M797" s="27"/>
      <c r="N797" s="27"/>
    </row>
    <row r="798">
      <c r="F798" s="27"/>
      <c r="G798" s="27"/>
      <c r="H798" s="27"/>
      <c r="J798" s="27"/>
      <c r="L798" s="27"/>
      <c r="M798" s="27"/>
      <c r="N798" s="27"/>
    </row>
    <row r="799">
      <c r="F799" s="27"/>
      <c r="G799" s="27"/>
      <c r="H799" s="27"/>
      <c r="J799" s="27"/>
      <c r="L799" s="27"/>
      <c r="M799" s="27"/>
      <c r="N799" s="27"/>
    </row>
    <row r="800">
      <c r="F800" s="27"/>
      <c r="G800" s="27"/>
      <c r="H800" s="27"/>
      <c r="J800" s="27"/>
      <c r="L800" s="27"/>
      <c r="M800" s="27"/>
      <c r="N800" s="27"/>
    </row>
    <row r="801">
      <c r="F801" s="27"/>
      <c r="G801" s="27"/>
      <c r="H801" s="27"/>
      <c r="J801" s="27"/>
      <c r="L801" s="27"/>
      <c r="M801" s="27"/>
      <c r="N801" s="27"/>
    </row>
    <row r="802">
      <c r="F802" s="27"/>
      <c r="G802" s="27"/>
      <c r="H802" s="27"/>
      <c r="J802" s="27"/>
      <c r="L802" s="27"/>
      <c r="M802" s="27"/>
      <c r="N802" s="27"/>
    </row>
    <row r="803">
      <c r="F803" s="27"/>
      <c r="G803" s="27"/>
      <c r="H803" s="27"/>
      <c r="J803" s="27"/>
      <c r="L803" s="27"/>
      <c r="M803" s="27"/>
      <c r="N803" s="27"/>
    </row>
    <row r="804">
      <c r="F804" s="27"/>
      <c r="G804" s="27"/>
      <c r="H804" s="27"/>
      <c r="J804" s="27"/>
      <c r="L804" s="27"/>
      <c r="M804" s="27"/>
      <c r="N804" s="27"/>
    </row>
    <row r="805">
      <c r="F805" s="27"/>
      <c r="G805" s="27"/>
      <c r="H805" s="27"/>
      <c r="J805" s="27"/>
      <c r="L805" s="27"/>
      <c r="M805" s="27"/>
      <c r="N805" s="27"/>
    </row>
    <row r="806">
      <c r="F806" s="27"/>
      <c r="G806" s="27"/>
      <c r="H806" s="27"/>
      <c r="J806" s="27"/>
      <c r="L806" s="27"/>
      <c r="M806" s="27"/>
      <c r="N806" s="27"/>
    </row>
    <row r="807">
      <c r="F807" s="27"/>
      <c r="G807" s="27"/>
      <c r="H807" s="27"/>
      <c r="J807" s="27"/>
      <c r="L807" s="27"/>
      <c r="M807" s="27"/>
      <c r="N807" s="27"/>
    </row>
    <row r="808">
      <c r="F808" s="27"/>
      <c r="G808" s="27"/>
      <c r="H808" s="27"/>
      <c r="J808" s="27"/>
      <c r="L808" s="27"/>
      <c r="M808" s="27"/>
      <c r="N808" s="27"/>
    </row>
    <row r="809">
      <c r="F809" s="27"/>
      <c r="G809" s="27"/>
      <c r="H809" s="27"/>
      <c r="J809" s="27"/>
      <c r="L809" s="27"/>
      <c r="M809" s="27"/>
      <c r="N809" s="27"/>
    </row>
    <row r="810">
      <c r="F810" s="27"/>
      <c r="G810" s="27"/>
      <c r="H810" s="27"/>
      <c r="J810" s="27"/>
      <c r="L810" s="27"/>
      <c r="M810" s="27"/>
      <c r="N810" s="27"/>
    </row>
    <row r="811">
      <c r="F811" s="27"/>
      <c r="G811" s="27"/>
      <c r="H811" s="27"/>
      <c r="J811" s="27"/>
      <c r="L811" s="27"/>
      <c r="M811" s="27"/>
      <c r="N811" s="27"/>
    </row>
    <row r="812">
      <c r="F812" s="27"/>
      <c r="G812" s="27"/>
      <c r="H812" s="27"/>
      <c r="J812" s="27"/>
      <c r="L812" s="27"/>
      <c r="M812" s="27"/>
      <c r="N812" s="27"/>
    </row>
    <row r="813">
      <c r="F813" s="27"/>
      <c r="G813" s="27"/>
      <c r="H813" s="27"/>
      <c r="J813" s="27"/>
      <c r="L813" s="27"/>
      <c r="M813" s="27"/>
      <c r="N813" s="27"/>
    </row>
    <row r="814">
      <c r="F814" s="27"/>
      <c r="G814" s="27"/>
      <c r="H814" s="27"/>
      <c r="J814" s="27"/>
      <c r="L814" s="27"/>
      <c r="M814" s="27"/>
      <c r="N814" s="27"/>
    </row>
    <row r="815">
      <c r="F815" s="27"/>
      <c r="G815" s="27"/>
      <c r="H815" s="27"/>
      <c r="J815" s="27"/>
      <c r="L815" s="27"/>
      <c r="M815" s="27"/>
      <c r="N815" s="27"/>
    </row>
    <row r="816">
      <c r="F816" s="27"/>
      <c r="G816" s="27"/>
      <c r="H816" s="27"/>
      <c r="J816" s="27"/>
      <c r="L816" s="27"/>
      <c r="M816" s="27"/>
      <c r="N816" s="27"/>
    </row>
    <row r="817">
      <c r="F817" s="27"/>
      <c r="G817" s="27"/>
      <c r="H817" s="27"/>
      <c r="J817" s="27"/>
      <c r="L817" s="27"/>
      <c r="M817" s="27"/>
      <c r="N817" s="27"/>
    </row>
    <row r="818">
      <c r="F818" s="27"/>
      <c r="G818" s="27"/>
      <c r="H818" s="27"/>
      <c r="J818" s="27"/>
      <c r="L818" s="27"/>
      <c r="M818" s="27"/>
      <c r="N818" s="27"/>
    </row>
    <row r="819">
      <c r="F819" s="27"/>
      <c r="G819" s="27"/>
      <c r="H819" s="27"/>
      <c r="J819" s="27"/>
      <c r="L819" s="27"/>
      <c r="M819" s="27"/>
      <c r="N819" s="27"/>
    </row>
    <row r="820">
      <c r="F820" s="27"/>
      <c r="G820" s="27"/>
      <c r="H820" s="27"/>
      <c r="J820" s="27"/>
      <c r="L820" s="27"/>
      <c r="M820" s="27"/>
      <c r="N820" s="27"/>
    </row>
    <row r="821">
      <c r="F821" s="27"/>
      <c r="G821" s="27"/>
      <c r="H821" s="27"/>
      <c r="J821" s="27"/>
      <c r="L821" s="27"/>
      <c r="M821" s="27"/>
      <c r="N821" s="27"/>
    </row>
    <row r="822">
      <c r="F822" s="27"/>
      <c r="G822" s="27"/>
      <c r="H822" s="27"/>
      <c r="J822" s="27"/>
      <c r="L822" s="27"/>
      <c r="M822" s="27"/>
      <c r="N822" s="27"/>
    </row>
    <row r="823">
      <c r="F823" s="27"/>
      <c r="G823" s="27"/>
      <c r="H823" s="27"/>
      <c r="J823" s="27"/>
      <c r="L823" s="27"/>
      <c r="M823" s="27"/>
      <c r="N823" s="27"/>
    </row>
    <row r="824">
      <c r="F824" s="27"/>
      <c r="G824" s="27"/>
      <c r="H824" s="27"/>
      <c r="J824" s="27"/>
      <c r="L824" s="27"/>
      <c r="M824" s="27"/>
      <c r="N824" s="27"/>
    </row>
    <row r="825">
      <c r="F825" s="27"/>
      <c r="G825" s="27"/>
      <c r="H825" s="27"/>
      <c r="J825" s="27"/>
      <c r="L825" s="27"/>
      <c r="M825" s="27"/>
      <c r="N825" s="27"/>
    </row>
    <row r="826">
      <c r="F826" s="27"/>
      <c r="G826" s="27"/>
      <c r="H826" s="27"/>
      <c r="J826" s="27"/>
      <c r="L826" s="27"/>
      <c r="M826" s="27"/>
      <c r="N826" s="27"/>
    </row>
    <row r="827">
      <c r="F827" s="27"/>
      <c r="G827" s="27"/>
      <c r="H827" s="27"/>
      <c r="J827" s="27"/>
      <c r="L827" s="27"/>
      <c r="M827" s="27"/>
      <c r="N827" s="27"/>
    </row>
    <row r="828">
      <c r="F828" s="27"/>
      <c r="G828" s="27"/>
      <c r="H828" s="27"/>
      <c r="J828" s="27"/>
      <c r="L828" s="27"/>
      <c r="M828" s="27"/>
      <c r="N828" s="27"/>
    </row>
    <row r="829">
      <c r="F829" s="27"/>
      <c r="G829" s="27"/>
      <c r="H829" s="27"/>
      <c r="J829" s="27"/>
      <c r="L829" s="27"/>
      <c r="M829" s="27"/>
      <c r="N829" s="27"/>
    </row>
    <row r="830">
      <c r="F830" s="27"/>
      <c r="G830" s="27"/>
      <c r="H830" s="27"/>
      <c r="J830" s="27"/>
      <c r="L830" s="27"/>
      <c r="M830" s="27"/>
      <c r="N830" s="27"/>
    </row>
    <row r="831">
      <c r="F831" s="27"/>
      <c r="G831" s="27"/>
      <c r="H831" s="27"/>
      <c r="J831" s="27"/>
      <c r="L831" s="27"/>
      <c r="M831" s="27"/>
      <c r="N831" s="27"/>
    </row>
    <row r="832">
      <c r="F832" s="27"/>
      <c r="G832" s="27"/>
      <c r="H832" s="27"/>
      <c r="J832" s="27"/>
      <c r="L832" s="27"/>
      <c r="M832" s="27"/>
      <c r="N832" s="27"/>
    </row>
    <row r="833">
      <c r="F833" s="27"/>
      <c r="G833" s="27"/>
      <c r="H833" s="27"/>
      <c r="J833" s="27"/>
      <c r="L833" s="27"/>
      <c r="M833" s="27"/>
      <c r="N833" s="27"/>
    </row>
    <row r="834">
      <c r="F834" s="27"/>
      <c r="G834" s="27"/>
      <c r="H834" s="27"/>
      <c r="J834" s="27"/>
      <c r="L834" s="27"/>
      <c r="M834" s="27"/>
      <c r="N834" s="27"/>
    </row>
    <row r="835">
      <c r="F835" s="27"/>
      <c r="G835" s="27"/>
      <c r="H835" s="27"/>
      <c r="J835" s="27"/>
      <c r="L835" s="27"/>
      <c r="M835" s="27"/>
      <c r="N835" s="27"/>
    </row>
    <row r="836">
      <c r="F836" s="27"/>
      <c r="G836" s="27"/>
      <c r="H836" s="27"/>
      <c r="J836" s="27"/>
      <c r="L836" s="27"/>
      <c r="M836" s="27"/>
      <c r="N836" s="27"/>
    </row>
    <row r="837">
      <c r="F837" s="27"/>
      <c r="G837" s="27"/>
      <c r="H837" s="27"/>
      <c r="J837" s="27"/>
      <c r="L837" s="27"/>
      <c r="M837" s="27"/>
      <c r="N837" s="27"/>
    </row>
    <row r="838">
      <c r="F838" s="27"/>
      <c r="G838" s="27"/>
      <c r="H838" s="27"/>
      <c r="J838" s="27"/>
      <c r="L838" s="27"/>
      <c r="M838" s="27"/>
      <c r="N838" s="27"/>
    </row>
    <row r="839">
      <c r="F839" s="27"/>
      <c r="G839" s="27"/>
      <c r="H839" s="27"/>
      <c r="J839" s="27"/>
      <c r="L839" s="27"/>
      <c r="M839" s="27"/>
      <c r="N839" s="27"/>
    </row>
    <row r="840">
      <c r="F840" s="27"/>
      <c r="G840" s="27"/>
      <c r="H840" s="27"/>
      <c r="J840" s="27"/>
      <c r="L840" s="27"/>
      <c r="M840" s="27"/>
      <c r="N840" s="27"/>
    </row>
    <row r="841">
      <c r="F841" s="27"/>
      <c r="G841" s="27"/>
      <c r="H841" s="27"/>
      <c r="J841" s="27"/>
      <c r="L841" s="27"/>
      <c r="M841" s="27"/>
      <c r="N841" s="27"/>
    </row>
    <row r="842">
      <c r="F842" s="27"/>
      <c r="G842" s="27"/>
      <c r="H842" s="27"/>
      <c r="J842" s="27"/>
      <c r="L842" s="27"/>
      <c r="M842" s="27"/>
      <c r="N842" s="27"/>
    </row>
    <row r="843">
      <c r="F843" s="27"/>
      <c r="G843" s="27"/>
      <c r="H843" s="27"/>
      <c r="J843" s="27"/>
      <c r="L843" s="27"/>
      <c r="M843" s="27"/>
      <c r="N843" s="27"/>
    </row>
    <row r="844">
      <c r="F844" s="27"/>
      <c r="G844" s="27"/>
      <c r="H844" s="27"/>
      <c r="J844" s="27"/>
      <c r="L844" s="27"/>
      <c r="M844" s="27"/>
      <c r="N844" s="27"/>
    </row>
    <row r="845">
      <c r="F845" s="27"/>
      <c r="G845" s="27"/>
      <c r="H845" s="27"/>
      <c r="J845" s="27"/>
      <c r="L845" s="27"/>
      <c r="M845" s="27"/>
      <c r="N845" s="27"/>
    </row>
    <row r="846">
      <c r="F846" s="27"/>
      <c r="G846" s="27"/>
      <c r="H846" s="27"/>
      <c r="J846" s="27"/>
      <c r="L846" s="27"/>
      <c r="M846" s="27"/>
      <c r="N846" s="27"/>
    </row>
    <row r="847">
      <c r="F847" s="27"/>
      <c r="G847" s="27"/>
      <c r="H847" s="27"/>
      <c r="J847" s="27"/>
      <c r="L847" s="27"/>
      <c r="M847" s="27"/>
      <c r="N847" s="27"/>
    </row>
    <row r="848">
      <c r="F848" s="27"/>
      <c r="G848" s="27"/>
      <c r="H848" s="27"/>
      <c r="J848" s="27"/>
      <c r="L848" s="27"/>
      <c r="M848" s="27"/>
      <c r="N848" s="27"/>
    </row>
    <row r="849">
      <c r="F849" s="27"/>
      <c r="G849" s="27"/>
      <c r="H849" s="27"/>
      <c r="J849" s="27"/>
      <c r="L849" s="27"/>
      <c r="M849" s="27"/>
      <c r="N849" s="27"/>
    </row>
    <row r="850">
      <c r="F850" s="27"/>
      <c r="G850" s="27"/>
      <c r="H850" s="27"/>
      <c r="J850" s="27"/>
      <c r="L850" s="27"/>
      <c r="M850" s="27"/>
      <c r="N850" s="27"/>
    </row>
    <row r="851">
      <c r="F851" s="27"/>
      <c r="G851" s="27"/>
      <c r="H851" s="27"/>
      <c r="J851" s="27"/>
      <c r="L851" s="27"/>
      <c r="M851" s="27"/>
      <c r="N851" s="27"/>
    </row>
    <row r="852">
      <c r="F852" s="27"/>
      <c r="G852" s="27"/>
      <c r="H852" s="27"/>
      <c r="J852" s="27"/>
      <c r="L852" s="27"/>
      <c r="M852" s="27"/>
      <c r="N852" s="27"/>
    </row>
    <row r="853">
      <c r="F853" s="27"/>
      <c r="G853" s="27"/>
      <c r="H853" s="27"/>
      <c r="J853" s="27"/>
      <c r="L853" s="27"/>
      <c r="M853" s="27"/>
      <c r="N853" s="27"/>
    </row>
    <row r="854">
      <c r="F854" s="27"/>
      <c r="G854" s="27"/>
      <c r="H854" s="27"/>
      <c r="J854" s="27"/>
      <c r="L854" s="27"/>
      <c r="M854" s="27"/>
      <c r="N854" s="27"/>
    </row>
    <row r="855">
      <c r="F855" s="27"/>
      <c r="G855" s="27"/>
      <c r="H855" s="27"/>
      <c r="J855" s="27"/>
      <c r="L855" s="27"/>
      <c r="M855" s="27"/>
      <c r="N855" s="27"/>
    </row>
    <row r="856">
      <c r="F856" s="27"/>
      <c r="G856" s="27"/>
      <c r="H856" s="27"/>
      <c r="J856" s="27"/>
      <c r="L856" s="27"/>
      <c r="M856" s="27"/>
      <c r="N856" s="27"/>
    </row>
    <row r="857">
      <c r="F857" s="27"/>
      <c r="G857" s="27"/>
      <c r="H857" s="27"/>
      <c r="J857" s="27"/>
      <c r="L857" s="27"/>
      <c r="M857" s="27"/>
      <c r="N857" s="27"/>
    </row>
    <row r="858">
      <c r="F858" s="27"/>
      <c r="G858" s="27"/>
      <c r="H858" s="27"/>
      <c r="J858" s="27"/>
      <c r="L858" s="27"/>
      <c r="M858" s="27"/>
      <c r="N858" s="27"/>
    </row>
    <row r="859">
      <c r="F859" s="27"/>
      <c r="G859" s="27"/>
      <c r="H859" s="27"/>
      <c r="J859" s="27"/>
      <c r="L859" s="27"/>
      <c r="M859" s="27"/>
      <c r="N859" s="27"/>
    </row>
    <row r="860">
      <c r="F860" s="27"/>
      <c r="G860" s="27"/>
      <c r="H860" s="27"/>
      <c r="J860" s="27"/>
      <c r="L860" s="27"/>
      <c r="M860" s="27"/>
      <c r="N860" s="27"/>
    </row>
    <row r="861">
      <c r="F861" s="27"/>
      <c r="G861" s="27"/>
      <c r="H861" s="27"/>
      <c r="J861" s="27"/>
      <c r="L861" s="27"/>
      <c r="M861" s="27"/>
      <c r="N861" s="27"/>
    </row>
    <row r="862">
      <c r="F862" s="27"/>
      <c r="G862" s="27"/>
      <c r="H862" s="27"/>
      <c r="J862" s="27"/>
      <c r="L862" s="27"/>
      <c r="M862" s="27"/>
      <c r="N862" s="27"/>
    </row>
    <row r="863">
      <c r="F863" s="27"/>
      <c r="G863" s="27"/>
      <c r="H863" s="27"/>
      <c r="J863" s="27"/>
      <c r="L863" s="27"/>
      <c r="M863" s="27"/>
      <c r="N863" s="27"/>
    </row>
    <row r="864">
      <c r="F864" s="27"/>
      <c r="G864" s="27"/>
      <c r="H864" s="27"/>
      <c r="J864" s="27"/>
      <c r="L864" s="27"/>
      <c r="M864" s="27"/>
      <c r="N864" s="27"/>
    </row>
    <row r="865">
      <c r="F865" s="27"/>
      <c r="G865" s="27"/>
      <c r="H865" s="27"/>
      <c r="J865" s="27"/>
      <c r="L865" s="27"/>
      <c r="M865" s="27"/>
      <c r="N865" s="27"/>
    </row>
    <row r="866">
      <c r="F866" s="27"/>
      <c r="G866" s="27"/>
      <c r="H866" s="27"/>
      <c r="J866" s="27"/>
      <c r="L866" s="27"/>
      <c r="M866" s="27"/>
      <c r="N866" s="27"/>
    </row>
    <row r="867">
      <c r="F867" s="27"/>
      <c r="G867" s="27"/>
      <c r="H867" s="27"/>
      <c r="J867" s="27"/>
      <c r="L867" s="27"/>
      <c r="M867" s="27"/>
      <c r="N867" s="27"/>
    </row>
    <row r="868">
      <c r="F868" s="27"/>
      <c r="G868" s="27"/>
      <c r="H868" s="27"/>
      <c r="J868" s="27"/>
      <c r="L868" s="27"/>
      <c r="M868" s="27"/>
      <c r="N868" s="27"/>
    </row>
    <row r="869">
      <c r="F869" s="27"/>
      <c r="G869" s="27"/>
      <c r="H869" s="27"/>
      <c r="J869" s="27"/>
      <c r="L869" s="27"/>
      <c r="M869" s="27"/>
      <c r="N869" s="27"/>
    </row>
    <row r="870">
      <c r="F870" s="27"/>
      <c r="G870" s="27"/>
      <c r="H870" s="27"/>
      <c r="J870" s="27"/>
      <c r="L870" s="27"/>
      <c r="M870" s="27"/>
      <c r="N870" s="27"/>
    </row>
    <row r="871">
      <c r="F871" s="27"/>
      <c r="G871" s="27"/>
      <c r="H871" s="27"/>
      <c r="J871" s="27"/>
      <c r="L871" s="27"/>
      <c r="M871" s="27"/>
      <c r="N871" s="27"/>
    </row>
    <row r="872">
      <c r="F872" s="27"/>
      <c r="G872" s="27"/>
      <c r="H872" s="27"/>
      <c r="J872" s="27"/>
      <c r="L872" s="27"/>
      <c r="M872" s="27"/>
      <c r="N872" s="27"/>
    </row>
    <row r="873">
      <c r="F873" s="27"/>
      <c r="G873" s="27"/>
      <c r="H873" s="27"/>
      <c r="J873" s="27"/>
      <c r="L873" s="27"/>
      <c r="M873" s="27"/>
      <c r="N873" s="27"/>
    </row>
    <row r="874">
      <c r="F874" s="27"/>
      <c r="G874" s="27"/>
      <c r="H874" s="27"/>
      <c r="J874" s="27"/>
      <c r="L874" s="27"/>
      <c r="M874" s="27"/>
      <c r="N874" s="27"/>
    </row>
    <row r="875">
      <c r="F875" s="27"/>
      <c r="G875" s="27"/>
      <c r="H875" s="27"/>
      <c r="J875" s="27"/>
      <c r="L875" s="27"/>
      <c r="M875" s="27"/>
      <c r="N875" s="27"/>
    </row>
    <row r="876">
      <c r="F876" s="27"/>
      <c r="G876" s="27"/>
      <c r="H876" s="27"/>
      <c r="J876" s="27"/>
      <c r="L876" s="27"/>
      <c r="M876" s="27"/>
      <c r="N876" s="27"/>
    </row>
    <row r="877">
      <c r="F877" s="27"/>
      <c r="G877" s="27"/>
      <c r="H877" s="27"/>
      <c r="J877" s="27"/>
      <c r="L877" s="27"/>
      <c r="M877" s="27"/>
      <c r="N877" s="27"/>
    </row>
    <row r="878">
      <c r="F878" s="27"/>
      <c r="G878" s="27"/>
      <c r="H878" s="27"/>
      <c r="J878" s="27"/>
      <c r="L878" s="27"/>
      <c r="M878" s="27"/>
      <c r="N878" s="27"/>
    </row>
    <row r="879">
      <c r="F879" s="27"/>
      <c r="G879" s="27"/>
      <c r="H879" s="27"/>
      <c r="J879" s="27"/>
      <c r="L879" s="27"/>
      <c r="M879" s="27"/>
      <c r="N879" s="27"/>
    </row>
    <row r="880">
      <c r="F880" s="27"/>
      <c r="G880" s="27"/>
      <c r="H880" s="27"/>
      <c r="J880" s="27"/>
      <c r="L880" s="27"/>
      <c r="M880" s="27"/>
      <c r="N880" s="27"/>
    </row>
    <row r="881">
      <c r="F881" s="27"/>
      <c r="G881" s="27"/>
      <c r="H881" s="27"/>
      <c r="J881" s="27"/>
      <c r="L881" s="27"/>
      <c r="M881" s="27"/>
      <c r="N881" s="27"/>
    </row>
    <row r="882">
      <c r="F882" s="27"/>
      <c r="G882" s="27"/>
      <c r="H882" s="27"/>
      <c r="J882" s="27"/>
      <c r="L882" s="27"/>
      <c r="M882" s="27"/>
      <c r="N882" s="27"/>
    </row>
    <row r="883">
      <c r="F883" s="27"/>
      <c r="G883" s="27"/>
      <c r="H883" s="27"/>
      <c r="J883" s="27"/>
      <c r="L883" s="27"/>
      <c r="M883" s="27"/>
      <c r="N883" s="27"/>
    </row>
    <row r="884">
      <c r="F884" s="27"/>
      <c r="G884" s="27"/>
      <c r="H884" s="27"/>
      <c r="J884" s="27"/>
      <c r="L884" s="27"/>
      <c r="M884" s="27"/>
      <c r="N884" s="27"/>
    </row>
    <row r="885">
      <c r="F885" s="27"/>
      <c r="G885" s="27"/>
      <c r="H885" s="27"/>
      <c r="J885" s="27"/>
      <c r="L885" s="27"/>
      <c r="M885" s="27"/>
      <c r="N885" s="27"/>
    </row>
    <row r="886">
      <c r="F886" s="27"/>
      <c r="G886" s="27"/>
      <c r="H886" s="27"/>
      <c r="J886" s="27"/>
      <c r="L886" s="27"/>
      <c r="M886" s="27"/>
      <c r="N886" s="27"/>
    </row>
    <row r="887">
      <c r="F887" s="27"/>
      <c r="G887" s="27"/>
      <c r="H887" s="27"/>
      <c r="J887" s="27"/>
      <c r="L887" s="27"/>
      <c r="M887" s="27"/>
      <c r="N887" s="27"/>
    </row>
    <row r="888">
      <c r="F888" s="27"/>
      <c r="G888" s="27"/>
      <c r="H888" s="27"/>
      <c r="J888" s="27"/>
      <c r="L888" s="27"/>
      <c r="M888" s="27"/>
      <c r="N888" s="27"/>
    </row>
    <row r="889">
      <c r="F889" s="27"/>
      <c r="G889" s="27"/>
      <c r="H889" s="27"/>
      <c r="J889" s="27"/>
      <c r="L889" s="27"/>
      <c r="M889" s="27"/>
      <c r="N889" s="27"/>
    </row>
    <row r="890">
      <c r="F890" s="27"/>
      <c r="G890" s="27"/>
      <c r="H890" s="27"/>
      <c r="J890" s="27"/>
      <c r="L890" s="27"/>
      <c r="M890" s="27"/>
      <c r="N890" s="27"/>
    </row>
    <row r="891">
      <c r="F891" s="27"/>
      <c r="G891" s="27"/>
      <c r="H891" s="27"/>
      <c r="J891" s="27"/>
      <c r="L891" s="27"/>
      <c r="M891" s="27"/>
      <c r="N891" s="27"/>
    </row>
    <row r="892">
      <c r="F892" s="27"/>
      <c r="G892" s="27"/>
      <c r="H892" s="27"/>
      <c r="J892" s="27"/>
      <c r="L892" s="27"/>
      <c r="M892" s="27"/>
      <c r="N892" s="27"/>
    </row>
    <row r="893">
      <c r="F893" s="27"/>
      <c r="G893" s="27"/>
      <c r="H893" s="27"/>
      <c r="J893" s="27"/>
      <c r="L893" s="27"/>
      <c r="M893" s="27"/>
      <c r="N893" s="27"/>
    </row>
    <row r="894">
      <c r="F894" s="27"/>
      <c r="G894" s="27"/>
      <c r="H894" s="27"/>
      <c r="J894" s="27"/>
      <c r="L894" s="27"/>
      <c r="M894" s="27"/>
      <c r="N894" s="27"/>
    </row>
    <row r="895">
      <c r="F895" s="27"/>
      <c r="G895" s="27"/>
      <c r="H895" s="27"/>
      <c r="J895" s="27"/>
      <c r="L895" s="27"/>
      <c r="M895" s="27"/>
      <c r="N895" s="27"/>
    </row>
    <row r="896">
      <c r="F896" s="27"/>
      <c r="G896" s="27"/>
      <c r="H896" s="27"/>
      <c r="J896" s="27"/>
      <c r="L896" s="27"/>
      <c r="M896" s="27"/>
      <c r="N896" s="27"/>
    </row>
    <row r="897">
      <c r="F897" s="27"/>
      <c r="G897" s="27"/>
      <c r="H897" s="27"/>
      <c r="J897" s="27"/>
      <c r="L897" s="27"/>
      <c r="M897" s="27"/>
      <c r="N897" s="27"/>
    </row>
    <row r="898">
      <c r="F898" s="27"/>
      <c r="G898" s="27"/>
      <c r="H898" s="27"/>
      <c r="J898" s="27"/>
      <c r="L898" s="27"/>
      <c r="M898" s="27"/>
      <c r="N898" s="27"/>
    </row>
    <row r="899">
      <c r="F899" s="27"/>
      <c r="G899" s="27"/>
      <c r="H899" s="27"/>
      <c r="J899" s="27"/>
      <c r="L899" s="27"/>
      <c r="M899" s="27"/>
      <c r="N899" s="27"/>
    </row>
    <row r="900">
      <c r="F900" s="27"/>
      <c r="G900" s="27"/>
      <c r="H900" s="27"/>
      <c r="J900" s="27"/>
      <c r="L900" s="27"/>
      <c r="M900" s="27"/>
      <c r="N900" s="27"/>
    </row>
    <row r="901">
      <c r="F901" s="27"/>
      <c r="G901" s="27"/>
      <c r="H901" s="27"/>
      <c r="J901" s="27"/>
      <c r="L901" s="27"/>
      <c r="M901" s="27"/>
      <c r="N901" s="27"/>
    </row>
    <row r="902">
      <c r="F902" s="27"/>
      <c r="G902" s="27"/>
      <c r="H902" s="27"/>
      <c r="J902" s="27"/>
      <c r="L902" s="27"/>
      <c r="M902" s="27"/>
      <c r="N902" s="27"/>
    </row>
    <row r="903">
      <c r="F903" s="27"/>
      <c r="G903" s="27"/>
      <c r="H903" s="27"/>
      <c r="J903" s="27"/>
      <c r="L903" s="27"/>
      <c r="M903" s="27"/>
      <c r="N903" s="27"/>
    </row>
    <row r="904">
      <c r="F904" s="27"/>
      <c r="G904" s="27"/>
      <c r="H904" s="27"/>
      <c r="J904" s="27"/>
      <c r="L904" s="27"/>
      <c r="M904" s="27"/>
      <c r="N904" s="27"/>
    </row>
    <row r="905">
      <c r="F905" s="27"/>
      <c r="G905" s="27"/>
      <c r="H905" s="27"/>
      <c r="J905" s="27"/>
      <c r="L905" s="27"/>
      <c r="M905" s="27"/>
      <c r="N905" s="27"/>
    </row>
    <row r="906">
      <c r="F906" s="27"/>
      <c r="G906" s="27"/>
      <c r="H906" s="27"/>
      <c r="J906" s="27"/>
      <c r="L906" s="27"/>
      <c r="M906" s="27"/>
      <c r="N906" s="27"/>
    </row>
    <row r="907">
      <c r="F907" s="27"/>
      <c r="G907" s="27"/>
      <c r="H907" s="27"/>
      <c r="J907" s="27"/>
      <c r="L907" s="27"/>
      <c r="M907" s="27"/>
      <c r="N907" s="27"/>
    </row>
    <row r="908">
      <c r="F908" s="27"/>
      <c r="G908" s="27"/>
      <c r="H908" s="27"/>
      <c r="J908" s="27"/>
      <c r="L908" s="27"/>
      <c r="M908" s="27"/>
      <c r="N908" s="27"/>
    </row>
    <row r="909">
      <c r="F909" s="27"/>
      <c r="G909" s="27"/>
      <c r="H909" s="27"/>
      <c r="J909" s="27"/>
      <c r="L909" s="27"/>
      <c r="M909" s="27"/>
      <c r="N909" s="27"/>
    </row>
    <row r="910">
      <c r="F910" s="27"/>
      <c r="G910" s="27"/>
      <c r="H910" s="27"/>
      <c r="J910" s="27"/>
      <c r="L910" s="27"/>
      <c r="M910" s="27"/>
      <c r="N910" s="27"/>
    </row>
    <row r="911">
      <c r="F911" s="27"/>
      <c r="G911" s="27"/>
      <c r="H911" s="27"/>
      <c r="J911" s="27"/>
      <c r="L911" s="27"/>
      <c r="M911" s="27"/>
      <c r="N911" s="27"/>
    </row>
    <row r="912">
      <c r="F912" s="27"/>
      <c r="G912" s="27"/>
      <c r="H912" s="27"/>
      <c r="J912" s="27"/>
      <c r="L912" s="27"/>
      <c r="M912" s="27"/>
      <c r="N912" s="27"/>
    </row>
    <row r="913">
      <c r="F913" s="27"/>
      <c r="G913" s="27"/>
      <c r="H913" s="27"/>
      <c r="J913" s="27"/>
      <c r="L913" s="27"/>
      <c r="M913" s="27"/>
      <c r="N913" s="27"/>
    </row>
    <row r="914">
      <c r="F914" s="27"/>
      <c r="G914" s="27"/>
      <c r="H914" s="27"/>
      <c r="J914" s="27"/>
      <c r="L914" s="27"/>
      <c r="M914" s="27"/>
      <c r="N914" s="27"/>
    </row>
    <row r="915">
      <c r="F915" s="27"/>
      <c r="G915" s="27"/>
      <c r="H915" s="27"/>
      <c r="J915" s="27"/>
      <c r="L915" s="27"/>
      <c r="M915" s="27"/>
      <c r="N915" s="27"/>
    </row>
    <row r="916">
      <c r="F916" s="27"/>
      <c r="G916" s="27"/>
      <c r="H916" s="27"/>
      <c r="J916" s="27"/>
      <c r="L916" s="27"/>
      <c r="M916" s="27"/>
      <c r="N916" s="27"/>
    </row>
    <row r="917">
      <c r="F917" s="27"/>
      <c r="G917" s="27"/>
      <c r="H917" s="27"/>
      <c r="J917" s="27"/>
      <c r="L917" s="27"/>
      <c r="M917" s="27"/>
      <c r="N917" s="27"/>
    </row>
    <row r="918">
      <c r="F918" s="27"/>
      <c r="G918" s="27"/>
      <c r="H918" s="27"/>
      <c r="J918" s="27"/>
      <c r="L918" s="27"/>
      <c r="M918" s="27"/>
      <c r="N918" s="27"/>
    </row>
    <row r="919">
      <c r="F919" s="27"/>
      <c r="G919" s="27"/>
      <c r="H919" s="27"/>
      <c r="J919" s="27"/>
      <c r="L919" s="27"/>
      <c r="M919" s="27"/>
      <c r="N919" s="27"/>
    </row>
    <row r="920">
      <c r="F920" s="27"/>
      <c r="G920" s="27"/>
      <c r="H920" s="27"/>
      <c r="J920" s="27"/>
      <c r="L920" s="27"/>
      <c r="M920" s="27"/>
      <c r="N920" s="27"/>
    </row>
    <row r="921">
      <c r="F921" s="27"/>
      <c r="G921" s="27"/>
      <c r="H921" s="27"/>
      <c r="J921" s="27"/>
      <c r="L921" s="27"/>
      <c r="M921" s="27"/>
      <c r="N921" s="27"/>
    </row>
    <row r="922">
      <c r="F922" s="27"/>
      <c r="G922" s="27"/>
      <c r="H922" s="27"/>
      <c r="J922" s="27"/>
      <c r="L922" s="27"/>
      <c r="M922" s="27"/>
      <c r="N922" s="27"/>
    </row>
    <row r="923">
      <c r="F923" s="27"/>
      <c r="G923" s="27"/>
      <c r="H923" s="27"/>
      <c r="J923" s="27"/>
      <c r="L923" s="27"/>
      <c r="M923" s="27"/>
      <c r="N923" s="27"/>
    </row>
    <row r="924">
      <c r="F924" s="27"/>
      <c r="G924" s="27"/>
      <c r="H924" s="27"/>
      <c r="J924" s="27"/>
      <c r="L924" s="27"/>
      <c r="M924" s="27"/>
      <c r="N924" s="27"/>
    </row>
    <row r="925">
      <c r="F925" s="27"/>
      <c r="G925" s="27"/>
      <c r="H925" s="27"/>
      <c r="J925" s="27"/>
      <c r="L925" s="27"/>
      <c r="M925" s="27"/>
      <c r="N925" s="27"/>
    </row>
    <row r="926">
      <c r="F926" s="27"/>
      <c r="G926" s="27"/>
      <c r="H926" s="27"/>
      <c r="J926" s="27"/>
      <c r="L926" s="27"/>
      <c r="M926" s="27"/>
      <c r="N926" s="27"/>
    </row>
    <row r="927">
      <c r="F927" s="27"/>
      <c r="G927" s="27"/>
      <c r="H927" s="27"/>
      <c r="J927" s="27"/>
      <c r="L927" s="27"/>
      <c r="M927" s="27"/>
      <c r="N927" s="27"/>
    </row>
    <row r="928">
      <c r="F928" s="27"/>
      <c r="G928" s="27"/>
      <c r="H928" s="27"/>
      <c r="J928" s="27"/>
      <c r="L928" s="27"/>
      <c r="M928" s="27"/>
      <c r="N928" s="27"/>
    </row>
    <row r="929">
      <c r="F929" s="27"/>
      <c r="G929" s="27"/>
      <c r="H929" s="27"/>
      <c r="J929" s="27"/>
      <c r="L929" s="27"/>
      <c r="M929" s="27"/>
      <c r="N929" s="27"/>
    </row>
    <row r="930">
      <c r="F930" s="27"/>
      <c r="G930" s="27"/>
      <c r="H930" s="27"/>
      <c r="J930" s="27"/>
      <c r="L930" s="27"/>
      <c r="M930" s="27"/>
      <c r="N930" s="27"/>
    </row>
    <row r="931">
      <c r="F931" s="27"/>
      <c r="G931" s="27"/>
      <c r="H931" s="27"/>
      <c r="J931" s="27"/>
      <c r="L931" s="27"/>
      <c r="M931" s="27"/>
      <c r="N931" s="27"/>
    </row>
    <row r="932">
      <c r="F932" s="27"/>
      <c r="G932" s="27"/>
      <c r="H932" s="27"/>
      <c r="J932" s="27"/>
      <c r="L932" s="27"/>
      <c r="M932" s="27"/>
      <c r="N932" s="27"/>
    </row>
    <row r="933">
      <c r="F933" s="27"/>
      <c r="G933" s="27"/>
      <c r="H933" s="27"/>
      <c r="J933" s="27"/>
      <c r="L933" s="27"/>
      <c r="M933" s="27"/>
      <c r="N933" s="27"/>
    </row>
    <row r="934">
      <c r="F934" s="27"/>
      <c r="G934" s="27"/>
      <c r="H934" s="27"/>
      <c r="J934" s="27"/>
      <c r="L934" s="27"/>
      <c r="M934" s="27"/>
      <c r="N934" s="27"/>
    </row>
    <row r="935">
      <c r="F935" s="27"/>
      <c r="G935" s="27"/>
      <c r="H935" s="27"/>
      <c r="J935" s="27"/>
      <c r="L935" s="27"/>
      <c r="M935" s="27"/>
      <c r="N935" s="27"/>
    </row>
    <row r="936">
      <c r="F936" s="27"/>
      <c r="G936" s="27"/>
      <c r="H936" s="27"/>
      <c r="J936" s="27"/>
      <c r="L936" s="27"/>
      <c r="M936" s="27"/>
      <c r="N936" s="27"/>
    </row>
    <row r="937">
      <c r="F937" s="27"/>
      <c r="G937" s="27"/>
      <c r="H937" s="27"/>
      <c r="J937" s="27"/>
      <c r="L937" s="27"/>
      <c r="M937" s="27"/>
      <c r="N937" s="27"/>
    </row>
    <row r="938">
      <c r="F938" s="27"/>
      <c r="G938" s="27"/>
      <c r="H938" s="27"/>
      <c r="J938" s="27"/>
      <c r="L938" s="27"/>
      <c r="M938" s="27"/>
      <c r="N938" s="27"/>
    </row>
    <row r="939">
      <c r="F939" s="27"/>
      <c r="G939" s="27"/>
      <c r="H939" s="27"/>
      <c r="J939" s="27"/>
      <c r="L939" s="27"/>
      <c r="M939" s="27"/>
      <c r="N939" s="27"/>
    </row>
    <row r="940">
      <c r="F940" s="27"/>
      <c r="G940" s="27"/>
      <c r="H940" s="27"/>
      <c r="J940" s="27"/>
      <c r="L940" s="27"/>
      <c r="M940" s="27"/>
      <c r="N940" s="27"/>
    </row>
    <row r="941">
      <c r="F941" s="27"/>
      <c r="G941" s="27"/>
      <c r="H941" s="27"/>
      <c r="J941" s="27"/>
      <c r="L941" s="27"/>
      <c r="M941" s="27"/>
      <c r="N941" s="27"/>
    </row>
    <row r="942">
      <c r="F942" s="27"/>
      <c r="G942" s="27"/>
      <c r="H942" s="27"/>
      <c r="J942" s="27"/>
      <c r="L942" s="27"/>
      <c r="M942" s="27"/>
      <c r="N942" s="27"/>
    </row>
    <row r="943">
      <c r="F943" s="27"/>
      <c r="G943" s="27"/>
      <c r="H943" s="27"/>
      <c r="J943" s="27"/>
      <c r="L943" s="27"/>
      <c r="M943" s="27"/>
      <c r="N943" s="27"/>
    </row>
    <row r="944">
      <c r="F944" s="27"/>
      <c r="G944" s="27"/>
      <c r="H944" s="27"/>
      <c r="J944" s="27"/>
      <c r="L944" s="27"/>
      <c r="M944" s="27"/>
      <c r="N944" s="27"/>
    </row>
    <row r="945">
      <c r="F945" s="27"/>
      <c r="G945" s="27"/>
      <c r="H945" s="27"/>
      <c r="J945" s="27"/>
      <c r="L945" s="27"/>
      <c r="M945" s="27"/>
      <c r="N945" s="27"/>
    </row>
    <row r="946">
      <c r="F946" s="27"/>
      <c r="G946" s="27"/>
      <c r="H946" s="27"/>
      <c r="J946" s="27"/>
      <c r="L946" s="27"/>
      <c r="M946" s="27"/>
      <c r="N946" s="27"/>
    </row>
    <row r="947">
      <c r="F947" s="27"/>
      <c r="G947" s="27"/>
      <c r="H947" s="27"/>
      <c r="J947" s="27"/>
      <c r="L947" s="27"/>
      <c r="M947" s="27"/>
      <c r="N947" s="27"/>
    </row>
    <row r="948">
      <c r="F948" s="27"/>
      <c r="G948" s="27"/>
      <c r="H948" s="27"/>
      <c r="J948" s="27"/>
      <c r="L948" s="27"/>
      <c r="M948" s="27"/>
      <c r="N948" s="27"/>
    </row>
    <row r="949">
      <c r="F949" s="27"/>
      <c r="G949" s="27"/>
      <c r="H949" s="27"/>
      <c r="J949" s="27"/>
      <c r="L949" s="27"/>
      <c r="M949" s="27"/>
      <c r="N949" s="27"/>
    </row>
    <row r="950">
      <c r="F950" s="27"/>
      <c r="G950" s="27"/>
      <c r="H950" s="27"/>
      <c r="J950" s="27"/>
      <c r="L950" s="27"/>
      <c r="M950" s="27"/>
      <c r="N950" s="27"/>
    </row>
    <row r="951">
      <c r="F951" s="27"/>
      <c r="G951" s="27"/>
      <c r="H951" s="27"/>
      <c r="J951" s="27"/>
      <c r="L951" s="27"/>
      <c r="M951" s="27"/>
      <c r="N951" s="27"/>
    </row>
    <row r="952">
      <c r="F952" s="27"/>
      <c r="G952" s="27"/>
      <c r="H952" s="27"/>
      <c r="J952" s="27"/>
      <c r="L952" s="27"/>
      <c r="M952" s="27"/>
      <c r="N952" s="27"/>
    </row>
    <row r="953">
      <c r="F953" s="27"/>
      <c r="G953" s="27"/>
      <c r="H953" s="27"/>
      <c r="J953" s="27"/>
      <c r="L953" s="27"/>
      <c r="M953" s="27"/>
      <c r="N953" s="27"/>
    </row>
    <row r="954">
      <c r="F954" s="27"/>
      <c r="G954" s="27"/>
      <c r="H954" s="27"/>
      <c r="J954" s="27"/>
      <c r="L954" s="27"/>
      <c r="M954" s="27"/>
      <c r="N954" s="27"/>
    </row>
    <row r="955">
      <c r="F955" s="27"/>
      <c r="G955" s="27"/>
      <c r="H955" s="27"/>
      <c r="J955" s="27"/>
      <c r="L955" s="27"/>
      <c r="M955" s="27"/>
      <c r="N955" s="27"/>
    </row>
    <row r="956">
      <c r="F956" s="27"/>
      <c r="G956" s="27"/>
      <c r="H956" s="27"/>
      <c r="J956" s="27"/>
      <c r="L956" s="27"/>
      <c r="M956" s="27"/>
      <c r="N956" s="27"/>
    </row>
    <row r="957">
      <c r="F957" s="27"/>
      <c r="G957" s="27"/>
      <c r="H957" s="27"/>
      <c r="J957" s="27"/>
      <c r="L957" s="27"/>
      <c r="M957" s="27"/>
      <c r="N957" s="27"/>
    </row>
    <row r="958">
      <c r="F958" s="27"/>
      <c r="G958" s="27"/>
      <c r="H958" s="27"/>
      <c r="J958" s="27"/>
      <c r="L958" s="27"/>
      <c r="M958" s="27"/>
      <c r="N958" s="27"/>
    </row>
    <row r="959">
      <c r="F959" s="27"/>
      <c r="G959" s="27"/>
      <c r="H959" s="27"/>
      <c r="J959" s="27"/>
      <c r="L959" s="27"/>
      <c r="M959" s="27"/>
      <c r="N959" s="27"/>
    </row>
    <row r="960">
      <c r="F960" s="27"/>
      <c r="G960" s="27"/>
      <c r="H960" s="27"/>
      <c r="J960" s="27"/>
      <c r="L960" s="27"/>
      <c r="M960" s="27"/>
      <c r="N960" s="27"/>
    </row>
    <row r="961">
      <c r="F961" s="27"/>
      <c r="G961" s="27"/>
      <c r="H961" s="27"/>
      <c r="J961" s="27"/>
      <c r="L961" s="27"/>
      <c r="M961" s="27"/>
      <c r="N961" s="27"/>
    </row>
    <row r="962">
      <c r="F962" s="27"/>
      <c r="G962" s="27"/>
      <c r="H962" s="27"/>
      <c r="J962" s="27"/>
      <c r="L962" s="27"/>
      <c r="M962" s="27"/>
      <c r="N962" s="27"/>
    </row>
    <row r="963">
      <c r="F963" s="27"/>
      <c r="G963" s="27"/>
      <c r="H963" s="27"/>
      <c r="J963" s="27"/>
      <c r="L963" s="27"/>
      <c r="M963" s="27"/>
      <c r="N963" s="27"/>
    </row>
    <row r="964">
      <c r="F964" s="27"/>
      <c r="G964" s="27"/>
      <c r="H964" s="27"/>
      <c r="J964" s="27"/>
      <c r="L964" s="27"/>
      <c r="M964" s="27"/>
      <c r="N964" s="27"/>
    </row>
    <row r="965">
      <c r="F965" s="27"/>
      <c r="G965" s="27"/>
      <c r="H965" s="27"/>
      <c r="J965" s="27"/>
      <c r="L965" s="27"/>
      <c r="M965" s="27"/>
      <c r="N965" s="27"/>
    </row>
    <row r="966">
      <c r="F966" s="27"/>
      <c r="G966" s="27"/>
      <c r="H966" s="27"/>
      <c r="J966" s="27"/>
      <c r="L966" s="27"/>
      <c r="M966" s="27"/>
      <c r="N966" s="27"/>
    </row>
    <row r="967">
      <c r="F967" s="27"/>
      <c r="G967" s="27"/>
      <c r="H967" s="27"/>
      <c r="J967" s="27"/>
      <c r="L967" s="27"/>
      <c r="M967" s="27"/>
      <c r="N967" s="27"/>
    </row>
    <row r="968">
      <c r="F968" s="27"/>
      <c r="G968" s="27"/>
      <c r="H968" s="27"/>
      <c r="J968" s="27"/>
      <c r="L968" s="27"/>
      <c r="M968" s="27"/>
      <c r="N968" s="27"/>
    </row>
    <row r="969">
      <c r="F969" s="27"/>
      <c r="G969" s="27"/>
      <c r="H969" s="27"/>
      <c r="J969" s="27"/>
      <c r="L969" s="27"/>
      <c r="M969" s="27"/>
      <c r="N969" s="27"/>
    </row>
    <row r="970">
      <c r="F970" s="27"/>
      <c r="G970" s="27"/>
      <c r="H970" s="27"/>
      <c r="J970" s="27"/>
      <c r="L970" s="27"/>
      <c r="M970" s="27"/>
      <c r="N970" s="27"/>
    </row>
    <row r="971">
      <c r="F971" s="27"/>
      <c r="G971" s="27"/>
      <c r="H971" s="27"/>
      <c r="J971" s="27"/>
      <c r="L971" s="27"/>
      <c r="M971" s="27"/>
      <c r="N971" s="27"/>
    </row>
    <row r="972">
      <c r="F972" s="27"/>
      <c r="G972" s="27"/>
      <c r="H972" s="27"/>
      <c r="J972" s="27"/>
      <c r="L972" s="27"/>
      <c r="M972" s="27"/>
      <c r="N972" s="27"/>
    </row>
    <row r="973">
      <c r="F973" s="27"/>
      <c r="G973" s="27"/>
      <c r="H973" s="27"/>
      <c r="J973" s="27"/>
      <c r="L973" s="27"/>
      <c r="M973" s="27"/>
      <c r="N973" s="27"/>
    </row>
    <row r="974">
      <c r="F974" s="27"/>
      <c r="G974" s="27"/>
      <c r="H974" s="27"/>
      <c r="J974" s="27"/>
      <c r="L974" s="27"/>
      <c r="M974" s="27"/>
      <c r="N974" s="27"/>
    </row>
    <row r="975">
      <c r="F975" s="27"/>
      <c r="G975" s="27"/>
      <c r="H975" s="27"/>
      <c r="J975" s="27"/>
      <c r="L975" s="27"/>
      <c r="M975" s="27"/>
      <c r="N975" s="27"/>
    </row>
    <row r="976">
      <c r="F976" s="27"/>
      <c r="G976" s="27"/>
      <c r="H976" s="27"/>
      <c r="J976" s="27"/>
      <c r="L976" s="27"/>
      <c r="M976" s="27"/>
      <c r="N976" s="27"/>
    </row>
    <row r="977">
      <c r="F977" s="27"/>
      <c r="G977" s="27"/>
      <c r="H977" s="27"/>
      <c r="J977" s="27"/>
      <c r="L977" s="27"/>
      <c r="M977" s="27"/>
      <c r="N977" s="27"/>
    </row>
    <row r="978">
      <c r="F978" s="27"/>
      <c r="G978" s="27"/>
      <c r="H978" s="27"/>
      <c r="J978" s="27"/>
      <c r="L978" s="27"/>
      <c r="M978" s="27"/>
      <c r="N978" s="27"/>
    </row>
    <row r="979">
      <c r="F979" s="27"/>
      <c r="G979" s="27"/>
      <c r="H979" s="27"/>
      <c r="J979" s="27"/>
      <c r="L979" s="27"/>
      <c r="M979" s="27"/>
      <c r="N979" s="27"/>
    </row>
    <row r="980">
      <c r="F980" s="27"/>
      <c r="G980" s="27"/>
      <c r="H980" s="27"/>
      <c r="J980" s="27"/>
      <c r="L980" s="27"/>
      <c r="M980" s="27"/>
      <c r="N980" s="27"/>
    </row>
    <row r="981">
      <c r="F981" s="27"/>
      <c r="G981" s="27"/>
      <c r="H981" s="27"/>
      <c r="J981" s="27"/>
      <c r="L981" s="27"/>
      <c r="M981" s="27"/>
      <c r="N981" s="27"/>
    </row>
    <row r="982">
      <c r="F982" s="27"/>
      <c r="G982" s="27"/>
      <c r="H982" s="27"/>
      <c r="J982" s="27"/>
      <c r="L982" s="27"/>
      <c r="M982" s="27"/>
      <c r="N982" s="27"/>
    </row>
    <row r="983">
      <c r="F983" s="27"/>
      <c r="G983" s="27"/>
      <c r="H983" s="27"/>
      <c r="J983" s="27"/>
      <c r="L983" s="27"/>
      <c r="M983" s="27"/>
      <c r="N983" s="27"/>
    </row>
    <row r="984">
      <c r="F984" s="27"/>
      <c r="G984" s="27"/>
      <c r="H984" s="27"/>
      <c r="J984" s="27"/>
      <c r="L984" s="27"/>
      <c r="M984" s="27"/>
      <c r="N984" s="27"/>
    </row>
    <row r="985">
      <c r="F985" s="27"/>
      <c r="G985" s="27"/>
      <c r="H985" s="27"/>
      <c r="J985" s="27"/>
      <c r="L985" s="27"/>
      <c r="M985" s="27"/>
      <c r="N985" s="27"/>
    </row>
    <row r="986">
      <c r="F986" s="27"/>
      <c r="G986" s="27"/>
      <c r="H986" s="27"/>
      <c r="J986" s="27"/>
      <c r="L986" s="27"/>
      <c r="M986" s="27"/>
      <c r="N986" s="27"/>
    </row>
    <row r="987">
      <c r="F987" s="27"/>
      <c r="G987" s="27"/>
      <c r="H987" s="27"/>
      <c r="J987" s="27"/>
      <c r="L987" s="27"/>
      <c r="M987" s="27"/>
      <c r="N987" s="27"/>
    </row>
    <row r="988">
      <c r="F988" s="27"/>
      <c r="G988" s="27"/>
      <c r="H988" s="27"/>
      <c r="J988" s="27"/>
      <c r="L988" s="27"/>
      <c r="M988" s="27"/>
      <c r="N988" s="27"/>
    </row>
    <row r="989">
      <c r="F989" s="27"/>
      <c r="G989" s="27"/>
      <c r="H989" s="27"/>
      <c r="J989" s="27"/>
      <c r="L989" s="27"/>
      <c r="M989" s="27"/>
      <c r="N989" s="27"/>
    </row>
    <row r="990">
      <c r="F990" s="27"/>
      <c r="G990" s="27"/>
      <c r="H990" s="27"/>
      <c r="J990" s="27"/>
      <c r="L990" s="27"/>
      <c r="M990" s="27"/>
      <c r="N990" s="27"/>
    </row>
    <row r="991">
      <c r="F991" s="27"/>
      <c r="G991" s="27"/>
      <c r="H991" s="27"/>
      <c r="J991" s="27"/>
      <c r="L991" s="27"/>
      <c r="M991" s="27"/>
      <c r="N991" s="27"/>
    </row>
    <row r="992">
      <c r="F992" s="27"/>
      <c r="G992" s="27"/>
      <c r="H992" s="27"/>
      <c r="J992" s="27"/>
      <c r="L992" s="27"/>
      <c r="M992" s="27"/>
      <c r="N992" s="27"/>
    </row>
    <row r="993">
      <c r="F993" s="27"/>
      <c r="G993" s="27"/>
      <c r="H993" s="27"/>
      <c r="J993" s="27"/>
      <c r="L993" s="27"/>
      <c r="M993" s="27"/>
      <c r="N993" s="27"/>
    </row>
    <row r="994">
      <c r="F994" s="27"/>
      <c r="G994" s="27"/>
      <c r="H994" s="27"/>
      <c r="J994" s="27"/>
      <c r="L994" s="27"/>
      <c r="M994" s="27"/>
      <c r="N994" s="27"/>
    </row>
    <row r="995">
      <c r="F995" s="27"/>
      <c r="G995" s="27"/>
      <c r="H995" s="27"/>
      <c r="J995" s="27"/>
      <c r="L995" s="27"/>
      <c r="M995" s="27"/>
      <c r="N995" s="27"/>
    </row>
    <row r="996">
      <c r="F996" s="27"/>
      <c r="G996" s="27"/>
      <c r="H996" s="27"/>
      <c r="J996" s="27"/>
      <c r="L996" s="27"/>
      <c r="M996" s="27"/>
      <c r="N996" s="27"/>
    </row>
    <row r="997">
      <c r="F997" s="27"/>
      <c r="G997" s="27"/>
      <c r="H997" s="27"/>
      <c r="J997" s="27"/>
      <c r="L997" s="27"/>
      <c r="M997" s="27"/>
      <c r="N997" s="27"/>
    </row>
    <row r="998">
      <c r="F998" s="27"/>
      <c r="G998" s="27"/>
      <c r="H998" s="27"/>
      <c r="J998" s="27"/>
      <c r="L998" s="27"/>
      <c r="M998" s="27"/>
      <c r="N998" s="27"/>
    </row>
    <row r="999">
      <c r="F999" s="27"/>
      <c r="G999" s="27"/>
      <c r="H999" s="27"/>
      <c r="J999" s="27"/>
      <c r="L999" s="27"/>
      <c r="M999" s="27"/>
      <c r="N999" s="27"/>
    </row>
    <row r="1000">
      <c r="F1000" s="27"/>
      <c r="G1000" s="27"/>
      <c r="H1000" s="27"/>
      <c r="J1000" s="27"/>
      <c r="L1000" s="27"/>
      <c r="M1000" s="27"/>
      <c r="N1000" s="27"/>
    </row>
    <row r="1001">
      <c r="F1001" s="27"/>
      <c r="G1001" s="27"/>
      <c r="H1001" s="27"/>
      <c r="J1001" s="27"/>
      <c r="L1001" s="27"/>
      <c r="M1001" s="27"/>
      <c r="N1001" s="27"/>
    </row>
    <row r="1002">
      <c r="F1002" s="27"/>
      <c r="G1002" s="27"/>
      <c r="H1002" s="27"/>
      <c r="J1002" s="27"/>
      <c r="L1002" s="27"/>
      <c r="M1002" s="27"/>
      <c r="N1002" s="27"/>
    </row>
  </sheetData>
  <conditionalFormatting sqref="D44:E44 K51 D53:L53 K55">
    <cfRule type="cellIs" dxfId="0" priority="1" operator="lessThan">
      <formula>0</formula>
    </cfRule>
  </conditionalFormatting>
  <conditionalFormatting sqref="D53:E53">
    <cfRule type="cellIs" dxfId="0" priority="2" operator="lessThan">
      <formula>0</formula>
    </cfRule>
  </conditionalFormatting>
  <drawing r:id="rId2"/>
  <legacy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20.38"/>
    <col customWidth="1" min="3" max="3" width="9.38"/>
    <col customWidth="1" min="5" max="5" width="14.0"/>
    <col customWidth="1" hidden="1" min="6" max="6" width="14.63"/>
    <col customWidth="1" hidden="1" min="7" max="7" width="12.38"/>
    <col customWidth="1" hidden="1" min="8" max="8" width="13.25"/>
    <col customWidth="1" min="9" max="9" width="16.38"/>
    <col customWidth="1" min="10" max="11" width="12.75"/>
    <col customWidth="1" min="12" max="12" width="14.0"/>
    <col customWidth="1" min="13" max="13" width="14.63"/>
    <col customWidth="1" min="14" max="14" width="20.63"/>
    <col customWidth="1" min="15" max="15" width="23.38"/>
    <col customWidth="1" min="16" max="16" width="11.25"/>
    <col customWidth="1" min="17" max="17" width="9.25"/>
    <col customWidth="1" min="18" max="19" width="9.5"/>
    <col customWidth="1" min="22" max="22" width="9.88"/>
    <col customWidth="1" min="23" max="23" width="8.13"/>
  </cols>
  <sheetData>
    <row r="1">
      <c r="A1" s="18" t="s">
        <v>346</v>
      </c>
      <c r="B1" s="416" t="s">
        <v>296</v>
      </c>
      <c r="D1" s="107" t="s">
        <v>387</v>
      </c>
      <c r="E1" s="107" t="s">
        <v>388</v>
      </c>
      <c r="F1" s="107"/>
      <c r="G1" s="107"/>
      <c r="H1" s="107"/>
      <c r="J1" s="107"/>
      <c r="K1" s="107"/>
      <c r="L1" s="107"/>
      <c r="M1" s="107"/>
      <c r="N1" s="107"/>
      <c r="O1" s="417" t="s">
        <v>325</v>
      </c>
      <c r="P1" s="107"/>
    </row>
    <row r="2">
      <c r="B2" s="18" t="s">
        <v>240</v>
      </c>
      <c r="C2" s="249">
        <v>13.0</v>
      </c>
      <c r="D2" s="27"/>
      <c r="E2" s="107">
        <v>13.0</v>
      </c>
      <c r="F2" s="27"/>
      <c r="G2" s="26"/>
      <c r="H2" s="26"/>
      <c r="J2" s="26"/>
      <c r="K2" s="107"/>
      <c r="L2" s="26"/>
      <c r="M2" s="26"/>
      <c r="N2" s="26"/>
      <c r="O2" s="422" t="s">
        <v>119</v>
      </c>
      <c r="P2" s="302" t="s">
        <v>120</v>
      </c>
    </row>
    <row r="3">
      <c r="B3" s="18" t="s">
        <v>241</v>
      </c>
      <c r="C3" s="249">
        <v>70.7</v>
      </c>
      <c r="D3" s="107">
        <v>19.98</v>
      </c>
      <c r="E3" s="107">
        <v>73.49</v>
      </c>
      <c r="F3" s="107"/>
      <c r="G3" s="107"/>
      <c r="H3" s="107"/>
      <c r="J3" s="107"/>
      <c r="K3" s="107"/>
      <c r="L3" s="107"/>
      <c r="M3" s="107"/>
      <c r="N3" s="107"/>
      <c r="O3" s="423" t="s">
        <v>326</v>
      </c>
      <c r="P3" s="7" t="s">
        <v>327</v>
      </c>
    </row>
    <row r="4">
      <c r="B4" s="18" t="s">
        <v>242</v>
      </c>
      <c r="C4" s="249">
        <v>13.0</v>
      </c>
      <c r="D4" s="107"/>
      <c r="E4" s="107">
        <v>13.0</v>
      </c>
      <c r="F4" s="26"/>
      <c r="G4" s="107"/>
      <c r="H4" s="107"/>
      <c r="J4" s="107"/>
      <c r="L4" s="107"/>
      <c r="M4" s="107"/>
      <c r="N4" s="107"/>
      <c r="O4" s="423" t="s">
        <v>328</v>
      </c>
      <c r="P4" s="7" t="s">
        <v>329</v>
      </c>
      <c r="Q4" s="107"/>
    </row>
    <row r="5">
      <c r="B5" s="18" t="s">
        <v>285</v>
      </c>
      <c r="C5" s="249">
        <v>42.0</v>
      </c>
      <c r="D5" s="107">
        <v>15.17</v>
      </c>
      <c r="E5" s="107">
        <v>55.8</v>
      </c>
      <c r="F5" s="107"/>
      <c r="G5" s="107"/>
      <c r="H5" s="107"/>
      <c r="J5" s="107"/>
      <c r="L5" s="107"/>
      <c r="M5" s="107"/>
      <c r="N5" s="107"/>
      <c r="O5" s="423"/>
      <c r="P5" s="7" t="s">
        <v>192</v>
      </c>
      <c r="Q5" s="107"/>
    </row>
    <row r="6">
      <c r="B6" s="18" t="s">
        <v>324</v>
      </c>
      <c r="C6" s="249">
        <v>6.0</v>
      </c>
      <c r="D6" s="107"/>
      <c r="E6" s="107">
        <v>6.0</v>
      </c>
      <c r="F6" s="107"/>
      <c r="Q6" s="107"/>
    </row>
    <row r="7">
      <c r="C7" s="276">
        <f>SUM(C2:C6)</f>
        <v>144.7</v>
      </c>
      <c r="D7" s="27">
        <f>C7-13</f>
        <v>131.7</v>
      </c>
      <c r="E7" s="27">
        <f>SUM(E2:E6)</f>
        <v>161.29</v>
      </c>
      <c r="F7" s="107"/>
      <c r="Q7" s="107"/>
    </row>
    <row r="8">
      <c r="Q8" s="107"/>
    </row>
    <row r="9">
      <c r="Q9" s="27"/>
    </row>
    <row r="10">
      <c r="M10" s="18" t="s">
        <v>366</v>
      </c>
      <c r="O10" s="18">
        <v>3637.5</v>
      </c>
      <c r="Q10" s="107"/>
    </row>
    <row r="11">
      <c r="B11" s="55" t="s">
        <v>122</v>
      </c>
      <c r="C11" s="56"/>
      <c r="D11" s="140" t="s">
        <v>123</v>
      </c>
      <c r="E11" s="140" t="s">
        <v>124</v>
      </c>
      <c r="F11" s="140" t="s">
        <v>125</v>
      </c>
      <c r="G11" s="424" t="s">
        <v>126</v>
      </c>
      <c r="H11" s="140" t="s">
        <v>127</v>
      </c>
      <c r="I11" s="140" t="s">
        <v>128</v>
      </c>
      <c r="J11" s="140" t="s">
        <v>129</v>
      </c>
      <c r="K11" s="140" t="s">
        <v>130</v>
      </c>
      <c r="L11" s="140" t="s">
        <v>131</v>
      </c>
      <c r="M11" s="140" t="s">
        <v>132</v>
      </c>
      <c r="Q11" s="107"/>
      <c r="S11" s="18"/>
    </row>
    <row r="12">
      <c r="B12" s="59" t="s">
        <v>129</v>
      </c>
      <c r="C12" s="141"/>
      <c r="D12" s="113">
        <v>8402.26</v>
      </c>
      <c r="E12" s="113">
        <v>8473.39</v>
      </c>
      <c r="F12" s="113">
        <v>8402.26</v>
      </c>
      <c r="G12" s="425">
        <v>8402.26</v>
      </c>
      <c r="H12" s="113">
        <v>8661.72</v>
      </c>
      <c r="I12" s="113">
        <v>8661.71</v>
      </c>
      <c r="J12" s="113">
        <v>8661.71</v>
      </c>
      <c r="K12" s="113">
        <v>8661.71</v>
      </c>
      <c r="L12" s="113">
        <v>8661.72</v>
      </c>
      <c r="M12" s="113">
        <v>8661.72</v>
      </c>
      <c r="Q12" s="107"/>
      <c r="S12" s="18"/>
    </row>
    <row r="13">
      <c r="B13" s="59" t="s">
        <v>136</v>
      </c>
      <c r="C13" s="141"/>
      <c r="D13" s="114">
        <f>2160+3349.61</f>
        <v>5509.61</v>
      </c>
      <c r="E13" s="114">
        <f>2160+3570.51</f>
        <v>5730.51</v>
      </c>
      <c r="F13" s="114">
        <f>2160+3544.87</f>
        <v>5704.87</v>
      </c>
      <c r="G13" s="426">
        <f>2230+3676.95</f>
        <v>5906.95</v>
      </c>
      <c r="H13" s="114">
        <f>2230+3690.95</f>
        <v>5920.95</v>
      </c>
      <c r="I13" s="426">
        <f>2230+3679.95</f>
        <v>5909.95</v>
      </c>
      <c r="J13" s="114">
        <f>2230+3663.96</f>
        <v>5893.96</v>
      </c>
      <c r="K13" s="114">
        <f>2230+3637.5</f>
        <v>5867.5</v>
      </c>
      <c r="L13" s="114">
        <f>2230+3709.95</f>
        <v>5939.95</v>
      </c>
      <c r="M13" s="114">
        <f>2230+3700.95</f>
        <v>5930.95</v>
      </c>
      <c r="N13" s="407"/>
      <c r="O13" s="303"/>
      <c r="P13" s="107"/>
      <c r="Q13" s="27"/>
      <c r="S13" s="18"/>
    </row>
    <row r="14">
      <c r="B14" s="59" t="s">
        <v>137</v>
      </c>
      <c r="C14" s="141"/>
      <c r="D14" s="115"/>
      <c r="E14" s="114"/>
      <c r="F14" s="115"/>
      <c r="G14" s="426"/>
      <c r="H14" s="115"/>
      <c r="I14" s="114"/>
      <c r="J14" s="115"/>
      <c r="K14" s="114"/>
      <c r="L14" s="115"/>
      <c r="M14" s="114"/>
      <c r="N14" s="363"/>
      <c r="O14" s="363"/>
      <c r="P14" s="107"/>
      <c r="Q14" s="107"/>
      <c r="S14" s="18"/>
    </row>
    <row r="15">
      <c r="B15" s="59" t="s">
        <v>138</v>
      </c>
      <c r="C15" s="141"/>
      <c r="D15" s="116"/>
      <c r="E15" s="117"/>
      <c r="F15" s="114">
        <f>16458.02+8673.34</f>
        <v>25131.36</v>
      </c>
      <c r="G15" s="426">
        <v>845.32</v>
      </c>
      <c r="H15" s="115"/>
      <c r="I15" s="118"/>
      <c r="J15" s="117">
        <v>20239.8</v>
      </c>
      <c r="K15" s="118"/>
      <c r="L15" s="118"/>
      <c r="M15" s="118"/>
      <c r="N15" s="32"/>
      <c r="O15" s="32"/>
      <c r="P15" s="107"/>
      <c r="Q15" s="107"/>
      <c r="S15" s="18"/>
    </row>
    <row r="16">
      <c r="B16" s="142" t="s">
        <v>139</v>
      </c>
      <c r="C16" s="143"/>
      <c r="D16" s="144">
        <f t="shared" ref="D16:E16" si="1">SUM(D12:D15)</f>
        <v>13911.87</v>
      </c>
      <c r="E16" s="144">
        <f t="shared" si="1"/>
        <v>14203.9</v>
      </c>
      <c r="F16" s="144">
        <f>SUM(F12:F14)</f>
        <v>14107.13</v>
      </c>
      <c r="G16" s="428">
        <f t="shared" ref="G16:I16" si="2">SUM(G12:G15)</f>
        <v>15154.53</v>
      </c>
      <c r="H16" s="144">
        <f t="shared" si="2"/>
        <v>14582.67</v>
      </c>
      <c r="I16" s="144">
        <f t="shared" si="2"/>
        <v>14571.66</v>
      </c>
      <c r="J16" s="144">
        <f>SUM(J12:J14)</f>
        <v>14555.67</v>
      </c>
      <c r="K16" s="144">
        <f t="shared" ref="K16:M16" si="3">SUM(K12:K15)</f>
        <v>14529.21</v>
      </c>
      <c r="L16" s="144">
        <f t="shared" si="3"/>
        <v>14601.67</v>
      </c>
      <c r="M16" s="144">
        <f t="shared" si="3"/>
        <v>14592.67</v>
      </c>
      <c r="N16" s="257"/>
      <c r="O16" s="257"/>
      <c r="R16" s="27"/>
      <c r="S16" s="18"/>
      <c r="U16" s="107"/>
    </row>
    <row r="17">
      <c r="C17" s="27"/>
      <c r="N17" s="32"/>
      <c r="O17" s="32"/>
      <c r="P17" s="107"/>
      <c r="S17" s="18"/>
      <c r="U17" s="27"/>
    </row>
    <row r="18">
      <c r="B18" s="70" t="s">
        <v>140</v>
      </c>
      <c r="C18" s="71"/>
      <c r="D18" s="58" t="s">
        <v>123</v>
      </c>
      <c r="E18" s="58" t="s">
        <v>124</v>
      </c>
      <c r="F18" s="58" t="s">
        <v>125</v>
      </c>
      <c r="G18" s="430" t="s">
        <v>126</v>
      </c>
      <c r="H18" s="58" t="s">
        <v>127</v>
      </c>
      <c r="I18" s="58" t="s">
        <v>128</v>
      </c>
      <c r="J18" s="58" t="s">
        <v>129</v>
      </c>
      <c r="K18" s="58" t="s">
        <v>130</v>
      </c>
      <c r="L18" s="58" t="s">
        <v>131</v>
      </c>
      <c r="M18" s="58" t="s">
        <v>132</v>
      </c>
      <c r="N18" s="418"/>
      <c r="O18" s="418" t="s">
        <v>331</v>
      </c>
      <c r="P18" s="192"/>
      <c r="S18" s="18"/>
    </row>
    <row r="19">
      <c r="B19" s="145" t="s">
        <v>141</v>
      </c>
      <c r="C19" s="146"/>
      <c r="D19" s="378">
        <v>410.0</v>
      </c>
      <c r="E19" s="378">
        <v>450.0</v>
      </c>
      <c r="F19" s="378">
        <v>450.0</v>
      </c>
      <c r="G19" s="446">
        <v>450.0</v>
      </c>
      <c r="H19" s="378">
        <v>450.0</v>
      </c>
      <c r="I19" s="378">
        <v>450.0</v>
      </c>
      <c r="J19" s="378">
        <v>450.0</v>
      </c>
      <c r="K19" s="378">
        <v>450.0</v>
      </c>
      <c r="L19" s="378">
        <v>450.0</v>
      </c>
      <c r="M19" s="147">
        <v>450.0</v>
      </c>
      <c r="N19" s="192"/>
      <c r="O19" s="447"/>
      <c r="P19" s="448" t="s">
        <v>27</v>
      </c>
      <c r="Q19" s="448" t="s">
        <v>274</v>
      </c>
      <c r="R19" s="448" t="s">
        <v>351</v>
      </c>
      <c r="S19" s="448" t="s">
        <v>333</v>
      </c>
      <c r="T19" s="449" t="s">
        <v>390</v>
      </c>
      <c r="U19" s="448" t="s">
        <v>48</v>
      </c>
      <c r="V19" s="448" t="s">
        <v>383</v>
      </c>
      <c r="W19" s="448" t="s">
        <v>386</v>
      </c>
    </row>
    <row r="20">
      <c r="B20" s="145" t="s">
        <v>142</v>
      </c>
      <c r="C20" s="146"/>
      <c r="D20" s="378">
        <v>220.0</v>
      </c>
      <c r="E20" s="378">
        <v>220.0</v>
      </c>
      <c r="F20" s="378">
        <v>220.0</v>
      </c>
      <c r="G20" s="446">
        <v>220.0</v>
      </c>
      <c r="H20" s="446">
        <v>220.0</v>
      </c>
      <c r="I20" s="378">
        <v>220.0</v>
      </c>
      <c r="J20" s="378">
        <v>220.0</v>
      </c>
      <c r="K20" s="378">
        <v>220.0</v>
      </c>
      <c r="L20" s="378">
        <v>220.0</v>
      </c>
      <c r="M20" s="147">
        <v>220.0</v>
      </c>
      <c r="N20" s="409"/>
      <c r="O20" s="450" t="s">
        <v>141</v>
      </c>
      <c r="P20" s="452"/>
      <c r="Q20" s="452"/>
      <c r="R20" s="483">
        <v>450.0</v>
      </c>
      <c r="S20" s="452"/>
      <c r="T20" s="452"/>
      <c r="U20" s="452"/>
      <c r="V20" s="452"/>
      <c r="W20" s="452"/>
    </row>
    <row r="21">
      <c r="B21" s="145" t="s">
        <v>143</v>
      </c>
      <c r="C21" s="146"/>
      <c r="D21" s="396">
        <v>139.9</v>
      </c>
      <c r="E21" s="396">
        <v>147.9</v>
      </c>
      <c r="F21" s="396">
        <v>147.9</v>
      </c>
      <c r="G21" s="454">
        <v>147.9</v>
      </c>
      <c r="H21" s="454">
        <v>147.9</v>
      </c>
      <c r="I21" s="378">
        <v>147.9</v>
      </c>
      <c r="J21" s="396">
        <v>147.9</v>
      </c>
      <c r="K21" s="396">
        <v>147.9</v>
      </c>
      <c r="L21" s="396">
        <v>147.9</v>
      </c>
      <c r="M21" s="149">
        <v>147.9</v>
      </c>
      <c r="N21" s="409"/>
      <c r="O21" s="450" t="s">
        <v>142</v>
      </c>
      <c r="P21" s="452"/>
      <c r="Q21" s="452"/>
      <c r="R21" s="483">
        <v>220.0</v>
      </c>
      <c r="S21" s="452"/>
      <c r="T21" s="452"/>
      <c r="U21" s="452"/>
      <c r="V21" s="452"/>
      <c r="W21" s="452"/>
    </row>
    <row r="22">
      <c r="B22" s="145" t="s">
        <v>144</v>
      </c>
      <c r="C22" s="146"/>
      <c r="D22" s="378">
        <v>100.0</v>
      </c>
      <c r="E22" s="378">
        <v>100.0</v>
      </c>
      <c r="F22" s="378">
        <f t="shared" ref="F22:H22" si="4">E22</f>
        <v>100</v>
      </c>
      <c r="G22" s="446">
        <f t="shared" si="4"/>
        <v>100</v>
      </c>
      <c r="H22" s="446">
        <f t="shared" si="4"/>
        <v>100</v>
      </c>
      <c r="I22" s="378">
        <v>100.0</v>
      </c>
      <c r="J22" s="378">
        <f>I22</f>
        <v>100</v>
      </c>
      <c r="K22" s="378">
        <v>100.0</v>
      </c>
      <c r="L22" s="378">
        <f t="shared" ref="L22:M22" si="5">K22</f>
        <v>100</v>
      </c>
      <c r="M22" s="147">
        <f t="shared" si="5"/>
        <v>100</v>
      </c>
      <c r="N22" s="409"/>
      <c r="O22" s="450" t="s">
        <v>143</v>
      </c>
      <c r="P22" s="452"/>
      <c r="Q22" s="452"/>
      <c r="R22" s="483">
        <v>147.9</v>
      </c>
      <c r="S22" s="452"/>
      <c r="T22" s="452"/>
      <c r="U22" s="452"/>
      <c r="V22" s="452"/>
      <c r="W22" s="452"/>
    </row>
    <row r="23">
      <c r="B23" s="145" t="s">
        <v>145</v>
      </c>
      <c r="C23" s="146"/>
      <c r="D23" s="378">
        <v>3004.8</v>
      </c>
      <c r="E23" s="378">
        <v>3004.8</v>
      </c>
      <c r="F23" s="378">
        <v>3004.8</v>
      </c>
      <c r="G23" s="446">
        <v>3004.8</v>
      </c>
      <c r="H23" s="446">
        <v>3004.8</v>
      </c>
      <c r="I23" s="378">
        <v>3004.8</v>
      </c>
      <c r="J23" s="378">
        <v>3004.8</v>
      </c>
      <c r="K23" s="378">
        <v>3004.8</v>
      </c>
      <c r="L23" s="378">
        <v>3004.8</v>
      </c>
      <c r="M23" s="147">
        <v>3004.8</v>
      </c>
      <c r="N23" s="409"/>
      <c r="O23" s="450" t="s">
        <v>144</v>
      </c>
      <c r="P23" s="452"/>
      <c r="Q23" s="452"/>
      <c r="R23" s="483">
        <v>100.0</v>
      </c>
      <c r="S23" s="452"/>
      <c r="T23" s="452"/>
      <c r="U23" s="452"/>
      <c r="V23" s="452"/>
      <c r="W23" s="452"/>
    </row>
    <row r="24">
      <c r="B24" s="145" t="s">
        <v>146</v>
      </c>
      <c r="C24" s="150" t="s">
        <v>136</v>
      </c>
      <c r="D24" s="378">
        <v>50.0</v>
      </c>
      <c r="E24" s="378">
        <v>0.0</v>
      </c>
      <c r="F24" s="378">
        <v>0.0</v>
      </c>
      <c r="G24" s="446"/>
      <c r="H24" s="446"/>
      <c r="I24" s="378"/>
      <c r="J24" s="378"/>
      <c r="K24" s="378"/>
      <c r="L24" s="378"/>
      <c r="M24" s="147"/>
      <c r="N24" s="409"/>
      <c r="O24" s="450" t="s">
        <v>145</v>
      </c>
      <c r="P24" s="484">
        <v>3004.8</v>
      </c>
      <c r="Q24" s="456"/>
      <c r="R24" s="451"/>
      <c r="S24" s="452"/>
      <c r="T24" s="452"/>
      <c r="U24" s="452"/>
      <c r="V24" s="452"/>
      <c r="W24" s="452"/>
    </row>
    <row r="25">
      <c r="B25" s="145" t="s">
        <v>180</v>
      </c>
      <c r="C25" s="146"/>
      <c r="D25" s="378">
        <v>400.0</v>
      </c>
      <c r="E25" s="378">
        <v>400.0</v>
      </c>
      <c r="F25" s="378">
        <v>400.0</v>
      </c>
      <c r="G25" s="446">
        <v>400.0</v>
      </c>
      <c r="H25" s="446">
        <v>400.0</v>
      </c>
      <c r="I25" s="378">
        <v>400.0</v>
      </c>
      <c r="J25" s="378">
        <v>400.0</v>
      </c>
      <c r="K25" s="378">
        <v>400.0</v>
      </c>
      <c r="L25" s="378">
        <v>400.0</v>
      </c>
      <c r="M25" s="147">
        <v>400.0</v>
      </c>
      <c r="N25" s="409"/>
      <c r="O25" s="450" t="s">
        <v>146</v>
      </c>
      <c r="P25" s="452"/>
      <c r="Q25" s="457"/>
      <c r="R25" s="452"/>
      <c r="S25" s="452"/>
      <c r="T25" s="452"/>
      <c r="U25" s="452"/>
      <c r="V25" s="452"/>
      <c r="W25" s="452"/>
    </row>
    <row r="26">
      <c r="B26" s="145" t="s">
        <v>148</v>
      </c>
      <c r="C26" s="146"/>
      <c r="D26" s="378">
        <v>600.0</v>
      </c>
      <c r="E26" s="378">
        <v>600.0</v>
      </c>
      <c r="F26" s="378">
        <v>600.0</v>
      </c>
      <c r="G26" s="446">
        <v>600.0</v>
      </c>
      <c r="H26" s="446">
        <v>600.0</v>
      </c>
      <c r="I26" s="378">
        <v>600.0</v>
      </c>
      <c r="J26" s="378">
        <v>600.0</v>
      </c>
      <c r="K26" s="378">
        <v>600.0</v>
      </c>
      <c r="L26" s="378">
        <v>600.0</v>
      </c>
      <c r="M26" s="147">
        <v>600.0</v>
      </c>
      <c r="N26" s="409"/>
      <c r="O26" s="450" t="s">
        <v>180</v>
      </c>
      <c r="P26" s="452"/>
      <c r="Q26" s="456"/>
      <c r="R26" s="452"/>
      <c r="S26" s="452"/>
      <c r="T26" s="452"/>
      <c r="U26" s="452"/>
      <c r="V26" s="452"/>
      <c r="W26" s="456">
        <v>400.0</v>
      </c>
    </row>
    <row r="27">
      <c r="B27" s="145" t="s">
        <v>149</v>
      </c>
      <c r="C27" s="146"/>
      <c r="D27" s="378">
        <v>500.0</v>
      </c>
      <c r="E27" s="378">
        <v>500.0</v>
      </c>
      <c r="F27" s="378">
        <f t="shared" ref="F27:H27" si="6">E27</f>
        <v>500</v>
      </c>
      <c r="G27" s="446">
        <f t="shared" si="6"/>
        <v>500</v>
      </c>
      <c r="H27" s="446">
        <f t="shared" si="6"/>
        <v>500</v>
      </c>
      <c r="I27" s="378">
        <v>500.0</v>
      </c>
      <c r="J27" s="378">
        <f>I27</f>
        <v>500</v>
      </c>
      <c r="K27" s="378">
        <v>500.0</v>
      </c>
      <c r="L27" s="378">
        <f t="shared" ref="L27:M27" si="7">K27</f>
        <v>500</v>
      </c>
      <c r="M27" s="147">
        <f t="shared" si="7"/>
        <v>500</v>
      </c>
      <c r="N27" s="409"/>
      <c r="O27" s="450" t="s">
        <v>148</v>
      </c>
      <c r="P27" s="483">
        <v>600.0</v>
      </c>
      <c r="Q27" s="456"/>
      <c r="S27" s="452"/>
      <c r="T27" s="452"/>
      <c r="U27" s="452"/>
      <c r="V27" s="452"/>
      <c r="W27" s="452"/>
    </row>
    <row r="28">
      <c r="B28" s="145" t="s">
        <v>181</v>
      </c>
      <c r="C28" s="146"/>
      <c r="D28" s="378">
        <v>150.0</v>
      </c>
      <c r="E28" s="378">
        <v>150.0</v>
      </c>
      <c r="F28" s="378">
        <v>150.0</v>
      </c>
      <c r="G28" s="446">
        <v>150.0</v>
      </c>
      <c r="H28" s="446">
        <v>150.0</v>
      </c>
      <c r="I28" s="378">
        <v>150.0</v>
      </c>
      <c r="J28" s="378">
        <v>150.0</v>
      </c>
      <c r="K28" s="378">
        <v>150.0</v>
      </c>
      <c r="L28" s="378">
        <v>150.0</v>
      </c>
      <c r="M28" s="147">
        <v>150.0</v>
      </c>
      <c r="N28" s="409"/>
      <c r="O28" s="450" t="s">
        <v>149</v>
      </c>
      <c r="P28" s="485">
        <v>259.07</v>
      </c>
      <c r="Q28" s="456"/>
      <c r="R28" s="485">
        <v>240.93</v>
      </c>
      <c r="S28" s="452"/>
      <c r="T28" s="452"/>
      <c r="U28" s="452"/>
      <c r="V28" s="452"/>
      <c r="W28" s="452"/>
    </row>
    <row r="29">
      <c r="B29" s="145" t="s">
        <v>150</v>
      </c>
      <c r="C29" s="146"/>
      <c r="D29" s="378">
        <v>400.0</v>
      </c>
      <c r="E29" s="378">
        <v>400.0</v>
      </c>
      <c r="F29" s="378">
        <f t="shared" ref="F29:H29" si="8">E29</f>
        <v>400</v>
      </c>
      <c r="G29" s="446">
        <f t="shared" si="8"/>
        <v>400</v>
      </c>
      <c r="H29" s="446">
        <f t="shared" si="8"/>
        <v>400</v>
      </c>
      <c r="I29" s="378">
        <v>400.0</v>
      </c>
      <c r="J29" s="378">
        <v>400.0</v>
      </c>
      <c r="K29" s="378">
        <v>400.0</v>
      </c>
      <c r="L29" s="378">
        <f t="shared" ref="L29:M29" si="9">K29</f>
        <v>400</v>
      </c>
      <c r="M29" s="147">
        <f t="shared" si="9"/>
        <v>400</v>
      </c>
      <c r="N29" s="409"/>
      <c r="O29" s="450" t="s">
        <v>181</v>
      </c>
      <c r="P29" s="452"/>
      <c r="Q29" s="456"/>
      <c r="R29" s="458"/>
      <c r="S29" s="456">
        <v>150.0</v>
      </c>
      <c r="T29" s="452"/>
      <c r="U29" s="452"/>
      <c r="V29" s="452"/>
      <c r="W29" s="452"/>
    </row>
    <row r="30">
      <c r="B30" s="145" t="s">
        <v>182</v>
      </c>
      <c r="C30" s="146"/>
      <c r="D30" s="378">
        <v>160.0</v>
      </c>
      <c r="E30" s="378">
        <v>160.0</v>
      </c>
      <c r="F30" s="378">
        <v>160.0</v>
      </c>
      <c r="G30" s="446">
        <v>160.0</v>
      </c>
      <c r="H30" s="446">
        <v>160.0</v>
      </c>
      <c r="I30" s="378">
        <v>160.0</v>
      </c>
      <c r="J30" s="378">
        <v>0.0</v>
      </c>
      <c r="K30" s="378">
        <v>160.0</v>
      </c>
      <c r="L30" s="378">
        <v>160.0</v>
      </c>
      <c r="M30" s="147">
        <v>80.0</v>
      </c>
      <c r="N30" s="409"/>
      <c r="O30" s="450" t="s">
        <v>150</v>
      </c>
      <c r="P30" s="452"/>
      <c r="Q30" s="483">
        <v>400.0</v>
      </c>
      <c r="R30" s="452"/>
      <c r="S30" s="452"/>
      <c r="T30" s="452"/>
      <c r="U30" s="452"/>
      <c r="V30" s="452"/>
      <c r="W30" s="452"/>
    </row>
    <row r="31">
      <c r="B31" s="145" t="s">
        <v>392</v>
      </c>
      <c r="C31" s="146"/>
      <c r="D31" s="378">
        <v>400.0</v>
      </c>
      <c r="E31" s="378">
        <v>400.0</v>
      </c>
      <c r="F31" s="378">
        <v>400.0</v>
      </c>
      <c r="G31" s="446">
        <v>400.0</v>
      </c>
      <c r="H31" s="446">
        <v>400.0</v>
      </c>
      <c r="I31" s="378">
        <v>400.0</v>
      </c>
      <c r="J31" s="378">
        <v>400.0</v>
      </c>
      <c r="K31" s="378">
        <v>1400.0</v>
      </c>
      <c r="L31" s="378">
        <v>1400.0</v>
      </c>
      <c r="M31" s="147">
        <v>1400.0</v>
      </c>
      <c r="N31" s="409"/>
      <c r="O31" s="450" t="s">
        <v>182</v>
      </c>
      <c r="P31" s="452"/>
      <c r="Q31" s="456"/>
      <c r="R31" s="452"/>
      <c r="S31" s="452"/>
      <c r="T31" s="456">
        <v>80.0</v>
      </c>
      <c r="U31" s="452"/>
      <c r="V31" s="452"/>
      <c r="W31" s="452"/>
    </row>
    <row r="32">
      <c r="B32" s="145" t="s">
        <v>152</v>
      </c>
      <c r="C32" s="146"/>
      <c r="D32" s="390"/>
      <c r="E32" s="378"/>
      <c r="F32" s="378"/>
      <c r="G32" s="459"/>
      <c r="H32" s="446"/>
      <c r="I32" s="378"/>
      <c r="J32" s="378"/>
      <c r="K32" s="378"/>
      <c r="L32" s="378"/>
      <c r="M32" s="151"/>
      <c r="N32" s="409"/>
      <c r="O32" s="450" t="s">
        <v>392</v>
      </c>
      <c r="Q32" s="460"/>
      <c r="R32" s="452"/>
      <c r="S32" s="452"/>
      <c r="T32" s="479"/>
      <c r="U32" s="456">
        <v>1400.0</v>
      </c>
      <c r="V32" s="452"/>
      <c r="W32" s="452"/>
    </row>
    <row r="33">
      <c r="B33" s="145" t="s">
        <v>154</v>
      </c>
      <c r="C33" s="146"/>
      <c r="D33" s="390">
        <v>136.92</v>
      </c>
      <c r="E33" s="390">
        <v>136.92</v>
      </c>
      <c r="F33" s="390">
        <v>136.92</v>
      </c>
      <c r="G33" s="446">
        <v>144.7</v>
      </c>
      <c r="H33" s="446">
        <v>144.7</v>
      </c>
      <c r="I33" s="378">
        <v>161.29</v>
      </c>
      <c r="J33" s="378">
        <v>161.29</v>
      </c>
      <c r="K33" s="378">
        <v>161.29</v>
      </c>
      <c r="L33" s="378">
        <v>161.29</v>
      </c>
      <c r="M33" s="147">
        <v>161.29</v>
      </c>
      <c r="N33" s="409"/>
      <c r="O33" s="450" t="s">
        <v>152</v>
      </c>
      <c r="P33" s="452"/>
      <c r="Q33" s="456"/>
      <c r="R33" s="452"/>
      <c r="S33" s="452"/>
      <c r="T33" s="481"/>
      <c r="U33" s="452"/>
      <c r="V33" s="452"/>
      <c r="W33" s="452"/>
    </row>
    <row r="34">
      <c r="B34" s="145" t="s">
        <v>155</v>
      </c>
      <c r="C34" s="146"/>
      <c r="D34" s="390"/>
      <c r="E34" s="390"/>
      <c r="F34" s="378" t="str">
        <f t="shared" ref="F34:H34" si="10">E34</f>
        <v/>
      </c>
      <c r="G34" s="446" t="str">
        <f t="shared" si="10"/>
        <v/>
      </c>
      <c r="H34" s="446" t="str">
        <f t="shared" si="10"/>
        <v/>
      </c>
      <c r="I34" s="378" t="str">
        <f>H32</f>
        <v/>
      </c>
      <c r="J34" s="378" t="str">
        <f>I34</f>
        <v/>
      </c>
      <c r="K34" s="378" t="str">
        <f>J32</f>
        <v/>
      </c>
      <c r="L34" s="378" t="str">
        <f t="shared" ref="L34:M34" si="11">K34</f>
        <v/>
      </c>
      <c r="M34" s="147" t="str">
        <f t="shared" si="11"/>
        <v/>
      </c>
      <c r="N34" s="409"/>
      <c r="O34" s="450" t="s">
        <v>154</v>
      </c>
      <c r="P34" s="468">
        <f>J33-Q34</f>
        <v>148.29</v>
      </c>
      <c r="Q34" s="468">
        <v>13.0</v>
      </c>
      <c r="R34" s="452"/>
      <c r="S34" s="452"/>
      <c r="T34" s="481"/>
      <c r="U34" s="456"/>
      <c r="V34" s="452"/>
      <c r="W34" s="452"/>
    </row>
    <row r="35">
      <c r="B35" s="145" t="s">
        <v>156</v>
      </c>
      <c r="C35" s="146"/>
      <c r="D35" s="378">
        <v>100.0</v>
      </c>
      <c r="E35" s="378">
        <v>100.0</v>
      </c>
      <c r="F35" s="390"/>
      <c r="G35" s="446">
        <v>100.0</v>
      </c>
      <c r="H35" s="446">
        <v>600.0</v>
      </c>
      <c r="I35" s="378">
        <v>500.0</v>
      </c>
      <c r="J35" s="378">
        <v>200.0</v>
      </c>
      <c r="K35" s="378">
        <v>100.0</v>
      </c>
      <c r="L35" s="390"/>
      <c r="M35" s="147">
        <v>200.0</v>
      </c>
      <c r="N35" s="409"/>
      <c r="O35" s="450" t="s">
        <v>155</v>
      </c>
      <c r="P35" s="452"/>
      <c r="Q35" s="456"/>
      <c r="R35" s="452"/>
      <c r="S35" s="452"/>
      <c r="T35" s="481"/>
      <c r="U35" s="452"/>
      <c r="V35" s="452"/>
      <c r="W35" s="452"/>
    </row>
    <row r="36">
      <c r="B36" s="145" t="s">
        <v>157</v>
      </c>
      <c r="C36" s="146"/>
      <c r="D36" s="378">
        <v>50.0</v>
      </c>
      <c r="E36" s="378">
        <v>50.0</v>
      </c>
      <c r="F36" s="378">
        <f t="shared" ref="F36:H36" si="12">E36</f>
        <v>50</v>
      </c>
      <c r="G36" s="446">
        <f t="shared" si="12"/>
        <v>50</v>
      </c>
      <c r="H36" s="446">
        <f t="shared" si="12"/>
        <v>50</v>
      </c>
      <c r="I36" s="378">
        <v>50.0</v>
      </c>
      <c r="J36" s="378">
        <f t="shared" ref="J36:J37" si="15">I36</f>
        <v>50</v>
      </c>
      <c r="K36" s="378">
        <v>50.0</v>
      </c>
      <c r="L36" s="378">
        <f t="shared" ref="L36:M36" si="13">K36</f>
        <v>50</v>
      </c>
      <c r="M36" s="147">
        <f t="shared" si="13"/>
        <v>50</v>
      </c>
      <c r="N36" s="409"/>
      <c r="O36" s="450" t="s">
        <v>156</v>
      </c>
      <c r="P36" s="452"/>
      <c r="Q36" s="458"/>
      <c r="R36" s="452"/>
      <c r="S36" s="452"/>
      <c r="T36" s="458">
        <v>200.0</v>
      </c>
      <c r="U36" s="452"/>
      <c r="V36" s="452"/>
      <c r="W36" s="452"/>
      <c r="X36" s="18"/>
    </row>
    <row r="37">
      <c r="B37" s="145" t="s">
        <v>393</v>
      </c>
      <c r="C37" s="146"/>
      <c r="D37" s="390"/>
      <c r="E37" s="390"/>
      <c r="F37" s="378" t="str">
        <f t="shared" ref="F37:H37" si="14">E37</f>
        <v/>
      </c>
      <c r="G37" s="446" t="str">
        <f t="shared" si="14"/>
        <v/>
      </c>
      <c r="H37" s="446" t="str">
        <f t="shared" si="14"/>
        <v/>
      </c>
      <c r="I37" s="378"/>
      <c r="J37" s="378" t="str">
        <f t="shared" si="15"/>
        <v/>
      </c>
      <c r="K37" s="378">
        <v>200.0</v>
      </c>
      <c r="L37" s="378">
        <f t="shared" ref="L37:M37" si="16">K37</f>
        <v>200</v>
      </c>
      <c r="M37" s="147">
        <f t="shared" si="16"/>
        <v>200</v>
      </c>
      <c r="N37" s="409"/>
      <c r="O37" s="450" t="s">
        <v>157</v>
      </c>
      <c r="P37" s="452"/>
      <c r="Q37" s="456"/>
      <c r="R37" s="452"/>
      <c r="S37" s="452"/>
      <c r="T37" s="481"/>
      <c r="U37" s="452"/>
      <c r="V37" s="456">
        <v>50.0</v>
      </c>
      <c r="W37" s="456"/>
      <c r="X37" s="18"/>
    </row>
    <row r="38">
      <c r="B38" s="145" t="s">
        <v>159</v>
      </c>
      <c r="C38" s="146"/>
      <c r="D38" s="378">
        <v>800.0</v>
      </c>
      <c r="E38" s="378">
        <v>800.0</v>
      </c>
      <c r="F38" s="378">
        <v>800.0</v>
      </c>
      <c r="G38" s="446">
        <v>800.0</v>
      </c>
      <c r="H38" s="446">
        <v>800.0</v>
      </c>
      <c r="I38" s="378">
        <v>800.0</v>
      </c>
      <c r="J38" s="378">
        <v>800.0</v>
      </c>
      <c r="K38" s="378">
        <v>800.0</v>
      </c>
      <c r="L38" s="378">
        <v>800.0</v>
      </c>
      <c r="M38" s="147">
        <v>800.0</v>
      </c>
      <c r="N38" s="409"/>
      <c r="O38" s="450" t="s">
        <v>158</v>
      </c>
      <c r="P38" s="452"/>
      <c r="Q38" s="456"/>
      <c r="R38" s="452"/>
      <c r="S38" s="452"/>
      <c r="T38" s="452"/>
      <c r="U38" s="452"/>
      <c r="V38" s="452"/>
      <c r="W38" s="452"/>
    </row>
    <row r="39">
      <c r="B39" s="145" t="s">
        <v>160</v>
      </c>
      <c r="C39" s="146"/>
      <c r="D39" s="378">
        <v>3000.0</v>
      </c>
      <c r="E39" s="378">
        <v>3000.0</v>
      </c>
      <c r="F39" s="378">
        <f t="shared" ref="F39:H39" si="17">E39</f>
        <v>3000</v>
      </c>
      <c r="G39" s="446">
        <f t="shared" si="17"/>
        <v>3000</v>
      </c>
      <c r="H39" s="446">
        <f t="shared" si="17"/>
        <v>3000</v>
      </c>
      <c r="I39" s="378">
        <v>3000.0</v>
      </c>
      <c r="J39" s="378">
        <f>I39</f>
        <v>3000</v>
      </c>
      <c r="K39" s="378">
        <v>3000.0</v>
      </c>
      <c r="L39" s="378">
        <f t="shared" ref="L39:M39" si="18">K39</f>
        <v>3000</v>
      </c>
      <c r="M39" s="147">
        <f t="shared" si="18"/>
        <v>3000</v>
      </c>
      <c r="N39" s="409"/>
      <c r="O39" s="450" t="s">
        <v>159</v>
      </c>
      <c r="P39" s="467">
        <v>400.0</v>
      </c>
      <c r="Q39" s="467">
        <v>400.0</v>
      </c>
      <c r="R39" s="452"/>
      <c r="S39" s="452"/>
      <c r="T39" s="452"/>
      <c r="U39" s="452"/>
      <c r="V39" s="452"/>
      <c r="W39" s="452"/>
    </row>
    <row r="40">
      <c r="B40" s="145" t="s">
        <v>184</v>
      </c>
      <c r="C40" s="146"/>
      <c r="D40" s="378">
        <v>700.0</v>
      </c>
      <c r="E40" s="378">
        <v>700.0</v>
      </c>
      <c r="F40" s="378">
        <v>700.0</v>
      </c>
      <c r="G40" s="446">
        <v>700.0</v>
      </c>
      <c r="H40" s="446">
        <v>700.0</v>
      </c>
      <c r="I40" s="378">
        <v>700.0</v>
      </c>
      <c r="J40" s="378">
        <v>700.0</v>
      </c>
      <c r="K40" s="378">
        <v>700.0</v>
      </c>
      <c r="L40" s="378">
        <v>700.0</v>
      </c>
      <c r="M40" s="147">
        <v>1000.0</v>
      </c>
      <c r="N40" s="409"/>
      <c r="O40" s="450" t="s">
        <v>160</v>
      </c>
      <c r="P40" s="467">
        <v>1500.0</v>
      </c>
      <c r="Q40" s="467">
        <v>1500.0</v>
      </c>
      <c r="R40" s="452"/>
      <c r="S40" s="481"/>
      <c r="T40" s="452"/>
      <c r="U40" s="452"/>
      <c r="V40" s="452"/>
      <c r="W40" s="452"/>
    </row>
    <row r="41">
      <c r="B41" s="145" t="s">
        <v>3</v>
      </c>
      <c r="C41" s="146"/>
      <c r="D41" s="378">
        <v>500.0</v>
      </c>
      <c r="E41" s="378">
        <v>500.0</v>
      </c>
      <c r="F41" s="378">
        <v>500.0</v>
      </c>
      <c r="G41" s="446">
        <v>500.0</v>
      </c>
      <c r="H41" s="446">
        <v>500.0</v>
      </c>
      <c r="I41" s="378">
        <v>500.0</v>
      </c>
      <c r="J41" s="378">
        <v>500.0</v>
      </c>
      <c r="K41" s="378">
        <v>500.0</v>
      </c>
      <c r="L41" s="378">
        <v>500.0</v>
      </c>
      <c r="M41" s="147">
        <v>500.0</v>
      </c>
      <c r="N41" s="409"/>
      <c r="O41" s="450" t="s">
        <v>184</v>
      </c>
      <c r="Q41" s="456"/>
      <c r="R41" s="452"/>
      <c r="S41" s="456">
        <v>1000.0</v>
      </c>
      <c r="T41" s="452"/>
      <c r="U41" s="452"/>
      <c r="V41" s="452"/>
      <c r="W41" s="452"/>
    </row>
    <row r="42">
      <c r="B42" s="152" t="s">
        <v>161</v>
      </c>
      <c r="C42" s="153"/>
      <c r="D42" s="154">
        <f t="shared" ref="D42:M42" si="19">SUM(D19:D41)*-1</f>
        <v>-11821.62</v>
      </c>
      <c r="E42" s="154">
        <f t="shared" si="19"/>
        <v>-11819.62</v>
      </c>
      <c r="F42" s="154">
        <f t="shared" si="19"/>
        <v>-11719.62</v>
      </c>
      <c r="G42" s="435">
        <f t="shared" si="19"/>
        <v>-11827.4</v>
      </c>
      <c r="H42" s="435">
        <f t="shared" si="19"/>
        <v>-12327.4</v>
      </c>
      <c r="I42" s="154">
        <f t="shared" si="19"/>
        <v>-12243.99</v>
      </c>
      <c r="J42" s="154">
        <f t="shared" si="19"/>
        <v>-11783.99</v>
      </c>
      <c r="K42" s="154">
        <f t="shared" si="19"/>
        <v>-13043.99</v>
      </c>
      <c r="L42" s="154">
        <f t="shared" si="19"/>
        <v>-12943.99</v>
      </c>
      <c r="M42" s="154">
        <f t="shared" si="19"/>
        <v>-13363.99</v>
      </c>
      <c r="N42" s="409"/>
      <c r="O42" s="450" t="s">
        <v>3</v>
      </c>
      <c r="Q42" s="452"/>
      <c r="R42" s="452"/>
      <c r="S42" s="456">
        <v>500.0</v>
      </c>
      <c r="T42" s="452"/>
      <c r="U42" s="452"/>
      <c r="V42" s="452"/>
      <c r="W42" s="452"/>
    </row>
    <row r="43">
      <c r="C43" s="27"/>
      <c r="N43" s="409"/>
      <c r="O43" s="450" t="s">
        <v>385</v>
      </c>
      <c r="Q43" s="451"/>
      <c r="R43" s="451"/>
      <c r="S43" s="455">
        <v>200.0</v>
      </c>
      <c r="T43" s="451"/>
      <c r="U43" s="451"/>
      <c r="V43" s="451"/>
      <c r="W43" s="451"/>
    </row>
    <row r="44">
      <c r="B44" s="156" t="s">
        <v>162</v>
      </c>
      <c r="C44" s="157"/>
      <c r="D44" s="469">
        <f t="shared" ref="D44:M44" si="20">D16+D42</f>
        <v>2090.25</v>
      </c>
      <c r="E44" s="469">
        <f t="shared" si="20"/>
        <v>2384.28</v>
      </c>
      <c r="F44" s="469">
        <f t="shared" si="20"/>
        <v>2387.51</v>
      </c>
      <c r="G44" s="470">
        <f t="shared" si="20"/>
        <v>3327.13</v>
      </c>
      <c r="H44" s="469">
        <f t="shared" si="20"/>
        <v>2255.27</v>
      </c>
      <c r="I44" s="469">
        <f t="shared" si="20"/>
        <v>2327.67</v>
      </c>
      <c r="J44" s="469">
        <f t="shared" si="20"/>
        <v>2771.68</v>
      </c>
      <c r="K44" s="158">
        <f t="shared" si="20"/>
        <v>1485.22</v>
      </c>
      <c r="L44" s="158">
        <f t="shared" si="20"/>
        <v>1657.68</v>
      </c>
      <c r="M44" s="158">
        <f t="shared" si="20"/>
        <v>1228.68</v>
      </c>
      <c r="N44" s="18"/>
      <c r="O44" s="18" t="s">
        <v>391</v>
      </c>
      <c r="P44" s="455"/>
      <c r="Q44" s="457"/>
      <c r="R44" s="452"/>
      <c r="S44" s="479"/>
      <c r="T44" s="452"/>
      <c r="U44" s="451"/>
      <c r="V44" s="452"/>
      <c r="W44" s="452"/>
    </row>
    <row r="45">
      <c r="B45" s="83"/>
      <c r="C45" s="159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107"/>
      <c r="O45" s="462" t="s">
        <v>382</v>
      </c>
      <c r="P45" s="462"/>
      <c r="Q45" s="452"/>
      <c r="R45" s="452"/>
      <c r="S45" s="479">
        <v>1228.68</v>
      </c>
      <c r="T45" s="452"/>
      <c r="U45" s="458"/>
      <c r="V45" s="452"/>
      <c r="W45" s="452"/>
    </row>
    <row r="46">
      <c r="B46" s="85" t="s">
        <v>163</v>
      </c>
      <c r="C46" s="160"/>
      <c r="D46" s="161" t="s">
        <v>123</v>
      </c>
      <c r="E46" s="161" t="s">
        <v>124</v>
      </c>
      <c r="F46" s="161" t="s">
        <v>125</v>
      </c>
      <c r="G46" s="437" t="s">
        <v>126</v>
      </c>
      <c r="H46" s="161" t="s">
        <v>127</v>
      </c>
      <c r="I46" s="161" t="s">
        <v>128</v>
      </c>
      <c r="J46" s="161" t="s">
        <v>129</v>
      </c>
      <c r="K46" s="161" t="s">
        <v>130</v>
      </c>
      <c r="L46" s="161" t="s">
        <v>131</v>
      </c>
      <c r="M46" s="161" t="s">
        <v>132</v>
      </c>
      <c r="N46" s="107"/>
      <c r="O46" s="463" t="s">
        <v>26</v>
      </c>
      <c r="P46" s="465">
        <f t="shared" ref="P46:W46" si="21">SUM(P20:P45)</f>
        <v>5912.16</v>
      </c>
      <c r="Q46" s="465">
        <f t="shared" si="21"/>
        <v>2313</v>
      </c>
      <c r="R46" s="465">
        <f t="shared" si="21"/>
        <v>1158.83</v>
      </c>
      <c r="S46" s="465">
        <f t="shared" si="21"/>
        <v>3078.68</v>
      </c>
      <c r="T46" s="465">
        <f t="shared" si="21"/>
        <v>280</v>
      </c>
      <c r="U46" s="465">
        <f t="shared" si="21"/>
        <v>1400</v>
      </c>
      <c r="V46" s="465">
        <f t="shared" si="21"/>
        <v>50</v>
      </c>
      <c r="W46" s="465">
        <f t="shared" si="21"/>
        <v>400</v>
      </c>
      <c r="X46" s="414">
        <f>SUM(P46:W46)</f>
        <v>14592.67</v>
      </c>
    </row>
    <row r="47">
      <c r="B47" s="162"/>
      <c r="C47" s="163"/>
      <c r="D47" s="164"/>
      <c r="E47" s="164"/>
      <c r="F47" s="165"/>
      <c r="G47" s="438"/>
      <c r="H47" s="165"/>
      <c r="I47" s="165"/>
      <c r="J47" s="165"/>
      <c r="K47" s="165"/>
      <c r="L47" s="165"/>
      <c r="M47" s="165"/>
      <c r="N47" s="248"/>
      <c r="O47" s="107" t="s">
        <v>389</v>
      </c>
      <c r="P47" s="486">
        <f>M12-P46</f>
        <v>2749.56</v>
      </c>
      <c r="Q47" s="472">
        <f>M13-Q46</f>
        <v>3617.95</v>
      </c>
      <c r="R47" s="287"/>
    </row>
    <row r="48">
      <c r="A48" s="298"/>
      <c r="B48" s="162" t="s">
        <v>58</v>
      </c>
      <c r="C48" s="163"/>
      <c r="D48" s="167">
        <v>962.79</v>
      </c>
      <c r="E48" s="167">
        <v>962.79</v>
      </c>
      <c r="F48" s="167">
        <v>962.79</v>
      </c>
      <c r="G48" s="439">
        <v>962.79</v>
      </c>
      <c r="H48" s="167">
        <v>724.25</v>
      </c>
      <c r="I48" s="167">
        <v>724.25</v>
      </c>
      <c r="J48" s="167">
        <v>724.25</v>
      </c>
      <c r="K48" s="167">
        <v>724.25</v>
      </c>
      <c r="L48" s="167">
        <v>724.25</v>
      </c>
      <c r="M48" s="167">
        <v>724.25</v>
      </c>
      <c r="N48" s="107"/>
      <c r="O48" s="325" t="s">
        <v>353</v>
      </c>
      <c r="R48" s="28">
        <v>1387.95</v>
      </c>
      <c r="T48" s="393">
        <f>Q46+R48</f>
        <v>3700.95</v>
      </c>
    </row>
    <row r="49">
      <c r="B49" s="162"/>
      <c r="C49" s="163"/>
      <c r="D49" s="166"/>
      <c r="E49" s="166"/>
      <c r="F49" s="166"/>
      <c r="G49" s="440"/>
      <c r="H49" s="166"/>
      <c r="I49" s="166"/>
      <c r="J49" s="166"/>
      <c r="K49" s="166"/>
      <c r="L49" s="166"/>
      <c r="M49" s="166"/>
      <c r="N49" s="107"/>
      <c r="O49" s="107"/>
      <c r="S49" s="387"/>
      <c r="U49" s="387"/>
    </row>
    <row r="50">
      <c r="B50" s="168"/>
      <c r="C50" s="169"/>
      <c r="D50" s="170"/>
      <c r="E50" s="170"/>
      <c r="F50" s="170"/>
      <c r="G50" s="441"/>
      <c r="H50" s="170"/>
      <c r="I50" s="166"/>
      <c r="J50" s="170"/>
      <c r="K50" s="170"/>
      <c r="L50" s="170"/>
      <c r="M50" s="170"/>
      <c r="N50" s="107"/>
      <c r="O50" s="107"/>
    </row>
    <row r="51">
      <c r="B51" s="152" t="s">
        <v>167</v>
      </c>
      <c r="C51" s="171"/>
      <c r="D51" s="172">
        <f t="shared" ref="D51:M51" si="22">SUM(D47:D50)*-1</f>
        <v>-962.79</v>
      </c>
      <c r="E51" s="172">
        <f t="shared" si="22"/>
        <v>-962.79</v>
      </c>
      <c r="F51" s="172">
        <f t="shared" si="22"/>
        <v>-962.79</v>
      </c>
      <c r="G51" s="442">
        <f t="shared" si="22"/>
        <v>-962.79</v>
      </c>
      <c r="H51" s="172">
        <f t="shared" si="22"/>
        <v>-724.25</v>
      </c>
      <c r="I51" s="172">
        <f t="shared" si="22"/>
        <v>-724.25</v>
      </c>
      <c r="J51" s="172">
        <f t="shared" si="22"/>
        <v>-724.25</v>
      </c>
      <c r="K51" s="172">
        <f t="shared" si="22"/>
        <v>-724.25</v>
      </c>
      <c r="L51" s="172">
        <f t="shared" si="22"/>
        <v>-724.25</v>
      </c>
      <c r="M51" s="154">
        <f t="shared" si="22"/>
        <v>-724.25</v>
      </c>
      <c r="O51" s="18" t="s">
        <v>394</v>
      </c>
    </row>
    <row r="52">
      <c r="B52" s="83"/>
      <c r="C52" s="159"/>
      <c r="D52" s="96"/>
      <c r="E52" s="96"/>
      <c r="F52" s="96"/>
      <c r="G52" s="96"/>
      <c r="H52" s="96"/>
      <c r="I52" s="96"/>
      <c r="J52" s="96"/>
      <c r="K52" s="96"/>
      <c r="L52" s="96"/>
      <c r="M52" s="487"/>
      <c r="N52" s="107"/>
      <c r="O52" s="107"/>
    </row>
    <row r="53">
      <c r="B53" s="173" t="s">
        <v>168</v>
      </c>
      <c r="C53" s="174"/>
      <c r="D53" s="175">
        <f t="shared" ref="D53:M53" si="23">D44+D51</f>
        <v>1127.46</v>
      </c>
      <c r="E53" s="175">
        <f t="shared" si="23"/>
        <v>1421.49</v>
      </c>
      <c r="F53" s="175">
        <f t="shared" si="23"/>
        <v>1424.72</v>
      </c>
      <c r="G53" s="443">
        <f t="shared" si="23"/>
        <v>2364.34</v>
      </c>
      <c r="H53" s="175">
        <f t="shared" si="23"/>
        <v>1531.02</v>
      </c>
      <c r="I53" s="175">
        <f t="shared" si="23"/>
        <v>1603.42</v>
      </c>
      <c r="J53" s="175">
        <f t="shared" si="23"/>
        <v>2047.43</v>
      </c>
      <c r="K53" s="175">
        <f t="shared" si="23"/>
        <v>760.97</v>
      </c>
      <c r="L53" s="175">
        <f t="shared" si="23"/>
        <v>933.43</v>
      </c>
      <c r="M53" s="488">
        <f t="shared" si="23"/>
        <v>504.43</v>
      </c>
      <c r="N53" s="107"/>
      <c r="O53" s="107"/>
      <c r="P53" s="107"/>
    </row>
    <row r="54">
      <c r="B54" s="83"/>
      <c r="C54" s="159"/>
      <c r="D54" s="96"/>
      <c r="E54" s="96"/>
      <c r="F54" s="96"/>
      <c r="G54" s="96"/>
      <c r="H54" s="96"/>
      <c r="I54" s="96"/>
      <c r="J54" s="96"/>
      <c r="K54" s="96"/>
      <c r="L54" s="96"/>
      <c r="M54" s="487"/>
      <c r="N54" s="107"/>
      <c r="O54" s="107"/>
      <c r="P54" s="18"/>
    </row>
    <row r="55">
      <c r="B55" s="100" t="s">
        <v>169</v>
      </c>
      <c r="C55" s="176"/>
      <c r="D55" s="177" t="s">
        <v>123</v>
      </c>
      <c r="E55" s="177" t="s">
        <v>124</v>
      </c>
      <c r="F55" s="177" t="s">
        <v>125</v>
      </c>
      <c r="G55" s="444" t="s">
        <v>126</v>
      </c>
      <c r="H55" s="177" t="s">
        <v>127</v>
      </c>
      <c r="I55" s="177" t="s">
        <v>128</v>
      </c>
      <c r="J55" s="177" t="s">
        <v>129</v>
      </c>
      <c r="K55" s="177" t="s">
        <v>130</v>
      </c>
      <c r="L55" s="177" t="s">
        <v>131</v>
      </c>
      <c r="M55" s="177" t="s">
        <v>132</v>
      </c>
      <c r="N55" s="107"/>
      <c r="O55" s="107"/>
      <c r="P55" s="18"/>
    </row>
    <row r="56">
      <c r="B56" s="152" t="s">
        <v>171</v>
      </c>
      <c r="C56" s="153"/>
      <c r="D56" s="178">
        <f t="shared" ref="D56:M56" si="24">+D53</f>
        <v>1127.46</v>
      </c>
      <c r="E56" s="178">
        <f t="shared" si="24"/>
        <v>1421.49</v>
      </c>
      <c r="F56" s="178">
        <f t="shared" si="24"/>
        <v>1424.72</v>
      </c>
      <c r="G56" s="445">
        <f t="shared" si="24"/>
        <v>2364.34</v>
      </c>
      <c r="H56" s="178">
        <f t="shared" si="24"/>
        <v>1531.02</v>
      </c>
      <c r="I56" s="178">
        <f t="shared" si="24"/>
        <v>1603.42</v>
      </c>
      <c r="J56" s="178">
        <f t="shared" si="24"/>
        <v>2047.43</v>
      </c>
      <c r="K56" s="178">
        <f t="shared" si="24"/>
        <v>760.97</v>
      </c>
      <c r="L56" s="178">
        <f t="shared" si="24"/>
        <v>933.43</v>
      </c>
      <c r="M56" s="171">
        <f t="shared" si="24"/>
        <v>504.43</v>
      </c>
      <c r="N56" s="27"/>
      <c r="O56" s="27"/>
    </row>
    <row r="57">
      <c r="D57" s="362"/>
      <c r="E57" s="362"/>
      <c r="F57" s="27"/>
      <c r="G57" s="27"/>
      <c r="H57" s="27"/>
      <c r="J57" s="27"/>
      <c r="L57" s="27"/>
      <c r="N57" s="27"/>
      <c r="O57" s="27"/>
    </row>
    <row r="58">
      <c r="F58" s="27"/>
      <c r="G58" s="27"/>
      <c r="H58" s="27"/>
      <c r="J58" s="27"/>
      <c r="L58" s="27"/>
      <c r="N58" s="27"/>
      <c r="O58" s="27"/>
    </row>
    <row r="59">
      <c r="F59" s="27"/>
      <c r="G59" s="27"/>
      <c r="H59" s="27"/>
      <c r="J59" s="27"/>
      <c r="L59" s="27"/>
      <c r="N59" s="27"/>
      <c r="O59" s="27"/>
    </row>
    <row r="60">
      <c r="F60" s="27"/>
      <c r="G60" s="27"/>
      <c r="H60" s="27"/>
      <c r="J60" s="27"/>
      <c r="L60" s="27"/>
      <c r="N60" s="27"/>
      <c r="O60" s="27"/>
    </row>
    <row r="61">
      <c r="F61" s="27"/>
      <c r="G61" s="27"/>
      <c r="H61" s="27"/>
      <c r="J61" s="27"/>
      <c r="L61" s="27"/>
      <c r="N61" s="27"/>
      <c r="O61" s="27"/>
    </row>
    <row r="62">
      <c r="F62" s="27"/>
      <c r="G62" s="27"/>
      <c r="H62" s="27"/>
      <c r="J62" s="27"/>
      <c r="L62" s="27"/>
      <c r="N62" s="27"/>
      <c r="O62" s="27"/>
    </row>
    <row r="63">
      <c r="F63" s="27"/>
      <c r="G63" s="27"/>
      <c r="H63" s="27"/>
      <c r="J63" s="27"/>
      <c r="L63" s="27"/>
      <c r="N63" s="27"/>
      <c r="O63" s="27"/>
    </row>
    <row r="64">
      <c r="F64" s="27"/>
      <c r="G64" s="27"/>
      <c r="H64" s="27"/>
      <c r="J64" s="27"/>
      <c r="L64" s="27"/>
      <c r="N64" s="27"/>
      <c r="O64" s="27"/>
    </row>
    <row r="65">
      <c r="F65" s="27"/>
      <c r="G65" s="27"/>
      <c r="H65" s="27"/>
      <c r="J65" s="27"/>
      <c r="L65" s="27"/>
      <c r="N65" s="27"/>
      <c r="O65" s="27"/>
    </row>
    <row r="66">
      <c r="F66" s="27"/>
      <c r="G66" s="27"/>
      <c r="H66" s="27"/>
      <c r="J66" s="27"/>
      <c r="L66" s="27"/>
      <c r="N66" s="27"/>
      <c r="O66" s="27"/>
    </row>
    <row r="67">
      <c r="F67" s="27"/>
      <c r="G67" s="27"/>
      <c r="H67" s="27"/>
      <c r="J67" s="27"/>
      <c r="L67" s="27"/>
      <c r="N67" s="27"/>
      <c r="O67" s="27"/>
    </row>
    <row r="68">
      <c r="F68" s="27"/>
      <c r="G68" s="27"/>
      <c r="H68" s="27"/>
      <c r="J68" s="27"/>
      <c r="L68" s="27"/>
      <c r="M68" s="27"/>
      <c r="N68" s="27"/>
      <c r="O68" s="27"/>
    </row>
    <row r="69">
      <c r="F69" s="27"/>
      <c r="G69" s="27"/>
      <c r="H69" s="27"/>
      <c r="J69" s="27"/>
      <c r="L69" s="27"/>
      <c r="M69" s="27"/>
      <c r="N69" s="27"/>
      <c r="O69" s="27"/>
    </row>
    <row r="70">
      <c r="F70" s="27"/>
      <c r="G70" s="27"/>
      <c r="H70" s="27"/>
      <c r="J70" s="27"/>
      <c r="L70" s="27"/>
      <c r="M70" s="27"/>
      <c r="N70" s="27"/>
      <c r="O70" s="27"/>
    </row>
    <row r="71">
      <c r="F71" s="27"/>
      <c r="G71" s="27"/>
      <c r="H71" s="27"/>
      <c r="J71" s="27"/>
      <c r="L71" s="27"/>
      <c r="M71" s="27"/>
      <c r="N71" s="27"/>
      <c r="O71" s="27"/>
    </row>
    <row r="72">
      <c r="F72" s="27"/>
      <c r="G72" s="27"/>
      <c r="H72" s="27"/>
      <c r="J72" s="27"/>
      <c r="L72" s="27"/>
      <c r="M72" s="27"/>
      <c r="N72" s="27"/>
      <c r="O72" s="27"/>
    </row>
    <row r="73">
      <c r="F73" s="27"/>
      <c r="G73" s="27"/>
      <c r="H73" s="27"/>
      <c r="J73" s="27"/>
      <c r="L73" s="27"/>
      <c r="M73" s="27"/>
      <c r="N73" s="27"/>
      <c r="O73" s="27"/>
    </row>
    <row r="74">
      <c r="F74" s="27"/>
      <c r="G74" s="27"/>
      <c r="H74" s="27"/>
      <c r="J74" s="27"/>
      <c r="L74" s="27"/>
      <c r="M74" s="27"/>
      <c r="N74" s="27"/>
      <c r="O74" s="27"/>
    </row>
    <row r="75">
      <c r="F75" s="27"/>
      <c r="G75" s="27"/>
      <c r="H75" s="27"/>
      <c r="J75" s="27"/>
      <c r="L75" s="27"/>
      <c r="M75" s="27"/>
      <c r="N75" s="27"/>
      <c r="O75" s="27"/>
    </row>
    <row r="76">
      <c r="F76" s="27"/>
      <c r="G76" s="27"/>
      <c r="H76" s="27"/>
      <c r="J76" s="27"/>
      <c r="L76" s="27"/>
      <c r="M76" s="27"/>
      <c r="N76" s="27"/>
      <c r="O76" s="27"/>
    </row>
    <row r="77">
      <c r="F77" s="27"/>
      <c r="G77" s="27"/>
      <c r="H77" s="27"/>
      <c r="J77" s="27"/>
      <c r="L77" s="27"/>
      <c r="M77" s="27"/>
      <c r="N77" s="27"/>
      <c r="O77" s="27"/>
    </row>
    <row r="78">
      <c r="F78" s="27"/>
      <c r="G78" s="27"/>
      <c r="H78" s="27"/>
      <c r="J78" s="27"/>
      <c r="L78" s="27"/>
      <c r="M78" s="27"/>
      <c r="N78" s="27"/>
      <c r="O78" s="27"/>
    </row>
    <row r="79">
      <c r="F79" s="27"/>
      <c r="G79" s="27"/>
      <c r="H79" s="27"/>
      <c r="J79" s="27"/>
      <c r="L79" s="27"/>
      <c r="M79" s="27"/>
      <c r="N79" s="27"/>
      <c r="O79" s="27"/>
    </row>
    <row r="80">
      <c r="F80" s="27"/>
      <c r="G80" s="27"/>
      <c r="H80" s="27"/>
      <c r="J80" s="27"/>
      <c r="L80" s="27"/>
      <c r="M80" s="27"/>
      <c r="N80" s="27"/>
      <c r="O80" s="27"/>
    </row>
    <row r="81">
      <c r="F81" s="27"/>
      <c r="G81" s="27"/>
      <c r="H81" s="27"/>
      <c r="J81" s="27"/>
      <c r="L81" s="27"/>
      <c r="M81" s="27"/>
      <c r="N81" s="27"/>
      <c r="O81" s="27"/>
    </row>
    <row r="82">
      <c r="F82" s="27"/>
      <c r="G82" s="27"/>
      <c r="H82" s="27"/>
      <c r="J82" s="27"/>
      <c r="L82" s="27"/>
      <c r="M82" s="27"/>
      <c r="N82" s="27"/>
      <c r="O82" s="27"/>
    </row>
    <row r="83">
      <c r="F83" s="27"/>
      <c r="G83" s="27"/>
      <c r="H83" s="27"/>
      <c r="J83" s="27"/>
      <c r="L83" s="27"/>
      <c r="M83" s="27"/>
      <c r="N83" s="27"/>
      <c r="O83" s="27"/>
    </row>
    <row r="84">
      <c r="F84" s="27"/>
      <c r="G84" s="27"/>
      <c r="H84" s="27"/>
      <c r="J84" s="27"/>
      <c r="L84" s="27"/>
      <c r="M84" s="27"/>
      <c r="N84" s="27"/>
      <c r="O84" s="27"/>
    </row>
    <row r="85">
      <c r="F85" s="27"/>
      <c r="G85" s="27"/>
      <c r="H85" s="27"/>
      <c r="J85" s="27"/>
      <c r="L85" s="27"/>
      <c r="M85" s="27"/>
      <c r="N85" s="27"/>
      <c r="O85" s="27"/>
    </row>
    <row r="86">
      <c r="F86" s="27"/>
      <c r="G86" s="27"/>
      <c r="H86" s="27"/>
      <c r="J86" s="27"/>
      <c r="L86" s="27"/>
      <c r="M86" s="27"/>
      <c r="N86" s="27"/>
      <c r="O86" s="27"/>
    </row>
    <row r="87">
      <c r="F87" s="27"/>
      <c r="G87" s="27"/>
      <c r="H87" s="27"/>
      <c r="J87" s="27"/>
      <c r="L87" s="27"/>
      <c r="M87" s="27"/>
      <c r="N87" s="27"/>
      <c r="O87" s="27"/>
    </row>
    <row r="88">
      <c r="F88" s="27"/>
      <c r="G88" s="27"/>
      <c r="H88" s="27"/>
      <c r="J88" s="27"/>
      <c r="L88" s="27"/>
      <c r="M88" s="27"/>
      <c r="N88" s="27"/>
      <c r="O88" s="27"/>
    </row>
    <row r="89">
      <c r="F89" s="27"/>
      <c r="G89" s="27"/>
      <c r="H89" s="27"/>
      <c r="J89" s="27"/>
      <c r="L89" s="27"/>
      <c r="M89" s="27"/>
      <c r="N89" s="27"/>
      <c r="O89" s="27"/>
    </row>
    <row r="90">
      <c r="F90" s="27"/>
      <c r="G90" s="27"/>
      <c r="H90" s="27"/>
      <c r="J90" s="27"/>
      <c r="L90" s="27"/>
      <c r="M90" s="27"/>
      <c r="N90" s="27"/>
      <c r="O90" s="27"/>
    </row>
    <row r="91">
      <c r="F91" s="27"/>
      <c r="G91" s="27"/>
      <c r="H91" s="27"/>
      <c r="J91" s="27"/>
      <c r="L91" s="27"/>
      <c r="M91" s="27"/>
      <c r="N91" s="27"/>
      <c r="O91" s="27"/>
    </row>
    <row r="92">
      <c r="F92" s="27"/>
      <c r="G92" s="27"/>
      <c r="H92" s="27"/>
      <c r="J92" s="27"/>
      <c r="L92" s="27"/>
      <c r="M92" s="27"/>
      <c r="N92" s="27"/>
      <c r="O92" s="27"/>
    </row>
    <row r="93">
      <c r="F93" s="27"/>
      <c r="G93" s="27"/>
      <c r="H93" s="27"/>
      <c r="J93" s="27"/>
      <c r="L93" s="27"/>
      <c r="M93" s="27"/>
      <c r="N93" s="27"/>
      <c r="O93" s="27"/>
    </row>
    <row r="94">
      <c r="F94" s="27"/>
      <c r="G94" s="27"/>
      <c r="H94" s="27"/>
      <c r="J94" s="27"/>
      <c r="L94" s="27"/>
      <c r="M94" s="27"/>
      <c r="N94" s="27"/>
      <c r="O94" s="27"/>
    </row>
    <row r="95">
      <c r="F95" s="27"/>
      <c r="G95" s="27"/>
      <c r="H95" s="27"/>
      <c r="J95" s="27"/>
      <c r="L95" s="27"/>
      <c r="M95" s="27"/>
      <c r="N95" s="27"/>
      <c r="O95" s="27"/>
    </row>
    <row r="96">
      <c r="F96" s="27"/>
      <c r="G96" s="27"/>
      <c r="H96" s="27"/>
      <c r="J96" s="27"/>
      <c r="L96" s="27"/>
      <c r="M96" s="27"/>
      <c r="N96" s="27"/>
      <c r="O96" s="27"/>
    </row>
    <row r="97">
      <c r="F97" s="27"/>
      <c r="G97" s="27"/>
      <c r="H97" s="27"/>
      <c r="J97" s="27"/>
      <c r="L97" s="27"/>
      <c r="M97" s="27"/>
      <c r="N97" s="27"/>
      <c r="O97" s="27"/>
    </row>
    <row r="98">
      <c r="F98" s="27"/>
      <c r="G98" s="27"/>
      <c r="H98" s="27"/>
      <c r="J98" s="27"/>
      <c r="L98" s="27"/>
      <c r="M98" s="27"/>
      <c r="N98" s="27"/>
      <c r="O98" s="27"/>
    </row>
    <row r="99">
      <c r="F99" s="27"/>
      <c r="G99" s="27"/>
      <c r="H99" s="27"/>
      <c r="J99" s="27"/>
      <c r="L99" s="27"/>
      <c r="M99" s="27"/>
      <c r="N99" s="27"/>
      <c r="O99" s="27"/>
    </row>
    <row r="100">
      <c r="F100" s="27"/>
      <c r="G100" s="27"/>
      <c r="H100" s="27"/>
      <c r="J100" s="27"/>
      <c r="L100" s="27"/>
      <c r="M100" s="27"/>
      <c r="N100" s="27"/>
      <c r="O100" s="27"/>
    </row>
    <row r="101">
      <c r="F101" s="27"/>
      <c r="G101" s="27"/>
      <c r="H101" s="27"/>
      <c r="J101" s="27"/>
      <c r="L101" s="27"/>
      <c r="M101" s="27"/>
      <c r="N101" s="27"/>
      <c r="O101" s="27"/>
    </row>
    <row r="102">
      <c r="F102" s="27"/>
      <c r="G102" s="27"/>
      <c r="H102" s="27"/>
      <c r="J102" s="27"/>
      <c r="L102" s="27"/>
      <c r="M102" s="27"/>
      <c r="N102" s="27"/>
      <c r="O102" s="27"/>
    </row>
    <row r="103">
      <c r="F103" s="27"/>
      <c r="G103" s="27"/>
      <c r="H103" s="27"/>
      <c r="J103" s="27"/>
      <c r="L103" s="27"/>
      <c r="M103" s="27"/>
      <c r="N103" s="27"/>
      <c r="O103" s="27"/>
    </row>
    <row r="104">
      <c r="F104" s="27"/>
      <c r="G104" s="27"/>
      <c r="H104" s="27"/>
      <c r="J104" s="27"/>
      <c r="L104" s="27"/>
      <c r="M104" s="27"/>
      <c r="N104" s="27"/>
      <c r="O104" s="27"/>
    </row>
    <row r="105">
      <c r="F105" s="27"/>
      <c r="G105" s="27"/>
      <c r="H105" s="27"/>
      <c r="J105" s="27"/>
      <c r="L105" s="27"/>
      <c r="M105" s="27"/>
      <c r="N105" s="27"/>
      <c r="O105" s="27"/>
    </row>
    <row r="106">
      <c r="F106" s="27"/>
      <c r="G106" s="27"/>
      <c r="H106" s="27"/>
      <c r="J106" s="27"/>
      <c r="L106" s="27"/>
      <c r="M106" s="27"/>
      <c r="N106" s="27"/>
      <c r="O106" s="27"/>
    </row>
    <row r="107">
      <c r="F107" s="27"/>
      <c r="G107" s="27"/>
      <c r="H107" s="27"/>
      <c r="J107" s="27"/>
      <c r="L107" s="27"/>
      <c r="M107" s="27"/>
      <c r="N107" s="27"/>
      <c r="O107" s="27"/>
    </row>
    <row r="108">
      <c r="F108" s="27"/>
      <c r="G108" s="27"/>
      <c r="H108" s="27"/>
      <c r="J108" s="27"/>
      <c r="L108" s="27"/>
      <c r="M108" s="27"/>
      <c r="N108" s="27"/>
      <c r="O108" s="27"/>
    </row>
    <row r="109">
      <c r="F109" s="27"/>
      <c r="G109" s="27"/>
      <c r="H109" s="27"/>
      <c r="J109" s="27"/>
      <c r="L109" s="27"/>
      <c r="M109" s="27"/>
      <c r="N109" s="27"/>
      <c r="O109" s="27"/>
    </row>
    <row r="110">
      <c r="F110" s="27"/>
      <c r="G110" s="27"/>
      <c r="H110" s="27"/>
      <c r="J110" s="27"/>
      <c r="L110" s="27"/>
      <c r="M110" s="27"/>
      <c r="N110" s="27"/>
      <c r="O110" s="27"/>
    </row>
    <row r="111">
      <c r="F111" s="27"/>
      <c r="G111" s="27"/>
      <c r="H111" s="27"/>
      <c r="J111" s="27"/>
      <c r="L111" s="27"/>
      <c r="M111" s="27"/>
      <c r="N111" s="27"/>
      <c r="O111" s="27"/>
    </row>
    <row r="112">
      <c r="F112" s="27"/>
      <c r="G112" s="27"/>
      <c r="H112" s="27"/>
      <c r="J112" s="27"/>
      <c r="L112" s="27"/>
      <c r="M112" s="27"/>
      <c r="N112" s="27"/>
      <c r="O112" s="27"/>
    </row>
    <row r="113">
      <c r="F113" s="27"/>
      <c r="G113" s="27"/>
      <c r="H113" s="27"/>
      <c r="J113" s="27"/>
      <c r="L113" s="27"/>
      <c r="M113" s="27"/>
      <c r="N113" s="27"/>
      <c r="O113" s="27"/>
    </row>
    <row r="114">
      <c r="F114" s="27"/>
      <c r="G114" s="27"/>
      <c r="H114" s="27"/>
      <c r="J114" s="27"/>
      <c r="L114" s="27"/>
      <c r="M114" s="27"/>
      <c r="N114" s="27"/>
      <c r="O114" s="27"/>
    </row>
    <row r="115">
      <c r="F115" s="27"/>
      <c r="G115" s="27"/>
      <c r="H115" s="27"/>
      <c r="J115" s="27"/>
      <c r="L115" s="27"/>
      <c r="M115" s="27"/>
      <c r="N115" s="27"/>
      <c r="O115" s="27"/>
    </row>
    <row r="116">
      <c r="F116" s="27"/>
      <c r="G116" s="27"/>
      <c r="H116" s="27"/>
      <c r="J116" s="27"/>
      <c r="L116" s="27"/>
      <c r="M116" s="27"/>
      <c r="N116" s="27"/>
      <c r="O116" s="27"/>
    </row>
    <row r="117">
      <c r="F117" s="27"/>
      <c r="G117" s="27"/>
      <c r="H117" s="27"/>
      <c r="J117" s="27"/>
      <c r="L117" s="27"/>
      <c r="M117" s="27"/>
      <c r="N117" s="27"/>
      <c r="O117" s="27"/>
    </row>
    <row r="118">
      <c r="F118" s="27"/>
      <c r="G118" s="27"/>
      <c r="H118" s="27"/>
      <c r="J118" s="27"/>
      <c r="L118" s="27"/>
      <c r="M118" s="27"/>
      <c r="N118" s="27"/>
      <c r="O118" s="27"/>
    </row>
    <row r="119">
      <c r="F119" s="27"/>
      <c r="G119" s="27"/>
      <c r="H119" s="27"/>
      <c r="J119" s="27"/>
      <c r="L119" s="27"/>
      <c r="M119" s="27"/>
      <c r="N119" s="27"/>
      <c r="O119" s="27"/>
    </row>
    <row r="120">
      <c r="F120" s="27"/>
      <c r="G120" s="27"/>
      <c r="H120" s="27"/>
      <c r="J120" s="27"/>
      <c r="L120" s="27"/>
      <c r="M120" s="27"/>
      <c r="N120" s="27"/>
      <c r="O120" s="27"/>
    </row>
    <row r="121">
      <c r="F121" s="27"/>
      <c r="G121" s="27"/>
      <c r="H121" s="27"/>
      <c r="J121" s="27"/>
      <c r="L121" s="27"/>
      <c r="M121" s="27"/>
      <c r="N121" s="27"/>
      <c r="O121" s="27"/>
    </row>
    <row r="122">
      <c r="F122" s="27"/>
      <c r="G122" s="27"/>
      <c r="H122" s="27"/>
      <c r="J122" s="27"/>
      <c r="L122" s="27"/>
      <c r="M122" s="27"/>
      <c r="N122" s="27"/>
      <c r="O122" s="27"/>
    </row>
    <row r="123">
      <c r="F123" s="27"/>
      <c r="G123" s="27"/>
      <c r="H123" s="27"/>
      <c r="J123" s="27"/>
      <c r="L123" s="27"/>
      <c r="M123" s="27"/>
      <c r="N123" s="27"/>
      <c r="O123" s="27"/>
    </row>
    <row r="124">
      <c r="F124" s="27"/>
      <c r="G124" s="27"/>
      <c r="H124" s="27"/>
      <c r="J124" s="27"/>
      <c r="L124" s="27"/>
      <c r="M124" s="27"/>
      <c r="N124" s="27"/>
      <c r="O124" s="27"/>
    </row>
    <row r="125">
      <c r="F125" s="27"/>
      <c r="G125" s="27"/>
      <c r="H125" s="27"/>
      <c r="J125" s="27"/>
      <c r="L125" s="27"/>
      <c r="M125" s="27"/>
      <c r="N125" s="27"/>
      <c r="O125" s="27"/>
    </row>
    <row r="126">
      <c r="F126" s="27"/>
      <c r="G126" s="27"/>
      <c r="H126" s="27"/>
      <c r="J126" s="27"/>
      <c r="L126" s="27"/>
      <c r="M126" s="27"/>
      <c r="N126" s="27"/>
      <c r="O126" s="27"/>
    </row>
    <row r="127">
      <c r="F127" s="27"/>
      <c r="G127" s="27"/>
      <c r="H127" s="27"/>
      <c r="J127" s="27"/>
      <c r="L127" s="27"/>
      <c r="M127" s="27"/>
      <c r="N127" s="27"/>
      <c r="O127" s="27"/>
    </row>
    <row r="128">
      <c r="F128" s="27"/>
      <c r="G128" s="27"/>
      <c r="H128" s="27"/>
      <c r="J128" s="27"/>
      <c r="L128" s="27"/>
      <c r="M128" s="27"/>
      <c r="N128" s="27"/>
      <c r="O128" s="27"/>
    </row>
    <row r="129">
      <c r="F129" s="27"/>
      <c r="G129" s="27"/>
      <c r="H129" s="27"/>
      <c r="J129" s="27"/>
      <c r="L129" s="27"/>
      <c r="M129" s="27"/>
      <c r="N129" s="27"/>
      <c r="O129" s="27"/>
    </row>
    <row r="130">
      <c r="F130" s="27"/>
      <c r="G130" s="27"/>
      <c r="H130" s="27"/>
      <c r="J130" s="27"/>
      <c r="L130" s="27"/>
      <c r="M130" s="27"/>
      <c r="N130" s="27"/>
      <c r="O130" s="27"/>
    </row>
    <row r="131">
      <c r="F131" s="27"/>
      <c r="G131" s="27"/>
      <c r="H131" s="27"/>
      <c r="J131" s="27"/>
      <c r="L131" s="27"/>
      <c r="M131" s="27"/>
      <c r="N131" s="27"/>
      <c r="O131" s="27"/>
    </row>
    <row r="132">
      <c r="F132" s="27"/>
      <c r="G132" s="27"/>
      <c r="H132" s="27"/>
      <c r="J132" s="27"/>
      <c r="L132" s="27"/>
      <c r="M132" s="27"/>
      <c r="N132" s="27"/>
      <c r="O132" s="27"/>
    </row>
    <row r="133">
      <c r="F133" s="27"/>
      <c r="G133" s="27"/>
      <c r="H133" s="27"/>
      <c r="J133" s="27"/>
      <c r="L133" s="27"/>
      <c r="M133" s="27"/>
      <c r="N133" s="27"/>
      <c r="O133" s="27"/>
    </row>
    <row r="134">
      <c r="F134" s="27"/>
      <c r="G134" s="27"/>
      <c r="H134" s="27"/>
      <c r="J134" s="27"/>
      <c r="L134" s="27"/>
      <c r="M134" s="27"/>
      <c r="N134" s="27"/>
      <c r="O134" s="27"/>
    </row>
    <row r="135">
      <c r="F135" s="27"/>
      <c r="G135" s="27"/>
      <c r="H135" s="27"/>
      <c r="J135" s="27"/>
      <c r="L135" s="27"/>
      <c r="M135" s="27"/>
      <c r="N135" s="27"/>
      <c r="O135" s="27"/>
    </row>
    <row r="136">
      <c r="F136" s="27"/>
      <c r="G136" s="27"/>
      <c r="H136" s="27"/>
      <c r="J136" s="27"/>
      <c r="L136" s="27"/>
      <c r="M136" s="27"/>
      <c r="N136" s="27"/>
      <c r="O136" s="27"/>
    </row>
    <row r="137">
      <c r="F137" s="27"/>
      <c r="G137" s="27"/>
      <c r="H137" s="27"/>
      <c r="J137" s="27"/>
      <c r="L137" s="27"/>
      <c r="M137" s="27"/>
      <c r="N137" s="27"/>
      <c r="O137" s="27"/>
    </row>
    <row r="138">
      <c r="F138" s="27"/>
      <c r="G138" s="27"/>
      <c r="H138" s="27"/>
      <c r="J138" s="27"/>
      <c r="L138" s="27"/>
      <c r="M138" s="27"/>
      <c r="N138" s="27"/>
      <c r="O138" s="27"/>
    </row>
    <row r="139">
      <c r="F139" s="27"/>
      <c r="G139" s="27"/>
      <c r="H139" s="27"/>
      <c r="J139" s="27"/>
      <c r="L139" s="27"/>
      <c r="M139" s="27"/>
      <c r="N139" s="27"/>
      <c r="O139" s="27"/>
    </row>
    <row r="140">
      <c r="F140" s="27"/>
      <c r="G140" s="27"/>
      <c r="H140" s="27"/>
      <c r="J140" s="27"/>
      <c r="L140" s="27"/>
      <c r="M140" s="27"/>
      <c r="N140" s="27"/>
      <c r="O140" s="27"/>
    </row>
    <row r="141">
      <c r="F141" s="27"/>
      <c r="G141" s="27"/>
      <c r="H141" s="27"/>
      <c r="J141" s="27"/>
      <c r="L141" s="27"/>
      <c r="M141" s="27"/>
      <c r="N141" s="27"/>
      <c r="O141" s="27"/>
    </row>
    <row r="142">
      <c r="F142" s="27"/>
      <c r="G142" s="27"/>
      <c r="H142" s="27"/>
      <c r="J142" s="27"/>
      <c r="L142" s="27"/>
      <c r="M142" s="27"/>
      <c r="N142" s="27"/>
      <c r="O142" s="27"/>
    </row>
    <row r="143">
      <c r="F143" s="27"/>
      <c r="G143" s="27"/>
      <c r="H143" s="27"/>
      <c r="J143" s="27"/>
      <c r="L143" s="27"/>
      <c r="M143" s="27"/>
      <c r="N143" s="27"/>
      <c r="O143" s="27"/>
    </row>
    <row r="144">
      <c r="F144" s="27"/>
      <c r="G144" s="27"/>
      <c r="H144" s="27"/>
      <c r="J144" s="27"/>
      <c r="L144" s="27"/>
      <c r="M144" s="27"/>
      <c r="N144" s="27"/>
      <c r="O144" s="27"/>
    </row>
    <row r="145">
      <c r="F145" s="27"/>
      <c r="G145" s="27"/>
      <c r="H145" s="27"/>
      <c r="J145" s="27"/>
      <c r="L145" s="27"/>
      <c r="M145" s="27"/>
      <c r="N145" s="27"/>
      <c r="O145" s="27"/>
    </row>
    <row r="146">
      <c r="F146" s="27"/>
      <c r="G146" s="27"/>
      <c r="H146" s="27"/>
      <c r="J146" s="27"/>
      <c r="L146" s="27"/>
      <c r="M146" s="27"/>
      <c r="N146" s="27"/>
      <c r="O146" s="27"/>
    </row>
    <row r="147">
      <c r="F147" s="27"/>
      <c r="G147" s="27"/>
      <c r="H147" s="27"/>
      <c r="J147" s="27"/>
      <c r="L147" s="27"/>
      <c r="M147" s="27"/>
      <c r="N147" s="27"/>
      <c r="O147" s="27"/>
    </row>
    <row r="148">
      <c r="F148" s="27"/>
      <c r="G148" s="27"/>
      <c r="H148" s="27"/>
      <c r="J148" s="27"/>
      <c r="L148" s="27"/>
      <c r="M148" s="27"/>
      <c r="N148" s="27"/>
      <c r="O148" s="27"/>
    </row>
    <row r="149">
      <c r="F149" s="27"/>
      <c r="G149" s="27"/>
      <c r="H149" s="27"/>
      <c r="J149" s="27"/>
      <c r="L149" s="27"/>
      <c r="M149" s="27"/>
      <c r="N149" s="27"/>
      <c r="O149" s="27"/>
    </row>
    <row r="150">
      <c r="F150" s="27"/>
      <c r="G150" s="27"/>
      <c r="H150" s="27"/>
      <c r="J150" s="27"/>
      <c r="L150" s="27"/>
      <c r="M150" s="27"/>
      <c r="N150" s="27"/>
      <c r="O150" s="27"/>
    </row>
    <row r="151">
      <c r="F151" s="27"/>
      <c r="G151" s="27"/>
      <c r="H151" s="27"/>
      <c r="J151" s="27"/>
      <c r="L151" s="27"/>
      <c r="M151" s="27"/>
      <c r="N151" s="27"/>
      <c r="O151" s="27"/>
    </row>
    <row r="152">
      <c r="F152" s="27"/>
      <c r="G152" s="27"/>
      <c r="H152" s="27"/>
      <c r="J152" s="27"/>
      <c r="L152" s="27"/>
      <c r="M152" s="27"/>
      <c r="N152" s="27"/>
      <c r="O152" s="27"/>
    </row>
    <row r="153">
      <c r="F153" s="27"/>
      <c r="G153" s="27"/>
      <c r="H153" s="27"/>
      <c r="J153" s="27"/>
      <c r="L153" s="27"/>
      <c r="M153" s="27"/>
      <c r="N153" s="27"/>
      <c r="O153" s="27"/>
    </row>
    <row r="154">
      <c r="F154" s="27"/>
      <c r="G154" s="27"/>
      <c r="H154" s="27"/>
      <c r="J154" s="27"/>
      <c r="L154" s="27"/>
      <c r="M154" s="27"/>
      <c r="N154" s="27"/>
      <c r="O154" s="27"/>
    </row>
    <row r="155">
      <c r="F155" s="27"/>
      <c r="G155" s="27"/>
      <c r="H155" s="27"/>
      <c r="J155" s="27"/>
      <c r="L155" s="27"/>
      <c r="M155" s="27"/>
      <c r="N155" s="27"/>
      <c r="O155" s="27"/>
    </row>
    <row r="156">
      <c r="F156" s="27"/>
      <c r="G156" s="27"/>
      <c r="H156" s="27"/>
      <c r="J156" s="27"/>
      <c r="L156" s="27"/>
      <c r="M156" s="27"/>
      <c r="N156" s="27"/>
      <c r="O156" s="27"/>
    </row>
    <row r="157">
      <c r="F157" s="27"/>
      <c r="G157" s="27"/>
      <c r="H157" s="27"/>
      <c r="J157" s="27"/>
      <c r="L157" s="27"/>
      <c r="M157" s="27"/>
      <c r="N157" s="27"/>
      <c r="O157" s="27"/>
    </row>
    <row r="158">
      <c r="F158" s="27"/>
      <c r="G158" s="27"/>
      <c r="H158" s="27"/>
      <c r="J158" s="27"/>
      <c r="L158" s="27"/>
      <c r="M158" s="27"/>
      <c r="N158" s="27"/>
      <c r="O158" s="27"/>
    </row>
    <row r="159">
      <c r="F159" s="27"/>
      <c r="G159" s="27"/>
      <c r="H159" s="27"/>
      <c r="J159" s="27"/>
      <c r="L159" s="27"/>
      <c r="M159" s="27"/>
      <c r="N159" s="27"/>
      <c r="O159" s="27"/>
    </row>
    <row r="160">
      <c r="F160" s="27"/>
      <c r="G160" s="27"/>
      <c r="H160" s="27"/>
      <c r="J160" s="27"/>
      <c r="L160" s="27"/>
      <c r="M160" s="27"/>
      <c r="N160" s="27"/>
      <c r="O160" s="27"/>
    </row>
    <row r="161">
      <c r="F161" s="27"/>
      <c r="G161" s="27"/>
      <c r="H161" s="27"/>
      <c r="J161" s="27"/>
      <c r="L161" s="27"/>
      <c r="M161" s="27"/>
      <c r="N161" s="27"/>
      <c r="O161" s="27"/>
    </row>
    <row r="162">
      <c r="F162" s="27"/>
      <c r="G162" s="27"/>
      <c r="H162" s="27"/>
      <c r="J162" s="27"/>
      <c r="L162" s="27"/>
      <c r="M162" s="27"/>
      <c r="N162" s="27"/>
      <c r="O162" s="27"/>
    </row>
    <row r="163">
      <c r="F163" s="27"/>
      <c r="G163" s="27"/>
      <c r="H163" s="27"/>
      <c r="J163" s="27"/>
      <c r="L163" s="27"/>
      <c r="M163" s="27"/>
      <c r="N163" s="27"/>
      <c r="O163" s="27"/>
    </row>
    <row r="164">
      <c r="F164" s="27"/>
      <c r="G164" s="27"/>
      <c r="H164" s="27"/>
      <c r="J164" s="27"/>
      <c r="L164" s="27"/>
      <c r="M164" s="27"/>
      <c r="N164" s="27"/>
      <c r="O164" s="27"/>
    </row>
    <row r="165">
      <c r="F165" s="27"/>
      <c r="G165" s="27"/>
      <c r="H165" s="27"/>
      <c r="J165" s="27"/>
      <c r="L165" s="27"/>
      <c r="M165" s="27"/>
      <c r="N165" s="27"/>
      <c r="O165" s="27"/>
    </row>
    <row r="166">
      <c r="F166" s="27"/>
      <c r="G166" s="27"/>
      <c r="H166" s="27"/>
      <c r="J166" s="27"/>
      <c r="L166" s="27"/>
      <c r="M166" s="27"/>
      <c r="N166" s="27"/>
      <c r="O166" s="27"/>
    </row>
    <row r="167">
      <c r="F167" s="27"/>
      <c r="G167" s="27"/>
      <c r="H167" s="27"/>
      <c r="J167" s="27"/>
      <c r="L167" s="27"/>
      <c r="M167" s="27"/>
      <c r="N167" s="27"/>
      <c r="O167" s="27"/>
    </row>
    <row r="168">
      <c r="F168" s="27"/>
      <c r="G168" s="27"/>
      <c r="H168" s="27"/>
      <c r="J168" s="27"/>
      <c r="L168" s="27"/>
      <c r="M168" s="27"/>
      <c r="N168" s="27"/>
      <c r="O168" s="27"/>
    </row>
    <row r="169">
      <c r="F169" s="27"/>
      <c r="G169" s="27"/>
      <c r="H169" s="27"/>
      <c r="J169" s="27"/>
      <c r="L169" s="27"/>
      <c r="M169" s="27"/>
      <c r="N169" s="27"/>
      <c r="O169" s="27"/>
    </row>
    <row r="170">
      <c r="F170" s="27"/>
      <c r="G170" s="27"/>
      <c r="H170" s="27"/>
      <c r="J170" s="27"/>
      <c r="L170" s="27"/>
      <c r="M170" s="27"/>
      <c r="N170" s="27"/>
      <c r="O170" s="27"/>
    </row>
    <row r="171">
      <c r="F171" s="27"/>
      <c r="G171" s="27"/>
      <c r="H171" s="27"/>
      <c r="J171" s="27"/>
      <c r="L171" s="27"/>
      <c r="M171" s="27"/>
      <c r="N171" s="27"/>
      <c r="O171" s="27"/>
    </row>
    <row r="172">
      <c r="F172" s="27"/>
      <c r="G172" s="27"/>
      <c r="H172" s="27"/>
      <c r="J172" s="27"/>
      <c r="L172" s="27"/>
      <c r="M172" s="27"/>
      <c r="N172" s="27"/>
      <c r="O172" s="27"/>
    </row>
    <row r="173">
      <c r="F173" s="27"/>
      <c r="G173" s="27"/>
      <c r="H173" s="27"/>
      <c r="J173" s="27"/>
      <c r="L173" s="27"/>
      <c r="M173" s="27"/>
      <c r="N173" s="27"/>
      <c r="O173" s="27"/>
    </row>
    <row r="174">
      <c r="F174" s="27"/>
      <c r="G174" s="27"/>
      <c r="H174" s="27"/>
      <c r="J174" s="27"/>
      <c r="L174" s="27"/>
      <c r="M174" s="27"/>
      <c r="N174" s="27"/>
      <c r="O174" s="27"/>
    </row>
    <row r="175">
      <c r="F175" s="27"/>
      <c r="G175" s="27"/>
      <c r="H175" s="27"/>
      <c r="J175" s="27"/>
      <c r="L175" s="27"/>
      <c r="M175" s="27"/>
      <c r="N175" s="27"/>
      <c r="O175" s="27"/>
    </row>
    <row r="176">
      <c r="F176" s="27"/>
      <c r="G176" s="27"/>
      <c r="H176" s="27"/>
      <c r="J176" s="27"/>
      <c r="L176" s="27"/>
      <c r="M176" s="27"/>
      <c r="N176" s="27"/>
      <c r="O176" s="27"/>
    </row>
    <row r="177">
      <c r="F177" s="27"/>
      <c r="G177" s="27"/>
      <c r="H177" s="27"/>
      <c r="J177" s="27"/>
      <c r="L177" s="27"/>
      <c r="M177" s="27"/>
      <c r="N177" s="27"/>
      <c r="O177" s="27"/>
    </row>
    <row r="178">
      <c r="F178" s="27"/>
      <c r="G178" s="27"/>
      <c r="H178" s="27"/>
      <c r="J178" s="27"/>
      <c r="L178" s="27"/>
      <c r="M178" s="27"/>
      <c r="N178" s="27"/>
      <c r="O178" s="27"/>
    </row>
    <row r="179">
      <c r="F179" s="27"/>
      <c r="G179" s="27"/>
      <c r="H179" s="27"/>
      <c r="J179" s="27"/>
      <c r="L179" s="27"/>
      <c r="M179" s="27"/>
      <c r="N179" s="27"/>
      <c r="O179" s="27"/>
    </row>
    <row r="180">
      <c r="F180" s="27"/>
      <c r="G180" s="27"/>
      <c r="H180" s="27"/>
      <c r="J180" s="27"/>
      <c r="L180" s="27"/>
      <c r="M180" s="27"/>
      <c r="N180" s="27"/>
      <c r="O180" s="27"/>
    </row>
    <row r="181">
      <c r="F181" s="27"/>
      <c r="G181" s="27"/>
      <c r="H181" s="27"/>
      <c r="J181" s="27"/>
      <c r="L181" s="27"/>
      <c r="M181" s="27"/>
      <c r="N181" s="27"/>
      <c r="O181" s="27"/>
    </row>
    <row r="182">
      <c r="F182" s="27"/>
      <c r="G182" s="27"/>
      <c r="H182" s="27"/>
      <c r="J182" s="27"/>
      <c r="L182" s="27"/>
      <c r="M182" s="27"/>
      <c r="N182" s="27"/>
      <c r="O182" s="27"/>
    </row>
    <row r="183">
      <c r="F183" s="27"/>
      <c r="G183" s="27"/>
      <c r="H183" s="27"/>
      <c r="J183" s="27"/>
      <c r="L183" s="27"/>
      <c r="M183" s="27"/>
      <c r="N183" s="27"/>
      <c r="O183" s="27"/>
    </row>
    <row r="184">
      <c r="F184" s="27"/>
      <c r="G184" s="27"/>
      <c r="H184" s="27"/>
      <c r="J184" s="27"/>
      <c r="L184" s="27"/>
      <c r="M184" s="27"/>
      <c r="N184" s="27"/>
      <c r="O184" s="27"/>
    </row>
    <row r="185">
      <c r="F185" s="27"/>
      <c r="G185" s="27"/>
      <c r="H185" s="27"/>
      <c r="J185" s="27"/>
      <c r="L185" s="27"/>
      <c r="M185" s="27"/>
      <c r="N185" s="27"/>
      <c r="O185" s="27"/>
    </row>
    <row r="186">
      <c r="F186" s="27"/>
      <c r="G186" s="27"/>
      <c r="H186" s="27"/>
      <c r="J186" s="27"/>
      <c r="L186" s="27"/>
      <c r="M186" s="27"/>
      <c r="N186" s="27"/>
      <c r="O186" s="27"/>
    </row>
    <row r="187">
      <c r="F187" s="27"/>
      <c r="G187" s="27"/>
      <c r="H187" s="27"/>
      <c r="J187" s="27"/>
      <c r="L187" s="27"/>
      <c r="M187" s="27"/>
      <c r="N187" s="27"/>
      <c r="O187" s="27"/>
    </row>
    <row r="188">
      <c r="F188" s="27"/>
      <c r="G188" s="27"/>
      <c r="H188" s="27"/>
      <c r="J188" s="27"/>
      <c r="L188" s="27"/>
      <c r="M188" s="27"/>
      <c r="N188" s="27"/>
      <c r="O188" s="27"/>
    </row>
    <row r="189">
      <c r="F189" s="27"/>
      <c r="G189" s="27"/>
      <c r="H189" s="27"/>
      <c r="J189" s="27"/>
      <c r="L189" s="27"/>
      <c r="M189" s="27"/>
      <c r="N189" s="27"/>
      <c r="O189" s="27"/>
    </row>
    <row r="190">
      <c r="F190" s="27"/>
      <c r="G190" s="27"/>
      <c r="H190" s="27"/>
      <c r="J190" s="27"/>
      <c r="L190" s="27"/>
      <c r="M190" s="27"/>
      <c r="N190" s="27"/>
      <c r="O190" s="27"/>
    </row>
    <row r="191">
      <c r="F191" s="27"/>
      <c r="G191" s="27"/>
      <c r="H191" s="27"/>
      <c r="J191" s="27"/>
      <c r="L191" s="27"/>
      <c r="M191" s="27"/>
      <c r="N191" s="27"/>
      <c r="O191" s="27"/>
    </row>
    <row r="192">
      <c r="F192" s="27"/>
      <c r="G192" s="27"/>
      <c r="H192" s="27"/>
      <c r="J192" s="27"/>
      <c r="L192" s="27"/>
      <c r="M192" s="27"/>
      <c r="N192" s="27"/>
      <c r="O192" s="27"/>
    </row>
    <row r="193">
      <c r="F193" s="27"/>
      <c r="G193" s="27"/>
      <c r="H193" s="27"/>
      <c r="J193" s="27"/>
      <c r="L193" s="27"/>
      <c r="M193" s="27"/>
      <c r="N193" s="27"/>
      <c r="O193" s="27"/>
    </row>
    <row r="194">
      <c r="F194" s="27"/>
      <c r="G194" s="27"/>
      <c r="H194" s="27"/>
      <c r="J194" s="27"/>
      <c r="L194" s="27"/>
      <c r="M194" s="27"/>
      <c r="N194" s="27"/>
      <c r="O194" s="27"/>
    </row>
    <row r="195">
      <c r="F195" s="27"/>
      <c r="G195" s="27"/>
      <c r="H195" s="27"/>
      <c r="J195" s="27"/>
      <c r="L195" s="27"/>
      <c r="M195" s="27"/>
      <c r="N195" s="27"/>
      <c r="O195" s="27"/>
    </row>
    <row r="196">
      <c r="F196" s="27"/>
      <c r="G196" s="27"/>
      <c r="H196" s="27"/>
      <c r="J196" s="27"/>
      <c r="L196" s="27"/>
      <c r="M196" s="27"/>
      <c r="N196" s="27"/>
      <c r="O196" s="27"/>
    </row>
    <row r="197">
      <c r="F197" s="27"/>
      <c r="G197" s="27"/>
      <c r="H197" s="27"/>
      <c r="J197" s="27"/>
      <c r="L197" s="27"/>
      <c r="M197" s="27"/>
      <c r="N197" s="27"/>
      <c r="O197" s="27"/>
    </row>
    <row r="198">
      <c r="F198" s="27"/>
      <c r="G198" s="27"/>
      <c r="H198" s="27"/>
      <c r="J198" s="27"/>
      <c r="L198" s="27"/>
      <c r="M198" s="27"/>
      <c r="N198" s="27"/>
      <c r="O198" s="27"/>
    </row>
    <row r="199">
      <c r="F199" s="27"/>
      <c r="G199" s="27"/>
      <c r="H199" s="27"/>
      <c r="J199" s="27"/>
      <c r="L199" s="27"/>
      <c r="M199" s="27"/>
      <c r="N199" s="27"/>
      <c r="O199" s="27"/>
    </row>
    <row r="200">
      <c r="F200" s="27"/>
      <c r="G200" s="27"/>
      <c r="H200" s="27"/>
      <c r="J200" s="27"/>
      <c r="L200" s="27"/>
      <c r="M200" s="27"/>
      <c r="N200" s="27"/>
      <c r="O200" s="27"/>
    </row>
    <row r="201">
      <c r="F201" s="27"/>
      <c r="G201" s="27"/>
      <c r="H201" s="27"/>
      <c r="J201" s="27"/>
      <c r="L201" s="27"/>
      <c r="M201" s="27"/>
      <c r="N201" s="27"/>
      <c r="O201" s="27"/>
    </row>
    <row r="202">
      <c r="F202" s="27"/>
      <c r="G202" s="27"/>
      <c r="H202" s="27"/>
      <c r="J202" s="27"/>
      <c r="L202" s="27"/>
      <c r="M202" s="27"/>
      <c r="N202" s="27"/>
      <c r="O202" s="27"/>
    </row>
    <row r="203">
      <c r="F203" s="27"/>
      <c r="G203" s="27"/>
      <c r="H203" s="27"/>
      <c r="J203" s="27"/>
      <c r="L203" s="27"/>
      <c r="M203" s="27"/>
      <c r="N203" s="27"/>
      <c r="O203" s="27"/>
    </row>
    <row r="204">
      <c r="F204" s="27"/>
      <c r="G204" s="27"/>
      <c r="H204" s="27"/>
      <c r="J204" s="27"/>
      <c r="L204" s="27"/>
      <c r="M204" s="27"/>
      <c r="N204" s="27"/>
      <c r="O204" s="27"/>
    </row>
    <row r="205">
      <c r="F205" s="27"/>
      <c r="G205" s="27"/>
      <c r="H205" s="27"/>
      <c r="J205" s="27"/>
      <c r="L205" s="27"/>
      <c r="M205" s="27"/>
      <c r="N205" s="27"/>
      <c r="O205" s="27"/>
    </row>
    <row r="206">
      <c r="F206" s="27"/>
      <c r="G206" s="27"/>
      <c r="H206" s="27"/>
      <c r="J206" s="27"/>
      <c r="L206" s="27"/>
      <c r="M206" s="27"/>
      <c r="N206" s="27"/>
      <c r="O206" s="27"/>
    </row>
    <row r="207">
      <c r="F207" s="27"/>
      <c r="G207" s="27"/>
      <c r="H207" s="27"/>
      <c r="J207" s="27"/>
      <c r="L207" s="27"/>
      <c r="M207" s="27"/>
      <c r="N207" s="27"/>
      <c r="O207" s="27"/>
    </row>
    <row r="208">
      <c r="F208" s="27"/>
      <c r="G208" s="27"/>
      <c r="H208" s="27"/>
      <c r="J208" s="27"/>
      <c r="L208" s="27"/>
      <c r="M208" s="27"/>
      <c r="N208" s="27"/>
      <c r="O208" s="27"/>
    </row>
    <row r="209">
      <c r="F209" s="27"/>
      <c r="G209" s="27"/>
      <c r="H209" s="27"/>
      <c r="J209" s="27"/>
      <c r="L209" s="27"/>
      <c r="M209" s="27"/>
      <c r="N209" s="27"/>
      <c r="O209" s="27"/>
    </row>
    <row r="210">
      <c r="F210" s="27"/>
      <c r="G210" s="27"/>
      <c r="H210" s="27"/>
      <c r="J210" s="27"/>
      <c r="L210" s="27"/>
      <c r="M210" s="27"/>
      <c r="N210" s="27"/>
      <c r="O210" s="27"/>
    </row>
    <row r="211">
      <c r="F211" s="27"/>
      <c r="G211" s="27"/>
      <c r="H211" s="27"/>
      <c r="J211" s="27"/>
      <c r="L211" s="27"/>
      <c r="M211" s="27"/>
      <c r="N211" s="27"/>
      <c r="O211" s="27"/>
    </row>
    <row r="212">
      <c r="F212" s="27"/>
      <c r="G212" s="27"/>
      <c r="H212" s="27"/>
      <c r="J212" s="27"/>
      <c r="L212" s="27"/>
      <c r="M212" s="27"/>
      <c r="N212" s="27"/>
      <c r="O212" s="27"/>
    </row>
    <row r="213">
      <c r="F213" s="27"/>
      <c r="G213" s="27"/>
      <c r="H213" s="27"/>
      <c r="J213" s="27"/>
      <c r="L213" s="27"/>
      <c r="M213" s="27"/>
      <c r="N213" s="27"/>
      <c r="O213" s="27"/>
    </row>
    <row r="214">
      <c r="F214" s="27"/>
      <c r="G214" s="27"/>
      <c r="H214" s="27"/>
      <c r="J214" s="27"/>
      <c r="L214" s="27"/>
      <c r="M214" s="27"/>
      <c r="N214" s="27"/>
      <c r="O214" s="27"/>
    </row>
    <row r="215">
      <c r="F215" s="27"/>
      <c r="G215" s="27"/>
      <c r="H215" s="27"/>
      <c r="J215" s="27"/>
      <c r="L215" s="27"/>
      <c r="M215" s="27"/>
      <c r="N215" s="27"/>
      <c r="O215" s="27"/>
    </row>
    <row r="216">
      <c r="F216" s="27"/>
      <c r="G216" s="27"/>
      <c r="H216" s="27"/>
      <c r="J216" s="27"/>
      <c r="L216" s="27"/>
      <c r="M216" s="27"/>
      <c r="N216" s="27"/>
      <c r="O216" s="27"/>
    </row>
    <row r="217">
      <c r="F217" s="27"/>
      <c r="G217" s="27"/>
      <c r="H217" s="27"/>
      <c r="J217" s="27"/>
      <c r="L217" s="27"/>
      <c r="M217" s="27"/>
      <c r="N217" s="27"/>
      <c r="O217" s="27"/>
    </row>
    <row r="218">
      <c r="F218" s="27"/>
      <c r="G218" s="27"/>
      <c r="H218" s="27"/>
      <c r="J218" s="27"/>
      <c r="L218" s="27"/>
      <c r="M218" s="27"/>
      <c r="N218" s="27"/>
      <c r="O218" s="27"/>
    </row>
    <row r="219">
      <c r="F219" s="27"/>
      <c r="G219" s="27"/>
      <c r="H219" s="27"/>
      <c r="J219" s="27"/>
      <c r="L219" s="27"/>
      <c r="M219" s="27"/>
      <c r="N219" s="27"/>
      <c r="O219" s="27"/>
    </row>
    <row r="220">
      <c r="F220" s="27"/>
      <c r="G220" s="27"/>
      <c r="H220" s="27"/>
      <c r="J220" s="27"/>
      <c r="L220" s="27"/>
      <c r="M220" s="27"/>
      <c r="N220" s="27"/>
      <c r="O220" s="27"/>
    </row>
    <row r="221">
      <c r="F221" s="27"/>
      <c r="G221" s="27"/>
      <c r="H221" s="27"/>
      <c r="J221" s="27"/>
      <c r="L221" s="27"/>
      <c r="M221" s="27"/>
      <c r="N221" s="27"/>
      <c r="O221" s="27"/>
    </row>
    <row r="222">
      <c r="F222" s="27"/>
      <c r="G222" s="27"/>
      <c r="H222" s="27"/>
      <c r="J222" s="27"/>
      <c r="L222" s="27"/>
      <c r="M222" s="27"/>
      <c r="N222" s="27"/>
      <c r="O222" s="27"/>
    </row>
    <row r="223">
      <c r="F223" s="27"/>
      <c r="G223" s="27"/>
      <c r="H223" s="27"/>
      <c r="J223" s="27"/>
      <c r="L223" s="27"/>
      <c r="M223" s="27"/>
      <c r="N223" s="27"/>
      <c r="O223" s="27"/>
    </row>
    <row r="224">
      <c r="F224" s="27"/>
      <c r="G224" s="27"/>
      <c r="H224" s="27"/>
      <c r="J224" s="27"/>
      <c r="L224" s="27"/>
      <c r="M224" s="27"/>
      <c r="N224" s="27"/>
      <c r="O224" s="27"/>
    </row>
    <row r="225">
      <c r="F225" s="27"/>
      <c r="G225" s="27"/>
      <c r="H225" s="27"/>
      <c r="J225" s="27"/>
      <c r="L225" s="27"/>
      <c r="M225" s="27"/>
      <c r="N225" s="27"/>
      <c r="O225" s="27"/>
    </row>
    <row r="226">
      <c r="F226" s="27"/>
      <c r="G226" s="27"/>
      <c r="H226" s="27"/>
      <c r="J226" s="27"/>
      <c r="L226" s="27"/>
      <c r="M226" s="27"/>
      <c r="N226" s="27"/>
      <c r="O226" s="27"/>
    </row>
    <row r="227">
      <c r="F227" s="27"/>
      <c r="G227" s="27"/>
      <c r="H227" s="27"/>
      <c r="J227" s="27"/>
      <c r="L227" s="27"/>
      <c r="M227" s="27"/>
      <c r="N227" s="27"/>
      <c r="O227" s="27"/>
    </row>
    <row r="228">
      <c r="F228" s="27"/>
      <c r="G228" s="27"/>
      <c r="H228" s="27"/>
      <c r="J228" s="27"/>
      <c r="L228" s="27"/>
      <c r="M228" s="27"/>
      <c r="N228" s="27"/>
      <c r="O228" s="27"/>
    </row>
    <row r="229">
      <c r="F229" s="27"/>
      <c r="G229" s="27"/>
      <c r="H229" s="27"/>
      <c r="J229" s="27"/>
      <c r="L229" s="27"/>
      <c r="M229" s="27"/>
      <c r="N229" s="27"/>
      <c r="O229" s="27"/>
    </row>
    <row r="230">
      <c r="F230" s="27"/>
      <c r="G230" s="27"/>
      <c r="H230" s="27"/>
      <c r="J230" s="27"/>
      <c r="L230" s="27"/>
      <c r="M230" s="27"/>
      <c r="N230" s="27"/>
      <c r="O230" s="27"/>
    </row>
    <row r="231">
      <c r="F231" s="27"/>
      <c r="G231" s="27"/>
      <c r="H231" s="27"/>
      <c r="J231" s="27"/>
      <c r="L231" s="27"/>
      <c r="M231" s="27"/>
      <c r="N231" s="27"/>
      <c r="O231" s="27"/>
    </row>
    <row r="232">
      <c r="F232" s="27"/>
      <c r="G232" s="27"/>
      <c r="H232" s="27"/>
      <c r="J232" s="27"/>
      <c r="L232" s="27"/>
      <c r="M232" s="27"/>
      <c r="N232" s="27"/>
      <c r="O232" s="27"/>
    </row>
    <row r="233">
      <c r="F233" s="27"/>
      <c r="G233" s="27"/>
      <c r="H233" s="27"/>
      <c r="J233" s="27"/>
      <c r="L233" s="27"/>
      <c r="M233" s="27"/>
      <c r="N233" s="27"/>
      <c r="O233" s="27"/>
    </row>
    <row r="234">
      <c r="F234" s="27"/>
      <c r="G234" s="27"/>
      <c r="H234" s="27"/>
      <c r="J234" s="27"/>
      <c r="L234" s="27"/>
      <c r="M234" s="27"/>
      <c r="N234" s="27"/>
      <c r="O234" s="27"/>
    </row>
    <row r="235">
      <c r="F235" s="27"/>
      <c r="G235" s="27"/>
      <c r="H235" s="27"/>
      <c r="J235" s="27"/>
      <c r="L235" s="27"/>
      <c r="M235" s="27"/>
      <c r="N235" s="27"/>
      <c r="O235" s="27"/>
    </row>
    <row r="236">
      <c r="F236" s="27"/>
      <c r="G236" s="27"/>
      <c r="H236" s="27"/>
      <c r="J236" s="27"/>
      <c r="L236" s="27"/>
      <c r="M236" s="27"/>
      <c r="N236" s="27"/>
      <c r="O236" s="27"/>
    </row>
    <row r="237">
      <c r="F237" s="27"/>
      <c r="G237" s="27"/>
      <c r="H237" s="27"/>
      <c r="J237" s="27"/>
      <c r="L237" s="27"/>
      <c r="M237" s="27"/>
      <c r="N237" s="27"/>
      <c r="O237" s="27"/>
    </row>
    <row r="238">
      <c r="F238" s="27"/>
      <c r="G238" s="27"/>
      <c r="H238" s="27"/>
      <c r="J238" s="27"/>
      <c r="L238" s="27"/>
      <c r="M238" s="27"/>
      <c r="N238" s="27"/>
      <c r="O238" s="27"/>
    </row>
    <row r="239">
      <c r="F239" s="27"/>
      <c r="G239" s="27"/>
      <c r="H239" s="27"/>
      <c r="J239" s="27"/>
      <c r="L239" s="27"/>
      <c r="M239" s="27"/>
      <c r="N239" s="27"/>
      <c r="O239" s="27"/>
    </row>
    <row r="240">
      <c r="F240" s="27"/>
      <c r="G240" s="27"/>
      <c r="H240" s="27"/>
      <c r="J240" s="27"/>
      <c r="L240" s="27"/>
      <c r="M240" s="27"/>
      <c r="N240" s="27"/>
      <c r="O240" s="27"/>
    </row>
    <row r="241">
      <c r="F241" s="27"/>
      <c r="G241" s="27"/>
      <c r="H241" s="27"/>
      <c r="J241" s="27"/>
      <c r="L241" s="27"/>
      <c r="M241" s="27"/>
      <c r="N241" s="27"/>
      <c r="O241" s="27"/>
    </row>
    <row r="242">
      <c r="F242" s="27"/>
      <c r="G242" s="27"/>
      <c r="H242" s="27"/>
      <c r="J242" s="27"/>
      <c r="L242" s="27"/>
      <c r="M242" s="27"/>
      <c r="N242" s="27"/>
      <c r="O242" s="27"/>
    </row>
    <row r="243">
      <c r="F243" s="27"/>
      <c r="G243" s="27"/>
      <c r="H243" s="27"/>
      <c r="J243" s="27"/>
      <c r="L243" s="27"/>
      <c r="M243" s="27"/>
      <c r="N243" s="27"/>
      <c r="O243" s="27"/>
    </row>
    <row r="244">
      <c r="F244" s="27"/>
      <c r="G244" s="27"/>
      <c r="H244" s="27"/>
      <c r="J244" s="27"/>
      <c r="L244" s="27"/>
      <c r="M244" s="27"/>
      <c r="N244" s="27"/>
      <c r="O244" s="27"/>
    </row>
    <row r="245">
      <c r="F245" s="27"/>
      <c r="G245" s="27"/>
      <c r="H245" s="27"/>
      <c r="J245" s="27"/>
      <c r="L245" s="27"/>
      <c r="M245" s="27"/>
      <c r="N245" s="27"/>
      <c r="O245" s="27"/>
    </row>
    <row r="246">
      <c r="F246" s="27"/>
      <c r="G246" s="27"/>
      <c r="H246" s="27"/>
      <c r="J246" s="27"/>
      <c r="L246" s="27"/>
      <c r="M246" s="27"/>
      <c r="N246" s="27"/>
      <c r="O246" s="27"/>
    </row>
    <row r="247">
      <c r="F247" s="27"/>
      <c r="G247" s="27"/>
      <c r="H247" s="27"/>
      <c r="J247" s="27"/>
      <c r="L247" s="27"/>
      <c r="M247" s="27"/>
      <c r="N247" s="27"/>
      <c r="O247" s="27"/>
    </row>
    <row r="248">
      <c r="F248" s="27"/>
      <c r="G248" s="27"/>
      <c r="H248" s="27"/>
      <c r="J248" s="27"/>
      <c r="L248" s="27"/>
      <c r="M248" s="27"/>
      <c r="N248" s="27"/>
      <c r="O248" s="27"/>
    </row>
    <row r="249">
      <c r="F249" s="27"/>
      <c r="G249" s="27"/>
      <c r="H249" s="27"/>
      <c r="J249" s="27"/>
      <c r="L249" s="27"/>
      <c r="M249" s="27"/>
      <c r="N249" s="27"/>
      <c r="O249" s="27"/>
    </row>
    <row r="250">
      <c r="F250" s="27"/>
      <c r="G250" s="27"/>
      <c r="H250" s="27"/>
      <c r="J250" s="27"/>
      <c r="L250" s="27"/>
      <c r="M250" s="27"/>
      <c r="N250" s="27"/>
      <c r="O250" s="27"/>
    </row>
    <row r="251">
      <c r="F251" s="27"/>
      <c r="G251" s="27"/>
      <c r="H251" s="27"/>
      <c r="J251" s="27"/>
      <c r="L251" s="27"/>
      <c r="M251" s="27"/>
      <c r="N251" s="27"/>
      <c r="O251" s="27"/>
    </row>
    <row r="252">
      <c r="F252" s="27"/>
      <c r="G252" s="27"/>
      <c r="H252" s="27"/>
      <c r="J252" s="27"/>
      <c r="L252" s="27"/>
      <c r="M252" s="27"/>
      <c r="N252" s="27"/>
      <c r="O252" s="27"/>
    </row>
    <row r="253">
      <c r="F253" s="27"/>
      <c r="G253" s="27"/>
      <c r="H253" s="27"/>
      <c r="J253" s="27"/>
      <c r="L253" s="27"/>
      <c r="M253" s="27"/>
      <c r="N253" s="27"/>
      <c r="O253" s="27"/>
    </row>
    <row r="254">
      <c r="F254" s="27"/>
      <c r="G254" s="27"/>
      <c r="H254" s="27"/>
      <c r="J254" s="27"/>
      <c r="L254" s="27"/>
      <c r="M254" s="27"/>
      <c r="N254" s="27"/>
      <c r="O254" s="27"/>
    </row>
    <row r="255">
      <c r="F255" s="27"/>
      <c r="G255" s="27"/>
      <c r="H255" s="27"/>
      <c r="J255" s="27"/>
      <c r="L255" s="27"/>
      <c r="M255" s="27"/>
      <c r="N255" s="27"/>
      <c r="O255" s="27"/>
    </row>
    <row r="256">
      <c r="F256" s="27"/>
      <c r="G256" s="27"/>
      <c r="H256" s="27"/>
      <c r="J256" s="27"/>
      <c r="L256" s="27"/>
      <c r="M256" s="27"/>
      <c r="N256" s="27"/>
      <c r="O256" s="27"/>
    </row>
    <row r="257">
      <c r="F257" s="27"/>
      <c r="G257" s="27"/>
      <c r="H257" s="27"/>
      <c r="J257" s="27"/>
      <c r="L257" s="27"/>
      <c r="M257" s="27"/>
      <c r="N257" s="27"/>
      <c r="O257" s="27"/>
    </row>
    <row r="258">
      <c r="F258" s="27"/>
      <c r="G258" s="27"/>
      <c r="H258" s="27"/>
      <c r="J258" s="27"/>
      <c r="L258" s="27"/>
      <c r="M258" s="27"/>
      <c r="N258" s="27"/>
      <c r="O258" s="27"/>
    </row>
    <row r="259">
      <c r="F259" s="27"/>
      <c r="G259" s="27"/>
      <c r="H259" s="27"/>
      <c r="J259" s="27"/>
      <c r="L259" s="27"/>
      <c r="M259" s="27"/>
      <c r="N259" s="27"/>
      <c r="O259" s="27"/>
    </row>
    <row r="260">
      <c r="F260" s="27"/>
      <c r="G260" s="27"/>
      <c r="H260" s="27"/>
      <c r="J260" s="27"/>
      <c r="L260" s="27"/>
      <c r="M260" s="27"/>
      <c r="N260" s="27"/>
      <c r="O260" s="27"/>
    </row>
    <row r="261">
      <c r="F261" s="27"/>
      <c r="G261" s="27"/>
      <c r="H261" s="27"/>
      <c r="J261" s="27"/>
      <c r="L261" s="27"/>
      <c r="M261" s="27"/>
      <c r="N261" s="27"/>
      <c r="O261" s="27"/>
    </row>
    <row r="262">
      <c r="F262" s="27"/>
      <c r="G262" s="27"/>
      <c r="H262" s="27"/>
      <c r="J262" s="27"/>
      <c r="L262" s="27"/>
      <c r="M262" s="27"/>
      <c r="N262" s="27"/>
      <c r="O262" s="27"/>
    </row>
    <row r="263">
      <c r="F263" s="27"/>
      <c r="G263" s="27"/>
      <c r="H263" s="27"/>
      <c r="J263" s="27"/>
      <c r="L263" s="27"/>
      <c r="M263" s="27"/>
      <c r="N263" s="27"/>
      <c r="O263" s="27"/>
    </row>
    <row r="264">
      <c r="F264" s="27"/>
      <c r="G264" s="27"/>
      <c r="H264" s="27"/>
      <c r="J264" s="27"/>
      <c r="L264" s="27"/>
      <c r="M264" s="27"/>
      <c r="N264" s="27"/>
      <c r="O264" s="27"/>
    </row>
    <row r="265">
      <c r="F265" s="27"/>
      <c r="G265" s="27"/>
      <c r="H265" s="27"/>
      <c r="J265" s="27"/>
      <c r="L265" s="27"/>
      <c r="M265" s="27"/>
      <c r="N265" s="27"/>
      <c r="O265" s="27"/>
    </row>
    <row r="266">
      <c r="F266" s="27"/>
      <c r="G266" s="27"/>
      <c r="H266" s="27"/>
      <c r="J266" s="27"/>
      <c r="L266" s="27"/>
      <c r="M266" s="27"/>
      <c r="N266" s="27"/>
      <c r="O266" s="27"/>
    </row>
    <row r="267">
      <c r="F267" s="27"/>
      <c r="G267" s="27"/>
      <c r="H267" s="27"/>
      <c r="J267" s="27"/>
      <c r="L267" s="27"/>
      <c r="M267" s="27"/>
      <c r="N267" s="27"/>
      <c r="O267" s="27"/>
    </row>
    <row r="268">
      <c r="F268" s="27"/>
      <c r="G268" s="27"/>
      <c r="H268" s="27"/>
      <c r="J268" s="27"/>
      <c r="L268" s="27"/>
      <c r="M268" s="27"/>
      <c r="N268" s="27"/>
      <c r="O268" s="27"/>
    </row>
    <row r="269">
      <c r="F269" s="27"/>
      <c r="G269" s="27"/>
      <c r="H269" s="27"/>
      <c r="J269" s="27"/>
      <c r="L269" s="27"/>
      <c r="M269" s="27"/>
      <c r="N269" s="27"/>
      <c r="O269" s="27"/>
    </row>
    <row r="270">
      <c r="F270" s="27"/>
      <c r="G270" s="27"/>
      <c r="H270" s="27"/>
      <c r="J270" s="27"/>
      <c r="L270" s="27"/>
      <c r="M270" s="27"/>
      <c r="N270" s="27"/>
      <c r="O270" s="27"/>
    </row>
    <row r="271">
      <c r="F271" s="27"/>
      <c r="G271" s="27"/>
      <c r="H271" s="27"/>
      <c r="J271" s="27"/>
      <c r="L271" s="27"/>
      <c r="M271" s="27"/>
      <c r="N271" s="27"/>
      <c r="O271" s="27"/>
    </row>
    <row r="272">
      <c r="F272" s="27"/>
      <c r="G272" s="27"/>
      <c r="H272" s="27"/>
      <c r="J272" s="27"/>
      <c r="L272" s="27"/>
      <c r="M272" s="27"/>
      <c r="N272" s="27"/>
      <c r="O272" s="27"/>
    </row>
    <row r="273">
      <c r="F273" s="27"/>
      <c r="G273" s="27"/>
      <c r="H273" s="27"/>
      <c r="J273" s="27"/>
      <c r="L273" s="27"/>
      <c r="M273" s="27"/>
      <c r="N273" s="27"/>
      <c r="O273" s="27"/>
    </row>
    <row r="274">
      <c r="F274" s="27"/>
      <c r="G274" s="27"/>
      <c r="H274" s="27"/>
      <c r="J274" s="27"/>
      <c r="L274" s="27"/>
      <c r="M274" s="27"/>
      <c r="N274" s="27"/>
      <c r="O274" s="27"/>
    </row>
    <row r="275">
      <c r="F275" s="27"/>
      <c r="G275" s="27"/>
      <c r="H275" s="27"/>
      <c r="J275" s="27"/>
      <c r="L275" s="27"/>
      <c r="M275" s="27"/>
      <c r="N275" s="27"/>
      <c r="O275" s="27"/>
    </row>
    <row r="276">
      <c r="F276" s="27"/>
      <c r="G276" s="27"/>
      <c r="H276" s="27"/>
      <c r="J276" s="27"/>
      <c r="L276" s="27"/>
      <c r="M276" s="27"/>
      <c r="N276" s="27"/>
      <c r="O276" s="27"/>
    </row>
    <row r="277">
      <c r="F277" s="27"/>
      <c r="G277" s="27"/>
      <c r="H277" s="27"/>
      <c r="J277" s="27"/>
      <c r="L277" s="27"/>
      <c r="M277" s="27"/>
      <c r="N277" s="27"/>
      <c r="O277" s="27"/>
    </row>
    <row r="278">
      <c r="F278" s="27"/>
      <c r="G278" s="27"/>
      <c r="H278" s="27"/>
      <c r="J278" s="27"/>
      <c r="L278" s="27"/>
      <c r="M278" s="27"/>
      <c r="N278" s="27"/>
      <c r="O278" s="27"/>
    </row>
    <row r="279">
      <c r="F279" s="27"/>
      <c r="G279" s="27"/>
      <c r="H279" s="27"/>
      <c r="J279" s="27"/>
      <c r="L279" s="27"/>
      <c r="M279" s="27"/>
      <c r="N279" s="27"/>
      <c r="O279" s="27"/>
    </row>
    <row r="280">
      <c r="F280" s="27"/>
      <c r="G280" s="27"/>
      <c r="H280" s="27"/>
      <c r="J280" s="27"/>
      <c r="L280" s="27"/>
      <c r="M280" s="27"/>
      <c r="N280" s="27"/>
      <c r="O280" s="27"/>
    </row>
    <row r="281">
      <c r="F281" s="27"/>
      <c r="G281" s="27"/>
      <c r="H281" s="27"/>
      <c r="J281" s="27"/>
      <c r="L281" s="27"/>
      <c r="M281" s="27"/>
      <c r="N281" s="27"/>
      <c r="O281" s="27"/>
    </row>
    <row r="282">
      <c r="F282" s="27"/>
      <c r="G282" s="27"/>
      <c r="H282" s="27"/>
      <c r="J282" s="27"/>
      <c r="L282" s="27"/>
      <c r="M282" s="27"/>
      <c r="N282" s="27"/>
      <c r="O282" s="27"/>
    </row>
    <row r="283">
      <c r="F283" s="27"/>
      <c r="G283" s="27"/>
      <c r="H283" s="27"/>
      <c r="J283" s="27"/>
      <c r="L283" s="27"/>
      <c r="M283" s="27"/>
      <c r="N283" s="27"/>
      <c r="O283" s="27"/>
    </row>
    <row r="284">
      <c r="F284" s="27"/>
      <c r="G284" s="27"/>
      <c r="H284" s="27"/>
      <c r="J284" s="27"/>
      <c r="L284" s="27"/>
      <c r="M284" s="27"/>
      <c r="N284" s="27"/>
      <c r="O284" s="27"/>
    </row>
    <row r="285">
      <c r="F285" s="27"/>
      <c r="G285" s="27"/>
      <c r="H285" s="27"/>
      <c r="J285" s="27"/>
      <c r="L285" s="27"/>
      <c r="M285" s="27"/>
      <c r="N285" s="27"/>
      <c r="O285" s="27"/>
    </row>
    <row r="286">
      <c r="F286" s="27"/>
      <c r="G286" s="27"/>
      <c r="H286" s="27"/>
      <c r="J286" s="27"/>
      <c r="L286" s="27"/>
      <c r="M286" s="27"/>
      <c r="N286" s="27"/>
      <c r="O286" s="27"/>
    </row>
    <row r="287">
      <c r="F287" s="27"/>
      <c r="G287" s="27"/>
      <c r="H287" s="27"/>
      <c r="J287" s="27"/>
      <c r="L287" s="27"/>
      <c r="M287" s="27"/>
      <c r="N287" s="27"/>
      <c r="O287" s="27"/>
    </row>
    <row r="288">
      <c r="F288" s="27"/>
      <c r="G288" s="27"/>
      <c r="H288" s="27"/>
      <c r="J288" s="27"/>
      <c r="L288" s="27"/>
      <c r="M288" s="27"/>
      <c r="N288" s="27"/>
      <c r="O288" s="27"/>
    </row>
    <row r="289">
      <c r="F289" s="27"/>
      <c r="G289" s="27"/>
      <c r="H289" s="27"/>
      <c r="J289" s="27"/>
      <c r="L289" s="27"/>
      <c r="M289" s="27"/>
      <c r="N289" s="27"/>
      <c r="O289" s="27"/>
    </row>
    <row r="290">
      <c r="F290" s="27"/>
      <c r="G290" s="27"/>
      <c r="H290" s="27"/>
      <c r="J290" s="27"/>
      <c r="L290" s="27"/>
      <c r="M290" s="27"/>
      <c r="N290" s="27"/>
      <c r="O290" s="27"/>
    </row>
    <row r="291">
      <c r="F291" s="27"/>
      <c r="G291" s="27"/>
      <c r="H291" s="27"/>
      <c r="J291" s="27"/>
      <c r="L291" s="27"/>
      <c r="M291" s="27"/>
      <c r="N291" s="27"/>
      <c r="O291" s="27"/>
    </row>
    <row r="292">
      <c r="F292" s="27"/>
      <c r="G292" s="27"/>
      <c r="H292" s="27"/>
      <c r="J292" s="27"/>
      <c r="L292" s="27"/>
      <c r="M292" s="27"/>
      <c r="N292" s="27"/>
      <c r="O292" s="27"/>
    </row>
    <row r="293">
      <c r="F293" s="27"/>
      <c r="G293" s="27"/>
      <c r="H293" s="27"/>
      <c r="J293" s="27"/>
      <c r="L293" s="27"/>
      <c r="M293" s="27"/>
      <c r="N293" s="27"/>
      <c r="O293" s="27"/>
    </row>
    <row r="294">
      <c r="F294" s="27"/>
      <c r="G294" s="27"/>
      <c r="H294" s="27"/>
      <c r="J294" s="27"/>
      <c r="L294" s="27"/>
      <c r="M294" s="27"/>
      <c r="N294" s="27"/>
      <c r="O294" s="27"/>
    </row>
    <row r="295">
      <c r="F295" s="27"/>
      <c r="G295" s="27"/>
      <c r="H295" s="27"/>
      <c r="J295" s="27"/>
      <c r="L295" s="27"/>
      <c r="M295" s="27"/>
      <c r="N295" s="27"/>
      <c r="O295" s="27"/>
    </row>
    <row r="296">
      <c r="F296" s="27"/>
      <c r="G296" s="27"/>
      <c r="H296" s="27"/>
      <c r="J296" s="27"/>
      <c r="L296" s="27"/>
      <c r="M296" s="27"/>
      <c r="N296" s="27"/>
      <c r="O296" s="27"/>
    </row>
    <row r="297">
      <c r="F297" s="27"/>
      <c r="G297" s="27"/>
      <c r="H297" s="27"/>
      <c r="J297" s="27"/>
      <c r="L297" s="27"/>
      <c r="M297" s="27"/>
      <c r="N297" s="27"/>
      <c r="O297" s="27"/>
    </row>
    <row r="298">
      <c r="F298" s="27"/>
      <c r="G298" s="27"/>
      <c r="H298" s="27"/>
      <c r="J298" s="27"/>
      <c r="L298" s="27"/>
      <c r="M298" s="27"/>
      <c r="N298" s="27"/>
      <c r="O298" s="27"/>
    </row>
    <row r="299">
      <c r="F299" s="27"/>
      <c r="G299" s="27"/>
      <c r="H299" s="27"/>
      <c r="J299" s="27"/>
      <c r="L299" s="27"/>
      <c r="M299" s="27"/>
      <c r="N299" s="27"/>
      <c r="O299" s="27"/>
    </row>
    <row r="300">
      <c r="F300" s="27"/>
      <c r="G300" s="27"/>
      <c r="H300" s="27"/>
      <c r="J300" s="27"/>
      <c r="L300" s="27"/>
      <c r="M300" s="27"/>
      <c r="N300" s="27"/>
      <c r="O300" s="27"/>
    </row>
    <row r="301">
      <c r="F301" s="27"/>
      <c r="G301" s="27"/>
      <c r="H301" s="27"/>
      <c r="J301" s="27"/>
      <c r="L301" s="27"/>
      <c r="M301" s="27"/>
      <c r="N301" s="27"/>
      <c r="O301" s="27"/>
    </row>
    <row r="302">
      <c r="F302" s="27"/>
      <c r="G302" s="27"/>
      <c r="H302" s="27"/>
      <c r="J302" s="27"/>
      <c r="L302" s="27"/>
      <c r="M302" s="27"/>
      <c r="N302" s="27"/>
      <c r="O302" s="27"/>
    </row>
    <row r="303">
      <c r="F303" s="27"/>
      <c r="G303" s="27"/>
      <c r="H303" s="27"/>
      <c r="J303" s="27"/>
      <c r="L303" s="27"/>
      <c r="M303" s="27"/>
      <c r="N303" s="27"/>
      <c r="O303" s="27"/>
    </row>
    <row r="304">
      <c r="F304" s="27"/>
      <c r="G304" s="27"/>
      <c r="H304" s="27"/>
      <c r="J304" s="27"/>
      <c r="L304" s="27"/>
      <c r="M304" s="27"/>
      <c r="N304" s="27"/>
      <c r="O304" s="27"/>
    </row>
    <row r="305">
      <c r="F305" s="27"/>
      <c r="G305" s="27"/>
      <c r="H305" s="27"/>
      <c r="J305" s="27"/>
      <c r="L305" s="27"/>
      <c r="M305" s="27"/>
      <c r="N305" s="27"/>
      <c r="O305" s="27"/>
    </row>
    <row r="306">
      <c r="F306" s="27"/>
      <c r="G306" s="27"/>
      <c r="H306" s="27"/>
      <c r="J306" s="27"/>
      <c r="L306" s="27"/>
      <c r="M306" s="27"/>
      <c r="N306" s="27"/>
      <c r="O306" s="27"/>
    </row>
    <row r="307">
      <c r="F307" s="27"/>
      <c r="G307" s="27"/>
      <c r="H307" s="27"/>
      <c r="J307" s="27"/>
      <c r="L307" s="27"/>
      <c r="M307" s="27"/>
      <c r="N307" s="27"/>
      <c r="O307" s="27"/>
    </row>
    <row r="308">
      <c r="F308" s="27"/>
      <c r="G308" s="27"/>
      <c r="H308" s="27"/>
      <c r="J308" s="27"/>
      <c r="L308" s="27"/>
      <c r="M308" s="27"/>
      <c r="N308" s="27"/>
      <c r="O308" s="27"/>
    </row>
    <row r="309">
      <c r="F309" s="27"/>
      <c r="G309" s="27"/>
      <c r="H309" s="27"/>
      <c r="J309" s="27"/>
      <c r="L309" s="27"/>
      <c r="M309" s="27"/>
      <c r="N309" s="27"/>
      <c r="O309" s="27"/>
    </row>
    <row r="310">
      <c r="F310" s="27"/>
      <c r="G310" s="27"/>
      <c r="H310" s="27"/>
      <c r="J310" s="27"/>
      <c r="L310" s="27"/>
      <c r="M310" s="27"/>
      <c r="N310" s="27"/>
      <c r="O310" s="27"/>
    </row>
    <row r="311">
      <c r="F311" s="27"/>
      <c r="G311" s="27"/>
      <c r="H311" s="27"/>
      <c r="J311" s="27"/>
      <c r="L311" s="27"/>
      <c r="M311" s="27"/>
      <c r="N311" s="27"/>
      <c r="O311" s="27"/>
    </row>
    <row r="312">
      <c r="F312" s="27"/>
      <c r="G312" s="27"/>
      <c r="H312" s="27"/>
      <c r="J312" s="27"/>
      <c r="L312" s="27"/>
      <c r="M312" s="27"/>
      <c r="N312" s="27"/>
      <c r="O312" s="27"/>
    </row>
    <row r="313">
      <c r="F313" s="27"/>
      <c r="G313" s="27"/>
      <c r="H313" s="27"/>
      <c r="J313" s="27"/>
      <c r="L313" s="27"/>
      <c r="M313" s="27"/>
      <c r="N313" s="27"/>
      <c r="O313" s="27"/>
    </row>
    <row r="314">
      <c r="F314" s="27"/>
      <c r="G314" s="27"/>
      <c r="H314" s="27"/>
      <c r="J314" s="27"/>
      <c r="L314" s="27"/>
      <c r="M314" s="27"/>
      <c r="N314" s="27"/>
      <c r="O314" s="27"/>
    </row>
    <row r="315">
      <c r="F315" s="27"/>
      <c r="G315" s="27"/>
      <c r="H315" s="27"/>
      <c r="J315" s="27"/>
      <c r="L315" s="27"/>
      <c r="M315" s="27"/>
      <c r="N315" s="27"/>
      <c r="O315" s="27"/>
    </row>
    <row r="316">
      <c r="F316" s="27"/>
      <c r="G316" s="27"/>
      <c r="H316" s="27"/>
      <c r="J316" s="27"/>
      <c r="L316" s="27"/>
      <c r="M316" s="27"/>
      <c r="N316" s="27"/>
      <c r="O316" s="27"/>
    </row>
    <row r="317">
      <c r="F317" s="27"/>
      <c r="G317" s="27"/>
      <c r="H317" s="27"/>
      <c r="J317" s="27"/>
      <c r="L317" s="27"/>
      <c r="M317" s="27"/>
      <c r="N317" s="27"/>
      <c r="O317" s="27"/>
    </row>
    <row r="318">
      <c r="F318" s="27"/>
      <c r="G318" s="27"/>
      <c r="H318" s="27"/>
      <c r="J318" s="27"/>
      <c r="L318" s="27"/>
      <c r="M318" s="27"/>
      <c r="N318" s="27"/>
      <c r="O318" s="27"/>
    </row>
    <row r="319">
      <c r="F319" s="27"/>
      <c r="G319" s="27"/>
      <c r="H319" s="27"/>
      <c r="J319" s="27"/>
      <c r="L319" s="27"/>
      <c r="M319" s="27"/>
      <c r="N319" s="27"/>
      <c r="O319" s="27"/>
    </row>
    <row r="320">
      <c r="F320" s="27"/>
      <c r="G320" s="27"/>
      <c r="H320" s="27"/>
      <c r="J320" s="27"/>
      <c r="L320" s="27"/>
      <c r="M320" s="27"/>
      <c r="N320" s="27"/>
      <c r="O320" s="27"/>
    </row>
    <row r="321">
      <c r="F321" s="27"/>
      <c r="G321" s="27"/>
      <c r="H321" s="27"/>
      <c r="J321" s="27"/>
      <c r="L321" s="27"/>
      <c r="M321" s="27"/>
      <c r="N321" s="27"/>
      <c r="O321" s="27"/>
    </row>
    <row r="322">
      <c r="F322" s="27"/>
      <c r="G322" s="27"/>
      <c r="H322" s="27"/>
      <c r="J322" s="27"/>
      <c r="L322" s="27"/>
      <c r="M322" s="27"/>
      <c r="N322" s="27"/>
      <c r="O322" s="27"/>
    </row>
    <row r="323">
      <c r="F323" s="27"/>
      <c r="G323" s="27"/>
      <c r="H323" s="27"/>
      <c r="J323" s="27"/>
      <c r="L323" s="27"/>
      <c r="M323" s="27"/>
      <c r="N323" s="27"/>
      <c r="O323" s="27"/>
    </row>
    <row r="324">
      <c r="F324" s="27"/>
      <c r="G324" s="27"/>
      <c r="H324" s="27"/>
      <c r="J324" s="27"/>
      <c r="L324" s="27"/>
      <c r="M324" s="27"/>
      <c r="N324" s="27"/>
      <c r="O324" s="27"/>
    </row>
    <row r="325">
      <c r="F325" s="27"/>
      <c r="G325" s="27"/>
      <c r="H325" s="27"/>
      <c r="J325" s="27"/>
      <c r="L325" s="27"/>
      <c r="M325" s="27"/>
      <c r="N325" s="27"/>
      <c r="O325" s="27"/>
    </row>
    <row r="326">
      <c r="F326" s="27"/>
      <c r="G326" s="27"/>
      <c r="H326" s="27"/>
      <c r="J326" s="27"/>
      <c r="L326" s="27"/>
      <c r="M326" s="27"/>
      <c r="N326" s="27"/>
      <c r="O326" s="27"/>
    </row>
    <row r="327">
      <c r="F327" s="27"/>
      <c r="G327" s="27"/>
      <c r="H327" s="27"/>
      <c r="J327" s="27"/>
      <c r="L327" s="27"/>
      <c r="M327" s="27"/>
      <c r="N327" s="27"/>
      <c r="O327" s="27"/>
    </row>
    <row r="328">
      <c r="F328" s="27"/>
      <c r="G328" s="27"/>
      <c r="H328" s="27"/>
      <c r="J328" s="27"/>
      <c r="L328" s="27"/>
      <c r="M328" s="27"/>
      <c r="N328" s="27"/>
      <c r="O328" s="27"/>
    </row>
    <row r="329">
      <c r="F329" s="27"/>
      <c r="G329" s="27"/>
      <c r="H329" s="27"/>
      <c r="J329" s="27"/>
      <c r="L329" s="27"/>
      <c r="M329" s="27"/>
      <c r="N329" s="27"/>
      <c r="O329" s="27"/>
    </row>
    <row r="330">
      <c r="F330" s="27"/>
      <c r="G330" s="27"/>
      <c r="H330" s="27"/>
      <c r="J330" s="27"/>
      <c r="L330" s="27"/>
      <c r="M330" s="27"/>
      <c r="N330" s="27"/>
      <c r="O330" s="27"/>
    </row>
    <row r="331">
      <c r="F331" s="27"/>
      <c r="G331" s="27"/>
      <c r="H331" s="27"/>
      <c r="J331" s="27"/>
      <c r="L331" s="27"/>
      <c r="M331" s="27"/>
      <c r="N331" s="27"/>
      <c r="O331" s="27"/>
    </row>
    <row r="332">
      <c r="F332" s="27"/>
      <c r="G332" s="27"/>
      <c r="H332" s="27"/>
      <c r="J332" s="27"/>
      <c r="L332" s="27"/>
      <c r="M332" s="27"/>
      <c r="N332" s="27"/>
      <c r="O332" s="27"/>
    </row>
    <row r="333">
      <c r="F333" s="27"/>
      <c r="G333" s="27"/>
      <c r="H333" s="27"/>
      <c r="J333" s="27"/>
      <c r="L333" s="27"/>
      <c r="M333" s="27"/>
      <c r="N333" s="27"/>
      <c r="O333" s="27"/>
    </row>
    <row r="334">
      <c r="F334" s="27"/>
      <c r="G334" s="27"/>
      <c r="H334" s="27"/>
      <c r="J334" s="27"/>
      <c r="L334" s="27"/>
      <c r="M334" s="27"/>
      <c r="N334" s="27"/>
      <c r="O334" s="27"/>
    </row>
    <row r="335">
      <c r="F335" s="27"/>
      <c r="G335" s="27"/>
      <c r="H335" s="27"/>
      <c r="J335" s="27"/>
      <c r="L335" s="27"/>
      <c r="M335" s="27"/>
      <c r="N335" s="27"/>
      <c r="O335" s="27"/>
    </row>
    <row r="336">
      <c r="F336" s="27"/>
      <c r="G336" s="27"/>
      <c r="H336" s="27"/>
      <c r="J336" s="27"/>
      <c r="L336" s="27"/>
      <c r="M336" s="27"/>
      <c r="N336" s="27"/>
      <c r="O336" s="27"/>
    </row>
    <row r="337">
      <c r="F337" s="27"/>
      <c r="G337" s="27"/>
      <c r="H337" s="27"/>
      <c r="J337" s="27"/>
      <c r="L337" s="27"/>
      <c r="M337" s="27"/>
      <c r="N337" s="27"/>
      <c r="O337" s="27"/>
    </row>
    <row r="338">
      <c r="F338" s="27"/>
      <c r="G338" s="27"/>
      <c r="H338" s="27"/>
      <c r="J338" s="27"/>
      <c r="L338" s="27"/>
      <c r="M338" s="27"/>
      <c r="N338" s="27"/>
      <c r="O338" s="27"/>
    </row>
    <row r="339">
      <c r="F339" s="27"/>
      <c r="G339" s="27"/>
      <c r="H339" s="27"/>
      <c r="J339" s="27"/>
      <c r="L339" s="27"/>
      <c r="M339" s="27"/>
      <c r="N339" s="27"/>
      <c r="O339" s="27"/>
    </row>
    <row r="340">
      <c r="F340" s="27"/>
      <c r="G340" s="27"/>
      <c r="H340" s="27"/>
      <c r="J340" s="27"/>
      <c r="L340" s="27"/>
      <c r="M340" s="27"/>
      <c r="N340" s="27"/>
      <c r="O340" s="27"/>
    </row>
    <row r="341">
      <c r="F341" s="27"/>
      <c r="G341" s="27"/>
      <c r="H341" s="27"/>
      <c r="J341" s="27"/>
      <c r="L341" s="27"/>
      <c r="M341" s="27"/>
      <c r="N341" s="27"/>
      <c r="O341" s="27"/>
    </row>
    <row r="342">
      <c r="F342" s="27"/>
      <c r="G342" s="27"/>
      <c r="H342" s="27"/>
      <c r="J342" s="27"/>
      <c r="L342" s="27"/>
      <c r="M342" s="27"/>
      <c r="N342" s="27"/>
      <c r="O342" s="27"/>
    </row>
    <row r="343">
      <c r="F343" s="27"/>
      <c r="G343" s="27"/>
      <c r="H343" s="27"/>
      <c r="J343" s="27"/>
      <c r="L343" s="27"/>
      <c r="M343" s="27"/>
      <c r="N343" s="27"/>
      <c r="O343" s="27"/>
    </row>
    <row r="344">
      <c r="F344" s="27"/>
      <c r="G344" s="27"/>
      <c r="H344" s="27"/>
      <c r="J344" s="27"/>
      <c r="L344" s="27"/>
      <c r="M344" s="27"/>
      <c r="N344" s="27"/>
      <c r="O344" s="27"/>
    </row>
    <row r="345">
      <c r="F345" s="27"/>
      <c r="G345" s="27"/>
      <c r="H345" s="27"/>
      <c r="J345" s="27"/>
      <c r="L345" s="27"/>
      <c r="M345" s="27"/>
      <c r="N345" s="27"/>
      <c r="O345" s="27"/>
    </row>
    <row r="346">
      <c r="F346" s="27"/>
      <c r="G346" s="27"/>
      <c r="H346" s="27"/>
      <c r="J346" s="27"/>
      <c r="L346" s="27"/>
      <c r="M346" s="27"/>
      <c r="N346" s="27"/>
      <c r="O346" s="27"/>
    </row>
    <row r="347">
      <c r="F347" s="27"/>
      <c r="G347" s="27"/>
      <c r="H347" s="27"/>
      <c r="J347" s="27"/>
      <c r="L347" s="27"/>
      <c r="M347" s="27"/>
      <c r="N347" s="27"/>
      <c r="O347" s="27"/>
    </row>
    <row r="348">
      <c r="F348" s="27"/>
      <c r="G348" s="27"/>
      <c r="H348" s="27"/>
      <c r="J348" s="27"/>
      <c r="L348" s="27"/>
      <c r="M348" s="27"/>
      <c r="N348" s="27"/>
      <c r="O348" s="27"/>
    </row>
    <row r="349">
      <c r="F349" s="27"/>
      <c r="G349" s="27"/>
      <c r="H349" s="27"/>
      <c r="J349" s="27"/>
      <c r="L349" s="27"/>
      <c r="M349" s="27"/>
      <c r="N349" s="27"/>
      <c r="O349" s="27"/>
    </row>
    <row r="350">
      <c r="F350" s="27"/>
      <c r="G350" s="27"/>
      <c r="H350" s="27"/>
      <c r="J350" s="27"/>
      <c r="L350" s="27"/>
      <c r="M350" s="27"/>
      <c r="N350" s="27"/>
      <c r="O350" s="27"/>
    </row>
    <row r="351">
      <c r="F351" s="27"/>
      <c r="G351" s="27"/>
      <c r="H351" s="27"/>
      <c r="J351" s="27"/>
      <c r="L351" s="27"/>
      <c r="M351" s="27"/>
      <c r="N351" s="27"/>
      <c r="O351" s="27"/>
    </row>
    <row r="352">
      <c r="F352" s="27"/>
      <c r="G352" s="27"/>
      <c r="H352" s="27"/>
      <c r="J352" s="27"/>
      <c r="L352" s="27"/>
      <c r="M352" s="27"/>
      <c r="N352" s="27"/>
      <c r="O352" s="27"/>
    </row>
    <row r="353">
      <c r="F353" s="27"/>
      <c r="G353" s="27"/>
      <c r="H353" s="27"/>
      <c r="J353" s="27"/>
      <c r="L353" s="27"/>
      <c r="M353" s="27"/>
      <c r="N353" s="27"/>
      <c r="O353" s="27"/>
    </row>
    <row r="354">
      <c r="F354" s="27"/>
      <c r="G354" s="27"/>
      <c r="H354" s="27"/>
      <c r="J354" s="27"/>
      <c r="L354" s="27"/>
      <c r="M354" s="27"/>
      <c r="N354" s="27"/>
      <c r="O354" s="27"/>
    </row>
    <row r="355">
      <c r="F355" s="27"/>
      <c r="G355" s="27"/>
      <c r="H355" s="27"/>
      <c r="J355" s="27"/>
      <c r="L355" s="27"/>
      <c r="M355" s="27"/>
      <c r="N355" s="27"/>
      <c r="O355" s="27"/>
    </row>
    <row r="356">
      <c r="F356" s="27"/>
      <c r="G356" s="27"/>
      <c r="H356" s="27"/>
      <c r="J356" s="27"/>
      <c r="L356" s="27"/>
      <c r="M356" s="27"/>
      <c r="N356" s="27"/>
      <c r="O356" s="27"/>
    </row>
    <row r="357">
      <c r="F357" s="27"/>
      <c r="G357" s="27"/>
      <c r="H357" s="27"/>
      <c r="J357" s="27"/>
      <c r="L357" s="27"/>
      <c r="M357" s="27"/>
      <c r="N357" s="27"/>
      <c r="O357" s="27"/>
    </row>
    <row r="358">
      <c r="F358" s="27"/>
      <c r="G358" s="27"/>
      <c r="H358" s="27"/>
      <c r="J358" s="27"/>
      <c r="L358" s="27"/>
      <c r="M358" s="27"/>
      <c r="N358" s="27"/>
      <c r="O358" s="27"/>
    </row>
    <row r="359">
      <c r="F359" s="27"/>
      <c r="G359" s="27"/>
      <c r="H359" s="27"/>
      <c r="J359" s="27"/>
      <c r="L359" s="27"/>
      <c r="M359" s="27"/>
      <c r="N359" s="27"/>
      <c r="O359" s="27"/>
    </row>
    <row r="360">
      <c r="F360" s="27"/>
      <c r="G360" s="27"/>
      <c r="H360" s="27"/>
      <c r="J360" s="27"/>
      <c r="L360" s="27"/>
      <c r="M360" s="27"/>
      <c r="N360" s="27"/>
      <c r="O360" s="27"/>
    </row>
    <row r="361">
      <c r="F361" s="27"/>
      <c r="G361" s="27"/>
      <c r="H361" s="27"/>
      <c r="J361" s="27"/>
      <c r="L361" s="27"/>
      <c r="M361" s="27"/>
      <c r="N361" s="27"/>
      <c r="O361" s="27"/>
    </row>
    <row r="362">
      <c r="F362" s="27"/>
      <c r="G362" s="27"/>
      <c r="H362" s="27"/>
      <c r="J362" s="27"/>
      <c r="L362" s="27"/>
      <c r="M362" s="27"/>
      <c r="N362" s="27"/>
      <c r="O362" s="27"/>
    </row>
    <row r="363">
      <c r="F363" s="27"/>
      <c r="G363" s="27"/>
      <c r="H363" s="27"/>
      <c r="J363" s="27"/>
      <c r="L363" s="27"/>
      <c r="M363" s="27"/>
      <c r="N363" s="27"/>
      <c r="O363" s="27"/>
    </row>
    <row r="364">
      <c r="F364" s="27"/>
      <c r="G364" s="27"/>
      <c r="H364" s="27"/>
      <c r="J364" s="27"/>
      <c r="L364" s="27"/>
      <c r="M364" s="27"/>
      <c r="N364" s="27"/>
      <c r="O364" s="27"/>
    </row>
    <row r="365">
      <c r="F365" s="27"/>
      <c r="G365" s="27"/>
      <c r="H365" s="27"/>
      <c r="J365" s="27"/>
      <c r="L365" s="27"/>
      <c r="M365" s="27"/>
      <c r="N365" s="27"/>
      <c r="O365" s="27"/>
    </row>
    <row r="366">
      <c r="F366" s="27"/>
      <c r="G366" s="27"/>
      <c r="H366" s="27"/>
      <c r="J366" s="27"/>
      <c r="L366" s="27"/>
      <c r="M366" s="27"/>
      <c r="N366" s="27"/>
      <c r="O366" s="27"/>
    </row>
    <row r="367">
      <c r="F367" s="27"/>
      <c r="G367" s="27"/>
      <c r="H367" s="27"/>
      <c r="J367" s="27"/>
      <c r="L367" s="27"/>
      <c r="M367" s="27"/>
      <c r="N367" s="27"/>
      <c r="O367" s="27"/>
    </row>
    <row r="368">
      <c r="F368" s="27"/>
      <c r="G368" s="27"/>
      <c r="H368" s="27"/>
      <c r="J368" s="27"/>
      <c r="L368" s="27"/>
      <c r="M368" s="27"/>
      <c r="N368" s="27"/>
      <c r="O368" s="27"/>
    </row>
    <row r="369">
      <c r="F369" s="27"/>
      <c r="G369" s="27"/>
      <c r="H369" s="27"/>
      <c r="J369" s="27"/>
      <c r="L369" s="27"/>
      <c r="M369" s="27"/>
      <c r="N369" s="27"/>
      <c r="O369" s="27"/>
    </row>
    <row r="370">
      <c r="F370" s="27"/>
      <c r="G370" s="27"/>
      <c r="H370" s="27"/>
      <c r="J370" s="27"/>
      <c r="L370" s="27"/>
      <c r="M370" s="27"/>
      <c r="N370" s="27"/>
      <c r="O370" s="27"/>
    </row>
    <row r="371">
      <c r="F371" s="27"/>
      <c r="G371" s="27"/>
      <c r="H371" s="27"/>
      <c r="J371" s="27"/>
      <c r="L371" s="27"/>
      <c r="M371" s="27"/>
      <c r="N371" s="27"/>
      <c r="O371" s="27"/>
    </row>
    <row r="372">
      <c r="F372" s="27"/>
      <c r="G372" s="27"/>
      <c r="H372" s="27"/>
      <c r="J372" s="27"/>
      <c r="L372" s="27"/>
      <c r="M372" s="27"/>
      <c r="N372" s="27"/>
      <c r="O372" s="27"/>
    </row>
    <row r="373">
      <c r="F373" s="27"/>
      <c r="G373" s="27"/>
      <c r="H373" s="27"/>
      <c r="J373" s="27"/>
      <c r="L373" s="27"/>
      <c r="M373" s="27"/>
      <c r="N373" s="27"/>
      <c r="O373" s="27"/>
    </row>
    <row r="374">
      <c r="F374" s="27"/>
      <c r="G374" s="27"/>
      <c r="H374" s="27"/>
      <c r="J374" s="27"/>
      <c r="L374" s="27"/>
      <c r="M374" s="27"/>
      <c r="N374" s="27"/>
      <c r="O374" s="27"/>
    </row>
    <row r="375">
      <c r="F375" s="27"/>
      <c r="G375" s="27"/>
      <c r="H375" s="27"/>
      <c r="J375" s="27"/>
      <c r="L375" s="27"/>
      <c r="M375" s="27"/>
      <c r="N375" s="27"/>
      <c r="O375" s="27"/>
    </row>
    <row r="376">
      <c r="F376" s="27"/>
      <c r="G376" s="27"/>
      <c r="H376" s="27"/>
      <c r="J376" s="27"/>
      <c r="L376" s="27"/>
      <c r="M376" s="27"/>
      <c r="N376" s="27"/>
      <c r="O376" s="27"/>
    </row>
    <row r="377">
      <c r="F377" s="27"/>
      <c r="G377" s="27"/>
      <c r="H377" s="27"/>
      <c r="J377" s="27"/>
      <c r="L377" s="27"/>
      <c r="M377" s="27"/>
      <c r="N377" s="27"/>
      <c r="O377" s="27"/>
    </row>
    <row r="378">
      <c r="F378" s="27"/>
      <c r="G378" s="27"/>
      <c r="H378" s="27"/>
      <c r="J378" s="27"/>
      <c r="L378" s="27"/>
      <c r="M378" s="27"/>
      <c r="N378" s="27"/>
      <c r="O378" s="27"/>
    </row>
    <row r="379">
      <c r="F379" s="27"/>
      <c r="G379" s="27"/>
      <c r="H379" s="27"/>
      <c r="J379" s="27"/>
      <c r="L379" s="27"/>
      <c r="M379" s="27"/>
      <c r="N379" s="27"/>
      <c r="O379" s="27"/>
    </row>
    <row r="380">
      <c r="F380" s="27"/>
      <c r="G380" s="27"/>
      <c r="H380" s="27"/>
      <c r="J380" s="27"/>
      <c r="L380" s="27"/>
      <c r="M380" s="27"/>
      <c r="N380" s="27"/>
      <c r="O380" s="27"/>
    </row>
    <row r="381">
      <c r="F381" s="27"/>
      <c r="G381" s="27"/>
      <c r="H381" s="27"/>
      <c r="J381" s="27"/>
      <c r="L381" s="27"/>
      <c r="M381" s="27"/>
      <c r="N381" s="27"/>
      <c r="O381" s="27"/>
    </row>
    <row r="382">
      <c r="F382" s="27"/>
      <c r="G382" s="27"/>
      <c r="H382" s="27"/>
      <c r="J382" s="27"/>
      <c r="L382" s="27"/>
      <c r="M382" s="27"/>
      <c r="N382" s="27"/>
      <c r="O382" s="27"/>
    </row>
    <row r="383">
      <c r="F383" s="27"/>
      <c r="G383" s="27"/>
      <c r="H383" s="27"/>
      <c r="J383" s="27"/>
      <c r="L383" s="27"/>
      <c r="M383" s="27"/>
      <c r="N383" s="27"/>
      <c r="O383" s="27"/>
    </row>
    <row r="384">
      <c r="F384" s="27"/>
      <c r="G384" s="27"/>
      <c r="H384" s="27"/>
      <c r="J384" s="27"/>
      <c r="L384" s="27"/>
      <c r="M384" s="27"/>
      <c r="N384" s="27"/>
      <c r="O384" s="27"/>
    </row>
    <row r="385">
      <c r="F385" s="27"/>
      <c r="G385" s="27"/>
      <c r="H385" s="27"/>
      <c r="J385" s="27"/>
      <c r="L385" s="27"/>
      <c r="M385" s="27"/>
      <c r="N385" s="27"/>
      <c r="O385" s="27"/>
    </row>
    <row r="386">
      <c r="F386" s="27"/>
      <c r="G386" s="27"/>
      <c r="H386" s="27"/>
      <c r="J386" s="27"/>
      <c r="L386" s="27"/>
      <c r="M386" s="27"/>
      <c r="N386" s="27"/>
      <c r="O386" s="27"/>
    </row>
    <row r="387">
      <c r="F387" s="27"/>
      <c r="G387" s="27"/>
      <c r="H387" s="27"/>
      <c r="J387" s="27"/>
      <c r="L387" s="27"/>
      <c r="M387" s="27"/>
      <c r="N387" s="27"/>
      <c r="O387" s="27"/>
    </row>
    <row r="388">
      <c r="F388" s="27"/>
      <c r="G388" s="27"/>
      <c r="H388" s="27"/>
      <c r="J388" s="27"/>
      <c r="L388" s="27"/>
      <c r="M388" s="27"/>
      <c r="N388" s="27"/>
      <c r="O388" s="27"/>
    </row>
    <row r="389">
      <c r="F389" s="27"/>
      <c r="G389" s="27"/>
      <c r="H389" s="27"/>
      <c r="J389" s="27"/>
      <c r="L389" s="27"/>
      <c r="M389" s="27"/>
      <c r="N389" s="27"/>
      <c r="O389" s="27"/>
    </row>
    <row r="390">
      <c r="F390" s="27"/>
      <c r="G390" s="27"/>
      <c r="H390" s="27"/>
      <c r="J390" s="27"/>
      <c r="L390" s="27"/>
      <c r="M390" s="27"/>
      <c r="N390" s="27"/>
      <c r="O390" s="27"/>
    </row>
    <row r="391">
      <c r="F391" s="27"/>
      <c r="G391" s="27"/>
      <c r="H391" s="27"/>
      <c r="J391" s="27"/>
      <c r="L391" s="27"/>
      <c r="M391" s="27"/>
      <c r="N391" s="27"/>
      <c r="O391" s="27"/>
    </row>
    <row r="392">
      <c r="F392" s="27"/>
      <c r="G392" s="27"/>
      <c r="H392" s="27"/>
      <c r="J392" s="27"/>
      <c r="L392" s="27"/>
      <c r="M392" s="27"/>
      <c r="N392" s="27"/>
      <c r="O392" s="27"/>
    </row>
    <row r="393">
      <c r="F393" s="27"/>
      <c r="G393" s="27"/>
      <c r="H393" s="27"/>
      <c r="J393" s="27"/>
      <c r="L393" s="27"/>
      <c r="M393" s="27"/>
      <c r="N393" s="27"/>
      <c r="O393" s="27"/>
    </row>
    <row r="394">
      <c r="F394" s="27"/>
      <c r="G394" s="27"/>
      <c r="H394" s="27"/>
      <c r="J394" s="27"/>
      <c r="L394" s="27"/>
      <c r="M394" s="27"/>
      <c r="N394" s="27"/>
      <c r="O394" s="27"/>
    </row>
    <row r="395">
      <c r="F395" s="27"/>
      <c r="G395" s="27"/>
      <c r="H395" s="27"/>
      <c r="J395" s="27"/>
      <c r="L395" s="27"/>
      <c r="M395" s="27"/>
      <c r="N395" s="27"/>
      <c r="O395" s="27"/>
    </row>
    <row r="396">
      <c r="F396" s="27"/>
      <c r="G396" s="27"/>
      <c r="H396" s="27"/>
      <c r="J396" s="27"/>
      <c r="L396" s="27"/>
      <c r="M396" s="27"/>
      <c r="N396" s="27"/>
      <c r="O396" s="27"/>
    </row>
    <row r="397">
      <c r="F397" s="27"/>
      <c r="G397" s="27"/>
      <c r="H397" s="27"/>
      <c r="J397" s="27"/>
      <c r="L397" s="27"/>
      <c r="M397" s="27"/>
      <c r="N397" s="27"/>
      <c r="O397" s="27"/>
    </row>
    <row r="398">
      <c r="F398" s="27"/>
      <c r="G398" s="27"/>
      <c r="H398" s="27"/>
      <c r="J398" s="27"/>
      <c r="L398" s="27"/>
      <c r="M398" s="27"/>
      <c r="N398" s="27"/>
      <c r="O398" s="27"/>
    </row>
    <row r="399">
      <c r="F399" s="27"/>
      <c r="G399" s="27"/>
      <c r="H399" s="27"/>
      <c r="J399" s="27"/>
      <c r="L399" s="27"/>
      <c r="M399" s="27"/>
      <c r="N399" s="27"/>
      <c r="O399" s="27"/>
    </row>
    <row r="400">
      <c r="F400" s="27"/>
      <c r="G400" s="27"/>
      <c r="H400" s="27"/>
      <c r="J400" s="27"/>
      <c r="L400" s="27"/>
      <c r="M400" s="27"/>
      <c r="N400" s="27"/>
      <c r="O400" s="27"/>
    </row>
    <row r="401">
      <c r="F401" s="27"/>
      <c r="G401" s="27"/>
      <c r="H401" s="27"/>
      <c r="J401" s="27"/>
      <c r="L401" s="27"/>
      <c r="M401" s="27"/>
      <c r="N401" s="27"/>
      <c r="O401" s="27"/>
    </row>
    <row r="402">
      <c r="F402" s="27"/>
      <c r="G402" s="27"/>
      <c r="H402" s="27"/>
      <c r="J402" s="27"/>
      <c r="L402" s="27"/>
      <c r="M402" s="27"/>
      <c r="N402" s="27"/>
      <c r="O402" s="27"/>
    </row>
    <row r="403">
      <c r="F403" s="27"/>
      <c r="G403" s="27"/>
      <c r="H403" s="27"/>
      <c r="J403" s="27"/>
      <c r="L403" s="27"/>
      <c r="M403" s="27"/>
      <c r="N403" s="27"/>
      <c r="O403" s="27"/>
    </row>
    <row r="404">
      <c r="F404" s="27"/>
      <c r="G404" s="27"/>
      <c r="H404" s="27"/>
      <c r="J404" s="27"/>
      <c r="L404" s="27"/>
      <c r="M404" s="27"/>
      <c r="N404" s="27"/>
      <c r="O404" s="27"/>
    </row>
    <row r="405">
      <c r="F405" s="27"/>
      <c r="G405" s="27"/>
      <c r="H405" s="27"/>
      <c r="J405" s="27"/>
      <c r="L405" s="27"/>
      <c r="M405" s="27"/>
      <c r="N405" s="27"/>
      <c r="O405" s="27"/>
    </row>
    <row r="406">
      <c r="F406" s="27"/>
      <c r="G406" s="27"/>
      <c r="H406" s="27"/>
      <c r="J406" s="27"/>
      <c r="L406" s="27"/>
      <c r="M406" s="27"/>
      <c r="N406" s="27"/>
      <c r="O406" s="27"/>
    </row>
    <row r="407">
      <c r="F407" s="27"/>
      <c r="G407" s="27"/>
      <c r="H407" s="27"/>
      <c r="J407" s="27"/>
      <c r="L407" s="27"/>
      <c r="M407" s="27"/>
      <c r="N407" s="27"/>
      <c r="O407" s="27"/>
    </row>
    <row r="408">
      <c r="F408" s="27"/>
      <c r="G408" s="27"/>
      <c r="H408" s="27"/>
      <c r="J408" s="27"/>
      <c r="L408" s="27"/>
      <c r="M408" s="27"/>
      <c r="N408" s="27"/>
      <c r="O408" s="27"/>
    </row>
    <row r="409">
      <c r="F409" s="27"/>
      <c r="G409" s="27"/>
      <c r="H409" s="27"/>
      <c r="J409" s="27"/>
      <c r="L409" s="27"/>
      <c r="M409" s="27"/>
      <c r="N409" s="27"/>
      <c r="O409" s="27"/>
    </row>
    <row r="410">
      <c r="F410" s="27"/>
      <c r="G410" s="27"/>
      <c r="H410" s="27"/>
      <c r="J410" s="27"/>
      <c r="L410" s="27"/>
      <c r="M410" s="27"/>
      <c r="N410" s="27"/>
      <c r="O410" s="27"/>
    </row>
    <row r="411">
      <c r="F411" s="27"/>
      <c r="G411" s="27"/>
      <c r="H411" s="27"/>
      <c r="J411" s="27"/>
      <c r="L411" s="27"/>
      <c r="M411" s="27"/>
      <c r="N411" s="27"/>
      <c r="O411" s="27"/>
    </row>
    <row r="412">
      <c r="F412" s="27"/>
      <c r="G412" s="27"/>
      <c r="H412" s="27"/>
      <c r="J412" s="27"/>
      <c r="L412" s="27"/>
      <c r="M412" s="27"/>
      <c r="N412" s="27"/>
      <c r="O412" s="27"/>
    </row>
    <row r="413">
      <c r="F413" s="27"/>
      <c r="G413" s="27"/>
      <c r="H413" s="27"/>
      <c r="J413" s="27"/>
      <c r="L413" s="27"/>
      <c r="M413" s="27"/>
      <c r="N413" s="27"/>
      <c r="O413" s="27"/>
    </row>
    <row r="414">
      <c r="F414" s="27"/>
      <c r="G414" s="27"/>
      <c r="H414" s="27"/>
      <c r="J414" s="27"/>
      <c r="L414" s="27"/>
      <c r="M414" s="27"/>
      <c r="N414" s="27"/>
      <c r="O414" s="27"/>
    </row>
    <row r="415">
      <c r="F415" s="27"/>
      <c r="G415" s="27"/>
      <c r="H415" s="27"/>
      <c r="J415" s="27"/>
      <c r="L415" s="27"/>
      <c r="M415" s="27"/>
      <c r="N415" s="27"/>
      <c r="O415" s="27"/>
    </row>
    <row r="416">
      <c r="F416" s="27"/>
      <c r="G416" s="27"/>
      <c r="H416" s="27"/>
      <c r="J416" s="27"/>
      <c r="L416" s="27"/>
      <c r="M416" s="27"/>
      <c r="N416" s="27"/>
      <c r="O416" s="27"/>
    </row>
    <row r="417">
      <c r="F417" s="27"/>
      <c r="G417" s="27"/>
      <c r="H417" s="27"/>
      <c r="J417" s="27"/>
      <c r="L417" s="27"/>
      <c r="M417" s="27"/>
      <c r="N417" s="27"/>
      <c r="O417" s="27"/>
    </row>
    <row r="418">
      <c r="F418" s="27"/>
      <c r="G418" s="27"/>
      <c r="H418" s="27"/>
      <c r="J418" s="27"/>
      <c r="L418" s="27"/>
      <c r="M418" s="27"/>
      <c r="N418" s="27"/>
      <c r="O418" s="27"/>
    </row>
    <row r="419">
      <c r="F419" s="27"/>
      <c r="G419" s="27"/>
      <c r="H419" s="27"/>
      <c r="J419" s="27"/>
      <c r="L419" s="27"/>
      <c r="M419" s="27"/>
      <c r="N419" s="27"/>
      <c r="O419" s="27"/>
    </row>
    <row r="420">
      <c r="F420" s="27"/>
      <c r="G420" s="27"/>
      <c r="H420" s="27"/>
      <c r="J420" s="27"/>
      <c r="L420" s="27"/>
      <c r="M420" s="27"/>
      <c r="N420" s="27"/>
      <c r="O420" s="27"/>
    </row>
    <row r="421">
      <c r="F421" s="27"/>
      <c r="G421" s="27"/>
      <c r="H421" s="27"/>
      <c r="J421" s="27"/>
      <c r="L421" s="27"/>
      <c r="M421" s="27"/>
      <c r="N421" s="27"/>
      <c r="O421" s="27"/>
    </row>
    <row r="422">
      <c r="F422" s="27"/>
      <c r="G422" s="27"/>
      <c r="H422" s="27"/>
      <c r="J422" s="27"/>
      <c r="L422" s="27"/>
      <c r="M422" s="27"/>
      <c r="N422" s="27"/>
      <c r="O422" s="27"/>
    </row>
    <row r="423">
      <c r="F423" s="27"/>
      <c r="G423" s="27"/>
      <c r="H423" s="27"/>
      <c r="J423" s="27"/>
      <c r="L423" s="27"/>
      <c r="M423" s="27"/>
      <c r="N423" s="27"/>
      <c r="O423" s="27"/>
    </row>
    <row r="424">
      <c r="F424" s="27"/>
      <c r="G424" s="27"/>
      <c r="H424" s="27"/>
      <c r="J424" s="27"/>
      <c r="L424" s="27"/>
      <c r="M424" s="27"/>
      <c r="N424" s="27"/>
      <c r="O424" s="27"/>
    </row>
    <row r="425">
      <c r="F425" s="27"/>
      <c r="G425" s="27"/>
      <c r="H425" s="27"/>
      <c r="J425" s="27"/>
      <c r="L425" s="27"/>
      <c r="M425" s="27"/>
      <c r="N425" s="27"/>
      <c r="O425" s="27"/>
    </row>
    <row r="426">
      <c r="F426" s="27"/>
      <c r="G426" s="27"/>
      <c r="H426" s="27"/>
      <c r="J426" s="27"/>
      <c r="L426" s="27"/>
      <c r="M426" s="27"/>
      <c r="N426" s="27"/>
      <c r="O426" s="27"/>
    </row>
    <row r="427">
      <c r="F427" s="27"/>
      <c r="G427" s="27"/>
      <c r="H427" s="27"/>
      <c r="J427" s="27"/>
      <c r="L427" s="27"/>
      <c r="M427" s="27"/>
      <c r="N427" s="27"/>
      <c r="O427" s="27"/>
    </row>
    <row r="428">
      <c r="F428" s="27"/>
      <c r="G428" s="27"/>
      <c r="H428" s="27"/>
      <c r="J428" s="27"/>
      <c r="L428" s="27"/>
      <c r="M428" s="27"/>
      <c r="N428" s="27"/>
      <c r="O428" s="27"/>
    </row>
    <row r="429">
      <c r="F429" s="27"/>
      <c r="G429" s="27"/>
      <c r="H429" s="27"/>
      <c r="J429" s="27"/>
      <c r="L429" s="27"/>
      <c r="M429" s="27"/>
      <c r="N429" s="27"/>
      <c r="O429" s="27"/>
    </row>
    <row r="430">
      <c r="F430" s="27"/>
      <c r="G430" s="27"/>
      <c r="H430" s="27"/>
      <c r="J430" s="27"/>
      <c r="L430" s="27"/>
      <c r="M430" s="27"/>
      <c r="N430" s="27"/>
      <c r="O430" s="27"/>
    </row>
    <row r="431">
      <c r="F431" s="27"/>
      <c r="G431" s="27"/>
      <c r="H431" s="27"/>
      <c r="J431" s="27"/>
      <c r="L431" s="27"/>
      <c r="M431" s="27"/>
      <c r="N431" s="27"/>
      <c r="O431" s="27"/>
    </row>
    <row r="432">
      <c r="F432" s="27"/>
      <c r="G432" s="27"/>
      <c r="H432" s="27"/>
      <c r="J432" s="27"/>
      <c r="L432" s="27"/>
      <c r="M432" s="27"/>
      <c r="N432" s="27"/>
      <c r="O432" s="27"/>
    </row>
    <row r="433">
      <c r="F433" s="27"/>
      <c r="G433" s="27"/>
      <c r="H433" s="27"/>
      <c r="J433" s="27"/>
      <c r="L433" s="27"/>
      <c r="M433" s="27"/>
      <c r="N433" s="27"/>
      <c r="O433" s="27"/>
    </row>
    <row r="434">
      <c r="F434" s="27"/>
      <c r="G434" s="27"/>
      <c r="H434" s="27"/>
      <c r="J434" s="27"/>
      <c r="L434" s="27"/>
      <c r="M434" s="27"/>
      <c r="N434" s="27"/>
      <c r="O434" s="27"/>
    </row>
    <row r="435">
      <c r="F435" s="27"/>
      <c r="G435" s="27"/>
      <c r="H435" s="27"/>
      <c r="J435" s="27"/>
      <c r="L435" s="27"/>
      <c r="M435" s="27"/>
      <c r="N435" s="27"/>
      <c r="O435" s="27"/>
    </row>
    <row r="436">
      <c r="F436" s="27"/>
      <c r="G436" s="27"/>
      <c r="H436" s="27"/>
      <c r="J436" s="27"/>
      <c r="L436" s="27"/>
      <c r="M436" s="27"/>
      <c r="N436" s="27"/>
      <c r="O436" s="27"/>
    </row>
    <row r="437">
      <c r="F437" s="27"/>
      <c r="G437" s="27"/>
      <c r="H437" s="27"/>
      <c r="J437" s="27"/>
      <c r="L437" s="27"/>
      <c r="M437" s="27"/>
      <c r="N437" s="27"/>
      <c r="O437" s="27"/>
    </row>
    <row r="438">
      <c r="F438" s="27"/>
      <c r="G438" s="27"/>
      <c r="H438" s="27"/>
      <c r="J438" s="27"/>
      <c r="L438" s="27"/>
      <c r="M438" s="27"/>
      <c r="N438" s="27"/>
      <c r="O438" s="27"/>
    </row>
    <row r="439">
      <c r="F439" s="27"/>
      <c r="G439" s="27"/>
      <c r="H439" s="27"/>
      <c r="J439" s="27"/>
      <c r="L439" s="27"/>
      <c r="M439" s="27"/>
      <c r="N439" s="27"/>
      <c r="O439" s="27"/>
    </row>
    <row r="440">
      <c r="F440" s="27"/>
      <c r="G440" s="27"/>
      <c r="H440" s="27"/>
      <c r="J440" s="27"/>
      <c r="L440" s="27"/>
      <c r="M440" s="27"/>
      <c r="N440" s="27"/>
      <c r="O440" s="27"/>
    </row>
    <row r="441">
      <c r="F441" s="27"/>
      <c r="G441" s="27"/>
      <c r="H441" s="27"/>
      <c r="J441" s="27"/>
      <c r="L441" s="27"/>
      <c r="M441" s="27"/>
      <c r="N441" s="27"/>
      <c r="O441" s="27"/>
    </row>
    <row r="442">
      <c r="F442" s="27"/>
      <c r="G442" s="27"/>
      <c r="H442" s="27"/>
      <c r="J442" s="27"/>
      <c r="L442" s="27"/>
      <c r="M442" s="27"/>
      <c r="N442" s="27"/>
      <c r="O442" s="27"/>
    </row>
    <row r="443">
      <c r="F443" s="27"/>
      <c r="G443" s="27"/>
      <c r="H443" s="27"/>
      <c r="J443" s="27"/>
      <c r="L443" s="27"/>
      <c r="M443" s="27"/>
      <c r="N443" s="27"/>
      <c r="O443" s="27"/>
    </row>
    <row r="444">
      <c r="F444" s="27"/>
      <c r="G444" s="27"/>
      <c r="H444" s="27"/>
      <c r="J444" s="27"/>
      <c r="L444" s="27"/>
      <c r="M444" s="27"/>
      <c r="N444" s="27"/>
      <c r="O444" s="27"/>
    </row>
    <row r="445">
      <c r="F445" s="27"/>
      <c r="G445" s="27"/>
      <c r="H445" s="27"/>
      <c r="J445" s="27"/>
      <c r="L445" s="27"/>
      <c r="M445" s="27"/>
      <c r="N445" s="27"/>
      <c r="O445" s="27"/>
    </row>
    <row r="446">
      <c r="F446" s="27"/>
      <c r="G446" s="27"/>
      <c r="H446" s="27"/>
      <c r="J446" s="27"/>
      <c r="L446" s="27"/>
      <c r="M446" s="27"/>
      <c r="N446" s="27"/>
      <c r="O446" s="27"/>
    </row>
    <row r="447">
      <c r="F447" s="27"/>
      <c r="G447" s="27"/>
      <c r="H447" s="27"/>
      <c r="J447" s="27"/>
      <c r="L447" s="27"/>
      <c r="M447" s="27"/>
      <c r="N447" s="27"/>
      <c r="O447" s="27"/>
    </row>
    <row r="448">
      <c r="F448" s="27"/>
      <c r="G448" s="27"/>
      <c r="H448" s="27"/>
      <c r="J448" s="27"/>
      <c r="L448" s="27"/>
      <c r="M448" s="27"/>
      <c r="N448" s="27"/>
      <c r="O448" s="27"/>
    </row>
    <row r="449">
      <c r="F449" s="27"/>
      <c r="G449" s="27"/>
      <c r="H449" s="27"/>
      <c r="J449" s="27"/>
      <c r="L449" s="27"/>
      <c r="M449" s="27"/>
      <c r="N449" s="27"/>
      <c r="O449" s="27"/>
    </row>
    <row r="450">
      <c r="F450" s="27"/>
      <c r="G450" s="27"/>
      <c r="H450" s="27"/>
      <c r="J450" s="27"/>
      <c r="L450" s="27"/>
      <c r="M450" s="27"/>
      <c r="N450" s="27"/>
      <c r="O450" s="27"/>
    </row>
    <row r="451">
      <c r="F451" s="27"/>
      <c r="G451" s="27"/>
      <c r="H451" s="27"/>
      <c r="J451" s="27"/>
      <c r="L451" s="27"/>
      <c r="M451" s="27"/>
      <c r="N451" s="27"/>
      <c r="O451" s="27"/>
    </row>
    <row r="452">
      <c r="F452" s="27"/>
      <c r="G452" s="27"/>
      <c r="H452" s="27"/>
      <c r="J452" s="27"/>
      <c r="L452" s="27"/>
      <c r="M452" s="27"/>
      <c r="N452" s="27"/>
      <c r="O452" s="27"/>
    </row>
    <row r="453">
      <c r="F453" s="27"/>
      <c r="G453" s="27"/>
      <c r="H453" s="27"/>
      <c r="J453" s="27"/>
      <c r="L453" s="27"/>
      <c r="M453" s="27"/>
      <c r="N453" s="27"/>
      <c r="O453" s="27"/>
    </row>
    <row r="454">
      <c r="F454" s="27"/>
      <c r="G454" s="27"/>
      <c r="H454" s="27"/>
      <c r="J454" s="27"/>
      <c r="L454" s="27"/>
      <c r="M454" s="27"/>
      <c r="N454" s="27"/>
      <c r="O454" s="27"/>
    </row>
    <row r="455">
      <c r="F455" s="27"/>
      <c r="G455" s="27"/>
      <c r="H455" s="27"/>
      <c r="J455" s="27"/>
      <c r="L455" s="27"/>
      <c r="M455" s="27"/>
      <c r="N455" s="27"/>
      <c r="O455" s="27"/>
    </row>
    <row r="456">
      <c r="F456" s="27"/>
      <c r="G456" s="27"/>
      <c r="H456" s="27"/>
      <c r="J456" s="27"/>
      <c r="L456" s="27"/>
      <c r="M456" s="27"/>
      <c r="N456" s="27"/>
      <c r="O456" s="27"/>
    </row>
    <row r="457">
      <c r="F457" s="27"/>
      <c r="G457" s="27"/>
      <c r="H457" s="27"/>
      <c r="J457" s="27"/>
      <c r="L457" s="27"/>
      <c r="M457" s="27"/>
      <c r="N457" s="27"/>
      <c r="O457" s="27"/>
    </row>
    <row r="458">
      <c r="F458" s="27"/>
      <c r="G458" s="27"/>
      <c r="H458" s="27"/>
      <c r="J458" s="27"/>
      <c r="L458" s="27"/>
      <c r="M458" s="27"/>
      <c r="N458" s="27"/>
      <c r="O458" s="27"/>
    </row>
    <row r="459">
      <c r="F459" s="27"/>
      <c r="G459" s="27"/>
      <c r="H459" s="27"/>
      <c r="J459" s="27"/>
      <c r="L459" s="27"/>
      <c r="M459" s="27"/>
      <c r="N459" s="27"/>
      <c r="O459" s="27"/>
    </row>
    <row r="460">
      <c r="F460" s="27"/>
      <c r="G460" s="27"/>
      <c r="H460" s="27"/>
      <c r="J460" s="27"/>
      <c r="L460" s="27"/>
      <c r="M460" s="27"/>
      <c r="N460" s="27"/>
      <c r="O460" s="27"/>
    </row>
    <row r="461">
      <c r="F461" s="27"/>
      <c r="G461" s="27"/>
      <c r="H461" s="27"/>
      <c r="J461" s="27"/>
      <c r="L461" s="27"/>
      <c r="M461" s="27"/>
      <c r="N461" s="27"/>
      <c r="O461" s="27"/>
    </row>
    <row r="462">
      <c r="F462" s="27"/>
      <c r="G462" s="27"/>
      <c r="H462" s="27"/>
      <c r="J462" s="27"/>
      <c r="L462" s="27"/>
      <c r="M462" s="27"/>
      <c r="N462" s="27"/>
      <c r="O462" s="27"/>
    </row>
    <row r="463">
      <c r="F463" s="27"/>
      <c r="G463" s="27"/>
      <c r="H463" s="27"/>
      <c r="J463" s="27"/>
      <c r="L463" s="27"/>
      <c r="M463" s="27"/>
      <c r="N463" s="27"/>
      <c r="O463" s="27"/>
    </row>
    <row r="464">
      <c r="F464" s="27"/>
      <c r="G464" s="27"/>
      <c r="H464" s="27"/>
      <c r="J464" s="27"/>
      <c r="L464" s="27"/>
      <c r="M464" s="27"/>
      <c r="N464" s="27"/>
      <c r="O464" s="27"/>
    </row>
    <row r="465">
      <c r="F465" s="27"/>
      <c r="G465" s="27"/>
      <c r="H465" s="27"/>
      <c r="J465" s="27"/>
      <c r="L465" s="27"/>
      <c r="M465" s="27"/>
      <c r="N465" s="27"/>
      <c r="O465" s="27"/>
    </row>
    <row r="466">
      <c r="F466" s="27"/>
      <c r="G466" s="27"/>
      <c r="H466" s="27"/>
      <c r="J466" s="27"/>
      <c r="L466" s="27"/>
      <c r="M466" s="27"/>
      <c r="N466" s="27"/>
      <c r="O466" s="27"/>
    </row>
    <row r="467">
      <c r="F467" s="27"/>
      <c r="G467" s="27"/>
      <c r="H467" s="27"/>
      <c r="J467" s="27"/>
      <c r="L467" s="27"/>
      <c r="M467" s="27"/>
      <c r="N467" s="27"/>
      <c r="O467" s="27"/>
    </row>
    <row r="468">
      <c r="F468" s="27"/>
      <c r="G468" s="27"/>
      <c r="H468" s="27"/>
      <c r="J468" s="27"/>
      <c r="L468" s="27"/>
      <c r="M468" s="27"/>
      <c r="N468" s="27"/>
      <c r="O468" s="27"/>
    </row>
    <row r="469">
      <c r="F469" s="27"/>
      <c r="G469" s="27"/>
      <c r="H469" s="27"/>
      <c r="J469" s="27"/>
      <c r="L469" s="27"/>
      <c r="M469" s="27"/>
      <c r="N469" s="27"/>
      <c r="O469" s="27"/>
    </row>
    <row r="470">
      <c r="F470" s="27"/>
      <c r="G470" s="27"/>
      <c r="H470" s="27"/>
      <c r="J470" s="27"/>
      <c r="L470" s="27"/>
      <c r="M470" s="27"/>
      <c r="N470" s="27"/>
      <c r="O470" s="27"/>
    </row>
    <row r="471">
      <c r="F471" s="27"/>
      <c r="G471" s="27"/>
      <c r="H471" s="27"/>
      <c r="J471" s="27"/>
      <c r="L471" s="27"/>
      <c r="M471" s="27"/>
      <c r="N471" s="27"/>
      <c r="O471" s="27"/>
    </row>
    <row r="472">
      <c r="F472" s="27"/>
      <c r="G472" s="27"/>
      <c r="H472" s="27"/>
      <c r="J472" s="27"/>
      <c r="L472" s="27"/>
      <c r="M472" s="27"/>
      <c r="N472" s="27"/>
      <c r="O472" s="27"/>
    </row>
    <row r="473">
      <c r="F473" s="27"/>
      <c r="G473" s="27"/>
      <c r="H473" s="27"/>
      <c r="J473" s="27"/>
      <c r="L473" s="27"/>
      <c r="M473" s="27"/>
      <c r="N473" s="27"/>
      <c r="O473" s="27"/>
    </row>
    <row r="474">
      <c r="F474" s="27"/>
      <c r="G474" s="27"/>
      <c r="H474" s="27"/>
      <c r="J474" s="27"/>
      <c r="L474" s="27"/>
      <c r="M474" s="27"/>
      <c r="N474" s="27"/>
      <c r="O474" s="27"/>
    </row>
    <row r="475">
      <c r="F475" s="27"/>
      <c r="G475" s="27"/>
      <c r="H475" s="27"/>
      <c r="J475" s="27"/>
      <c r="L475" s="27"/>
      <c r="M475" s="27"/>
      <c r="N475" s="27"/>
      <c r="O475" s="27"/>
    </row>
    <row r="476">
      <c r="F476" s="27"/>
      <c r="G476" s="27"/>
      <c r="H476" s="27"/>
      <c r="J476" s="27"/>
      <c r="L476" s="27"/>
      <c r="M476" s="27"/>
      <c r="N476" s="27"/>
      <c r="O476" s="27"/>
    </row>
    <row r="477">
      <c r="F477" s="27"/>
      <c r="G477" s="27"/>
      <c r="H477" s="27"/>
      <c r="J477" s="27"/>
      <c r="L477" s="27"/>
      <c r="M477" s="27"/>
      <c r="N477" s="27"/>
      <c r="O477" s="27"/>
    </row>
    <row r="478">
      <c r="F478" s="27"/>
      <c r="G478" s="27"/>
      <c r="H478" s="27"/>
      <c r="J478" s="27"/>
      <c r="L478" s="27"/>
      <c r="M478" s="27"/>
      <c r="N478" s="27"/>
      <c r="O478" s="27"/>
    </row>
    <row r="479">
      <c r="F479" s="27"/>
      <c r="G479" s="27"/>
      <c r="H479" s="27"/>
      <c r="J479" s="27"/>
      <c r="L479" s="27"/>
      <c r="M479" s="27"/>
      <c r="N479" s="27"/>
      <c r="O479" s="27"/>
    </row>
    <row r="480">
      <c r="F480" s="27"/>
      <c r="G480" s="27"/>
      <c r="H480" s="27"/>
      <c r="J480" s="27"/>
      <c r="L480" s="27"/>
      <c r="M480" s="27"/>
      <c r="N480" s="27"/>
      <c r="O480" s="27"/>
    </row>
    <row r="481">
      <c r="F481" s="27"/>
      <c r="G481" s="27"/>
      <c r="H481" s="27"/>
      <c r="J481" s="27"/>
      <c r="L481" s="27"/>
      <c r="M481" s="27"/>
      <c r="N481" s="27"/>
      <c r="O481" s="27"/>
    </row>
    <row r="482">
      <c r="F482" s="27"/>
      <c r="G482" s="27"/>
      <c r="H482" s="27"/>
      <c r="J482" s="27"/>
      <c r="L482" s="27"/>
      <c r="M482" s="27"/>
      <c r="N482" s="27"/>
      <c r="O482" s="27"/>
    </row>
    <row r="483">
      <c r="F483" s="27"/>
      <c r="G483" s="27"/>
      <c r="H483" s="27"/>
      <c r="J483" s="27"/>
      <c r="L483" s="27"/>
      <c r="M483" s="27"/>
      <c r="N483" s="27"/>
      <c r="O483" s="27"/>
    </row>
    <row r="484">
      <c r="F484" s="27"/>
      <c r="G484" s="27"/>
      <c r="H484" s="27"/>
      <c r="J484" s="27"/>
      <c r="L484" s="27"/>
      <c r="M484" s="27"/>
      <c r="N484" s="27"/>
      <c r="O484" s="27"/>
    </row>
    <row r="485">
      <c r="F485" s="27"/>
      <c r="G485" s="27"/>
      <c r="H485" s="27"/>
      <c r="J485" s="27"/>
      <c r="L485" s="27"/>
      <c r="M485" s="27"/>
      <c r="N485" s="27"/>
      <c r="O485" s="27"/>
    </row>
    <row r="486">
      <c r="F486" s="27"/>
      <c r="G486" s="27"/>
      <c r="H486" s="27"/>
      <c r="J486" s="27"/>
      <c r="L486" s="27"/>
      <c r="M486" s="27"/>
      <c r="N486" s="27"/>
      <c r="O486" s="27"/>
    </row>
    <row r="487">
      <c r="F487" s="27"/>
      <c r="G487" s="27"/>
      <c r="H487" s="27"/>
      <c r="J487" s="27"/>
      <c r="L487" s="27"/>
      <c r="M487" s="27"/>
      <c r="N487" s="27"/>
      <c r="O487" s="27"/>
    </row>
    <row r="488">
      <c r="F488" s="27"/>
      <c r="G488" s="27"/>
      <c r="H488" s="27"/>
      <c r="J488" s="27"/>
      <c r="L488" s="27"/>
      <c r="M488" s="27"/>
      <c r="N488" s="27"/>
      <c r="O488" s="27"/>
    </row>
    <row r="489">
      <c r="F489" s="27"/>
      <c r="G489" s="27"/>
      <c r="H489" s="27"/>
      <c r="J489" s="27"/>
      <c r="L489" s="27"/>
      <c r="M489" s="27"/>
      <c r="N489" s="27"/>
      <c r="O489" s="27"/>
    </row>
    <row r="490">
      <c r="F490" s="27"/>
      <c r="G490" s="27"/>
      <c r="H490" s="27"/>
      <c r="J490" s="27"/>
      <c r="L490" s="27"/>
      <c r="M490" s="27"/>
      <c r="N490" s="27"/>
      <c r="O490" s="27"/>
    </row>
    <row r="491">
      <c r="F491" s="27"/>
      <c r="G491" s="27"/>
      <c r="H491" s="27"/>
      <c r="J491" s="27"/>
      <c r="L491" s="27"/>
      <c r="M491" s="27"/>
      <c r="N491" s="27"/>
      <c r="O491" s="27"/>
    </row>
    <row r="492">
      <c r="F492" s="27"/>
      <c r="G492" s="27"/>
      <c r="H492" s="27"/>
      <c r="J492" s="27"/>
      <c r="L492" s="27"/>
      <c r="M492" s="27"/>
      <c r="N492" s="27"/>
      <c r="O492" s="27"/>
    </row>
    <row r="493">
      <c r="F493" s="27"/>
      <c r="G493" s="27"/>
      <c r="H493" s="27"/>
      <c r="J493" s="27"/>
      <c r="L493" s="27"/>
      <c r="M493" s="27"/>
      <c r="N493" s="27"/>
      <c r="O493" s="27"/>
    </row>
    <row r="494">
      <c r="F494" s="27"/>
      <c r="G494" s="27"/>
      <c r="H494" s="27"/>
      <c r="J494" s="27"/>
      <c r="L494" s="27"/>
      <c r="M494" s="27"/>
      <c r="N494" s="27"/>
      <c r="O494" s="27"/>
    </row>
    <row r="495">
      <c r="F495" s="27"/>
      <c r="G495" s="27"/>
      <c r="H495" s="27"/>
      <c r="J495" s="27"/>
      <c r="L495" s="27"/>
      <c r="M495" s="27"/>
      <c r="N495" s="27"/>
      <c r="O495" s="27"/>
    </row>
    <row r="496">
      <c r="F496" s="27"/>
      <c r="G496" s="27"/>
      <c r="H496" s="27"/>
      <c r="J496" s="27"/>
      <c r="L496" s="27"/>
      <c r="M496" s="27"/>
      <c r="N496" s="27"/>
      <c r="O496" s="27"/>
    </row>
    <row r="497">
      <c r="F497" s="27"/>
      <c r="G497" s="27"/>
      <c r="H497" s="27"/>
      <c r="J497" s="27"/>
      <c r="L497" s="27"/>
      <c r="M497" s="27"/>
      <c r="N497" s="27"/>
      <c r="O497" s="27"/>
    </row>
    <row r="498">
      <c r="F498" s="27"/>
      <c r="G498" s="27"/>
      <c r="H498" s="27"/>
      <c r="J498" s="27"/>
      <c r="L498" s="27"/>
      <c r="M498" s="27"/>
      <c r="N498" s="27"/>
      <c r="O498" s="27"/>
    </row>
    <row r="499">
      <c r="F499" s="27"/>
      <c r="G499" s="27"/>
      <c r="H499" s="27"/>
      <c r="J499" s="27"/>
      <c r="L499" s="27"/>
      <c r="M499" s="27"/>
      <c r="N499" s="27"/>
      <c r="O499" s="27"/>
    </row>
    <row r="500">
      <c r="F500" s="27"/>
      <c r="G500" s="27"/>
      <c r="H500" s="27"/>
      <c r="J500" s="27"/>
      <c r="L500" s="27"/>
      <c r="M500" s="27"/>
      <c r="N500" s="27"/>
      <c r="O500" s="27"/>
    </row>
    <row r="501">
      <c r="F501" s="27"/>
      <c r="G501" s="27"/>
      <c r="H501" s="27"/>
      <c r="J501" s="27"/>
      <c r="L501" s="27"/>
      <c r="M501" s="27"/>
      <c r="N501" s="27"/>
      <c r="O501" s="27"/>
    </row>
    <row r="502">
      <c r="F502" s="27"/>
      <c r="G502" s="27"/>
      <c r="H502" s="27"/>
      <c r="J502" s="27"/>
      <c r="L502" s="27"/>
      <c r="M502" s="27"/>
      <c r="N502" s="27"/>
      <c r="O502" s="27"/>
    </row>
    <row r="503">
      <c r="F503" s="27"/>
      <c r="G503" s="27"/>
      <c r="H503" s="27"/>
      <c r="J503" s="27"/>
      <c r="L503" s="27"/>
      <c r="M503" s="27"/>
      <c r="N503" s="27"/>
      <c r="O503" s="27"/>
    </row>
    <row r="504">
      <c r="F504" s="27"/>
      <c r="G504" s="27"/>
      <c r="H504" s="27"/>
      <c r="J504" s="27"/>
      <c r="L504" s="27"/>
      <c r="M504" s="27"/>
      <c r="N504" s="27"/>
      <c r="O504" s="27"/>
    </row>
    <row r="505">
      <c r="F505" s="27"/>
      <c r="G505" s="27"/>
      <c r="H505" s="27"/>
      <c r="J505" s="27"/>
      <c r="L505" s="27"/>
      <c r="M505" s="27"/>
      <c r="N505" s="27"/>
      <c r="O505" s="27"/>
    </row>
    <row r="506">
      <c r="F506" s="27"/>
      <c r="G506" s="27"/>
      <c r="H506" s="27"/>
      <c r="J506" s="27"/>
      <c r="L506" s="27"/>
      <c r="M506" s="27"/>
      <c r="N506" s="27"/>
      <c r="O506" s="27"/>
    </row>
    <row r="507">
      <c r="F507" s="27"/>
      <c r="G507" s="27"/>
      <c r="H507" s="27"/>
      <c r="J507" s="27"/>
      <c r="L507" s="27"/>
      <c r="M507" s="27"/>
      <c r="N507" s="27"/>
      <c r="O507" s="27"/>
    </row>
    <row r="508">
      <c r="F508" s="27"/>
      <c r="G508" s="27"/>
      <c r="H508" s="27"/>
      <c r="J508" s="27"/>
      <c r="L508" s="27"/>
      <c r="M508" s="27"/>
      <c r="N508" s="27"/>
      <c r="O508" s="27"/>
    </row>
    <row r="509">
      <c r="F509" s="27"/>
      <c r="G509" s="27"/>
      <c r="H509" s="27"/>
      <c r="J509" s="27"/>
      <c r="L509" s="27"/>
      <c r="M509" s="27"/>
      <c r="N509" s="27"/>
      <c r="O509" s="27"/>
    </row>
    <row r="510">
      <c r="F510" s="27"/>
      <c r="G510" s="27"/>
      <c r="H510" s="27"/>
      <c r="J510" s="27"/>
      <c r="L510" s="27"/>
      <c r="M510" s="27"/>
      <c r="N510" s="27"/>
      <c r="O510" s="27"/>
    </row>
    <row r="511">
      <c r="F511" s="27"/>
      <c r="G511" s="27"/>
      <c r="H511" s="27"/>
      <c r="J511" s="27"/>
      <c r="L511" s="27"/>
      <c r="M511" s="27"/>
      <c r="N511" s="27"/>
      <c r="O511" s="27"/>
    </row>
    <row r="512">
      <c r="F512" s="27"/>
      <c r="G512" s="27"/>
      <c r="H512" s="27"/>
      <c r="J512" s="27"/>
      <c r="L512" s="27"/>
      <c r="M512" s="27"/>
      <c r="N512" s="27"/>
      <c r="O512" s="27"/>
    </row>
    <row r="513">
      <c r="F513" s="27"/>
      <c r="G513" s="27"/>
      <c r="H513" s="27"/>
      <c r="J513" s="27"/>
      <c r="L513" s="27"/>
      <c r="M513" s="27"/>
      <c r="N513" s="27"/>
      <c r="O513" s="27"/>
    </row>
    <row r="514">
      <c r="F514" s="27"/>
      <c r="G514" s="27"/>
      <c r="H514" s="27"/>
      <c r="J514" s="27"/>
      <c r="L514" s="27"/>
      <c r="M514" s="27"/>
      <c r="N514" s="27"/>
      <c r="O514" s="27"/>
    </row>
    <row r="515">
      <c r="F515" s="27"/>
      <c r="G515" s="27"/>
      <c r="H515" s="27"/>
      <c r="J515" s="27"/>
      <c r="L515" s="27"/>
      <c r="M515" s="27"/>
      <c r="N515" s="27"/>
      <c r="O515" s="27"/>
    </row>
    <row r="516">
      <c r="F516" s="27"/>
      <c r="G516" s="27"/>
      <c r="H516" s="27"/>
      <c r="J516" s="27"/>
      <c r="L516" s="27"/>
      <c r="M516" s="27"/>
      <c r="N516" s="27"/>
      <c r="O516" s="27"/>
    </row>
    <row r="517">
      <c r="F517" s="27"/>
      <c r="G517" s="27"/>
      <c r="H517" s="27"/>
      <c r="J517" s="27"/>
      <c r="L517" s="27"/>
      <c r="M517" s="27"/>
      <c r="N517" s="27"/>
      <c r="O517" s="27"/>
    </row>
    <row r="518">
      <c r="F518" s="27"/>
      <c r="G518" s="27"/>
      <c r="H518" s="27"/>
      <c r="J518" s="27"/>
      <c r="L518" s="27"/>
      <c r="M518" s="27"/>
      <c r="N518" s="27"/>
      <c r="O518" s="27"/>
    </row>
    <row r="519">
      <c r="F519" s="27"/>
      <c r="G519" s="27"/>
      <c r="H519" s="27"/>
      <c r="J519" s="27"/>
      <c r="L519" s="27"/>
      <c r="M519" s="27"/>
      <c r="N519" s="27"/>
      <c r="O519" s="27"/>
    </row>
    <row r="520">
      <c r="F520" s="27"/>
      <c r="G520" s="27"/>
      <c r="H520" s="27"/>
      <c r="J520" s="27"/>
      <c r="L520" s="27"/>
      <c r="M520" s="27"/>
      <c r="N520" s="27"/>
      <c r="O520" s="27"/>
    </row>
    <row r="521">
      <c r="F521" s="27"/>
      <c r="G521" s="27"/>
      <c r="H521" s="27"/>
      <c r="J521" s="27"/>
      <c r="L521" s="27"/>
      <c r="M521" s="27"/>
      <c r="N521" s="27"/>
      <c r="O521" s="27"/>
    </row>
    <row r="522">
      <c r="F522" s="27"/>
      <c r="G522" s="27"/>
      <c r="H522" s="27"/>
      <c r="J522" s="27"/>
      <c r="L522" s="27"/>
      <c r="M522" s="27"/>
      <c r="N522" s="27"/>
      <c r="O522" s="27"/>
    </row>
    <row r="523">
      <c r="F523" s="27"/>
      <c r="G523" s="27"/>
      <c r="H523" s="27"/>
      <c r="J523" s="27"/>
      <c r="L523" s="27"/>
      <c r="M523" s="27"/>
      <c r="N523" s="27"/>
      <c r="O523" s="27"/>
    </row>
    <row r="524">
      <c r="F524" s="27"/>
      <c r="G524" s="27"/>
      <c r="H524" s="27"/>
      <c r="J524" s="27"/>
      <c r="L524" s="27"/>
      <c r="M524" s="27"/>
      <c r="N524" s="27"/>
      <c r="O524" s="27"/>
    </row>
    <row r="525">
      <c r="F525" s="27"/>
      <c r="G525" s="27"/>
      <c r="H525" s="27"/>
      <c r="J525" s="27"/>
      <c r="L525" s="27"/>
      <c r="M525" s="27"/>
      <c r="N525" s="27"/>
      <c r="O525" s="27"/>
    </row>
    <row r="526">
      <c r="F526" s="27"/>
      <c r="G526" s="27"/>
      <c r="H526" s="27"/>
      <c r="J526" s="27"/>
      <c r="L526" s="27"/>
      <c r="M526" s="27"/>
      <c r="N526" s="27"/>
      <c r="O526" s="27"/>
    </row>
    <row r="527">
      <c r="F527" s="27"/>
      <c r="G527" s="27"/>
      <c r="H527" s="27"/>
      <c r="J527" s="27"/>
      <c r="L527" s="27"/>
      <c r="M527" s="27"/>
      <c r="N527" s="27"/>
      <c r="O527" s="27"/>
    </row>
    <row r="528">
      <c r="F528" s="27"/>
      <c r="G528" s="27"/>
      <c r="H528" s="27"/>
      <c r="J528" s="27"/>
      <c r="L528" s="27"/>
      <c r="M528" s="27"/>
      <c r="N528" s="27"/>
      <c r="O528" s="27"/>
    </row>
    <row r="529">
      <c r="F529" s="27"/>
      <c r="G529" s="27"/>
      <c r="H529" s="27"/>
      <c r="J529" s="27"/>
      <c r="L529" s="27"/>
      <c r="M529" s="27"/>
      <c r="N529" s="27"/>
      <c r="O529" s="27"/>
    </row>
    <row r="530">
      <c r="F530" s="27"/>
      <c r="G530" s="27"/>
      <c r="H530" s="27"/>
      <c r="J530" s="27"/>
      <c r="L530" s="27"/>
      <c r="M530" s="27"/>
      <c r="N530" s="27"/>
      <c r="O530" s="27"/>
    </row>
    <row r="531">
      <c r="F531" s="27"/>
      <c r="G531" s="27"/>
      <c r="H531" s="27"/>
      <c r="J531" s="27"/>
      <c r="L531" s="27"/>
      <c r="M531" s="27"/>
      <c r="N531" s="27"/>
      <c r="O531" s="27"/>
    </row>
    <row r="532">
      <c r="F532" s="27"/>
      <c r="G532" s="27"/>
      <c r="H532" s="27"/>
      <c r="J532" s="27"/>
      <c r="L532" s="27"/>
      <c r="M532" s="27"/>
      <c r="N532" s="27"/>
      <c r="O532" s="27"/>
    </row>
    <row r="533">
      <c r="F533" s="27"/>
      <c r="G533" s="27"/>
      <c r="H533" s="27"/>
      <c r="J533" s="27"/>
      <c r="L533" s="27"/>
      <c r="M533" s="27"/>
      <c r="N533" s="27"/>
      <c r="O533" s="27"/>
    </row>
    <row r="534">
      <c r="F534" s="27"/>
      <c r="G534" s="27"/>
      <c r="H534" s="27"/>
      <c r="J534" s="27"/>
      <c r="L534" s="27"/>
      <c r="M534" s="27"/>
      <c r="N534" s="27"/>
      <c r="O534" s="27"/>
    </row>
    <row r="535">
      <c r="F535" s="27"/>
      <c r="G535" s="27"/>
      <c r="H535" s="27"/>
      <c r="J535" s="27"/>
      <c r="L535" s="27"/>
      <c r="M535" s="27"/>
      <c r="N535" s="27"/>
      <c r="O535" s="27"/>
    </row>
    <row r="536">
      <c r="F536" s="27"/>
      <c r="G536" s="27"/>
      <c r="H536" s="27"/>
      <c r="J536" s="27"/>
      <c r="L536" s="27"/>
      <c r="M536" s="27"/>
      <c r="N536" s="27"/>
      <c r="O536" s="27"/>
    </row>
    <row r="537">
      <c r="F537" s="27"/>
      <c r="G537" s="27"/>
      <c r="H537" s="27"/>
      <c r="J537" s="27"/>
      <c r="L537" s="27"/>
      <c r="M537" s="27"/>
      <c r="N537" s="27"/>
      <c r="O537" s="27"/>
    </row>
    <row r="538">
      <c r="F538" s="27"/>
      <c r="G538" s="27"/>
      <c r="H538" s="27"/>
      <c r="J538" s="27"/>
      <c r="L538" s="27"/>
      <c r="M538" s="27"/>
      <c r="N538" s="27"/>
      <c r="O538" s="27"/>
    </row>
    <row r="539">
      <c r="F539" s="27"/>
      <c r="G539" s="27"/>
      <c r="H539" s="27"/>
      <c r="J539" s="27"/>
      <c r="L539" s="27"/>
      <c r="M539" s="27"/>
      <c r="N539" s="27"/>
      <c r="O539" s="27"/>
    </row>
    <row r="540">
      <c r="F540" s="27"/>
      <c r="G540" s="27"/>
      <c r="H540" s="27"/>
      <c r="J540" s="27"/>
      <c r="L540" s="27"/>
      <c r="M540" s="27"/>
      <c r="N540" s="27"/>
      <c r="O540" s="27"/>
    </row>
    <row r="541">
      <c r="F541" s="27"/>
      <c r="G541" s="27"/>
      <c r="H541" s="27"/>
      <c r="J541" s="27"/>
      <c r="L541" s="27"/>
      <c r="M541" s="27"/>
      <c r="N541" s="27"/>
      <c r="O541" s="27"/>
    </row>
    <row r="542">
      <c r="F542" s="27"/>
      <c r="G542" s="27"/>
      <c r="H542" s="27"/>
      <c r="J542" s="27"/>
      <c r="L542" s="27"/>
      <c r="M542" s="27"/>
      <c r="N542" s="27"/>
      <c r="O542" s="27"/>
    </row>
    <row r="543">
      <c r="F543" s="27"/>
      <c r="G543" s="27"/>
      <c r="H543" s="27"/>
      <c r="J543" s="27"/>
      <c r="L543" s="27"/>
      <c r="M543" s="27"/>
      <c r="N543" s="27"/>
      <c r="O543" s="27"/>
    </row>
    <row r="544">
      <c r="F544" s="27"/>
      <c r="G544" s="27"/>
      <c r="H544" s="27"/>
      <c r="J544" s="27"/>
      <c r="L544" s="27"/>
      <c r="M544" s="27"/>
      <c r="N544" s="27"/>
      <c r="O544" s="27"/>
    </row>
    <row r="545">
      <c r="F545" s="27"/>
      <c r="G545" s="27"/>
      <c r="H545" s="27"/>
      <c r="J545" s="27"/>
      <c r="L545" s="27"/>
      <c r="M545" s="27"/>
      <c r="N545" s="27"/>
      <c r="O545" s="27"/>
    </row>
    <row r="546">
      <c r="F546" s="27"/>
      <c r="G546" s="27"/>
      <c r="H546" s="27"/>
      <c r="J546" s="27"/>
      <c r="L546" s="27"/>
      <c r="M546" s="27"/>
      <c r="N546" s="27"/>
      <c r="O546" s="27"/>
    </row>
    <row r="547">
      <c r="F547" s="27"/>
      <c r="G547" s="27"/>
      <c r="H547" s="27"/>
      <c r="J547" s="27"/>
      <c r="L547" s="27"/>
      <c r="M547" s="27"/>
      <c r="N547" s="27"/>
      <c r="O547" s="27"/>
    </row>
    <row r="548">
      <c r="F548" s="27"/>
      <c r="G548" s="27"/>
      <c r="H548" s="27"/>
      <c r="J548" s="27"/>
      <c r="L548" s="27"/>
      <c r="M548" s="27"/>
      <c r="N548" s="27"/>
      <c r="O548" s="27"/>
    </row>
    <row r="549">
      <c r="F549" s="27"/>
      <c r="G549" s="27"/>
      <c r="H549" s="27"/>
      <c r="J549" s="27"/>
      <c r="L549" s="27"/>
      <c r="M549" s="27"/>
      <c r="N549" s="27"/>
      <c r="O549" s="27"/>
    </row>
    <row r="550">
      <c r="F550" s="27"/>
      <c r="G550" s="27"/>
      <c r="H550" s="27"/>
      <c r="J550" s="27"/>
      <c r="L550" s="27"/>
      <c r="M550" s="27"/>
      <c r="N550" s="27"/>
      <c r="O550" s="27"/>
    </row>
    <row r="551">
      <c r="F551" s="27"/>
      <c r="G551" s="27"/>
      <c r="H551" s="27"/>
      <c r="J551" s="27"/>
      <c r="L551" s="27"/>
      <c r="M551" s="27"/>
      <c r="N551" s="27"/>
      <c r="O551" s="27"/>
    </row>
    <row r="552">
      <c r="F552" s="27"/>
      <c r="G552" s="27"/>
      <c r="H552" s="27"/>
      <c r="J552" s="27"/>
      <c r="L552" s="27"/>
      <c r="M552" s="27"/>
      <c r="N552" s="27"/>
      <c r="O552" s="27"/>
    </row>
    <row r="553">
      <c r="F553" s="27"/>
      <c r="G553" s="27"/>
      <c r="H553" s="27"/>
      <c r="J553" s="27"/>
      <c r="L553" s="27"/>
      <c r="M553" s="27"/>
      <c r="N553" s="27"/>
      <c r="O553" s="27"/>
    </row>
    <row r="554">
      <c r="F554" s="27"/>
      <c r="G554" s="27"/>
      <c r="H554" s="27"/>
      <c r="J554" s="27"/>
      <c r="L554" s="27"/>
      <c r="M554" s="27"/>
      <c r="N554" s="27"/>
      <c r="O554" s="27"/>
    </row>
    <row r="555">
      <c r="F555" s="27"/>
      <c r="G555" s="27"/>
      <c r="H555" s="27"/>
      <c r="J555" s="27"/>
      <c r="L555" s="27"/>
      <c r="M555" s="27"/>
      <c r="N555" s="27"/>
      <c r="O555" s="27"/>
    </row>
    <row r="556">
      <c r="F556" s="27"/>
      <c r="G556" s="27"/>
      <c r="H556" s="27"/>
      <c r="J556" s="27"/>
      <c r="L556" s="27"/>
      <c r="M556" s="27"/>
      <c r="N556" s="27"/>
      <c r="O556" s="27"/>
    </row>
    <row r="557">
      <c r="F557" s="27"/>
      <c r="G557" s="27"/>
      <c r="H557" s="27"/>
      <c r="J557" s="27"/>
      <c r="L557" s="27"/>
      <c r="M557" s="27"/>
      <c r="N557" s="27"/>
      <c r="O557" s="27"/>
    </row>
    <row r="558">
      <c r="F558" s="27"/>
      <c r="G558" s="27"/>
      <c r="H558" s="27"/>
      <c r="J558" s="27"/>
      <c r="L558" s="27"/>
      <c r="M558" s="27"/>
      <c r="N558" s="27"/>
      <c r="O558" s="27"/>
    </row>
    <row r="559">
      <c r="F559" s="27"/>
      <c r="G559" s="27"/>
      <c r="H559" s="27"/>
      <c r="J559" s="27"/>
      <c r="L559" s="27"/>
      <c r="M559" s="27"/>
      <c r="N559" s="27"/>
      <c r="O559" s="27"/>
    </row>
    <row r="560">
      <c r="F560" s="27"/>
      <c r="G560" s="27"/>
      <c r="H560" s="27"/>
      <c r="J560" s="27"/>
      <c r="L560" s="27"/>
      <c r="M560" s="27"/>
      <c r="N560" s="27"/>
      <c r="O560" s="27"/>
    </row>
    <row r="561">
      <c r="F561" s="27"/>
      <c r="G561" s="27"/>
      <c r="H561" s="27"/>
      <c r="J561" s="27"/>
      <c r="L561" s="27"/>
      <c r="M561" s="27"/>
      <c r="N561" s="27"/>
      <c r="O561" s="27"/>
    </row>
    <row r="562">
      <c r="F562" s="27"/>
      <c r="G562" s="27"/>
      <c r="H562" s="27"/>
      <c r="J562" s="27"/>
      <c r="L562" s="27"/>
      <c r="M562" s="27"/>
      <c r="N562" s="27"/>
      <c r="O562" s="27"/>
    </row>
    <row r="563">
      <c r="F563" s="27"/>
      <c r="G563" s="27"/>
      <c r="H563" s="27"/>
      <c r="J563" s="27"/>
      <c r="L563" s="27"/>
      <c r="M563" s="27"/>
      <c r="N563" s="27"/>
      <c r="O563" s="27"/>
    </row>
    <row r="564">
      <c r="F564" s="27"/>
      <c r="G564" s="27"/>
      <c r="H564" s="27"/>
      <c r="J564" s="27"/>
      <c r="L564" s="27"/>
      <c r="M564" s="27"/>
      <c r="N564" s="27"/>
      <c r="O564" s="27"/>
    </row>
    <row r="565">
      <c r="F565" s="27"/>
      <c r="G565" s="27"/>
      <c r="H565" s="27"/>
      <c r="J565" s="27"/>
      <c r="L565" s="27"/>
      <c r="M565" s="27"/>
      <c r="N565" s="27"/>
      <c r="O565" s="27"/>
    </row>
    <row r="566">
      <c r="F566" s="27"/>
      <c r="G566" s="27"/>
      <c r="H566" s="27"/>
      <c r="J566" s="27"/>
      <c r="L566" s="27"/>
      <c r="M566" s="27"/>
      <c r="N566" s="27"/>
      <c r="O566" s="27"/>
    </row>
    <row r="567">
      <c r="F567" s="27"/>
      <c r="G567" s="27"/>
      <c r="H567" s="27"/>
      <c r="J567" s="27"/>
      <c r="L567" s="27"/>
      <c r="M567" s="27"/>
      <c r="N567" s="27"/>
      <c r="O567" s="27"/>
    </row>
    <row r="568">
      <c r="F568" s="27"/>
      <c r="G568" s="27"/>
      <c r="H568" s="27"/>
      <c r="J568" s="27"/>
      <c r="L568" s="27"/>
      <c r="M568" s="27"/>
      <c r="N568" s="27"/>
      <c r="O568" s="27"/>
    </row>
    <row r="569">
      <c r="F569" s="27"/>
      <c r="G569" s="27"/>
      <c r="H569" s="27"/>
      <c r="J569" s="27"/>
      <c r="L569" s="27"/>
      <c r="M569" s="27"/>
      <c r="N569" s="27"/>
      <c r="O569" s="27"/>
    </row>
    <row r="570">
      <c r="F570" s="27"/>
      <c r="G570" s="27"/>
      <c r="H570" s="27"/>
      <c r="J570" s="27"/>
      <c r="L570" s="27"/>
      <c r="M570" s="27"/>
      <c r="N570" s="27"/>
      <c r="O570" s="27"/>
    </row>
    <row r="571">
      <c r="F571" s="27"/>
      <c r="G571" s="27"/>
      <c r="H571" s="27"/>
      <c r="J571" s="27"/>
      <c r="L571" s="27"/>
      <c r="M571" s="27"/>
      <c r="N571" s="27"/>
      <c r="O571" s="27"/>
    </row>
    <row r="572">
      <c r="F572" s="27"/>
      <c r="G572" s="27"/>
      <c r="H572" s="27"/>
      <c r="J572" s="27"/>
      <c r="L572" s="27"/>
      <c r="M572" s="27"/>
      <c r="N572" s="27"/>
      <c r="O572" s="27"/>
    </row>
    <row r="573">
      <c r="F573" s="27"/>
      <c r="G573" s="27"/>
      <c r="H573" s="27"/>
      <c r="J573" s="27"/>
      <c r="L573" s="27"/>
      <c r="M573" s="27"/>
      <c r="N573" s="27"/>
      <c r="O573" s="27"/>
    </row>
    <row r="574">
      <c r="F574" s="27"/>
      <c r="G574" s="27"/>
      <c r="H574" s="27"/>
      <c r="J574" s="27"/>
      <c r="L574" s="27"/>
      <c r="M574" s="27"/>
      <c r="N574" s="27"/>
      <c r="O574" s="27"/>
    </row>
    <row r="575">
      <c r="F575" s="27"/>
      <c r="G575" s="27"/>
      <c r="H575" s="27"/>
      <c r="J575" s="27"/>
      <c r="L575" s="27"/>
      <c r="M575" s="27"/>
      <c r="N575" s="27"/>
      <c r="O575" s="27"/>
    </row>
    <row r="576">
      <c r="F576" s="27"/>
      <c r="G576" s="27"/>
      <c r="H576" s="27"/>
      <c r="J576" s="27"/>
      <c r="L576" s="27"/>
      <c r="M576" s="27"/>
      <c r="N576" s="27"/>
      <c r="O576" s="27"/>
    </row>
    <row r="577">
      <c r="F577" s="27"/>
      <c r="G577" s="27"/>
      <c r="H577" s="27"/>
      <c r="J577" s="27"/>
      <c r="L577" s="27"/>
      <c r="M577" s="27"/>
      <c r="N577" s="27"/>
      <c r="O577" s="27"/>
    </row>
    <row r="578">
      <c r="F578" s="27"/>
      <c r="G578" s="27"/>
      <c r="H578" s="27"/>
      <c r="J578" s="27"/>
      <c r="L578" s="27"/>
      <c r="M578" s="27"/>
      <c r="N578" s="27"/>
      <c r="O578" s="27"/>
    </row>
    <row r="579">
      <c r="F579" s="27"/>
      <c r="G579" s="27"/>
      <c r="H579" s="27"/>
      <c r="J579" s="27"/>
      <c r="L579" s="27"/>
      <c r="M579" s="27"/>
      <c r="N579" s="27"/>
      <c r="O579" s="27"/>
    </row>
    <row r="580">
      <c r="F580" s="27"/>
      <c r="G580" s="27"/>
      <c r="H580" s="27"/>
      <c r="J580" s="27"/>
      <c r="L580" s="27"/>
      <c r="M580" s="27"/>
      <c r="N580" s="27"/>
      <c r="O580" s="27"/>
    </row>
    <row r="581">
      <c r="F581" s="27"/>
      <c r="G581" s="27"/>
      <c r="H581" s="27"/>
      <c r="J581" s="27"/>
      <c r="L581" s="27"/>
      <c r="M581" s="27"/>
      <c r="N581" s="27"/>
      <c r="O581" s="27"/>
    </row>
    <row r="582">
      <c r="F582" s="27"/>
      <c r="G582" s="27"/>
      <c r="H582" s="27"/>
      <c r="J582" s="27"/>
      <c r="L582" s="27"/>
      <c r="M582" s="27"/>
      <c r="N582" s="27"/>
      <c r="O582" s="27"/>
    </row>
    <row r="583">
      <c r="F583" s="27"/>
      <c r="G583" s="27"/>
      <c r="H583" s="27"/>
      <c r="J583" s="27"/>
      <c r="L583" s="27"/>
      <c r="M583" s="27"/>
      <c r="N583" s="27"/>
      <c r="O583" s="27"/>
    </row>
    <row r="584">
      <c r="F584" s="27"/>
      <c r="G584" s="27"/>
      <c r="H584" s="27"/>
      <c r="J584" s="27"/>
      <c r="L584" s="27"/>
      <c r="M584" s="27"/>
      <c r="N584" s="27"/>
      <c r="O584" s="27"/>
    </row>
    <row r="585">
      <c r="F585" s="27"/>
      <c r="G585" s="27"/>
      <c r="H585" s="27"/>
      <c r="J585" s="27"/>
      <c r="L585" s="27"/>
      <c r="M585" s="27"/>
      <c r="N585" s="27"/>
      <c r="O585" s="27"/>
    </row>
    <row r="586">
      <c r="F586" s="27"/>
      <c r="G586" s="27"/>
      <c r="H586" s="27"/>
      <c r="J586" s="27"/>
      <c r="L586" s="27"/>
      <c r="M586" s="27"/>
      <c r="N586" s="27"/>
      <c r="O586" s="27"/>
    </row>
    <row r="587">
      <c r="F587" s="27"/>
      <c r="G587" s="27"/>
      <c r="H587" s="27"/>
      <c r="J587" s="27"/>
      <c r="L587" s="27"/>
      <c r="M587" s="27"/>
      <c r="N587" s="27"/>
      <c r="O587" s="27"/>
    </row>
    <row r="588">
      <c r="F588" s="27"/>
      <c r="G588" s="27"/>
      <c r="H588" s="27"/>
      <c r="J588" s="27"/>
      <c r="L588" s="27"/>
      <c r="M588" s="27"/>
      <c r="N588" s="27"/>
      <c r="O588" s="27"/>
    </row>
    <row r="589">
      <c r="F589" s="27"/>
      <c r="G589" s="27"/>
      <c r="H589" s="27"/>
      <c r="J589" s="27"/>
      <c r="L589" s="27"/>
      <c r="M589" s="27"/>
      <c r="N589" s="27"/>
      <c r="O589" s="27"/>
    </row>
    <row r="590">
      <c r="F590" s="27"/>
      <c r="G590" s="27"/>
      <c r="H590" s="27"/>
      <c r="J590" s="27"/>
      <c r="L590" s="27"/>
      <c r="M590" s="27"/>
      <c r="N590" s="27"/>
      <c r="O590" s="27"/>
    </row>
    <row r="591">
      <c r="F591" s="27"/>
      <c r="G591" s="27"/>
      <c r="H591" s="27"/>
      <c r="J591" s="27"/>
      <c r="L591" s="27"/>
      <c r="M591" s="27"/>
      <c r="N591" s="27"/>
      <c r="O591" s="27"/>
    </row>
    <row r="592">
      <c r="F592" s="27"/>
      <c r="G592" s="27"/>
      <c r="H592" s="27"/>
      <c r="J592" s="27"/>
      <c r="L592" s="27"/>
      <c r="M592" s="27"/>
      <c r="N592" s="27"/>
      <c r="O592" s="27"/>
    </row>
    <row r="593">
      <c r="F593" s="27"/>
      <c r="G593" s="27"/>
      <c r="H593" s="27"/>
      <c r="J593" s="27"/>
      <c r="L593" s="27"/>
      <c r="M593" s="27"/>
      <c r="N593" s="27"/>
      <c r="O593" s="27"/>
    </row>
    <row r="594">
      <c r="F594" s="27"/>
      <c r="G594" s="27"/>
      <c r="H594" s="27"/>
      <c r="J594" s="27"/>
      <c r="L594" s="27"/>
      <c r="M594" s="27"/>
      <c r="N594" s="27"/>
      <c r="O594" s="27"/>
    </row>
    <row r="595">
      <c r="F595" s="27"/>
      <c r="G595" s="27"/>
      <c r="H595" s="27"/>
      <c r="J595" s="27"/>
      <c r="L595" s="27"/>
      <c r="M595" s="27"/>
      <c r="N595" s="27"/>
      <c r="O595" s="27"/>
    </row>
    <row r="596">
      <c r="F596" s="27"/>
      <c r="G596" s="27"/>
      <c r="H596" s="27"/>
      <c r="J596" s="27"/>
      <c r="L596" s="27"/>
      <c r="M596" s="27"/>
      <c r="N596" s="27"/>
      <c r="O596" s="27"/>
    </row>
    <row r="597">
      <c r="F597" s="27"/>
      <c r="G597" s="27"/>
      <c r="H597" s="27"/>
      <c r="J597" s="27"/>
      <c r="L597" s="27"/>
      <c r="M597" s="27"/>
      <c r="N597" s="27"/>
      <c r="O597" s="27"/>
    </row>
    <row r="598">
      <c r="F598" s="27"/>
      <c r="G598" s="27"/>
      <c r="H598" s="27"/>
      <c r="J598" s="27"/>
      <c r="L598" s="27"/>
      <c r="M598" s="27"/>
      <c r="N598" s="27"/>
      <c r="O598" s="27"/>
    </row>
    <row r="599">
      <c r="F599" s="27"/>
      <c r="G599" s="27"/>
      <c r="H599" s="27"/>
      <c r="J599" s="27"/>
      <c r="L599" s="27"/>
      <c r="M599" s="27"/>
      <c r="N599" s="27"/>
      <c r="O599" s="27"/>
    </row>
    <row r="600">
      <c r="F600" s="27"/>
      <c r="G600" s="27"/>
      <c r="H600" s="27"/>
      <c r="J600" s="27"/>
      <c r="L600" s="27"/>
      <c r="M600" s="27"/>
      <c r="N600" s="27"/>
      <c r="O600" s="27"/>
    </row>
    <row r="601">
      <c r="F601" s="27"/>
      <c r="G601" s="27"/>
      <c r="H601" s="27"/>
      <c r="J601" s="27"/>
      <c r="L601" s="27"/>
      <c r="M601" s="27"/>
      <c r="N601" s="27"/>
      <c r="O601" s="27"/>
    </row>
    <row r="602">
      <c r="F602" s="27"/>
      <c r="G602" s="27"/>
      <c r="H602" s="27"/>
      <c r="J602" s="27"/>
      <c r="L602" s="27"/>
      <c r="M602" s="27"/>
      <c r="N602" s="27"/>
      <c r="O602" s="27"/>
    </row>
    <row r="603">
      <c r="F603" s="27"/>
      <c r="G603" s="27"/>
      <c r="H603" s="27"/>
      <c r="J603" s="27"/>
      <c r="L603" s="27"/>
      <c r="M603" s="27"/>
      <c r="N603" s="27"/>
      <c r="O603" s="27"/>
    </row>
    <row r="604">
      <c r="F604" s="27"/>
      <c r="G604" s="27"/>
      <c r="H604" s="27"/>
      <c r="J604" s="27"/>
      <c r="L604" s="27"/>
      <c r="M604" s="27"/>
      <c r="N604" s="27"/>
      <c r="O604" s="27"/>
    </row>
    <row r="605">
      <c r="F605" s="27"/>
      <c r="G605" s="27"/>
      <c r="H605" s="27"/>
      <c r="J605" s="27"/>
      <c r="L605" s="27"/>
      <c r="M605" s="27"/>
      <c r="N605" s="27"/>
      <c r="O605" s="27"/>
    </row>
    <row r="606">
      <c r="F606" s="27"/>
      <c r="G606" s="27"/>
      <c r="H606" s="27"/>
      <c r="J606" s="27"/>
      <c r="L606" s="27"/>
      <c r="M606" s="27"/>
      <c r="N606" s="27"/>
      <c r="O606" s="27"/>
    </row>
    <row r="607">
      <c r="F607" s="27"/>
      <c r="G607" s="27"/>
      <c r="H607" s="27"/>
      <c r="J607" s="27"/>
      <c r="L607" s="27"/>
      <c r="M607" s="27"/>
      <c r="N607" s="27"/>
      <c r="O607" s="27"/>
    </row>
    <row r="608">
      <c r="F608" s="27"/>
      <c r="G608" s="27"/>
      <c r="H608" s="27"/>
      <c r="J608" s="27"/>
      <c r="L608" s="27"/>
      <c r="M608" s="27"/>
      <c r="N608" s="27"/>
      <c r="O608" s="27"/>
    </row>
    <row r="609">
      <c r="F609" s="27"/>
      <c r="G609" s="27"/>
      <c r="H609" s="27"/>
      <c r="J609" s="27"/>
      <c r="L609" s="27"/>
      <c r="M609" s="27"/>
      <c r="N609" s="27"/>
      <c r="O609" s="27"/>
    </row>
    <row r="610">
      <c r="F610" s="27"/>
      <c r="G610" s="27"/>
      <c r="H610" s="27"/>
      <c r="J610" s="27"/>
      <c r="L610" s="27"/>
      <c r="M610" s="27"/>
      <c r="N610" s="27"/>
      <c r="O610" s="27"/>
    </row>
    <row r="611">
      <c r="F611" s="27"/>
      <c r="G611" s="27"/>
      <c r="H611" s="27"/>
      <c r="J611" s="27"/>
      <c r="L611" s="27"/>
      <c r="M611" s="27"/>
      <c r="N611" s="27"/>
      <c r="O611" s="27"/>
    </row>
    <row r="612">
      <c r="F612" s="27"/>
      <c r="G612" s="27"/>
      <c r="H612" s="27"/>
      <c r="J612" s="27"/>
      <c r="L612" s="27"/>
      <c r="M612" s="27"/>
      <c r="N612" s="27"/>
      <c r="O612" s="27"/>
    </row>
    <row r="613">
      <c r="F613" s="27"/>
      <c r="G613" s="27"/>
      <c r="H613" s="27"/>
      <c r="J613" s="27"/>
      <c r="L613" s="27"/>
      <c r="M613" s="27"/>
      <c r="N613" s="27"/>
      <c r="O613" s="27"/>
    </row>
    <row r="614">
      <c r="F614" s="27"/>
      <c r="G614" s="27"/>
      <c r="H614" s="27"/>
      <c r="J614" s="27"/>
      <c r="L614" s="27"/>
      <c r="M614" s="27"/>
      <c r="N614" s="27"/>
      <c r="O614" s="27"/>
    </row>
    <row r="615">
      <c r="F615" s="27"/>
      <c r="G615" s="27"/>
      <c r="H615" s="27"/>
      <c r="J615" s="27"/>
      <c r="L615" s="27"/>
      <c r="M615" s="27"/>
      <c r="N615" s="27"/>
      <c r="O615" s="27"/>
    </row>
    <row r="616">
      <c r="F616" s="27"/>
      <c r="G616" s="27"/>
      <c r="H616" s="27"/>
      <c r="J616" s="27"/>
      <c r="L616" s="27"/>
      <c r="M616" s="27"/>
      <c r="N616" s="27"/>
      <c r="O616" s="27"/>
    </row>
    <row r="617">
      <c r="F617" s="27"/>
      <c r="G617" s="27"/>
      <c r="H617" s="27"/>
      <c r="J617" s="27"/>
      <c r="L617" s="27"/>
      <c r="M617" s="27"/>
      <c r="N617" s="27"/>
      <c r="O617" s="27"/>
    </row>
    <row r="618">
      <c r="F618" s="27"/>
      <c r="G618" s="27"/>
      <c r="H618" s="27"/>
      <c r="J618" s="27"/>
      <c r="L618" s="27"/>
      <c r="M618" s="27"/>
      <c r="N618" s="27"/>
      <c r="O618" s="27"/>
    </row>
    <row r="619">
      <c r="F619" s="27"/>
      <c r="G619" s="27"/>
      <c r="H619" s="27"/>
      <c r="J619" s="27"/>
      <c r="L619" s="27"/>
      <c r="M619" s="27"/>
      <c r="N619" s="27"/>
      <c r="O619" s="27"/>
    </row>
    <row r="620">
      <c r="F620" s="27"/>
      <c r="G620" s="27"/>
      <c r="H620" s="27"/>
      <c r="J620" s="27"/>
      <c r="L620" s="27"/>
      <c r="M620" s="27"/>
      <c r="N620" s="27"/>
      <c r="O620" s="27"/>
    </row>
    <row r="621">
      <c r="F621" s="27"/>
      <c r="G621" s="27"/>
      <c r="H621" s="27"/>
      <c r="J621" s="27"/>
      <c r="L621" s="27"/>
      <c r="M621" s="27"/>
      <c r="N621" s="27"/>
      <c r="O621" s="27"/>
    </row>
    <row r="622">
      <c r="F622" s="27"/>
      <c r="G622" s="27"/>
      <c r="H622" s="27"/>
      <c r="J622" s="27"/>
      <c r="L622" s="27"/>
      <c r="M622" s="27"/>
      <c r="N622" s="27"/>
      <c r="O622" s="27"/>
    </row>
    <row r="623">
      <c r="F623" s="27"/>
      <c r="G623" s="27"/>
      <c r="H623" s="27"/>
      <c r="J623" s="27"/>
      <c r="L623" s="27"/>
      <c r="M623" s="27"/>
      <c r="N623" s="27"/>
      <c r="O623" s="27"/>
    </row>
    <row r="624">
      <c r="F624" s="27"/>
      <c r="G624" s="27"/>
      <c r="H624" s="27"/>
      <c r="J624" s="27"/>
      <c r="L624" s="27"/>
      <c r="M624" s="27"/>
      <c r="N624" s="27"/>
      <c r="O624" s="27"/>
    </row>
    <row r="625">
      <c r="F625" s="27"/>
      <c r="G625" s="27"/>
      <c r="H625" s="27"/>
      <c r="J625" s="27"/>
      <c r="L625" s="27"/>
      <c r="M625" s="27"/>
      <c r="N625" s="27"/>
      <c r="O625" s="27"/>
    </row>
    <row r="626">
      <c r="F626" s="27"/>
      <c r="G626" s="27"/>
      <c r="H626" s="27"/>
      <c r="J626" s="27"/>
      <c r="L626" s="27"/>
      <c r="M626" s="27"/>
      <c r="N626" s="27"/>
      <c r="O626" s="27"/>
    </row>
    <row r="627">
      <c r="F627" s="27"/>
      <c r="G627" s="27"/>
      <c r="H627" s="27"/>
      <c r="J627" s="27"/>
      <c r="L627" s="27"/>
      <c r="M627" s="27"/>
      <c r="N627" s="27"/>
      <c r="O627" s="27"/>
    </row>
    <row r="628">
      <c r="F628" s="27"/>
      <c r="G628" s="27"/>
      <c r="H628" s="27"/>
      <c r="J628" s="27"/>
      <c r="L628" s="27"/>
      <c r="M628" s="27"/>
      <c r="N628" s="27"/>
      <c r="O628" s="27"/>
    </row>
    <row r="629">
      <c r="F629" s="27"/>
      <c r="G629" s="27"/>
      <c r="H629" s="27"/>
      <c r="J629" s="27"/>
      <c r="L629" s="27"/>
      <c r="M629" s="27"/>
      <c r="N629" s="27"/>
      <c r="O629" s="27"/>
    </row>
    <row r="630">
      <c r="F630" s="27"/>
      <c r="G630" s="27"/>
      <c r="H630" s="27"/>
      <c r="J630" s="27"/>
      <c r="L630" s="27"/>
      <c r="M630" s="27"/>
      <c r="N630" s="27"/>
      <c r="O630" s="27"/>
    </row>
    <row r="631">
      <c r="F631" s="27"/>
      <c r="G631" s="27"/>
      <c r="H631" s="27"/>
      <c r="J631" s="27"/>
      <c r="L631" s="27"/>
      <c r="M631" s="27"/>
      <c r="N631" s="27"/>
      <c r="O631" s="27"/>
    </row>
    <row r="632">
      <c r="F632" s="27"/>
      <c r="G632" s="27"/>
      <c r="H632" s="27"/>
      <c r="J632" s="27"/>
      <c r="L632" s="27"/>
      <c r="M632" s="27"/>
      <c r="N632" s="27"/>
      <c r="O632" s="27"/>
    </row>
    <row r="633">
      <c r="F633" s="27"/>
      <c r="G633" s="27"/>
      <c r="H633" s="27"/>
      <c r="J633" s="27"/>
      <c r="L633" s="27"/>
      <c r="M633" s="27"/>
      <c r="N633" s="27"/>
      <c r="O633" s="27"/>
    </row>
    <row r="634">
      <c r="F634" s="27"/>
      <c r="G634" s="27"/>
      <c r="H634" s="27"/>
      <c r="J634" s="27"/>
      <c r="L634" s="27"/>
      <c r="M634" s="27"/>
      <c r="N634" s="27"/>
      <c r="O634" s="27"/>
    </row>
    <row r="635">
      <c r="F635" s="27"/>
      <c r="G635" s="27"/>
      <c r="H635" s="27"/>
      <c r="J635" s="27"/>
      <c r="L635" s="27"/>
      <c r="M635" s="27"/>
      <c r="N635" s="27"/>
      <c r="O635" s="27"/>
    </row>
    <row r="636">
      <c r="F636" s="27"/>
      <c r="G636" s="27"/>
      <c r="H636" s="27"/>
      <c r="J636" s="27"/>
      <c r="L636" s="27"/>
      <c r="M636" s="27"/>
      <c r="N636" s="27"/>
      <c r="O636" s="27"/>
    </row>
    <row r="637">
      <c r="F637" s="27"/>
      <c r="G637" s="27"/>
      <c r="H637" s="27"/>
      <c r="J637" s="27"/>
      <c r="L637" s="27"/>
      <c r="M637" s="27"/>
      <c r="N637" s="27"/>
      <c r="O637" s="27"/>
    </row>
    <row r="638">
      <c r="F638" s="27"/>
      <c r="G638" s="27"/>
      <c r="H638" s="27"/>
      <c r="J638" s="27"/>
      <c r="L638" s="27"/>
      <c r="M638" s="27"/>
      <c r="N638" s="27"/>
      <c r="O638" s="27"/>
    </row>
    <row r="639">
      <c r="F639" s="27"/>
      <c r="G639" s="27"/>
      <c r="H639" s="27"/>
      <c r="J639" s="27"/>
      <c r="L639" s="27"/>
      <c r="M639" s="27"/>
      <c r="N639" s="27"/>
      <c r="O639" s="27"/>
    </row>
    <row r="640">
      <c r="F640" s="27"/>
      <c r="G640" s="27"/>
      <c r="H640" s="27"/>
      <c r="J640" s="27"/>
      <c r="L640" s="27"/>
      <c r="M640" s="27"/>
      <c r="N640" s="27"/>
      <c r="O640" s="27"/>
    </row>
    <row r="641">
      <c r="F641" s="27"/>
      <c r="G641" s="27"/>
      <c r="H641" s="27"/>
      <c r="J641" s="27"/>
      <c r="L641" s="27"/>
      <c r="M641" s="27"/>
      <c r="N641" s="27"/>
      <c r="O641" s="27"/>
    </row>
    <row r="642">
      <c r="F642" s="27"/>
      <c r="G642" s="27"/>
      <c r="H642" s="27"/>
      <c r="J642" s="27"/>
      <c r="L642" s="27"/>
      <c r="M642" s="27"/>
      <c r="N642" s="27"/>
      <c r="O642" s="27"/>
    </row>
    <row r="643">
      <c r="F643" s="27"/>
      <c r="G643" s="27"/>
      <c r="H643" s="27"/>
      <c r="J643" s="27"/>
      <c r="L643" s="27"/>
      <c r="M643" s="27"/>
      <c r="N643" s="27"/>
      <c r="O643" s="27"/>
    </row>
    <row r="644">
      <c r="F644" s="27"/>
      <c r="G644" s="27"/>
      <c r="H644" s="27"/>
      <c r="J644" s="27"/>
      <c r="L644" s="27"/>
      <c r="M644" s="27"/>
      <c r="N644" s="27"/>
      <c r="O644" s="27"/>
    </row>
    <row r="645">
      <c r="F645" s="27"/>
      <c r="G645" s="27"/>
      <c r="H645" s="27"/>
      <c r="J645" s="27"/>
      <c r="L645" s="27"/>
      <c r="M645" s="27"/>
      <c r="N645" s="27"/>
      <c r="O645" s="27"/>
    </row>
    <row r="646">
      <c r="F646" s="27"/>
      <c r="G646" s="27"/>
      <c r="H646" s="27"/>
      <c r="J646" s="27"/>
      <c r="L646" s="27"/>
      <c r="M646" s="27"/>
      <c r="N646" s="27"/>
      <c r="O646" s="27"/>
    </row>
    <row r="647">
      <c r="F647" s="27"/>
      <c r="G647" s="27"/>
      <c r="H647" s="27"/>
      <c r="J647" s="27"/>
      <c r="L647" s="27"/>
      <c r="M647" s="27"/>
      <c r="N647" s="27"/>
      <c r="O647" s="27"/>
    </row>
    <row r="648">
      <c r="F648" s="27"/>
      <c r="G648" s="27"/>
      <c r="H648" s="27"/>
      <c r="J648" s="27"/>
      <c r="L648" s="27"/>
      <c r="M648" s="27"/>
      <c r="N648" s="27"/>
      <c r="O648" s="27"/>
    </row>
    <row r="649">
      <c r="F649" s="27"/>
      <c r="G649" s="27"/>
      <c r="H649" s="27"/>
      <c r="J649" s="27"/>
      <c r="L649" s="27"/>
      <c r="M649" s="27"/>
      <c r="N649" s="27"/>
      <c r="O649" s="27"/>
    </row>
    <row r="650">
      <c r="F650" s="27"/>
      <c r="G650" s="27"/>
      <c r="H650" s="27"/>
      <c r="J650" s="27"/>
      <c r="L650" s="27"/>
      <c r="M650" s="27"/>
      <c r="N650" s="27"/>
      <c r="O650" s="27"/>
    </row>
    <row r="651">
      <c r="F651" s="27"/>
      <c r="G651" s="27"/>
      <c r="H651" s="27"/>
      <c r="J651" s="27"/>
      <c r="L651" s="27"/>
      <c r="M651" s="27"/>
      <c r="N651" s="27"/>
      <c r="O651" s="27"/>
    </row>
    <row r="652">
      <c r="F652" s="27"/>
      <c r="G652" s="27"/>
      <c r="H652" s="27"/>
      <c r="J652" s="27"/>
      <c r="L652" s="27"/>
      <c r="M652" s="27"/>
      <c r="N652" s="27"/>
      <c r="O652" s="27"/>
    </row>
    <row r="653">
      <c r="F653" s="27"/>
      <c r="G653" s="27"/>
      <c r="H653" s="27"/>
      <c r="J653" s="27"/>
      <c r="L653" s="27"/>
      <c r="M653" s="27"/>
      <c r="N653" s="27"/>
      <c r="O653" s="27"/>
    </row>
    <row r="654">
      <c r="F654" s="27"/>
      <c r="G654" s="27"/>
      <c r="H654" s="27"/>
      <c r="J654" s="27"/>
      <c r="L654" s="27"/>
      <c r="M654" s="27"/>
      <c r="N654" s="27"/>
      <c r="O654" s="27"/>
    </row>
    <row r="655">
      <c r="F655" s="27"/>
      <c r="G655" s="27"/>
      <c r="H655" s="27"/>
      <c r="J655" s="27"/>
      <c r="L655" s="27"/>
      <c r="M655" s="27"/>
      <c r="N655" s="27"/>
      <c r="O655" s="27"/>
    </row>
    <row r="656">
      <c r="F656" s="27"/>
      <c r="G656" s="27"/>
      <c r="H656" s="27"/>
      <c r="J656" s="27"/>
      <c r="L656" s="27"/>
      <c r="M656" s="27"/>
      <c r="N656" s="27"/>
      <c r="O656" s="27"/>
    </row>
    <row r="657">
      <c r="F657" s="27"/>
      <c r="G657" s="27"/>
      <c r="H657" s="27"/>
      <c r="J657" s="27"/>
      <c r="L657" s="27"/>
      <c r="M657" s="27"/>
      <c r="N657" s="27"/>
      <c r="O657" s="27"/>
    </row>
    <row r="658">
      <c r="F658" s="27"/>
      <c r="G658" s="27"/>
      <c r="H658" s="27"/>
      <c r="J658" s="27"/>
      <c r="L658" s="27"/>
      <c r="M658" s="27"/>
      <c r="N658" s="27"/>
      <c r="O658" s="27"/>
    </row>
    <row r="659">
      <c r="F659" s="27"/>
      <c r="G659" s="27"/>
      <c r="H659" s="27"/>
      <c r="J659" s="27"/>
      <c r="L659" s="27"/>
      <c r="M659" s="27"/>
      <c r="N659" s="27"/>
      <c r="O659" s="27"/>
    </row>
    <row r="660">
      <c r="F660" s="27"/>
      <c r="G660" s="27"/>
      <c r="H660" s="27"/>
      <c r="J660" s="27"/>
      <c r="L660" s="27"/>
      <c r="M660" s="27"/>
      <c r="N660" s="27"/>
      <c r="O660" s="27"/>
    </row>
    <row r="661">
      <c r="F661" s="27"/>
      <c r="G661" s="27"/>
      <c r="H661" s="27"/>
      <c r="J661" s="27"/>
      <c r="L661" s="27"/>
      <c r="M661" s="27"/>
      <c r="N661" s="27"/>
      <c r="O661" s="27"/>
    </row>
    <row r="662">
      <c r="F662" s="27"/>
      <c r="G662" s="27"/>
      <c r="H662" s="27"/>
      <c r="J662" s="27"/>
      <c r="L662" s="27"/>
      <c r="M662" s="27"/>
      <c r="N662" s="27"/>
      <c r="O662" s="27"/>
    </row>
    <row r="663">
      <c r="F663" s="27"/>
      <c r="G663" s="27"/>
      <c r="H663" s="27"/>
      <c r="J663" s="27"/>
      <c r="L663" s="27"/>
      <c r="M663" s="27"/>
      <c r="N663" s="27"/>
      <c r="O663" s="27"/>
    </row>
    <row r="664">
      <c r="F664" s="27"/>
      <c r="G664" s="27"/>
      <c r="H664" s="27"/>
      <c r="J664" s="27"/>
      <c r="L664" s="27"/>
      <c r="M664" s="27"/>
      <c r="N664" s="27"/>
      <c r="O664" s="27"/>
    </row>
    <row r="665">
      <c r="F665" s="27"/>
      <c r="G665" s="27"/>
      <c r="H665" s="27"/>
      <c r="J665" s="27"/>
      <c r="L665" s="27"/>
      <c r="M665" s="27"/>
      <c r="N665" s="27"/>
      <c r="O665" s="27"/>
    </row>
    <row r="666">
      <c r="F666" s="27"/>
      <c r="G666" s="27"/>
      <c r="H666" s="27"/>
      <c r="J666" s="27"/>
      <c r="L666" s="27"/>
      <c r="M666" s="27"/>
      <c r="N666" s="27"/>
      <c r="O666" s="27"/>
    </row>
    <row r="667">
      <c r="F667" s="27"/>
      <c r="G667" s="27"/>
      <c r="H667" s="27"/>
      <c r="J667" s="27"/>
      <c r="L667" s="27"/>
      <c r="M667" s="27"/>
      <c r="N667" s="27"/>
      <c r="O667" s="27"/>
    </row>
    <row r="668">
      <c r="F668" s="27"/>
      <c r="G668" s="27"/>
      <c r="H668" s="27"/>
      <c r="J668" s="27"/>
      <c r="L668" s="27"/>
      <c r="M668" s="27"/>
      <c r="N668" s="27"/>
      <c r="O668" s="27"/>
    </row>
    <row r="669">
      <c r="F669" s="27"/>
      <c r="G669" s="27"/>
      <c r="H669" s="27"/>
      <c r="J669" s="27"/>
      <c r="L669" s="27"/>
      <c r="M669" s="27"/>
      <c r="N669" s="27"/>
      <c r="O669" s="27"/>
    </row>
    <row r="670">
      <c r="F670" s="27"/>
      <c r="G670" s="27"/>
      <c r="H670" s="27"/>
      <c r="J670" s="27"/>
      <c r="L670" s="27"/>
      <c r="M670" s="27"/>
      <c r="N670" s="27"/>
      <c r="O670" s="27"/>
    </row>
    <row r="671">
      <c r="F671" s="27"/>
      <c r="G671" s="27"/>
      <c r="H671" s="27"/>
      <c r="J671" s="27"/>
      <c r="L671" s="27"/>
      <c r="M671" s="27"/>
      <c r="N671" s="27"/>
      <c r="O671" s="27"/>
    </row>
    <row r="672">
      <c r="F672" s="27"/>
      <c r="G672" s="27"/>
      <c r="H672" s="27"/>
      <c r="J672" s="27"/>
      <c r="L672" s="27"/>
      <c r="M672" s="27"/>
      <c r="N672" s="27"/>
      <c r="O672" s="27"/>
    </row>
    <row r="673">
      <c r="F673" s="27"/>
      <c r="G673" s="27"/>
      <c r="H673" s="27"/>
      <c r="J673" s="27"/>
      <c r="L673" s="27"/>
      <c r="M673" s="27"/>
      <c r="N673" s="27"/>
      <c r="O673" s="27"/>
    </row>
    <row r="674">
      <c r="F674" s="27"/>
      <c r="G674" s="27"/>
      <c r="H674" s="27"/>
      <c r="J674" s="27"/>
      <c r="L674" s="27"/>
      <c r="M674" s="27"/>
      <c r="N674" s="27"/>
      <c r="O674" s="27"/>
    </row>
    <row r="675">
      <c r="F675" s="27"/>
      <c r="G675" s="27"/>
      <c r="H675" s="27"/>
      <c r="J675" s="27"/>
      <c r="L675" s="27"/>
      <c r="M675" s="27"/>
      <c r="N675" s="27"/>
      <c r="O675" s="27"/>
    </row>
    <row r="676">
      <c r="F676" s="27"/>
      <c r="G676" s="27"/>
      <c r="H676" s="27"/>
      <c r="J676" s="27"/>
      <c r="L676" s="27"/>
      <c r="M676" s="27"/>
      <c r="N676" s="27"/>
      <c r="O676" s="27"/>
    </row>
    <row r="677">
      <c r="F677" s="27"/>
      <c r="G677" s="27"/>
      <c r="H677" s="27"/>
      <c r="J677" s="27"/>
      <c r="L677" s="27"/>
      <c r="M677" s="27"/>
      <c r="N677" s="27"/>
      <c r="O677" s="27"/>
    </row>
    <row r="678">
      <c r="F678" s="27"/>
      <c r="G678" s="27"/>
      <c r="H678" s="27"/>
      <c r="J678" s="27"/>
      <c r="L678" s="27"/>
      <c r="M678" s="27"/>
      <c r="N678" s="27"/>
      <c r="O678" s="27"/>
    </row>
    <row r="679">
      <c r="F679" s="27"/>
      <c r="G679" s="27"/>
      <c r="H679" s="27"/>
      <c r="J679" s="27"/>
      <c r="L679" s="27"/>
      <c r="M679" s="27"/>
      <c r="N679" s="27"/>
      <c r="O679" s="27"/>
    </row>
    <row r="680">
      <c r="F680" s="27"/>
      <c r="G680" s="27"/>
      <c r="H680" s="27"/>
      <c r="J680" s="27"/>
      <c r="L680" s="27"/>
      <c r="M680" s="27"/>
      <c r="N680" s="27"/>
      <c r="O680" s="27"/>
    </row>
    <row r="681">
      <c r="F681" s="27"/>
      <c r="G681" s="27"/>
      <c r="H681" s="27"/>
      <c r="J681" s="27"/>
      <c r="L681" s="27"/>
      <c r="M681" s="27"/>
      <c r="N681" s="27"/>
      <c r="O681" s="27"/>
    </row>
    <row r="682">
      <c r="F682" s="27"/>
      <c r="G682" s="27"/>
      <c r="H682" s="27"/>
      <c r="J682" s="27"/>
      <c r="L682" s="27"/>
      <c r="M682" s="27"/>
      <c r="N682" s="27"/>
      <c r="O682" s="27"/>
    </row>
    <row r="683">
      <c r="F683" s="27"/>
      <c r="G683" s="27"/>
      <c r="H683" s="27"/>
      <c r="J683" s="27"/>
      <c r="L683" s="27"/>
      <c r="M683" s="27"/>
      <c r="N683" s="27"/>
      <c r="O683" s="27"/>
    </row>
    <row r="684">
      <c r="F684" s="27"/>
      <c r="G684" s="27"/>
      <c r="H684" s="27"/>
      <c r="J684" s="27"/>
      <c r="L684" s="27"/>
      <c r="M684" s="27"/>
      <c r="N684" s="27"/>
      <c r="O684" s="27"/>
    </row>
    <row r="685">
      <c r="F685" s="27"/>
      <c r="G685" s="27"/>
      <c r="H685" s="27"/>
      <c r="J685" s="27"/>
      <c r="L685" s="27"/>
      <c r="M685" s="27"/>
      <c r="N685" s="27"/>
      <c r="O685" s="27"/>
    </row>
    <row r="686">
      <c r="F686" s="27"/>
      <c r="G686" s="27"/>
      <c r="H686" s="27"/>
      <c r="J686" s="27"/>
      <c r="L686" s="27"/>
      <c r="M686" s="27"/>
      <c r="N686" s="27"/>
      <c r="O686" s="27"/>
    </row>
    <row r="687">
      <c r="F687" s="27"/>
      <c r="G687" s="27"/>
      <c r="H687" s="27"/>
      <c r="J687" s="27"/>
      <c r="L687" s="27"/>
      <c r="M687" s="27"/>
      <c r="N687" s="27"/>
      <c r="O687" s="27"/>
    </row>
    <row r="688">
      <c r="F688" s="27"/>
      <c r="G688" s="27"/>
      <c r="H688" s="27"/>
      <c r="J688" s="27"/>
      <c r="L688" s="27"/>
      <c r="M688" s="27"/>
      <c r="N688" s="27"/>
      <c r="O688" s="27"/>
    </row>
    <row r="689">
      <c r="F689" s="27"/>
      <c r="G689" s="27"/>
      <c r="H689" s="27"/>
      <c r="J689" s="27"/>
      <c r="L689" s="27"/>
      <c r="M689" s="27"/>
      <c r="N689" s="27"/>
      <c r="O689" s="27"/>
    </row>
    <row r="690">
      <c r="F690" s="27"/>
      <c r="G690" s="27"/>
      <c r="H690" s="27"/>
      <c r="J690" s="27"/>
      <c r="L690" s="27"/>
      <c r="M690" s="27"/>
      <c r="N690" s="27"/>
      <c r="O690" s="27"/>
    </row>
    <row r="691">
      <c r="F691" s="27"/>
      <c r="G691" s="27"/>
      <c r="H691" s="27"/>
      <c r="J691" s="27"/>
      <c r="L691" s="27"/>
      <c r="M691" s="27"/>
      <c r="N691" s="27"/>
      <c r="O691" s="27"/>
    </row>
    <row r="692">
      <c r="F692" s="27"/>
      <c r="G692" s="27"/>
      <c r="H692" s="27"/>
      <c r="J692" s="27"/>
      <c r="L692" s="27"/>
      <c r="M692" s="27"/>
      <c r="N692" s="27"/>
      <c r="O692" s="27"/>
    </row>
    <row r="693">
      <c r="F693" s="27"/>
      <c r="G693" s="27"/>
      <c r="H693" s="27"/>
      <c r="J693" s="27"/>
      <c r="L693" s="27"/>
      <c r="M693" s="27"/>
      <c r="N693" s="27"/>
      <c r="O693" s="27"/>
    </row>
    <row r="694">
      <c r="F694" s="27"/>
      <c r="G694" s="27"/>
      <c r="H694" s="27"/>
      <c r="J694" s="27"/>
      <c r="L694" s="27"/>
      <c r="M694" s="27"/>
      <c r="N694" s="27"/>
      <c r="O694" s="27"/>
    </row>
    <row r="695">
      <c r="F695" s="27"/>
      <c r="G695" s="27"/>
      <c r="H695" s="27"/>
      <c r="J695" s="27"/>
      <c r="L695" s="27"/>
      <c r="M695" s="27"/>
      <c r="N695" s="27"/>
      <c r="O695" s="27"/>
    </row>
    <row r="696">
      <c r="F696" s="27"/>
      <c r="G696" s="27"/>
      <c r="H696" s="27"/>
      <c r="J696" s="27"/>
      <c r="L696" s="27"/>
      <c r="M696" s="27"/>
      <c r="N696" s="27"/>
      <c r="O696" s="27"/>
    </row>
    <row r="697">
      <c r="F697" s="27"/>
      <c r="G697" s="27"/>
      <c r="H697" s="27"/>
      <c r="J697" s="27"/>
      <c r="L697" s="27"/>
      <c r="M697" s="27"/>
      <c r="N697" s="27"/>
      <c r="O697" s="27"/>
    </row>
    <row r="698">
      <c r="F698" s="27"/>
      <c r="G698" s="27"/>
      <c r="H698" s="27"/>
      <c r="J698" s="27"/>
      <c r="L698" s="27"/>
      <c r="M698" s="27"/>
      <c r="N698" s="27"/>
      <c r="O698" s="27"/>
    </row>
    <row r="699">
      <c r="F699" s="27"/>
      <c r="G699" s="27"/>
      <c r="H699" s="27"/>
      <c r="J699" s="27"/>
      <c r="L699" s="27"/>
      <c r="M699" s="27"/>
      <c r="N699" s="27"/>
      <c r="O699" s="27"/>
    </row>
    <row r="700">
      <c r="F700" s="27"/>
      <c r="G700" s="27"/>
      <c r="H700" s="27"/>
      <c r="J700" s="27"/>
      <c r="L700" s="27"/>
      <c r="M700" s="27"/>
      <c r="N700" s="27"/>
      <c r="O700" s="27"/>
    </row>
    <row r="701">
      <c r="F701" s="27"/>
      <c r="G701" s="27"/>
      <c r="H701" s="27"/>
      <c r="J701" s="27"/>
      <c r="L701" s="27"/>
      <c r="M701" s="27"/>
      <c r="N701" s="27"/>
      <c r="O701" s="27"/>
    </row>
    <row r="702">
      <c r="F702" s="27"/>
      <c r="G702" s="27"/>
      <c r="H702" s="27"/>
      <c r="J702" s="27"/>
      <c r="L702" s="27"/>
      <c r="M702" s="27"/>
      <c r="N702" s="27"/>
      <c r="O702" s="27"/>
    </row>
    <row r="703">
      <c r="F703" s="27"/>
      <c r="G703" s="27"/>
      <c r="H703" s="27"/>
      <c r="J703" s="27"/>
      <c r="L703" s="27"/>
      <c r="M703" s="27"/>
      <c r="N703" s="27"/>
      <c r="O703" s="27"/>
    </row>
    <row r="704">
      <c r="F704" s="27"/>
      <c r="G704" s="27"/>
      <c r="H704" s="27"/>
      <c r="J704" s="27"/>
      <c r="L704" s="27"/>
      <c r="M704" s="27"/>
      <c r="N704" s="27"/>
      <c r="O704" s="27"/>
    </row>
    <row r="705">
      <c r="F705" s="27"/>
      <c r="G705" s="27"/>
      <c r="H705" s="27"/>
      <c r="J705" s="27"/>
      <c r="L705" s="27"/>
      <c r="M705" s="27"/>
      <c r="N705" s="27"/>
      <c r="O705" s="27"/>
    </row>
    <row r="706">
      <c r="F706" s="27"/>
      <c r="G706" s="27"/>
      <c r="H706" s="27"/>
      <c r="J706" s="27"/>
      <c r="L706" s="27"/>
      <c r="M706" s="27"/>
      <c r="N706" s="27"/>
      <c r="O706" s="27"/>
    </row>
    <row r="707">
      <c r="F707" s="27"/>
      <c r="G707" s="27"/>
      <c r="H707" s="27"/>
      <c r="J707" s="27"/>
      <c r="L707" s="27"/>
      <c r="M707" s="27"/>
      <c r="N707" s="27"/>
      <c r="O707" s="27"/>
    </row>
    <row r="708">
      <c r="F708" s="27"/>
      <c r="G708" s="27"/>
      <c r="H708" s="27"/>
      <c r="J708" s="27"/>
      <c r="L708" s="27"/>
      <c r="M708" s="27"/>
      <c r="N708" s="27"/>
      <c r="O708" s="27"/>
    </row>
    <row r="709">
      <c r="F709" s="27"/>
      <c r="G709" s="27"/>
      <c r="H709" s="27"/>
      <c r="J709" s="27"/>
      <c r="L709" s="27"/>
      <c r="M709" s="27"/>
      <c r="N709" s="27"/>
      <c r="O709" s="27"/>
    </row>
    <row r="710">
      <c r="F710" s="27"/>
      <c r="G710" s="27"/>
      <c r="H710" s="27"/>
      <c r="J710" s="27"/>
      <c r="L710" s="27"/>
      <c r="M710" s="27"/>
      <c r="N710" s="27"/>
      <c r="O710" s="27"/>
    </row>
    <row r="711">
      <c r="F711" s="27"/>
      <c r="G711" s="27"/>
      <c r="H711" s="27"/>
      <c r="J711" s="27"/>
      <c r="L711" s="27"/>
      <c r="M711" s="27"/>
      <c r="N711" s="27"/>
      <c r="O711" s="27"/>
    </row>
    <row r="712">
      <c r="F712" s="27"/>
      <c r="G712" s="27"/>
      <c r="H712" s="27"/>
      <c r="J712" s="27"/>
      <c r="L712" s="27"/>
      <c r="M712" s="27"/>
      <c r="N712" s="27"/>
      <c r="O712" s="27"/>
    </row>
    <row r="713">
      <c r="F713" s="27"/>
      <c r="G713" s="27"/>
      <c r="H713" s="27"/>
      <c r="J713" s="27"/>
      <c r="L713" s="27"/>
      <c r="M713" s="27"/>
      <c r="N713" s="27"/>
      <c r="O713" s="27"/>
    </row>
    <row r="714">
      <c r="F714" s="27"/>
      <c r="G714" s="27"/>
      <c r="H714" s="27"/>
      <c r="J714" s="27"/>
      <c r="L714" s="27"/>
      <c r="M714" s="27"/>
      <c r="N714" s="27"/>
      <c r="O714" s="27"/>
    </row>
    <row r="715">
      <c r="F715" s="27"/>
      <c r="G715" s="27"/>
      <c r="H715" s="27"/>
      <c r="J715" s="27"/>
      <c r="L715" s="27"/>
      <c r="M715" s="27"/>
      <c r="N715" s="27"/>
      <c r="O715" s="27"/>
    </row>
    <row r="716">
      <c r="F716" s="27"/>
      <c r="G716" s="27"/>
      <c r="H716" s="27"/>
      <c r="J716" s="27"/>
      <c r="L716" s="27"/>
      <c r="M716" s="27"/>
      <c r="N716" s="27"/>
      <c r="O716" s="27"/>
    </row>
    <row r="717">
      <c r="F717" s="27"/>
      <c r="G717" s="27"/>
      <c r="H717" s="27"/>
      <c r="J717" s="27"/>
      <c r="L717" s="27"/>
      <c r="M717" s="27"/>
      <c r="N717" s="27"/>
      <c r="O717" s="27"/>
    </row>
    <row r="718">
      <c r="F718" s="27"/>
      <c r="G718" s="27"/>
      <c r="H718" s="27"/>
      <c r="J718" s="27"/>
      <c r="L718" s="27"/>
      <c r="M718" s="27"/>
      <c r="N718" s="27"/>
      <c r="O718" s="27"/>
    </row>
    <row r="719">
      <c r="F719" s="27"/>
      <c r="G719" s="27"/>
      <c r="H719" s="27"/>
      <c r="J719" s="27"/>
      <c r="L719" s="27"/>
      <c r="M719" s="27"/>
      <c r="N719" s="27"/>
      <c r="O719" s="27"/>
    </row>
    <row r="720">
      <c r="F720" s="27"/>
      <c r="G720" s="27"/>
      <c r="H720" s="27"/>
      <c r="J720" s="27"/>
      <c r="L720" s="27"/>
      <c r="M720" s="27"/>
      <c r="N720" s="27"/>
      <c r="O720" s="27"/>
    </row>
    <row r="721">
      <c r="F721" s="27"/>
      <c r="G721" s="27"/>
      <c r="H721" s="27"/>
      <c r="J721" s="27"/>
      <c r="L721" s="27"/>
      <c r="M721" s="27"/>
      <c r="N721" s="27"/>
      <c r="O721" s="27"/>
    </row>
    <row r="722">
      <c r="F722" s="27"/>
      <c r="G722" s="27"/>
      <c r="H722" s="27"/>
      <c r="J722" s="27"/>
      <c r="L722" s="27"/>
      <c r="M722" s="27"/>
      <c r="N722" s="27"/>
      <c r="O722" s="27"/>
    </row>
    <row r="723">
      <c r="F723" s="27"/>
      <c r="G723" s="27"/>
      <c r="H723" s="27"/>
      <c r="J723" s="27"/>
      <c r="L723" s="27"/>
      <c r="M723" s="27"/>
      <c r="N723" s="27"/>
      <c r="O723" s="27"/>
    </row>
    <row r="724">
      <c r="F724" s="27"/>
      <c r="G724" s="27"/>
      <c r="H724" s="27"/>
      <c r="J724" s="27"/>
      <c r="L724" s="27"/>
      <c r="M724" s="27"/>
      <c r="N724" s="27"/>
      <c r="O724" s="27"/>
    </row>
    <row r="725">
      <c r="F725" s="27"/>
      <c r="G725" s="27"/>
      <c r="H725" s="27"/>
      <c r="J725" s="27"/>
      <c r="L725" s="27"/>
      <c r="M725" s="27"/>
      <c r="N725" s="27"/>
      <c r="O725" s="27"/>
    </row>
    <row r="726">
      <c r="F726" s="27"/>
      <c r="G726" s="27"/>
      <c r="H726" s="27"/>
      <c r="J726" s="27"/>
      <c r="L726" s="27"/>
      <c r="M726" s="27"/>
      <c r="N726" s="27"/>
      <c r="O726" s="27"/>
    </row>
    <row r="727">
      <c r="F727" s="27"/>
      <c r="G727" s="27"/>
      <c r="H727" s="27"/>
      <c r="J727" s="27"/>
      <c r="L727" s="27"/>
      <c r="M727" s="27"/>
      <c r="N727" s="27"/>
      <c r="O727" s="27"/>
    </row>
    <row r="728">
      <c r="F728" s="27"/>
      <c r="G728" s="27"/>
      <c r="H728" s="27"/>
      <c r="J728" s="27"/>
      <c r="L728" s="27"/>
      <c r="M728" s="27"/>
      <c r="N728" s="27"/>
      <c r="O728" s="27"/>
    </row>
    <row r="729">
      <c r="F729" s="27"/>
      <c r="G729" s="27"/>
      <c r="H729" s="27"/>
      <c r="J729" s="27"/>
      <c r="L729" s="27"/>
      <c r="M729" s="27"/>
      <c r="N729" s="27"/>
      <c r="O729" s="27"/>
    </row>
    <row r="730">
      <c r="F730" s="27"/>
      <c r="G730" s="27"/>
      <c r="H730" s="27"/>
      <c r="J730" s="27"/>
      <c r="L730" s="27"/>
      <c r="M730" s="27"/>
      <c r="N730" s="27"/>
      <c r="O730" s="27"/>
    </row>
    <row r="731">
      <c r="F731" s="27"/>
      <c r="G731" s="27"/>
      <c r="H731" s="27"/>
      <c r="J731" s="27"/>
      <c r="L731" s="27"/>
      <c r="M731" s="27"/>
      <c r="N731" s="27"/>
      <c r="O731" s="27"/>
    </row>
    <row r="732">
      <c r="F732" s="27"/>
      <c r="G732" s="27"/>
      <c r="H732" s="27"/>
      <c r="J732" s="27"/>
      <c r="L732" s="27"/>
      <c r="M732" s="27"/>
      <c r="N732" s="27"/>
      <c r="O732" s="27"/>
    </row>
    <row r="733">
      <c r="F733" s="27"/>
      <c r="G733" s="27"/>
      <c r="H733" s="27"/>
      <c r="J733" s="27"/>
      <c r="L733" s="27"/>
      <c r="M733" s="27"/>
      <c r="N733" s="27"/>
      <c r="O733" s="27"/>
    </row>
    <row r="734">
      <c r="F734" s="27"/>
      <c r="G734" s="27"/>
      <c r="H734" s="27"/>
      <c r="J734" s="27"/>
      <c r="L734" s="27"/>
      <c r="M734" s="27"/>
      <c r="N734" s="27"/>
      <c r="O734" s="27"/>
    </row>
    <row r="735">
      <c r="F735" s="27"/>
      <c r="G735" s="27"/>
      <c r="H735" s="27"/>
      <c r="J735" s="27"/>
      <c r="L735" s="27"/>
      <c r="M735" s="27"/>
      <c r="N735" s="27"/>
      <c r="O735" s="27"/>
    </row>
    <row r="736">
      <c r="F736" s="27"/>
      <c r="G736" s="27"/>
      <c r="H736" s="27"/>
      <c r="J736" s="27"/>
      <c r="L736" s="27"/>
      <c r="M736" s="27"/>
      <c r="N736" s="27"/>
      <c r="O736" s="27"/>
    </row>
    <row r="737">
      <c r="F737" s="27"/>
      <c r="G737" s="27"/>
      <c r="H737" s="27"/>
      <c r="J737" s="27"/>
      <c r="L737" s="27"/>
      <c r="M737" s="27"/>
      <c r="N737" s="27"/>
      <c r="O737" s="27"/>
    </row>
    <row r="738">
      <c r="F738" s="27"/>
      <c r="G738" s="27"/>
      <c r="H738" s="27"/>
      <c r="J738" s="27"/>
      <c r="L738" s="27"/>
      <c r="M738" s="27"/>
      <c r="N738" s="27"/>
      <c r="O738" s="27"/>
    </row>
    <row r="739">
      <c r="F739" s="27"/>
      <c r="G739" s="27"/>
      <c r="H739" s="27"/>
      <c r="J739" s="27"/>
      <c r="L739" s="27"/>
      <c r="M739" s="27"/>
      <c r="N739" s="27"/>
      <c r="O739" s="27"/>
    </row>
    <row r="740">
      <c r="F740" s="27"/>
      <c r="G740" s="27"/>
      <c r="H740" s="27"/>
      <c r="J740" s="27"/>
      <c r="L740" s="27"/>
      <c r="M740" s="27"/>
      <c r="N740" s="27"/>
      <c r="O740" s="27"/>
    </row>
    <row r="741">
      <c r="F741" s="27"/>
      <c r="G741" s="27"/>
      <c r="H741" s="27"/>
      <c r="J741" s="27"/>
      <c r="L741" s="27"/>
      <c r="M741" s="27"/>
      <c r="N741" s="27"/>
      <c r="O741" s="27"/>
    </row>
    <row r="742">
      <c r="F742" s="27"/>
      <c r="G742" s="27"/>
      <c r="H742" s="27"/>
      <c r="J742" s="27"/>
      <c r="L742" s="27"/>
      <c r="M742" s="27"/>
      <c r="N742" s="27"/>
      <c r="O742" s="27"/>
    </row>
    <row r="743">
      <c r="F743" s="27"/>
      <c r="G743" s="27"/>
      <c r="H743" s="27"/>
      <c r="J743" s="27"/>
      <c r="L743" s="27"/>
      <c r="M743" s="27"/>
      <c r="N743" s="27"/>
      <c r="O743" s="27"/>
    </row>
    <row r="744">
      <c r="F744" s="27"/>
      <c r="G744" s="27"/>
      <c r="H744" s="27"/>
      <c r="J744" s="27"/>
      <c r="L744" s="27"/>
      <c r="M744" s="27"/>
      <c r="N744" s="27"/>
      <c r="O744" s="27"/>
    </row>
    <row r="745">
      <c r="F745" s="27"/>
      <c r="G745" s="27"/>
      <c r="H745" s="27"/>
      <c r="J745" s="27"/>
      <c r="L745" s="27"/>
      <c r="M745" s="27"/>
      <c r="N745" s="27"/>
      <c r="O745" s="27"/>
    </row>
    <row r="746">
      <c r="F746" s="27"/>
      <c r="G746" s="27"/>
      <c r="H746" s="27"/>
      <c r="J746" s="27"/>
      <c r="L746" s="27"/>
      <c r="M746" s="27"/>
      <c r="N746" s="27"/>
      <c r="O746" s="27"/>
    </row>
    <row r="747">
      <c r="F747" s="27"/>
      <c r="G747" s="27"/>
      <c r="H747" s="27"/>
      <c r="J747" s="27"/>
      <c r="L747" s="27"/>
      <c r="M747" s="27"/>
      <c r="N747" s="27"/>
      <c r="O747" s="27"/>
    </row>
    <row r="748">
      <c r="F748" s="27"/>
      <c r="G748" s="27"/>
      <c r="H748" s="27"/>
      <c r="J748" s="27"/>
      <c r="L748" s="27"/>
      <c r="M748" s="27"/>
      <c r="N748" s="27"/>
      <c r="O748" s="27"/>
    </row>
    <row r="749">
      <c r="F749" s="27"/>
      <c r="G749" s="27"/>
      <c r="H749" s="27"/>
      <c r="J749" s="27"/>
      <c r="L749" s="27"/>
      <c r="M749" s="27"/>
      <c r="N749" s="27"/>
      <c r="O749" s="27"/>
    </row>
    <row r="750">
      <c r="F750" s="27"/>
      <c r="G750" s="27"/>
      <c r="H750" s="27"/>
      <c r="J750" s="27"/>
      <c r="L750" s="27"/>
      <c r="M750" s="27"/>
      <c r="N750" s="27"/>
      <c r="O750" s="27"/>
    </row>
    <row r="751">
      <c r="F751" s="27"/>
      <c r="G751" s="27"/>
      <c r="H751" s="27"/>
      <c r="J751" s="27"/>
      <c r="L751" s="27"/>
      <c r="M751" s="27"/>
      <c r="N751" s="27"/>
      <c r="O751" s="27"/>
    </row>
    <row r="752">
      <c r="F752" s="27"/>
      <c r="G752" s="27"/>
      <c r="H752" s="27"/>
      <c r="J752" s="27"/>
      <c r="L752" s="27"/>
      <c r="M752" s="27"/>
      <c r="N752" s="27"/>
      <c r="O752" s="27"/>
    </row>
    <row r="753">
      <c r="F753" s="27"/>
      <c r="G753" s="27"/>
      <c r="H753" s="27"/>
      <c r="J753" s="27"/>
      <c r="L753" s="27"/>
      <c r="M753" s="27"/>
      <c r="N753" s="27"/>
      <c r="O753" s="27"/>
    </row>
    <row r="754">
      <c r="F754" s="27"/>
      <c r="G754" s="27"/>
      <c r="H754" s="27"/>
      <c r="J754" s="27"/>
      <c r="L754" s="27"/>
      <c r="M754" s="27"/>
      <c r="N754" s="27"/>
      <c r="O754" s="27"/>
    </row>
    <row r="755">
      <c r="F755" s="27"/>
      <c r="G755" s="27"/>
      <c r="H755" s="27"/>
      <c r="J755" s="27"/>
      <c r="L755" s="27"/>
      <c r="M755" s="27"/>
      <c r="N755" s="27"/>
      <c r="O755" s="27"/>
    </row>
    <row r="756">
      <c r="F756" s="27"/>
      <c r="G756" s="27"/>
      <c r="H756" s="27"/>
      <c r="J756" s="27"/>
      <c r="L756" s="27"/>
      <c r="M756" s="27"/>
      <c r="N756" s="27"/>
      <c r="O756" s="27"/>
    </row>
    <row r="757">
      <c r="F757" s="27"/>
      <c r="G757" s="27"/>
      <c r="H757" s="27"/>
      <c r="J757" s="27"/>
      <c r="L757" s="27"/>
      <c r="M757" s="27"/>
      <c r="N757" s="27"/>
      <c r="O757" s="27"/>
    </row>
    <row r="758">
      <c r="F758" s="27"/>
      <c r="G758" s="27"/>
      <c r="H758" s="27"/>
      <c r="J758" s="27"/>
      <c r="L758" s="27"/>
      <c r="M758" s="27"/>
      <c r="N758" s="27"/>
      <c r="O758" s="27"/>
    </row>
    <row r="759">
      <c r="F759" s="27"/>
      <c r="G759" s="27"/>
      <c r="H759" s="27"/>
      <c r="J759" s="27"/>
      <c r="L759" s="27"/>
      <c r="M759" s="27"/>
      <c r="N759" s="27"/>
      <c r="O759" s="27"/>
    </row>
    <row r="760">
      <c r="F760" s="27"/>
      <c r="G760" s="27"/>
      <c r="H760" s="27"/>
      <c r="J760" s="27"/>
      <c r="L760" s="27"/>
      <c r="M760" s="27"/>
      <c r="N760" s="27"/>
      <c r="O760" s="27"/>
    </row>
    <row r="761">
      <c r="F761" s="27"/>
      <c r="G761" s="27"/>
      <c r="H761" s="27"/>
      <c r="J761" s="27"/>
      <c r="L761" s="27"/>
      <c r="M761" s="27"/>
      <c r="N761" s="27"/>
      <c r="O761" s="27"/>
    </row>
    <row r="762">
      <c r="F762" s="27"/>
      <c r="G762" s="27"/>
      <c r="H762" s="27"/>
      <c r="J762" s="27"/>
      <c r="L762" s="27"/>
      <c r="M762" s="27"/>
      <c r="N762" s="27"/>
      <c r="O762" s="27"/>
    </row>
    <row r="763">
      <c r="F763" s="27"/>
      <c r="G763" s="27"/>
      <c r="H763" s="27"/>
      <c r="J763" s="27"/>
      <c r="L763" s="27"/>
      <c r="M763" s="27"/>
      <c r="N763" s="27"/>
      <c r="O763" s="27"/>
    </row>
    <row r="764">
      <c r="F764" s="27"/>
      <c r="G764" s="27"/>
      <c r="H764" s="27"/>
      <c r="J764" s="27"/>
      <c r="L764" s="27"/>
      <c r="M764" s="27"/>
      <c r="N764" s="27"/>
      <c r="O764" s="27"/>
    </row>
    <row r="765">
      <c r="F765" s="27"/>
      <c r="G765" s="27"/>
      <c r="H765" s="27"/>
      <c r="J765" s="27"/>
      <c r="L765" s="27"/>
      <c r="M765" s="27"/>
      <c r="N765" s="27"/>
      <c r="O765" s="27"/>
    </row>
    <row r="766">
      <c r="F766" s="27"/>
      <c r="G766" s="27"/>
      <c r="H766" s="27"/>
      <c r="J766" s="27"/>
      <c r="L766" s="27"/>
      <c r="M766" s="27"/>
      <c r="N766" s="27"/>
      <c r="O766" s="27"/>
    </row>
    <row r="767">
      <c r="F767" s="27"/>
      <c r="G767" s="27"/>
      <c r="H767" s="27"/>
      <c r="J767" s="27"/>
      <c r="L767" s="27"/>
      <c r="M767" s="27"/>
      <c r="N767" s="27"/>
      <c r="O767" s="27"/>
    </row>
    <row r="768">
      <c r="F768" s="27"/>
      <c r="G768" s="27"/>
      <c r="H768" s="27"/>
      <c r="J768" s="27"/>
      <c r="L768" s="27"/>
      <c r="M768" s="27"/>
      <c r="N768" s="27"/>
      <c r="O768" s="27"/>
    </row>
    <row r="769">
      <c r="F769" s="27"/>
      <c r="G769" s="27"/>
      <c r="H769" s="27"/>
      <c r="J769" s="27"/>
      <c r="L769" s="27"/>
      <c r="M769" s="27"/>
      <c r="N769" s="27"/>
      <c r="O769" s="27"/>
    </row>
    <row r="770">
      <c r="F770" s="27"/>
      <c r="G770" s="27"/>
      <c r="H770" s="27"/>
      <c r="J770" s="27"/>
      <c r="L770" s="27"/>
      <c r="M770" s="27"/>
      <c r="N770" s="27"/>
      <c r="O770" s="27"/>
    </row>
    <row r="771">
      <c r="F771" s="27"/>
      <c r="G771" s="27"/>
      <c r="H771" s="27"/>
      <c r="J771" s="27"/>
      <c r="L771" s="27"/>
      <c r="M771" s="27"/>
      <c r="N771" s="27"/>
      <c r="O771" s="27"/>
    </row>
    <row r="772">
      <c r="F772" s="27"/>
      <c r="G772" s="27"/>
      <c r="H772" s="27"/>
      <c r="J772" s="27"/>
      <c r="L772" s="27"/>
      <c r="M772" s="27"/>
      <c r="N772" s="27"/>
      <c r="O772" s="27"/>
    </row>
    <row r="773">
      <c r="F773" s="27"/>
      <c r="G773" s="27"/>
      <c r="H773" s="27"/>
      <c r="J773" s="27"/>
      <c r="L773" s="27"/>
      <c r="M773" s="27"/>
      <c r="N773" s="27"/>
      <c r="O773" s="27"/>
    </row>
    <row r="774">
      <c r="F774" s="27"/>
      <c r="G774" s="27"/>
      <c r="H774" s="27"/>
      <c r="J774" s="27"/>
      <c r="L774" s="27"/>
      <c r="M774" s="27"/>
      <c r="N774" s="27"/>
      <c r="O774" s="27"/>
    </row>
    <row r="775">
      <c r="F775" s="27"/>
      <c r="G775" s="27"/>
      <c r="H775" s="27"/>
      <c r="J775" s="27"/>
      <c r="L775" s="27"/>
      <c r="M775" s="27"/>
      <c r="N775" s="27"/>
      <c r="O775" s="27"/>
    </row>
    <row r="776">
      <c r="F776" s="27"/>
      <c r="G776" s="27"/>
      <c r="H776" s="27"/>
      <c r="J776" s="27"/>
      <c r="L776" s="27"/>
      <c r="M776" s="27"/>
      <c r="N776" s="27"/>
      <c r="O776" s="27"/>
    </row>
    <row r="777">
      <c r="F777" s="27"/>
      <c r="G777" s="27"/>
      <c r="H777" s="27"/>
      <c r="J777" s="27"/>
      <c r="L777" s="27"/>
      <c r="M777" s="27"/>
      <c r="N777" s="27"/>
      <c r="O777" s="27"/>
    </row>
    <row r="778">
      <c r="F778" s="27"/>
      <c r="G778" s="27"/>
      <c r="H778" s="27"/>
      <c r="J778" s="27"/>
      <c r="L778" s="27"/>
      <c r="M778" s="27"/>
      <c r="N778" s="27"/>
      <c r="O778" s="27"/>
    </row>
    <row r="779">
      <c r="F779" s="27"/>
      <c r="G779" s="27"/>
      <c r="H779" s="27"/>
      <c r="J779" s="27"/>
      <c r="L779" s="27"/>
      <c r="M779" s="27"/>
      <c r="N779" s="27"/>
      <c r="O779" s="27"/>
    </row>
    <row r="780">
      <c r="F780" s="27"/>
      <c r="G780" s="27"/>
      <c r="H780" s="27"/>
      <c r="J780" s="27"/>
      <c r="L780" s="27"/>
      <c r="M780" s="27"/>
      <c r="N780" s="27"/>
      <c r="O780" s="27"/>
    </row>
    <row r="781">
      <c r="F781" s="27"/>
      <c r="G781" s="27"/>
      <c r="H781" s="27"/>
      <c r="J781" s="27"/>
      <c r="L781" s="27"/>
      <c r="M781" s="27"/>
      <c r="N781" s="27"/>
      <c r="O781" s="27"/>
    </row>
    <row r="782">
      <c r="F782" s="27"/>
      <c r="G782" s="27"/>
      <c r="H782" s="27"/>
      <c r="J782" s="27"/>
      <c r="L782" s="27"/>
      <c r="M782" s="27"/>
      <c r="N782" s="27"/>
      <c r="O782" s="27"/>
    </row>
    <row r="783">
      <c r="F783" s="27"/>
      <c r="G783" s="27"/>
      <c r="H783" s="27"/>
      <c r="J783" s="27"/>
      <c r="L783" s="27"/>
      <c r="M783" s="27"/>
      <c r="N783" s="27"/>
      <c r="O783" s="27"/>
    </row>
    <row r="784">
      <c r="F784" s="27"/>
      <c r="G784" s="27"/>
      <c r="H784" s="27"/>
      <c r="J784" s="27"/>
      <c r="L784" s="27"/>
      <c r="M784" s="27"/>
      <c r="N784" s="27"/>
      <c r="O784" s="27"/>
    </row>
    <row r="785">
      <c r="F785" s="27"/>
      <c r="G785" s="27"/>
      <c r="H785" s="27"/>
      <c r="J785" s="27"/>
      <c r="L785" s="27"/>
      <c r="M785" s="27"/>
      <c r="N785" s="27"/>
      <c r="O785" s="27"/>
    </row>
    <row r="786">
      <c r="F786" s="27"/>
      <c r="G786" s="27"/>
      <c r="H786" s="27"/>
      <c r="J786" s="27"/>
      <c r="L786" s="27"/>
      <c r="M786" s="27"/>
      <c r="N786" s="27"/>
      <c r="O786" s="27"/>
    </row>
    <row r="787">
      <c r="F787" s="27"/>
      <c r="G787" s="27"/>
      <c r="H787" s="27"/>
      <c r="J787" s="27"/>
      <c r="L787" s="27"/>
      <c r="M787" s="27"/>
      <c r="N787" s="27"/>
      <c r="O787" s="27"/>
    </row>
    <row r="788">
      <c r="F788" s="27"/>
      <c r="G788" s="27"/>
      <c r="H788" s="27"/>
      <c r="J788" s="27"/>
      <c r="L788" s="27"/>
      <c r="M788" s="27"/>
      <c r="N788" s="27"/>
      <c r="O788" s="27"/>
    </row>
    <row r="789">
      <c r="F789" s="27"/>
      <c r="G789" s="27"/>
      <c r="H789" s="27"/>
      <c r="J789" s="27"/>
      <c r="L789" s="27"/>
      <c r="M789" s="27"/>
      <c r="N789" s="27"/>
      <c r="O789" s="27"/>
    </row>
    <row r="790">
      <c r="F790" s="27"/>
      <c r="G790" s="27"/>
      <c r="H790" s="27"/>
      <c r="J790" s="27"/>
      <c r="L790" s="27"/>
      <c r="M790" s="27"/>
      <c r="N790" s="27"/>
      <c r="O790" s="27"/>
    </row>
    <row r="791">
      <c r="F791" s="27"/>
      <c r="G791" s="27"/>
      <c r="H791" s="27"/>
      <c r="J791" s="27"/>
      <c r="L791" s="27"/>
      <c r="M791" s="27"/>
      <c r="N791" s="27"/>
      <c r="O791" s="27"/>
    </row>
    <row r="792">
      <c r="F792" s="27"/>
      <c r="G792" s="27"/>
      <c r="H792" s="27"/>
      <c r="J792" s="27"/>
      <c r="L792" s="27"/>
      <c r="M792" s="27"/>
      <c r="N792" s="27"/>
      <c r="O792" s="27"/>
    </row>
    <row r="793">
      <c r="F793" s="27"/>
      <c r="G793" s="27"/>
      <c r="H793" s="27"/>
      <c r="J793" s="27"/>
      <c r="L793" s="27"/>
      <c r="M793" s="27"/>
      <c r="N793" s="27"/>
      <c r="O793" s="27"/>
    </row>
    <row r="794">
      <c r="F794" s="27"/>
      <c r="G794" s="27"/>
      <c r="H794" s="27"/>
      <c r="J794" s="27"/>
      <c r="L794" s="27"/>
      <c r="M794" s="27"/>
      <c r="N794" s="27"/>
      <c r="O794" s="27"/>
    </row>
    <row r="795">
      <c r="F795" s="27"/>
      <c r="G795" s="27"/>
      <c r="H795" s="27"/>
      <c r="J795" s="27"/>
      <c r="L795" s="27"/>
      <c r="M795" s="27"/>
      <c r="N795" s="27"/>
      <c r="O795" s="27"/>
    </row>
    <row r="796">
      <c r="F796" s="27"/>
      <c r="G796" s="27"/>
      <c r="H796" s="27"/>
      <c r="J796" s="27"/>
      <c r="L796" s="27"/>
      <c r="M796" s="27"/>
      <c r="N796" s="27"/>
      <c r="O796" s="27"/>
    </row>
    <row r="797">
      <c r="F797" s="27"/>
      <c r="G797" s="27"/>
      <c r="H797" s="27"/>
      <c r="J797" s="27"/>
      <c r="L797" s="27"/>
      <c r="M797" s="27"/>
      <c r="N797" s="27"/>
      <c r="O797" s="27"/>
    </row>
    <row r="798">
      <c r="F798" s="27"/>
      <c r="G798" s="27"/>
      <c r="H798" s="27"/>
      <c r="J798" s="27"/>
      <c r="L798" s="27"/>
      <c r="M798" s="27"/>
      <c r="N798" s="27"/>
      <c r="O798" s="27"/>
    </row>
    <row r="799">
      <c r="F799" s="27"/>
      <c r="G799" s="27"/>
      <c r="H799" s="27"/>
      <c r="J799" s="27"/>
      <c r="L799" s="27"/>
      <c r="M799" s="27"/>
      <c r="N799" s="27"/>
      <c r="O799" s="27"/>
    </row>
    <row r="800">
      <c r="F800" s="27"/>
      <c r="G800" s="27"/>
      <c r="H800" s="27"/>
      <c r="J800" s="27"/>
      <c r="L800" s="27"/>
      <c r="M800" s="27"/>
      <c r="N800" s="27"/>
      <c r="O800" s="27"/>
    </row>
    <row r="801">
      <c r="F801" s="27"/>
      <c r="G801" s="27"/>
      <c r="H801" s="27"/>
      <c r="J801" s="27"/>
      <c r="L801" s="27"/>
      <c r="M801" s="27"/>
      <c r="N801" s="27"/>
      <c r="O801" s="27"/>
    </row>
    <row r="802">
      <c r="F802" s="27"/>
      <c r="G802" s="27"/>
      <c r="H802" s="27"/>
      <c r="J802" s="27"/>
      <c r="L802" s="27"/>
      <c r="M802" s="27"/>
      <c r="N802" s="27"/>
      <c r="O802" s="27"/>
    </row>
    <row r="803">
      <c r="F803" s="27"/>
      <c r="G803" s="27"/>
      <c r="H803" s="27"/>
      <c r="J803" s="27"/>
      <c r="L803" s="27"/>
      <c r="M803" s="27"/>
      <c r="N803" s="27"/>
      <c r="O803" s="27"/>
    </row>
    <row r="804">
      <c r="F804" s="27"/>
      <c r="G804" s="27"/>
      <c r="H804" s="27"/>
      <c r="J804" s="27"/>
      <c r="L804" s="27"/>
      <c r="M804" s="27"/>
      <c r="N804" s="27"/>
      <c r="O804" s="27"/>
    </row>
    <row r="805">
      <c r="F805" s="27"/>
      <c r="G805" s="27"/>
      <c r="H805" s="27"/>
      <c r="J805" s="27"/>
      <c r="L805" s="27"/>
      <c r="M805" s="27"/>
      <c r="N805" s="27"/>
      <c r="O805" s="27"/>
    </row>
    <row r="806">
      <c r="F806" s="27"/>
      <c r="G806" s="27"/>
      <c r="H806" s="27"/>
      <c r="J806" s="27"/>
      <c r="L806" s="27"/>
      <c r="M806" s="27"/>
      <c r="N806" s="27"/>
      <c r="O806" s="27"/>
    </row>
    <row r="807">
      <c r="F807" s="27"/>
      <c r="G807" s="27"/>
      <c r="H807" s="27"/>
      <c r="J807" s="27"/>
      <c r="L807" s="27"/>
      <c r="M807" s="27"/>
      <c r="N807" s="27"/>
      <c r="O807" s="27"/>
    </row>
    <row r="808">
      <c r="F808" s="27"/>
      <c r="G808" s="27"/>
      <c r="H808" s="27"/>
      <c r="J808" s="27"/>
      <c r="L808" s="27"/>
      <c r="M808" s="27"/>
      <c r="N808" s="27"/>
      <c r="O808" s="27"/>
    </row>
    <row r="809">
      <c r="F809" s="27"/>
      <c r="G809" s="27"/>
      <c r="H809" s="27"/>
      <c r="J809" s="27"/>
      <c r="L809" s="27"/>
      <c r="M809" s="27"/>
      <c r="N809" s="27"/>
      <c r="O809" s="27"/>
    </row>
    <row r="810">
      <c r="F810" s="27"/>
      <c r="G810" s="27"/>
      <c r="H810" s="27"/>
      <c r="J810" s="27"/>
      <c r="L810" s="27"/>
      <c r="M810" s="27"/>
      <c r="N810" s="27"/>
      <c r="O810" s="27"/>
    </row>
    <row r="811">
      <c r="F811" s="27"/>
      <c r="G811" s="27"/>
      <c r="H811" s="27"/>
      <c r="J811" s="27"/>
      <c r="L811" s="27"/>
      <c r="M811" s="27"/>
      <c r="N811" s="27"/>
      <c r="O811" s="27"/>
    </row>
    <row r="812">
      <c r="F812" s="27"/>
      <c r="G812" s="27"/>
      <c r="H812" s="27"/>
      <c r="J812" s="27"/>
      <c r="L812" s="27"/>
      <c r="M812" s="27"/>
      <c r="N812" s="27"/>
      <c r="O812" s="27"/>
    </row>
    <row r="813">
      <c r="F813" s="27"/>
      <c r="G813" s="27"/>
      <c r="H813" s="27"/>
      <c r="J813" s="27"/>
      <c r="L813" s="27"/>
      <c r="M813" s="27"/>
      <c r="N813" s="27"/>
      <c r="O813" s="27"/>
    </row>
    <row r="814">
      <c r="F814" s="27"/>
      <c r="G814" s="27"/>
      <c r="H814" s="27"/>
      <c r="J814" s="27"/>
      <c r="L814" s="27"/>
      <c r="M814" s="27"/>
      <c r="N814" s="27"/>
      <c r="O814" s="27"/>
    </row>
    <row r="815">
      <c r="F815" s="27"/>
      <c r="G815" s="27"/>
      <c r="H815" s="27"/>
      <c r="J815" s="27"/>
      <c r="L815" s="27"/>
      <c r="M815" s="27"/>
      <c r="N815" s="27"/>
      <c r="O815" s="27"/>
    </row>
    <row r="816">
      <c r="F816" s="27"/>
      <c r="G816" s="27"/>
      <c r="H816" s="27"/>
      <c r="J816" s="27"/>
      <c r="L816" s="27"/>
      <c r="M816" s="27"/>
      <c r="N816" s="27"/>
      <c r="O816" s="27"/>
    </row>
    <row r="817">
      <c r="F817" s="27"/>
      <c r="G817" s="27"/>
      <c r="H817" s="27"/>
      <c r="J817" s="27"/>
      <c r="L817" s="27"/>
      <c r="M817" s="27"/>
      <c r="N817" s="27"/>
      <c r="O817" s="27"/>
    </row>
    <row r="818">
      <c r="F818" s="27"/>
      <c r="G818" s="27"/>
      <c r="H818" s="27"/>
      <c r="J818" s="27"/>
      <c r="L818" s="27"/>
      <c r="M818" s="27"/>
      <c r="N818" s="27"/>
      <c r="O818" s="27"/>
    </row>
    <row r="819">
      <c r="F819" s="27"/>
      <c r="G819" s="27"/>
      <c r="H819" s="27"/>
      <c r="J819" s="27"/>
      <c r="L819" s="27"/>
      <c r="M819" s="27"/>
      <c r="N819" s="27"/>
      <c r="O819" s="27"/>
    </row>
    <row r="820">
      <c r="F820" s="27"/>
      <c r="G820" s="27"/>
      <c r="H820" s="27"/>
      <c r="J820" s="27"/>
      <c r="L820" s="27"/>
      <c r="M820" s="27"/>
      <c r="N820" s="27"/>
      <c r="O820" s="27"/>
    </row>
    <row r="821">
      <c r="F821" s="27"/>
      <c r="G821" s="27"/>
      <c r="H821" s="27"/>
      <c r="J821" s="27"/>
      <c r="L821" s="27"/>
      <c r="M821" s="27"/>
      <c r="N821" s="27"/>
      <c r="O821" s="27"/>
    </row>
    <row r="822">
      <c r="F822" s="27"/>
      <c r="G822" s="27"/>
      <c r="H822" s="27"/>
      <c r="J822" s="27"/>
      <c r="L822" s="27"/>
      <c r="M822" s="27"/>
      <c r="N822" s="27"/>
      <c r="O822" s="27"/>
    </row>
    <row r="823">
      <c r="F823" s="27"/>
      <c r="G823" s="27"/>
      <c r="H823" s="27"/>
      <c r="J823" s="27"/>
      <c r="L823" s="27"/>
      <c r="M823" s="27"/>
      <c r="N823" s="27"/>
      <c r="O823" s="27"/>
    </row>
    <row r="824">
      <c r="F824" s="27"/>
      <c r="G824" s="27"/>
      <c r="H824" s="27"/>
      <c r="J824" s="27"/>
      <c r="L824" s="27"/>
      <c r="M824" s="27"/>
      <c r="N824" s="27"/>
      <c r="O824" s="27"/>
    </row>
    <row r="825">
      <c r="F825" s="27"/>
      <c r="G825" s="27"/>
      <c r="H825" s="27"/>
      <c r="J825" s="27"/>
      <c r="L825" s="27"/>
      <c r="M825" s="27"/>
      <c r="N825" s="27"/>
      <c r="O825" s="27"/>
    </row>
    <row r="826">
      <c r="F826" s="27"/>
      <c r="G826" s="27"/>
      <c r="H826" s="27"/>
      <c r="J826" s="27"/>
      <c r="L826" s="27"/>
      <c r="M826" s="27"/>
      <c r="N826" s="27"/>
      <c r="O826" s="27"/>
    </row>
    <row r="827">
      <c r="F827" s="27"/>
      <c r="G827" s="27"/>
      <c r="H827" s="27"/>
      <c r="J827" s="27"/>
      <c r="L827" s="27"/>
      <c r="M827" s="27"/>
      <c r="N827" s="27"/>
      <c r="O827" s="27"/>
    </row>
    <row r="828">
      <c r="F828" s="27"/>
      <c r="G828" s="27"/>
      <c r="H828" s="27"/>
      <c r="J828" s="27"/>
      <c r="L828" s="27"/>
      <c r="M828" s="27"/>
      <c r="N828" s="27"/>
      <c r="O828" s="27"/>
    </row>
    <row r="829">
      <c r="F829" s="27"/>
      <c r="G829" s="27"/>
      <c r="H829" s="27"/>
      <c r="J829" s="27"/>
      <c r="L829" s="27"/>
      <c r="M829" s="27"/>
      <c r="N829" s="27"/>
      <c r="O829" s="27"/>
    </row>
    <row r="830">
      <c r="F830" s="27"/>
      <c r="G830" s="27"/>
      <c r="H830" s="27"/>
      <c r="J830" s="27"/>
      <c r="L830" s="27"/>
      <c r="M830" s="27"/>
      <c r="N830" s="27"/>
      <c r="O830" s="27"/>
    </row>
    <row r="831">
      <c r="F831" s="27"/>
      <c r="G831" s="27"/>
      <c r="H831" s="27"/>
      <c r="J831" s="27"/>
      <c r="L831" s="27"/>
      <c r="M831" s="27"/>
      <c r="N831" s="27"/>
      <c r="O831" s="27"/>
    </row>
    <row r="832">
      <c r="F832" s="27"/>
      <c r="G832" s="27"/>
      <c r="H832" s="27"/>
      <c r="J832" s="27"/>
      <c r="L832" s="27"/>
      <c r="M832" s="27"/>
      <c r="N832" s="27"/>
      <c r="O832" s="27"/>
    </row>
    <row r="833">
      <c r="F833" s="27"/>
      <c r="G833" s="27"/>
      <c r="H833" s="27"/>
      <c r="J833" s="27"/>
      <c r="L833" s="27"/>
      <c r="M833" s="27"/>
      <c r="N833" s="27"/>
      <c r="O833" s="27"/>
    </row>
    <row r="834">
      <c r="F834" s="27"/>
      <c r="G834" s="27"/>
      <c r="H834" s="27"/>
      <c r="J834" s="27"/>
      <c r="L834" s="27"/>
      <c r="M834" s="27"/>
      <c r="N834" s="27"/>
      <c r="O834" s="27"/>
    </row>
    <row r="835">
      <c r="F835" s="27"/>
      <c r="G835" s="27"/>
      <c r="H835" s="27"/>
      <c r="J835" s="27"/>
      <c r="L835" s="27"/>
      <c r="M835" s="27"/>
      <c r="N835" s="27"/>
      <c r="O835" s="27"/>
    </row>
    <row r="836">
      <c r="F836" s="27"/>
      <c r="G836" s="27"/>
      <c r="H836" s="27"/>
      <c r="J836" s="27"/>
      <c r="L836" s="27"/>
      <c r="M836" s="27"/>
      <c r="N836" s="27"/>
      <c r="O836" s="27"/>
    </row>
    <row r="837">
      <c r="F837" s="27"/>
      <c r="G837" s="27"/>
      <c r="H837" s="27"/>
      <c r="J837" s="27"/>
      <c r="L837" s="27"/>
      <c r="M837" s="27"/>
      <c r="N837" s="27"/>
      <c r="O837" s="27"/>
    </row>
    <row r="838">
      <c r="F838" s="27"/>
      <c r="G838" s="27"/>
      <c r="H838" s="27"/>
      <c r="J838" s="27"/>
      <c r="L838" s="27"/>
      <c r="M838" s="27"/>
      <c r="N838" s="27"/>
      <c r="O838" s="27"/>
    </row>
    <row r="839">
      <c r="F839" s="27"/>
      <c r="G839" s="27"/>
      <c r="H839" s="27"/>
      <c r="J839" s="27"/>
      <c r="L839" s="27"/>
      <c r="M839" s="27"/>
      <c r="N839" s="27"/>
      <c r="O839" s="27"/>
    </row>
    <row r="840">
      <c r="F840" s="27"/>
      <c r="G840" s="27"/>
      <c r="H840" s="27"/>
      <c r="J840" s="27"/>
      <c r="L840" s="27"/>
      <c r="M840" s="27"/>
      <c r="N840" s="27"/>
      <c r="O840" s="27"/>
    </row>
    <row r="841">
      <c r="F841" s="27"/>
      <c r="G841" s="27"/>
      <c r="H841" s="27"/>
      <c r="J841" s="27"/>
      <c r="L841" s="27"/>
      <c r="M841" s="27"/>
      <c r="N841" s="27"/>
      <c r="O841" s="27"/>
    </row>
    <row r="842">
      <c r="F842" s="27"/>
      <c r="G842" s="27"/>
      <c r="H842" s="27"/>
      <c r="J842" s="27"/>
      <c r="L842" s="27"/>
      <c r="M842" s="27"/>
      <c r="N842" s="27"/>
      <c r="O842" s="27"/>
    </row>
    <row r="843">
      <c r="F843" s="27"/>
      <c r="G843" s="27"/>
      <c r="H843" s="27"/>
      <c r="J843" s="27"/>
      <c r="L843" s="27"/>
      <c r="M843" s="27"/>
      <c r="N843" s="27"/>
      <c r="O843" s="27"/>
    </row>
    <row r="844">
      <c r="F844" s="27"/>
      <c r="G844" s="27"/>
      <c r="H844" s="27"/>
      <c r="J844" s="27"/>
      <c r="L844" s="27"/>
      <c r="M844" s="27"/>
      <c r="N844" s="27"/>
      <c r="O844" s="27"/>
    </row>
    <row r="845">
      <c r="F845" s="27"/>
      <c r="G845" s="27"/>
      <c r="H845" s="27"/>
      <c r="J845" s="27"/>
      <c r="L845" s="27"/>
      <c r="M845" s="27"/>
      <c r="N845" s="27"/>
      <c r="O845" s="27"/>
    </row>
    <row r="846">
      <c r="F846" s="27"/>
      <c r="G846" s="27"/>
      <c r="H846" s="27"/>
      <c r="J846" s="27"/>
      <c r="L846" s="27"/>
      <c r="M846" s="27"/>
      <c r="N846" s="27"/>
      <c r="O846" s="27"/>
    </row>
    <row r="847">
      <c r="F847" s="27"/>
      <c r="G847" s="27"/>
      <c r="H847" s="27"/>
      <c r="J847" s="27"/>
      <c r="L847" s="27"/>
      <c r="M847" s="27"/>
      <c r="N847" s="27"/>
      <c r="O847" s="27"/>
    </row>
    <row r="848">
      <c r="F848" s="27"/>
      <c r="G848" s="27"/>
      <c r="H848" s="27"/>
      <c r="J848" s="27"/>
      <c r="L848" s="27"/>
      <c r="M848" s="27"/>
      <c r="N848" s="27"/>
      <c r="O848" s="27"/>
    </row>
    <row r="849">
      <c r="F849" s="27"/>
      <c r="G849" s="27"/>
      <c r="H849" s="27"/>
      <c r="J849" s="27"/>
      <c r="L849" s="27"/>
      <c r="M849" s="27"/>
      <c r="N849" s="27"/>
      <c r="O849" s="27"/>
    </row>
    <row r="850">
      <c r="F850" s="27"/>
      <c r="G850" s="27"/>
      <c r="H850" s="27"/>
      <c r="J850" s="27"/>
      <c r="L850" s="27"/>
      <c r="M850" s="27"/>
      <c r="N850" s="27"/>
      <c r="O850" s="27"/>
    </row>
    <row r="851">
      <c r="F851" s="27"/>
      <c r="G851" s="27"/>
      <c r="H851" s="27"/>
      <c r="J851" s="27"/>
      <c r="L851" s="27"/>
      <c r="M851" s="27"/>
      <c r="N851" s="27"/>
      <c r="O851" s="27"/>
    </row>
    <row r="852">
      <c r="F852" s="27"/>
      <c r="G852" s="27"/>
      <c r="H852" s="27"/>
      <c r="J852" s="27"/>
      <c r="L852" s="27"/>
      <c r="M852" s="27"/>
      <c r="N852" s="27"/>
      <c r="O852" s="27"/>
    </row>
    <row r="853">
      <c r="F853" s="27"/>
      <c r="G853" s="27"/>
      <c r="H853" s="27"/>
      <c r="J853" s="27"/>
      <c r="L853" s="27"/>
      <c r="M853" s="27"/>
      <c r="N853" s="27"/>
      <c r="O853" s="27"/>
    </row>
    <row r="854">
      <c r="F854" s="27"/>
      <c r="G854" s="27"/>
      <c r="H854" s="27"/>
      <c r="J854" s="27"/>
      <c r="L854" s="27"/>
      <c r="M854" s="27"/>
      <c r="N854" s="27"/>
      <c r="O854" s="27"/>
    </row>
    <row r="855">
      <c r="F855" s="27"/>
      <c r="G855" s="27"/>
      <c r="H855" s="27"/>
      <c r="J855" s="27"/>
      <c r="L855" s="27"/>
      <c r="M855" s="27"/>
      <c r="N855" s="27"/>
      <c r="O855" s="27"/>
    </row>
    <row r="856">
      <c r="F856" s="27"/>
      <c r="G856" s="27"/>
      <c r="H856" s="27"/>
      <c r="J856" s="27"/>
      <c r="L856" s="27"/>
      <c r="M856" s="27"/>
      <c r="N856" s="27"/>
      <c r="O856" s="27"/>
    </row>
    <row r="857">
      <c r="F857" s="27"/>
      <c r="G857" s="27"/>
      <c r="H857" s="27"/>
      <c r="J857" s="27"/>
      <c r="L857" s="27"/>
      <c r="M857" s="27"/>
      <c r="N857" s="27"/>
      <c r="O857" s="27"/>
    </row>
    <row r="858">
      <c r="F858" s="27"/>
      <c r="G858" s="27"/>
      <c r="H858" s="27"/>
      <c r="J858" s="27"/>
      <c r="L858" s="27"/>
      <c r="M858" s="27"/>
      <c r="N858" s="27"/>
      <c r="O858" s="27"/>
    </row>
    <row r="859">
      <c r="F859" s="27"/>
      <c r="G859" s="27"/>
      <c r="H859" s="27"/>
      <c r="J859" s="27"/>
      <c r="L859" s="27"/>
      <c r="M859" s="27"/>
      <c r="N859" s="27"/>
      <c r="O859" s="27"/>
    </row>
    <row r="860">
      <c r="F860" s="27"/>
      <c r="G860" s="27"/>
      <c r="H860" s="27"/>
      <c r="J860" s="27"/>
      <c r="L860" s="27"/>
      <c r="M860" s="27"/>
      <c r="N860" s="27"/>
      <c r="O860" s="27"/>
    </row>
    <row r="861">
      <c r="F861" s="27"/>
      <c r="G861" s="27"/>
      <c r="H861" s="27"/>
      <c r="J861" s="27"/>
      <c r="L861" s="27"/>
      <c r="M861" s="27"/>
      <c r="N861" s="27"/>
      <c r="O861" s="27"/>
    </row>
    <row r="862">
      <c r="F862" s="27"/>
      <c r="G862" s="27"/>
      <c r="H862" s="27"/>
      <c r="J862" s="27"/>
      <c r="L862" s="27"/>
      <c r="M862" s="27"/>
      <c r="N862" s="27"/>
      <c r="O862" s="27"/>
    </row>
    <row r="863">
      <c r="F863" s="27"/>
      <c r="G863" s="27"/>
      <c r="H863" s="27"/>
      <c r="J863" s="27"/>
      <c r="L863" s="27"/>
      <c r="M863" s="27"/>
      <c r="N863" s="27"/>
      <c r="O863" s="27"/>
    </row>
    <row r="864">
      <c r="F864" s="27"/>
      <c r="G864" s="27"/>
      <c r="H864" s="27"/>
      <c r="J864" s="27"/>
      <c r="L864" s="27"/>
      <c r="M864" s="27"/>
      <c r="N864" s="27"/>
      <c r="O864" s="27"/>
    </row>
    <row r="865">
      <c r="F865" s="27"/>
      <c r="G865" s="27"/>
      <c r="H865" s="27"/>
      <c r="J865" s="27"/>
      <c r="L865" s="27"/>
      <c r="M865" s="27"/>
      <c r="N865" s="27"/>
      <c r="O865" s="27"/>
    </row>
    <row r="866">
      <c r="F866" s="27"/>
      <c r="G866" s="27"/>
      <c r="H866" s="27"/>
      <c r="J866" s="27"/>
      <c r="L866" s="27"/>
      <c r="M866" s="27"/>
      <c r="N866" s="27"/>
      <c r="O866" s="27"/>
    </row>
    <row r="867">
      <c r="F867" s="27"/>
      <c r="G867" s="27"/>
      <c r="H867" s="27"/>
      <c r="J867" s="27"/>
      <c r="L867" s="27"/>
      <c r="M867" s="27"/>
      <c r="N867" s="27"/>
      <c r="O867" s="27"/>
    </row>
    <row r="868">
      <c r="F868" s="27"/>
      <c r="G868" s="27"/>
      <c r="H868" s="27"/>
      <c r="J868" s="27"/>
      <c r="L868" s="27"/>
      <c r="M868" s="27"/>
      <c r="N868" s="27"/>
      <c r="O868" s="27"/>
    </row>
    <row r="869">
      <c r="F869" s="27"/>
      <c r="G869" s="27"/>
      <c r="H869" s="27"/>
      <c r="J869" s="27"/>
      <c r="L869" s="27"/>
      <c r="M869" s="27"/>
      <c r="N869" s="27"/>
      <c r="O869" s="27"/>
    </row>
    <row r="870">
      <c r="F870" s="27"/>
      <c r="G870" s="27"/>
      <c r="H870" s="27"/>
      <c r="J870" s="27"/>
      <c r="L870" s="27"/>
      <c r="M870" s="27"/>
      <c r="N870" s="27"/>
      <c r="O870" s="27"/>
    </row>
    <row r="871">
      <c r="F871" s="27"/>
      <c r="G871" s="27"/>
      <c r="H871" s="27"/>
      <c r="J871" s="27"/>
      <c r="L871" s="27"/>
      <c r="M871" s="27"/>
      <c r="N871" s="27"/>
      <c r="O871" s="27"/>
    </row>
    <row r="872">
      <c r="F872" s="27"/>
      <c r="G872" s="27"/>
      <c r="H872" s="27"/>
      <c r="J872" s="27"/>
      <c r="L872" s="27"/>
      <c r="M872" s="27"/>
      <c r="N872" s="27"/>
      <c r="O872" s="27"/>
    </row>
    <row r="873">
      <c r="F873" s="27"/>
      <c r="G873" s="27"/>
      <c r="H873" s="27"/>
      <c r="J873" s="27"/>
      <c r="L873" s="27"/>
      <c r="M873" s="27"/>
      <c r="N873" s="27"/>
      <c r="O873" s="27"/>
    </row>
    <row r="874">
      <c r="F874" s="27"/>
      <c r="G874" s="27"/>
      <c r="H874" s="27"/>
      <c r="J874" s="27"/>
      <c r="L874" s="27"/>
      <c r="M874" s="27"/>
      <c r="N874" s="27"/>
      <c r="O874" s="27"/>
    </row>
    <row r="875">
      <c r="F875" s="27"/>
      <c r="G875" s="27"/>
      <c r="H875" s="27"/>
      <c r="J875" s="27"/>
      <c r="L875" s="27"/>
      <c r="M875" s="27"/>
      <c r="N875" s="27"/>
      <c r="O875" s="27"/>
    </row>
    <row r="876">
      <c r="F876" s="27"/>
      <c r="G876" s="27"/>
      <c r="H876" s="27"/>
      <c r="J876" s="27"/>
      <c r="L876" s="27"/>
      <c r="M876" s="27"/>
      <c r="N876" s="27"/>
      <c r="O876" s="27"/>
    </row>
    <row r="877">
      <c r="F877" s="27"/>
      <c r="G877" s="27"/>
      <c r="H877" s="27"/>
      <c r="J877" s="27"/>
      <c r="L877" s="27"/>
      <c r="M877" s="27"/>
      <c r="N877" s="27"/>
      <c r="O877" s="27"/>
    </row>
    <row r="878">
      <c r="F878" s="27"/>
      <c r="G878" s="27"/>
      <c r="H878" s="27"/>
      <c r="J878" s="27"/>
      <c r="L878" s="27"/>
      <c r="M878" s="27"/>
      <c r="N878" s="27"/>
      <c r="O878" s="27"/>
    </row>
    <row r="879">
      <c r="F879" s="27"/>
      <c r="G879" s="27"/>
      <c r="H879" s="27"/>
      <c r="J879" s="27"/>
      <c r="L879" s="27"/>
      <c r="M879" s="27"/>
      <c r="N879" s="27"/>
      <c r="O879" s="27"/>
    </row>
    <row r="880">
      <c r="F880" s="27"/>
      <c r="G880" s="27"/>
      <c r="H880" s="27"/>
      <c r="J880" s="27"/>
      <c r="L880" s="27"/>
      <c r="M880" s="27"/>
      <c r="N880" s="27"/>
      <c r="O880" s="27"/>
    </row>
    <row r="881">
      <c r="F881" s="27"/>
      <c r="G881" s="27"/>
      <c r="H881" s="27"/>
      <c r="J881" s="27"/>
      <c r="L881" s="27"/>
      <c r="M881" s="27"/>
      <c r="N881" s="27"/>
      <c r="O881" s="27"/>
    </row>
    <row r="882">
      <c r="F882" s="27"/>
      <c r="G882" s="27"/>
      <c r="H882" s="27"/>
      <c r="J882" s="27"/>
      <c r="L882" s="27"/>
      <c r="M882" s="27"/>
      <c r="N882" s="27"/>
      <c r="O882" s="27"/>
    </row>
    <row r="883">
      <c r="F883" s="27"/>
      <c r="G883" s="27"/>
      <c r="H883" s="27"/>
      <c r="J883" s="27"/>
      <c r="L883" s="27"/>
      <c r="M883" s="27"/>
      <c r="N883" s="27"/>
      <c r="O883" s="27"/>
    </row>
    <row r="884">
      <c r="F884" s="27"/>
      <c r="G884" s="27"/>
      <c r="H884" s="27"/>
      <c r="J884" s="27"/>
      <c r="L884" s="27"/>
      <c r="M884" s="27"/>
      <c r="N884" s="27"/>
      <c r="O884" s="27"/>
    </row>
    <row r="885">
      <c r="F885" s="27"/>
      <c r="G885" s="27"/>
      <c r="H885" s="27"/>
      <c r="J885" s="27"/>
      <c r="L885" s="27"/>
      <c r="M885" s="27"/>
      <c r="N885" s="27"/>
      <c r="O885" s="27"/>
    </row>
    <row r="886">
      <c r="F886" s="27"/>
      <c r="G886" s="27"/>
      <c r="H886" s="27"/>
      <c r="J886" s="27"/>
      <c r="L886" s="27"/>
      <c r="M886" s="27"/>
      <c r="N886" s="27"/>
      <c r="O886" s="27"/>
    </row>
    <row r="887">
      <c r="F887" s="27"/>
      <c r="G887" s="27"/>
      <c r="H887" s="27"/>
      <c r="J887" s="27"/>
      <c r="L887" s="27"/>
      <c r="M887" s="27"/>
      <c r="N887" s="27"/>
      <c r="O887" s="27"/>
    </row>
    <row r="888">
      <c r="F888" s="27"/>
      <c r="G888" s="27"/>
      <c r="H888" s="27"/>
      <c r="J888" s="27"/>
      <c r="L888" s="27"/>
      <c r="M888" s="27"/>
      <c r="N888" s="27"/>
      <c r="O888" s="27"/>
    </row>
    <row r="889">
      <c r="F889" s="27"/>
      <c r="G889" s="27"/>
      <c r="H889" s="27"/>
      <c r="J889" s="27"/>
      <c r="L889" s="27"/>
      <c r="M889" s="27"/>
      <c r="N889" s="27"/>
      <c r="O889" s="27"/>
    </row>
    <row r="890">
      <c r="F890" s="27"/>
      <c r="G890" s="27"/>
      <c r="H890" s="27"/>
      <c r="J890" s="27"/>
      <c r="L890" s="27"/>
      <c r="M890" s="27"/>
      <c r="N890" s="27"/>
      <c r="O890" s="27"/>
    </row>
    <row r="891">
      <c r="F891" s="27"/>
      <c r="G891" s="27"/>
      <c r="H891" s="27"/>
      <c r="J891" s="27"/>
      <c r="L891" s="27"/>
      <c r="M891" s="27"/>
      <c r="N891" s="27"/>
      <c r="O891" s="27"/>
    </row>
    <row r="892">
      <c r="F892" s="27"/>
      <c r="G892" s="27"/>
      <c r="H892" s="27"/>
      <c r="J892" s="27"/>
      <c r="L892" s="27"/>
      <c r="M892" s="27"/>
      <c r="N892" s="27"/>
      <c r="O892" s="27"/>
    </row>
    <row r="893">
      <c r="F893" s="27"/>
      <c r="G893" s="27"/>
      <c r="H893" s="27"/>
      <c r="J893" s="27"/>
      <c r="L893" s="27"/>
      <c r="M893" s="27"/>
      <c r="N893" s="27"/>
      <c r="O893" s="27"/>
    </row>
    <row r="894">
      <c r="F894" s="27"/>
      <c r="G894" s="27"/>
      <c r="H894" s="27"/>
      <c r="J894" s="27"/>
      <c r="L894" s="27"/>
      <c r="M894" s="27"/>
      <c r="N894" s="27"/>
      <c r="O894" s="27"/>
    </row>
    <row r="895">
      <c r="F895" s="27"/>
      <c r="G895" s="27"/>
      <c r="H895" s="27"/>
      <c r="J895" s="27"/>
      <c r="L895" s="27"/>
      <c r="M895" s="27"/>
      <c r="N895" s="27"/>
      <c r="O895" s="27"/>
    </row>
    <row r="896">
      <c r="F896" s="27"/>
      <c r="G896" s="27"/>
      <c r="H896" s="27"/>
      <c r="J896" s="27"/>
      <c r="L896" s="27"/>
      <c r="M896" s="27"/>
      <c r="N896" s="27"/>
      <c r="O896" s="27"/>
    </row>
    <row r="897">
      <c r="F897" s="27"/>
      <c r="G897" s="27"/>
      <c r="H897" s="27"/>
      <c r="J897" s="27"/>
      <c r="L897" s="27"/>
      <c r="M897" s="27"/>
      <c r="N897" s="27"/>
      <c r="O897" s="27"/>
    </row>
    <row r="898">
      <c r="F898" s="27"/>
      <c r="G898" s="27"/>
      <c r="H898" s="27"/>
      <c r="J898" s="27"/>
      <c r="L898" s="27"/>
      <c r="M898" s="27"/>
      <c r="N898" s="27"/>
      <c r="O898" s="27"/>
    </row>
    <row r="899">
      <c r="F899" s="27"/>
      <c r="G899" s="27"/>
      <c r="H899" s="27"/>
      <c r="J899" s="27"/>
      <c r="L899" s="27"/>
      <c r="M899" s="27"/>
      <c r="N899" s="27"/>
      <c r="O899" s="27"/>
    </row>
    <row r="900">
      <c r="F900" s="27"/>
      <c r="G900" s="27"/>
      <c r="H900" s="27"/>
      <c r="J900" s="27"/>
      <c r="L900" s="27"/>
      <c r="M900" s="27"/>
      <c r="N900" s="27"/>
      <c r="O900" s="27"/>
    </row>
    <row r="901">
      <c r="F901" s="27"/>
      <c r="G901" s="27"/>
      <c r="H901" s="27"/>
      <c r="J901" s="27"/>
      <c r="L901" s="27"/>
      <c r="M901" s="27"/>
      <c r="N901" s="27"/>
      <c r="O901" s="27"/>
    </row>
    <row r="902">
      <c r="F902" s="27"/>
      <c r="G902" s="27"/>
      <c r="H902" s="27"/>
      <c r="J902" s="27"/>
      <c r="L902" s="27"/>
      <c r="M902" s="27"/>
      <c r="N902" s="27"/>
      <c r="O902" s="27"/>
    </row>
    <row r="903">
      <c r="F903" s="27"/>
      <c r="G903" s="27"/>
      <c r="H903" s="27"/>
      <c r="J903" s="27"/>
      <c r="L903" s="27"/>
      <c r="M903" s="27"/>
      <c r="N903" s="27"/>
      <c r="O903" s="27"/>
    </row>
    <row r="904">
      <c r="F904" s="27"/>
      <c r="G904" s="27"/>
      <c r="H904" s="27"/>
      <c r="J904" s="27"/>
      <c r="L904" s="27"/>
      <c r="M904" s="27"/>
      <c r="N904" s="27"/>
      <c r="O904" s="27"/>
    </row>
    <row r="905">
      <c r="F905" s="27"/>
      <c r="G905" s="27"/>
      <c r="H905" s="27"/>
      <c r="J905" s="27"/>
      <c r="L905" s="27"/>
      <c r="M905" s="27"/>
      <c r="N905" s="27"/>
      <c r="O905" s="27"/>
    </row>
    <row r="906">
      <c r="F906" s="27"/>
      <c r="G906" s="27"/>
      <c r="H906" s="27"/>
      <c r="J906" s="27"/>
      <c r="L906" s="27"/>
      <c r="M906" s="27"/>
      <c r="N906" s="27"/>
      <c r="O906" s="27"/>
    </row>
    <row r="907">
      <c r="F907" s="27"/>
      <c r="G907" s="27"/>
      <c r="H907" s="27"/>
      <c r="J907" s="27"/>
      <c r="L907" s="27"/>
      <c r="M907" s="27"/>
      <c r="N907" s="27"/>
      <c r="O907" s="27"/>
    </row>
    <row r="908">
      <c r="F908" s="27"/>
      <c r="G908" s="27"/>
      <c r="H908" s="27"/>
      <c r="J908" s="27"/>
      <c r="L908" s="27"/>
      <c r="M908" s="27"/>
      <c r="N908" s="27"/>
      <c r="O908" s="27"/>
    </row>
    <row r="909">
      <c r="F909" s="27"/>
      <c r="G909" s="27"/>
      <c r="H909" s="27"/>
      <c r="J909" s="27"/>
      <c r="L909" s="27"/>
      <c r="M909" s="27"/>
      <c r="N909" s="27"/>
      <c r="O909" s="27"/>
    </row>
    <row r="910">
      <c r="F910" s="27"/>
      <c r="G910" s="27"/>
      <c r="H910" s="27"/>
      <c r="J910" s="27"/>
      <c r="L910" s="27"/>
      <c r="M910" s="27"/>
      <c r="N910" s="27"/>
      <c r="O910" s="27"/>
    </row>
    <row r="911">
      <c r="F911" s="27"/>
      <c r="G911" s="27"/>
      <c r="H911" s="27"/>
      <c r="J911" s="27"/>
      <c r="L911" s="27"/>
      <c r="M911" s="27"/>
      <c r="N911" s="27"/>
      <c r="O911" s="27"/>
    </row>
    <row r="912">
      <c r="F912" s="27"/>
      <c r="G912" s="27"/>
      <c r="H912" s="27"/>
      <c r="J912" s="27"/>
      <c r="L912" s="27"/>
      <c r="M912" s="27"/>
      <c r="N912" s="27"/>
      <c r="O912" s="27"/>
    </row>
    <row r="913">
      <c r="F913" s="27"/>
      <c r="G913" s="27"/>
      <c r="H913" s="27"/>
      <c r="J913" s="27"/>
      <c r="L913" s="27"/>
      <c r="M913" s="27"/>
      <c r="N913" s="27"/>
      <c r="O913" s="27"/>
    </row>
    <row r="914">
      <c r="F914" s="27"/>
      <c r="G914" s="27"/>
      <c r="H914" s="27"/>
      <c r="J914" s="27"/>
      <c r="L914" s="27"/>
      <c r="M914" s="27"/>
      <c r="N914" s="27"/>
      <c r="O914" s="27"/>
    </row>
    <row r="915">
      <c r="F915" s="27"/>
      <c r="G915" s="27"/>
      <c r="H915" s="27"/>
      <c r="J915" s="27"/>
      <c r="L915" s="27"/>
      <c r="M915" s="27"/>
      <c r="N915" s="27"/>
      <c r="O915" s="27"/>
    </row>
    <row r="916">
      <c r="F916" s="27"/>
      <c r="G916" s="27"/>
      <c r="H916" s="27"/>
      <c r="J916" s="27"/>
      <c r="L916" s="27"/>
      <c r="M916" s="27"/>
      <c r="N916" s="27"/>
      <c r="O916" s="27"/>
    </row>
    <row r="917">
      <c r="F917" s="27"/>
      <c r="G917" s="27"/>
      <c r="H917" s="27"/>
      <c r="J917" s="27"/>
      <c r="L917" s="27"/>
      <c r="M917" s="27"/>
      <c r="N917" s="27"/>
      <c r="O917" s="27"/>
    </row>
    <row r="918">
      <c r="F918" s="27"/>
      <c r="G918" s="27"/>
      <c r="H918" s="27"/>
      <c r="J918" s="27"/>
      <c r="L918" s="27"/>
      <c r="M918" s="27"/>
      <c r="N918" s="27"/>
      <c r="O918" s="27"/>
    </row>
    <row r="919">
      <c r="F919" s="27"/>
      <c r="G919" s="27"/>
      <c r="H919" s="27"/>
      <c r="J919" s="27"/>
      <c r="L919" s="27"/>
      <c r="M919" s="27"/>
      <c r="N919" s="27"/>
      <c r="O919" s="27"/>
    </row>
    <row r="920">
      <c r="F920" s="27"/>
      <c r="G920" s="27"/>
      <c r="H920" s="27"/>
      <c r="J920" s="27"/>
      <c r="L920" s="27"/>
      <c r="M920" s="27"/>
      <c r="N920" s="27"/>
      <c r="O920" s="27"/>
    </row>
    <row r="921">
      <c r="F921" s="27"/>
      <c r="G921" s="27"/>
      <c r="H921" s="27"/>
      <c r="J921" s="27"/>
      <c r="L921" s="27"/>
      <c r="M921" s="27"/>
      <c r="N921" s="27"/>
      <c r="O921" s="27"/>
    </row>
    <row r="922">
      <c r="F922" s="27"/>
      <c r="G922" s="27"/>
      <c r="H922" s="27"/>
      <c r="J922" s="27"/>
      <c r="L922" s="27"/>
      <c r="M922" s="27"/>
      <c r="N922" s="27"/>
      <c r="O922" s="27"/>
    </row>
    <row r="923">
      <c r="F923" s="27"/>
      <c r="G923" s="27"/>
      <c r="H923" s="27"/>
      <c r="J923" s="27"/>
      <c r="L923" s="27"/>
      <c r="M923" s="27"/>
      <c r="N923" s="27"/>
      <c r="O923" s="27"/>
    </row>
    <row r="924">
      <c r="F924" s="27"/>
      <c r="G924" s="27"/>
      <c r="H924" s="27"/>
      <c r="J924" s="27"/>
      <c r="L924" s="27"/>
      <c r="M924" s="27"/>
      <c r="N924" s="27"/>
      <c r="O924" s="27"/>
    </row>
    <row r="925">
      <c r="F925" s="27"/>
      <c r="G925" s="27"/>
      <c r="H925" s="27"/>
      <c r="J925" s="27"/>
      <c r="L925" s="27"/>
      <c r="M925" s="27"/>
      <c r="N925" s="27"/>
      <c r="O925" s="27"/>
    </row>
    <row r="926">
      <c r="F926" s="27"/>
      <c r="G926" s="27"/>
      <c r="H926" s="27"/>
      <c r="J926" s="27"/>
      <c r="L926" s="27"/>
      <c r="M926" s="27"/>
      <c r="N926" s="27"/>
      <c r="O926" s="27"/>
    </row>
    <row r="927">
      <c r="F927" s="27"/>
      <c r="G927" s="27"/>
      <c r="H927" s="27"/>
      <c r="J927" s="27"/>
      <c r="L927" s="27"/>
      <c r="M927" s="27"/>
      <c r="N927" s="27"/>
      <c r="O927" s="27"/>
    </row>
    <row r="928">
      <c r="F928" s="27"/>
      <c r="G928" s="27"/>
      <c r="H928" s="27"/>
      <c r="J928" s="27"/>
      <c r="L928" s="27"/>
      <c r="M928" s="27"/>
      <c r="N928" s="27"/>
      <c r="O928" s="27"/>
    </row>
    <row r="929">
      <c r="F929" s="27"/>
      <c r="G929" s="27"/>
      <c r="H929" s="27"/>
      <c r="J929" s="27"/>
      <c r="L929" s="27"/>
      <c r="M929" s="27"/>
      <c r="N929" s="27"/>
      <c r="O929" s="27"/>
    </row>
    <row r="930">
      <c r="F930" s="27"/>
      <c r="G930" s="27"/>
      <c r="H930" s="27"/>
      <c r="J930" s="27"/>
      <c r="L930" s="27"/>
      <c r="M930" s="27"/>
      <c r="N930" s="27"/>
      <c r="O930" s="27"/>
    </row>
    <row r="931">
      <c r="F931" s="27"/>
      <c r="G931" s="27"/>
      <c r="H931" s="27"/>
      <c r="J931" s="27"/>
      <c r="L931" s="27"/>
      <c r="M931" s="27"/>
      <c r="N931" s="27"/>
      <c r="O931" s="27"/>
    </row>
    <row r="932">
      <c r="F932" s="27"/>
      <c r="G932" s="27"/>
      <c r="H932" s="27"/>
      <c r="J932" s="27"/>
      <c r="L932" s="27"/>
      <c r="M932" s="27"/>
      <c r="N932" s="27"/>
      <c r="O932" s="27"/>
    </row>
    <row r="933">
      <c r="F933" s="27"/>
      <c r="G933" s="27"/>
      <c r="H933" s="27"/>
      <c r="J933" s="27"/>
      <c r="L933" s="27"/>
      <c r="M933" s="27"/>
      <c r="N933" s="27"/>
      <c r="O933" s="27"/>
    </row>
    <row r="934">
      <c r="F934" s="27"/>
      <c r="G934" s="27"/>
      <c r="H934" s="27"/>
      <c r="J934" s="27"/>
      <c r="L934" s="27"/>
      <c r="M934" s="27"/>
      <c r="N934" s="27"/>
      <c r="O934" s="27"/>
    </row>
    <row r="935">
      <c r="F935" s="27"/>
      <c r="G935" s="27"/>
      <c r="H935" s="27"/>
      <c r="J935" s="27"/>
      <c r="L935" s="27"/>
      <c r="M935" s="27"/>
      <c r="N935" s="27"/>
      <c r="O935" s="27"/>
    </row>
    <row r="936">
      <c r="F936" s="27"/>
      <c r="G936" s="27"/>
      <c r="H936" s="27"/>
      <c r="J936" s="27"/>
      <c r="L936" s="27"/>
      <c r="M936" s="27"/>
      <c r="N936" s="27"/>
      <c r="O936" s="27"/>
    </row>
    <row r="937">
      <c r="F937" s="27"/>
      <c r="G937" s="27"/>
      <c r="H937" s="27"/>
      <c r="J937" s="27"/>
      <c r="L937" s="27"/>
      <c r="M937" s="27"/>
      <c r="N937" s="27"/>
      <c r="O937" s="27"/>
    </row>
    <row r="938">
      <c r="F938" s="27"/>
      <c r="G938" s="27"/>
      <c r="H938" s="27"/>
      <c r="J938" s="27"/>
      <c r="L938" s="27"/>
      <c r="M938" s="27"/>
      <c r="N938" s="27"/>
      <c r="O938" s="27"/>
    </row>
    <row r="939">
      <c r="F939" s="27"/>
      <c r="G939" s="27"/>
      <c r="H939" s="27"/>
      <c r="J939" s="27"/>
      <c r="L939" s="27"/>
      <c r="M939" s="27"/>
      <c r="N939" s="27"/>
      <c r="O939" s="27"/>
    </row>
    <row r="940">
      <c r="F940" s="27"/>
      <c r="G940" s="27"/>
      <c r="H940" s="27"/>
      <c r="J940" s="27"/>
      <c r="L940" s="27"/>
      <c r="M940" s="27"/>
      <c r="N940" s="27"/>
      <c r="O940" s="27"/>
    </row>
    <row r="941">
      <c r="F941" s="27"/>
      <c r="G941" s="27"/>
      <c r="H941" s="27"/>
      <c r="J941" s="27"/>
      <c r="L941" s="27"/>
      <c r="M941" s="27"/>
      <c r="N941" s="27"/>
      <c r="O941" s="27"/>
    </row>
    <row r="942">
      <c r="F942" s="27"/>
      <c r="G942" s="27"/>
      <c r="H942" s="27"/>
      <c r="J942" s="27"/>
      <c r="L942" s="27"/>
      <c r="M942" s="27"/>
      <c r="N942" s="27"/>
      <c r="O942" s="27"/>
    </row>
    <row r="943">
      <c r="F943" s="27"/>
      <c r="G943" s="27"/>
      <c r="H943" s="27"/>
      <c r="J943" s="27"/>
      <c r="L943" s="27"/>
      <c r="M943" s="27"/>
      <c r="N943" s="27"/>
      <c r="O943" s="27"/>
    </row>
    <row r="944">
      <c r="F944" s="27"/>
      <c r="G944" s="27"/>
      <c r="H944" s="27"/>
      <c r="J944" s="27"/>
      <c r="L944" s="27"/>
      <c r="M944" s="27"/>
      <c r="N944" s="27"/>
      <c r="O944" s="27"/>
    </row>
    <row r="945">
      <c r="F945" s="27"/>
      <c r="G945" s="27"/>
      <c r="H945" s="27"/>
      <c r="J945" s="27"/>
      <c r="L945" s="27"/>
      <c r="M945" s="27"/>
      <c r="N945" s="27"/>
      <c r="O945" s="27"/>
    </row>
    <row r="946">
      <c r="F946" s="27"/>
      <c r="G946" s="27"/>
      <c r="H946" s="27"/>
      <c r="J946" s="27"/>
      <c r="L946" s="27"/>
      <c r="M946" s="27"/>
      <c r="N946" s="27"/>
      <c r="O946" s="27"/>
    </row>
    <row r="947">
      <c r="F947" s="27"/>
      <c r="G947" s="27"/>
      <c r="H947" s="27"/>
      <c r="J947" s="27"/>
      <c r="L947" s="27"/>
      <c r="M947" s="27"/>
      <c r="N947" s="27"/>
      <c r="O947" s="27"/>
    </row>
    <row r="948">
      <c r="F948" s="27"/>
      <c r="G948" s="27"/>
      <c r="H948" s="27"/>
      <c r="J948" s="27"/>
      <c r="L948" s="27"/>
      <c r="M948" s="27"/>
      <c r="N948" s="27"/>
      <c r="O948" s="27"/>
    </row>
    <row r="949">
      <c r="F949" s="27"/>
      <c r="G949" s="27"/>
      <c r="H949" s="27"/>
      <c r="J949" s="27"/>
      <c r="L949" s="27"/>
      <c r="M949" s="27"/>
      <c r="N949" s="27"/>
      <c r="O949" s="27"/>
    </row>
    <row r="950">
      <c r="F950" s="27"/>
      <c r="G950" s="27"/>
      <c r="H950" s="27"/>
      <c r="J950" s="27"/>
      <c r="L950" s="27"/>
      <c r="M950" s="27"/>
      <c r="N950" s="27"/>
      <c r="O950" s="27"/>
    </row>
    <row r="951">
      <c r="F951" s="27"/>
      <c r="G951" s="27"/>
      <c r="H951" s="27"/>
      <c r="J951" s="27"/>
      <c r="L951" s="27"/>
      <c r="M951" s="27"/>
      <c r="N951" s="27"/>
      <c r="O951" s="27"/>
    </row>
    <row r="952">
      <c r="F952" s="27"/>
      <c r="G952" s="27"/>
      <c r="H952" s="27"/>
      <c r="J952" s="27"/>
      <c r="L952" s="27"/>
      <c r="M952" s="27"/>
      <c r="N952" s="27"/>
      <c r="O952" s="27"/>
    </row>
    <row r="953">
      <c r="F953" s="27"/>
      <c r="G953" s="27"/>
      <c r="H953" s="27"/>
      <c r="J953" s="27"/>
      <c r="L953" s="27"/>
      <c r="M953" s="27"/>
      <c r="N953" s="27"/>
      <c r="O953" s="27"/>
    </row>
    <row r="954">
      <c r="F954" s="27"/>
      <c r="G954" s="27"/>
      <c r="H954" s="27"/>
      <c r="J954" s="27"/>
      <c r="L954" s="27"/>
      <c r="M954" s="27"/>
      <c r="N954" s="27"/>
      <c r="O954" s="27"/>
    </row>
    <row r="955">
      <c r="F955" s="27"/>
      <c r="G955" s="27"/>
      <c r="H955" s="27"/>
      <c r="J955" s="27"/>
      <c r="L955" s="27"/>
      <c r="M955" s="27"/>
      <c r="N955" s="27"/>
      <c r="O955" s="27"/>
    </row>
    <row r="956">
      <c r="F956" s="27"/>
      <c r="G956" s="27"/>
      <c r="H956" s="27"/>
      <c r="J956" s="27"/>
      <c r="L956" s="27"/>
      <c r="M956" s="27"/>
      <c r="N956" s="27"/>
      <c r="O956" s="27"/>
    </row>
    <row r="957">
      <c r="F957" s="27"/>
      <c r="G957" s="27"/>
      <c r="H957" s="27"/>
      <c r="J957" s="27"/>
      <c r="L957" s="27"/>
      <c r="M957" s="27"/>
      <c r="N957" s="27"/>
      <c r="O957" s="27"/>
    </row>
    <row r="958">
      <c r="F958" s="27"/>
      <c r="G958" s="27"/>
      <c r="H958" s="27"/>
      <c r="J958" s="27"/>
      <c r="L958" s="27"/>
      <c r="M958" s="27"/>
      <c r="N958" s="27"/>
      <c r="O958" s="27"/>
    </row>
    <row r="959">
      <c r="F959" s="27"/>
      <c r="G959" s="27"/>
      <c r="H959" s="27"/>
      <c r="J959" s="27"/>
      <c r="L959" s="27"/>
      <c r="M959" s="27"/>
      <c r="N959" s="27"/>
      <c r="O959" s="27"/>
    </row>
    <row r="960">
      <c r="F960" s="27"/>
      <c r="G960" s="27"/>
      <c r="H960" s="27"/>
      <c r="J960" s="27"/>
      <c r="L960" s="27"/>
      <c r="M960" s="27"/>
      <c r="N960" s="27"/>
      <c r="O960" s="27"/>
    </row>
    <row r="961">
      <c r="F961" s="27"/>
      <c r="G961" s="27"/>
      <c r="H961" s="27"/>
      <c r="J961" s="27"/>
      <c r="L961" s="27"/>
      <c r="M961" s="27"/>
      <c r="N961" s="27"/>
      <c r="O961" s="27"/>
    </row>
    <row r="962">
      <c r="F962" s="27"/>
      <c r="G962" s="27"/>
      <c r="H962" s="27"/>
      <c r="J962" s="27"/>
      <c r="L962" s="27"/>
      <c r="M962" s="27"/>
      <c r="N962" s="27"/>
      <c r="O962" s="27"/>
    </row>
    <row r="963">
      <c r="F963" s="27"/>
      <c r="G963" s="27"/>
      <c r="H963" s="27"/>
      <c r="J963" s="27"/>
      <c r="L963" s="27"/>
      <c r="M963" s="27"/>
      <c r="N963" s="27"/>
      <c r="O963" s="27"/>
    </row>
    <row r="964">
      <c r="F964" s="27"/>
      <c r="G964" s="27"/>
      <c r="H964" s="27"/>
      <c r="J964" s="27"/>
      <c r="L964" s="27"/>
      <c r="M964" s="27"/>
      <c r="N964" s="27"/>
      <c r="O964" s="27"/>
    </row>
    <row r="965">
      <c r="F965" s="27"/>
      <c r="G965" s="27"/>
      <c r="H965" s="27"/>
      <c r="J965" s="27"/>
      <c r="L965" s="27"/>
      <c r="M965" s="27"/>
      <c r="N965" s="27"/>
      <c r="O965" s="27"/>
    </row>
    <row r="966">
      <c r="F966" s="27"/>
      <c r="G966" s="27"/>
      <c r="H966" s="27"/>
      <c r="J966" s="27"/>
      <c r="L966" s="27"/>
      <c r="M966" s="27"/>
      <c r="N966" s="27"/>
      <c r="O966" s="27"/>
    </row>
    <row r="967">
      <c r="F967" s="27"/>
      <c r="G967" s="27"/>
      <c r="H967" s="27"/>
      <c r="J967" s="27"/>
      <c r="L967" s="27"/>
      <c r="M967" s="27"/>
      <c r="N967" s="27"/>
      <c r="O967" s="27"/>
    </row>
    <row r="968">
      <c r="F968" s="27"/>
      <c r="G968" s="27"/>
      <c r="H968" s="27"/>
      <c r="J968" s="27"/>
      <c r="L968" s="27"/>
      <c r="M968" s="27"/>
      <c r="N968" s="27"/>
      <c r="O968" s="27"/>
    </row>
    <row r="969">
      <c r="F969" s="27"/>
      <c r="G969" s="27"/>
      <c r="H969" s="27"/>
      <c r="J969" s="27"/>
      <c r="L969" s="27"/>
      <c r="M969" s="27"/>
      <c r="N969" s="27"/>
      <c r="O969" s="27"/>
    </row>
    <row r="970">
      <c r="F970" s="27"/>
      <c r="G970" s="27"/>
      <c r="H970" s="27"/>
      <c r="J970" s="27"/>
      <c r="L970" s="27"/>
      <c r="M970" s="27"/>
      <c r="N970" s="27"/>
      <c r="O970" s="27"/>
    </row>
    <row r="971">
      <c r="F971" s="27"/>
      <c r="G971" s="27"/>
      <c r="H971" s="27"/>
      <c r="J971" s="27"/>
      <c r="L971" s="27"/>
      <c r="M971" s="27"/>
      <c r="N971" s="27"/>
      <c r="O971" s="27"/>
    </row>
    <row r="972">
      <c r="F972" s="27"/>
      <c r="G972" s="27"/>
      <c r="H972" s="27"/>
      <c r="J972" s="27"/>
      <c r="L972" s="27"/>
      <c r="M972" s="27"/>
      <c r="N972" s="27"/>
      <c r="O972" s="27"/>
    </row>
    <row r="973">
      <c r="F973" s="27"/>
      <c r="G973" s="27"/>
      <c r="H973" s="27"/>
      <c r="J973" s="27"/>
      <c r="L973" s="27"/>
      <c r="M973" s="27"/>
      <c r="N973" s="27"/>
      <c r="O973" s="27"/>
    </row>
    <row r="974">
      <c r="F974" s="27"/>
      <c r="G974" s="27"/>
      <c r="H974" s="27"/>
      <c r="J974" s="27"/>
      <c r="L974" s="27"/>
      <c r="M974" s="27"/>
      <c r="N974" s="27"/>
      <c r="O974" s="27"/>
    </row>
    <row r="975">
      <c r="F975" s="27"/>
      <c r="G975" s="27"/>
      <c r="H975" s="27"/>
      <c r="J975" s="27"/>
      <c r="L975" s="27"/>
      <c r="M975" s="27"/>
      <c r="N975" s="27"/>
      <c r="O975" s="27"/>
    </row>
    <row r="976">
      <c r="F976" s="27"/>
      <c r="G976" s="27"/>
      <c r="H976" s="27"/>
      <c r="J976" s="27"/>
      <c r="L976" s="27"/>
      <c r="M976" s="27"/>
      <c r="N976" s="27"/>
      <c r="O976" s="27"/>
    </row>
    <row r="977">
      <c r="F977" s="27"/>
      <c r="G977" s="27"/>
      <c r="H977" s="27"/>
      <c r="J977" s="27"/>
      <c r="L977" s="27"/>
      <c r="M977" s="27"/>
      <c r="N977" s="27"/>
      <c r="O977" s="27"/>
    </row>
    <row r="978">
      <c r="F978" s="27"/>
      <c r="G978" s="27"/>
      <c r="H978" s="27"/>
      <c r="J978" s="27"/>
      <c r="L978" s="27"/>
      <c r="M978" s="27"/>
      <c r="N978" s="27"/>
      <c r="O978" s="27"/>
    </row>
    <row r="979">
      <c r="F979" s="27"/>
      <c r="G979" s="27"/>
      <c r="H979" s="27"/>
      <c r="J979" s="27"/>
      <c r="L979" s="27"/>
      <c r="M979" s="27"/>
      <c r="N979" s="27"/>
      <c r="O979" s="27"/>
    </row>
    <row r="980">
      <c r="F980" s="27"/>
      <c r="G980" s="27"/>
      <c r="H980" s="27"/>
      <c r="J980" s="27"/>
      <c r="L980" s="27"/>
      <c r="M980" s="27"/>
      <c r="N980" s="27"/>
      <c r="O980" s="27"/>
    </row>
    <row r="981">
      <c r="F981" s="27"/>
      <c r="G981" s="27"/>
      <c r="H981" s="27"/>
      <c r="J981" s="27"/>
      <c r="L981" s="27"/>
      <c r="M981" s="27"/>
      <c r="N981" s="27"/>
      <c r="O981" s="27"/>
    </row>
    <row r="982">
      <c r="F982" s="27"/>
      <c r="G982" s="27"/>
      <c r="H982" s="27"/>
      <c r="J982" s="27"/>
      <c r="L982" s="27"/>
      <c r="M982" s="27"/>
      <c r="N982" s="27"/>
      <c r="O982" s="27"/>
    </row>
    <row r="983">
      <c r="F983" s="27"/>
      <c r="G983" s="27"/>
      <c r="H983" s="27"/>
      <c r="J983" s="27"/>
      <c r="L983" s="27"/>
      <c r="M983" s="27"/>
      <c r="N983" s="27"/>
      <c r="O983" s="27"/>
    </row>
    <row r="984">
      <c r="F984" s="27"/>
      <c r="G984" s="27"/>
      <c r="H984" s="27"/>
      <c r="J984" s="27"/>
      <c r="L984" s="27"/>
      <c r="M984" s="27"/>
      <c r="N984" s="27"/>
      <c r="O984" s="27"/>
    </row>
    <row r="985">
      <c r="F985" s="27"/>
      <c r="G985" s="27"/>
      <c r="H985" s="27"/>
      <c r="J985" s="27"/>
      <c r="L985" s="27"/>
      <c r="M985" s="27"/>
      <c r="N985" s="27"/>
      <c r="O985" s="27"/>
    </row>
    <row r="986">
      <c r="F986" s="27"/>
      <c r="G986" s="27"/>
      <c r="H986" s="27"/>
      <c r="J986" s="27"/>
      <c r="L986" s="27"/>
      <c r="M986" s="27"/>
      <c r="N986" s="27"/>
      <c r="O986" s="27"/>
    </row>
    <row r="987">
      <c r="F987" s="27"/>
      <c r="G987" s="27"/>
      <c r="H987" s="27"/>
      <c r="J987" s="27"/>
      <c r="L987" s="27"/>
      <c r="M987" s="27"/>
      <c r="N987" s="27"/>
      <c r="O987" s="27"/>
    </row>
    <row r="988">
      <c r="F988" s="27"/>
      <c r="G988" s="27"/>
      <c r="H988" s="27"/>
      <c r="J988" s="27"/>
      <c r="L988" s="27"/>
      <c r="M988" s="27"/>
      <c r="N988" s="27"/>
      <c r="O988" s="27"/>
    </row>
    <row r="989">
      <c r="F989" s="27"/>
      <c r="G989" s="27"/>
      <c r="H989" s="27"/>
      <c r="J989" s="27"/>
      <c r="L989" s="27"/>
      <c r="M989" s="27"/>
      <c r="N989" s="27"/>
      <c r="O989" s="27"/>
    </row>
    <row r="990">
      <c r="F990" s="27"/>
      <c r="G990" s="27"/>
      <c r="H990" s="27"/>
      <c r="J990" s="27"/>
      <c r="L990" s="27"/>
      <c r="M990" s="27"/>
      <c r="N990" s="27"/>
      <c r="O990" s="27"/>
    </row>
    <row r="991">
      <c r="F991" s="27"/>
      <c r="G991" s="27"/>
      <c r="H991" s="27"/>
      <c r="J991" s="27"/>
      <c r="L991" s="27"/>
      <c r="M991" s="27"/>
      <c r="N991" s="27"/>
      <c r="O991" s="27"/>
    </row>
    <row r="992">
      <c r="F992" s="27"/>
      <c r="G992" s="27"/>
      <c r="H992" s="27"/>
      <c r="J992" s="27"/>
      <c r="L992" s="27"/>
      <c r="M992" s="27"/>
      <c r="N992" s="27"/>
      <c r="O992" s="27"/>
    </row>
    <row r="993">
      <c r="F993" s="27"/>
      <c r="G993" s="27"/>
      <c r="H993" s="27"/>
      <c r="J993" s="27"/>
      <c r="L993" s="27"/>
      <c r="M993" s="27"/>
      <c r="N993" s="27"/>
      <c r="O993" s="27"/>
    </row>
    <row r="994">
      <c r="F994" s="27"/>
      <c r="G994" s="27"/>
      <c r="H994" s="27"/>
      <c r="J994" s="27"/>
      <c r="L994" s="27"/>
      <c r="M994" s="27"/>
      <c r="N994" s="27"/>
      <c r="O994" s="27"/>
    </row>
    <row r="995">
      <c r="F995" s="27"/>
      <c r="G995" s="27"/>
      <c r="H995" s="27"/>
      <c r="J995" s="27"/>
      <c r="L995" s="27"/>
      <c r="M995" s="27"/>
      <c r="N995" s="27"/>
      <c r="O995" s="27"/>
    </row>
    <row r="996">
      <c r="F996" s="27"/>
      <c r="G996" s="27"/>
      <c r="H996" s="27"/>
      <c r="J996" s="27"/>
      <c r="L996" s="27"/>
      <c r="M996" s="27"/>
      <c r="N996" s="27"/>
      <c r="O996" s="27"/>
    </row>
    <row r="997">
      <c r="F997" s="27"/>
      <c r="G997" s="27"/>
      <c r="H997" s="27"/>
      <c r="J997" s="27"/>
      <c r="L997" s="27"/>
      <c r="M997" s="27"/>
      <c r="N997" s="27"/>
      <c r="O997" s="27"/>
    </row>
    <row r="998">
      <c r="F998" s="27"/>
      <c r="G998" s="27"/>
      <c r="H998" s="27"/>
      <c r="J998" s="27"/>
      <c r="L998" s="27"/>
      <c r="M998" s="27"/>
      <c r="N998" s="27"/>
      <c r="O998" s="27"/>
    </row>
    <row r="999">
      <c r="F999" s="27"/>
      <c r="G999" s="27"/>
      <c r="H999" s="27"/>
      <c r="J999" s="27"/>
      <c r="L999" s="27"/>
      <c r="M999" s="27"/>
      <c r="N999" s="27"/>
      <c r="O999" s="27"/>
    </row>
    <row r="1000">
      <c r="F1000" s="27"/>
      <c r="G1000" s="27"/>
      <c r="H1000" s="27"/>
      <c r="J1000" s="27"/>
      <c r="L1000" s="27"/>
      <c r="M1000" s="27"/>
      <c r="N1000" s="27"/>
      <c r="O1000" s="27"/>
    </row>
    <row r="1001">
      <c r="F1001" s="27"/>
      <c r="G1001" s="27"/>
      <c r="H1001" s="27"/>
      <c r="J1001" s="27"/>
      <c r="L1001" s="27"/>
      <c r="M1001" s="27"/>
      <c r="N1001" s="27"/>
      <c r="O1001" s="27"/>
    </row>
    <row r="1002">
      <c r="F1002" s="27"/>
      <c r="G1002" s="27"/>
      <c r="H1002" s="27"/>
      <c r="J1002" s="27"/>
      <c r="L1002" s="27"/>
      <c r="M1002" s="27"/>
      <c r="N1002" s="27"/>
      <c r="O1002" s="27"/>
    </row>
  </sheetData>
  <conditionalFormatting sqref="D44:E44 K51 D53:M53 K55">
    <cfRule type="cellIs" dxfId="0" priority="1" operator="lessThan">
      <formula>0</formula>
    </cfRule>
  </conditionalFormatting>
  <conditionalFormatting sqref="D53:E53">
    <cfRule type="cellIs" dxfId="0" priority="2" operator="lessThan">
      <formula>0</formula>
    </cfRule>
  </conditionalFormatting>
  <drawing r:id="rId2"/>
  <legacy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20.38"/>
    <col customWidth="1" min="3" max="3" width="9.38"/>
    <col customWidth="1" min="5" max="5" width="14.0"/>
    <col customWidth="1" hidden="1" min="6" max="6" width="14.63"/>
    <col customWidth="1" hidden="1" min="7" max="7" width="12.38"/>
    <col customWidth="1" hidden="1" min="8" max="8" width="13.25"/>
    <col customWidth="1" hidden="1" min="9" max="9" width="16.38"/>
    <col customWidth="1" hidden="1" min="10" max="11" width="12.75"/>
    <col customWidth="1" min="12" max="12" width="14.0"/>
    <col customWidth="1" min="13" max="13" width="14.63"/>
    <col customWidth="1" min="14" max="14" width="14.13"/>
    <col customWidth="1" min="15" max="15" width="20.63"/>
    <col customWidth="1" min="16" max="16" width="23.38"/>
    <col customWidth="1" min="17" max="17" width="11.25"/>
    <col customWidth="1" min="18" max="18" width="9.25"/>
    <col customWidth="1" min="19" max="20" width="9.5"/>
    <col customWidth="1" min="23" max="23" width="9.88"/>
    <col customWidth="1" min="24" max="24" width="8.13"/>
  </cols>
  <sheetData>
    <row r="1">
      <c r="A1" s="18" t="s">
        <v>346</v>
      </c>
      <c r="B1" s="416" t="s">
        <v>296</v>
      </c>
      <c r="D1" s="107" t="s">
        <v>387</v>
      </c>
      <c r="E1" s="107" t="s">
        <v>388</v>
      </c>
      <c r="F1" s="107"/>
      <c r="G1" s="107"/>
      <c r="H1" s="107"/>
      <c r="J1" s="107"/>
      <c r="K1" s="107"/>
      <c r="L1" s="107"/>
      <c r="M1" s="107"/>
      <c r="N1" s="107"/>
      <c r="O1" s="107"/>
      <c r="P1" s="417" t="s">
        <v>325</v>
      </c>
      <c r="Q1" s="107"/>
    </row>
    <row r="2">
      <c r="B2" s="18" t="s">
        <v>240</v>
      </c>
      <c r="C2" s="249">
        <v>13.0</v>
      </c>
      <c r="D2" s="27"/>
      <c r="E2" s="107">
        <v>13.0</v>
      </c>
      <c r="F2" s="27"/>
      <c r="G2" s="26"/>
      <c r="H2" s="26"/>
      <c r="J2" s="26"/>
      <c r="K2" s="107"/>
      <c r="L2" s="26"/>
      <c r="M2" s="26"/>
      <c r="N2" s="26"/>
      <c r="O2" s="26"/>
      <c r="P2" s="422" t="s">
        <v>119</v>
      </c>
      <c r="Q2" s="302" t="s">
        <v>120</v>
      </c>
    </row>
    <row r="3">
      <c r="B3" s="18" t="s">
        <v>241</v>
      </c>
      <c r="C3" s="249">
        <v>70.7</v>
      </c>
      <c r="D3" s="107">
        <v>20.85</v>
      </c>
      <c r="E3" s="489">
        <f t="shared" ref="E3:E5" si="1">D3*3.452</f>
        <v>71.9742</v>
      </c>
      <c r="F3" s="107"/>
      <c r="G3" s="107"/>
      <c r="H3" s="107"/>
      <c r="J3" s="107"/>
      <c r="K3" s="107"/>
      <c r="L3" s="107"/>
      <c r="M3" s="107"/>
      <c r="N3" s="107"/>
      <c r="O3" s="107"/>
      <c r="P3" s="423" t="s">
        <v>326</v>
      </c>
      <c r="Q3" s="7" t="s">
        <v>327</v>
      </c>
    </row>
    <row r="4">
      <c r="B4" s="18" t="s">
        <v>242</v>
      </c>
      <c r="C4" s="249">
        <v>13.0</v>
      </c>
      <c r="D4" s="107">
        <v>3.82</v>
      </c>
      <c r="E4" s="489">
        <f t="shared" si="1"/>
        <v>13.18664</v>
      </c>
      <c r="F4" s="26"/>
      <c r="G4" s="107"/>
      <c r="H4" s="107"/>
      <c r="J4" s="107"/>
      <c r="L4" s="107"/>
      <c r="M4" s="107"/>
      <c r="N4" s="107"/>
      <c r="O4" s="107"/>
      <c r="P4" s="423" t="s">
        <v>328</v>
      </c>
      <c r="Q4" s="7" t="s">
        <v>329</v>
      </c>
      <c r="R4" s="107"/>
    </row>
    <row r="5">
      <c r="B5" s="18" t="s">
        <v>285</v>
      </c>
      <c r="C5" s="249">
        <v>42.0</v>
      </c>
      <c r="D5" s="107">
        <v>16.37</v>
      </c>
      <c r="E5" s="489">
        <f t="shared" si="1"/>
        <v>56.50924</v>
      </c>
      <c r="F5" s="107"/>
      <c r="G5" s="107"/>
      <c r="H5" s="107"/>
      <c r="J5" s="107"/>
      <c r="L5" s="107"/>
      <c r="M5" s="107"/>
      <c r="N5" s="107"/>
      <c r="O5" s="107"/>
      <c r="P5" s="423"/>
      <c r="Q5" s="7" t="s">
        <v>192</v>
      </c>
      <c r="R5" s="107"/>
    </row>
    <row r="6">
      <c r="B6" s="18" t="s">
        <v>324</v>
      </c>
      <c r="C6" s="249">
        <v>6.0</v>
      </c>
      <c r="D6" s="107"/>
      <c r="E6" s="107">
        <v>6.0</v>
      </c>
      <c r="F6" s="107"/>
      <c r="R6" s="107"/>
    </row>
    <row r="7">
      <c r="C7" s="276">
        <f>SUM(C2:C6)</f>
        <v>144.7</v>
      </c>
      <c r="D7" s="490">
        <f>E7-E2</f>
        <v>147.67008</v>
      </c>
      <c r="E7" s="490">
        <f>SUM(E2:E6)</f>
        <v>160.67008</v>
      </c>
      <c r="F7" s="107"/>
      <c r="R7" s="107"/>
    </row>
    <row r="8">
      <c r="R8" s="107"/>
    </row>
    <row r="9">
      <c r="R9" s="27"/>
    </row>
    <row r="10">
      <c r="N10" s="18" t="s">
        <v>366</v>
      </c>
      <c r="P10" s="18">
        <v>3637.5</v>
      </c>
      <c r="R10" s="107"/>
    </row>
    <row r="11">
      <c r="B11" s="55" t="s">
        <v>122</v>
      </c>
      <c r="C11" s="56"/>
      <c r="D11" s="140" t="s">
        <v>123</v>
      </c>
      <c r="E11" s="140" t="s">
        <v>124</v>
      </c>
      <c r="F11" s="140" t="s">
        <v>125</v>
      </c>
      <c r="G11" s="424" t="s">
        <v>126</v>
      </c>
      <c r="H11" s="140" t="s">
        <v>127</v>
      </c>
      <c r="I11" s="140" t="s">
        <v>128</v>
      </c>
      <c r="J11" s="140" t="s">
        <v>129</v>
      </c>
      <c r="K11" s="140" t="s">
        <v>130</v>
      </c>
      <c r="L11" s="140" t="s">
        <v>131</v>
      </c>
      <c r="M11" s="140" t="s">
        <v>132</v>
      </c>
      <c r="N11" s="140" t="s">
        <v>133</v>
      </c>
      <c r="R11" s="107"/>
      <c r="T11" s="18"/>
    </row>
    <row r="12">
      <c r="B12" s="59" t="s">
        <v>129</v>
      </c>
      <c r="C12" s="141"/>
      <c r="D12" s="113">
        <v>8402.26</v>
      </c>
      <c r="E12" s="113">
        <v>8473.39</v>
      </c>
      <c r="F12" s="113">
        <v>8402.26</v>
      </c>
      <c r="G12" s="425">
        <v>8402.26</v>
      </c>
      <c r="H12" s="113">
        <v>8661.72</v>
      </c>
      <c r="I12" s="113">
        <v>8661.71</v>
      </c>
      <c r="J12" s="113">
        <v>8661.71</v>
      </c>
      <c r="K12" s="113">
        <v>8661.71</v>
      </c>
      <c r="L12" s="113">
        <v>8661.72</v>
      </c>
      <c r="M12" s="113">
        <v>8661.72</v>
      </c>
      <c r="N12" s="113">
        <v>8661.72</v>
      </c>
      <c r="R12" s="107"/>
      <c r="T12" s="18"/>
    </row>
    <row r="13">
      <c r="B13" s="59" t="s">
        <v>136</v>
      </c>
      <c r="C13" s="141"/>
      <c r="D13" s="114">
        <f>2160+3349.61</f>
        <v>5509.61</v>
      </c>
      <c r="E13" s="114">
        <f>2160+3570.51</f>
        <v>5730.51</v>
      </c>
      <c r="F13" s="114">
        <f>2160+3544.87</f>
        <v>5704.87</v>
      </c>
      <c r="G13" s="426">
        <f>2230+3676.95</f>
        <v>5906.95</v>
      </c>
      <c r="H13" s="114">
        <f>2230+3690.95</f>
        <v>5920.95</v>
      </c>
      <c r="I13" s="426">
        <f>2230+3679.95</f>
        <v>5909.95</v>
      </c>
      <c r="J13" s="114">
        <f>2230+3663.96</f>
        <v>5893.96</v>
      </c>
      <c r="K13" s="114">
        <f>2230+3637.5</f>
        <v>5867.5</v>
      </c>
      <c r="L13" s="114">
        <f>2230+3709.95</f>
        <v>5939.95</v>
      </c>
      <c r="M13" s="114">
        <f>2230+3700.95</f>
        <v>5930.95</v>
      </c>
      <c r="N13" s="114">
        <f>2230+3710.95</f>
        <v>5940.95</v>
      </c>
      <c r="O13" s="407"/>
      <c r="P13" s="303"/>
      <c r="Q13" s="107"/>
      <c r="R13" s="27"/>
      <c r="T13" s="18"/>
    </row>
    <row r="14">
      <c r="B14" s="59" t="s">
        <v>137</v>
      </c>
      <c r="C14" s="141"/>
      <c r="D14" s="115"/>
      <c r="E14" s="114"/>
      <c r="F14" s="115"/>
      <c r="G14" s="426"/>
      <c r="H14" s="115"/>
      <c r="I14" s="114"/>
      <c r="J14" s="115"/>
      <c r="K14" s="114"/>
      <c r="L14" s="115"/>
      <c r="M14" s="114"/>
      <c r="N14" s="115"/>
      <c r="O14" s="363"/>
      <c r="P14" s="363"/>
      <c r="Q14" s="107"/>
      <c r="R14" s="107"/>
      <c r="T14" s="18"/>
    </row>
    <row r="15">
      <c r="B15" s="59" t="s">
        <v>138</v>
      </c>
      <c r="C15" s="141"/>
      <c r="D15" s="116"/>
      <c r="E15" s="117"/>
      <c r="F15" s="114">
        <f>16458.02+8673.34</f>
        <v>25131.36</v>
      </c>
      <c r="G15" s="426">
        <v>845.32</v>
      </c>
      <c r="H15" s="115"/>
      <c r="I15" s="118"/>
      <c r="J15" s="117">
        <v>20239.8</v>
      </c>
      <c r="K15" s="118"/>
      <c r="L15" s="118"/>
      <c r="M15" s="118"/>
      <c r="N15" s="118"/>
      <c r="O15" s="32"/>
      <c r="P15" s="32"/>
      <c r="Q15" s="107"/>
      <c r="R15" s="107"/>
      <c r="T15" s="18"/>
    </row>
    <row r="16">
      <c r="B16" s="142" t="s">
        <v>139</v>
      </c>
      <c r="C16" s="143"/>
      <c r="D16" s="144">
        <f t="shared" ref="D16:E16" si="2">SUM(D12:D15)</f>
        <v>13911.87</v>
      </c>
      <c r="E16" s="144">
        <f t="shared" si="2"/>
        <v>14203.9</v>
      </c>
      <c r="F16" s="144">
        <f>SUM(F12:F14)</f>
        <v>14107.13</v>
      </c>
      <c r="G16" s="428">
        <f t="shared" ref="G16:I16" si="3">SUM(G12:G15)</f>
        <v>15154.53</v>
      </c>
      <c r="H16" s="144">
        <f t="shared" si="3"/>
        <v>14582.67</v>
      </c>
      <c r="I16" s="144">
        <f t="shared" si="3"/>
        <v>14571.66</v>
      </c>
      <c r="J16" s="144">
        <f>SUM(J12:J14)</f>
        <v>14555.67</v>
      </c>
      <c r="K16" s="144">
        <f t="shared" ref="K16:N16" si="4">SUM(K12:K15)</f>
        <v>14529.21</v>
      </c>
      <c r="L16" s="144">
        <f t="shared" si="4"/>
        <v>14601.67</v>
      </c>
      <c r="M16" s="144">
        <f t="shared" si="4"/>
        <v>14592.67</v>
      </c>
      <c r="N16" s="144">
        <f t="shared" si="4"/>
        <v>14602.67</v>
      </c>
      <c r="O16" s="257"/>
      <c r="P16" s="257"/>
      <c r="S16" s="27"/>
      <c r="T16" s="18"/>
      <c r="V16" s="107"/>
    </row>
    <row r="17">
      <c r="C17" s="27"/>
      <c r="O17" s="32"/>
      <c r="P17" s="32"/>
      <c r="Q17" s="107"/>
      <c r="T17" s="18"/>
      <c r="V17" s="27"/>
    </row>
    <row r="18">
      <c r="B18" s="70" t="s">
        <v>140</v>
      </c>
      <c r="C18" s="71"/>
      <c r="D18" s="58" t="s">
        <v>123</v>
      </c>
      <c r="E18" s="58" t="s">
        <v>124</v>
      </c>
      <c r="F18" s="58" t="s">
        <v>125</v>
      </c>
      <c r="G18" s="430" t="s">
        <v>126</v>
      </c>
      <c r="H18" s="58" t="s">
        <v>127</v>
      </c>
      <c r="I18" s="58" t="s">
        <v>128</v>
      </c>
      <c r="J18" s="58" t="s">
        <v>129</v>
      </c>
      <c r="K18" s="58" t="s">
        <v>130</v>
      </c>
      <c r="L18" s="58" t="s">
        <v>131</v>
      </c>
      <c r="M18" s="58" t="s">
        <v>132</v>
      </c>
      <c r="N18" s="58" t="s">
        <v>133</v>
      </c>
      <c r="O18" s="418"/>
      <c r="P18" s="418" t="s">
        <v>331</v>
      </c>
      <c r="Q18" s="192"/>
      <c r="T18" s="18"/>
    </row>
    <row r="19">
      <c r="B19" s="145" t="s">
        <v>141</v>
      </c>
      <c r="C19" s="146"/>
      <c r="D19" s="378">
        <v>410.0</v>
      </c>
      <c r="E19" s="378">
        <v>450.0</v>
      </c>
      <c r="F19" s="378">
        <v>450.0</v>
      </c>
      <c r="G19" s="446">
        <v>450.0</v>
      </c>
      <c r="H19" s="378">
        <v>450.0</v>
      </c>
      <c r="I19" s="378">
        <v>450.0</v>
      </c>
      <c r="J19" s="378">
        <v>450.0</v>
      </c>
      <c r="K19" s="378">
        <v>450.0</v>
      </c>
      <c r="L19" s="378">
        <v>450.0</v>
      </c>
      <c r="M19" s="378">
        <v>450.0</v>
      </c>
      <c r="N19" s="147">
        <v>450.0</v>
      </c>
      <c r="O19" s="192"/>
      <c r="P19" s="447"/>
      <c r="Q19" s="448" t="s">
        <v>27</v>
      </c>
      <c r="R19" s="448" t="s">
        <v>274</v>
      </c>
      <c r="S19" s="448" t="s">
        <v>351</v>
      </c>
      <c r="T19" s="448" t="s">
        <v>333</v>
      </c>
      <c r="U19" s="449" t="s">
        <v>390</v>
      </c>
      <c r="V19" s="448" t="s">
        <v>48</v>
      </c>
      <c r="W19" s="448" t="s">
        <v>383</v>
      </c>
      <c r="X19" s="448" t="s">
        <v>386</v>
      </c>
    </row>
    <row r="20">
      <c r="B20" s="145" t="s">
        <v>142</v>
      </c>
      <c r="C20" s="146"/>
      <c r="D20" s="378">
        <v>220.0</v>
      </c>
      <c r="E20" s="378">
        <v>220.0</v>
      </c>
      <c r="F20" s="378">
        <v>220.0</v>
      </c>
      <c r="G20" s="446">
        <v>220.0</v>
      </c>
      <c r="H20" s="446">
        <v>220.0</v>
      </c>
      <c r="I20" s="378">
        <v>220.0</v>
      </c>
      <c r="J20" s="378">
        <v>220.0</v>
      </c>
      <c r="K20" s="378">
        <v>220.0</v>
      </c>
      <c r="L20" s="378">
        <v>220.0</v>
      </c>
      <c r="M20" s="378">
        <v>220.0</v>
      </c>
      <c r="N20" s="147">
        <v>220.0</v>
      </c>
      <c r="O20" s="409"/>
      <c r="P20" s="450" t="s">
        <v>141</v>
      </c>
      <c r="Q20" s="456"/>
      <c r="R20" s="452"/>
      <c r="S20" s="484">
        <v>450.0</v>
      </c>
      <c r="T20" s="452"/>
      <c r="U20" s="452"/>
      <c r="V20" s="452"/>
      <c r="W20" s="452"/>
      <c r="X20" s="452"/>
    </row>
    <row r="21">
      <c r="B21" s="145" t="s">
        <v>143</v>
      </c>
      <c r="C21" s="146"/>
      <c r="D21" s="396">
        <v>139.9</v>
      </c>
      <c r="E21" s="396">
        <v>147.9</v>
      </c>
      <c r="F21" s="396">
        <v>147.9</v>
      </c>
      <c r="G21" s="454">
        <v>147.9</v>
      </c>
      <c r="H21" s="454">
        <v>147.9</v>
      </c>
      <c r="I21" s="378">
        <v>147.9</v>
      </c>
      <c r="J21" s="396">
        <v>147.9</v>
      </c>
      <c r="K21" s="396">
        <v>147.9</v>
      </c>
      <c r="L21" s="396">
        <v>147.9</v>
      </c>
      <c r="M21" s="396">
        <v>147.9</v>
      </c>
      <c r="N21" s="149">
        <v>147.9</v>
      </c>
      <c r="O21" s="409"/>
      <c r="P21" s="450" t="s">
        <v>142</v>
      </c>
      <c r="Q21" s="456"/>
      <c r="R21" s="452"/>
      <c r="S21" s="484">
        <v>220.0</v>
      </c>
      <c r="T21" s="452"/>
      <c r="U21" s="452"/>
      <c r="V21" s="452"/>
      <c r="W21" s="452"/>
      <c r="X21" s="452"/>
    </row>
    <row r="22">
      <c r="B22" s="145" t="s">
        <v>144</v>
      </c>
      <c r="C22" s="146"/>
      <c r="D22" s="378">
        <v>100.0</v>
      </c>
      <c r="E22" s="378">
        <v>100.0</v>
      </c>
      <c r="F22" s="378">
        <f t="shared" ref="F22:H22" si="5">E22</f>
        <v>100</v>
      </c>
      <c r="G22" s="446">
        <f t="shared" si="5"/>
        <v>100</v>
      </c>
      <c r="H22" s="446">
        <f t="shared" si="5"/>
        <v>100</v>
      </c>
      <c r="I22" s="378">
        <v>100.0</v>
      </c>
      <c r="J22" s="378">
        <f>I22</f>
        <v>100</v>
      </c>
      <c r="K22" s="378">
        <v>100.0</v>
      </c>
      <c r="L22" s="378">
        <f t="shared" ref="L22:N22" si="6">K22</f>
        <v>100</v>
      </c>
      <c r="M22" s="378">
        <f t="shared" si="6"/>
        <v>100</v>
      </c>
      <c r="N22" s="147">
        <f t="shared" si="6"/>
        <v>100</v>
      </c>
      <c r="O22" s="409"/>
      <c r="P22" s="450" t="s">
        <v>143</v>
      </c>
      <c r="Q22" s="456"/>
      <c r="R22" s="452"/>
      <c r="S22" s="484">
        <v>147.9</v>
      </c>
      <c r="T22" s="452"/>
      <c r="U22" s="452"/>
      <c r="V22" s="452"/>
      <c r="W22" s="452"/>
      <c r="X22" s="452"/>
    </row>
    <row r="23">
      <c r="B23" s="145" t="s">
        <v>145</v>
      </c>
      <c r="C23" s="146"/>
      <c r="D23" s="378">
        <v>3004.8</v>
      </c>
      <c r="E23" s="378">
        <v>3004.8</v>
      </c>
      <c r="F23" s="378">
        <v>3004.8</v>
      </c>
      <c r="G23" s="446">
        <v>3004.8</v>
      </c>
      <c r="H23" s="446">
        <v>3004.8</v>
      </c>
      <c r="I23" s="378">
        <v>3004.8</v>
      </c>
      <c r="J23" s="378">
        <v>3004.8</v>
      </c>
      <c r="K23" s="378">
        <v>3004.8</v>
      </c>
      <c r="L23" s="378">
        <v>3004.8</v>
      </c>
      <c r="M23" s="378">
        <v>3004.8</v>
      </c>
      <c r="N23" s="147">
        <v>3004.8</v>
      </c>
      <c r="O23" s="409"/>
      <c r="P23" s="450" t="s">
        <v>144</v>
      </c>
      <c r="Q23" s="456"/>
      <c r="R23" s="452"/>
      <c r="S23" s="484">
        <v>100.0</v>
      </c>
      <c r="T23" s="452"/>
      <c r="U23" s="452"/>
      <c r="V23" s="452"/>
      <c r="W23" s="452"/>
      <c r="X23" s="452"/>
    </row>
    <row r="24">
      <c r="B24" s="145" t="s">
        <v>146</v>
      </c>
      <c r="C24" s="150" t="s">
        <v>136</v>
      </c>
      <c r="D24" s="378">
        <v>50.0</v>
      </c>
      <c r="E24" s="378">
        <v>0.0</v>
      </c>
      <c r="F24" s="378">
        <v>0.0</v>
      </c>
      <c r="G24" s="446"/>
      <c r="H24" s="446"/>
      <c r="I24" s="378"/>
      <c r="J24" s="378"/>
      <c r="K24" s="378"/>
      <c r="L24" s="378"/>
      <c r="M24" s="378"/>
      <c r="N24" s="147"/>
      <c r="O24" s="409"/>
      <c r="P24" s="450" t="s">
        <v>145</v>
      </c>
      <c r="Q24" s="478">
        <v>3004.8</v>
      </c>
      <c r="R24" s="456"/>
      <c r="S24" s="451"/>
      <c r="T24" s="452"/>
      <c r="U24" s="452"/>
      <c r="V24" s="452"/>
      <c r="W24" s="452"/>
      <c r="X24" s="452"/>
    </row>
    <row r="25">
      <c r="B25" s="145" t="s">
        <v>180</v>
      </c>
      <c r="C25" s="146"/>
      <c r="D25" s="378">
        <v>400.0</v>
      </c>
      <c r="E25" s="378">
        <v>400.0</v>
      </c>
      <c r="F25" s="378">
        <v>400.0</v>
      </c>
      <c r="G25" s="446">
        <v>400.0</v>
      </c>
      <c r="H25" s="446">
        <v>400.0</v>
      </c>
      <c r="I25" s="378">
        <v>400.0</v>
      </c>
      <c r="J25" s="378">
        <v>400.0</v>
      </c>
      <c r="K25" s="378">
        <v>400.0</v>
      </c>
      <c r="L25" s="378">
        <v>400.0</v>
      </c>
      <c r="M25" s="378">
        <v>400.0</v>
      </c>
      <c r="N25" s="147">
        <v>400.0</v>
      </c>
      <c r="O25" s="409"/>
      <c r="P25" s="450" t="s">
        <v>146</v>
      </c>
      <c r="Q25" s="456"/>
      <c r="R25" s="457"/>
      <c r="S25" s="452"/>
      <c r="T25" s="452"/>
      <c r="U25" s="452"/>
      <c r="V25" s="452"/>
      <c r="W25" s="452"/>
      <c r="X25" s="452"/>
    </row>
    <row r="26">
      <c r="B26" s="145" t="s">
        <v>148</v>
      </c>
      <c r="C26" s="146"/>
      <c r="D26" s="378">
        <v>600.0</v>
      </c>
      <c r="E26" s="378">
        <v>600.0</v>
      </c>
      <c r="F26" s="378">
        <v>600.0</v>
      </c>
      <c r="G26" s="446">
        <v>600.0</v>
      </c>
      <c r="H26" s="446">
        <v>600.0</v>
      </c>
      <c r="I26" s="378">
        <v>600.0</v>
      </c>
      <c r="J26" s="378">
        <v>600.0</v>
      </c>
      <c r="K26" s="378">
        <v>600.0</v>
      </c>
      <c r="L26" s="378">
        <v>600.0</v>
      </c>
      <c r="M26" s="378">
        <v>600.0</v>
      </c>
      <c r="N26" s="147">
        <v>600.0</v>
      </c>
      <c r="O26" s="409"/>
      <c r="P26" s="450" t="s">
        <v>180</v>
      </c>
      <c r="Q26" s="456"/>
      <c r="R26" s="456"/>
      <c r="S26" s="452"/>
      <c r="T26" s="452"/>
      <c r="U26" s="452"/>
      <c r="V26" s="452"/>
      <c r="W26" s="452"/>
      <c r="X26" s="478">
        <v>400.0</v>
      </c>
    </row>
    <row r="27">
      <c r="B27" s="145" t="s">
        <v>149</v>
      </c>
      <c r="C27" s="146"/>
      <c r="D27" s="378">
        <v>500.0</v>
      </c>
      <c r="E27" s="378">
        <v>500.0</v>
      </c>
      <c r="F27" s="378">
        <f t="shared" ref="F27:H27" si="7">E27</f>
        <v>500</v>
      </c>
      <c r="G27" s="446">
        <f t="shared" si="7"/>
        <v>500</v>
      </c>
      <c r="H27" s="446">
        <f t="shared" si="7"/>
        <v>500</v>
      </c>
      <c r="I27" s="378">
        <v>500.0</v>
      </c>
      <c r="J27" s="378">
        <f>I27</f>
        <v>500</v>
      </c>
      <c r="K27" s="378">
        <v>500.0</v>
      </c>
      <c r="L27" s="378">
        <f t="shared" ref="L27:N27" si="8">K27</f>
        <v>500</v>
      </c>
      <c r="M27" s="378">
        <f t="shared" si="8"/>
        <v>500</v>
      </c>
      <c r="N27" s="147">
        <f t="shared" si="8"/>
        <v>500</v>
      </c>
      <c r="O27" s="409"/>
      <c r="P27" s="450" t="s">
        <v>148</v>
      </c>
      <c r="Q27" s="456"/>
      <c r="R27" s="478"/>
      <c r="S27" s="484">
        <v>600.0</v>
      </c>
      <c r="T27" s="452"/>
      <c r="U27" s="452"/>
      <c r="V27" s="452"/>
      <c r="W27" s="452"/>
      <c r="X27" s="452"/>
    </row>
    <row r="28">
      <c r="B28" s="145" t="s">
        <v>181</v>
      </c>
      <c r="C28" s="146"/>
      <c r="D28" s="378">
        <v>150.0</v>
      </c>
      <c r="E28" s="378">
        <v>150.0</v>
      </c>
      <c r="F28" s="378">
        <v>150.0</v>
      </c>
      <c r="G28" s="446">
        <v>150.0</v>
      </c>
      <c r="H28" s="446">
        <v>150.0</v>
      </c>
      <c r="I28" s="378">
        <v>150.0</v>
      </c>
      <c r="J28" s="378">
        <v>150.0</v>
      </c>
      <c r="K28" s="378">
        <v>150.0</v>
      </c>
      <c r="L28" s="378">
        <v>150.0</v>
      </c>
      <c r="M28" s="378">
        <v>150.0</v>
      </c>
      <c r="N28" s="147">
        <v>150.0</v>
      </c>
      <c r="O28" s="409"/>
      <c r="P28" s="450" t="s">
        <v>149</v>
      </c>
      <c r="Q28" s="456"/>
      <c r="R28" s="456"/>
      <c r="S28" s="484">
        <v>500.0</v>
      </c>
      <c r="T28" s="452"/>
      <c r="U28" s="452"/>
      <c r="V28" s="452"/>
      <c r="W28" s="452"/>
      <c r="X28" s="452"/>
    </row>
    <row r="29">
      <c r="B29" s="145" t="s">
        <v>150</v>
      </c>
      <c r="C29" s="146"/>
      <c r="D29" s="378">
        <v>400.0</v>
      </c>
      <c r="E29" s="378">
        <v>400.0</v>
      </c>
      <c r="F29" s="378">
        <f t="shared" ref="F29:H29" si="9">E29</f>
        <v>400</v>
      </c>
      <c r="G29" s="446">
        <f t="shared" si="9"/>
        <v>400</v>
      </c>
      <c r="H29" s="446">
        <f t="shared" si="9"/>
        <v>400</v>
      </c>
      <c r="I29" s="378">
        <v>400.0</v>
      </c>
      <c r="J29" s="378">
        <v>400.0</v>
      </c>
      <c r="K29" s="378">
        <v>400.0</v>
      </c>
      <c r="L29" s="378">
        <f t="shared" ref="L29:N29" si="10">K29</f>
        <v>400</v>
      </c>
      <c r="M29" s="378">
        <f t="shared" si="10"/>
        <v>400</v>
      </c>
      <c r="N29" s="147">
        <f t="shared" si="10"/>
        <v>400</v>
      </c>
      <c r="O29" s="409"/>
      <c r="P29" s="450" t="s">
        <v>181</v>
      </c>
      <c r="Q29" s="456"/>
      <c r="R29" s="456"/>
      <c r="S29" s="478"/>
      <c r="T29" s="456">
        <v>150.0</v>
      </c>
      <c r="U29" s="452"/>
      <c r="V29" s="452"/>
      <c r="W29" s="452"/>
      <c r="X29" s="452"/>
    </row>
    <row r="30">
      <c r="B30" s="145" t="s">
        <v>182</v>
      </c>
      <c r="C30" s="146"/>
      <c r="D30" s="378">
        <v>160.0</v>
      </c>
      <c r="E30" s="378">
        <v>160.0</v>
      </c>
      <c r="F30" s="378">
        <v>160.0</v>
      </c>
      <c r="G30" s="446">
        <v>160.0</v>
      </c>
      <c r="H30" s="446">
        <v>160.0</v>
      </c>
      <c r="I30" s="378">
        <v>160.0</v>
      </c>
      <c r="J30" s="378">
        <v>0.0</v>
      </c>
      <c r="K30" s="378">
        <v>160.0</v>
      </c>
      <c r="L30" s="378">
        <v>160.0</v>
      </c>
      <c r="M30" s="378">
        <v>80.0</v>
      </c>
      <c r="N30" s="147">
        <v>80.0</v>
      </c>
      <c r="O30" s="409"/>
      <c r="P30" s="450" t="s">
        <v>150</v>
      </c>
      <c r="Q30" s="456"/>
      <c r="R30" s="478">
        <v>400.0</v>
      </c>
      <c r="S30" s="452"/>
      <c r="T30" s="452"/>
      <c r="U30" s="452"/>
      <c r="V30" s="452"/>
      <c r="W30" s="452"/>
      <c r="X30" s="452"/>
    </row>
    <row r="31">
      <c r="B31" s="145" t="s">
        <v>392</v>
      </c>
      <c r="C31" s="146"/>
      <c r="D31" s="378">
        <v>400.0</v>
      </c>
      <c r="E31" s="378">
        <v>400.0</v>
      </c>
      <c r="F31" s="378">
        <v>400.0</v>
      </c>
      <c r="G31" s="446">
        <v>400.0</v>
      </c>
      <c r="H31" s="446">
        <v>400.0</v>
      </c>
      <c r="I31" s="378">
        <v>400.0</v>
      </c>
      <c r="J31" s="378">
        <v>400.0</v>
      </c>
      <c r="K31" s="378">
        <v>1400.0</v>
      </c>
      <c r="L31" s="378">
        <v>1400.0</v>
      </c>
      <c r="M31" s="378">
        <v>1400.0</v>
      </c>
      <c r="N31" s="147">
        <v>1400.0</v>
      </c>
      <c r="O31" s="409"/>
      <c r="P31" s="450" t="s">
        <v>182</v>
      </c>
      <c r="Q31" s="456"/>
      <c r="R31" s="456"/>
      <c r="S31" s="452"/>
      <c r="T31" s="452"/>
      <c r="U31" s="456">
        <v>80.0</v>
      </c>
      <c r="V31" s="452"/>
      <c r="W31" s="452"/>
      <c r="X31" s="452"/>
    </row>
    <row r="32">
      <c r="B32" s="145" t="s">
        <v>152</v>
      </c>
      <c r="C32" s="146"/>
      <c r="D32" s="390"/>
      <c r="E32" s="378"/>
      <c r="F32" s="378"/>
      <c r="G32" s="459"/>
      <c r="H32" s="446"/>
      <c r="I32" s="378"/>
      <c r="J32" s="378"/>
      <c r="K32" s="378"/>
      <c r="L32" s="378"/>
      <c r="M32" s="390"/>
      <c r="N32" s="147"/>
      <c r="O32" s="409"/>
      <c r="P32" s="450" t="s">
        <v>392</v>
      </c>
      <c r="Q32" s="374"/>
      <c r="R32" s="460"/>
      <c r="S32" s="452"/>
      <c r="T32" s="452"/>
      <c r="U32" s="479"/>
      <c r="V32" s="478">
        <v>1400.0</v>
      </c>
      <c r="W32" s="452"/>
      <c r="X32" s="452"/>
    </row>
    <row r="33">
      <c r="B33" s="145" t="s">
        <v>154</v>
      </c>
      <c r="C33" s="146"/>
      <c r="D33" s="390">
        <v>136.92</v>
      </c>
      <c r="E33" s="390">
        <v>136.92</v>
      </c>
      <c r="F33" s="390">
        <v>136.92</v>
      </c>
      <c r="G33" s="446">
        <v>144.7</v>
      </c>
      <c r="H33" s="446">
        <v>144.7</v>
      </c>
      <c r="I33" s="378">
        <v>161.29</v>
      </c>
      <c r="J33" s="378">
        <v>161.29</v>
      </c>
      <c r="K33" s="378">
        <v>161.29</v>
      </c>
      <c r="L33" s="378">
        <v>161.29</v>
      </c>
      <c r="M33" s="378">
        <v>161.29</v>
      </c>
      <c r="N33" s="147">
        <v>160.67</v>
      </c>
      <c r="O33" s="409"/>
      <c r="P33" s="450" t="s">
        <v>152</v>
      </c>
      <c r="Q33" s="456"/>
      <c r="R33" s="456"/>
      <c r="S33" s="452"/>
      <c r="T33" s="452"/>
      <c r="U33" s="481"/>
      <c r="V33" s="452"/>
      <c r="W33" s="452"/>
      <c r="X33" s="452"/>
    </row>
    <row r="34">
      <c r="B34" s="145" t="s">
        <v>395</v>
      </c>
      <c r="C34" s="146"/>
      <c r="D34" s="390"/>
      <c r="E34" s="390"/>
      <c r="F34" s="378" t="str">
        <f t="shared" ref="F34:H34" si="11">E34</f>
        <v/>
      </c>
      <c r="G34" s="446" t="str">
        <f t="shared" si="11"/>
        <v/>
      </c>
      <c r="H34" s="446" t="str">
        <f t="shared" si="11"/>
        <v/>
      </c>
      <c r="I34" s="378" t="str">
        <f>H32</f>
        <v/>
      </c>
      <c r="J34" s="378" t="str">
        <f>I34</f>
        <v/>
      </c>
      <c r="K34" s="378" t="str">
        <f>J32</f>
        <v/>
      </c>
      <c r="L34" s="378" t="str">
        <f t="shared" ref="L34:M34" si="12">K34</f>
        <v/>
      </c>
      <c r="M34" s="378" t="str">
        <f t="shared" si="12"/>
        <v/>
      </c>
      <c r="N34" s="147">
        <v>234.53</v>
      </c>
      <c r="O34" s="409"/>
      <c r="P34" s="450" t="s">
        <v>154</v>
      </c>
      <c r="Q34" s="457">
        <v>147.67</v>
      </c>
      <c r="R34" s="457">
        <v>13.0</v>
      </c>
      <c r="S34" s="452"/>
      <c r="T34" s="452"/>
      <c r="U34" s="481"/>
      <c r="V34" s="456"/>
      <c r="W34" s="452"/>
      <c r="X34" s="452"/>
    </row>
    <row r="35">
      <c r="B35" s="145" t="s">
        <v>156</v>
      </c>
      <c r="C35" s="146"/>
      <c r="D35" s="378">
        <v>100.0</v>
      </c>
      <c r="E35" s="378">
        <v>100.0</v>
      </c>
      <c r="F35" s="390"/>
      <c r="G35" s="446">
        <v>100.0</v>
      </c>
      <c r="H35" s="446">
        <v>600.0</v>
      </c>
      <c r="I35" s="378">
        <v>500.0</v>
      </c>
      <c r="J35" s="378">
        <v>200.0</v>
      </c>
      <c r="K35" s="378">
        <v>100.0</v>
      </c>
      <c r="L35" s="390"/>
      <c r="M35" s="378">
        <v>200.0</v>
      </c>
      <c r="N35" s="147">
        <v>100.0</v>
      </c>
      <c r="O35" s="409"/>
      <c r="P35" s="145" t="s">
        <v>395</v>
      </c>
      <c r="Q35" s="456"/>
      <c r="R35" s="456"/>
      <c r="S35" s="452"/>
      <c r="T35" s="478">
        <v>234.53</v>
      </c>
      <c r="U35" s="481"/>
      <c r="V35" s="452"/>
      <c r="W35" s="452"/>
      <c r="X35" s="452"/>
    </row>
    <row r="36">
      <c r="B36" s="145" t="s">
        <v>157</v>
      </c>
      <c r="C36" s="146"/>
      <c r="D36" s="378">
        <v>50.0</v>
      </c>
      <c r="E36" s="378">
        <v>50.0</v>
      </c>
      <c r="F36" s="378">
        <f t="shared" ref="F36:H36" si="13">E36</f>
        <v>50</v>
      </c>
      <c r="G36" s="446">
        <f t="shared" si="13"/>
        <v>50</v>
      </c>
      <c r="H36" s="446">
        <f t="shared" si="13"/>
        <v>50</v>
      </c>
      <c r="I36" s="378">
        <v>50.0</v>
      </c>
      <c r="J36" s="378">
        <f t="shared" ref="J36:J37" si="16">I36</f>
        <v>50</v>
      </c>
      <c r="K36" s="378">
        <v>50.0</v>
      </c>
      <c r="L36" s="378">
        <f t="shared" ref="L36:N36" si="14">K36</f>
        <v>50</v>
      </c>
      <c r="M36" s="378">
        <f t="shared" si="14"/>
        <v>50</v>
      </c>
      <c r="N36" s="147">
        <f t="shared" si="14"/>
        <v>50</v>
      </c>
      <c r="O36" s="409"/>
      <c r="P36" s="450" t="s">
        <v>156</v>
      </c>
      <c r="Q36" s="456"/>
      <c r="R36" s="458"/>
      <c r="S36" s="452"/>
      <c r="T36" s="452"/>
      <c r="U36" s="478">
        <v>100.0</v>
      </c>
      <c r="V36" s="452"/>
      <c r="W36" s="452"/>
      <c r="X36" s="452"/>
      <c r="Y36" s="18"/>
    </row>
    <row r="37">
      <c r="B37" s="145" t="s">
        <v>393</v>
      </c>
      <c r="C37" s="146"/>
      <c r="D37" s="390"/>
      <c r="E37" s="390"/>
      <c r="F37" s="378" t="str">
        <f t="shared" ref="F37:H37" si="15">E37</f>
        <v/>
      </c>
      <c r="G37" s="446" t="str">
        <f t="shared" si="15"/>
        <v/>
      </c>
      <c r="H37" s="446" t="str">
        <f t="shared" si="15"/>
        <v/>
      </c>
      <c r="I37" s="378"/>
      <c r="J37" s="378" t="str">
        <f t="shared" si="16"/>
        <v/>
      </c>
      <c r="K37" s="378">
        <v>200.0</v>
      </c>
      <c r="L37" s="378">
        <f t="shared" ref="L37:N37" si="17">K37</f>
        <v>200</v>
      </c>
      <c r="M37" s="378">
        <f t="shared" si="17"/>
        <v>200</v>
      </c>
      <c r="N37" s="147">
        <f t="shared" si="17"/>
        <v>200</v>
      </c>
      <c r="O37" s="409"/>
      <c r="P37" s="450" t="s">
        <v>157</v>
      </c>
      <c r="Q37" s="456"/>
      <c r="R37" s="456"/>
      <c r="S37" s="452"/>
      <c r="T37" s="452"/>
      <c r="U37" s="481"/>
      <c r="V37" s="452"/>
      <c r="W37" s="478">
        <v>50.0</v>
      </c>
      <c r="X37" s="456"/>
      <c r="Y37" s="18"/>
    </row>
    <row r="38">
      <c r="B38" s="145" t="s">
        <v>159</v>
      </c>
      <c r="C38" s="146"/>
      <c r="D38" s="378">
        <v>800.0</v>
      </c>
      <c r="E38" s="378">
        <v>800.0</v>
      </c>
      <c r="F38" s="378">
        <v>800.0</v>
      </c>
      <c r="G38" s="446">
        <v>800.0</v>
      </c>
      <c r="H38" s="446">
        <v>800.0</v>
      </c>
      <c r="I38" s="378">
        <v>800.0</v>
      </c>
      <c r="J38" s="378">
        <v>800.0</v>
      </c>
      <c r="K38" s="378">
        <v>800.0</v>
      </c>
      <c r="L38" s="378">
        <v>800.0</v>
      </c>
      <c r="M38" s="378">
        <v>800.0</v>
      </c>
      <c r="N38" s="147">
        <v>800.0</v>
      </c>
      <c r="O38" s="409"/>
      <c r="P38" s="450" t="s">
        <v>393</v>
      </c>
      <c r="Q38" s="456"/>
      <c r="R38" s="456"/>
      <c r="S38" s="452"/>
      <c r="T38" s="456"/>
      <c r="U38" s="452"/>
      <c r="V38" s="452"/>
      <c r="W38" s="452"/>
      <c r="X38" s="452"/>
    </row>
    <row r="39">
      <c r="B39" s="145" t="s">
        <v>160</v>
      </c>
      <c r="C39" s="146"/>
      <c r="D39" s="378">
        <v>3000.0</v>
      </c>
      <c r="E39" s="378">
        <v>3000.0</v>
      </c>
      <c r="F39" s="378">
        <f t="shared" ref="F39:H39" si="18">E39</f>
        <v>3000</v>
      </c>
      <c r="G39" s="446">
        <f t="shared" si="18"/>
        <v>3000</v>
      </c>
      <c r="H39" s="446">
        <f t="shared" si="18"/>
        <v>3000</v>
      </c>
      <c r="I39" s="378">
        <v>3000.0</v>
      </c>
      <c r="J39" s="378">
        <f>I39</f>
        <v>3000</v>
      </c>
      <c r="K39" s="378">
        <v>3000.0</v>
      </c>
      <c r="L39" s="378">
        <f t="shared" ref="L39:N39" si="19">K39</f>
        <v>3000</v>
      </c>
      <c r="M39" s="378">
        <f t="shared" si="19"/>
        <v>3000</v>
      </c>
      <c r="N39" s="147">
        <f t="shared" si="19"/>
        <v>3000</v>
      </c>
      <c r="O39" s="409"/>
      <c r="P39" s="450" t="s">
        <v>159</v>
      </c>
      <c r="Q39" s="455">
        <v>400.0</v>
      </c>
      <c r="R39" s="455">
        <v>400.0</v>
      </c>
      <c r="S39" s="452"/>
      <c r="T39" s="452"/>
      <c r="U39" s="452"/>
      <c r="V39" s="452"/>
      <c r="W39" s="452"/>
      <c r="X39" s="452"/>
    </row>
    <row r="40">
      <c r="B40" s="145" t="s">
        <v>184</v>
      </c>
      <c r="C40" s="146"/>
      <c r="D40" s="378">
        <v>700.0</v>
      </c>
      <c r="E40" s="378">
        <v>700.0</v>
      </c>
      <c r="F40" s="378">
        <v>700.0</v>
      </c>
      <c r="G40" s="446">
        <v>700.0</v>
      </c>
      <c r="H40" s="446">
        <v>700.0</v>
      </c>
      <c r="I40" s="378">
        <v>700.0</v>
      </c>
      <c r="J40" s="378">
        <v>700.0</v>
      </c>
      <c r="K40" s="378">
        <v>700.0</v>
      </c>
      <c r="L40" s="378">
        <v>700.0</v>
      </c>
      <c r="M40" s="378">
        <v>1000.0</v>
      </c>
      <c r="N40" s="147">
        <v>1000.0</v>
      </c>
      <c r="O40" s="409"/>
      <c r="P40" s="450" t="s">
        <v>160</v>
      </c>
      <c r="Q40" s="455">
        <v>1500.0</v>
      </c>
      <c r="R40" s="455">
        <v>1500.0</v>
      </c>
      <c r="S40" s="452"/>
      <c r="T40" s="481"/>
      <c r="U40" s="452"/>
      <c r="V40" s="452"/>
      <c r="W40" s="452"/>
      <c r="X40" s="452"/>
    </row>
    <row r="41">
      <c r="B41" s="145" t="s">
        <v>3</v>
      </c>
      <c r="C41" s="146"/>
      <c r="D41" s="378">
        <v>500.0</v>
      </c>
      <c r="E41" s="378">
        <v>500.0</v>
      </c>
      <c r="F41" s="378">
        <v>500.0</v>
      </c>
      <c r="G41" s="446">
        <v>500.0</v>
      </c>
      <c r="H41" s="446">
        <v>500.0</v>
      </c>
      <c r="I41" s="378">
        <v>500.0</v>
      </c>
      <c r="J41" s="378">
        <v>500.0</v>
      </c>
      <c r="K41" s="378">
        <v>500.0</v>
      </c>
      <c r="L41" s="378">
        <v>500.0</v>
      </c>
      <c r="M41" s="378">
        <v>500.0</v>
      </c>
      <c r="N41" s="147">
        <v>500.0</v>
      </c>
      <c r="O41" s="409"/>
      <c r="P41" s="450" t="s">
        <v>184</v>
      </c>
      <c r="Q41" s="456"/>
      <c r="R41" s="456"/>
      <c r="S41" s="452"/>
      <c r="T41" s="456">
        <v>1000.0</v>
      </c>
      <c r="U41" s="452"/>
      <c r="V41" s="452"/>
      <c r="W41" s="452"/>
      <c r="X41" s="452"/>
    </row>
    <row r="42">
      <c r="B42" s="152" t="s">
        <v>161</v>
      </c>
      <c r="C42" s="153"/>
      <c r="D42" s="154">
        <f t="shared" ref="D42:N42" si="20">SUM(D19:D41)*-1</f>
        <v>-11821.62</v>
      </c>
      <c r="E42" s="154">
        <f t="shared" si="20"/>
        <v>-11819.62</v>
      </c>
      <c r="F42" s="154">
        <f t="shared" si="20"/>
        <v>-11719.62</v>
      </c>
      <c r="G42" s="435">
        <f t="shared" si="20"/>
        <v>-11827.4</v>
      </c>
      <c r="H42" s="435">
        <f t="shared" si="20"/>
        <v>-12327.4</v>
      </c>
      <c r="I42" s="154">
        <f t="shared" si="20"/>
        <v>-12243.99</v>
      </c>
      <c r="J42" s="154">
        <f t="shared" si="20"/>
        <v>-11783.99</v>
      </c>
      <c r="K42" s="154">
        <f t="shared" si="20"/>
        <v>-13043.99</v>
      </c>
      <c r="L42" s="154">
        <f t="shared" si="20"/>
        <v>-12943.99</v>
      </c>
      <c r="M42" s="154">
        <f t="shared" si="20"/>
        <v>-13363.99</v>
      </c>
      <c r="N42" s="154">
        <f t="shared" si="20"/>
        <v>-13497.9</v>
      </c>
      <c r="O42" s="409"/>
      <c r="P42" s="450" t="s">
        <v>3</v>
      </c>
      <c r="Q42" s="456"/>
      <c r="R42" s="452"/>
      <c r="S42" s="452"/>
      <c r="T42" s="456">
        <v>500.0</v>
      </c>
      <c r="U42" s="452"/>
      <c r="V42" s="452"/>
      <c r="W42" s="452"/>
      <c r="X42" s="452"/>
    </row>
    <row r="43">
      <c r="C43" s="27"/>
      <c r="O43" s="409"/>
      <c r="P43" s="450" t="s">
        <v>385</v>
      </c>
      <c r="Q43" s="456"/>
      <c r="R43" s="451"/>
      <c r="S43" s="451"/>
      <c r="T43" s="456">
        <v>200.0</v>
      </c>
      <c r="U43" s="451"/>
      <c r="V43" s="451"/>
      <c r="W43" s="451"/>
      <c r="X43" s="451"/>
    </row>
    <row r="44">
      <c r="B44" s="156" t="s">
        <v>162</v>
      </c>
      <c r="C44" s="157"/>
      <c r="D44" s="469">
        <f t="shared" ref="D44:N44" si="21">D16+D42</f>
        <v>2090.25</v>
      </c>
      <c r="E44" s="469">
        <f t="shared" si="21"/>
        <v>2384.28</v>
      </c>
      <c r="F44" s="469">
        <f t="shared" si="21"/>
        <v>2387.51</v>
      </c>
      <c r="G44" s="470">
        <f t="shared" si="21"/>
        <v>3327.13</v>
      </c>
      <c r="H44" s="469">
        <f t="shared" si="21"/>
        <v>2255.27</v>
      </c>
      <c r="I44" s="469">
        <f t="shared" si="21"/>
        <v>2327.67</v>
      </c>
      <c r="J44" s="469">
        <f t="shared" si="21"/>
        <v>2771.68</v>
      </c>
      <c r="K44" s="158">
        <f t="shared" si="21"/>
        <v>1485.22</v>
      </c>
      <c r="L44" s="158">
        <f t="shared" si="21"/>
        <v>1657.68</v>
      </c>
      <c r="M44" s="158">
        <f t="shared" si="21"/>
        <v>1228.68</v>
      </c>
      <c r="N44" s="158">
        <f t="shared" si="21"/>
        <v>1104.77</v>
      </c>
      <c r="O44" s="18"/>
      <c r="P44" s="18" t="s">
        <v>391</v>
      </c>
      <c r="Q44" s="455"/>
      <c r="R44" s="457"/>
      <c r="S44" s="452"/>
      <c r="T44" s="479"/>
      <c r="U44" s="452"/>
      <c r="V44" s="451"/>
      <c r="W44" s="452"/>
      <c r="X44" s="452"/>
    </row>
    <row r="45">
      <c r="B45" s="83"/>
      <c r="C45" s="159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107"/>
      <c r="P45" s="462" t="s">
        <v>382</v>
      </c>
      <c r="Q45" s="462"/>
      <c r="R45" s="452"/>
      <c r="S45" s="452"/>
      <c r="T45" s="479">
        <f>724.25+380.52</f>
        <v>1104.77</v>
      </c>
      <c r="U45" s="452"/>
      <c r="V45" s="458"/>
      <c r="W45" s="452"/>
      <c r="X45" s="452"/>
    </row>
    <row r="46">
      <c r="B46" s="85" t="s">
        <v>163</v>
      </c>
      <c r="C46" s="160"/>
      <c r="D46" s="161" t="s">
        <v>123</v>
      </c>
      <c r="E46" s="161" t="s">
        <v>124</v>
      </c>
      <c r="F46" s="161" t="s">
        <v>125</v>
      </c>
      <c r="G46" s="437" t="s">
        <v>126</v>
      </c>
      <c r="H46" s="161" t="s">
        <v>127</v>
      </c>
      <c r="I46" s="161" t="s">
        <v>128</v>
      </c>
      <c r="J46" s="161" t="s">
        <v>129</v>
      </c>
      <c r="K46" s="161" t="s">
        <v>130</v>
      </c>
      <c r="L46" s="161" t="s">
        <v>131</v>
      </c>
      <c r="M46" s="161" t="s">
        <v>132</v>
      </c>
      <c r="N46" s="161" t="s">
        <v>133</v>
      </c>
      <c r="O46" s="107"/>
      <c r="P46" s="463" t="s">
        <v>26</v>
      </c>
      <c r="Q46" s="465">
        <f t="shared" ref="Q46:X46" si="22">SUM(Q20:Q45)</f>
        <v>5052.47</v>
      </c>
      <c r="R46" s="465">
        <f t="shared" si="22"/>
        <v>2313</v>
      </c>
      <c r="S46" s="465">
        <f t="shared" si="22"/>
        <v>2017.9</v>
      </c>
      <c r="T46" s="465">
        <f t="shared" si="22"/>
        <v>3189.3</v>
      </c>
      <c r="U46" s="465">
        <f t="shared" si="22"/>
        <v>180</v>
      </c>
      <c r="V46" s="465">
        <f t="shared" si="22"/>
        <v>1400</v>
      </c>
      <c r="W46" s="465">
        <f t="shared" si="22"/>
        <v>50</v>
      </c>
      <c r="X46" s="465">
        <f t="shared" si="22"/>
        <v>400</v>
      </c>
      <c r="Y46" s="414">
        <f>SUM(Q46:X46)</f>
        <v>14602.67</v>
      </c>
    </row>
    <row r="47">
      <c r="B47" s="162"/>
      <c r="C47" s="163"/>
      <c r="D47" s="164"/>
      <c r="E47" s="164"/>
      <c r="F47" s="165"/>
      <c r="G47" s="438"/>
      <c r="H47" s="165"/>
      <c r="I47" s="165"/>
      <c r="J47" s="165"/>
      <c r="K47" s="165"/>
      <c r="L47" s="165"/>
      <c r="M47" s="165"/>
      <c r="N47" s="165"/>
      <c r="O47" s="248"/>
      <c r="P47" s="107" t="s">
        <v>389</v>
      </c>
      <c r="Q47" s="486">
        <f>N12-Q46</f>
        <v>3609.25</v>
      </c>
      <c r="R47" s="472">
        <f>3710.95-R46</f>
        <v>1397.95</v>
      </c>
      <c r="S47" s="287"/>
    </row>
    <row r="48">
      <c r="A48" s="298"/>
      <c r="B48" s="162" t="s">
        <v>58</v>
      </c>
      <c r="C48" s="163"/>
      <c r="D48" s="167">
        <v>962.79</v>
      </c>
      <c r="E48" s="167">
        <v>962.79</v>
      </c>
      <c r="F48" s="167">
        <v>962.79</v>
      </c>
      <c r="G48" s="439">
        <v>962.79</v>
      </c>
      <c r="H48" s="167">
        <v>724.25</v>
      </c>
      <c r="I48" s="167">
        <v>724.25</v>
      </c>
      <c r="J48" s="167">
        <v>724.25</v>
      </c>
      <c r="K48" s="167">
        <v>724.25</v>
      </c>
      <c r="L48" s="167">
        <v>724.25</v>
      </c>
      <c r="M48" s="167">
        <v>724.25</v>
      </c>
      <c r="N48" s="167">
        <v>724.25</v>
      </c>
      <c r="O48" s="107"/>
      <c r="P48" s="325" t="s">
        <v>353</v>
      </c>
      <c r="T48" s="393">
        <f>R46+50+53.51</f>
        <v>2416.51</v>
      </c>
    </row>
    <row r="49">
      <c r="B49" s="162"/>
      <c r="C49" s="163"/>
      <c r="D49" s="166"/>
      <c r="E49" s="166"/>
      <c r="F49" s="166"/>
      <c r="G49" s="440"/>
      <c r="H49" s="166"/>
      <c r="I49" s="166"/>
      <c r="J49" s="166"/>
      <c r="K49" s="166"/>
      <c r="L49" s="166"/>
      <c r="M49" s="166"/>
      <c r="N49" s="166"/>
      <c r="O49" s="107"/>
      <c r="P49" s="107"/>
      <c r="T49" s="387"/>
      <c r="U49" s="393">
        <f>T48-3816.86</f>
        <v>-1400.35</v>
      </c>
      <c r="V49" s="387"/>
    </row>
    <row r="50">
      <c r="B50" s="168"/>
      <c r="C50" s="169"/>
      <c r="D50" s="170"/>
      <c r="E50" s="170"/>
      <c r="F50" s="170"/>
      <c r="G50" s="441"/>
      <c r="H50" s="170"/>
      <c r="I50" s="166"/>
      <c r="J50" s="170"/>
      <c r="K50" s="170"/>
      <c r="L50" s="170"/>
      <c r="M50" s="170"/>
      <c r="N50" s="170"/>
      <c r="O50" s="107"/>
      <c r="P50" s="107"/>
    </row>
    <row r="51">
      <c r="B51" s="152" t="s">
        <v>167</v>
      </c>
      <c r="C51" s="171"/>
      <c r="D51" s="172">
        <f t="shared" ref="D51:N51" si="23">SUM(D47:D50)*-1</f>
        <v>-962.79</v>
      </c>
      <c r="E51" s="172">
        <f t="shared" si="23"/>
        <v>-962.79</v>
      </c>
      <c r="F51" s="172">
        <f t="shared" si="23"/>
        <v>-962.79</v>
      </c>
      <c r="G51" s="442">
        <f t="shared" si="23"/>
        <v>-962.79</v>
      </c>
      <c r="H51" s="172">
        <f t="shared" si="23"/>
        <v>-724.25</v>
      </c>
      <c r="I51" s="172">
        <f t="shared" si="23"/>
        <v>-724.25</v>
      </c>
      <c r="J51" s="172">
        <f t="shared" si="23"/>
        <v>-724.25</v>
      </c>
      <c r="K51" s="172">
        <f t="shared" si="23"/>
        <v>-724.25</v>
      </c>
      <c r="L51" s="172">
        <f t="shared" si="23"/>
        <v>-724.25</v>
      </c>
      <c r="M51" s="154">
        <f t="shared" si="23"/>
        <v>-724.25</v>
      </c>
      <c r="N51" s="172">
        <f t="shared" si="23"/>
        <v>-724.25</v>
      </c>
      <c r="P51" s="18" t="s">
        <v>394</v>
      </c>
    </row>
    <row r="52">
      <c r="B52" s="83"/>
      <c r="C52" s="159"/>
      <c r="D52" s="96"/>
      <c r="E52" s="96"/>
      <c r="F52" s="96"/>
      <c r="G52" s="96"/>
      <c r="H52" s="96"/>
      <c r="I52" s="96"/>
      <c r="J52" s="96"/>
      <c r="K52" s="96"/>
      <c r="L52" s="96"/>
      <c r="M52" s="487"/>
      <c r="N52" s="96"/>
      <c r="O52" s="107"/>
      <c r="P52" s="107"/>
    </row>
    <row r="53">
      <c r="B53" s="173" t="s">
        <v>168</v>
      </c>
      <c r="C53" s="174"/>
      <c r="D53" s="175">
        <f t="shared" ref="D53:N53" si="24">D44+D51</f>
        <v>1127.46</v>
      </c>
      <c r="E53" s="175">
        <f t="shared" si="24"/>
        <v>1421.49</v>
      </c>
      <c r="F53" s="175">
        <f t="shared" si="24"/>
        <v>1424.72</v>
      </c>
      <c r="G53" s="443">
        <f t="shared" si="24"/>
        <v>2364.34</v>
      </c>
      <c r="H53" s="175">
        <f t="shared" si="24"/>
        <v>1531.02</v>
      </c>
      <c r="I53" s="175">
        <f t="shared" si="24"/>
        <v>1603.42</v>
      </c>
      <c r="J53" s="175">
        <f t="shared" si="24"/>
        <v>2047.43</v>
      </c>
      <c r="K53" s="175">
        <f t="shared" si="24"/>
        <v>760.97</v>
      </c>
      <c r="L53" s="175">
        <f t="shared" si="24"/>
        <v>933.43</v>
      </c>
      <c r="M53" s="488">
        <f t="shared" si="24"/>
        <v>504.43</v>
      </c>
      <c r="N53" s="175">
        <f t="shared" si="24"/>
        <v>380.52</v>
      </c>
      <c r="O53" s="107"/>
      <c r="P53" s="107"/>
      <c r="Q53" s="107"/>
    </row>
    <row r="54">
      <c r="B54" s="83"/>
      <c r="C54" s="159"/>
      <c r="D54" s="96"/>
      <c r="E54" s="96"/>
      <c r="F54" s="96"/>
      <c r="G54" s="96"/>
      <c r="H54" s="96"/>
      <c r="I54" s="96"/>
      <c r="J54" s="96"/>
      <c r="K54" s="96"/>
      <c r="L54" s="96"/>
      <c r="M54" s="487"/>
      <c r="N54" s="96"/>
      <c r="O54" s="107"/>
      <c r="P54" s="107"/>
      <c r="Q54" s="18"/>
    </row>
    <row r="55">
      <c r="B55" s="100" t="s">
        <v>169</v>
      </c>
      <c r="C55" s="176"/>
      <c r="D55" s="177" t="s">
        <v>123</v>
      </c>
      <c r="E55" s="177" t="s">
        <v>124</v>
      </c>
      <c r="F55" s="177" t="s">
        <v>125</v>
      </c>
      <c r="G55" s="444" t="s">
        <v>126</v>
      </c>
      <c r="H55" s="177" t="s">
        <v>127</v>
      </c>
      <c r="I55" s="177" t="s">
        <v>128</v>
      </c>
      <c r="J55" s="177" t="s">
        <v>129</v>
      </c>
      <c r="K55" s="177" t="s">
        <v>130</v>
      </c>
      <c r="L55" s="177" t="s">
        <v>131</v>
      </c>
      <c r="M55" s="177" t="s">
        <v>132</v>
      </c>
      <c r="N55" s="177" t="s">
        <v>133</v>
      </c>
      <c r="O55" s="107"/>
      <c r="P55" s="107"/>
      <c r="Q55" s="18"/>
    </row>
    <row r="56">
      <c r="B56" s="152" t="s">
        <v>171</v>
      </c>
      <c r="C56" s="153"/>
      <c r="D56" s="178">
        <f t="shared" ref="D56:N56" si="25">+D53</f>
        <v>1127.46</v>
      </c>
      <c r="E56" s="178">
        <f t="shared" si="25"/>
        <v>1421.49</v>
      </c>
      <c r="F56" s="178">
        <f t="shared" si="25"/>
        <v>1424.72</v>
      </c>
      <c r="G56" s="445">
        <f t="shared" si="25"/>
        <v>2364.34</v>
      </c>
      <c r="H56" s="178">
        <f t="shared" si="25"/>
        <v>1531.02</v>
      </c>
      <c r="I56" s="178">
        <f t="shared" si="25"/>
        <v>1603.42</v>
      </c>
      <c r="J56" s="178">
        <f t="shared" si="25"/>
        <v>2047.43</v>
      </c>
      <c r="K56" s="178">
        <f t="shared" si="25"/>
        <v>760.97</v>
      </c>
      <c r="L56" s="178">
        <f t="shared" si="25"/>
        <v>933.43</v>
      </c>
      <c r="M56" s="171">
        <f t="shared" si="25"/>
        <v>504.43</v>
      </c>
      <c r="N56" s="178">
        <f t="shared" si="25"/>
        <v>380.52</v>
      </c>
      <c r="O56" s="27"/>
      <c r="P56" s="27"/>
    </row>
    <row r="57">
      <c r="D57" s="362"/>
      <c r="E57" s="362"/>
      <c r="F57" s="27"/>
      <c r="G57" s="27"/>
      <c r="H57" s="27"/>
      <c r="J57" s="27"/>
      <c r="L57" s="27"/>
      <c r="O57" s="27"/>
      <c r="P57" s="27"/>
    </row>
    <row r="58">
      <c r="F58" s="27"/>
      <c r="G58" s="27"/>
      <c r="H58" s="27"/>
      <c r="J58" s="27"/>
      <c r="L58" s="27"/>
      <c r="O58" s="27"/>
      <c r="P58" s="27"/>
    </row>
    <row r="59">
      <c r="F59" s="27"/>
      <c r="G59" s="27"/>
      <c r="H59" s="27"/>
      <c r="J59" s="27"/>
      <c r="L59" s="27"/>
      <c r="O59" s="27"/>
      <c r="P59" s="27"/>
    </row>
    <row r="60">
      <c r="F60" s="27"/>
      <c r="G60" s="27"/>
      <c r="H60" s="27"/>
      <c r="J60" s="27"/>
      <c r="L60" s="27"/>
      <c r="O60" s="27"/>
      <c r="P60" s="27"/>
    </row>
    <row r="61">
      <c r="F61" s="27"/>
      <c r="G61" s="27"/>
      <c r="H61" s="27"/>
      <c r="J61" s="27"/>
      <c r="L61" s="27"/>
      <c r="O61" s="27"/>
      <c r="P61" s="27"/>
    </row>
    <row r="62">
      <c r="F62" s="27"/>
      <c r="G62" s="27"/>
      <c r="H62" s="27"/>
      <c r="J62" s="27"/>
      <c r="L62" s="27"/>
      <c r="N62" s="27"/>
      <c r="O62" s="27"/>
      <c r="P62" s="27"/>
    </row>
    <row r="63">
      <c r="F63" s="27"/>
      <c r="G63" s="27"/>
      <c r="H63" s="27"/>
      <c r="J63" s="27"/>
      <c r="L63" s="27"/>
      <c r="N63" s="27"/>
      <c r="O63" s="27"/>
      <c r="P63" s="27"/>
    </row>
    <row r="64">
      <c r="F64" s="27"/>
      <c r="G64" s="27"/>
      <c r="H64" s="27"/>
      <c r="J64" s="27"/>
      <c r="L64" s="27"/>
      <c r="N64" s="27"/>
      <c r="O64" s="27"/>
      <c r="P64" s="27"/>
    </row>
    <row r="65">
      <c r="F65" s="27"/>
      <c r="G65" s="27"/>
      <c r="H65" s="27"/>
      <c r="J65" s="27"/>
      <c r="L65" s="27"/>
      <c r="N65" s="27"/>
      <c r="O65" s="27"/>
      <c r="P65" s="27"/>
    </row>
    <row r="66">
      <c r="F66" s="27"/>
      <c r="G66" s="27"/>
      <c r="H66" s="27"/>
      <c r="J66" s="27"/>
      <c r="L66" s="27"/>
      <c r="N66" s="27"/>
      <c r="O66" s="27"/>
      <c r="P66" s="27"/>
    </row>
    <row r="67">
      <c r="F67" s="27"/>
      <c r="G67" s="27"/>
      <c r="H67" s="27"/>
      <c r="J67" s="27"/>
      <c r="L67" s="27"/>
      <c r="N67" s="27"/>
      <c r="O67" s="27"/>
      <c r="P67" s="27"/>
    </row>
    <row r="68">
      <c r="F68" s="27"/>
      <c r="G68" s="27"/>
      <c r="H68" s="27"/>
      <c r="J68" s="27"/>
      <c r="L68" s="27"/>
      <c r="M68" s="27"/>
      <c r="N68" s="27"/>
      <c r="O68" s="27"/>
      <c r="P68" s="27"/>
    </row>
    <row r="69">
      <c r="F69" s="27"/>
      <c r="G69" s="27"/>
      <c r="H69" s="27"/>
      <c r="J69" s="27"/>
      <c r="L69" s="27"/>
      <c r="M69" s="27"/>
      <c r="N69" s="27"/>
      <c r="O69" s="27"/>
      <c r="P69" s="27"/>
    </row>
    <row r="70">
      <c r="F70" s="27"/>
      <c r="G70" s="27"/>
      <c r="H70" s="27"/>
      <c r="J70" s="27"/>
      <c r="L70" s="27"/>
      <c r="M70" s="27"/>
      <c r="N70" s="27"/>
      <c r="O70" s="27"/>
      <c r="P70" s="27"/>
    </row>
    <row r="71">
      <c r="F71" s="27"/>
      <c r="G71" s="27"/>
      <c r="H71" s="27"/>
      <c r="J71" s="27"/>
      <c r="L71" s="27"/>
      <c r="M71" s="27"/>
      <c r="N71" s="27"/>
      <c r="O71" s="27"/>
      <c r="P71" s="27"/>
    </row>
    <row r="72">
      <c r="F72" s="27"/>
      <c r="G72" s="27"/>
      <c r="H72" s="27"/>
      <c r="J72" s="27"/>
      <c r="L72" s="27"/>
      <c r="M72" s="27"/>
      <c r="N72" s="27"/>
      <c r="O72" s="27"/>
      <c r="P72" s="27"/>
    </row>
    <row r="73">
      <c r="F73" s="27"/>
      <c r="G73" s="27"/>
      <c r="H73" s="27"/>
      <c r="J73" s="27"/>
      <c r="L73" s="27"/>
      <c r="M73" s="27"/>
      <c r="N73" s="27"/>
      <c r="O73" s="27"/>
      <c r="P73" s="27"/>
    </row>
    <row r="74">
      <c r="F74" s="27"/>
      <c r="G74" s="27"/>
      <c r="H74" s="27"/>
      <c r="J74" s="27"/>
      <c r="L74" s="27"/>
      <c r="M74" s="27"/>
      <c r="N74" s="27"/>
      <c r="O74" s="27"/>
      <c r="P74" s="27"/>
    </row>
    <row r="75">
      <c r="F75" s="27"/>
      <c r="G75" s="27"/>
      <c r="H75" s="27"/>
      <c r="J75" s="27"/>
      <c r="L75" s="27"/>
      <c r="M75" s="27"/>
      <c r="N75" s="27"/>
      <c r="O75" s="27"/>
      <c r="P75" s="27"/>
    </row>
    <row r="76">
      <c r="F76" s="27"/>
      <c r="G76" s="27"/>
      <c r="H76" s="27"/>
      <c r="J76" s="27"/>
      <c r="L76" s="27"/>
      <c r="M76" s="27"/>
      <c r="N76" s="27"/>
      <c r="O76" s="27"/>
      <c r="P76" s="27"/>
    </row>
    <row r="77">
      <c r="F77" s="27"/>
      <c r="G77" s="27"/>
      <c r="H77" s="27"/>
      <c r="J77" s="27"/>
      <c r="L77" s="27"/>
      <c r="M77" s="27"/>
      <c r="N77" s="27"/>
      <c r="O77" s="27"/>
      <c r="P77" s="27"/>
    </row>
    <row r="78">
      <c r="F78" s="27"/>
      <c r="G78" s="27"/>
      <c r="H78" s="27"/>
      <c r="J78" s="27"/>
      <c r="L78" s="27"/>
      <c r="M78" s="27"/>
      <c r="N78" s="27"/>
      <c r="O78" s="27"/>
      <c r="P78" s="27"/>
    </row>
    <row r="79">
      <c r="F79" s="27"/>
      <c r="G79" s="27"/>
      <c r="H79" s="27"/>
      <c r="J79" s="27"/>
      <c r="L79" s="27"/>
      <c r="M79" s="27"/>
      <c r="N79" s="27"/>
      <c r="O79" s="27"/>
      <c r="P79" s="27"/>
    </row>
    <row r="80">
      <c r="F80" s="27"/>
      <c r="G80" s="27"/>
      <c r="H80" s="27"/>
      <c r="J80" s="27"/>
      <c r="L80" s="27"/>
      <c r="M80" s="27"/>
      <c r="N80" s="27"/>
      <c r="O80" s="27"/>
      <c r="P80" s="27"/>
    </row>
    <row r="81">
      <c r="F81" s="27"/>
      <c r="G81" s="27"/>
      <c r="H81" s="27"/>
      <c r="J81" s="27"/>
      <c r="L81" s="27"/>
      <c r="M81" s="27"/>
      <c r="N81" s="27"/>
      <c r="O81" s="27"/>
      <c r="P81" s="27"/>
    </row>
    <row r="82">
      <c r="F82" s="27"/>
      <c r="G82" s="27"/>
      <c r="H82" s="27"/>
      <c r="J82" s="27"/>
      <c r="L82" s="27"/>
      <c r="M82" s="27"/>
      <c r="N82" s="27"/>
      <c r="O82" s="27"/>
      <c r="P82" s="27"/>
    </row>
    <row r="83">
      <c r="F83" s="27"/>
      <c r="G83" s="27"/>
      <c r="H83" s="27"/>
      <c r="J83" s="27"/>
      <c r="L83" s="27"/>
      <c r="M83" s="27"/>
      <c r="N83" s="27"/>
      <c r="O83" s="27"/>
      <c r="P83" s="27"/>
    </row>
    <row r="84">
      <c r="F84" s="27"/>
      <c r="G84" s="27"/>
      <c r="H84" s="27"/>
      <c r="J84" s="27"/>
      <c r="L84" s="27"/>
      <c r="M84" s="27"/>
      <c r="N84" s="27"/>
      <c r="O84" s="27"/>
      <c r="P84" s="27"/>
    </row>
    <row r="85">
      <c r="F85" s="27"/>
      <c r="G85" s="27"/>
      <c r="H85" s="27"/>
      <c r="J85" s="27"/>
      <c r="L85" s="27"/>
      <c r="M85" s="27"/>
      <c r="N85" s="27"/>
      <c r="O85" s="27"/>
      <c r="P85" s="27"/>
    </row>
    <row r="86">
      <c r="F86" s="27"/>
      <c r="G86" s="27"/>
      <c r="H86" s="27"/>
      <c r="J86" s="27"/>
      <c r="L86" s="27"/>
      <c r="M86" s="27"/>
      <c r="N86" s="27"/>
      <c r="O86" s="27"/>
      <c r="P86" s="27"/>
    </row>
    <row r="87">
      <c r="F87" s="27"/>
      <c r="G87" s="27"/>
      <c r="H87" s="27"/>
      <c r="J87" s="27"/>
      <c r="L87" s="27"/>
      <c r="M87" s="27"/>
      <c r="N87" s="27"/>
      <c r="O87" s="27"/>
      <c r="P87" s="27"/>
    </row>
    <row r="88">
      <c r="F88" s="27"/>
      <c r="G88" s="27"/>
      <c r="H88" s="27"/>
      <c r="J88" s="27"/>
      <c r="L88" s="27"/>
      <c r="M88" s="27"/>
      <c r="N88" s="27"/>
      <c r="O88" s="27"/>
      <c r="P88" s="27"/>
    </row>
    <row r="89">
      <c r="F89" s="27"/>
      <c r="G89" s="27"/>
      <c r="H89" s="27"/>
      <c r="J89" s="27"/>
      <c r="L89" s="27"/>
      <c r="M89" s="27"/>
      <c r="N89" s="27"/>
      <c r="O89" s="27"/>
      <c r="P89" s="27"/>
    </row>
    <row r="90">
      <c r="F90" s="27"/>
      <c r="G90" s="27"/>
      <c r="H90" s="27"/>
      <c r="J90" s="27"/>
      <c r="L90" s="27"/>
      <c r="M90" s="27"/>
      <c r="N90" s="27"/>
      <c r="O90" s="27"/>
      <c r="P90" s="27"/>
    </row>
    <row r="91">
      <c r="F91" s="27"/>
      <c r="G91" s="27"/>
      <c r="H91" s="27"/>
      <c r="J91" s="27"/>
      <c r="L91" s="27"/>
      <c r="M91" s="27"/>
      <c r="N91" s="27"/>
      <c r="O91" s="27"/>
      <c r="P91" s="27"/>
    </row>
    <row r="92">
      <c r="F92" s="27"/>
      <c r="G92" s="27"/>
      <c r="H92" s="27"/>
      <c r="J92" s="27"/>
      <c r="L92" s="27"/>
      <c r="M92" s="27"/>
      <c r="N92" s="27"/>
      <c r="O92" s="27"/>
      <c r="P92" s="27"/>
    </row>
    <row r="93">
      <c r="F93" s="27"/>
      <c r="G93" s="27"/>
      <c r="H93" s="27"/>
      <c r="J93" s="27"/>
      <c r="L93" s="27"/>
      <c r="M93" s="27"/>
      <c r="N93" s="27"/>
      <c r="O93" s="27"/>
      <c r="P93" s="27"/>
    </row>
    <row r="94">
      <c r="F94" s="27"/>
      <c r="G94" s="27"/>
      <c r="H94" s="27"/>
      <c r="J94" s="27"/>
      <c r="L94" s="27"/>
      <c r="M94" s="27"/>
      <c r="N94" s="27"/>
      <c r="O94" s="27"/>
      <c r="P94" s="27"/>
    </row>
    <row r="95">
      <c r="F95" s="27"/>
      <c r="G95" s="27"/>
      <c r="H95" s="27"/>
      <c r="J95" s="27"/>
      <c r="L95" s="27"/>
      <c r="M95" s="27"/>
      <c r="N95" s="27"/>
      <c r="O95" s="27"/>
      <c r="P95" s="27"/>
    </row>
    <row r="96">
      <c r="F96" s="27"/>
      <c r="G96" s="27"/>
      <c r="H96" s="27"/>
      <c r="J96" s="27"/>
      <c r="L96" s="27"/>
      <c r="M96" s="27"/>
      <c r="N96" s="27"/>
      <c r="O96" s="27"/>
      <c r="P96" s="27"/>
    </row>
    <row r="97">
      <c r="F97" s="27"/>
      <c r="G97" s="27"/>
      <c r="H97" s="27"/>
      <c r="J97" s="27"/>
      <c r="L97" s="27"/>
      <c r="M97" s="27"/>
      <c r="N97" s="27"/>
      <c r="O97" s="27"/>
      <c r="P97" s="27"/>
    </row>
    <row r="98">
      <c r="F98" s="27"/>
      <c r="G98" s="27"/>
      <c r="H98" s="27"/>
      <c r="J98" s="27"/>
      <c r="L98" s="27"/>
      <c r="M98" s="27"/>
      <c r="N98" s="27"/>
      <c r="O98" s="27"/>
      <c r="P98" s="27"/>
    </row>
    <row r="99">
      <c r="F99" s="27"/>
      <c r="G99" s="27"/>
      <c r="H99" s="27"/>
      <c r="J99" s="27"/>
      <c r="L99" s="27"/>
      <c r="M99" s="27"/>
      <c r="N99" s="27"/>
      <c r="O99" s="27"/>
      <c r="P99" s="27"/>
    </row>
    <row r="100">
      <c r="F100" s="27"/>
      <c r="G100" s="27"/>
      <c r="H100" s="27"/>
      <c r="J100" s="27"/>
      <c r="L100" s="27"/>
      <c r="M100" s="27"/>
      <c r="N100" s="27"/>
      <c r="O100" s="27"/>
      <c r="P100" s="27"/>
    </row>
    <row r="101">
      <c r="F101" s="27"/>
      <c r="G101" s="27"/>
      <c r="H101" s="27"/>
      <c r="J101" s="27"/>
      <c r="L101" s="27"/>
      <c r="M101" s="27"/>
      <c r="N101" s="27"/>
      <c r="O101" s="27"/>
      <c r="P101" s="27"/>
    </row>
    <row r="102">
      <c r="F102" s="27"/>
      <c r="G102" s="27"/>
      <c r="H102" s="27"/>
      <c r="J102" s="27"/>
      <c r="L102" s="27"/>
      <c r="M102" s="27"/>
      <c r="N102" s="27"/>
      <c r="O102" s="27"/>
      <c r="P102" s="27"/>
    </row>
    <row r="103">
      <c r="F103" s="27"/>
      <c r="G103" s="27"/>
      <c r="H103" s="27"/>
      <c r="J103" s="27"/>
      <c r="L103" s="27"/>
      <c r="M103" s="27"/>
      <c r="N103" s="27"/>
      <c r="O103" s="27"/>
      <c r="P103" s="27"/>
    </row>
    <row r="104">
      <c r="F104" s="27"/>
      <c r="G104" s="27"/>
      <c r="H104" s="27"/>
      <c r="J104" s="27"/>
      <c r="L104" s="27"/>
      <c r="M104" s="27"/>
      <c r="N104" s="27"/>
      <c r="O104" s="27"/>
      <c r="P104" s="27"/>
    </row>
    <row r="105">
      <c r="F105" s="27"/>
      <c r="G105" s="27"/>
      <c r="H105" s="27"/>
      <c r="J105" s="27"/>
      <c r="L105" s="27"/>
      <c r="M105" s="27"/>
      <c r="N105" s="27"/>
      <c r="O105" s="27"/>
      <c r="P105" s="27"/>
    </row>
    <row r="106">
      <c r="F106" s="27"/>
      <c r="G106" s="27"/>
      <c r="H106" s="27"/>
      <c r="J106" s="27"/>
      <c r="L106" s="27"/>
      <c r="M106" s="27"/>
      <c r="N106" s="27"/>
      <c r="O106" s="27"/>
      <c r="P106" s="27"/>
    </row>
    <row r="107">
      <c r="F107" s="27"/>
      <c r="G107" s="27"/>
      <c r="H107" s="27"/>
      <c r="J107" s="27"/>
      <c r="L107" s="27"/>
      <c r="M107" s="27"/>
      <c r="N107" s="27"/>
      <c r="O107" s="27"/>
      <c r="P107" s="27"/>
    </row>
    <row r="108">
      <c r="F108" s="27"/>
      <c r="G108" s="27"/>
      <c r="H108" s="27"/>
      <c r="J108" s="27"/>
      <c r="L108" s="27"/>
      <c r="M108" s="27"/>
      <c r="N108" s="27"/>
      <c r="O108" s="27"/>
      <c r="P108" s="27"/>
    </row>
    <row r="109">
      <c r="F109" s="27"/>
      <c r="G109" s="27"/>
      <c r="H109" s="27"/>
      <c r="J109" s="27"/>
      <c r="L109" s="27"/>
      <c r="M109" s="27"/>
      <c r="N109" s="27"/>
      <c r="O109" s="27"/>
      <c r="P109" s="27"/>
    </row>
    <row r="110">
      <c r="F110" s="27"/>
      <c r="G110" s="27"/>
      <c r="H110" s="27"/>
      <c r="J110" s="27"/>
      <c r="L110" s="27"/>
      <c r="M110" s="27"/>
      <c r="N110" s="27"/>
      <c r="O110" s="27"/>
      <c r="P110" s="27"/>
    </row>
    <row r="111">
      <c r="F111" s="27"/>
      <c r="G111" s="27"/>
      <c r="H111" s="27"/>
      <c r="J111" s="27"/>
      <c r="L111" s="27"/>
      <c r="M111" s="27"/>
      <c r="N111" s="27"/>
      <c r="O111" s="27"/>
      <c r="P111" s="27"/>
    </row>
    <row r="112">
      <c r="F112" s="27"/>
      <c r="G112" s="27"/>
      <c r="H112" s="27"/>
      <c r="J112" s="27"/>
      <c r="L112" s="27"/>
      <c r="M112" s="27"/>
      <c r="N112" s="27"/>
      <c r="O112" s="27"/>
      <c r="P112" s="27"/>
    </row>
    <row r="113">
      <c r="F113" s="27"/>
      <c r="G113" s="27"/>
      <c r="H113" s="27"/>
      <c r="J113" s="27"/>
      <c r="L113" s="27"/>
      <c r="M113" s="27"/>
      <c r="N113" s="27"/>
      <c r="O113" s="27"/>
      <c r="P113" s="27"/>
    </row>
    <row r="114">
      <c r="F114" s="27"/>
      <c r="G114" s="27"/>
      <c r="H114" s="27"/>
      <c r="J114" s="27"/>
      <c r="L114" s="27"/>
      <c r="M114" s="27"/>
      <c r="N114" s="27"/>
      <c r="O114" s="27"/>
      <c r="P114" s="27"/>
    </row>
    <row r="115">
      <c r="F115" s="27"/>
      <c r="G115" s="27"/>
      <c r="H115" s="27"/>
      <c r="J115" s="27"/>
      <c r="L115" s="27"/>
      <c r="M115" s="27"/>
      <c r="N115" s="27"/>
      <c r="O115" s="27"/>
      <c r="P115" s="27"/>
    </row>
    <row r="116">
      <c r="F116" s="27"/>
      <c r="G116" s="27"/>
      <c r="H116" s="27"/>
      <c r="J116" s="27"/>
      <c r="L116" s="27"/>
      <c r="M116" s="27"/>
      <c r="N116" s="27"/>
      <c r="O116" s="27"/>
      <c r="P116" s="27"/>
    </row>
    <row r="117">
      <c r="F117" s="27"/>
      <c r="G117" s="27"/>
      <c r="H117" s="27"/>
      <c r="J117" s="27"/>
      <c r="L117" s="27"/>
      <c r="M117" s="27"/>
      <c r="N117" s="27"/>
      <c r="O117" s="27"/>
      <c r="P117" s="27"/>
    </row>
    <row r="118">
      <c r="F118" s="27"/>
      <c r="G118" s="27"/>
      <c r="H118" s="27"/>
      <c r="J118" s="27"/>
      <c r="L118" s="27"/>
      <c r="M118" s="27"/>
      <c r="N118" s="27"/>
      <c r="O118" s="27"/>
      <c r="P118" s="27"/>
    </row>
    <row r="119">
      <c r="F119" s="27"/>
      <c r="G119" s="27"/>
      <c r="H119" s="27"/>
      <c r="J119" s="27"/>
      <c r="L119" s="27"/>
      <c r="M119" s="27"/>
      <c r="N119" s="27"/>
      <c r="O119" s="27"/>
      <c r="P119" s="27"/>
    </row>
    <row r="120">
      <c r="F120" s="27"/>
      <c r="G120" s="27"/>
      <c r="H120" s="27"/>
      <c r="J120" s="27"/>
      <c r="L120" s="27"/>
      <c r="M120" s="27"/>
      <c r="N120" s="27"/>
      <c r="O120" s="27"/>
      <c r="P120" s="27"/>
    </row>
    <row r="121">
      <c r="F121" s="27"/>
      <c r="G121" s="27"/>
      <c r="H121" s="27"/>
      <c r="J121" s="27"/>
      <c r="L121" s="27"/>
      <c r="M121" s="27"/>
      <c r="N121" s="27"/>
      <c r="O121" s="27"/>
      <c r="P121" s="27"/>
    </row>
    <row r="122">
      <c r="F122" s="27"/>
      <c r="G122" s="27"/>
      <c r="H122" s="27"/>
      <c r="J122" s="27"/>
      <c r="L122" s="27"/>
      <c r="M122" s="27"/>
      <c r="N122" s="27"/>
      <c r="O122" s="27"/>
      <c r="P122" s="27"/>
    </row>
    <row r="123">
      <c r="F123" s="27"/>
      <c r="G123" s="27"/>
      <c r="H123" s="27"/>
      <c r="J123" s="27"/>
      <c r="L123" s="27"/>
      <c r="M123" s="27"/>
      <c r="N123" s="27"/>
      <c r="O123" s="27"/>
      <c r="P123" s="27"/>
    </row>
    <row r="124">
      <c r="F124" s="27"/>
      <c r="G124" s="27"/>
      <c r="H124" s="27"/>
      <c r="J124" s="27"/>
      <c r="L124" s="27"/>
      <c r="M124" s="27"/>
      <c r="N124" s="27"/>
      <c r="O124" s="27"/>
      <c r="P124" s="27"/>
    </row>
    <row r="125">
      <c r="F125" s="27"/>
      <c r="G125" s="27"/>
      <c r="H125" s="27"/>
      <c r="J125" s="27"/>
      <c r="L125" s="27"/>
      <c r="M125" s="27"/>
      <c r="N125" s="27"/>
      <c r="O125" s="27"/>
      <c r="P125" s="27"/>
    </row>
    <row r="126">
      <c r="F126" s="27"/>
      <c r="G126" s="27"/>
      <c r="H126" s="27"/>
      <c r="J126" s="27"/>
      <c r="L126" s="27"/>
      <c r="M126" s="27"/>
      <c r="N126" s="27"/>
      <c r="O126" s="27"/>
      <c r="P126" s="27"/>
    </row>
    <row r="127">
      <c r="F127" s="27"/>
      <c r="G127" s="27"/>
      <c r="H127" s="27"/>
      <c r="J127" s="27"/>
      <c r="L127" s="27"/>
      <c r="M127" s="27"/>
      <c r="N127" s="27"/>
      <c r="O127" s="27"/>
      <c r="P127" s="27"/>
    </row>
    <row r="128">
      <c r="F128" s="27"/>
      <c r="G128" s="27"/>
      <c r="H128" s="27"/>
      <c r="J128" s="27"/>
      <c r="L128" s="27"/>
      <c r="M128" s="27"/>
      <c r="N128" s="27"/>
      <c r="O128" s="27"/>
      <c r="P128" s="27"/>
    </row>
    <row r="129">
      <c r="F129" s="27"/>
      <c r="G129" s="27"/>
      <c r="H129" s="27"/>
      <c r="J129" s="27"/>
      <c r="L129" s="27"/>
      <c r="M129" s="27"/>
      <c r="N129" s="27"/>
      <c r="O129" s="27"/>
      <c r="P129" s="27"/>
    </row>
    <row r="130">
      <c r="F130" s="27"/>
      <c r="G130" s="27"/>
      <c r="H130" s="27"/>
      <c r="J130" s="27"/>
      <c r="L130" s="27"/>
      <c r="M130" s="27"/>
      <c r="N130" s="27"/>
      <c r="O130" s="27"/>
      <c r="P130" s="27"/>
    </row>
    <row r="131">
      <c r="F131" s="27"/>
      <c r="G131" s="27"/>
      <c r="H131" s="27"/>
      <c r="J131" s="27"/>
      <c r="L131" s="27"/>
      <c r="M131" s="27"/>
      <c r="N131" s="27"/>
      <c r="O131" s="27"/>
      <c r="P131" s="27"/>
    </row>
    <row r="132">
      <c r="F132" s="27"/>
      <c r="G132" s="27"/>
      <c r="H132" s="27"/>
      <c r="J132" s="27"/>
      <c r="L132" s="27"/>
      <c r="M132" s="27"/>
      <c r="N132" s="27"/>
      <c r="O132" s="27"/>
      <c r="P132" s="27"/>
    </row>
    <row r="133">
      <c r="F133" s="27"/>
      <c r="G133" s="27"/>
      <c r="H133" s="27"/>
      <c r="J133" s="27"/>
      <c r="L133" s="27"/>
      <c r="M133" s="27"/>
      <c r="N133" s="27"/>
      <c r="O133" s="27"/>
      <c r="P133" s="27"/>
    </row>
    <row r="134">
      <c r="F134" s="27"/>
      <c r="G134" s="27"/>
      <c r="H134" s="27"/>
      <c r="J134" s="27"/>
      <c r="L134" s="27"/>
      <c r="M134" s="27"/>
      <c r="N134" s="27"/>
      <c r="O134" s="27"/>
      <c r="P134" s="27"/>
    </row>
    <row r="135">
      <c r="F135" s="27"/>
      <c r="G135" s="27"/>
      <c r="H135" s="27"/>
      <c r="J135" s="27"/>
      <c r="L135" s="27"/>
      <c r="M135" s="27"/>
      <c r="N135" s="27"/>
      <c r="O135" s="27"/>
      <c r="P135" s="27"/>
    </row>
    <row r="136">
      <c r="F136" s="27"/>
      <c r="G136" s="27"/>
      <c r="H136" s="27"/>
      <c r="J136" s="27"/>
      <c r="L136" s="27"/>
      <c r="M136" s="27"/>
      <c r="N136" s="27"/>
      <c r="O136" s="27"/>
      <c r="P136" s="27"/>
    </row>
    <row r="137">
      <c r="F137" s="27"/>
      <c r="G137" s="27"/>
      <c r="H137" s="27"/>
      <c r="J137" s="27"/>
      <c r="L137" s="27"/>
      <c r="M137" s="27"/>
      <c r="N137" s="27"/>
      <c r="O137" s="27"/>
      <c r="P137" s="27"/>
    </row>
    <row r="138">
      <c r="F138" s="27"/>
      <c r="G138" s="27"/>
      <c r="H138" s="27"/>
      <c r="J138" s="27"/>
      <c r="L138" s="27"/>
      <c r="M138" s="27"/>
      <c r="N138" s="27"/>
      <c r="O138" s="27"/>
      <c r="P138" s="27"/>
    </row>
    <row r="139">
      <c r="F139" s="27"/>
      <c r="G139" s="27"/>
      <c r="H139" s="27"/>
      <c r="J139" s="27"/>
      <c r="L139" s="27"/>
      <c r="M139" s="27"/>
      <c r="N139" s="27"/>
      <c r="O139" s="27"/>
      <c r="P139" s="27"/>
    </row>
    <row r="140">
      <c r="F140" s="27"/>
      <c r="G140" s="27"/>
      <c r="H140" s="27"/>
      <c r="J140" s="27"/>
      <c r="L140" s="27"/>
      <c r="M140" s="27"/>
      <c r="N140" s="27"/>
      <c r="O140" s="27"/>
      <c r="P140" s="27"/>
    </row>
    <row r="141">
      <c r="F141" s="27"/>
      <c r="G141" s="27"/>
      <c r="H141" s="27"/>
      <c r="J141" s="27"/>
      <c r="L141" s="27"/>
      <c r="M141" s="27"/>
      <c r="N141" s="27"/>
      <c r="O141" s="27"/>
      <c r="P141" s="27"/>
    </row>
    <row r="142">
      <c r="F142" s="27"/>
      <c r="G142" s="27"/>
      <c r="H142" s="27"/>
      <c r="J142" s="27"/>
      <c r="L142" s="27"/>
      <c r="M142" s="27"/>
      <c r="N142" s="27"/>
      <c r="O142" s="27"/>
      <c r="P142" s="27"/>
    </row>
    <row r="143">
      <c r="F143" s="27"/>
      <c r="G143" s="27"/>
      <c r="H143" s="27"/>
      <c r="J143" s="27"/>
      <c r="L143" s="27"/>
      <c r="M143" s="27"/>
      <c r="N143" s="27"/>
      <c r="O143" s="27"/>
      <c r="P143" s="27"/>
    </row>
    <row r="144">
      <c r="F144" s="27"/>
      <c r="G144" s="27"/>
      <c r="H144" s="27"/>
      <c r="J144" s="27"/>
      <c r="L144" s="27"/>
      <c r="M144" s="27"/>
      <c r="N144" s="27"/>
      <c r="O144" s="27"/>
      <c r="P144" s="27"/>
    </row>
    <row r="145">
      <c r="F145" s="27"/>
      <c r="G145" s="27"/>
      <c r="H145" s="27"/>
      <c r="J145" s="27"/>
      <c r="L145" s="27"/>
      <c r="M145" s="27"/>
      <c r="N145" s="27"/>
      <c r="O145" s="27"/>
      <c r="P145" s="27"/>
    </row>
    <row r="146">
      <c r="F146" s="27"/>
      <c r="G146" s="27"/>
      <c r="H146" s="27"/>
      <c r="J146" s="27"/>
      <c r="L146" s="27"/>
      <c r="M146" s="27"/>
      <c r="N146" s="27"/>
      <c r="O146" s="27"/>
      <c r="P146" s="27"/>
    </row>
    <row r="147">
      <c r="F147" s="27"/>
      <c r="G147" s="27"/>
      <c r="H147" s="27"/>
      <c r="J147" s="27"/>
      <c r="L147" s="27"/>
      <c r="M147" s="27"/>
      <c r="N147" s="27"/>
      <c r="O147" s="27"/>
      <c r="P147" s="27"/>
    </row>
    <row r="148">
      <c r="F148" s="27"/>
      <c r="G148" s="27"/>
      <c r="H148" s="27"/>
      <c r="J148" s="27"/>
      <c r="L148" s="27"/>
      <c r="M148" s="27"/>
      <c r="N148" s="27"/>
      <c r="O148" s="27"/>
      <c r="P148" s="27"/>
    </row>
    <row r="149">
      <c r="F149" s="27"/>
      <c r="G149" s="27"/>
      <c r="H149" s="27"/>
      <c r="J149" s="27"/>
      <c r="L149" s="27"/>
      <c r="M149" s="27"/>
      <c r="N149" s="27"/>
      <c r="O149" s="27"/>
      <c r="P149" s="27"/>
    </row>
    <row r="150">
      <c r="F150" s="27"/>
      <c r="G150" s="27"/>
      <c r="H150" s="27"/>
      <c r="J150" s="27"/>
      <c r="L150" s="27"/>
      <c r="M150" s="27"/>
      <c r="N150" s="27"/>
      <c r="O150" s="27"/>
      <c r="P150" s="27"/>
    </row>
    <row r="151">
      <c r="F151" s="27"/>
      <c r="G151" s="27"/>
      <c r="H151" s="27"/>
      <c r="J151" s="27"/>
      <c r="L151" s="27"/>
      <c r="M151" s="27"/>
      <c r="N151" s="27"/>
      <c r="O151" s="27"/>
      <c r="P151" s="27"/>
    </row>
    <row r="152">
      <c r="F152" s="27"/>
      <c r="G152" s="27"/>
      <c r="H152" s="27"/>
      <c r="J152" s="27"/>
      <c r="L152" s="27"/>
      <c r="M152" s="27"/>
      <c r="N152" s="27"/>
      <c r="O152" s="27"/>
      <c r="P152" s="27"/>
    </row>
    <row r="153">
      <c r="F153" s="27"/>
      <c r="G153" s="27"/>
      <c r="H153" s="27"/>
      <c r="J153" s="27"/>
      <c r="L153" s="27"/>
      <c r="M153" s="27"/>
      <c r="N153" s="27"/>
      <c r="O153" s="27"/>
      <c r="P153" s="27"/>
    </row>
    <row r="154">
      <c r="F154" s="27"/>
      <c r="G154" s="27"/>
      <c r="H154" s="27"/>
      <c r="J154" s="27"/>
      <c r="L154" s="27"/>
      <c r="M154" s="27"/>
      <c r="N154" s="27"/>
      <c r="O154" s="27"/>
      <c r="P154" s="27"/>
    </row>
    <row r="155">
      <c r="F155" s="27"/>
      <c r="G155" s="27"/>
      <c r="H155" s="27"/>
      <c r="J155" s="27"/>
      <c r="L155" s="27"/>
      <c r="M155" s="27"/>
      <c r="N155" s="27"/>
      <c r="O155" s="27"/>
      <c r="P155" s="27"/>
    </row>
    <row r="156">
      <c r="F156" s="27"/>
      <c r="G156" s="27"/>
      <c r="H156" s="27"/>
      <c r="J156" s="27"/>
      <c r="L156" s="27"/>
      <c r="M156" s="27"/>
      <c r="N156" s="27"/>
      <c r="O156" s="27"/>
      <c r="P156" s="27"/>
    </row>
    <row r="157">
      <c r="F157" s="27"/>
      <c r="G157" s="27"/>
      <c r="H157" s="27"/>
      <c r="J157" s="27"/>
      <c r="L157" s="27"/>
      <c r="M157" s="27"/>
      <c r="N157" s="27"/>
      <c r="O157" s="27"/>
      <c r="P157" s="27"/>
    </row>
    <row r="158">
      <c r="F158" s="27"/>
      <c r="G158" s="27"/>
      <c r="H158" s="27"/>
      <c r="J158" s="27"/>
      <c r="L158" s="27"/>
      <c r="M158" s="27"/>
      <c r="N158" s="27"/>
      <c r="O158" s="27"/>
      <c r="P158" s="27"/>
    </row>
    <row r="159">
      <c r="F159" s="27"/>
      <c r="G159" s="27"/>
      <c r="H159" s="27"/>
      <c r="J159" s="27"/>
      <c r="L159" s="27"/>
      <c r="M159" s="27"/>
      <c r="N159" s="27"/>
      <c r="O159" s="27"/>
      <c r="P159" s="27"/>
    </row>
    <row r="160">
      <c r="F160" s="27"/>
      <c r="G160" s="27"/>
      <c r="H160" s="27"/>
      <c r="J160" s="27"/>
      <c r="L160" s="27"/>
      <c r="M160" s="27"/>
      <c r="N160" s="27"/>
      <c r="O160" s="27"/>
      <c r="P160" s="27"/>
    </row>
    <row r="161">
      <c r="F161" s="27"/>
      <c r="G161" s="27"/>
      <c r="H161" s="27"/>
      <c r="J161" s="27"/>
      <c r="L161" s="27"/>
      <c r="M161" s="27"/>
      <c r="N161" s="27"/>
      <c r="O161" s="27"/>
      <c r="P161" s="27"/>
    </row>
    <row r="162">
      <c r="F162" s="27"/>
      <c r="G162" s="27"/>
      <c r="H162" s="27"/>
      <c r="J162" s="27"/>
      <c r="L162" s="27"/>
      <c r="M162" s="27"/>
      <c r="N162" s="27"/>
      <c r="O162" s="27"/>
      <c r="P162" s="27"/>
    </row>
    <row r="163">
      <c r="F163" s="27"/>
      <c r="G163" s="27"/>
      <c r="H163" s="27"/>
      <c r="J163" s="27"/>
      <c r="L163" s="27"/>
      <c r="M163" s="27"/>
      <c r="N163" s="27"/>
      <c r="O163" s="27"/>
      <c r="P163" s="27"/>
    </row>
    <row r="164">
      <c r="F164" s="27"/>
      <c r="G164" s="27"/>
      <c r="H164" s="27"/>
      <c r="J164" s="27"/>
      <c r="L164" s="27"/>
      <c r="M164" s="27"/>
      <c r="N164" s="27"/>
      <c r="O164" s="27"/>
      <c r="P164" s="27"/>
    </row>
    <row r="165">
      <c r="F165" s="27"/>
      <c r="G165" s="27"/>
      <c r="H165" s="27"/>
      <c r="J165" s="27"/>
      <c r="L165" s="27"/>
      <c r="M165" s="27"/>
      <c r="N165" s="27"/>
      <c r="O165" s="27"/>
      <c r="P165" s="27"/>
    </row>
    <row r="166">
      <c r="F166" s="27"/>
      <c r="G166" s="27"/>
      <c r="H166" s="27"/>
      <c r="J166" s="27"/>
      <c r="L166" s="27"/>
      <c r="M166" s="27"/>
      <c r="N166" s="27"/>
      <c r="O166" s="27"/>
      <c r="P166" s="27"/>
    </row>
    <row r="167">
      <c r="F167" s="27"/>
      <c r="G167" s="27"/>
      <c r="H167" s="27"/>
      <c r="J167" s="27"/>
      <c r="L167" s="27"/>
      <c r="M167" s="27"/>
      <c r="N167" s="27"/>
      <c r="O167" s="27"/>
      <c r="P167" s="27"/>
    </row>
    <row r="168">
      <c r="F168" s="27"/>
      <c r="G168" s="27"/>
      <c r="H168" s="27"/>
      <c r="J168" s="27"/>
      <c r="L168" s="27"/>
      <c r="M168" s="27"/>
      <c r="N168" s="27"/>
      <c r="O168" s="27"/>
      <c r="P168" s="27"/>
    </row>
    <row r="169">
      <c r="F169" s="27"/>
      <c r="G169" s="27"/>
      <c r="H169" s="27"/>
      <c r="J169" s="27"/>
      <c r="L169" s="27"/>
      <c r="M169" s="27"/>
      <c r="N169" s="27"/>
      <c r="O169" s="27"/>
      <c r="P169" s="27"/>
    </row>
    <row r="170">
      <c r="F170" s="27"/>
      <c r="G170" s="27"/>
      <c r="H170" s="27"/>
      <c r="J170" s="27"/>
      <c r="L170" s="27"/>
      <c r="M170" s="27"/>
      <c r="N170" s="27"/>
      <c r="O170" s="27"/>
      <c r="P170" s="27"/>
    </row>
    <row r="171">
      <c r="F171" s="27"/>
      <c r="G171" s="27"/>
      <c r="H171" s="27"/>
      <c r="J171" s="27"/>
      <c r="L171" s="27"/>
      <c r="M171" s="27"/>
      <c r="N171" s="27"/>
      <c r="O171" s="27"/>
      <c r="P171" s="27"/>
    </row>
    <row r="172">
      <c r="F172" s="27"/>
      <c r="G172" s="27"/>
      <c r="H172" s="27"/>
      <c r="J172" s="27"/>
      <c r="L172" s="27"/>
      <c r="M172" s="27"/>
      <c r="N172" s="27"/>
      <c r="O172" s="27"/>
      <c r="P172" s="27"/>
    </row>
    <row r="173">
      <c r="F173" s="27"/>
      <c r="G173" s="27"/>
      <c r="H173" s="27"/>
      <c r="J173" s="27"/>
      <c r="L173" s="27"/>
      <c r="M173" s="27"/>
      <c r="N173" s="27"/>
      <c r="O173" s="27"/>
      <c r="P173" s="27"/>
    </row>
    <row r="174">
      <c r="F174" s="27"/>
      <c r="G174" s="27"/>
      <c r="H174" s="27"/>
      <c r="J174" s="27"/>
      <c r="L174" s="27"/>
      <c r="M174" s="27"/>
      <c r="N174" s="27"/>
      <c r="O174" s="27"/>
      <c r="P174" s="27"/>
    </row>
    <row r="175">
      <c r="F175" s="27"/>
      <c r="G175" s="27"/>
      <c r="H175" s="27"/>
      <c r="J175" s="27"/>
      <c r="L175" s="27"/>
      <c r="M175" s="27"/>
      <c r="N175" s="27"/>
      <c r="O175" s="27"/>
      <c r="P175" s="27"/>
    </row>
    <row r="176">
      <c r="F176" s="27"/>
      <c r="G176" s="27"/>
      <c r="H176" s="27"/>
      <c r="J176" s="27"/>
      <c r="L176" s="27"/>
      <c r="M176" s="27"/>
      <c r="N176" s="27"/>
      <c r="O176" s="27"/>
      <c r="P176" s="27"/>
    </row>
    <row r="177">
      <c r="F177" s="27"/>
      <c r="G177" s="27"/>
      <c r="H177" s="27"/>
      <c r="J177" s="27"/>
      <c r="L177" s="27"/>
      <c r="M177" s="27"/>
      <c r="N177" s="27"/>
      <c r="O177" s="27"/>
      <c r="P177" s="27"/>
    </row>
    <row r="178">
      <c r="F178" s="27"/>
      <c r="G178" s="27"/>
      <c r="H178" s="27"/>
      <c r="J178" s="27"/>
      <c r="L178" s="27"/>
      <c r="M178" s="27"/>
      <c r="N178" s="27"/>
      <c r="O178" s="27"/>
      <c r="P178" s="27"/>
    </row>
    <row r="179">
      <c r="F179" s="27"/>
      <c r="G179" s="27"/>
      <c r="H179" s="27"/>
      <c r="J179" s="27"/>
      <c r="L179" s="27"/>
      <c r="M179" s="27"/>
      <c r="N179" s="27"/>
      <c r="O179" s="27"/>
      <c r="P179" s="27"/>
    </row>
    <row r="180">
      <c r="F180" s="27"/>
      <c r="G180" s="27"/>
      <c r="H180" s="27"/>
      <c r="J180" s="27"/>
      <c r="L180" s="27"/>
      <c r="M180" s="27"/>
      <c r="N180" s="27"/>
      <c r="O180" s="27"/>
      <c r="P180" s="27"/>
    </row>
    <row r="181">
      <c r="F181" s="27"/>
      <c r="G181" s="27"/>
      <c r="H181" s="27"/>
      <c r="J181" s="27"/>
      <c r="L181" s="27"/>
      <c r="M181" s="27"/>
      <c r="N181" s="27"/>
      <c r="O181" s="27"/>
      <c r="P181" s="27"/>
    </row>
    <row r="182">
      <c r="F182" s="27"/>
      <c r="G182" s="27"/>
      <c r="H182" s="27"/>
      <c r="J182" s="27"/>
      <c r="L182" s="27"/>
      <c r="M182" s="27"/>
      <c r="N182" s="27"/>
      <c r="O182" s="27"/>
      <c r="P182" s="27"/>
    </row>
    <row r="183">
      <c r="F183" s="27"/>
      <c r="G183" s="27"/>
      <c r="H183" s="27"/>
      <c r="J183" s="27"/>
      <c r="L183" s="27"/>
      <c r="M183" s="27"/>
      <c r="N183" s="27"/>
      <c r="O183" s="27"/>
      <c r="P183" s="27"/>
    </row>
    <row r="184">
      <c r="F184" s="27"/>
      <c r="G184" s="27"/>
      <c r="H184" s="27"/>
      <c r="J184" s="27"/>
      <c r="L184" s="27"/>
      <c r="M184" s="27"/>
      <c r="N184" s="27"/>
      <c r="O184" s="27"/>
      <c r="P184" s="27"/>
    </row>
    <row r="185">
      <c r="F185" s="27"/>
      <c r="G185" s="27"/>
      <c r="H185" s="27"/>
      <c r="J185" s="27"/>
      <c r="L185" s="27"/>
      <c r="M185" s="27"/>
      <c r="N185" s="27"/>
      <c r="O185" s="27"/>
      <c r="P185" s="27"/>
    </row>
    <row r="186">
      <c r="F186" s="27"/>
      <c r="G186" s="27"/>
      <c r="H186" s="27"/>
      <c r="J186" s="27"/>
      <c r="L186" s="27"/>
      <c r="M186" s="27"/>
      <c r="N186" s="27"/>
      <c r="O186" s="27"/>
      <c r="P186" s="27"/>
    </row>
    <row r="187">
      <c r="F187" s="27"/>
      <c r="G187" s="27"/>
      <c r="H187" s="27"/>
      <c r="J187" s="27"/>
      <c r="L187" s="27"/>
      <c r="M187" s="27"/>
      <c r="N187" s="27"/>
      <c r="O187" s="27"/>
      <c r="P187" s="27"/>
    </row>
    <row r="188">
      <c r="F188" s="27"/>
      <c r="G188" s="27"/>
      <c r="H188" s="27"/>
      <c r="J188" s="27"/>
      <c r="L188" s="27"/>
      <c r="M188" s="27"/>
      <c r="N188" s="27"/>
      <c r="O188" s="27"/>
      <c r="P188" s="27"/>
    </row>
    <row r="189">
      <c r="F189" s="27"/>
      <c r="G189" s="27"/>
      <c r="H189" s="27"/>
      <c r="J189" s="27"/>
      <c r="L189" s="27"/>
      <c r="M189" s="27"/>
      <c r="N189" s="27"/>
      <c r="O189" s="27"/>
      <c r="P189" s="27"/>
    </row>
    <row r="190">
      <c r="F190" s="27"/>
      <c r="G190" s="27"/>
      <c r="H190" s="27"/>
      <c r="J190" s="27"/>
      <c r="L190" s="27"/>
      <c r="M190" s="27"/>
      <c r="N190" s="27"/>
      <c r="O190" s="27"/>
      <c r="P190" s="27"/>
    </row>
    <row r="191">
      <c r="F191" s="27"/>
      <c r="G191" s="27"/>
      <c r="H191" s="27"/>
      <c r="J191" s="27"/>
      <c r="L191" s="27"/>
      <c r="M191" s="27"/>
      <c r="N191" s="27"/>
      <c r="O191" s="27"/>
      <c r="P191" s="27"/>
    </row>
    <row r="192">
      <c r="F192" s="27"/>
      <c r="G192" s="27"/>
      <c r="H192" s="27"/>
      <c r="J192" s="27"/>
      <c r="L192" s="27"/>
      <c r="M192" s="27"/>
      <c r="N192" s="27"/>
      <c r="O192" s="27"/>
      <c r="P192" s="27"/>
    </row>
    <row r="193">
      <c r="F193" s="27"/>
      <c r="G193" s="27"/>
      <c r="H193" s="27"/>
      <c r="J193" s="27"/>
      <c r="L193" s="27"/>
      <c r="M193" s="27"/>
      <c r="N193" s="27"/>
      <c r="O193" s="27"/>
      <c r="P193" s="27"/>
    </row>
    <row r="194">
      <c r="F194" s="27"/>
      <c r="G194" s="27"/>
      <c r="H194" s="27"/>
      <c r="J194" s="27"/>
      <c r="L194" s="27"/>
      <c r="M194" s="27"/>
      <c r="N194" s="27"/>
      <c r="O194" s="27"/>
      <c r="P194" s="27"/>
    </row>
    <row r="195">
      <c r="F195" s="27"/>
      <c r="G195" s="27"/>
      <c r="H195" s="27"/>
      <c r="J195" s="27"/>
      <c r="L195" s="27"/>
      <c r="M195" s="27"/>
      <c r="N195" s="27"/>
      <c r="O195" s="27"/>
      <c r="P195" s="27"/>
    </row>
    <row r="196">
      <c r="F196" s="27"/>
      <c r="G196" s="27"/>
      <c r="H196" s="27"/>
      <c r="J196" s="27"/>
      <c r="L196" s="27"/>
      <c r="M196" s="27"/>
      <c r="N196" s="27"/>
      <c r="O196" s="27"/>
      <c r="P196" s="27"/>
    </row>
    <row r="197">
      <c r="F197" s="27"/>
      <c r="G197" s="27"/>
      <c r="H197" s="27"/>
      <c r="J197" s="27"/>
      <c r="L197" s="27"/>
      <c r="M197" s="27"/>
      <c r="N197" s="27"/>
      <c r="O197" s="27"/>
      <c r="P197" s="27"/>
    </row>
    <row r="198">
      <c r="F198" s="27"/>
      <c r="G198" s="27"/>
      <c r="H198" s="27"/>
      <c r="J198" s="27"/>
      <c r="L198" s="27"/>
      <c r="M198" s="27"/>
      <c r="N198" s="27"/>
      <c r="O198" s="27"/>
      <c r="P198" s="27"/>
    </row>
    <row r="199">
      <c r="F199" s="27"/>
      <c r="G199" s="27"/>
      <c r="H199" s="27"/>
      <c r="J199" s="27"/>
      <c r="L199" s="27"/>
      <c r="M199" s="27"/>
      <c r="N199" s="27"/>
      <c r="O199" s="27"/>
      <c r="P199" s="27"/>
    </row>
    <row r="200">
      <c r="F200" s="27"/>
      <c r="G200" s="27"/>
      <c r="H200" s="27"/>
      <c r="J200" s="27"/>
      <c r="L200" s="27"/>
      <c r="M200" s="27"/>
      <c r="N200" s="27"/>
      <c r="O200" s="27"/>
      <c r="P200" s="27"/>
    </row>
    <row r="201">
      <c r="F201" s="27"/>
      <c r="G201" s="27"/>
      <c r="H201" s="27"/>
      <c r="J201" s="27"/>
      <c r="L201" s="27"/>
      <c r="M201" s="27"/>
      <c r="N201" s="27"/>
      <c r="O201" s="27"/>
      <c r="P201" s="27"/>
    </row>
    <row r="202">
      <c r="F202" s="27"/>
      <c r="G202" s="27"/>
      <c r="H202" s="27"/>
      <c r="J202" s="27"/>
      <c r="L202" s="27"/>
      <c r="M202" s="27"/>
      <c r="N202" s="27"/>
      <c r="O202" s="27"/>
      <c r="P202" s="27"/>
    </row>
    <row r="203">
      <c r="F203" s="27"/>
      <c r="G203" s="27"/>
      <c r="H203" s="27"/>
      <c r="J203" s="27"/>
      <c r="L203" s="27"/>
      <c r="M203" s="27"/>
      <c r="N203" s="27"/>
      <c r="O203" s="27"/>
      <c r="P203" s="27"/>
    </row>
    <row r="204">
      <c r="F204" s="27"/>
      <c r="G204" s="27"/>
      <c r="H204" s="27"/>
      <c r="J204" s="27"/>
      <c r="L204" s="27"/>
      <c r="M204" s="27"/>
      <c r="N204" s="27"/>
      <c r="O204" s="27"/>
      <c r="P204" s="27"/>
    </row>
    <row r="205">
      <c r="F205" s="27"/>
      <c r="G205" s="27"/>
      <c r="H205" s="27"/>
      <c r="J205" s="27"/>
      <c r="L205" s="27"/>
      <c r="M205" s="27"/>
      <c r="N205" s="27"/>
      <c r="O205" s="27"/>
      <c r="P205" s="27"/>
    </row>
    <row r="206">
      <c r="F206" s="27"/>
      <c r="G206" s="27"/>
      <c r="H206" s="27"/>
      <c r="J206" s="27"/>
      <c r="L206" s="27"/>
      <c r="M206" s="27"/>
      <c r="N206" s="27"/>
      <c r="O206" s="27"/>
      <c r="P206" s="27"/>
    </row>
    <row r="207">
      <c r="F207" s="27"/>
      <c r="G207" s="27"/>
      <c r="H207" s="27"/>
      <c r="J207" s="27"/>
      <c r="L207" s="27"/>
      <c r="M207" s="27"/>
      <c r="N207" s="27"/>
      <c r="O207" s="27"/>
      <c r="P207" s="27"/>
    </row>
    <row r="208">
      <c r="F208" s="27"/>
      <c r="G208" s="27"/>
      <c r="H208" s="27"/>
      <c r="J208" s="27"/>
      <c r="L208" s="27"/>
      <c r="M208" s="27"/>
      <c r="N208" s="27"/>
      <c r="O208" s="27"/>
      <c r="P208" s="27"/>
    </row>
    <row r="209">
      <c r="F209" s="27"/>
      <c r="G209" s="27"/>
      <c r="H209" s="27"/>
      <c r="J209" s="27"/>
      <c r="L209" s="27"/>
      <c r="M209" s="27"/>
      <c r="N209" s="27"/>
      <c r="O209" s="27"/>
      <c r="P209" s="27"/>
    </row>
    <row r="210">
      <c r="F210" s="27"/>
      <c r="G210" s="27"/>
      <c r="H210" s="27"/>
      <c r="J210" s="27"/>
      <c r="L210" s="27"/>
      <c r="M210" s="27"/>
      <c r="N210" s="27"/>
      <c r="O210" s="27"/>
      <c r="P210" s="27"/>
    </row>
    <row r="211">
      <c r="F211" s="27"/>
      <c r="G211" s="27"/>
      <c r="H211" s="27"/>
      <c r="J211" s="27"/>
      <c r="L211" s="27"/>
      <c r="M211" s="27"/>
      <c r="N211" s="27"/>
      <c r="O211" s="27"/>
      <c r="P211" s="27"/>
    </row>
    <row r="212">
      <c r="F212" s="27"/>
      <c r="G212" s="27"/>
      <c r="H212" s="27"/>
      <c r="J212" s="27"/>
      <c r="L212" s="27"/>
      <c r="M212" s="27"/>
      <c r="N212" s="27"/>
      <c r="O212" s="27"/>
      <c r="P212" s="27"/>
    </row>
    <row r="213">
      <c r="F213" s="27"/>
      <c r="G213" s="27"/>
      <c r="H213" s="27"/>
      <c r="J213" s="27"/>
      <c r="L213" s="27"/>
      <c r="M213" s="27"/>
      <c r="N213" s="27"/>
      <c r="O213" s="27"/>
      <c r="P213" s="27"/>
    </row>
    <row r="214">
      <c r="F214" s="27"/>
      <c r="G214" s="27"/>
      <c r="H214" s="27"/>
      <c r="J214" s="27"/>
      <c r="L214" s="27"/>
      <c r="M214" s="27"/>
      <c r="N214" s="27"/>
      <c r="O214" s="27"/>
      <c r="P214" s="27"/>
    </row>
    <row r="215">
      <c r="F215" s="27"/>
      <c r="G215" s="27"/>
      <c r="H215" s="27"/>
      <c r="J215" s="27"/>
      <c r="L215" s="27"/>
      <c r="M215" s="27"/>
      <c r="N215" s="27"/>
      <c r="O215" s="27"/>
      <c r="P215" s="27"/>
    </row>
    <row r="216">
      <c r="F216" s="27"/>
      <c r="G216" s="27"/>
      <c r="H216" s="27"/>
      <c r="J216" s="27"/>
      <c r="L216" s="27"/>
      <c r="M216" s="27"/>
      <c r="N216" s="27"/>
      <c r="O216" s="27"/>
      <c r="P216" s="27"/>
    </row>
    <row r="217">
      <c r="F217" s="27"/>
      <c r="G217" s="27"/>
      <c r="H217" s="27"/>
      <c r="J217" s="27"/>
      <c r="L217" s="27"/>
      <c r="M217" s="27"/>
      <c r="N217" s="27"/>
      <c r="O217" s="27"/>
      <c r="P217" s="27"/>
    </row>
    <row r="218">
      <c r="F218" s="27"/>
      <c r="G218" s="27"/>
      <c r="H218" s="27"/>
      <c r="J218" s="27"/>
      <c r="L218" s="27"/>
      <c r="M218" s="27"/>
      <c r="N218" s="27"/>
      <c r="O218" s="27"/>
      <c r="P218" s="27"/>
    </row>
    <row r="219">
      <c r="F219" s="27"/>
      <c r="G219" s="27"/>
      <c r="H219" s="27"/>
      <c r="J219" s="27"/>
      <c r="L219" s="27"/>
      <c r="M219" s="27"/>
      <c r="N219" s="27"/>
      <c r="O219" s="27"/>
      <c r="P219" s="27"/>
    </row>
    <row r="220">
      <c r="F220" s="27"/>
      <c r="G220" s="27"/>
      <c r="H220" s="27"/>
      <c r="J220" s="27"/>
      <c r="L220" s="27"/>
      <c r="M220" s="27"/>
      <c r="N220" s="27"/>
      <c r="O220" s="27"/>
      <c r="P220" s="27"/>
    </row>
    <row r="221">
      <c r="F221" s="27"/>
      <c r="G221" s="27"/>
      <c r="H221" s="27"/>
      <c r="J221" s="27"/>
      <c r="L221" s="27"/>
      <c r="M221" s="27"/>
      <c r="N221" s="27"/>
      <c r="O221" s="27"/>
      <c r="P221" s="27"/>
    </row>
    <row r="222">
      <c r="F222" s="27"/>
      <c r="G222" s="27"/>
      <c r="H222" s="27"/>
      <c r="J222" s="27"/>
      <c r="L222" s="27"/>
      <c r="M222" s="27"/>
      <c r="N222" s="27"/>
      <c r="O222" s="27"/>
      <c r="P222" s="27"/>
    </row>
    <row r="223">
      <c r="F223" s="27"/>
      <c r="G223" s="27"/>
      <c r="H223" s="27"/>
      <c r="J223" s="27"/>
      <c r="L223" s="27"/>
      <c r="M223" s="27"/>
      <c r="N223" s="27"/>
      <c r="O223" s="27"/>
      <c r="P223" s="27"/>
    </row>
    <row r="224">
      <c r="F224" s="27"/>
      <c r="G224" s="27"/>
      <c r="H224" s="27"/>
      <c r="J224" s="27"/>
      <c r="L224" s="27"/>
      <c r="M224" s="27"/>
      <c r="N224" s="27"/>
      <c r="O224" s="27"/>
      <c r="P224" s="27"/>
    </row>
    <row r="225">
      <c r="F225" s="27"/>
      <c r="G225" s="27"/>
      <c r="H225" s="27"/>
      <c r="J225" s="27"/>
      <c r="L225" s="27"/>
      <c r="M225" s="27"/>
      <c r="N225" s="27"/>
      <c r="O225" s="27"/>
      <c r="P225" s="27"/>
    </row>
    <row r="226">
      <c r="F226" s="27"/>
      <c r="G226" s="27"/>
      <c r="H226" s="27"/>
      <c r="J226" s="27"/>
      <c r="L226" s="27"/>
      <c r="M226" s="27"/>
      <c r="N226" s="27"/>
      <c r="O226" s="27"/>
      <c r="P226" s="27"/>
    </row>
    <row r="227">
      <c r="F227" s="27"/>
      <c r="G227" s="27"/>
      <c r="H227" s="27"/>
      <c r="J227" s="27"/>
      <c r="L227" s="27"/>
      <c r="M227" s="27"/>
      <c r="N227" s="27"/>
      <c r="O227" s="27"/>
      <c r="P227" s="27"/>
    </row>
    <row r="228">
      <c r="F228" s="27"/>
      <c r="G228" s="27"/>
      <c r="H228" s="27"/>
      <c r="J228" s="27"/>
      <c r="L228" s="27"/>
      <c r="M228" s="27"/>
      <c r="N228" s="27"/>
      <c r="O228" s="27"/>
      <c r="P228" s="27"/>
    </row>
    <row r="229">
      <c r="F229" s="27"/>
      <c r="G229" s="27"/>
      <c r="H229" s="27"/>
      <c r="J229" s="27"/>
      <c r="L229" s="27"/>
      <c r="M229" s="27"/>
      <c r="N229" s="27"/>
      <c r="O229" s="27"/>
      <c r="P229" s="27"/>
    </row>
    <row r="230">
      <c r="F230" s="27"/>
      <c r="G230" s="27"/>
      <c r="H230" s="27"/>
      <c r="J230" s="27"/>
      <c r="L230" s="27"/>
      <c r="M230" s="27"/>
      <c r="N230" s="27"/>
      <c r="O230" s="27"/>
      <c r="P230" s="27"/>
    </row>
    <row r="231">
      <c r="F231" s="27"/>
      <c r="G231" s="27"/>
      <c r="H231" s="27"/>
      <c r="J231" s="27"/>
      <c r="L231" s="27"/>
      <c r="M231" s="27"/>
      <c r="N231" s="27"/>
      <c r="O231" s="27"/>
      <c r="P231" s="27"/>
    </row>
    <row r="232">
      <c r="F232" s="27"/>
      <c r="G232" s="27"/>
      <c r="H232" s="27"/>
      <c r="J232" s="27"/>
      <c r="L232" s="27"/>
      <c r="M232" s="27"/>
      <c r="N232" s="27"/>
      <c r="O232" s="27"/>
      <c r="P232" s="27"/>
    </row>
    <row r="233">
      <c r="F233" s="27"/>
      <c r="G233" s="27"/>
      <c r="H233" s="27"/>
      <c r="J233" s="27"/>
      <c r="L233" s="27"/>
      <c r="M233" s="27"/>
      <c r="N233" s="27"/>
      <c r="O233" s="27"/>
      <c r="P233" s="27"/>
    </row>
    <row r="234">
      <c r="F234" s="27"/>
      <c r="G234" s="27"/>
      <c r="H234" s="27"/>
      <c r="J234" s="27"/>
      <c r="L234" s="27"/>
      <c r="M234" s="27"/>
      <c r="N234" s="27"/>
      <c r="O234" s="27"/>
      <c r="P234" s="27"/>
    </row>
    <row r="235">
      <c r="F235" s="27"/>
      <c r="G235" s="27"/>
      <c r="H235" s="27"/>
      <c r="J235" s="27"/>
      <c r="L235" s="27"/>
      <c r="M235" s="27"/>
      <c r="N235" s="27"/>
      <c r="O235" s="27"/>
      <c r="P235" s="27"/>
    </row>
    <row r="236">
      <c r="F236" s="27"/>
      <c r="G236" s="27"/>
      <c r="H236" s="27"/>
      <c r="J236" s="27"/>
      <c r="L236" s="27"/>
      <c r="M236" s="27"/>
      <c r="N236" s="27"/>
      <c r="O236" s="27"/>
      <c r="P236" s="27"/>
    </row>
    <row r="237">
      <c r="F237" s="27"/>
      <c r="G237" s="27"/>
      <c r="H237" s="27"/>
      <c r="J237" s="27"/>
      <c r="L237" s="27"/>
      <c r="M237" s="27"/>
      <c r="N237" s="27"/>
      <c r="O237" s="27"/>
      <c r="P237" s="27"/>
    </row>
    <row r="238">
      <c r="F238" s="27"/>
      <c r="G238" s="27"/>
      <c r="H238" s="27"/>
      <c r="J238" s="27"/>
      <c r="L238" s="27"/>
      <c r="M238" s="27"/>
      <c r="N238" s="27"/>
      <c r="O238" s="27"/>
      <c r="P238" s="27"/>
    </row>
    <row r="239">
      <c r="F239" s="27"/>
      <c r="G239" s="27"/>
      <c r="H239" s="27"/>
      <c r="J239" s="27"/>
      <c r="L239" s="27"/>
      <c r="M239" s="27"/>
      <c r="N239" s="27"/>
      <c r="O239" s="27"/>
      <c r="P239" s="27"/>
    </row>
    <row r="240">
      <c r="F240" s="27"/>
      <c r="G240" s="27"/>
      <c r="H240" s="27"/>
      <c r="J240" s="27"/>
      <c r="L240" s="27"/>
      <c r="M240" s="27"/>
      <c r="N240" s="27"/>
      <c r="O240" s="27"/>
      <c r="P240" s="27"/>
    </row>
    <row r="241">
      <c r="F241" s="27"/>
      <c r="G241" s="27"/>
      <c r="H241" s="27"/>
      <c r="J241" s="27"/>
      <c r="L241" s="27"/>
      <c r="M241" s="27"/>
      <c r="N241" s="27"/>
      <c r="O241" s="27"/>
      <c r="P241" s="27"/>
    </row>
    <row r="242">
      <c r="F242" s="27"/>
      <c r="G242" s="27"/>
      <c r="H242" s="27"/>
      <c r="J242" s="27"/>
      <c r="L242" s="27"/>
      <c r="M242" s="27"/>
      <c r="N242" s="27"/>
      <c r="O242" s="27"/>
      <c r="P242" s="27"/>
    </row>
    <row r="243">
      <c r="F243" s="27"/>
      <c r="G243" s="27"/>
      <c r="H243" s="27"/>
      <c r="J243" s="27"/>
      <c r="L243" s="27"/>
      <c r="M243" s="27"/>
      <c r="N243" s="27"/>
      <c r="O243" s="27"/>
      <c r="P243" s="27"/>
    </row>
    <row r="244">
      <c r="F244" s="27"/>
      <c r="G244" s="27"/>
      <c r="H244" s="27"/>
      <c r="J244" s="27"/>
      <c r="L244" s="27"/>
      <c r="M244" s="27"/>
      <c r="N244" s="27"/>
      <c r="O244" s="27"/>
      <c r="P244" s="27"/>
    </row>
    <row r="245">
      <c r="F245" s="27"/>
      <c r="G245" s="27"/>
      <c r="H245" s="27"/>
      <c r="J245" s="27"/>
      <c r="L245" s="27"/>
      <c r="M245" s="27"/>
      <c r="N245" s="27"/>
      <c r="O245" s="27"/>
      <c r="P245" s="27"/>
    </row>
    <row r="246">
      <c r="F246" s="27"/>
      <c r="G246" s="27"/>
      <c r="H246" s="27"/>
      <c r="J246" s="27"/>
      <c r="L246" s="27"/>
      <c r="M246" s="27"/>
      <c r="N246" s="27"/>
      <c r="O246" s="27"/>
      <c r="P246" s="27"/>
    </row>
    <row r="247">
      <c r="F247" s="27"/>
      <c r="G247" s="27"/>
      <c r="H247" s="27"/>
      <c r="J247" s="27"/>
      <c r="L247" s="27"/>
      <c r="M247" s="27"/>
      <c r="N247" s="27"/>
      <c r="O247" s="27"/>
      <c r="P247" s="27"/>
    </row>
    <row r="248">
      <c r="F248" s="27"/>
      <c r="G248" s="27"/>
      <c r="H248" s="27"/>
      <c r="J248" s="27"/>
      <c r="L248" s="27"/>
      <c r="M248" s="27"/>
      <c r="N248" s="27"/>
      <c r="O248" s="27"/>
      <c r="P248" s="27"/>
    </row>
    <row r="249">
      <c r="F249" s="27"/>
      <c r="G249" s="27"/>
      <c r="H249" s="27"/>
      <c r="J249" s="27"/>
      <c r="L249" s="27"/>
      <c r="M249" s="27"/>
      <c r="N249" s="27"/>
      <c r="O249" s="27"/>
      <c r="P249" s="27"/>
    </row>
    <row r="250">
      <c r="F250" s="27"/>
      <c r="G250" s="27"/>
      <c r="H250" s="27"/>
      <c r="J250" s="27"/>
      <c r="L250" s="27"/>
      <c r="M250" s="27"/>
      <c r="N250" s="27"/>
      <c r="O250" s="27"/>
      <c r="P250" s="27"/>
    </row>
    <row r="251">
      <c r="F251" s="27"/>
      <c r="G251" s="27"/>
      <c r="H251" s="27"/>
      <c r="J251" s="27"/>
      <c r="L251" s="27"/>
      <c r="M251" s="27"/>
      <c r="N251" s="27"/>
      <c r="O251" s="27"/>
      <c r="P251" s="27"/>
    </row>
    <row r="252">
      <c r="F252" s="27"/>
      <c r="G252" s="27"/>
      <c r="H252" s="27"/>
      <c r="J252" s="27"/>
      <c r="L252" s="27"/>
      <c r="M252" s="27"/>
      <c r="N252" s="27"/>
      <c r="O252" s="27"/>
      <c r="P252" s="27"/>
    </row>
    <row r="253">
      <c r="F253" s="27"/>
      <c r="G253" s="27"/>
      <c r="H253" s="27"/>
      <c r="J253" s="27"/>
      <c r="L253" s="27"/>
      <c r="M253" s="27"/>
      <c r="N253" s="27"/>
      <c r="O253" s="27"/>
      <c r="P253" s="27"/>
    </row>
    <row r="254">
      <c r="F254" s="27"/>
      <c r="G254" s="27"/>
      <c r="H254" s="27"/>
      <c r="J254" s="27"/>
      <c r="L254" s="27"/>
      <c r="M254" s="27"/>
      <c r="N254" s="27"/>
      <c r="O254" s="27"/>
      <c r="P254" s="27"/>
    </row>
    <row r="255">
      <c r="F255" s="27"/>
      <c r="G255" s="27"/>
      <c r="H255" s="27"/>
      <c r="J255" s="27"/>
      <c r="L255" s="27"/>
      <c r="M255" s="27"/>
      <c r="N255" s="27"/>
      <c r="O255" s="27"/>
      <c r="P255" s="27"/>
    </row>
    <row r="256">
      <c r="F256" s="27"/>
      <c r="G256" s="27"/>
      <c r="H256" s="27"/>
      <c r="J256" s="27"/>
      <c r="L256" s="27"/>
      <c r="M256" s="27"/>
      <c r="N256" s="27"/>
      <c r="O256" s="27"/>
      <c r="P256" s="27"/>
    </row>
    <row r="257">
      <c r="F257" s="27"/>
      <c r="G257" s="27"/>
      <c r="H257" s="27"/>
      <c r="J257" s="27"/>
      <c r="L257" s="27"/>
      <c r="M257" s="27"/>
      <c r="N257" s="27"/>
      <c r="O257" s="27"/>
      <c r="P257" s="27"/>
    </row>
    <row r="258">
      <c r="F258" s="27"/>
      <c r="G258" s="27"/>
      <c r="H258" s="27"/>
      <c r="J258" s="27"/>
      <c r="L258" s="27"/>
      <c r="M258" s="27"/>
      <c r="N258" s="27"/>
      <c r="O258" s="27"/>
      <c r="P258" s="27"/>
    </row>
    <row r="259">
      <c r="F259" s="27"/>
      <c r="G259" s="27"/>
      <c r="H259" s="27"/>
      <c r="J259" s="27"/>
      <c r="L259" s="27"/>
      <c r="M259" s="27"/>
      <c r="N259" s="27"/>
      <c r="O259" s="27"/>
      <c r="P259" s="27"/>
    </row>
    <row r="260">
      <c r="F260" s="27"/>
      <c r="G260" s="27"/>
      <c r="H260" s="27"/>
      <c r="J260" s="27"/>
      <c r="L260" s="27"/>
      <c r="M260" s="27"/>
      <c r="N260" s="27"/>
      <c r="O260" s="27"/>
      <c r="P260" s="27"/>
    </row>
    <row r="261">
      <c r="F261" s="27"/>
      <c r="G261" s="27"/>
      <c r="H261" s="27"/>
      <c r="J261" s="27"/>
      <c r="L261" s="27"/>
      <c r="M261" s="27"/>
      <c r="N261" s="27"/>
      <c r="O261" s="27"/>
      <c r="P261" s="27"/>
    </row>
    <row r="262">
      <c r="F262" s="27"/>
      <c r="G262" s="27"/>
      <c r="H262" s="27"/>
      <c r="J262" s="27"/>
      <c r="L262" s="27"/>
      <c r="M262" s="27"/>
      <c r="N262" s="27"/>
      <c r="O262" s="27"/>
      <c r="P262" s="27"/>
    </row>
    <row r="263">
      <c r="F263" s="27"/>
      <c r="G263" s="27"/>
      <c r="H263" s="27"/>
      <c r="J263" s="27"/>
      <c r="L263" s="27"/>
      <c r="M263" s="27"/>
      <c r="N263" s="27"/>
      <c r="O263" s="27"/>
      <c r="P263" s="27"/>
    </row>
    <row r="264">
      <c r="F264" s="27"/>
      <c r="G264" s="27"/>
      <c r="H264" s="27"/>
      <c r="J264" s="27"/>
      <c r="L264" s="27"/>
      <c r="M264" s="27"/>
      <c r="N264" s="27"/>
      <c r="O264" s="27"/>
      <c r="P264" s="27"/>
    </row>
    <row r="265">
      <c r="F265" s="27"/>
      <c r="G265" s="27"/>
      <c r="H265" s="27"/>
      <c r="J265" s="27"/>
      <c r="L265" s="27"/>
      <c r="M265" s="27"/>
      <c r="N265" s="27"/>
      <c r="O265" s="27"/>
      <c r="P265" s="27"/>
    </row>
    <row r="266">
      <c r="F266" s="27"/>
      <c r="G266" s="27"/>
      <c r="H266" s="27"/>
      <c r="J266" s="27"/>
      <c r="L266" s="27"/>
      <c r="M266" s="27"/>
      <c r="N266" s="27"/>
      <c r="O266" s="27"/>
      <c r="P266" s="27"/>
    </row>
    <row r="267">
      <c r="F267" s="27"/>
      <c r="G267" s="27"/>
      <c r="H267" s="27"/>
      <c r="J267" s="27"/>
      <c r="L267" s="27"/>
      <c r="M267" s="27"/>
      <c r="N267" s="27"/>
      <c r="O267" s="27"/>
      <c r="P267" s="27"/>
    </row>
    <row r="268">
      <c r="F268" s="27"/>
      <c r="G268" s="27"/>
      <c r="H268" s="27"/>
      <c r="J268" s="27"/>
      <c r="L268" s="27"/>
      <c r="M268" s="27"/>
      <c r="N268" s="27"/>
      <c r="O268" s="27"/>
      <c r="P268" s="27"/>
    </row>
    <row r="269">
      <c r="F269" s="27"/>
      <c r="G269" s="27"/>
      <c r="H269" s="27"/>
      <c r="J269" s="27"/>
      <c r="L269" s="27"/>
      <c r="M269" s="27"/>
      <c r="N269" s="27"/>
      <c r="O269" s="27"/>
      <c r="P269" s="27"/>
    </row>
    <row r="270">
      <c r="F270" s="27"/>
      <c r="G270" s="27"/>
      <c r="H270" s="27"/>
      <c r="J270" s="27"/>
      <c r="L270" s="27"/>
      <c r="M270" s="27"/>
      <c r="N270" s="27"/>
      <c r="O270" s="27"/>
      <c r="P270" s="27"/>
    </row>
    <row r="271">
      <c r="F271" s="27"/>
      <c r="G271" s="27"/>
      <c r="H271" s="27"/>
      <c r="J271" s="27"/>
      <c r="L271" s="27"/>
      <c r="M271" s="27"/>
      <c r="N271" s="27"/>
      <c r="O271" s="27"/>
      <c r="P271" s="27"/>
    </row>
    <row r="272">
      <c r="F272" s="27"/>
      <c r="G272" s="27"/>
      <c r="H272" s="27"/>
      <c r="J272" s="27"/>
      <c r="L272" s="27"/>
      <c r="M272" s="27"/>
      <c r="N272" s="27"/>
      <c r="O272" s="27"/>
      <c r="P272" s="27"/>
    </row>
    <row r="273">
      <c r="F273" s="27"/>
      <c r="G273" s="27"/>
      <c r="H273" s="27"/>
      <c r="J273" s="27"/>
      <c r="L273" s="27"/>
      <c r="M273" s="27"/>
      <c r="N273" s="27"/>
      <c r="O273" s="27"/>
      <c r="P273" s="27"/>
    </row>
    <row r="274">
      <c r="F274" s="27"/>
      <c r="G274" s="27"/>
      <c r="H274" s="27"/>
      <c r="J274" s="27"/>
      <c r="L274" s="27"/>
      <c r="M274" s="27"/>
      <c r="N274" s="27"/>
      <c r="O274" s="27"/>
      <c r="P274" s="27"/>
    </row>
    <row r="275">
      <c r="F275" s="27"/>
      <c r="G275" s="27"/>
      <c r="H275" s="27"/>
      <c r="J275" s="27"/>
      <c r="L275" s="27"/>
      <c r="M275" s="27"/>
      <c r="N275" s="27"/>
      <c r="O275" s="27"/>
      <c r="P275" s="27"/>
    </row>
    <row r="276">
      <c r="F276" s="27"/>
      <c r="G276" s="27"/>
      <c r="H276" s="27"/>
      <c r="J276" s="27"/>
      <c r="L276" s="27"/>
      <c r="M276" s="27"/>
      <c r="N276" s="27"/>
      <c r="O276" s="27"/>
      <c r="P276" s="27"/>
    </row>
    <row r="277">
      <c r="F277" s="27"/>
      <c r="G277" s="27"/>
      <c r="H277" s="27"/>
      <c r="J277" s="27"/>
      <c r="L277" s="27"/>
      <c r="M277" s="27"/>
      <c r="N277" s="27"/>
      <c r="O277" s="27"/>
      <c r="P277" s="27"/>
    </row>
    <row r="278">
      <c r="F278" s="27"/>
      <c r="G278" s="27"/>
      <c r="H278" s="27"/>
      <c r="J278" s="27"/>
      <c r="L278" s="27"/>
      <c r="M278" s="27"/>
      <c r="N278" s="27"/>
      <c r="O278" s="27"/>
      <c r="P278" s="27"/>
    </row>
    <row r="279">
      <c r="F279" s="27"/>
      <c r="G279" s="27"/>
      <c r="H279" s="27"/>
      <c r="J279" s="27"/>
      <c r="L279" s="27"/>
      <c r="M279" s="27"/>
      <c r="N279" s="27"/>
      <c r="O279" s="27"/>
      <c r="P279" s="27"/>
    </row>
    <row r="280">
      <c r="F280" s="27"/>
      <c r="G280" s="27"/>
      <c r="H280" s="27"/>
      <c r="J280" s="27"/>
      <c r="L280" s="27"/>
      <c r="M280" s="27"/>
      <c r="N280" s="27"/>
      <c r="O280" s="27"/>
      <c r="P280" s="27"/>
    </row>
    <row r="281">
      <c r="F281" s="27"/>
      <c r="G281" s="27"/>
      <c r="H281" s="27"/>
      <c r="J281" s="27"/>
      <c r="L281" s="27"/>
      <c r="M281" s="27"/>
      <c r="N281" s="27"/>
      <c r="O281" s="27"/>
      <c r="P281" s="27"/>
    </row>
    <row r="282">
      <c r="F282" s="27"/>
      <c r="G282" s="27"/>
      <c r="H282" s="27"/>
      <c r="J282" s="27"/>
      <c r="L282" s="27"/>
      <c r="M282" s="27"/>
      <c r="N282" s="27"/>
      <c r="O282" s="27"/>
      <c r="P282" s="27"/>
    </row>
    <row r="283">
      <c r="F283" s="27"/>
      <c r="G283" s="27"/>
      <c r="H283" s="27"/>
      <c r="J283" s="27"/>
      <c r="L283" s="27"/>
      <c r="M283" s="27"/>
      <c r="N283" s="27"/>
      <c r="O283" s="27"/>
      <c r="P283" s="27"/>
    </row>
    <row r="284">
      <c r="F284" s="27"/>
      <c r="G284" s="27"/>
      <c r="H284" s="27"/>
      <c r="J284" s="27"/>
      <c r="L284" s="27"/>
      <c r="M284" s="27"/>
      <c r="N284" s="27"/>
      <c r="O284" s="27"/>
      <c r="P284" s="27"/>
    </row>
    <row r="285">
      <c r="F285" s="27"/>
      <c r="G285" s="27"/>
      <c r="H285" s="27"/>
      <c r="J285" s="27"/>
      <c r="L285" s="27"/>
      <c r="M285" s="27"/>
      <c r="N285" s="27"/>
      <c r="O285" s="27"/>
      <c r="P285" s="27"/>
    </row>
    <row r="286">
      <c r="F286" s="27"/>
      <c r="G286" s="27"/>
      <c r="H286" s="27"/>
      <c r="J286" s="27"/>
      <c r="L286" s="27"/>
      <c r="M286" s="27"/>
      <c r="N286" s="27"/>
      <c r="O286" s="27"/>
      <c r="P286" s="27"/>
    </row>
    <row r="287">
      <c r="F287" s="27"/>
      <c r="G287" s="27"/>
      <c r="H287" s="27"/>
      <c r="J287" s="27"/>
      <c r="L287" s="27"/>
      <c r="M287" s="27"/>
      <c r="N287" s="27"/>
      <c r="O287" s="27"/>
      <c r="P287" s="27"/>
    </row>
    <row r="288">
      <c r="F288" s="27"/>
      <c r="G288" s="27"/>
      <c r="H288" s="27"/>
      <c r="J288" s="27"/>
      <c r="L288" s="27"/>
      <c r="M288" s="27"/>
      <c r="N288" s="27"/>
      <c r="O288" s="27"/>
      <c r="P288" s="27"/>
    </row>
    <row r="289">
      <c r="F289" s="27"/>
      <c r="G289" s="27"/>
      <c r="H289" s="27"/>
      <c r="J289" s="27"/>
      <c r="L289" s="27"/>
      <c r="M289" s="27"/>
      <c r="N289" s="27"/>
      <c r="O289" s="27"/>
      <c r="P289" s="27"/>
    </row>
    <row r="290">
      <c r="F290" s="27"/>
      <c r="G290" s="27"/>
      <c r="H290" s="27"/>
      <c r="J290" s="27"/>
      <c r="L290" s="27"/>
      <c r="M290" s="27"/>
      <c r="N290" s="27"/>
      <c r="O290" s="27"/>
      <c r="P290" s="27"/>
    </row>
    <row r="291">
      <c r="F291" s="27"/>
      <c r="G291" s="27"/>
      <c r="H291" s="27"/>
      <c r="J291" s="27"/>
      <c r="L291" s="27"/>
      <c r="M291" s="27"/>
      <c r="N291" s="27"/>
      <c r="O291" s="27"/>
      <c r="P291" s="27"/>
    </row>
    <row r="292">
      <c r="F292" s="27"/>
      <c r="G292" s="27"/>
      <c r="H292" s="27"/>
      <c r="J292" s="27"/>
      <c r="L292" s="27"/>
      <c r="M292" s="27"/>
      <c r="N292" s="27"/>
      <c r="O292" s="27"/>
      <c r="P292" s="27"/>
    </row>
    <row r="293">
      <c r="F293" s="27"/>
      <c r="G293" s="27"/>
      <c r="H293" s="27"/>
      <c r="J293" s="27"/>
      <c r="L293" s="27"/>
      <c r="M293" s="27"/>
      <c r="N293" s="27"/>
      <c r="O293" s="27"/>
      <c r="P293" s="27"/>
    </row>
    <row r="294">
      <c r="F294" s="27"/>
      <c r="G294" s="27"/>
      <c r="H294" s="27"/>
      <c r="J294" s="27"/>
      <c r="L294" s="27"/>
      <c r="M294" s="27"/>
      <c r="N294" s="27"/>
      <c r="O294" s="27"/>
      <c r="P294" s="27"/>
    </row>
    <row r="295">
      <c r="F295" s="27"/>
      <c r="G295" s="27"/>
      <c r="H295" s="27"/>
      <c r="J295" s="27"/>
      <c r="L295" s="27"/>
      <c r="M295" s="27"/>
      <c r="N295" s="27"/>
      <c r="O295" s="27"/>
      <c r="P295" s="27"/>
    </row>
    <row r="296">
      <c r="F296" s="27"/>
      <c r="G296" s="27"/>
      <c r="H296" s="27"/>
      <c r="J296" s="27"/>
      <c r="L296" s="27"/>
      <c r="M296" s="27"/>
      <c r="N296" s="27"/>
      <c r="O296" s="27"/>
      <c r="P296" s="27"/>
    </row>
    <row r="297">
      <c r="F297" s="27"/>
      <c r="G297" s="27"/>
      <c r="H297" s="27"/>
      <c r="J297" s="27"/>
      <c r="L297" s="27"/>
      <c r="M297" s="27"/>
      <c r="N297" s="27"/>
      <c r="O297" s="27"/>
      <c r="P297" s="27"/>
    </row>
    <row r="298">
      <c r="F298" s="27"/>
      <c r="G298" s="27"/>
      <c r="H298" s="27"/>
      <c r="J298" s="27"/>
      <c r="L298" s="27"/>
      <c r="M298" s="27"/>
      <c r="N298" s="27"/>
      <c r="O298" s="27"/>
      <c r="P298" s="27"/>
    </row>
    <row r="299">
      <c r="F299" s="27"/>
      <c r="G299" s="27"/>
      <c r="H299" s="27"/>
      <c r="J299" s="27"/>
      <c r="L299" s="27"/>
      <c r="M299" s="27"/>
      <c r="N299" s="27"/>
      <c r="O299" s="27"/>
      <c r="P299" s="27"/>
    </row>
    <row r="300">
      <c r="F300" s="27"/>
      <c r="G300" s="27"/>
      <c r="H300" s="27"/>
      <c r="J300" s="27"/>
      <c r="L300" s="27"/>
      <c r="M300" s="27"/>
      <c r="N300" s="27"/>
      <c r="O300" s="27"/>
      <c r="P300" s="27"/>
    </row>
    <row r="301">
      <c r="F301" s="27"/>
      <c r="G301" s="27"/>
      <c r="H301" s="27"/>
      <c r="J301" s="27"/>
      <c r="L301" s="27"/>
      <c r="M301" s="27"/>
      <c r="N301" s="27"/>
      <c r="O301" s="27"/>
      <c r="P301" s="27"/>
    </row>
    <row r="302">
      <c r="F302" s="27"/>
      <c r="G302" s="27"/>
      <c r="H302" s="27"/>
      <c r="J302" s="27"/>
      <c r="L302" s="27"/>
      <c r="M302" s="27"/>
      <c r="N302" s="27"/>
      <c r="O302" s="27"/>
      <c r="P302" s="27"/>
    </row>
    <row r="303">
      <c r="F303" s="27"/>
      <c r="G303" s="27"/>
      <c r="H303" s="27"/>
      <c r="J303" s="27"/>
      <c r="L303" s="27"/>
      <c r="M303" s="27"/>
      <c r="N303" s="27"/>
      <c r="O303" s="27"/>
      <c r="P303" s="27"/>
    </row>
    <row r="304">
      <c r="F304" s="27"/>
      <c r="G304" s="27"/>
      <c r="H304" s="27"/>
      <c r="J304" s="27"/>
      <c r="L304" s="27"/>
      <c r="M304" s="27"/>
      <c r="N304" s="27"/>
      <c r="O304" s="27"/>
      <c r="P304" s="27"/>
    </row>
    <row r="305">
      <c r="F305" s="27"/>
      <c r="G305" s="27"/>
      <c r="H305" s="27"/>
      <c r="J305" s="27"/>
      <c r="L305" s="27"/>
      <c r="M305" s="27"/>
      <c r="N305" s="27"/>
      <c r="O305" s="27"/>
      <c r="P305" s="27"/>
    </row>
    <row r="306">
      <c r="F306" s="27"/>
      <c r="G306" s="27"/>
      <c r="H306" s="27"/>
      <c r="J306" s="27"/>
      <c r="L306" s="27"/>
      <c r="M306" s="27"/>
      <c r="N306" s="27"/>
      <c r="O306" s="27"/>
      <c r="P306" s="27"/>
    </row>
    <row r="307">
      <c r="F307" s="27"/>
      <c r="G307" s="27"/>
      <c r="H307" s="27"/>
      <c r="J307" s="27"/>
      <c r="L307" s="27"/>
      <c r="M307" s="27"/>
      <c r="N307" s="27"/>
      <c r="O307" s="27"/>
      <c r="P307" s="27"/>
    </row>
    <row r="308">
      <c r="F308" s="27"/>
      <c r="G308" s="27"/>
      <c r="H308" s="27"/>
      <c r="J308" s="27"/>
      <c r="L308" s="27"/>
      <c r="M308" s="27"/>
      <c r="N308" s="27"/>
      <c r="O308" s="27"/>
      <c r="P308" s="27"/>
    </row>
    <row r="309">
      <c r="F309" s="27"/>
      <c r="G309" s="27"/>
      <c r="H309" s="27"/>
      <c r="J309" s="27"/>
      <c r="L309" s="27"/>
      <c r="M309" s="27"/>
      <c r="N309" s="27"/>
      <c r="O309" s="27"/>
      <c r="P309" s="27"/>
    </row>
    <row r="310">
      <c r="F310" s="27"/>
      <c r="G310" s="27"/>
      <c r="H310" s="27"/>
      <c r="J310" s="27"/>
      <c r="L310" s="27"/>
      <c r="M310" s="27"/>
      <c r="N310" s="27"/>
      <c r="O310" s="27"/>
      <c r="P310" s="27"/>
    </row>
    <row r="311">
      <c r="F311" s="27"/>
      <c r="G311" s="27"/>
      <c r="H311" s="27"/>
      <c r="J311" s="27"/>
      <c r="L311" s="27"/>
      <c r="M311" s="27"/>
      <c r="N311" s="27"/>
      <c r="O311" s="27"/>
      <c r="P311" s="27"/>
    </row>
    <row r="312">
      <c r="F312" s="27"/>
      <c r="G312" s="27"/>
      <c r="H312" s="27"/>
      <c r="J312" s="27"/>
      <c r="L312" s="27"/>
      <c r="M312" s="27"/>
      <c r="N312" s="27"/>
      <c r="O312" s="27"/>
      <c r="P312" s="27"/>
    </row>
    <row r="313">
      <c r="F313" s="27"/>
      <c r="G313" s="27"/>
      <c r="H313" s="27"/>
      <c r="J313" s="27"/>
      <c r="L313" s="27"/>
      <c r="M313" s="27"/>
      <c r="N313" s="27"/>
      <c r="O313" s="27"/>
      <c r="P313" s="27"/>
    </row>
    <row r="314">
      <c r="F314" s="27"/>
      <c r="G314" s="27"/>
      <c r="H314" s="27"/>
      <c r="J314" s="27"/>
      <c r="L314" s="27"/>
      <c r="M314" s="27"/>
      <c r="N314" s="27"/>
      <c r="O314" s="27"/>
      <c r="P314" s="27"/>
    </row>
    <row r="315">
      <c r="F315" s="27"/>
      <c r="G315" s="27"/>
      <c r="H315" s="27"/>
      <c r="J315" s="27"/>
      <c r="L315" s="27"/>
      <c r="M315" s="27"/>
      <c r="N315" s="27"/>
      <c r="O315" s="27"/>
      <c r="P315" s="27"/>
    </row>
    <row r="316">
      <c r="F316" s="27"/>
      <c r="G316" s="27"/>
      <c r="H316" s="27"/>
      <c r="J316" s="27"/>
      <c r="L316" s="27"/>
      <c r="M316" s="27"/>
      <c r="N316" s="27"/>
      <c r="O316" s="27"/>
      <c r="P316" s="27"/>
    </row>
    <row r="317">
      <c r="F317" s="27"/>
      <c r="G317" s="27"/>
      <c r="H317" s="27"/>
      <c r="J317" s="27"/>
      <c r="L317" s="27"/>
      <c r="M317" s="27"/>
      <c r="N317" s="27"/>
      <c r="O317" s="27"/>
      <c r="P317" s="27"/>
    </row>
    <row r="318">
      <c r="F318" s="27"/>
      <c r="G318" s="27"/>
      <c r="H318" s="27"/>
      <c r="J318" s="27"/>
      <c r="L318" s="27"/>
      <c r="M318" s="27"/>
      <c r="N318" s="27"/>
      <c r="O318" s="27"/>
      <c r="P318" s="27"/>
    </row>
    <row r="319">
      <c r="F319" s="27"/>
      <c r="G319" s="27"/>
      <c r="H319" s="27"/>
      <c r="J319" s="27"/>
      <c r="L319" s="27"/>
      <c r="M319" s="27"/>
      <c r="N319" s="27"/>
      <c r="O319" s="27"/>
      <c r="P319" s="27"/>
    </row>
    <row r="320">
      <c r="F320" s="27"/>
      <c r="G320" s="27"/>
      <c r="H320" s="27"/>
      <c r="J320" s="27"/>
      <c r="L320" s="27"/>
      <c r="M320" s="27"/>
      <c r="N320" s="27"/>
      <c r="O320" s="27"/>
      <c r="P320" s="27"/>
    </row>
    <row r="321">
      <c r="F321" s="27"/>
      <c r="G321" s="27"/>
      <c r="H321" s="27"/>
      <c r="J321" s="27"/>
      <c r="L321" s="27"/>
      <c r="M321" s="27"/>
      <c r="N321" s="27"/>
      <c r="O321" s="27"/>
      <c r="P321" s="27"/>
    </row>
    <row r="322">
      <c r="F322" s="27"/>
      <c r="G322" s="27"/>
      <c r="H322" s="27"/>
      <c r="J322" s="27"/>
      <c r="L322" s="27"/>
      <c r="M322" s="27"/>
      <c r="N322" s="27"/>
      <c r="O322" s="27"/>
      <c r="P322" s="27"/>
    </row>
    <row r="323">
      <c r="F323" s="27"/>
      <c r="G323" s="27"/>
      <c r="H323" s="27"/>
      <c r="J323" s="27"/>
      <c r="L323" s="27"/>
      <c r="M323" s="27"/>
      <c r="N323" s="27"/>
      <c r="O323" s="27"/>
      <c r="P323" s="27"/>
    </row>
    <row r="324">
      <c r="F324" s="27"/>
      <c r="G324" s="27"/>
      <c r="H324" s="27"/>
      <c r="J324" s="27"/>
      <c r="L324" s="27"/>
      <c r="M324" s="27"/>
      <c r="N324" s="27"/>
      <c r="O324" s="27"/>
      <c r="P324" s="27"/>
    </row>
    <row r="325">
      <c r="F325" s="27"/>
      <c r="G325" s="27"/>
      <c r="H325" s="27"/>
      <c r="J325" s="27"/>
      <c r="L325" s="27"/>
      <c r="M325" s="27"/>
      <c r="N325" s="27"/>
      <c r="O325" s="27"/>
      <c r="P325" s="27"/>
    </row>
    <row r="326">
      <c r="F326" s="27"/>
      <c r="G326" s="27"/>
      <c r="H326" s="27"/>
      <c r="J326" s="27"/>
      <c r="L326" s="27"/>
      <c r="M326" s="27"/>
      <c r="N326" s="27"/>
      <c r="O326" s="27"/>
      <c r="P326" s="27"/>
    </row>
    <row r="327">
      <c r="F327" s="27"/>
      <c r="G327" s="27"/>
      <c r="H327" s="27"/>
      <c r="J327" s="27"/>
      <c r="L327" s="27"/>
      <c r="M327" s="27"/>
      <c r="N327" s="27"/>
      <c r="O327" s="27"/>
      <c r="P327" s="27"/>
    </row>
    <row r="328">
      <c r="F328" s="27"/>
      <c r="G328" s="27"/>
      <c r="H328" s="27"/>
      <c r="J328" s="27"/>
      <c r="L328" s="27"/>
      <c r="M328" s="27"/>
      <c r="N328" s="27"/>
      <c r="O328" s="27"/>
      <c r="P328" s="27"/>
    </row>
    <row r="329">
      <c r="F329" s="27"/>
      <c r="G329" s="27"/>
      <c r="H329" s="27"/>
      <c r="J329" s="27"/>
      <c r="L329" s="27"/>
      <c r="M329" s="27"/>
      <c r="N329" s="27"/>
      <c r="O329" s="27"/>
      <c r="P329" s="27"/>
    </row>
    <row r="330">
      <c r="F330" s="27"/>
      <c r="G330" s="27"/>
      <c r="H330" s="27"/>
      <c r="J330" s="27"/>
      <c r="L330" s="27"/>
      <c r="M330" s="27"/>
      <c r="N330" s="27"/>
      <c r="O330" s="27"/>
      <c r="P330" s="27"/>
    </row>
    <row r="331">
      <c r="F331" s="27"/>
      <c r="G331" s="27"/>
      <c r="H331" s="27"/>
      <c r="J331" s="27"/>
      <c r="L331" s="27"/>
      <c r="M331" s="27"/>
      <c r="N331" s="27"/>
      <c r="O331" s="27"/>
      <c r="P331" s="27"/>
    </row>
    <row r="332">
      <c r="F332" s="27"/>
      <c r="G332" s="27"/>
      <c r="H332" s="27"/>
      <c r="J332" s="27"/>
      <c r="L332" s="27"/>
      <c r="M332" s="27"/>
      <c r="N332" s="27"/>
      <c r="O332" s="27"/>
      <c r="P332" s="27"/>
    </row>
    <row r="333">
      <c r="F333" s="27"/>
      <c r="G333" s="27"/>
      <c r="H333" s="27"/>
      <c r="J333" s="27"/>
      <c r="L333" s="27"/>
      <c r="M333" s="27"/>
      <c r="N333" s="27"/>
      <c r="O333" s="27"/>
      <c r="P333" s="27"/>
    </row>
    <row r="334">
      <c r="F334" s="27"/>
      <c r="G334" s="27"/>
      <c r="H334" s="27"/>
      <c r="J334" s="27"/>
      <c r="L334" s="27"/>
      <c r="M334" s="27"/>
      <c r="N334" s="27"/>
      <c r="O334" s="27"/>
      <c r="P334" s="27"/>
    </row>
    <row r="335">
      <c r="F335" s="27"/>
      <c r="G335" s="27"/>
      <c r="H335" s="27"/>
      <c r="J335" s="27"/>
      <c r="L335" s="27"/>
      <c r="M335" s="27"/>
      <c r="N335" s="27"/>
      <c r="O335" s="27"/>
      <c r="P335" s="27"/>
    </row>
    <row r="336">
      <c r="F336" s="27"/>
      <c r="G336" s="27"/>
      <c r="H336" s="27"/>
      <c r="J336" s="27"/>
      <c r="L336" s="27"/>
      <c r="M336" s="27"/>
      <c r="N336" s="27"/>
      <c r="O336" s="27"/>
      <c r="P336" s="27"/>
    </row>
    <row r="337">
      <c r="F337" s="27"/>
      <c r="G337" s="27"/>
      <c r="H337" s="27"/>
      <c r="J337" s="27"/>
      <c r="L337" s="27"/>
      <c r="M337" s="27"/>
      <c r="N337" s="27"/>
      <c r="O337" s="27"/>
      <c r="P337" s="27"/>
    </row>
    <row r="338">
      <c r="F338" s="27"/>
      <c r="G338" s="27"/>
      <c r="H338" s="27"/>
      <c r="J338" s="27"/>
      <c r="L338" s="27"/>
      <c r="M338" s="27"/>
      <c r="N338" s="27"/>
      <c r="O338" s="27"/>
      <c r="P338" s="27"/>
    </row>
    <row r="339">
      <c r="F339" s="27"/>
      <c r="G339" s="27"/>
      <c r="H339" s="27"/>
      <c r="J339" s="27"/>
      <c r="L339" s="27"/>
      <c r="M339" s="27"/>
      <c r="N339" s="27"/>
      <c r="O339" s="27"/>
      <c r="P339" s="27"/>
    </row>
    <row r="340">
      <c r="F340" s="27"/>
      <c r="G340" s="27"/>
      <c r="H340" s="27"/>
      <c r="J340" s="27"/>
      <c r="L340" s="27"/>
      <c r="M340" s="27"/>
      <c r="N340" s="27"/>
      <c r="O340" s="27"/>
      <c r="P340" s="27"/>
    </row>
    <row r="341">
      <c r="F341" s="27"/>
      <c r="G341" s="27"/>
      <c r="H341" s="27"/>
      <c r="J341" s="27"/>
      <c r="L341" s="27"/>
      <c r="M341" s="27"/>
      <c r="N341" s="27"/>
      <c r="O341" s="27"/>
      <c r="P341" s="27"/>
    </row>
    <row r="342">
      <c r="F342" s="27"/>
      <c r="G342" s="27"/>
      <c r="H342" s="27"/>
      <c r="J342" s="27"/>
      <c r="L342" s="27"/>
      <c r="M342" s="27"/>
      <c r="N342" s="27"/>
      <c r="O342" s="27"/>
      <c r="P342" s="27"/>
    </row>
    <row r="343">
      <c r="F343" s="27"/>
      <c r="G343" s="27"/>
      <c r="H343" s="27"/>
      <c r="J343" s="27"/>
      <c r="L343" s="27"/>
      <c r="M343" s="27"/>
      <c r="N343" s="27"/>
      <c r="O343" s="27"/>
      <c r="P343" s="27"/>
    </row>
    <row r="344">
      <c r="F344" s="27"/>
      <c r="G344" s="27"/>
      <c r="H344" s="27"/>
      <c r="J344" s="27"/>
      <c r="L344" s="27"/>
      <c r="M344" s="27"/>
      <c r="N344" s="27"/>
      <c r="O344" s="27"/>
      <c r="P344" s="27"/>
    </row>
    <row r="345">
      <c r="F345" s="27"/>
      <c r="G345" s="27"/>
      <c r="H345" s="27"/>
      <c r="J345" s="27"/>
      <c r="L345" s="27"/>
      <c r="M345" s="27"/>
      <c r="N345" s="27"/>
      <c r="O345" s="27"/>
      <c r="P345" s="27"/>
    </row>
    <row r="346">
      <c r="F346" s="27"/>
      <c r="G346" s="27"/>
      <c r="H346" s="27"/>
      <c r="J346" s="27"/>
      <c r="L346" s="27"/>
      <c r="M346" s="27"/>
      <c r="N346" s="27"/>
      <c r="O346" s="27"/>
      <c r="P346" s="27"/>
    </row>
    <row r="347">
      <c r="F347" s="27"/>
      <c r="G347" s="27"/>
      <c r="H347" s="27"/>
      <c r="J347" s="27"/>
      <c r="L347" s="27"/>
      <c r="M347" s="27"/>
      <c r="N347" s="27"/>
      <c r="O347" s="27"/>
      <c r="P347" s="27"/>
    </row>
    <row r="348">
      <c r="F348" s="27"/>
      <c r="G348" s="27"/>
      <c r="H348" s="27"/>
      <c r="J348" s="27"/>
      <c r="L348" s="27"/>
      <c r="M348" s="27"/>
      <c r="N348" s="27"/>
      <c r="O348" s="27"/>
      <c r="P348" s="27"/>
    </row>
    <row r="349">
      <c r="F349" s="27"/>
      <c r="G349" s="27"/>
      <c r="H349" s="27"/>
      <c r="J349" s="27"/>
      <c r="L349" s="27"/>
      <c r="M349" s="27"/>
      <c r="N349" s="27"/>
      <c r="O349" s="27"/>
      <c r="P349" s="27"/>
    </row>
    <row r="350">
      <c r="F350" s="27"/>
      <c r="G350" s="27"/>
      <c r="H350" s="27"/>
      <c r="J350" s="27"/>
      <c r="L350" s="27"/>
      <c r="M350" s="27"/>
      <c r="N350" s="27"/>
      <c r="O350" s="27"/>
      <c r="P350" s="27"/>
    </row>
    <row r="351">
      <c r="F351" s="27"/>
      <c r="G351" s="27"/>
      <c r="H351" s="27"/>
      <c r="J351" s="27"/>
      <c r="L351" s="27"/>
      <c r="M351" s="27"/>
      <c r="N351" s="27"/>
      <c r="O351" s="27"/>
      <c r="P351" s="27"/>
    </row>
    <row r="352">
      <c r="F352" s="27"/>
      <c r="G352" s="27"/>
      <c r="H352" s="27"/>
      <c r="J352" s="27"/>
      <c r="L352" s="27"/>
      <c r="M352" s="27"/>
      <c r="N352" s="27"/>
      <c r="O352" s="27"/>
      <c r="P352" s="27"/>
    </row>
    <row r="353">
      <c r="F353" s="27"/>
      <c r="G353" s="27"/>
      <c r="H353" s="27"/>
      <c r="J353" s="27"/>
      <c r="L353" s="27"/>
      <c r="M353" s="27"/>
      <c r="N353" s="27"/>
      <c r="O353" s="27"/>
      <c r="P353" s="27"/>
    </row>
    <row r="354">
      <c r="F354" s="27"/>
      <c r="G354" s="27"/>
      <c r="H354" s="27"/>
      <c r="J354" s="27"/>
      <c r="L354" s="27"/>
      <c r="M354" s="27"/>
      <c r="N354" s="27"/>
      <c r="O354" s="27"/>
      <c r="P354" s="27"/>
    </row>
    <row r="355">
      <c r="F355" s="27"/>
      <c r="G355" s="27"/>
      <c r="H355" s="27"/>
      <c r="J355" s="27"/>
      <c r="L355" s="27"/>
      <c r="M355" s="27"/>
      <c r="N355" s="27"/>
      <c r="O355" s="27"/>
      <c r="P355" s="27"/>
    </row>
    <row r="356">
      <c r="F356" s="27"/>
      <c r="G356" s="27"/>
      <c r="H356" s="27"/>
      <c r="J356" s="27"/>
      <c r="L356" s="27"/>
      <c r="M356" s="27"/>
      <c r="N356" s="27"/>
      <c r="O356" s="27"/>
      <c r="P356" s="27"/>
    </row>
    <row r="357">
      <c r="F357" s="27"/>
      <c r="G357" s="27"/>
      <c r="H357" s="27"/>
      <c r="J357" s="27"/>
      <c r="L357" s="27"/>
      <c r="M357" s="27"/>
      <c r="N357" s="27"/>
      <c r="O357" s="27"/>
      <c r="P357" s="27"/>
    </row>
    <row r="358">
      <c r="F358" s="27"/>
      <c r="G358" s="27"/>
      <c r="H358" s="27"/>
      <c r="J358" s="27"/>
      <c r="L358" s="27"/>
      <c r="M358" s="27"/>
      <c r="N358" s="27"/>
      <c r="O358" s="27"/>
      <c r="P358" s="27"/>
    </row>
    <row r="359">
      <c r="F359" s="27"/>
      <c r="G359" s="27"/>
      <c r="H359" s="27"/>
      <c r="J359" s="27"/>
      <c r="L359" s="27"/>
      <c r="M359" s="27"/>
      <c r="N359" s="27"/>
      <c r="O359" s="27"/>
      <c r="P359" s="27"/>
    </row>
    <row r="360">
      <c r="F360" s="27"/>
      <c r="G360" s="27"/>
      <c r="H360" s="27"/>
      <c r="J360" s="27"/>
      <c r="L360" s="27"/>
      <c r="M360" s="27"/>
      <c r="N360" s="27"/>
      <c r="O360" s="27"/>
      <c r="P360" s="27"/>
    </row>
    <row r="361">
      <c r="F361" s="27"/>
      <c r="G361" s="27"/>
      <c r="H361" s="27"/>
      <c r="J361" s="27"/>
      <c r="L361" s="27"/>
      <c r="M361" s="27"/>
      <c r="N361" s="27"/>
      <c r="O361" s="27"/>
      <c r="P361" s="27"/>
    </row>
    <row r="362">
      <c r="F362" s="27"/>
      <c r="G362" s="27"/>
      <c r="H362" s="27"/>
      <c r="J362" s="27"/>
      <c r="L362" s="27"/>
      <c r="M362" s="27"/>
      <c r="N362" s="27"/>
      <c r="O362" s="27"/>
      <c r="P362" s="27"/>
    </row>
    <row r="363">
      <c r="F363" s="27"/>
      <c r="G363" s="27"/>
      <c r="H363" s="27"/>
      <c r="J363" s="27"/>
      <c r="L363" s="27"/>
      <c r="M363" s="27"/>
      <c r="N363" s="27"/>
      <c r="O363" s="27"/>
      <c r="P363" s="27"/>
    </row>
    <row r="364">
      <c r="F364" s="27"/>
      <c r="G364" s="27"/>
      <c r="H364" s="27"/>
      <c r="J364" s="27"/>
      <c r="L364" s="27"/>
      <c r="M364" s="27"/>
      <c r="N364" s="27"/>
      <c r="O364" s="27"/>
      <c r="P364" s="27"/>
    </row>
    <row r="365">
      <c r="F365" s="27"/>
      <c r="G365" s="27"/>
      <c r="H365" s="27"/>
      <c r="J365" s="27"/>
      <c r="L365" s="27"/>
      <c r="M365" s="27"/>
      <c r="N365" s="27"/>
      <c r="O365" s="27"/>
      <c r="P365" s="27"/>
    </row>
    <row r="366">
      <c r="F366" s="27"/>
      <c r="G366" s="27"/>
      <c r="H366" s="27"/>
      <c r="J366" s="27"/>
      <c r="L366" s="27"/>
      <c r="M366" s="27"/>
      <c r="N366" s="27"/>
      <c r="O366" s="27"/>
      <c r="P366" s="27"/>
    </row>
    <row r="367">
      <c r="F367" s="27"/>
      <c r="G367" s="27"/>
      <c r="H367" s="27"/>
      <c r="J367" s="27"/>
      <c r="L367" s="27"/>
      <c r="M367" s="27"/>
      <c r="N367" s="27"/>
      <c r="O367" s="27"/>
      <c r="P367" s="27"/>
    </row>
    <row r="368">
      <c r="F368" s="27"/>
      <c r="G368" s="27"/>
      <c r="H368" s="27"/>
      <c r="J368" s="27"/>
      <c r="L368" s="27"/>
      <c r="M368" s="27"/>
      <c r="N368" s="27"/>
      <c r="O368" s="27"/>
      <c r="P368" s="27"/>
    </row>
    <row r="369">
      <c r="F369" s="27"/>
      <c r="G369" s="27"/>
      <c r="H369" s="27"/>
      <c r="J369" s="27"/>
      <c r="L369" s="27"/>
      <c r="M369" s="27"/>
      <c r="N369" s="27"/>
      <c r="O369" s="27"/>
      <c r="P369" s="27"/>
    </row>
    <row r="370">
      <c r="F370" s="27"/>
      <c r="G370" s="27"/>
      <c r="H370" s="27"/>
      <c r="J370" s="27"/>
      <c r="L370" s="27"/>
      <c r="M370" s="27"/>
      <c r="N370" s="27"/>
      <c r="O370" s="27"/>
      <c r="P370" s="27"/>
    </row>
    <row r="371">
      <c r="F371" s="27"/>
      <c r="G371" s="27"/>
      <c r="H371" s="27"/>
      <c r="J371" s="27"/>
      <c r="L371" s="27"/>
      <c r="M371" s="27"/>
      <c r="N371" s="27"/>
      <c r="O371" s="27"/>
      <c r="P371" s="27"/>
    </row>
    <row r="372">
      <c r="F372" s="27"/>
      <c r="G372" s="27"/>
      <c r="H372" s="27"/>
      <c r="J372" s="27"/>
      <c r="L372" s="27"/>
      <c r="M372" s="27"/>
      <c r="N372" s="27"/>
      <c r="O372" s="27"/>
      <c r="P372" s="27"/>
    </row>
    <row r="373">
      <c r="F373" s="27"/>
      <c r="G373" s="27"/>
      <c r="H373" s="27"/>
      <c r="J373" s="27"/>
      <c r="L373" s="27"/>
      <c r="M373" s="27"/>
      <c r="N373" s="27"/>
      <c r="O373" s="27"/>
      <c r="P373" s="27"/>
    </row>
    <row r="374">
      <c r="F374" s="27"/>
      <c r="G374" s="27"/>
      <c r="H374" s="27"/>
      <c r="J374" s="27"/>
      <c r="L374" s="27"/>
      <c r="M374" s="27"/>
      <c r="N374" s="27"/>
      <c r="O374" s="27"/>
      <c r="P374" s="27"/>
    </row>
    <row r="375">
      <c r="F375" s="27"/>
      <c r="G375" s="27"/>
      <c r="H375" s="27"/>
      <c r="J375" s="27"/>
      <c r="L375" s="27"/>
      <c r="M375" s="27"/>
      <c r="N375" s="27"/>
      <c r="O375" s="27"/>
      <c r="P375" s="27"/>
    </row>
    <row r="376">
      <c r="F376" s="27"/>
      <c r="G376" s="27"/>
      <c r="H376" s="27"/>
      <c r="J376" s="27"/>
      <c r="L376" s="27"/>
      <c r="M376" s="27"/>
      <c r="N376" s="27"/>
      <c r="O376" s="27"/>
      <c r="P376" s="27"/>
    </row>
    <row r="377">
      <c r="F377" s="27"/>
      <c r="G377" s="27"/>
      <c r="H377" s="27"/>
      <c r="J377" s="27"/>
      <c r="L377" s="27"/>
      <c r="M377" s="27"/>
      <c r="N377" s="27"/>
      <c r="O377" s="27"/>
      <c r="P377" s="27"/>
    </row>
    <row r="378">
      <c r="F378" s="27"/>
      <c r="G378" s="27"/>
      <c r="H378" s="27"/>
      <c r="J378" s="27"/>
      <c r="L378" s="27"/>
      <c r="M378" s="27"/>
      <c r="N378" s="27"/>
      <c r="O378" s="27"/>
      <c r="P378" s="27"/>
    </row>
    <row r="379">
      <c r="F379" s="27"/>
      <c r="G379" s="27"/>
      <c r="H379" s="27"/>
      <c r="J379" s="27"/>
      <c r="L379" s="27"/>
      <c r="M379" s="27"/>
      <c r="N379" s="27"/>
      <c r="O379" s="27"/>
      <c r="P379" s="27"/>
    </row>
    <row r="380">
      <c r="F380" s="27"/>
      <c r="G380" s="27"/>
      <c r="H380" s="27"/>
      <c r="J380" s="27"/>
      <c r="L380" s="27"/>
      <c r="M380" s="27"/>
      <c r="N380" s="27"/>
      <c r="O380" s="27"/>
      <c r="P380" s="27"/>
    </row>
    <row r="381">
      <c r="F381" s="27"/>
      <c r="G381" s="27"/>
      <c r="H381" s="27"/>
      <c r="J381" s="27"/>
      <c r="L381" s="27"/>
      <c r="M381" s="27"/>
      <c r="N381" s="27"/>
      <c r="O381" s="27"/>
      <c r="P381" s="27"/>
    </row>
    <row r="382">
      <c r="F382" s="27"/>
      <c r="G382" s="27"/>
      <c r="H382" s="27"/>
      <c r="J382" s="27"/>
      <c r="L382" s="27"/>
      <c r="M382" s="27"/>
      <c r="N382" s="27"/>
      <c r="O382" s="27"/>
      <c r="P382" s="27"/>
    </row>
    <row r="383">
      <c r="F383" s="27"/>
      <c r="G383" s="27"/>
      <c r="H383" s="27"/>
      <c r="J383" s="27"/>
      <c r="L383" s="27"/>
      <c r="M383" s="27"/>
      <c r="N383" s="27"/>
      <c r="O383" s="27"/>
      <c r="P383" s="27"/>
    </row>
    <row r="384">
      <c r="F384" s="27"/>
      <c r="G384" s="27"/>
      <c r="H384" s="27"/>
      <c r="J384" s="27"/>
      <c r="L384" s="27"/>
      <c r="M384" s="27"/>
      <c r="N384" s="27"/>
      <c r="O384" s="27"/>
      <c r="P384" s="27"/>
    </row>
    <row r="385">
      <c r="F385" s="27"/>
      <c r="G385" s="27"/>
      <c r="H385" s="27"/>
      <c r="J385" s="27"/>
      <c r="L385" s="27"/>
      <c r="M385" s="27"/>
      <c r="N385" s="27"/>
      <c r="O385" s="27"/>
      <c r="P385" s="27"/>
    </row>
    <row r="386">
      <c r="F386" s="27"/>
      <c r="G386" s="27"/>
      <c r="H386" s="27"/>
      <c r="J386" s="27"/>
      <c r="L386" s="27"/>
      <c r="M386" s="27"/>
      <c r="N386" s="27"/>
      <c r="O386" s="27"/>
      <c r="P386" s="27"/>
    </row>
    <row r="387">
      <c r="F387" s="27"/>
      <c r="G387" s="27"/>
      <c r="H387" s="27"/>
      <c r="J387" s="27"/>
      <c r="L387" s="27"/>
      <c r="M387" s="27"/>
      <c r="N387" s="27"/>
      <c r="O387" s="27"/>
      <c r="P387" s="27"/>
    </row>
    <row r="388">
      <c r="F388" s="27"/>
      <c r="G388" s="27"/>
      <c r="H388" s="27"/>
      <c r="J388" s="27"/>
      <c r="L388" s="27"/>
      <c r="M388" s="27"/>
      <c r="N388" s="27"/>
      <c r="O388" s="27"/>
      <c r="P388" s="27"/>
    </row>
    <row r="389">
      <c r="F389" s="27"/>
      <c r="G389" s="27"/>
      <c r="H389" s="27"/>
      <c r="J389" s="27"/>
      <c r="L389" s="27"/>
      <c r="M389" s="27"/>
      <c r="N389" s="27"/>
      <c r="O389" s="27"/>
      <c r="P389" s="27"/>
    </row>
    <row r="390">
      <c r="F390" s="27"/>
      <c r="G390" s="27"/>
      <c r="H390" s="27"/>
      <c r="J390" s="27"/>
      <c r="L390" s="27"/>
      <c r="M390" s="27"/>
      <c r="N390" s="27"/>
      <c r="O390" s="27"/>
      <c r="P390" s="27"/>
    </row>
    <row r="391">
      <c r="F391" s="27"/>
      <c r="G391" s="27"/>
      <c r="H391" s="27"/>
      <c r="J391" s="27"/>
      <c r="L391" s="27"/>
      <c r="M391" s="27"/>
      <c r="N391" s="27"/>
      <c r="O391" s="27"/>
      <c r="P391" s="27"/>
    </row>
    <row r="392">
      <c r="F392" s="27"/>
      <c r="G392" s="27"/>
      <c r="H392" s="27"/>
      <c r="J392" s="27"/>
      <c r="L392" s="27"/>
      <c r="M392" s="27"/>
      <c r="N392" s="27"/>
      <c r="O392" s="27"/>
      <c r="P392" s="27"/>
    </row>
    <row r="393">
      <c r="F393" s="27"/>
      <c r="G393" s="27"/>
      <c r="H393" s="27"/>
      <c r="J393" s="27"/>
      <c r="L393" s="27"/>
      <c r="M393" s="27"/>
      <c r="N393" s="27"/>
      <c r="O393" s="27"/>
      <c r="P393" s="27"/>
    </row>
    <row r="394">
      <c r="F394" s="27"/>
      <c r="G394" s="27"/>
      <c r="H394" s="27"/>
      <c r="J394" s="27"/>
      <c r="L394" s="27"/>
      <c r="M394" s="27"/>
      <c r="N394" s="27"/>
      <c r="O394" s="27"/>
      <c r="P394" s="27"/>
    </row>
    <row r="395">
      <c r="F395" s="27"/>
      <c r="G395" s="27"/>
      <c r="H395" s="27"/>
      <c r="J395" s="27"/>
      <c r="L395" s="27"/>
      <c r="M395" s="27"/>
      <c r="N395" s="27"/>
      <c r="O395" s="27"/>
      <c r="P395" s="27"/>
    </row>
    <row r="396">
      <c r="F396" s="27"/>
      <c r="G396" s="27"/>
      <c r="H396" s="27"/>
      <c r="J396" s="27"/>
      <c r="L396" s="27"/>
      <c r="M396" s="27"/>
      <c r="N396" s="27"/>
      <c r="O396" s="27"/>
      <c r="P396" s="27"/>
    </row>
    <row r="397">
      <c r="F397" s="27"/>
      <c r="G397" s="27"/>
      <c r="H397" s="27"/>
      <c r="J397" s="27"/>
      <c r="L397" s="27"/>
      <c r="M397" s="27"/>
      <c r="N397" s="27"/>
      <c r="O397" s="27"/>
      <c r="P397" s="27"/>
    </row>
    <row r="398">
      <c r="F398" s="27"/>
      <c r="G398" s="27"/>
      <c r="H398" s="27"/>
      <c r="J398" s="27"/>
      <c r="L398" s="27"/>
      <c r="M398" s="27"/>
      <c r="N398" s="27"/>
      <c r="O398" s="27"/>
      <c r="P398" s="27"/>
    </row>
    <row r="399">
      <c r="F399" s="27"/>
      <c r="G399" s="27"/>
      <c r="H399" s="27"/>
      <c r="J399" s="27"/>
      <c r="L399" s="27"/>
      <c r="M399" s="27"/>
      <c r="N399" s="27"/>
      <c r="O399" s="27"/>
      <c r="P399" s="27"/>
    </row>
    <row r="400">
      <c r="F400" s="27"/>
      <c r="G400" s="27"/>
      <c r="H400" s="27"/>
      <c r="J400" s="27"/>
      <c r="L400" s="27"/>
      <c r="M400" s="27"/>
      <c r="N400" s="27"/>
      <c r="O400" s="27"/>
      <c r="P400" s="27"/>
    </row>
    <row r="401">
      <c r="F401" s="27"/>
      <c r="G401" s="27"/>
      <c r="H401" s="27"/>
      <c r="J401" s="27"/>
      <c r="L401" s="27"/>
      <c r="M401" s="27"/>
      <c r="N401" s="27"/>
      <c r="O401" s="27"/>
      <c r="P401" s="27"/>
    </row>
    <row r="402">
      <c r="F402" s="27"/>
      <c r="G402" s="27"/>
      <c r="H402" s="27"/>
      <c r="J402" s="27"/>
      <c r="L402" s="27"/>
      <c r="M402" s="27"/>
      <c r="N402" s="27"/>
      <c r="O402" s="27"/>
      <c r="P402" s="27"/>
    </row>
    <row r="403">
      <c r="F403" s="27"/>
      <c r="G403" s="27"/>
      <c r="H403" s="27"/>
      <c r="J403" s="27"/>
      <c r="L403" s="27"/>
      <c r="M403" s="27"/>
      <c r="N403" s="27"/>
      <c r="O403" s="27"/>
      <c r="P403" s="27"/>
    </row>
    <row r="404">
      <c r="F404" s="27"/>
      <c r="G404" s="27"/>
      <c r="H404" s="27"/>
      <c r="J404" s="27"/>
      <c r="L404" s="27"/>
      <c r="M404" s="27"/>
      <c r="N404" s="27"/>
      <c r="O404" s="27"/>
      <c r="P404" s="27"/>
    </row>
    <row r="405">
      <c r="F405" s="27"/>
      <c r="G405" s="27"/>
      <c r="H405" s="27"/>
      <c r="J405" s="27"/>
      <c r="L405" s="27"/>
      <c r="M405" s="27"/>
      <c r="N405" s="27"/>
      <c r="O405" s="27"/>
      <c r="P405" s="27"/>
    </row>
    <row r="406">
      <c r="F406" s="27"/>
      <c r="G406" s="27"/>
      <c r="H406" s="27"/>
      <c r="J406" s="27"/>
      <c r="L406" s="27"/>
      <c r="M406" s="27"/>
      <c r="N406" s="27"/>
      <c r="O406" s="27"/>
      <c r="P406" s="27"/>
    </row>
    <row r="407">
      <c r="F407" s="27"/>
      <c r="G407" s="27"/>
      <c r="H407" s="27"/>
      <c r="J407" s="27"/>
      <c r="L407" s="27"/>
      <c r="M407" s="27"/>
      <c r="N407" s="27"/>
      <c r="O407" s="27"/>
      <c r="P407" s="27"/>
    </row>
    <row r="408">
      <c r="F408" s="27"/>
      <c r="G408" s="27"/>
      <c r="H408" s="27"/>
      <c r="J408" s="27"/>
      <c r="L408" s="27"/>
      <c r="M408" s="27"/>
      <c r="N408" s="27"/>
      <c r="O408" s="27"/>
      <c r="P408" s="27"/>
    </row>
    <row r="409">
      <c r="F409" s="27"/>
      <c r="G409" s="27"/>
      <c r="H409" s="27"/>
      <c r="J409" s="27"/>
      <c r="L409" s="27"/>
      <c r="M409" s="27"/>
      <c r="N409" s="27"/>
      <c r="O409" s="27"/>
      <c r="P409" s="27"/>
    </row>
    <row r="410">
      <c r="F410" s="27"/>
      <c r="G410" s="27"/>
      <c r="H410" s="27"/>
      <c r="J410" s="27"/>
      <c r="L410" s="27"/>
      <c r="M410" s="27"/>
      <c r="N410" s="27"/>
      <c r="O410" s="27"/>
      <c r="P410" s="27"/>
    </row>
    <row r="411">
      <c r="F411" s="27"/>
      <c r="G411" s="27"/>
      <c r="H411" s="27"/>
      <c r="J411" s="27"/>
      <c r="L411" s="27"/>
      <c r="M411" s="27"/>
      <c r="N411" s="27"/>
      <c r="O411" s="27"/>
      <c r="P411" s="27"/>
    </row>
    <row r="412">
      <c r="F412" s="27"/>
      <c r="G412" s="27"/>
      <c r="H412" s="27"/>
      <c r="J412" s="27"/>
      <c r="L412" s="27"/>
      <c r="M412" s="27"/>
      <c r="N412" s="27"/>
      <c r="O412" s="27"/>
      <c r="P412" s="27"/>
    </row>
    <row r="413">
      <c r="F413" s="27"/>
      <c r="G413" s="27"/>
      <c r="H413" s="27"/>
      <c r="J413" s="27"/>
      <c r="L413" s="27"/>
      <c r="M413" s="27"/>
      <c r="N413" s="27"/>
      <c r="O413" s="27"/>
      <c r="P413" s="27"/>
    </row>
    <row r="414">
      <c r="F414" s="27"/>
      <c r="G414" s="27"/>
      <c r="H414" s="27"/>
      <c r="J414" s="27"/>
      <c r="L414" s="27"/>
      <c r="M414" s="27"/>
      <c r="N414" s="27"/>
      <c r="O414" s="27"/>
      <c r="P414" s="27"/>
    </row>
    <row r="415">
      <c r="F415" s="27"/>
      <c r="G415" s="27"/>
      <c r="H415" s="27"/>
      <c r="J415" s="27"/>
      <c r="L415" s="27"/>
      <c r="M415" s="27"/>
      <c r="N415" s="27"/>
      <c r="O415" s="27"/>
      <c r="P415" s="27"/>
    </row>
    <row r="416">
      <c r="F416" s="27"/>
      <c r="G416" s="27"/>
      <c r="H416" s="27"/>
      <c r="J416" s="27"/>
      <c r="L416" s="27"/>
      <c r="M416" s="27"/>
      <c r="N416" s="27"/>
      <c r="O416" s="27"/>
      <c r="P416" s="27"/>
    </row>
    <row r="417">
      <c r="F417" s="27"/>
      <c r="G417" s="27"/>
      <c r="H417" s="27"/>
      <c r="J417" s="27"/>
      <c r="L417" s="27"/>
      <c r="M417" s="27"/>
      <c r="N417" s="27"/>
      <c r="O417" s="27"/>
      <c r="P417" s="27"/>
    </row>
    <row r="418">
      <c r="F418" s="27"/>
      <c r="G418" s="27"/>
      <c r="H418" s="27"/>
      <c r="J418" s="27"/>
      <c r="L418" s="27"/>
      <c r="M418" s="27"/>
      <c r="N418" s="27"/>
      <c r="O418" s="27"/>
      <c r="P418" s="27"/>
    </row>
    <row r="419">
      <c r="F419" s="27"/>
      <c r="G419" s="27"/>
      <c r="H419" s="27"/>
      <c r="J419" s="27"/>
      <c r="L419" s="27"/>
      <c r="M419" s="27"/>
      <c r="N419" s="27"/>
      <c r="O419" s="27"/>
      <c r="P419" s="27"/>
    </row>
    <row r="420">
      <c r="F420" s="27"/>
      <c r="G420" s="27"/>
      <c r="H420" s="27"/>
      <c r="J420" s="27"/>
      <c r="L420" s="27"/>
      <c r="M420" s="27"/>
      <c r="N420" s="27"/>
      <c r="O420" s="27"/>
      <c r="P420" s="27"/>
    </row>
    <row r="421">
      <c r="F421" s="27"/>
      <c r="G421" s="27"/>
      <c r="H421" s="27"/>
      <c r="J421" s="27"/>
      <c r="L421" s="27"/>
      <c r="M421" s="27"/>
      <c r="N421" s="27"/>
      <c r="O421" s="27"/>
      <c r="P421" s="27"/>
    </row>
    <row r="422">
      <c r="F422" s="27"/>
      <c r="G422" s="27"/>
      <c r="H422" s="27"/>
      <c r="J422" s="27"/>
      <c r="L422" s="27"/>
      <c r="M422" s="27"/>
      <c r="N422" s="27"/>
      <c r="O422" s="27"/>
      <c r="P422" s="27"/>
    </row>
    <row r="423">
      <c r="F423" s="27"/>
      <c r="G423" s="27"/>
      <c r="H423" s="27"/>
      <c r="J423" s="27"/>
      <c r="L423" s="27"/>
      <c r="M423" s="27"/>
      <c r="N423" s="27"/>
      <c r="O423" s="27"/>
      <c r="P423" s="27"/>
    </row>
    <row r="424">
      <c r="F424" s="27"/>
      <c r="G424" s="27"/>
      <c r="H424" s="27"/>
      <c r="J424" s="27"/>
      <c r="L424" s="27"/>
      <c r="M424" s="27"/>
      <c r="N424" s="27"/>
      <c r="O424" s="27"/>
      <c r="P424" s="27"/>
    </row>
    <row r="425">
      <c r="F425" s="27"/>
      <c r="G425" s="27"/>
      <c r="H425" s="27"/>
      <c r="J425" s="27"/>
      <c r="L425" s="27"/>
      <c r="M425" s="27"/>
      <c r="N425" s="27"/>
      <c r="O425" s="27"/>
      <c r="P425" s="27"/>
    </row>
    <row r="426">
      <c r="F426" s="27"/>
      <c r="G426" s="27"/>
      <c r="H426" s="27"/>
      <c r="J426" s="27"/>
      <c r="L426" s="27"/>
      <c r="M426" s="27"/>
      <c r="N426" s="27"/>
      <c r="O426" s="27"/>
      <c r="P426" s="27"/>
    </row>
    <row r="427">
      <c r="F427" s="27"/>
      <c r="G427" s="27"/>
      <c r="H427" s="27"/>
      <c r="J427" s="27"/>
      <c r="L427" s="27"/>
      <c r="M427" s="27"/>
      <c r="N427" s="27"/>
      <c r="O427" s="27"/>
      <c r="P427" s="27"/>
    </row>
    <row r="428">
      <c r="F428" s="27"/>
      <c r="G428" s="27"/>
      <c r="H428" s="27"/>
      <c r="J428" s="27"/>
      <c r="L428" s="27"/>
      <c r="M428" s="27"/>
      <c r="N428" s="27"/>
      <c r="O428" s="27"/>
      <c r="P428" s="27"/>
    </row>
    <row r="429">
      <c r="F429" s="27"/>
      <c r="G429" s="27"/>
      <c r="H429" s="27"/>
      <c r="J429" s="27"/>
      <c r="L429" s="27"/>
      <c r="M429" s="27"/>
      <c r="N429" s="27"/>
      <c r="O429" s="27"/>
      <c r="P429" s="27"/>
    </row>
    <row r="430">
      <c r="F430" s="27"/>
      <c r="G430" s="27"/>
      <c r="H430" s="27"/>
      <c r="J430" s="27"/>
      <c r="L430" s="27"/>
      <c r="M430" s="27"/>
      <c r="N430" s="27"/>
      <c r="O430" s="27"/>
      <c r="P430" s="27"/>
    </row>
    <row r="431">
      <c r="F431" s="27"/>
      <c r="G431" s="27"/>
      <c r="H431" s="27"/>
      <c r="J431" s="27"/>
      <c r="L431" s="27"/>
      <c r="M431" s="27"/>
      <c r="N431" s="27"/>
      <c r="O431" s="27"/>
      <c r="P431" s="27"/>
    </row>
    <row r="432">
      <c r="F432" s="27"/>
      <c r="G432" s="27"/>
      <c r="H432" s="27"/>
      <c r="J432" s="27"/>
      <c r="L432" s="27"/>
      <c r="M432" s="27"/>
      <c r="N432" s="27"/>
      <c r="O432" s="27"/>
      <c r="P432" s="27"/>
    </row>
    <row r="433">
      <c r="F433" s="27"/>
      <c r="G433" s="27"/>
      <c r="H433" s="27"/>
      <c r="J433" s="27"/>
      <c r="L433" s="27"/>
      <c r="M433" s="27"/>
      <c r="N433" s="27"/>
      <c r="O433" s="27"/>
      <c r="P433" s="27"/>
    </row>
    <row r="434">
      <c r="F434" s="27"/>
      <c r="G434" s="27"/>
      <c r="H434" s="27"/>
      <c r="J434" s="27"/>
      <c r="L434" s="27"/>
      <c r="M434" s="27"/>
      <c r="N434" s="27"/>
      <c r="O434" s="27"/>
      <c r="P434" s="27"/>
    </row>
    <row r="435">
      <c r="F435" s="27"/>
      <c r="G435" s="27"/>
      <c r="H435" s="27"/>
      <c r="J435" s="27"/>
      <c r="L435" s="27"/>
      <c r="M435" s="27"/>
      <c r="N435" s="27"/>
      <c r="O435" s="27"/>
      <c r="P435" s="27"/>
    </row>
    <row r="436">
      <c r="F436" s="27"/>
      <c r="G436" s="27"/>
      <c r="H436" s="27"/>
      <c r="J436" s="27"/>
      <c r="L436" s="27"/>
      <c r="M436" s="27"/>
      <c r="N436" s="27"/>
      <c r="O436" s="27"/>
      <c r="P436" s="27"/>
    </row>
    <row r="437">
      <c r="F437" s="27"/>
      <c r="G437" s="27"/>
      <c r="H437" s="27"/>
      <c r="J437" s="27"/>
      <c r="L437" s="27"/>
      <c r="M437" s="27"/>
      <c r="N437" s="27"/>
      <c r="O437" s="27"/>
      <c r="P437" s="27"/>
    </row>
    <row r="438">
      <c r="F438" s="27"/>
      <c r="G438" s="27"/>
      <c r="H438" s="27"/>
      <c r="J438" s="27"/>
      <c r="L438" s="27"/>
      <c r="M438" s="27"/>
      <c r="N438" s="27"/>
      <c r="O438" s="27"/>
      <c r="P438" s="27"/>
    </row>
    <row r="439">
      <c r="F439" s="27"/>
      <c r="G439" s="27"/>
      <c r="H439" s="27"/>
      <c r="J439" s="27"/>
      <c r="L439" s="27"/>
      <c r="M439" s="27"/>
      <c r="N439" s="27"/>
      <c r="O439" s="27"/>
      <c r="P439" s="27"/>
    </row>
    <row r="440">
      <c r="F440" s="27"/>
      <c r="G440" s="27"/>
      <c r="H440" s="27"/>
      <c r="J440" s="27"/>
      <c r="L440" s="27"/>
      <c r="M440" s="27"/>
      <c r="N440" s="27"/>
      <c r="O440" s="27"/>
      <c r="P440" s="27"/>
    </row>
    <row r="441">
      <c r="F441" s="27"/>
      <c r="G441" s="27"/>
      <c r="H441" s="27"/>
      <c r="J441" s="27"/>
      <c r="L441" s="27"/>
      <c r="M441" s="27"/>
      <c r="N441" s="27"/>
      <c r="O441" s="27"/>
      <c r="P441" s="27"/>
    </row>
    <row r="442">
      <c r="F442" s="27"/>
      <c r="G442" s="27"/>
      <c r="H442" s="27"/>
      <c r="J442" s="27"/>
      <c r="L442" s="27"/>
      <c r="M442" s="27"/>
      <c r="N442" s="27"/>
      <c r="O442" s="27"/>
      <c r="P442" s="27"/>
    </row>
    <row r="443">
      <c r="F443" s="27"/>
      <c r="G443" s="27"/>
      <c r="H443" s="27"/>
      <c r="J443" s="27"/>
      <c r="L443" s="27"/>
      <c r="M443" s="27"/>
      <c r="N443" s="27"/>
      <c r="O443" s="27"/>
      <c r="P443" s="27"/>
    </row>
    <row r="444">
      <c r="F444" s="27"/>
      <c r="G444" s="27"/>
      <c r="H444" s="27"/>
      <c r="J444" s="27"/>
      <c r="L444" s="27"/>
      <c r="M444" s="27"/>
      <c r="N444" s="27"/>
      <c r="O444" s="27"/>
      <c r="P444" s="27"/>
    </row>
    <row r="445">
      <c r="F445" s="27"/>
      <c r="G445" s="27"/>
      <c r="H445" s="27"/>
      <c r="J445" s="27"/>
      <c r="L445" s="27"/>
      <c r="M445" s="27"/>
      <c r="N445" s="27"/>
      <c r="O445" s="27"/>
      <c r="P445" s="27"/>
    </row>
    <row r="446">
      <c r="F446" s="27"/>
      <c r="G446" s="27"/>
      <c r="H446" s="27"/>
      <c r="J446" s="27"/>
      <c r="L446" s="27"/>
      <c r="M446" s="27"/>
      <c r="N446" s="27"/>
      <c r="O446" s="27"/>
      <c r="P446" s="27"/>
    </row>
    <row r="447">
      <c r="F447" s="27"/>
      <c r="G447" s="27"/>
      <c r="H447" s="27"/>
      <c r="J447" s="27"/>
      <c r="L447" s="27"/>
      <c r="M447" s="27"/>
      <c r="N447" s="27"/>
      <c r="O447" s="27"/>
      <c r="P447" s="27"/>
    </row>
    <row r="448">
      <c r="F448" s="27"/>
      <c r="G448" s="27"/>
      <c r="H448" s="27"/>
      <c r="J448" s="27"/>
      <c r="L448" s="27"/>
      <c r="M448" s="27"/>
      <c r="N448" s="27"/>
      <c r="O448" s="27"/>
      <c r="P448" s="27"/>
    </row>
    <row r="449">
      <c r="F449" s="27"/>
      <c r="G449" s="27"/>
      <c r="H449" s="27"/>
      <c r="J449" s="27"/>
      <c r="L449" s="27"/>
      <c r="M449" s="27"/>
      <c r="N449" s="27"/>
      <c r="O449" s="27"/>
      <c r="P449" s="27"/>
    </row>
    <row r="450">
      <c r="F450" s="27"/>
      <c r="G450" s="27"/>
      <c r="H450" s="27"/>
      <c r="J450" s="27"/>
      <c r="L450" s="27"/>
      <c r="M450" s="27"/>
      <c r="N450" s="27"/>
      <c r="O450" s="27"/>
      <c r="P450" s="27"/>
    </row>
    <row r="451">
      <c r="F451" s="27"/>
      <c r="G451" s="27"/>
      <c r="H451" s="27"/>
      <c r="J451" s="27"/>
      <c r="L451" s="27"/>
      <c r="M451" s="27"/>
      <c r="N451" s="27"/>
      <c r="O451" s="27"/>
      <c r="P451" s="27"/>
    </row>
    <row r="452">
      <c r="F452" s="27"/>
      <c r="G452" s="27"/>
      <c r="H452" s="27"/>
      <c r="J452" s="27"/>
      <c r="L452" s="27"/>
      <c r="M452" s="27"/>
      <c r="N452" s="27"/>
      <c r="O452" s="27"/>
      <c r="P452" s="27"/>
    </row>
    <row r="453">
      <c r="F453" s="27"/>
      <c r="G453" s="27"/>
      <c r="H453" s="27"/>
      <c r="J453" s="27"/>
      <c r="L453" s="27"/>
      <c r="M453" s="27"/>
      <c r="N453" s="27"/>
      <c r="O453" s="27"/>
      <c r="P453" s="27"/>
    </row>
    <row r="454">
      <c r="F454" s="27"/>
      <c r="G454" s="27"/>
      <c r="H454" s="27"/>
      <c r="J454" s="27"/>
      <c r="L454" s="27"/>
      <c r="M454" s="27"/>
      <c r="N454" s="27"/>
      <c r="O454" s="27"/>
      <c r="P454" s="27"/>
    </row>
    <row r="455">
      <c r="F455" s="27"/>
      <c r="G455" s="27"/>
      <c r="H455" s="27"/>
      <c r="J455" s="27"/>
      <c r="L455" s="27"/>
      <c r="M455" s="27"/>
      <c r="N455" s="27"/>
      <c r="O455" s="27"/>
      <c r="P455" s="27"/>
    </row>
    <row r="456">
      <c r="F456" s="27"/>
      <c r="G456" s="27"/>
      <c r="H456" s="27"/>
      <c r="J456" s="27"/>
      <c r="L456" s="27"/>
      <c r="M456" s="27"/>
      <c r="N456" s="27"/>
      <c r="O456" s="27"/>
      <c r="P456" s="27"/>
    </row>
    <row r="457">
      <c r="F457" s="27"/>
      <c r="G457" s="27"/>
      <c r="H457" s="27"/>
      <c r="J457" s="27"/>
      <c r="L457" s="27"/>
      <c r="M457" s="27"/>
      <c r="N457" s="27"/>
      <c r="O457" s="27"/>
      <c r="P457" s="27"/>
    </row>
    <row r="458">
      <c r="F458" s="27"/>
      <c r="G458" s="27"/>
      <c r="H458" s="27"/>
      <c r="J458" s="27"/>
      <c r="L458" s="27"/>
      <c r="M458" s="27"/>
      <c r="N458" s="27"/>
      <c r="O458" s="27"/>
      <c r="P458" s="27"/>
    </row>
    <row r="459">
      <c r="F459" s="27"/>
      <c r="G459" s="27"/>
      <c r="H459" s="27"/>
      <c r="J459" s="27"/>
      <c r="L459" s="27"/>
      <c r="M459" s="27"/>
      <c r="N459" s="27"/>
      <c r="O459" s="27"/>
      <c r="P459" s="27"/>
    </row>
    <row r="460">
      <c r="F460" s="27"/>
      <c r="G460" s="27"/>
      <c r="H460" s="27"/>
      <c r="J460" s="27"/>
      <c r="L460" s="27"/>
      <c r="M460" s="27"/>
      <c r="N460" s="27"/>
      <c r="O460" s="27"/>
      <c r="P460" s="27"/>
    </row>
    <row r="461">
      <c r="F461" s="27"/>
      <c r="G461" s="27"/>
      <c r="H461" s="27"/>
      <c r="J461" s="27"/>
      <c r="L461" s="27"/>
      <c r="M461" s="27"/>
      <c r="N461" s="27"/>
      <c r="O461" s="27"/>
      <c r="P461" s="27"/>
    </row>
    <row r="462">
      <c r="F462" s="27"/>
      <c r="G462" s="27"/>
      <c r="H462" s="27"/>
      <c r="J462" s="27"/>
      <c r="L462" s="27"/>
      <c r="M462" s="27"/>
      <c r="N462" s="27"/>
      <c r="O462" s="27"/>
      <c r="P462" s="27"/>
    </row>
    <row r="463">
      <c r="F463" s="27"/>
      <c r="G463" s="27"/>
      <c r="H463" s="27"/>
      <c r="J463" s="27"/>
      <c r="L463" s="27"/>
      <c r="M463" s="27"/>
      <c r="N463" s="27"/>
      <c r="O463" s="27"/>
      <c r="P463" s="27"/>
    </row>
    <row r="464">
      <c r="F464" s="27"/>
      <c r="G464" s="27"/>
      <c r="H464" s="27"/>
      <c r="J464" s="27"/>
      <c r="L464" s="27"/>
      <c r="M464" s="27"/>
      <c r="N464" s="27"/>
      <c r="O464" s="27"/>
      <c r="P464" s="27"/>
    </row>
    <row r="465">
      <c r="F465" s="27"/>
      <c r="G465" s="27"/>
      <c r="H465" s="27"/>
      <c r="J465" s="27"/>
      <c r="L465" s="27"/>
      <c r="M465" s="27"/>
      <c r="N465" s="27"/>
      <c r="O465" s="27"/>
      <c r="P465" s="27"/>
    </row>
    <row r="466">
      <c r="F466" s="27"/>
      <c r="G466" s="27"/>
      <c r="H466" s="27"/>
      <c r="J466" s="27"/>
      <c r="L466" s="27"/>
      <c r="M466" s="27"/>
      <c r="N466" s="27"/>
      <c r="O466" s="27"/>
      <c r="P466" s="27"/>
    </row>
    <row r="467">
      <c r="F467" s="27"/>
      <c r="G467" s="27"/>
      <c r="H467" s="27"/>
      <c r="J467" s="27"/>
      <c r="L467" s="27"/>
      <c r="M467" s="27"/>
      <c r="N467" s="27"/>
      <c r="O467" s="27"/>
      <c r="P467" s="27"/>
    </row>
    <row r="468">
      <c r="F468" s="27"/>
      <c r="G468" s="27"/>
      <c r="H468" s="27"/>
      <c r="J468" s="27"/>
      <c r="L468" s="27"/>
      <c r="M468" s="27"/>
      <c r="N468" s="27"/>
      <c r="O468" s="27"/>
      <c r="P468" s="27"/>
    </row>
    <row r="469">
      <c r="F469" s="27"/>
      <c r="G469" s="27"/>
      <c r="H469" s="27"/>
      <c r="J469" s="27"/>
      <c r="L469" s="27"/>
      <c r="M469" s="27"/>
      <c r="N469" s="27"/>
      <c r="O469" s="27"/>
      <c r="P469" s="27"/>
    </row>
    <row r="470">
      <c r="F470" s="27"/>
      <c r="G470" s="27"/>
      <c r="H470" s="27"/>
      <c r="J470" s="27"/>
      <c r="L470" s="27"/>
      <c r="M470" s="27"/>
      <c r="N470" s="27"/>
      <c r="O470" s="27"/>
      <c r="P470" s="27"/>
    </row>
    <row r="471">
      <c r="F471" s="27"/>
      <c r="G471" s="27"/>
      <c r="H471" s="27"/>
      <c r="J471" s="27"/>
      <c r="L471" s="27"/>
      <c r="M471" s="27"/>
      <c r="N471" s="27"/>
      <c r="O471" s="27"/>
      <c r="P471" s="27"/>
    </row>
    <row r="472">
      <c r="F472" s="27"/>
      <c r="G472" s="27"/>
      <c r="H472" s="27"/>
      <c r="J472" s="27"/>
      <c r="L472" s="27"/>
      <c r="M472" s="27"/>
      <c r="N472" s="27"/>
      <c r="O472" s="27"/>
      <c r="P472" s="27"/>
    </row>
    <row r="473">
      <c r="F473" s="27"/>
      <c r="G473" s="27"/>
      <c r="H473" s="27"/>
      <c r="J473" s="27"/>
      <c r="L473" s="27"/>
      <c r="M473" s="27"/>
      <c r="N473" s="27"/>
      <c r="O473" s="27"/>
      <c r="P473" s="27"/>
    </row>
    <row r="474">
      <c r="F474" s="27"/>
      <c r="G474" s="27"/>
      <c r="H474" s="27"/>
      <c r="J474" s="27"/>
      <c r="L474" s="27"/>
      <c r="M474" s="27"/>
      <c r="N474" s="27"/>
      <c r="O474" s="27"/>
      <c r="P474" s="27"/>
    </row>
    <row r="475">
      <c r="F475" s="27"/>
      <c r="G475" s="27"/>
      <c r="H475" s="27"/>
      <c r="J475" s="27"/>
      <c r="L475" s="27"/>
      <c r="M475" s="27"/>
      <c r="N475" s="27"/>
      <c r="O475" s="27"/>
      <c r="P475" s="27"/>
    </row>
    <row r="476">
      <c r="F476" s="27"/>
      <c r="G476" s="27"/>
      <c r="H476" s="27"/>
      <c r="J476" s="27"/>
      <c r="L476" s="27"/>
      <c r="M476" s="27"/>
      <c r="N476" s="27"/>
      <c r="O476" s="27"/>
      <c r="P476" s="27"/>
    </row>
    <row r="477">
      <c r="F477" s="27"/>
      <c r="G477" s="27"/>
      <c r="H477" s="27"/>
      <c r="J477" s="27"/>
      <c r="L477" s="27"/>
      <c r="M477" s="27"/>
      <c r="N477" s="27"/>
      <c r="O477" s="27"/>
      <c r="P477" s="27"/>
    </row>
    <row r="478">
      <c r="F478" s="27"/>
      <c r="G478" s="27"/>
      <c r="H478" s="27"/>
      <c r="J478" s="27"/>
      <c r="L478" s="27"/>
      <c r="M478" s="27"/>
      <c r="N478" s="27"/>
      <c r="O478" s="27"/>
      <c r="P478" s="27"/>
    </row>
    <row r="479">
      <c r="F479" s="27"/>
      <c r="G479" s="27"/>
      <c r="H479" s="27"/>
      <c r="J479" s="27"/>
      <c r="L479" s="27"/>
      <c r="M479" s="27"/>
      <c r="N479" s="27"/>
      <c r="O479" s="27"/>
      <c r="P479" s="27"/>
    </row>
    <row r="480">
      <c r="F480" s="27"/>
      <c r="G480" s="27"/>
      <c r="H480" s="27"/>
      <c r="J480" s="27"/>
      <c r="L480" s="27"/>
      <c r="M480" s="27"/>
      <c r="N480" s="27"/>
      <c r="O480" s="27"/>
      <c r="P480" s="27"/>
    </row>
    <row r="481">
      <c r="F481" s="27"/>
      <c r="G481" s="27"/>
      <c r="H481" s="27"/>
      <c r="J481" s="27"/>
      <c r="L481" s="27"/>
      <c r="M481" s="27"/>
      <c r="N481" s="27"/>
      <c r="O481" s="27"/>
      <c r="P481" s="27"/>
    </row>
    <row r="482">
      <c r="F482" s="27"/>
      <c r="G482" s="27"/>
      <c r="H482" s="27"/>
      <c r="J482" s="27"/>
      <c r="L482" s="27"/>
      <c r="M482" s="27"/>
      <c r="N482" s="27"/>
      <c r="O482" s="27"/>
      <c r="P482" s="27"/>
    </row>
    <row r="483">
      <c r="F483" s="27"/>
      <c r="G483" s="27"/>
      <c r="H483" s="27"/>
      <c r="J483" s="27"/>
      <c r="L483" s="27"/>
      <c r="M483" s="27"/>
      <c r="N483" s="27"/>
      <c r="O483" s="27"/>
      <c r="P483" s="27"/>
    </row>
    <row r="484">
      <c r="F484" s="27"/>
      <c r="G484" s="27"/>
      <c r="H484" s="27"/>
      <c r="J484" s="27"/>
      <c r="L484" s="27"/>
      <c r="M484" s="27"/>
      <c r="N484" s="27"/>
      <c r="O484" s="27"/>
      <c r="P484" s="27"/>
    </row>
    <row r="485">
      <c r="F485" s="27"/>
      <c r="G485" s="27"/>
      <c r="H485" s="27"/>
      <c r="J485" s="27"/>
      <c r="L485" s="27"/>
      <c r="M485" s="27"/>
      <c r="N485" s="27"/>
      <c r="O485" s="27"/>
      <c r="P485" s="27"/>
    </row>
    <row r="486">
      <c r="F486" s="27"/>
      <c r="G486" s="27"/>
      <c r="H486" s="27"/>
      <c r="J486" s="27"/>
      <c r="L486" s="27"/>
      <c r="M486" s="27"/>
      <c r="N486" s="27"/>
      <c r="O486" s="27"/>
      <c r="P486" s="27"/>
    </row>
    <row r="487">
      <c r="F487" s="27"/>
      <c r="G487" s="27"/>
      <c r="H487" s="27"/>
      <c r="J487" s="27"/>
      <c r="L487" s="27"/>
      <c r="M487" s="27"/>
      <c r="N487" s="27"/>
      <c r="O487" s="27"/>
      <c r="P487" s="27"/>
    </row>
    <row r="488">
      <c r="F488" s="27"/>
      <c r="G488" s="27"/>
      <c r="H488" s="27"/>
      <c r="J488" s="27"/>
      <c r="L488" s="27"/>
      <c r="M488" s="27"/>
      <c r="N488" s="27"/>
      <c r="O488" s="27"/>
      <c r="P488" s="27"/>
    </row>
    <row r="489">
      <c r="F489" s="27"/>
      <c r="G489" s="27"/>
      <c r="H489" s="27"/>
      <c r="J489" s="27"/>
      <c r="L489" s="27"/>
      <c r="M489" s="27"/>
      <c r="N489" s="27"/>
      <c r="O489" s="27"/>
      <c r="P489" s="27"/>
    </row>
    <row r="490">
      <c r="F490" s="27"/>
      <c r="G490" s="27"/>
      <c r="H490" s="27"/>
      <c r="J490" s="27"/>
      <c r="L490" s="27"/>
      <c r="M490" s="27"/>
      <c r="N490" s="27"/>
      <c r="O490" s="27"/>
      <c r="P490" s="27"/>
    </row>
    <row r="491">
      <c r="F491" s="27"/>
      <c r="G491" s="27"/>
      <c r="H491" s="27"/>
      <c r="J491" s="27"/>
      <c r="L491" s="27"/>
      <c r="M491" s="27"/>
      <c r="N491" s="27"/>
      <c r="O491" s="27"/>
      <c r="P491" s="27"/>
    </row>
    <row r="492">
      <c r="F492" s="27"/>
      <c r="G492" s="27"/>
      <c r="H492" s="27"/>
      <c r="J492" s="27"/>
      <c r="L492" s="27"/>
      <c r="M492" s="27"/>
      <c r="N492" s="27"/>
      <c r="O492" s="27"/>
      <c r="P492" s="27"/>
    </row>
    <row r="493">
      <c r="F493" s="27"/>
      <c r="G493" s="27"/>
      <c r="H493" s="27"/>
      <c r="J493" s="27"/>
      <c r="L493" s="27"/>
      <c r="M493" s="27"/>
      <c r="N493" s="27"/>
      <c r="O493" s="27"/>
      <c r="P493" s="27"/>
    </row>
    <row r="494">
      <c r="F494" s="27"/>
      <c r="G494" s="27"/>
      <c r="H494" s="27"/>
      <c r="J494" s="27"/>
      <c r="L494" s="27"/>
      <c r="M494" s="27"/>
      <c r="N494" s="27"/>
      <c r="O494" s="27"/>
      <c r="P494" s="27"/>
    </row>
    <row r="495">
      <c r="F495" s="27"/>
      <c r="G495" s="27"/>
      <c r="H495" s="27"/>
      <c r="J495" s="27"/>
      <c r="L495" s="27"/>
      <c r="M495" s="27"/>
      <c r="N495" s="27"/>
      <c r="O495" s="27"/>
      <c r="P495" s="27"/>
    </row>
    <row r="496">
      <c r="F496" s="27"/>
      <c r="G496" s="27"/>
      <c r="H496" s="27"/>
      <c r="J496" s="27"/>
      <c r="L496" s="27"/>
      <c r="M496" s="27"/>
      <c r="N496" s="27"/>
      <c r="O496" s="27"/>
      <c r="P496" s="27"/>
    </row>
    <row r="497">
      <c r="F497" s="27"/>
      <c r="G497" s="27"/>
      <c r="H497" s="27"/>
      <c r="J497" s="27"/>
      <c r="L497" s="27"/>
      <c r="M497" s="27"/>
      <c r="N497" s="27"/>
      <c r="O497" s="27"/>
      <c r="P497" s="27"/>
    </row>
    <row r="498">
      <c r="F498" s="27"/>
      <c r="G498" s="27"/>
      <c r="H498" s="27"/>
      <c r="J498" s="27"/>
      <c r="L498" s="27"/>
      <c r="M498" s="27"/>
      <c r="N498" s="27"/>
      <c r="O498" s="27"/>
      <c r="P498" s="27"/>
    </row>
    <row r="499">
      <c r="F499" s="27"/>
      <c r="G499" s="27"/>
      <c r="H499" s="27"/>
      <c r="J499" s="27"/>
      <c r="L499" s="27"/>
      <c r="M499" s="27"/>
      <c r="N499" s="27"/>
      <c r="O499" s="27"/>
      <c r="P499" s="27"/>
    </row>
    <row r="500">
      <c r="F500" s="27"/>
      <c r="G500" s="27"/>
      <c r="H500" s="27"/>
      <c r="J500" s="27"/>
      <c r="L500" s="27"/>
      <c r="M500" s="27"/>
      <c r="N500" s="27"/>
      <c r="O500" s="27"/>
      <c r="P500" s="27"/>
    </row>
    <row r="501">
      <c r="F501" s="27"/>
      <c r="G501" s="27"/>
      <c r="H501" s="27"/>
      <c r="J501" s="27"/>
      <c r="L501" s="27"/>
      <c r="M501" s="27"/>
      <c r="N501" s="27"/>
      <c r="O501" s="27"/>
      <c r="P501" s="27"/>
    </row>
    <row r="502">
      <c r="F502" s="27"/>
      <c r="G502" s="27"/>
      <c r="H502" s="27"/>
      <c r="J502" s="27"/>
      <c r="L502" s="27"/>
      <c r="M502" s="27"/>
      <c r="N502" s="27"/>
      <c r="O502" s="27"/>
      <c r="P502" s="27"/>
    </row>
    <row r="503">
      <c r="F503" s="27"/>
      <c r="G503" s="27"/>
      <c r="H503" s="27"/>
      <c r="J503" s="27"/>
      <c r="L503" s="27"/>
      <c r="M503" s="27"/>
      <c r="N503" s="27"/>
      <c r="O503" s="27"/>
      <c r="P503" s="27"/>
    </row>
    <row r="504">
      <c r="F504" s="27"/>
      <c r="G504" s="27"/>
      <c r="H504" s="27"/>
      <c r="J504" s="27"/>
      <c r="L504" s="27"/>
      <c r="M504" s="27"/>
      <c r="N504" s="27"/>
      <c r="O504" s="27"/>
      <c r="P504" s="27"/>
    </row>
    <row r="505">
      <c r="F505" s="27"/>
      <c r="G505" s="27"/>
      <c r="H505" s="27"/>
      <c r="J505" s="27"/>
      <c r="L505" s="27"/>
      <c r="M505" s="27"/>
      <c r="N505" s="27"/>
      <c r="O505" s="27"/>
      <c r="P505" s="27"/>
    </row>
    <row r="506">
      <c r="F506" s="27"/>
      <c r="G506" s="27"/>
      <c r="H506" s="27"/>
      <c r="J506" s="27"/>
      <c r="L506" s="27"/>
      <c r="M506" s="27"/>
      <c r="N506" s="27"/>
      <c r="O506" s="27"/>
      <c r="P506" s="27"/>
    </row>
    <row r="507">
      <c r="F507" s="27"/>
      <c r="G507" s="27"/>
      <c r="H507" s="27"/>
      <c r="J507" s="27"/>
      <c r="L507" s="27"/>
      <c r="M507" s="27"/>
      <c r="N507" s="27"/>
      <c r="O507" s="27"/>
      <c r="P507" s="27"/>
    </row>
    <row r="508">
      <c r="F508" s="27"/>
      <c r="G508" s="27"/>
      <c r="H508" s="27"/>
      <c r="J508" s="27"/>
      <c r="L508" s="27"/>
      <c r="M508" s="27"/>
      <c r="N508" s="27"/>
      <c r="O508" s="27"/>
      <c r="P508" s="27"/>
    </row>
    <row r="509">
      <c r="F509" s="27"/>
      <c r="G509" s="27"/>
      <c r="H509" s="27"/>
      <c r="J509" s="27"/>
      <c r="L509" s="27"/>
      <c r="M509" s="27"/>
      <c r="N509" s="27"/>
      <c r="O509" s="27"/>
      <c r="P509" s="27"/>
    </row>
    <row r="510">
      <c r="F510" s="27"/>
      <c r="G510" s="27"/>
      <c r="H510" s="27"/>
      <c r="J510" s="27"/>
      <c r="L510" s="27"/>
      <c r="M510" s="27"/>
      <c r="N510" s="27"/>
      <c r="O510" s="27"/>
      <c r="P510" s="27"/>
    </row>
    <row r="511">
      <c r="F511" s="27"/>
      <c r="G511" s="27"/>
      <c r="H511" s="27"/>
      <c r="J511" s="27"/>
      <c r="L511" s="27"/>
      <c r="M511" s="27"/>
      <c r="N511" s="27"/>
      <c r="O511" s="27"/>
      <c r="P511" s="27"/>
    </row>
    <row r="512">
      <c r="F512" s="27"/>
      <c r="G512" s="27"/>
      <c r="H512" s="27"/>
      <c r="J512" s="27"/>
      <c r="L512" s="27"/>
      <c r="M512" s="27"/>
      <c r="N512" s="27"/>
      <c r="O512" s="27"/>
      <c r="P512" s="27"/>
    </row>
    <row r="513">
      <c r="F513" s="27"/>
      <c r="G513" s="27"/>
      <c r="H513" s="27"/>
      <c r="J513" s="27"/>
      <c r="L513" s="27"/>
      <c r="M513" s="27"/>
      <c r="N513" s="27"/>
      <c r="O513" s="27"/>
      <c r="P513" s="27"/>
    </row>
    <row r="514">
      <c r="F514" s="27"/>
      <c r="G514" s="27"/>
      <c r="H514" s="27"/>
      <c r="J514" s="27"/>
      <c r="L514" s="27"/>
      <c r="M514" s="27"/>
      <c r="N514" s="27"/>
      <c r="O514" s="27"/>
      <c r="P514" s="27"/>
    </row>
    <row r="515">
      <c r="F515" s="27"/>
      <c r="G515" s="27"/>
      <c r="H515" s="27"/>
      <c r="J515" s="27"/>
      <c r="L515" s="27"/>
      <c r="M515" s="27"/>
      <c r="N515" s="27"/>
      <c r="O515" s="27"/>
      <c r="P515" s="27"/>
    </row>
    <row r="516">
      <c r="F516" s="27"/>
      <c r="G516" s="27"/>
      <c r="H516" s="27"/>
      <c r="J516" s="27"/>
      <c r="L516" s="27"/>
      <c r="M516" s="27"/>
      <c r="N516" s="27"/>
      <c r="O516" s="27"/>
      <c r="P516" s="27"/>
    </row>
    <row r="517">
      <c r="F517" s="27"/>
      <c r="G517" s="27"/>
      <c r="H517" s="27"/>
      <c r="J517" s="27"/>
      <c r="L517" s="27"/>
      <c r="M517" s="27"/>
      <c r="N517" s="27"/>
      <c r="O517" s="27"/>
      <c r="P517" s="27"/>
    </row>
    <row r="518">
      <c r="F518" s="27"/>
      <c r="G518" s="27"/>
      <c r="H518" s="27"/>
      <c r="J518" s="27"/>
      <c r="L518" s="27"/>
      <c r="M518" s="27"/>
      <c r="N518" s="27"/>
      <c r="O518" s="27"/>
      <c r="P518" s="27"/>
    </row>
    <row r="519">
      <c r="F519" s="27"/>
      <c r="G519" s="27"/>
      <c r="H519" s="27"/>
      <c r="J519" s="27"/>
      <c r="L519" s="27"/>
      <c r="M519" s="27"/>
      <c r="N519" s="27"/>
      <c r="O519" s="27"/>
      <c r="P519" s="27"/>
    </row>
    <row r="520">
      <c r="F520" s="27"/>
      <c r="G520" s="27"/>
      <c r="H520" s="27"/>
      <c r="J520" s="27"/>
      <c r="L520" s="27"/>
      <c r="M520" s="27"/>
      <c r="N520" s="27"/>
      <c r="O520" s="27"/>
      <c r="P520" s="27"/>
    </row>
    <row r="521">
      <c r="F521" s="27"/>
      <c r="G521" s="27"/>
      <c r="H521" s="27"/>
      <c r="J521" s="27"/>
      <c r="L521" s="27"/>
      <c r="M521" s="27"/>
      <c r="N521" s="27"/>
      <c r="O521" s="27"/>
      <c r="P521" s="27"/>
    </row>
    <row r="522">
      <c r="F522" s="27"/>
      <c r="G522" s="27"/>
      <c r="H522" s="27"/>
      <c r="J522" s="27"/>
      <c r="L522" s="27"/>
      <c r="M522" s="27"/>
      <c r="N522" s="27"/>
      <c r="O522" s="27"/>
      <c r="P522" s="27"/>
    </row>
    <row r="523">
      <c r="F523" s="27"/>
      <c r="G523" s="27"/>
      <c r="H523" s="27"/>
      <c r="J523" s="27"/>
      <c r="L523" s="27"/>
      <c r="M523" s="27"/>
      <c r="N523" s="27"/>
      <c r="O523" s="27"/>
      <c r="P523" s="27"/>
    </row>
    <row r="524">
      <c r="F524" s="27"/>
      <c r="G524" s="27"/>
      <c r="H524" s="27"/>
      <c r="J524" s="27"/>
      <c r="L524" s="27"/>
      <c r="M524" s="27"/>
      <c r="N524" s="27"/>
      <c r="O524" s="27"/>
      <c r="P524" s="27"/>
    </row>
    <row r="525">
      <c r="F525" s="27"/>
      <c r="G525" s="27"/>
      <c r="H525" s="27"/>
      <c r="J525" s="27"/>
      <c r="L525" s="27"/>
      <c r="M525" s="27"/>
      <c r="N525" s="27"/>
      <c r="O525" s="27"/>
      <c r="P525" s="27"/>
    </row>
    <row r="526">
      <c r="F526" s="27"/>
      <c r="G526" s="27"/>
      <c r="H526" s="27"/>
      <c r="J526" s="27"/>
      <c r="L526" s="27"/>
      <c r="M526" s="27"/>
      <c r="N526" s="27"/>
      <c r="O526" s="27"/>
      <c r="P526" s="27"/>
    </row>
    <row r="527">
      <c r="F527" s="27"/>
      <c r="G527" s="27"/>
      <c r="H527" s="27"/>
      <c r="J527" s="27"/>
      <c r="L527" s="27"/>
      <c r="M527" s="27"/>
      <c r="N527" s="27"/>
      <c r="O527" s="27"/>
      <c r="P527" s="27"/>
    </row>
    <row r="528">
      <c r="F528" s="27"/>
      <c r="G528" s="27"/>
      <c r="H528" s="27"/>
      <c r="J528" s="27"/>
      <c r="L528" s="27"/>
      <c r="M528" s="27"/>
      <c r="N528" s="27"/>
      <c r="O528" s="27"/>
      <c r="P528" s="27"/>
    </row>
    <row r="529">
      <c r="F529" s="27"/>
      <c r="G529" s="27"/>
      <c r="H529" s="27"/>
      <c r="J529" s="27"/>
      <c r="L529" s="27"/>
      <c r="M529" s="27"/>
      <c r="N529" s="27"/>
      <c r="O529" s="27"/>
      <c r="P529" s="27"/>
    </row>
    <row r="530">
      <c r="F530" s="27"/>
      <c r="G530" s="27"/>
      <c r="H530" s="27"/>
      <c r="J530" s="27"/>
      <c r="L530" s="27"/>
      <c r="M530" s="27"/>
      <c r="N530" s="27"/>
      <c r="O530" s="27"/>
      <c r="P530" s="27"/>
    </row>
    <row r="531">
      <c r="F531" s="27"/>
      <c r="G531" s="27"/>
      <c r="H531" s="27"/>
      <c r="J531" s="27"/>
      <c r="L531" s="27"/>
      <c r="M531" s="27"/>
      <c r="N531" s="27"/>
      <c r="O531" s="27"/>
      <c r="P531" s="27"/>
    </row>
    <row r="532">
      <c r="F532" s="27"/>
      <c r="G532" s="27"/>
      <c r="H532" s="27"/>
      <c r="J532" s="27"/>
      <c r="L532" s="27"/>
      <c r="M532" s="27"/>
      <c r="N532" s="27"/>
      <c r="O532" s="27"/>
      <c r="P532" s="27"/>
    </row>
    <row r="533">
      <c r="F533" s="27"/>
      <c r="G533" s="27"/>
      <c r="H533" s="27"/>
      <c r="J533" s="27"/>
      <c r="L533" s="27"/>
      <c r="M533" s="27"/>
      <c r="N533" s="27"/>
      <c r="O533" s="27"/>
      <c r="P533" s="27"/>
    </row>
    <row r="534">
      <c r="F534" s="27"/>
      <c r="G534" s="27"/>
      <c r="H534" s="27"/>
      <c r="J534" s="27"/>
      <c r="L534" s="27"/>
      <c r="M534" s="27"/>
      <c r="N534" s="27"/>
      <c r="O534" s="27"/>
      <c r="P534" s="27"/>
    </row>
    <row r="535">
      <c r="F535" s="27"/>
      <c r="G535" s="27"/>
      <c r="H535" s="27"/>
      <c r="J535" s="27"/>
      <c r="L535" s="27"/>
      <c r="M535" s="27"/>
      <c r="N535" s="27"/>
      <c r="O535" s="27"/>
      <c r="P535" s="27"/>
    </row>
    <row r="536">
      <c r="F536" s="27"/>
      <c r="G536" s="27"/>
      <c r="H536" s="27"/>
      <c r="J536" s="27"/>
      <c r="L536" s="27"/>
      <c r="M536" s="27"/>
      <c r="N536" s="27"/>
      <c r="O536" s="27"/>
      <c r="P536" s="27"/>
    </row>
    <row r="537">
      <c r="F537" s="27"/>
      <c r="G537" s="27"/>
      <c r="H537" s="27"/>
      <c r="J537" s="27"/>
      <c r="L537" s="27"/>
      <c r="M537" s="27"/>
      <c r="N537" s="27"/>
      <c r="O537" s="27"/>
      <c r="P537" s="27"/>
    </row>
    <row r="538">
      <c r="F538" s="27"/>
      <c r="G538" s="27"/>
      <c r="H538" s="27"/>
      <c r="J538" s="27"/>
      <c r="L538" s="27"/>
      <c r="M538" s="27"/>
      <c r="N538" s="27"/>
      <c r="O538" s="27"/>
      <c r="P538" s="27"/>
    </row>
    <row r="539">
      <c r="F539" s="27"/>
      <c r="G539" s="27"/>
      <c r="H539" s="27"/>
      <c r="J539" s="27"/>
      <c r="L539" s="27"/>
      <c r="M539" s="27"/>
      <c r="N539" s="27"/>
      <c r="O539" s="27"/>
      <c r="P539" s="27"/>
    </row>
    <row r="540">
      <c r="F540" s="27"/>
      <c r="G540" s="27"/>
      <c r="H540" s="27"/>
      <c r="J540" s="27"/>
      <c r="L540" s="27"/>
      <c r="M540" s="27"/>
      <c r="N540" s="27"/>
      <c r="O540" s="27"/>
      <c r="P540" s="27"/>
    </row>
    <row r="541">
      <c r="F541" s="27"/>
      <c r="G541" s="27"/>
      <c r="H541" s="27"/>
      <c r="J541" s="27"/>
      <c r="L541" s="27"/>
      <c r="M541" s="27"/>
      <c r="N541" s="27"/>
      <c r="O541" s="27"/>
      <c r="P541" s="27"/>
    </row>
    <row r="542">
      <c r="F542" s="27"/>
      <c r="G542" s="27"/>
      <c r="H542" s="27"/>
      <c r="J542" s="27"/>
      <c r="L542" s="27"/>
      <c r="M542" s="27"/>
      <c r="N542" s="27"/>
      <c r="O542" s="27"/>
      <c r="P542" s="27"/>
    </row>
    <row r="543">
      <c r="F543" s="27"/>
      <c r="G543" s="27"/>
      <c r="H543" s="27"/>
      <c r="J543" s="27"/>
      <c r="L543" s="27"/>
      <c r="M543" s="27"/>
      <c r="N543" s="27"/>
      <c r="O543" s="27"/>
      <c r="P543" s="27"/>
    </row>
    <row r="544">
      <c r="F544" s="27"/>
      <c r="G544" s="27"/>
      <c r="H544" s="27"/>
      <c r="J544" s="27"/>
      <c r="L544" s="27"/>
      <c r="M544" s="27"/>
      <c r="N544" s="27"/>
      <c r="O544" s="27"/>
      <c r="P544" s="27"/>
    </row>
    <row r="545">
      <c r="F545" s="27"/>
      <c r="G545" s="27"/>
      <c r="H545" s="27"/>
      <c r="J545" s="27"/>
      <c r="L545" s="27"/>
      <c r="M545" s="27"/>
      <c r="N545" s="27"/>
      <c r="O545" s="27"/>
      <c r="P545" s="27"/>
    </row>
    <row r="546">
      <c r="F546" s="27"/>
      <c r="G546" s="27"/>
      <c r="H546" s="27"/>
      <c r="J546" s="27"/>
      <c r="L546" s="27"/>
      <c r="M546" s="27"/>
      <c r="N546" s="27"/>
      <c r="O546" s="27"/>
      <c r="P546" s="27"/>
    </row>
    <row r="547">
      <c r="F547" s="27"/>
      <c r="G547" s="27"/>
      <c r="H547" s="27"/>
      <c r="J547" s="27"/>
      <c r="L547" s="27"/>
      <c r="M547" s="27"/>
      <c r="N547" s="27"/>
      <c r="O547" s="27"/>
      <c r="P547" s="27"/>
    </row>
    <row r="548">
      <c r="F548" s="27"/>
      <c r="G548" s="27"/>
      <c r="H548" s="27"/>
      <c r="J548" s="27"/>
      <c r="L548" s="27"/>
      <c r="M548" s="27"/>
      <c r="N548" s="27"/>
      <c r="O548" s="27"/>
      <c r="P548" s="27"/>
    </row>
    <row r="549">
      <c r="F549" s="27"/>
      <c r="G549" s="27"/>
      <c r="H549" s="27"/>
      <c r="J549" s="27"/>
      <c r="L549" s="27"/>
      <c r="M549" s="27"/>
      <c r="N549" s="27"/>
      <c r="O549" s="27"/>
      <c r="P549" s="27"/>
    </row>
    <row r="550">
      <c r="F550" s="27"/>
      <c r="G550" s="27"/>
      <c r="H550" s="27"/>
      <c r="J550" s="27"/>
      <c r="L550" s="27"/>
      <c r="M550" s="27"/>
      <c r="N550" s="27"/>
      <c r="O550" s="27"/>
      <c r="P550" s="27"/>
    </row>
    <row r="551">
      <c r="F551" s="27"/>
      <c r="G551" s="27"/>
      <c r="H551" s="27"/>
      <c r="J551" s="27"/>
      <c r="L551" s="27"/>
      <c r="M551" s="27"/>
      <c r="N551" s="27"/>
      <c r="O551" s="27"/>
      <c r="P551" s="27"/>
    </row>
    <row r="552">
      <c r="F552" s="27"/>
      <c r="G552" s="27"/>
      <c r="H552" s="27"/>
      <c r="J552" s="27"/>
      <c r="L552" s="27"/>
      <c r="M552" s="27"/>
      <c r="N552" s="27"/>
      <c r="O552" s="27"/>
      <c r="P552" s="27"/>
    </row>
    <row r="553">
      <c r="F553" s="27"/>
      <c r="G553" s="27"/>
      <c r="H553" s="27"/>
      <c r="J553" s="27"/>
      <c r="L553" s="27"/>
      <c r="M553" s="27"/>
      <c r="N553" s="27"/>
      <c r="O553" s="27"/>
      <c r="P553" s="27"/>
    </row>
    <row r="554">
      <c r="F554" s="27"/>
      <c r="G554" s="27"/>
      <c r="H554" s="27"/>
      <c r="J554" s="27"/>
      <c r="L554" s="27"/>
      <c r="M554" s="27"/>
      <c r="N554" s="27"/>
      <c r="O554" s="27"/>
      <c r="P554" s="27"/>
    </row>
    <row r="555">
      <c r="F555" s="27"/>
      <c r="G555" s="27"/>
      <c r="H555" s="27"/>
      <c r="J555" s="27"/>
      <c r="L555" s="27"/>
      <c r="M555" s="27"/>
      <c r="N555" s="27"/>
      <c r="O555" s="27"/>
      <c r="P555" s="27"/>
    </row>
    <row r="556">
      <c r="F556" s="27"/>
      <c r="G556" s="27"/>
      <c r="H556" s="27"/>
      <c r="J556" s="27"/>
      <c r="L556" s="27"/>
      <c r="M556" s="27"/>
      <c r="N556" s="27"/>
      <c r="O556" s="27"/>
      <c r="P556" s="27"/>
    </row>
    <row r="557">
      <c r="F557" s="27"/>
      <c r="G557" s="27"/>
      <c r="H557" s="27"/>
      <c r="J557" s="27"/>
      <c r="L557" s="27"/>
      <c r="M557" s="27"/>
      <c r="N557" s="27"/>
      <c r="O557" s="27"/>
      <c r="P557" s="27"/>
    </row>
    <row r="558">
      <c r="F558" s="27"/>
      <c r="G558" s="27"/>
      <c r="H558" s="27"/>
      <c r="J558" s="27"/>
      <c r="L558" s="27"/>
      <c r="M558" s="27"/>
      <c r="N558" s="27"/>
      <c r="O558" s="27"/>
      <c r="P558" s="27"/>
    </row>
    <row r="559">
      <c r="F559" s="27"/>
      <c r="G559" s="27"/>
      <c r="H559" s="27"/>
      <c r="J559" s="27"/>
      <c r="L559" s="27"/>
      <c r="M559" s="27"/>
      <c r="N559" s="27"/>
      <c r="O559" s="27"/>
      <c r="P559" s="27"/>
    </row>
    <row r="560">
      <c r="F560" s="27"/>
      <c r="G560" s="27"/>
      <c r="H560" s="27"/>
      <c r="J560" s="27"/>
      <c r="L560" s="27"/>
      <c r="M560" s="27"/>
      <c r="N560" s="27"/>
      <c r="O560" s="27"/>
      <c r="P560" s="27"/>
    </row>
    <row r="561">
      <c r="F561" s="27"/>
      <c r="G561" s="27"/>
      <c r="H561" s="27"/>
      <c r="J561" s="27"/>
      <c r="L561" s="27"/>
      <c r="M561" s="27"/>
      <c r="N561" s="27"/>
      <c r="O561" s="27"/>
      <c r="P561" s="27"/>
    </row>
    <row r="562">
      <c r="F562" s="27"/>
      <c r="G562" s="27"/>
      <c r="H562" s="27"/>
      <c r="J562" s="27"/>
      <c r="L562" s="27"/>
      <c r="M562" s="27"/>
      <c r="N562" s="27"/>
      <c r="O562" s="27"/>
      <c r="P562" s="27"/>
    </row>
    <row r="563">
      <c r="F563" s="27"/>
      <c r="G563" s="27"/>
      <c r="H563" s="27"/>
      <c r="J563" s="27"/>
      <c r="L563" s="27"/>
      <c r="M563" s="27"/>
      <c r="N563" s="27"/>
      <c r="O563" s="27"/>
      <c r="P563" s="27"/>
    </row>
    <row r="564">
      <c r="F564" s="27"/>
      <c r="G564" s="27"/>
      <c r="H564" s="27"/>
      <c r="J564" s="27"/>
      <c r="L564" s="27"/>
      <c r="M564" s="27"/>
      <c r="N564" s="27"/>
      <c r="O564" s="27"/>
      <c r="P564" s="27"/>
    </row>
    <row r="565">
      <c r="F565" s="27"/>
      <c r="G565" s="27"/>
      <c r="H565" s="27"/>
      <c r="J565" s="27"/>
      <c r="L565" s="27"/>
      <c r="M565" s="27"/>
      <c r="N565" s="27"/>
      <c r="O565" s="27"/>
      <c r="P565" s="27"/>
    </row>
    <row r="566">
      <c r="F566" s="27"/>
      <c r="G566" s="27"/>
      <c r="H566" s="27"/>
      <c r="J566" s="27"/>
      <c r="L566" s="27"/>
      <c r="M566" s="27"/>
      <c r="N566" s="27"/>
      <c r="O566" s="27"/>
      <c r="P566" s="27"/>
    </row>
    <row r="567">
      <c r="F567" s="27"/>
      <c r="G567" s="27"/>
      <c r="H567" s="27"/>
      <c r="J567" s="27"/>
      <c r="L567" s="27"/>
      <c r="M567" s="27"/>
      <c r="N567" s="27"/>
      <c r="O567" s="27"/>
      <c r="P567" s="27"/>
    </row>
    <row r="568">
      <c r="F568" s="27"/>
      <c r="G568" s="27"/>
      <c r="H568" s="27"/>
      <c r="J568" s="27"/>
      <c r="L568" s="27"/>
      <c r="M568" s="27"/>
      <c r="N568" s="27"/>
      <c r="O568" s="27"/>
      <c r="P568" s="27"/>
    </row>
    <row r="569">
      <c r="F569" s="27"/>
      <c r="G569" s="27"/>
      <c r="H569" s="27"/>
      <c r="J569" s="27"/>
      <c r="L569" s="27"/>
      <c r="M569" s="27"/>
      <c r="N569" s="27"/>
      <c r="O569" s="27"/>
      <c r="P569" s="27"/>
    </row>
    <row r="570">
      <c r="F570" s="27"/>
      <c r="G570" s="27"/>
      <c r="H570" s="27"/>
      <c r="J570" s="27"/>
      <c r="L570" s="27"/>
      <c r="M570" s="27"/>
      <c r="N570" s="27"/>
      <c r="O570" s="27"/>
      <c r="P570" s="27"/>
    </row>
    <row r="571">
      <c r="F571" s="27"/>
      <c r="G571" s="27"/>
      <c r="H571" s="27"/>
      <c r="J571" s="27"/>
      <c r="L571" s="27"/>
      <c r="M571" s="27"/>
      <c r="N571" s="27"/>
      <c r="O571" s="27"/>
      <c r="P571" s="27"/>
    </row>
    <row r="572">
      <c r="F572" s="27"/>
      <c r="G572" s="27"/>
      <c r="H572" s="27"/>
      <c r="J572" s="27"/>
      <c r="L572" s="27"/>
      <c r="M572" s="27"/>
      <c r="N572" s="27"/>
      <c r="O572" s="27"/>
      <c r="P572" s="27"/>
    </row>
    <row r="573">
      <c r="F573" s="27"/>
      <c r="G573" s="27"/>
      <c r="H573" s="27"/>
      <c r="J573" s="27"/>
      <c r="L573" s="27"/>
      <c r="M573" s="27"/>
      <c r="N573" s="27"/>
      <c r="O573" s="27"/>
      <c r="P573" s="27"/>
    </row>
    <row r="574">
      <c r="F574" s="27"/>
      <c r="G574" s="27"/>
      <c r="H574" s="27"/>
      <c r="J574" s="27"/>
      <c r="L574" s="27"/>
      <c r="M574" s="27"/>
      <c r="N574" s="27"/>
      <c r="O574" s="27"/>
      <c r="P574" s="27"/>
    </row>
    <row r="575">
      <c r="F575" s="27"/>
      <c r="G575" s="27"/>
      <c r="H575" s="27"/>
      <c r="J575" s="27"/>
      <c r="L575" s="27"/>
      <c r="M575" s="27"/>
      <c r="N575" s="27"/>
      <c r="O575" s="27"/>
      <c r="P575" s="27"/>
    </row>
    <row r="576">
      <c r="F576" s="27"/>
      <c r="G576" s="27"/>
      <c r="H576" s="27"/>
      <c r="J576" s="27"/>
      <c r="L576" s="27"/>
      <c r="M576" s="27"/>
      <c r="N576" s="27"/>
      <c r="O576" s="27"/>
      <c r="P576" s="27"/>
    </row>
    <row r="577">
      <c r="F577" s="27"/>
      <c r="G577" s="27"/>
      <c r="H577" s="27"/>
      <c r="J577" s="27"/>
      <c r="L577" s="27"/>
      <c r="M577" s="27"/>
      <c r="N577" s="27"/>
      <c r="O577" s="27"/>
      <c r="P577" s="27"/>
    </row>
    <row r="578">
      <c r="F578" s="27"/>
      <c r="G578" s="27"/>
      <c r="H578" s="27"/>
      <c r="J578" s="27"/>
      <c r="L578" s="27"/>
      <c r="M578" s="27"/>
      <c r="N578" s="27"/>
      <c r="O578" s="27"/>
      <c r="P578" s="27"/>
    </row>
    <row r="579">
      <c r="F579" s="27"/>
      <c r="G579" s="27"/>
      <c r="H579" s="27"/>
      <c r="J579" s="27"/>
      <c r="L579" s="27"/>
      <c r="M579" s="27"/>
      <c r="N579" s="27"/>
      <c r="O579" s="27"/>
      <c r="P579" s="27"/>
    </row>
    <row r="580">
      <c r="F580" s="27"/>
      <c r="G580" s="27"/>
      <c r="H580" s="27"/>
      <c r="J580" s="27"/>
      <c r="L580" s="27"/>
      <c r="M580" s="27"/>
      <c r="N580" s="27"/>
      <c r="O580" s="27"/>
      <c r="P580" s="27"/>
    </row>
    <row r="581">
      <c r="F581" s="27"/>
      <c r="G581" s="27"/>
      <c r="H581" s="27"/>
      <c r="J581" s="27"/>
      <c r="L581" s="27"/>
      <c r="M581" s="27"/>
      <c r="N581" s="27"/>
      <c r="O581" s="27"/>
      <c r="P581" s="27"/>
    </row>
    <row r="582">
      <c r="F582" s="27"/>
      <c r="G582" s="27"/>
      <c r="H582" s="27"/>
      <c r="J582" s="27"/>
      <c r="L582" s="27"/>
      <c r="M582" s="27"/>
      <c r="N582" s="27"/>
      <c r="O582" s="27"/>
      <c r="P582" s="27"/>
    </row>
    <row r="583">
      <c r="F583" s="27"/>
      <c r="G583" s="27"/>
      <c r="H583" s="27"/>
      <c r="J583" s="27"/>
      <c r="L583" s="27"/>
      <c r="M583" s="27"/>
      <c r="N583" s="27"/>
      <c r="O583" s="27"/>
      <c r="P583" s="27"/>
    </row>
    <row r="584">
      <c r="F584" s="27"/>
      <c r="G584" s="27"/>
      <c r="H584" s="27"/>
      <c r="J584" s="27"/>
      <c r="L584" s="27"/>
      <c r="M584" s="27"/>
      <c r="N584" s="27"/>
      <c r="O584" s="27"/>
      <c r="P584" s="27"/>
    </row>
    <row r="585">
      <c r="F585" s="27"/>
      <c r="G585" s="27"/>
      <c r="H585" s="27"/>
      <c r="J585" s="27"/>
      <c r="L585" s="27"/>
      <c r="M585" s="27"/>
      <c r="N585" s="27"/>
      <c r="O585" s="27"/>
      <c r="P585" s="27"/>
    </row>
    <row r="586">
      <c r="F586" s="27"/>
      <c r="G586" s="27"/>
      <c r="H586" s="27"/>
      <c r="J586" s="27"/>
      <c r="L586" s="27"/>
      <c r="M586" s="27"/>
      <c r="N586" s="27"/>
      <c r="O586" s="27"/>
      <c r="P586" s="27"/>
    </row>
    <row r="587">
      <c r="F587" s="27"/>
      <c r="G587" s="27"/>
      <c r="H587" s="27"/>
      <c r="J587" s="27"/>
      <c r="L587" s="27"/>
      <c r="M587" s="27"/>
      <c r="N587" s="27"/>
      <c r="O587" s="27"/>
      <c r="P587" s="27"/>
    </row>
    <row r="588">
      <c r="F588" s="27"/>
      <c r="G588" s="27"/>
      <c r="H588" s="27"/>
      <c r="J588" s="27"/>
      <c r="L588" s="27"/>
      <c r="M588" s="27"/>
      <c r="N588" s="27"/>
      <c r="O588" s="27"/>
      <c r="P588" s="27"/>
    </row>
    <row r="589">
      <c r="F589" s="27"/>
      <c r="G589" s="27"/>
      <c r="H589" s="27"/>
      <c r="J589" s="27"/>
      <c r="L589" s="27"/>
      <c r="M589" s="27"/>
      <c r="N589" s="27"/>
      <c r="O589" s="27"/>
      <c r="P589" s="27"/>
    </row>
    <row r="590">
      <c r="F590" s="27"/>
      <c r="G590" s="27"/>
      <c r="H590" s="27"/>
      <c r="J590" s="27"/>
      <c r="L590" s="27"/>
      <c r="M590" s="27"/>
      <c r="N590" s="27"/>
      <c r="O590" s="27"/>
      <c r="P590" s="27"/>
    </row>
    <row r="591">
      <c r="F591" s="27"/>
      <c r="G591" s="27"/>
      <c r="H591" s="27"/>
      <c r="J591" s="27"/>
      <c r="L591" s="27"/>
      <c r="M591" s="27"/>
      <c r="N591" s="27"/>
      <c r="O591" s="27"/>
      <c r="P591" s="27"/>
    </row>
    <row r="592">
      <c r="F592" s="27"/>
      <c r="G592" s="27"/>
      <c r="H592" s="27"/>
      <c r="J592" s="27"/>
      <c r="L592" s="27"/>
      <c r="M592" s="27"/>
      <c r="N592" s="27"/>
      <c r="O592" s="27"/>
      <c r="P592" s="27"/>
    </row>
    <row r="593">
      <c r="F593" s="27"/>
      <c r="G593" s="27"/>
      <c r="H593" s="27"/>
      <c r="J593" s="27"/>
      <c r="L593" s="27"/>
      <c r="M593" s="27"/>
      <c r="N593" s="27"/>
      <c r="O593" s="27"/>
      <c r="P593" s="27"/>
    </row>
    <row r="594">
      <c r="F594" s="27"/>
      <c r="G594" s="27"/>
      <c r="H594" s="27"/>
      <c r="J594" s="27"/>
      <c r="L594" s="27"/>
      <c r="M594" s="27"/>
      <c r="N594" s="27"/>
      <c r="O594" s="27"/>
      <c r="P594" s="27"/>
    </row>
    <row r="595">
      <c r="F595" s="27"/>
      <c r="G595" s="27"/>
      <c r="H595" s="27"/>
      <c r="J595" s="27"/>
      <c r="L595" s="27"/>
      <c r="M595" s="27"/>
      <c r="N595" s="27"/>
      <c r="O595" s="27"/>
      <c r="P595" s="27"/>
    </row>
    <row r="596">
      <c r="F596" s="27"/>
      <c r="G596" s="27"/>
      <c r="H596" s="27"/>
      <c r="J596" s="27"/>
      <c r="L596" s="27"/>
      <c r="M596" s="27"/>
      <c r="N596" s="27"/>
      <c r="O596" s="27"/>
      <c r="P596" s="27"/>
    </row>
    <row r="597">
      <c r="F597" s="27"/>
      <c r="G597" s="27"/>
      <c r="H597" s="27"/>
      <c r="J597" s="27"/>
      <c r="L597" s="27"/>
      <c r="M597" s="27"/>
      <c r="N597" s="27"/>
      <c r="O597" s="27"/>
      <c r="P597" s="27"/>
    </row>
    <row r="598">
      <c r="F598" s="27"/>
      <c r="G598" s="27"/>
      <c r="H598" s="27"/>
      <c r="J598" s="27"/>
      <c r="L598" s="27"/>
      <c r="M598" s="27"/>
      <c r="N598" s="27"/>
      <c r="O598" s="27"/>
      <c r="P598" s="27"/>
    </row>
    <row r="599">
      <c r="F599" s="27"/>
      <c r="G599" s="27"/>
      <c r="H599" s="27"/>
      <c r="J599" s="27"/>
      <c r="L599" s="27"/>
      <c r="M599" s="27"/>
      <c r="N599" s="27"/>
      <c r="O599" s="27"/>
      <c r="P599" s="27"/>
    </row>
    <row r="600">
      <c r="F600" s="27"/>
      <c r="G600" s="27"/>
      <c r="H600" s="27"/>
      <c r="J600" s="27"/>
      <c r="L600" s="27"/>
      <c r="M600" s="27"/>
      <c r="N600" s="27"/>
      <c r="O600" s="27"/>
      <c r="P600" s="27"/>
    </row>
    <row r="601">
      <c r="F601" s="27"/>
      <c r="G601" s="27"/>
      <c r="H601" s="27"/>
      <c r="J601" s="27"/>
      <c r="L601" s="27"/>
      <c r="M601" s="27"/>
      <c r="N601" s="27"/>
      <c r="O601" s="27"/>
      <c r="P601" s="27"/>
    </row>
    <row r="602">
      <c r="F602" s="27"/>
      <c r="G602" s="27"/>
      <c r="H602" s="27"/>
      <c r="J602" s="27"/>
      <c r="L602" s="27"/>
      <c r="M602" s="27"/>
      <c r="N602" s="27"/>
      <c r="O602" s="27"/>
      <c r="P602" s="27"/>
    </row>
    <row r="603">
      <c r="F603" s="27"/>
      <c r="G603" s="27"/>
      <c r="H603" s="27"/>
      <c r="J603" s="27"/>
      <c r="L603" s="27"/>
      <c r="M603" s="27"/>
      <c r="N603" s="27"/>
      <c r="O603" s="27"/>
      <c r="P603" s="27"/>
    </row>
    <row r="604">
      <c r="F604" s="27"/>
      <c r="G604" s="27"/>
      <c r="H604" s="27"/>
      <c r="J604" s="27"/>
      <c r="L604" s="27"/>
      <c r="M604" s="27"/>
      <c r="N604" s="27"/>
      <c r="O604" s="27"/>
      <c r="P604" s="27"/>
    </row>
    <row r="605">
      <c r="F605" s="27"/>
      <c r="G605" s="27"/>
      <c r="H605" s="27"/>
      <c r="J605" s="27"/>
      <c r="L605" s="27"/>
      <c r="M605" s="27"/>
      <c r="N605" s="27"/>
      <c r="O605" s="27"/>
      <c r="P605" s="27"/>
    </row>
    <row r="606">
      <c r="F606" s="27"/>
      <c r="G606" s="27"/>
      <c r="H606" s="27"/>
      <c r="J606" s="27"/>
      <c r="L606" s="27"/>
      <c r="M606" s="27"/>
      <c r="N606" s="27"/>
      <c r="O606" s="27"/>
      <c r="P606" s="27"/>
    </row>
    <row r="607">
      <c r="F607" s="27"/>
      <c r="G607" s="27"/>
      <c r="H607" s="27"/>
      <c r="J607" s="27"/>
      <c r="L607" s="27"/>
      <c r="M607" s="27"/>
      <c r="N607" s="27"/>
      <c r="O607" s="27"/>
      <c r="P607" s="27"/>
    </row>
    <row r="608">
      <c r="F608" s="27"/>
      <c r="G608" s="27"/>
      <c r="H608" s="27"/>
      <c r="J608" s="27"/>
      <c r="L608" s="27"/>
      <c r="M608" s="27"/>
      <c r="N608" s="27"/>
      <c r="O608" s="27"/>
      <c r="P608" s="27"/>
    </row>
    <row r="609">
      <c r="F609" s="27"/>
      <c r="G609" s="27"/>
      <c r="H609" s="27"/>
      <c r="J609" s="27"/>
      <c r="L609" s="27"/>
      <c r="M609" s="27"/>
      <c r="N609" s="27"/>
      <c r="O609" s="27"/>
      <c r="P609" s="27"/>
    </row>
    <row r="610">
      <c r="F610" s="27"/>
      <c r="G610" s="27"/>
      <c r="H610" s="27"/>
      <c r="J610" s="27"/>
      <c r="L610" s="27"/>
      <c r="M610" s="27"/>
      <c r="N610" s="27"/>
      <c r="O610" s="27"/>
      <c r="P610" s="27"/>
    </row>
    <row r="611">
      <c r="F611" s="27"/>
      <c r="G611" s="27"/>
      <c r="H611" s="27"/>
      <c r="J611" s="27"/>
      <c r="L611" s="27"/>
      <c r="M611" s="27"/>
      <c r="N611" s="27"/>
      <c r="O611" s="27"/>
      <c r="P611" s="27"/>
    </row>
    <row r="612">
      <c r="F612" s="27"/>
      <c r="G612" s="27"/>
      <c r="H612" s="27"/>
      <c r="J612" s="27"/>
      <c r="L612" s="27"/>
      <c r="M612" s="27"/>
      <c r="N612" s="27"/>
      <c r="O612" s="27"/>
      <c r="P612" s="27"/>
    </row>
    <row r="613">
      <c r="F613" s="27"/>
      <c r="G613" s="27"/>
      <c r="H613" s="27"/>
      <c r="J613" s="27"/>
      <c r="L613" s="27"/>
      <c r="M613" s="27"/>
      <c r="N613" s="27"/>
      <c r="O613" s="27"/>
      <c r="P613" s="27"/>
    </row>
    <row r="614">
      <c r="F614" s="27"/>
      <c r="G614" s="27"/>
      <c r="H614" s="27"/>
      <c r="J614" s="27"/>
      <c r="L614" s="27"/>
      <c r="M614" s="27"/>
      <c r="N614" s="27"/>
      <c r="O614" s="27"/>
      <c r="P614" s="27"/>
    </row>
    <row r="615">
      <c r="F615" s="27"/>
      <c r="G615" s="27"/>
      <c r="H615" s="27"/>
      <c r="J615" s="27"/>
      <c r="L615" s="27"/>
      <c r="M615" s="27"/>
      <c r="N615" s="27"/>
      <c r="O615" s="27"/>
      <c r="P615" s="27"/>
    </row>
    <row r="616">
      <c r="F616" s="27"/>
      <c r="G616" s="27"/>
      <c r="H616" s="27"/>
      <c r="J616" s="27"/>
      <c r="L616" s="27"/>
      <c r="M616" s="27"/>
      <c r="N616" s="27"/>
      <c r="O616" s="27"/>
      <c r="P616" s="27"/>
    </row>
    <row r="617">
      <c r="F617" s="27"/>
      <c r="G617" s="27"/>
      <c r="H617" s="27"/>
      <c r="J617" s="27"/>
      <c r="L617" s="27"/>
      <c r="M617" s="27"/>
      <c r="N617" s="27"/>
      <c r="O617" s="27"/>
      <c r="P617" s="27"/>
    </row>
    <row r="618">
      <c r="F618" s="27"/>
      <c r="G618" s="27"/>
      <c r="H618" s="27"/>
      <c r="J618" s="27"/>
      <c r="L618" s="27"/>
      <c r="M618" s="27"/>
      <c r="N618" s="27"/>
      <c r="O618" s="27"/>
      <c r="P618" s="27"/>
    </row>
    <row r="619">
      <c r="F619" s="27"/>
      <c r="G619" s="27"/>
      <c r="H619" s="27"/>
      <c r="J619" s="27"/>
      <c r="L619" s="27"/>
      <c r="M619" s="27"/>
      <c r="N619" s="27"/>
      <c r="O619" s="27"/>
      <c r="P619" s="27"/>
    </row>
    <row r="620">
      <c r="F620" s="27"/>
      <c r="G620" s="27"/>
      <c r="H620" s="27"/>
      <c r="J620" s="27"/>
      <c r="L620" s="27"/>
      <c r="M620" s="27"/>
      <c r="N620" s="27"/>
      <c r="O620" s="27"/>
      <c r="P620" s="27"/>
    </row>
    <row r="621">
      <c r="F621" s="27"/>
      <c r="G621" s="27"/>
      <c r="H621" s="27"/>
      <c r="J621" s="27"/>
      <c r="L621" s="27"/>
      <c r="M621" s="27"/>
      <c r="N621" s="27"/>
      <c r="O621" s="27"/>
      <c r="P621" s="27"/>
    </row>
    <row r="622">
      <c r="F622" s="27"/>
      <c r="G622" s="27"/>
      <c r="H622" s="27"/>
      <c r="J622" s="27"/>
      <c r="L622" s="27"/>
      <c r="M622" s="27"/>
      <c r="N622" s="27"/>
      <c r="O622" s="27"/>
      <c r="P622" s="27"/>
    </row>
    <row r="623">
      <c r="F623" s="27"/>
      <c r="G623" s="27"/>
      <c r="H623" s="27"/>
      <c r="J623" s="27"/>
      <c r="L623" s="27"/>
      <c r="M623" s="27"/>
      <c r="N623" s="27"/>
      <c r="O623" s="27"/>
      <c r="P623" s="27"/>
    </row>
    <row r="624">
      <c r="F624" s="27"/>
      <c r="G624" s="27"/>
      <c r="H624" s="27"/>
      <c r="J624" s="27"/>
      <c r="L624" s="27"/>
      <c r="M624" s="27"/>
      <c r="N624" s="27"/>
      <c r="O624" s="27"/>
      <c r="P624" s="27"/>
    </row>
    <row r="625">
      <c r="F625" s="27"/>
      <c r="G625" s="27"/>
      <c r="H625" s="27"/>
      <c r="J625" s="27"/>
      <c r="L625" s="27"/>
      <c r="M625" s="27"/>
      <c r="N625" s="27"/>
      <c r="O625" s="27"/>
      <c r="P625" s="27"/>
    </row>
    <row r="626">
      <c r="F626" s="27"/>
      <c r="G626" s="27"/>
      <c r="H626" s="27"/>
      <c r="J626" s="27"/>
      <c r="L626" s="27"/>
      <c r="M626" s="27"/>
      <c r="N626" s="27"/>
      <c r="O626" s="27"/>
      <c r="P626" s="27"/>
    </row>
    <row r="627">
      <c r="F627" s="27"/>
      <c r="G627" s="27"/>
      <c r="H627" s="27"/>
      <c r="J627" s="27"/>
      <c r="L627" s="27"/>
      <c r="M627" s="27"/>
      <c r="N627" s="27"/>
      <c r="O627" s="27"/>
      <c r="P627" s="27"/>
    </row>
    <row r="628">
      <c r="F628" s="27"/>
      <c r="G628" s="27"/>
      <c r="H628" s="27"/>
      <c r="J628" s="27"/>
      <c r="L628" s="27"/>
      <c r="M628" s="27"/>
      <c r="N628" s="27"/>
      <c r="O628" s="27"/>
      <c r="P628" s="27"/>
    </row>
    <row r="629">
      <c r="F629" s="27"/>
      <c r="G629" s="27"/>
      <c r="H629" s="27"/>
      <c r="J629" s="27"/>
      <c r="L629" s="27"/>
      <c r="M629" s="27"/>
      <c r="N629" s="27"/>
      <c r="O629" s="27"/>
      <c r="P629" s="27"/>
    </row>
    <row r="630">
      <c r="F630" s="27"/>
      <c r="G630" s="27"/>
      <c r="H630" s="27"/>
      <c r="J630" s="27"/>
      <c r="L630" s="27"/>
      <c r="M630" s="27"/>
      <c r="N630" s="27"/>
      <c r="O630" s="27"/>
      <c r="P630" s="27"/>
    </row>
    <row r="631">
      <c r="F631" s="27"/>
      <c r="G631" s="27"/>
      <c r="H631" s="27"/>
      <c r="J631" s="27"/>
      <c r="L631" s="27"/>
      <c r="M631" s="27"/>
      <c r="N631" s="27"/>
      <c r="O631" s="27"/>
      <c r="P631" s="27"/>
    </row>
    <row r="632">
      <c r="F632" s="27"/>
      <c r="G632" s="27"/>
      <c r="H632" s="27"/>
      <c r="J632" s="27"/>
      <c r="L632" s="27"/>
      <c r="M632" s="27"/>
      <c r="N632" s="27"/>
      <c r="O632" s="27"/>
      <c r="P632" s="27"/>
    </row>
    <row r="633">
      <c r="F633" s="27"/>
      <c r="G633" s="27"/>
      <c r="H633" s="27"/>
      <c r="J633" s="27"/>
      <c r="L633" s="27"/>
      <c r="M633" s="27"/>
      <c r="N633" s="27"/>
      <c r="O633" s="27"/>
      <c r="P633" s="27"/>
    </row>
    <row r="634">
      <c r="F634" s="27"/>
      <c r="G634" s="27"/>
      <c r="H634" s="27"/>
      <c r="J634" s="27"/>
      <c r="L634" s="27"/>
      <c r="M634" s="27"/>
      <c r="N634" s="27"/>
      <c r="O634" s="27"/>
      <c r="P634" s="27"/>
    </row>
    <row r="635">
      <c r="F635" s="27"/>
      <c r="G635" s="27"/>
      <c r="H635" s="27"/>
      <c r="J635" s="27"/>
      <c r="L635" s="27"/>
      <c r="M635" s="27"/>
      <c r="N635" s="27"/>
      <c r="O635" s="27"/>
      <c r="P635" s="27"/>
    </row>
    <row r="636">
      <c r="F636" s="27"/>
      <c r="G636" s="27"/>
      <c r="H636" s="27"/>
      <c r="J636" s="27"/>
      <c r="L636" s="27"/>
      <c r="M636" s="27"/>
      <c r="N636" s="27"/>
      <c r="O636" s="27"/>
      <c r="P636" s="27"/>
    </row>
    <row r="637">
      <c r="F637" s="27"/>
      <c r="G637" s="27"/>
      <c r="H637" s="27"/>
      <c r="J637" s="27"/>
      <c r="L637" s="27"/>
      <c r="M637" s="27"/>
      <c r="N637" s="27"/>
      <c r="O637" s="27"/>
      <c r="P637" s="27"/>
    </row>
    <row r="638">
      <c r="F638" s="27"/>
      <c r="G638" s="27"/>
      <c r="H638" s="27"/>
      <c r="J638" s="27"/>
      <c r="L638" s="27"/>
      <c r="M638" s="27"/>
      <c r="N638" s="27"/>
      <c r="O638" s="27"/>
      <c r="P638" s="27"/>
    </row>
    <row r="639">
      <c r="F639" s="27"/>
      <c r="G639" s="27"/>
      <c r="H639" s="27"/>
      <c r="J639" s="27"/>
      <c r="L639" s="27"/>
      <c r="M639" s="27"/>
      <c r="N639" s="27"/>
      <c r="O639" s="27"/>
      <c r="P639" s="27"/>
    </row>
    <row r="640">
      <c r="F640" s="27"/>
      <c r="G640" s="27"/>
      <c r="H640" s="27"/>
      <c r="J640" s="27"/>
      <c r="L640" s="27"/>
      <c r="M640" s="27"/>
      <c r="N640" s="27"/>
      <c r="O640" s="27"/>
      <c r="P640" s="27"/>
    </row>
    <row r="641">
      <c r="F641" s="27"/>
      <c r="G641" s="27"/>
      <c r="H641" s="27"/>
      <c r="J641" s="27"/>
      <c r="L641" s="27"/>
      <c r="M641" s="27"/>
      <c r="N641" s="27"/>
      <c r="O641" s="27"/>
      <c r="P641" s="27"/>
    </row>
    <row r="642">
      <c r="F642" s="27"/>
      <c r="G642" s="27"/>
      <c r="H642" s="27"/>
      <c r="J642" s="27"/>
      <c r="L642" s="27"/>
      <c r="M642" s="27"/>
      <c r="N642" s="27"/>
      <c r="O642" s="27"/>
      <c r="P642" s="27"/>
    </row>
    <row r="643">
      <c r="F643" s="27"/>
      <c r="G643" s="27"/>
      <c r="H643" s="27"/>
      <c r="J643" s="27"/>
      <c r="L643" s="27"/>
      <c r="M643" s="27"/>
      <c r="N643" s="27"/>
      <c r="O643" s="27"/>
      <c r="P643" s="27"/>
    </row>
    <row r="644">
      <c r="F644" s="27"/>
      <c r="G644" s="27"/>
      <c r="H644" s="27"/>
      <c r="J644" s="27"/>
      <c r="L644" s="27"/>
      <c r="M644" s="27"/>
      <c r="N644" s="27"/>
      <c r="O644" s="27"/>
      <c r="P644" s="27"/>
    </row>
    <row r="645">
      <c r="F645" s="27"/>
      <c r="G645" s="27"/>
      <c r="H645" s="27"/>
      <c r="J645" s="27"/>
      <c r="L645" s="27"/>
      <c r="M645" s="27"/>
      <c r="N645" s="27"/>
      <c r="O645" s="27"/>
      <c r="P645" s="27"/>
    </row>
    <row r="646">
      <c r="F646" s="27"/>
      <c r="G646" s="27"/>
      <c r="H646" s="27"/>
      <c r="J646" s="27"/>
      <c r="L646" s="27"/>
      <c r="M646" s="27"/>
      <c r="N646" s="27"/>
      <c r="O646" s="27"/>
      <c r="P646" s="27"/>
    </row>
    <row r="647">
      <c r="F647" s="27"/>
      <c r="G647" s="27"/>
      <c r="H647" s="27"/>
      <c r="J647" s="27"/>
      <c r="L647" s="27"/>
      <c r="M647" s="27"/>
      <c r="N647" s="27"/>
      <c r="O647" s="27"/>
      <c r="P647" s="27"/>
    </row>
    <row r="648">
      <c r="F648" s="27"/>
      <c r="G648" s="27"/>
      <c r="H648" s="27"/>
      <c r="J648" s="27"/>
      <c r="L648" s="27"/>
      <c r="M648" s="27"/>
      <c r="N648" s="27"/>
      <c r="O648" s="27"/>
      <c r="P648" s="27"/>
    </row>
    <row r="649">
      <c r="F649" s="27"/>
      <c r="G649" s="27"/>
      <c r="H649" s="27"/>
      <c r="J649" s="27"/>
      <c r="L649" s="27"/>
      <c r="M649" s="27"/>
      <c r="N649" s="27"/>
      <c r="O649" s="27"/>
      <c r="P649" s="27"/>
    </row>
    <row r="650">
      <c r="F650" s="27"/>
      <c r="G650" s="27"/>
      <c r="H650" s="27"/>
      <c r="J650" s="27"/>
      <c r="L650" s="27"/>
      <c r="M650" s="27"/>
      <c r="N650" s="27"/>
      <c r="O650" s="27"/>
      <c r="P650" s="27"/>
    </row>
    <row r="651">
      <c r="F651" s="27"/>
      <c r="G651" s="27"/>
      <c r="H651" s="27"/>
      <c r="J651" s="27"/>
      <c r="L651" s="27"/>
      <c r="M651" s="27"/>
      <c r="N651" s="27"/>
      <c r="O651" s="27"/>
      <c r="P651" s="27"/>
    </row>
    <row r="652">
      <c r="F652" s="27"/>
      <c r="G652" s="27"/>
      <c r="H652" s="27"/>
      <c r="J652" s="27"/>
      <c r="L652" s="27"/>
      <c r="M652" s="27"/>
      <c r="N652" s="27"/>
      <c r="O652" s="27"/>
      <c r="P652" s="27"/>
    </row>
    <row r="653">
      <c r="F653" s="27"/>
      <c r="G653" s="27"/>
      <c r="H653" s="27"/>
      <c r="J653" s="27"/>
      <c r="L653" s="27"/>
      <c r="M653" s="27"/>
      <c r="N653" s="27"/>
      <c r="O653" s="27"/>
      <c r="P653" s="27"/>
    </row>
    <row r="654">
      <c r="F654" s="27"/>
      <c r="G654" s="27"/>
      <c r="H654" s="27"/>
      <c r="J654" s="27"/>
      <c r="L654" s="27"/>
      <c r="M654" s="27"/>
      <c r="N654" s="27"/>
      <c r="O654" s="27"/>
      <c r="P654" s="27"/>
    </row>
    <row r="655">
      <c r="F655" s="27"/>
      <c r="G655" s="27"/>
      <c r="H655" s="27"/>
      <c r="J655" s="27"/>
      <c r="L655" s="27"/>
      <c r="M655" s="27"/>
      <c r="N655" s="27"/>
      <c r="O655" s="27"/>
      <c r="P655" s="27"/>
    </row>
    <row r="656">
      <c r="F656" s="27"/>
      <c r="G656" s="27"/>
      <c r="H656" s="27"/>
      <c r="J656" s="27"/>
      <c r="L656" s="27"/>
      <c r="M656" s="27"/>
      <c r="N656" s="27"/>
      <c r="O656" s="27"/>
      <c r="P656" s="27"/>
    </row>
    <row r="657">
      <c r="F657" s="27"/>
      <c r="G657" s="27"/>
      <c r="H657" s="27"/>
      <c r="J657" s="27"/>
      <c r="L657" s="27"/>
      <c r="M657" s="27"/>
      <c r="N657" s="27"/>
      <c r="O657" s="27"/>
      <c r="P657" s="27"/>
    </row>
    <row r="658">
      <c r="F658" s="27"/>
      <c r="G658" s="27"/>
      <c r="H658" s="27"/>
      <c r="J658" s="27"/>
      <c r="L658" s="27"/>
      <c r="M658" s="27"/>
      <c r="N658" s="27"/>
      <c r="O658" s="27"/>
      <c r="P658" s="27"/>
    </row>
    <row r="659">
      <c r="F659" s="27"/>
      <c r="G659" s="27"/>
      <c r="H659" s="27"/>
      <c r="J659" s="27"/>
      <c r="L659" s="27"/>
      <c r="M659" s="27"/>
      <c r="N659" s="27"/>
      <c r="O659" s="27"/>
      <c r="P659" s="27"/>
    </row>
    <row r="660">
      <c r="F660" s="27"/>
      <c r="G660" s="27"/>
      <c r="H660" s="27"/>
      <c r="J660" s="27"/>
      <c r="L660" s="27"/>
      <c r="M660" s="27"/>
      <c r="N660" s="27"/>
      <c r="O660" s="27"/>
      <c r="P660" s="27"/>
    </row>
    <row r="661">
      <c r="F661" s="27"/>
      <c r="G661" s="27"/>
      <c r="H661" s="27"/>
      <c r="J661" s="27"/>
      <c r="L661" s="27"/>
      <c r="M661" s="27"/>
      <c r="N661" s="27"/>
      <c r="O661" s="27"/>
      <c r="P661" s="27"/>
    </row>
    <row r="662">
      <c r="F662" s="27"/>
      <c r="G662" s="27"/>
      <c r="H662" s="27"/>
      <c r="J662" s="27"/>
      <c r="L662" s="27"/>
      <c r="M662" s="27"/>
      <c r="N662" s="27"/>
      <c r="O662" s="27"/>
      <c r="P662" s="27"/>
    </row>
    <row r="663">
      <c r="F663" s="27"/>
      <c r="G663" s="27"/>
      <c r="H663" s="27"/>
      <c r="J663" s="27"/>
      <c r="L663" s="27"/>
      <c r="M663" s="27"/>
      <c r="N663" s="27"/>
      <c r="O663" s="27"/>
      <c r="P663" s="27"/>
    </row>
    <row r="664">
      <c r="F664" s="27"/>
      <c r="G664" s="27"/>
      <c r="H664" s="27"/>
      <c r="J664" s="27"/>
      <c r="L664" s="27"/>
      <c r="M664" s="27"/>
      <c r="N664" s="27"/>
      <c r="O664" s="27"/>
      <c r="P664" s="27"/>
    </row>
    <row r="665">
      <c r="F665" s="27"/>
      <c r="G665" s="27"/>
      <c r="H665" s="27"/>
      <c r="J665" s="27"/>
      <c r="L665" s="27"/>
      <c r="M665" s="27"/>
      <c r="N665" s="27"/>
      <c r="O665" s="27"/>
      <c r="P665" s="27"/>
    </row>
    <row r="666">
      <c r="F666" s="27"/>
      <c r="G666" s="27"/>
      <c r="H666" s="27"/>
      <c r="J666" s="27"/>
      <c r="L666" s="27"/>
      <c r="M666" s="27"/>
      <c r="N666" s="27"/>
      <c r="O666" s="27"/>
      <c r="P666" s="27"/>
    </row>
    <row r="667">
      <c r="F667" s="27"/>
      <c r="G667" s="27"/>
      <c r="H667" s="27"/>
      <c r="J667" s="27"/>
      <c r="L667" s="27"/>
      <c r="M667" s="27"/>
      <c r="N667" s="27"/>
      <c r="O667" s="27"/>
      <c r="P667" s="27"/>
    </row>
    <row r="668">
      <c r="F668" s="27"/>
      <c r="G668" s="27"/>
      <c r="H668" s="27"/>
      <c r="J668" s="27"/>
      <c r="L668" s="27"/>
      <c r="M668" s="27"/>
      <c r="N668" s="27"/>
      <c r="O668" s="27"/>
      <c r="P668" s="27"/>
    </row>
    <row r="669">
      <c r="F669" s="27"/>
      <c r="G669" s="27"/>
      <c r="H669" s="27"/>
      <c r="J669" s="27"/>
      <c r="L669" s="27"/>
      <c r="M669" s="27"/>
      <c r="N669" s="27"/>
      <c r="O669" s="27"/>
      <c r="P669" s="27"/>
    </row>
    <row r="670">
      <c r="F670" s="27"/>
      <c r="G670" s="27"/>
      <c r="H670" s="27"/>
      <c r="J670" s="27"/>
      <c r="L670" s="27"/>
      <c r="M670" s="27"/>
      <c r="N670" s="27"/>
      <c r="O670" s="27"/>
      <c r="P670" s="27"/>
    </row>
    <row r="671">
      <c r="F671" s="27"/>
      <c r="G671" s="27"/>
      <c r="H671" s="27"/>
      <c r="J671" s="27"/>
      <c r="L671" s="27"/>
      <c r="M671" s="27"/>
      <c r="N671" s="27"/>
      <c r="O671" s="27"/>
      <c r="P671" s="27"/>
    </row>
    <row r="672">
      <c r="F672" s="27"/>
      <c r="G672" s="27"/>
      <c r="H672" s="27"/>
      <c r="J672" s="27"/>
      <c r="L672" s="27"/>
      <c r="M672" s="27"/>
      <c r="N672" s="27"/>
      <c r="O672" s="27"/>
      <c r="P672" s="27"/>
    </row>
    <row r="673">
      <c r="F673" s="27"/>
      <c r="G673" s="27"/>
      <c r="H673" s="27"/>
      <c r="J673" s="27"/>
      <c r="L673" s="27"/>
      <c r="M673" s="27"/>
      <c r="N673" s="27"/>
      <c r="O673" s="27"/>
      <c r="P673" s="27"/>
    </row>
    <row r="674">
      <c r="F674" s="27"/>
      <c r="G674" s="27"/>
      <c r="H674" s="27"/>
      <c r="J674" s="27"/>
      <c r="L674" s="27"/>
      <c r="M674" s="27"/>
      <c r="N674" s="27"/>
      <c r="O674" s="27"/>
      <c r="P674" s="27"/>
    </row>
    <row r="675">
      <c r="F675" s="27"/>
      <c r="G675" s="27"/>
      <c r="H675" s="27"/>
      <c r="J675" s="27"/>
      <c r="L675" s="27"/>
      <c r="M675" s="27"/>
      <c r="N675" s="27"/>
      <c r="O675" s="27"/>
      <c r="P675" s="27"/>
    </row>
    <row r="676">
      <c r="F676" s="27"/>
      <c r="G676" s="27"/>
      <c r="H676" s="27"/>
      <c r="J676" s="27"/>
      <c r="L676" s="27"/>
      <c r="M676" s="27"/>
      <c r="N676" s="27"/>
      <c r="O676" s="27"/>
      <c r="P676" s="27"/>
    </row>
    <row r="677">
      <c r="F677" s="27"/>
      <c r="G677" s="27"/>
      <c r="H677" s="27"/>
      <c r="J677" s="27"/>
      <c r="L677" s="27"/>
      <c r="M677" s="27"/>
      <c r="N677" s="27"/>
      <c r="O677" s="27"/>
      <c r="P677" s="27"/>
    </row>
    <row r="678">
      <c r="F678" s="27"/>
      <c r="G678" s="27"/>
      <c r="H678" s="27"/>
      <c r="J678" s="27"/>
      <c r="L678" s="27"/>
      <c r="M678" s="27"/>
      <c r="N678" s="27"/>
      <c r="O678" s="27"/>
      <c r="P678" s="27"/>
    </row>
    <row r="679">
      <c r="F679" s="27"/>
      <c r="G679" s="27"/>
      <c r="H679" s="27"/>
      <c r="J679" s="27"/>
      <c r="L679" s="27"/>
      <c r="M679" s="27"/>
      <c r="N679" s="27"/>
      <c r="O679" s="27"/>
      <c r="P679" s="27"/>
    </row>
    <row r="680">
      <c r="F680" s="27"/>
      <c r="G680" s="27"/>
      <c r="H680" s="27"/>
      <c r="J680" s="27"/>
      <c r="L680" s="27"/>
      <c r="M680" s="27"/>
      <c r="N680" s="27"/>
      <c r="O680" s="27"/>
      <c r="P680" s="27"/>
    </row>
    <row r="681">
      <c r="F681" s="27"/>
      <c r="G681" s="27"/>
      <c r="H681" s="27"/>
      <c r="J681" s="27"/>
      <c r="L681" s="27"/>
      <c r="M681" s="27"/>
      <c r="N681" s="27"/>
      <c r="O681" s="27"/>
      <c r="P681" s="27"/>
    </row>
    <row r="682">
      <c r="F682" s="27"/>
      <c r="G682" s="27"/>
      <c r="H682" s="27"/>
      <c r="J682" s="27"/>
      <c r="L682" s="27"/>
      <c r="M682" s="27"/>
      <c r="N682" s="27"/>
      <c r="O682" s="27"/>
      <c r="P682" s="27"/>
    </row>
    <row r="683">
      <c r="F683" s="27"/>
      <c r="G683" s="27"/>
      <c r="H683" s="27"/>
      <c r="J683" s="27"/>
      <c r="L683" s="27"/>
      <c r="M683" s="27"/>
      <c r="N683" s="27"/>
      <c r="O683" s="27"/>
      <c r="P683" s="27"/>
    </row>
    <row r="684">
      <c r="F684" s="27"/>
      <c r="G684" s="27"/>
      <c r="H684" s="27"/>
      <c r="J684" s="27"/>
      <c r="L684" s="27"/>
      <c r="M684" s="27"/>
      <c r="N684" s="27"/>
      <c r="O684" s="27"/>
      <c r="P684" s="27"/>
    </row>
    <row r="685">
      <c r="F685" s="27"/>
      <c r="G685" s="27"/>
      <c r="H685" s="27"/>
      <c r="J685" s="27"/>
      <c r="L685" s="27"/>
      <c r="M685" s="27"/>
      <c r="N685" s="27"/>
      <c r="O685" s="27"/>
      <c r="P685" s="27"/>
    </row>
    <row r="686">
      <c r="F686" s="27"/>
      <c r="G686" s="27"/>
      <c r="H686" s="27"/>
      <c r="J686" s="27"/>
      <c r="L686" s="27"/>
      <c r="M686" s="27"/>
      <c r="N686" s="27"/>
      <c r="O686" s="27"/>
      <c r="P686" s="27"/>
    </row>
    <row r="687">
      <c r="F687" s="27"/>
      <c r="G687" s="27"/>
      <c r="H687" s="27"/>
      <c r="J687" s="27"/>
      <c r="L687" s="27"/>
      <c r="M687" s="27"/>
      <c r="N687" s="27"/>
      <c r="O687" s="27"/>
      <c r="P687" s="27"/>
    </row>
    <row r="688">
      <c r="F688" s="27"/>
      <c r="G688" s="27"/>
      <c r="H688" s="27"/>
      <c r="J688" s="27"/>
      <c r="L688" s="27"/>
      <c r="M688" s="27"/>
      <c r="N688" s="27"/>
      <c r="O688" s="27"/>
      <c r="P688" s="27"/>
    </row>
    <row r="689">
      <c r="F689" s="27"/>
      <c r="G689" s="27"/>
      <c r="H689" s="27"/>
      <c r="J689" s="27"/>
      <c r="L689" s="27"/>
      <c r="M689" s="27"/>
      <c r="N689" s="27"/>
      <c r="O689" s="27"/>
      <c r="P689" s="27"/>
    </row>
    <row r="690">
      <c r="F690" s="27"/>
      <c r="G690" s="27"/>
      <c r="H690" s="27"/>
      <c r="J690" s="27"/>
      <c r="L690" s="27"/>
      <c r="M690" s="27"/>
      <c r="N690" s="27"/>
      <c r="O690" s="27"/>
      <c r="P690" s="27"/>
    </row>
    <row r="691">
      <c r="F691" s="27"/>
      <c r="G691" s="27"/>
      <c r="H691" s="27"/>
      <c r="J691" s="27"/>
      <c r="L691" s="27"/>
      <c r="M691" s="27"/>
      <c r="N691" s="27"/>
      <c r="O691" s="27"/>
      <c r="P691" s="27"/>
    </row>
    <row r="692">
      <c r="F692" s="27"/>
      <c r="G692" s="27"/>
      <c r="H692" s="27"/>
      <c r="J692" s="27"/>
      <c r="L692" s="27"/>
      <c r="M692" s="27"/>
      <c r="N692" s="27"/>
      <c r="O692" s="27"/>
      <c r="P692" s="27"/>
    </row>
    <row r="693">
      <c r="F693" s="27"/>
      <c r="G693" s="27"/>
      <c r="H693" s="27"/>
      <c r="J693" s="27"/>
      <c r="L693" s="27"/>
      <c r="M693" s="27"/>
      <c r="N693" s="27"/>
      <c r="O693" s="27"/>
      <c r="P693" s="27"/>
    </row>
    <row r="694">
      <c r="F694" s="27"/>
      <c r="G694" s="27"/>
      <c r="H694" s="27"/>
      <c r="J694" s="27"/>
      <c r="L694" s="27"/>
      <c r="M694" s="27"/>
      <c r="N694" s="27"/>
      <c r="O694" s="27"/>
      <c r="P694" s="27"/>
    </row>
    <row r="695">
      <c r="F695" s="27"/>
      <c r="G695" s="27"/>
      <c r="H695" s="27"/>
      <c r="J695" s="27"/>
      <c r="L695" s="27"/>
      <c r="M695" s="27"/>
      <c r="N695" s="27"/>
      <c r="O695" s="27"/>
      <c r="P695" s="27"/>
    </row>
    <row r="696">
      <c r="F696" s="27"/>
      <c r="G696" s="27"/>
      <c r="H696" s="27"/>
      <c r="J696" s="27"/>
      <c r="L696" s="27"/>
      <c r="M696" s="27"/>
      <c r="N696" s="27"/>
      <c r="O696" s="27"/>
      <c r="P696" s="27"/>
    </row>
    <row r="697">
      <c r="F697" s="27"/>
      <c r="G697" s="27"/>
      <c r="H697" s="27"/>
      <c r="J697" s="27"/>
      <c r="L697" s="27"/>
      <c r="M697" s="27"/>
      <c r="N697" s="27"/>
      <c r="O697" s="27"/>
      <c r="P697" s="27"/>
    </row>
    <row r="698">
      <c r="F698" s="27"/>
      <c r="G698" s="27"/>
      <c r="H698" s="27"/>
      <c r="J698" s="27"/>
      <c r="L698" s="27"/>
      <c r="M698" s="27"/>
      <c r="N698" s="27"/>
      <c r="O698" s="27"/>
      <c r="P698" s="27"/>
    </row>
    <row r="699">
      <c r="F699" s="27"/>
      <c r="G699" s="27"/>
      <c r="H699" s="27"/>
      <c r="J699" s="27"/>
      <c r="L699" s="27"/>
      <c r="M699" s="27"/>
      <c r="N699" s="27"/>
      <c r="O699" s="27"/>
      <c r="P699" s="27"/>
    </row>
    <row r="700">
      <c r="F700" s="27"/>
      <c r="G700" s="27"/>
      <c r="H700" s="27"/>
      <c r="J700" s="27"/>
      <c r="L700" s="27"/>
      <c r="M700" s="27"/>
      <c r="N700" s="27"/>
      <c r="O700" s="27"/>
      <c r="P700" s="27"/>
    </row>
    <row r="701">
      <c r="F701" s="27"/>
      <c r="G701" s="27"/>
      <c r="H701" s="27"/>
      <c r="J701" s="27"/>
      <c r="L701" s="27"/>
      <c r="M701" s="27"/>
      <c r="N701" s="27"/>
      <c r="O701" s="27"/>
      <c r="P701" s="27"/>
    </row>
    <row r="702">
      <c r="F702" s="27"/>
      <c r="G702" s="27"/>
      <c r="H702" s="27"/>
      <c r="J702" s="27"/>
      <c r="L702" s="27"/>
      <c r="M702" s="27"/>
      <c r="N702" s="27"/>
      <c r="O702" s="27"/>
      <c r="P702" s="27"/>
    </row>
    <row r="703">
      <c r="F703" s="27"/>
      <c r="G703" s="27"/>
      <c r="H703" s="27"/>
      <c r="J703" s="27"/>
      <c r="L703" s="27"/>
      <c r="M703" s="27"/>
      <c r="N703" s="27"/>
      <c r="O703" s="27"/>
      <c r="P703" s="27"/>
    </row>
    <row r="704">
      <c r="F704" s="27"/>
      <c r="G704" s="27"/>
      <c r="H704" s="27"/>
      <c r="J704" s="27"/>
      <c r="L704" s="27"/>
      <c r="M704" s="27"/>
      <c r="N704" s="27"/>
      <c r="O704" s="27"/>
      <c r="P704" s="27"/>
    </row>
    <row r="705">
      <c r="F705" s="27"/>
      <c r="G705" s="27"/>
      <c r="H705" s="27"/>
      <c r="J705" s="27"/>
      <c r="L705" s="27"/>
      <c r="M705" s="27"/>
      <c r="N705" s="27"/>
      <c r="O705" s="27"/>
      <c r="P705" s="27"/>
    </row>
    <row r="706">
      <c r="F706" s="27"/>
      <c r="G706" s="27"/>
      <c r="H706" s="27"/>
      <c r="J706" s="27"/>
      <c r="L706" s="27"/>
      <c r="M706" s="27"/>
      <c r="N706" s="27"/>
      <c r="O706" s="27"/>
      <c r="P706" s="27"/>
    </row>
    <row r="707">
      <c r="F707" s="27"/>
      <c r="G707" s="27"/>
      <c r="H707" s="27"/>
      <c r="J707" s="27"/>
      <c r="L707" s="27"/>
      <c r="M707" s="27"/>
      <c r="N707" s="27"/>
      <c r="O707" s="27"/>
      <c r="P707" s="27"/>
    </row>
    <row r="708">
      <c r="F708" s="27"/>
      <c r="G708" s="27"/>
      <c r="H708" s="27"/>
      <c r="J708" s="27"/>
      <c r="L708" s="27"/>
      <c r="M708" s="27"/>
      <c r="N708" s="27"/>
      <c r="O708" s="27"/>
      <c r="P708" s="27"/>
    </row>
    <row r="709">
      <c r="F709" s="27"/>
      <c r="G709" s="27"/>
      <c r="H709" s="27"/>
      <c r="J709" s="27"/>
      <c r="L709" s="27"/>
      <c r="M709" s="27"/>
      <c r="N709" s="27"/>
      <c r="O709" s="27"/>
      <c r="P709" s="27"/>
    </row>
    <row r="710">
      <c r="F710" s="27"/>
      <c r="G710" s="27"/>
      <c r="H710" s="27"/>
      <c r="J710" s="27"/>
      <c r="L710" s="27"/>
      <c r="M710" s="27"/>
      <c r="N710" s="27"/>
      <c r="O710" s="27"/>
      <c r="P710" s="27"/>
    </row>
    <row r="711">
      <c r="F711" s="27"/>
      <c r="G711" s="27"/>
      <c r="H711" s="27"/>
      <c r="J711" s="27"/>
      <c r="L711" s="27"/>
      <c r="M711" s="27"/>
      <c r="N711" s="27"/>
      <c r="O711" s="27"/>
      <c r="P711" s="27"/>
    </row>
    <row r="712">
      <c r="F712" s="27"/>
      <c r="G712" s="27"/>
      <c r="H712" s="27"/>
      <c r="J712" s="27"/>
      <c r="L712" s="27"/>
      <c r="M712" s="27"/>
      <c r="N712" s="27"/>
      <c r="O712" s="27"/>
      <c r="P712" s="27"/>
    </row>
    <row r="713">
      <c r="F713" s="27"/>
      <c r="G713" s="27"/>
      <c r="H713" s="27"/>
      <c r="J713" s="27"/>
      <c r="L713" s="27"/>
      <c r="M713" s="27"/>
      <c r="N713" s="27"/>
      <c r="O713" s="27"/>
      <c r="P713" s="27"/>
    </row>
    <row r="714">
      <c r="F714" s="27"/>
      <c r="G714" s="27"/>
      <c r="H714" s="27"/>
      <c r="J714" s="27"/>
      <c r="L714" s="27"/>
      <c r="M714" s="27"/>
      <c r="N714" s="27"/>
      <c r="O714" s="27"/>
      <c r="P714" s="27"/>
    </row>
    <row r="715">
      <c r="F715" s="27"/>
      <c r="G715" s="27"/>
      <c r="H715" s="27"/>
      <c r="J715" s="27"/>
      <c r="L715" s="27"/>
      <c r="M715" s="27"/>
      <c r="N715" s="27"/>
      <c r="O715" s="27"/>
      <c r="P715" s="27"/>
    </row>
    <row r="716">
      <c r="F716" s="27"/>
      <c r="G716" s="27"/>
      <c r="H716" s="27"/>
      <c r="J716" s="27"/>
      <c r="L716" s="27"/>
      <c r="M716" s="27"/>
      <c r="N716" s="27"/>
      <c r="O716" s="27"/>
      <c r="P716" s="27"/>
    </row>
    <row r="717">
      <c r="F717" s="27"/>
      <c r="G717" s="27"/>
      <c r="H717" s="27"/>
      <c r="J717" s="27"/>
      <c r="L717" s="27"/>
      <c r="M717" s="27"/>
      <c r="N717" s="27"/>
      <c r="O717" s="27"/>
      <c r="P717" s="27"/>
    </row>
    <row r="718">
      <c r="F718" s="27"/>
      <c r="G718" s="27"/>
      <c r="H718" s="27"/>
      <c r="J718" s="27"/>
      <c r="L718" s="27"/>
      <c r="M718" s="27"/>
      <c r="N718" s="27"/>
      <c r="O718" s="27"/>
      <c r="P718" s="27"/>
    </row>
    <row r="719">
      <c r="F719" s="27"/>
      <c r="G719" s="27"/>
      <c r="H719" s="27"/>
      <c r="J719" s="27"/>
      <c r="L719" s="27"/>
      <c r="M719" s="27"/>
      <c r="N719" s="27"/>
      <c r="O719" s="27"/>
      <c r="P719" s="27"/>
    </row>
    <row r="720">
      <c r="F720" s="27"/>
      <c r="G720" s="27"/>
      <c r="H720" s="27"/>
      <c r="J720" s="27"/>
      <c r="L720" s="27"/>
      <c r="M720" s="27"/>
      <c r="N720" s="27"/>
      <c r="O720" s="27"/>
      <c r="P720" s="27"/>
    </row>
    <row r="721">
      <c r="F721" s="27"/>
      <c r="G721" s="27"/>
      <c r="H721" s="27"/>
      <c r="J721" s="27"/>
      <c r="L721" s="27"/>
      <c r="M721" s="27"/>
      <c r="N721" s="27"/>
      <c r="O721" s="27"/>
      <c r="P721" s="27"/>
    </row>
    <row r="722">
      <c r="F722" s="27"/>
      <c r="G722" s="27"/>
      <c r="H722" s="27"/>
      <c r="J722" s="27"/>
      <c r="L722" s="27"/>
      <c r="M722" s="27"/>
      <c r="N722" s="27"/>
      <c r="O722" s="27"/>
      <c r="P722" s="27"/>
    </row>
    <row r="723">
      <c r="F723" s="27"/>
      <c r="G723" s="27"/>
      <c r="H723" s="27"/>
      <c r="J723" s="27"/>
      <c r="L723" s="27"/>
      <c r="M723" s="27"/>
      <c r="N723" s="27"/>
      <c r="O723" s="27"/>
      <c r="P723" s="27"/>
    </row>
    <row r="724">
      <c r="F724" s="27"/>
      <c r="G724" s="27"/>
      <c r="H724" s="27"/>
      <c r="J724" s="27"/>
      <c r="L724" s="27"/>
      <c r="M724" s="27"/>
      <c r="N724" s="27"/>
      <c r="O724" s="27"/>
      <c r="P724" s="27"/>
    </row>
    <row r="725">
      <c r="F725" s="27"/>
      <c r="G725" s="27"/>
      <c r="H725" s="27"/>
      <c r="J725" s="27"/>
      <c r="L725" s="27"/>
      <c r="M725" s="27"/>
      <c r="N725" s="27"/>
      <c r="O725" s="27"/>
      <c r="P725" s="27"/>
    </row>
    <row r="726">
      <c r="F726" s="27"/>
      <c r="G726" s="27"/>
      <c r="H726" s="27"/>
      <c r="J726" s="27"/>
      <c r="L726" s="27"/>
      <c r="M726" s="27"/>
      <c r="N726" s="27"/>
      <c r="O726" s="27"/>
      <c r="P726" s="27"/>
    </row>
    <row r="727">
      <c r="F727" s="27"/>
      <c r="G727" s="27"/>
      <c r="H727" s="27"/>
      <c r="J727" s="27"/>
      <c r="L727" s="27"/>
      <c r="M727" s="27"/>
      <c r="N727" s="27"/>
      <c r="O727" s="27"/>
      <c r="P727" s="27"/>
    </row>
    <row r="728">
      <c r="F728" s="27"/>
      <c r="G728" s="27"/>
      <c r="H728" s="27"/>
      <c r="J728" s="27"/>
      <c r="L728" s="27"/>
      <c r="M728" s="27"/>
      <c r="N728" s="27"/>
      <c r="O728" s="27"/>
      <c r="P728" s="27"/>
    </row>
    <row r="729">
      <c r="F729" s="27"/>
      <c r="G729" s="27"/>
      <c r="H729" s="27"/>
      <c r="J729" s="27"/>
      <c r="L729" s="27"/>
      <c r="M729" s="27"/>
      <c r="N729" s="27"/>
      <c r="O729" s="27"/>
      <c r="P729" s="27"/>
    </row>
    <row r="730">
      <c r="F730" s="27"/>
      <c r="G730" s="27"/>
      <c r="H730" s="27"/>
      <c r="J730" s="27"/>
      <c r="L730" s="27"/>
      <c r="M730" s="27"/>
      <c r="N730" s="27"/>
      <c r="O730" s="27"/>
      <c r="P730" s="27"/>
    </row>
    <row r="731">
      <c r="F731" s="27"/>
      <c r="G731" s="27"/>
      <c r="H731" s="27"/>
      <c r="J731" s="27"/>
      <c r="L731" s="27"/>
      <c r="M731" s="27"/>
      <c r="N731" s="27"/>
      <c r="O731" s="27"/>
      <c r="P731" s="27"/>
    </row>
    <row r="732">
      <c r="F732" s="27"/>
      <c r="G732" s="27"/>
      <c r="H732" s="27"/>
      <c r="J732" s="27"/>
      <c r="L732" s="27"/>
      <c r="M732" s="27"/>
      <c r="N732" s="27"/>
      <c r="O732" s="27"/>
      <c r="P732" s="27"/>
    </row>
    <row r="733">
      <c r="F733" s="27"/>
      <c r="G733" s="27"/>
      <c r="H733" s="27"/>
      <c r="J733" s="27"/>
      <c r="L733" s="27"/>
      <c r="M733" s="27"/>
      <c r="N733" s="27"/>
      <c r="O733" s="27"/>
      <c r="P733" s="27"/>
    </row>
    <row r="734">
      <c r="F734" s="27"/>
      <c r="G734" s="27"/>
      <c r="H734" s="27"/>
      <c r="J734" s="27"/>
      <c r="L734" s="27"/>
      <c r="M734" s="27"/>
      <c r="N734" s="27"/>
      <c r="O734" s="27"/>
      <c r="P734" s="27"/>
    </row>
    <row r="735">
      <c r="F735" s="27"/>
      <c r="G735" s="27"/>
      <c r="H735" s="27"/>
      <c r="J735" s="27"/>
      <c r="L735" s="27"/>
      <c r="M735" s="27"/>
      <c r="N735" s="27"/>
      <c r="O735" s="27"/>
      <c r="P735" s="27"/>
    </row>
    <row r="736">
      <c r="F736" s="27"/>
      <c r="G736" s="27"/>
      <c r="H736" s="27"/>
      <c r="J736" s="27"/>
      <c r="L736" s="27"/>
      <c r="M736" s="27"/>
      <c r="N736" s="27"/>
      <c r="O736" s="27"/>
      <c r="P736" s="27"/>
    </row>
    <row r="737">
      <c r="F737" s="27"/>
      <c r="G737" s="27"/>
      <c r="H737" s="27"/>
      <c r="J737" s="27"/>
      <c r="L737" s="27"/>
      <c r="M737" s="27"/>
      <c r="N737" s="27"/>
      <c r="O737" s="27"/>
      <c r="P737" s="27"/>
    </row>
    <row r="738">
      <c r="F738" s="27"/>
      <c r="G738" s="27"/>
      <c r="H738" s="27"/>
      <c r="J738" s="27"/>
      <c r="L738" s="27"/>
      <c r="M738" s="27"/>
      <c r="N738" s="27"/>
      <c r="O738" s="27"/>
      <c r="P738" s="27"/>
    </row>
    <row r="739">
      <c r="F739" s="27"/>
      <c r="G739" s="27"/>
      <c r="H739" s="27"/>
      <c r="J739" s="27"/>
      <c r="L739" s="27"/>
      <c r="M739" s="27"/>
      <c r="N739" s="27"/>
      <c r="O739" s="27"/>
      <c r="P739" s="27"/>
    </row>
    <row r="740">
      <c r="F740" s="27"/>
      <c r="G740" s="27"/>
      <c r="H740" s="27"/>
      <c r="J740" s="27"/>
      <c r="L740" s="27"/>
      <c r="M740" s="27"/>
      <c r="N740" s="27"/>
      <c r="O740" s="27"/>
      <c r="P740" s="27"/>
    </row>
    <row r="741">
      <c r="F741" s="27"/>
      <c r="G741" s="27"/>
      <c r="H741" s="27"/>
      <c r="J741" s="27"/>
      <c r="L741" s="27"/>
      <c r="M741" s="27"/>
      <c r="N741" s="27"/>
      <c r="O741" s="27"/>
      <c r="P741" s="27"/>
    </row>
    <row r="742">
      <c r="F742" s="27"/>
      <c r="G742" s="27"/>
      <c r="H742" s="27"/>
      <c r="J742" s="27"/>
      <c r="L742" s="27"/>
      <c r="M742" s="27"/>
      <c r="N742" s="27"/>
      <c r="O742" s="27"/>
      <c r="P742" s="27"/>
    </row>
    <row r="743">
      <c r="F743" s="27"/>
      <c r="G743" s="27"/>
      <c r="H743" s="27"/>
      <c r="J743" s="27"/>
      <c r="L743" s="27"/>
      <c r="M743" s="27"/>
      <c r="N743" s="27"/>
      <c r="O743" s="27"/>
      <c r="P743" s="27"/>
    </row>
    <row r="744">
      <c r="F744" s="27"/>
      <c r="G744" s="27"/>
      <c r="H744" s="27"/>
      <c r="J744" s="27"/>
      <c r="L744" s="27"/>
      <c r="M744" s="27"/>
      <c r="N744" s="27"/>
      <c r="O744" s="27"/>
      <c r="P744" s="27"/>
    </row>
    <row r="745">
      <c r="F745" s="27"/>
      <c r="G745" s="27"/>
      <c r="H745" s="27"/>
      <c r="J745" s="27"/>
      <c r="L745" s="27"/>
      <c r="M745" s="27"/>
      <c r="N745" s="27"/>
      <c r="O745" s="27"/>
      <c r="P745" s="27"/>
    </row>
    <row r="746">
      <c r="F746" s="27"/>
      <c r="G746" s="27"/>
      <c r="H746" s="27"/>
      <c r="J746" s="27"/>
      <c r="L746" s="27"/>
      <c r="M746" s="27"/>
      <c r="N746" s="27"/>
      <c r="O746" s="27"/>
      <c r="P746" s="27"/>
    </row>
    <row r="747">
      <c r="F747" s="27"/>
      <c r="G747" s="27"/>
      <c r="H747" s="27"/>
      <c r="J747" s="27"/>
      <c r="L747" s="27"/>
      <c r="M747" s="27"/>
      <c r="N747" s="27"/>
      <c r="O747" s="27"/>
      <c r="P747" s="27"/>
    </row>
    <row r="748">
      <c r="F748" s="27"/>
      <c r="G748" s="27"/>
      <c r="H748" s="27"/>
      <c r="J748" s="27"/>
      <c r="L748" s="27"/>
      <c r="M748" s="27"/>
      <c r="N748" s="27"/>
      <c r="O748" s="27"/>
      <c r="P748" s="27"/>
    </row>
    <row r="749">
      <c r="F749" s="27"/>
      <c r="G749" s="27"/>
      <c r="H749" s="27"/>
      <c r="J749" s="27"/>
      <c r="L749" s="27"/>
      <c r="M749" s="27"/>
      <c r="N749" s="27"/>
      <c r="O749" s="27"/>
      <c r="P749" s="27"/>
    </row>
    <row r="750">
      <c r="F750" s="27"/>
      <c r="G750" s="27"/>
      <c r="H750" s="27"/>
      <c r="J750" s="27"/>
      <c r="L750" s="27"/>
      <c r="M750" s="27"/>
      <c r="N750" s="27"/>
      <c r="O750" s="27"/>
      <c r="P750" s="27"/>
    </row>
    <row r="751">
      <c r="F751" s="27"/>
      <c r="G751" s="27"/>
      <c r="H751" s="27"/>
      <c r="J751" s="27"/>
      <c r="L751" s="27"/>
      <c r="M751" s="27"/>
      <c r="N751" s="27"/>
      <c r="O751" s="27"/>
      <c r="P751" s="27"/>
    </row>
    <row r="752">
      <c r="F752" s="27"/>
      <c r="G752" s="27"/>
      <c r="H752" s="27"/>
      <c r="J752" s="27"/>
      <c r="L752" s="27"/>
      <c r="M752" s="27"/>
      <c r="N752" s="27"/>
      <c r="O752" s="27"/>
      <c r="P752" s="27"/>
    </row>
    <row r="753">
      <c r="F753" s="27"/>
      <c r="G753" s="27"/>
      <c r="H753" s="27"/>
      <c r="J753" s="27"/>
      <c r="L753" s="27"/>
      <c r="M753" s="27"/>
      <c r="N753" s="27"/>
      <c r="O753" s="27"/>
      <c r="P753" s="27"/>
    </row>
    <row r="754">
      <c r="F754" s="27"/>
      <c r="G754" s="27"/>
      <c r="H754" s="27"/>
      <c r="J754" s="27"/>
      <c r="L754" s="27"/>
      <c r="M754" s="27"/>
      <c r="N754" s="27"/>
      <c r="O754" s="27"/>
      <c r="P754" s="27"/>
    </row>
    <row r="755">
      <c r="F755" s="27"/>
      <c r="G755" s="27"/>
      <c r="H755" s="27"/>
      <c r="J755" s="27"/>
      <c r="L755" s="27"/>
      <c r="M755" s="27"/>
      <c r="N755" s="27"/>
      <c r="O755" s="27"/>
      <c r="P755" s="27"/>
    </row>
    <row r="756">
      <c r="F756" s="27"/>
      <c r="G756" s="27"/>
      <c r="H756" s="27"/>
      <c r="J756" s="27"/>
      <c r="L756" s="27"/>
      <c r="M756" s="27"/>
      <c r="N756" s="27"/>
      <c r="O756" s="27"/>
      <c r="P756" s="27"/>
    </row>
    <row r="757">
      <c r="F757" s="27"/>
      <c r="G757" s="27"/>
      <c r="H757" s="27"/>
      <c r="J757" s="27"/>
      <c r="L757" s="27"/>
      <c r="M757" s="27"/>
      <c r="N757" s="27"/>
      <c r="O757" s="27"/>
      <c r="P757" s="27"/>
    </row>
    <row r="758">
      <c r="F758" s="27"/>
      <c r="G758" s="27"/>
      <c r="H758" s="27"/>
      <c r="J758" s="27"/>
      <c r="L758" s="27"/>
      <c r="M758" s="27"/>
      <c r="N758" s="27"/>
      <c r="O758" s="27"/>
      <c r="P758" s="27"/>
    </row>
    <row r="759">
      <c r="F759" s="27"/>
      <c r="G759" s="27"/>
      <c r="H759" s="27"/>
      <c r="J759" s="27"/>
      <c r="L759" s="27"/>
      <c r="M759" s="27"/>
      <c r="N759" s="27"/>
      <c r="O759" s="27"/>
      <c r="P759" s="27"/>
    </row>
    <row r="760">
      <c r="F760" s="27"/>
      <c r="G760" s="27"/>
      <c r="H760" s="27"/>
      <c r="J760" s="27"/>
      <c r="L760" s="27"/>
      <c r="M760" s="27"/>
      <c r="N760" s="27"/>
      <c r="O760" s="27"/>
      <c r="P760" s="27"/>
    </row>
    <row r="761">
      <c r="F761" s="27"/>
      <c r="G761" s="27"/>
      <c r="H761" s="27"/>
      <c r="J761" s="27"/>
      <c r="L761" s="27"/>
      <c r="M761" s="27"/>
      <c r="N761" s="27"/>
      <c r="O761" s="27"/>
      <c r="P761" s="27"/>
    </row>
    <row r="762">
      <c r="F762" s="27"/>
      <c r="G762" s="27"/>
      <c r="H762" s="27"/>
      <c r="J762" s="27"/>
      <c r="L762" s="27"/>
      <c r="M762" s="27"/>
      <c r="N762" s="27"/>
      <c r="O762" s="27"/>
      <c r="P762" s="27"/>
    </row>
    <row r="763">
      <c r="F763" s="27"/>
      <c r="G763" s="27"/>
      <c r="H763" s="27"/>
      <c r="J763" s="27"/>
      <c r="L763" s="27"/>
      <c r="M763" s="27"/>
      <c r="N763" s="27"/>
      <c r="O763" s="27"/>
      <c r="P763" s="27"/>
    </row>
    <row r="764">
      <c r="F764" s="27"/>
      <c r="G764" s="27"/>
      <c r="H764" s="27"/>
      <c r="J764" s="27"/>
      <c r="L764" s="27"/>
      <c r="M764" s="27"/>
      <c r="N764" s="27"/>
      <c r="O764" s="27"/>
      <c r="P764" s="27"/>
    </row>
    <row r="765">
      <c r="F765" s="27"/>
      <c r="G765" s="27"/>
      <c r="H765" s="27"/>
      <c r="J765" s="27"/>
      <c r="L765" s="27"/>
      <c r="M765" s="27"/>
      <c r="N765" s="27"/>
      <c r="O765" s="27"/>
      <c r="P765" s="27"/>
    </row>
    <row r="766">
      <c r="F766" s="27"/>
      <c r="G766" s="27"/>
      <c r="H766" s="27"/>
      <c r="J766" s="27"/>
      <c r="L766" s="27"/>
      <c r="M766" s="27"/>
      <c r="N766" s="27"/>
      <c r="O766" s="27"/>
      <c r="P766" s="27"/>
    </row>
    <row r="767">
      <c r="F767" s="27"/>
      <c r="G767" s="27"/>
      <c r="H767" s="27"/>
      <c r="J767" s="27"/>
      <c r="L767" s="27"/>
      <c r="M767" s="27"/>
      <c r="N767" s="27"/>
      <c r="O767" s="27"/>
      <c r="P767" s="27"/>
    </row>
    <row r="768">
      <c r="F768" s="27"/>
      <c r="G768" s="27"/>
      <c r="H768" s="27"/>
      <c r="J768" s="27"/>
      <c r="L768" s="27"/>
      <c r="M768" s="27"/>
      <c r="N768" s="27"/>
      <c r="O768" s="27"/>
      <c r="P768" s="27"/>
    </row>
    <row r="769">
      <c r="F769" s="27"/>
      <c r="G769" s="27"/>
      <c r="H769" s="27"/>
      <c r="J769" s="27"/>
      <c r="L769" s="27"/>
      <c r="M769" s="27"/>
      <c r="N769" s="27"/>
      <c r="O769" s="27"/>
      <c r="P769" s="27"/>
    </row>
    <row r="770">
      <c r="F770" s="27"/>
      <c r="G770" s="27"/>
      <c r="H770" s="27"/>
      <c r="J770" s="27"/>
      <c r="L770" s="27"/>
      <c r="M770" s="27"/>
      <c r="N770" s="27"/>
      <c r="O770" s="27"/>
      <c r="P770" s="27"/>
    </row>
    <row r="771">
      <c r="F771" s="27"/>
      <c r="G771" s="27"/>
      <c r="H771" s="27"/>
      <c r="J771" s="27"/>
      <c r="L771" s="27"/>
      <c r="M771" s="27"/>
      <c r="N771" s="27"/>
      <c r="O771" s="27"/>
      <c r="P771" s="27"/>
    </row>
    <row r="772">
      <c r="F772" s="27"/>
      <c r="G772" s="27"/>
      <c r="H772" s="27"/>
      <c r="J772" s="27"/>
      <c r="L772" s="27"/>
      <c r="M772" s="27"/>
      <c r="N772" s="27"/>
      <c r="O772" s="27"/>
      <c r="P772" s="27"/>
    </row>
    <row r="773">
      <c r="F773" s="27"/>
      <c r="G773" s="27"/>
      <c r="H773" s="27"/>
      <c r="J773" s="27"/>
      <c r="L773" s="27"/>
      <c r="M773" s="27"/>
      <c r="N773" s="27"/>
      <c r="O773" s="27"/>
      <c r="P773" s="27"/>
    </row>
    <row r="774">
      <c r="F774" s="27"/>
      <c r="G774" s="27"/>
      <c r="H774" s="27"/>
      <c r="J774" s="27"/>
      <c r="L774" s="27"/>
      <c r="M774" s="27"/>
      <c r="N774" s="27"/>
      <c r="O774" s="27"/>
      <c r="P774" s="27"/>
    </row>
    <row r="775">
      <c r="F775" s="27"/>
      <c r="G775" s="27"/>
      <c r="H775" s="27"/>
      <c r="J775" s="27"/>
      <c r="L775" s="27"/>
      <c r="M775" s="27"/>
      <c r="N775" s="27"/>
      <c r="O775" s="27"/>
      <c r="P775" s="27"/>
    </row>
    <row r="776">
      <c r="F776" s="27"/>
      <c r="G776" s="27"/>
      <c r="H776" s="27"/>
      <c r="J776" s="27"/>
      <c r="L776" s="27"/>
      <c r="M776" s="27"/>
      <c r="N776" s="27"/>
      <c r="O776" s="27"/>
      <c r="P776" s="27"/>
    </row>
    <row r="777">
      <c r="F777" s="27"/>
      <c r="G777" s="27"/>
      <c r="H777" s="27"/>
      <c r="J777" s="27"/>
      <c r="L777" s="27"/>
      <c r="M777" s="27"/>
      <c r="N777" s="27"/>
      <c r="O777" s="27"/>
      <c r="P777" s="27"/>
    </row>
    <row r="778">
      <c r="F778" s="27"/>
      <c r="G778" s="27"/>
      <c r="H778" s="27"/>
      <c r="J778" s="27"/>
      <c r="L778" s="27"/>
      <c r="M778" s="27"/>
      <c r="N778" s="27"/>
      <c r="O778" s="27"/>
      <c r="P778" s="27"/>
    </row>
    <row r="779">
      <c r="F779" s="27"/>
      <c r="G779" s="27"/>
      <c r="H779" s="27"/>
      <c r="J779" s="27"/>
      <c r="L779" s="27"/>
      <c r="M779" s="27"/>
      <c r="N779" s="27"/>
      <c r="O779" s="27"/>
      <c r="P779" s="27"/>
    </row>
    <row r="780">
      <c r="F780" s="27"/>
      <c r="G780" s="27"/>
      <c r="H780" s="27"/>
      <c r="J780" s="27"/>
      <c r="L780" s="27"/>
      <c r="M780" s="27"/>
      <c r="N780" s="27"/>
      <c r="O780" s="27"/>
      <c r="P780" s="27"/>
    </row>
    <row r="781">
      <c r="F781" s="27"/>
      <c r="G781" s="27"/>
      <c r="H781" s="27"/>
      <c r="J781" s="27"/>
      <c r="L781" s="27"/>
      <c r="M781" s="27"/>
      <c r="N781" s="27"/>
      <c r="O781" s="27"/>
      <c r="P781" s="27"/>
    </row>
    <row r="782">
      <c r="F782" s="27"/>
      <c r="G782" s="27"/>
      <c r="H782" s="27"/>
      <c r="J782" s="27"/>
      <c r="L782" s="27"/>
      <c r="M782" s="27"/>
      <c r="N782" s="27"/>
      <c r="O782" s="27"/>
      <c r="P782" s="27"/>
    </row>
    <row r="783">
      <c r="F783" s="27"/>
      <c r="G783" s="27"/>
      <c r="H783" s="27"/>
      <c r="J783" s="27"/>
      <c r="L783" s="27"/>
      <c r="M783" s="27"/>
      <c r="N783" s="27"/>
      <c r="O783" s="27"/>
      <c r="P783" s="27"/>
    </row>
    <row r="784">
      <c r="F784" s="27"/>
      <c r="G784" s="27"/>
      <c r="H784" s="27"/>
      <c r="J784" s="27"/>
      <c r="L784" s="27"/>
      <c r="M784" s="27"/>
      <c r="N784" s="27"/>
      <c r="O784" s="27"/>
      <c r="P784" s="27"/>
    </row>
    <row r="785">
      <c r="F785" s="27"/>
      <c r="G785" s="27"/>
      <c r="H785" s="27"/>
      <c r="J785" s="27"/>
      <c r="L785" s="27"/>
      <c r="M785" s="27"/>
      <c r="N785" s="27"/>
      <c r="O785" s="27"/>
      <c r="P785" s="27"/>
    </row>
    <row r="786">
      <c r="F786" s="27"/>
      <c r="G786" s="27"/>
      <c r="H786" s="27"/>
      <c r="J786" s="27"/>
      <c r="L786" s="27"/>
      <c r="M786" s="27"/>
      <c r="N786" s="27"/>
      <c r="O786" s="27"/>
      <c r="P786" s="27"/>
    </row>
    <row r="787">
      <c r="F787" s="27"/>
      <c r="G787" s="27"/>
      <c r="H787" s="27"/>
      <c r="J787" s="27"/>
      <c r="L787" s="27"/>
      <c r="M787" s="27"/>
      <c r="N787" s="27"/>
      <c r="O787" s="27"/>
      <c r="P787" s="27"/>
    </row>
    <row r="788">
      <c r="F788" s="27"/>
      <c r="G788" s="27"/>
      <c r="H788" s="27"/>
      <c r="J788" s="27"/>
      <c r="L788" s="27"/>
      <c r="M788" s="27"/>
      <c r="N788" s="27"/>
      <c r="O788" s="27"/>
      <c r="P788" s="27"/>
    </row>
    <row r="789">
      <c r="F789" s="27"/>
      <c r="G789" s="27"/>
      <c r="H789" s="27"/>
      <c r="J789" s="27"/>
      <c r="L789" s="27"/>
      <c r="M789" s="27"/>
      <c r="N789" s="27"/>
      <c r="O789" s="27"/>
      <c r="P789" s="27"/>
    </row>
    <row r="790">
      <c r="F790" s="27"/>
      <c r="G790" s="27"/>
      <c r="H790" s="27"/>
      <c r="J790" s="27"/>
      <c r="L790" s="27"/>
      <c r="M790" s="27"/>
      <c r="N790" s="27"/>
      <c r="O790" s="27"/>
      <c r="P790" s="27"/>
    </row>
    <row r="791">
      <c r="F791" s="27"/>
      <c r="G791" s="27"/>
      <c r="H791" s="27"/>
      <c r="J791" s="27"/>
      <c r="L791" s="27"/>
      <c r="M791" s="27"/>
      <c r="N791" s="27"/>
      <c r="O791" s="27"/>
      <c r="P791" s="27"/>
    </row>
    <row r="792">
      <c r="F792" s="27"/>
      <c r="G792" s="27"/>
      <c r="H792" s="27"/>
      <c r="J792" s="27"/>
      <c r="L792" s="27"/>
      <c r="M792" s="27"/>
      <c r="N792" s="27"/>
      <c r="O792" s="27"/>
      <c r="P792" s="27"/>
    </row>
    <row r="793">
      <c r="F793" s="27"/>
      <c r="G793" s="27"/>
      <c r="H793" s="27"/>
      <c r="J793" s="27"/>
      <c r="L793" s="27"/>
      <c r="M793" s="27"/>
      <c r="N793" s="27"/>
      <c r="O793" s="27"/>
      <c r="P793" s="27"/>
    </row>
    <row r="794">
      <c r="F794" s="27"/>
      <c r="G794" s="27"/>
      <c r="H794" s="27"/>
      <c r="J794" s="27"/>
      <c r="L794" s="27"/>
      <c r="M794" s="27"/>
      <c r="N794" s="27"/>
      <c r="O794" s="27"/>
      <c r="P794" s="27"/>
    </row>
    <row r="795">
      <c r="F795" s="27"/>
      <c r="G795" s="27"/>
      <c r="H795" s="27"/>
      <c r="J795" s="27"/>
      <c r="L795" s="27"/>
      <c r="M795" s="27"/>
      <c r="N795" s="27"/>
      <c r="O795" s="27"/>
      <c r="P795" s="27"/>
    </row>
    <row r="796">
      <c r="F796" s="27"/>
      <c r="G796" s="27"/>
      <c r="H796" s="27"/>
      <c r="J796" s="27"/>
      <c r="L796" s="27"/>
      <c r="M796" s="27"/>
      <c r="N796" s="27"/>
      <c r="O796" s="27"/>
      <c r="P796" s="27"/>
    </row>
    <row r="797">
      <c r="F797" s="27"/>
      <c r="G797" s="27"/>
      <c r="H797" s="27"/>
      <c r="J797" s="27"/>
      <c r="L797" s="27"/>
      <c r="M797" s="27"/>
      <c r="N797" s="27"/>
      <c r="O797" s="27"/>
      <c r="P797" s="27"/>
    </row>
    <row r="798">
      <c r="F798" s="27"/>
      <c r="G798" s="27"/>
      <c r="H798" s="27"/>
      <c r="J798" s="27"/>
      <c r="L798" s="27"/>
      <c r="M798" s="27"/>
      <c r="N798" s="27"/>
      <c r="O798" s="27"/>
      <c r="P798" s="27"/>
    </row>
    <row r="799">
      <c r="F799" s="27"/>
      <c r="G799" s="27"/>
      <c r="H799" s="27"/>
      <c r="J799" s="27"/>
      <c r="L799" s="27"/>
      <c r="M799" s="27"/>
      <c r="N799" s="27"/>
      <c r="O799" s="27"/>
      <c r="P799" s="27"/>
    </row>
    <row r="800">
      <c r="F800" s="27"/>
      <c r="G800" s="27"/>
      <c r="H800" s="27"/>
      <c r="J800" s="27"/>
      <c r="L800" s="27"/>
      <c r="M800" s="27"/>
      <c r="N800" s="27"/>
      <c r="O800" s="27"/>
      <c r="P800" s="27"/>
    </row>
    <row r="801">
      <c r="F801" s="27"/>
      <c r="G801" s="27"/>
      <c r="H801" s="27"/>
      <c r="J801" s="27"/>
      <c r="L801" s="27"/>
      <c r="M801" s="27"/>
      <c r="N801" s="27"/>
      <c r="O801" s="27"/>
      <c r="P801" s="27"/>
    </row>
    <row r="802">
      <c r="F802" s="27"/>
      <c r="G802" s="27"/>
      <c r="H802" s="27"/>
      <c r="J802" s="27"/>
      <c r="L802" s="27"/>
      <c r="M802" s="27"/>
      <c r="N802" s="27"/>
      <c r="O802" s="27"/>
      <c r="P802" s="27"/>
    </row>
    <row r="803">
      <c r="F803" s="27"/>
      <c r="G803" s="27"/>
      <c r="H803" s="27"/>
      <c r="J803" s="27"/>
      <c r="L803" s="27"/>
      <c r="M803" s="27"/>
      <c r="N803" s="27"/>
      <c r="O803" s="27"/>
      <c r="P803" s="27"/>
    </row>
    <row r="804">
      <c r="F804" s="27"/>
      <c r="G804" s="27"/>
      <c r="H804" s="27"/>
      <c r="J804" s="27"/>
      <c r="L804" s="27"/>
      <c r="M804" s="27"/>
      <c r="N804" s="27"/>
      <c r="O804" s="27"/>
      <c r="P804" s="27"/>
    </row>
    <row r="805">
      <c r="F805" s="27"/>
      <c r="G805" s="27"/>
      <c r="H805" s="27"/>
      <c r="J805" s="27"/>
      <c r="L805" s="27"/>
      <c r="M805" s="27"/>
      <c r="N805" s="27"/>
      <c r="O805" s="27"/>
      <c r="P805" s="27"/>
    </row>
    <row r="806">
      <c r="F806" s="27"/>
      <c r="G806" s="27"/>
      <c r="H806" s="27"/>
      <c r="J806" s="27"/>
      <c r="L806" s="27"/>
      <c r="M806" s="27"/>
      <c r="N806" s="27"/>
      <c r="O806" s="27"/>
      <c r="P806" s="27"/>
    </row>
    <row r="807">
      <c r="F807" s="27"/>
      <c r="G807" s="27"/>
      <c r="H807" s="27"/>
      <c r="J807" s="27"/>
      <c r="L807" s="27"/>
      <c r="M807" s="27"/>
      <c r="N807" s="27"/>
      <c r="O807" s="27"/>
      <c r="P807" s="27"/>
    </row>
    <row r="808">
      <c r="F808" s="27"/>
      <c r="G808" s="27"/>
      <c r="H808" s="27"/>
      <c r="J808" s="27"/>
      <c r="L808" s="27"/>
      <c r="M808" s="27"/>
      <c r="N808" s="27"/>
      <c r="O808" s="27"/>
      <c r="P808" s="27"/>
    </row>
    <row r="809">
      <c r="F809" s="27"/>
      <c r="G809" s="27"/>
      <c r="H809" s="27"/>
      <c r="J809" s="27"/>
      <c r="L809" s="27"/>
      <c r="M809" s="27"/>
      <c r="N809" s="27"/>
      <c r="O809" s="27"/>
      <c r="P809" s="27"/>
    </row>
    <row r="810">
      <c r="F810" s="27"/>
      <c r="G810" s="27"/>
      <c r="H810" s="27"/>
      <c r="J810" s="27"/>
      <c r="L810" s="27"/>
      <c r="M810" s="27"/>
      <c r="N810" s="27"/>
      <c r="O810" s="27"/>
      <c r="P810" s="27"/>
    </row>
    <row r="811">
      <c r="F811" s="27"/>
      <c r="G811" s="27"/>
      <c r="H811" s="27"/>
      <c r="J811" s="27"/>
      <c r="L811" s="27"/>
      <c r="M811" s="27"/>
      <c r="N811" s="27"/>
      <c r="O811" s="27"/>
      <c r="P811" s="27"/>
    </row>
    <row r="812">
      <c r="F812" s="27"/>
      <c r="G812" s="27"/>
      <c r="H812" s="27"/>
      <c r="J812" s="27"/>
      <c r="L812" s="27"/>
      <c r="M812" s="27"/>
      <c r="N812" s="27"/>
      <c r="O812" s="27"/>
      <c r="P812" s="27"/>
    </row>
    <row r="813">
      <c r="F813" s="27"/>
      <c r="G813" s="27"/>
      <c r="H813" s="27"/>
      <c r="J813" s="27"/>
      <c r="L813" s="27"/>
      <c r="M813" s="27"/>
      <c r="N813" s="27"/>
      <c r="O813" s="27"/>
      <c r="P813" s="27"/>
    </row>
    <row r="814">
      <c r="F814" s="27"/>
      <c r="G814" s="27"/>
      <c r="H814" s="27"/>
      <c r="J814" s="27"/>
      <c r="L814" s="27"/>
      <c r="M814" s="27"/>
      <c r="N814" s="27"/>
      <c r="O814" s="27"/>
      <c r="P814" s="27"/>
    </row>
    <row r="815">
      <c r="F815" s="27"/>
      <c r="G815" s="27"/>
      <c r="H815" s="27"/>
      <c r="J815" s="27"/>
      <c r="L815" s="27"/>
      <c r="M815" s="27"/>
      <c r="N815" s="27"/>
      <c r="O815" s="27"/>
      <c r="P815" s="27"/>
    </row>
    <row r="816">
      <c r="F816" s="27"/>
      <c r="G816" s="27"/>
      <c r="H816" s="27"/>
      <c r="J816" s="27"/>
      <c r="L816" s="27"/>
      <c r="M816" s="27"/>
      <c r="N816" s="27"/>
      <c r="O816" s="27"/>
      <c r="P816" s="27"/>
    </row>
    <row r="817">
      <c r="F817" s="27"/>
      <c r="G817" s="27"/>
      <c r="H817" s="27"/>
      <c r="J817" s="27"/>
      <c r="L817" s="27"/>
      <c r="M817" s="27"/>
      <c r="N817" s="27"/>
      <c r="O817" s="27"/>
      <c r="P817" s="27"/>
    </row>
    <row r="818">
      <c r="F818" s="27"/>
      <c r="G818" s="27"/>
      <c r="H818" s="27"/>
      <c r="J818" s="27"/>
      <c r="L818" s="27"/>
      <c r="M818" s="27"/>
      <c r="N818" s="27"/>
      <c r="O818" s="27"/>
      <c r="P818" s="27"/>
    </row>
    <row r="819">
      <c r="F819" s="27"/>
      <c r="G819" s="27"/>
      <c r="H819" s="27"/>
      <c r="J819" s="27"/>
      <c r="L819" s="27"/>
      <c r="M819" s="27"/>
      <c r="N819" s="27"/>
      <c r="O819" s="27"/>
      <c r="P819" s="27"/>
    </row>
    <row r="820">
      <c r="F820" s="27"/>
      <c r="G820" s="27"/>
      <c r="H820" s="27"/>
      <c r="J820" s="27"/>
      <c r="L820" s="27"/>
      <c r="M820" s="27"/>
      <c r="N820" s="27"/>
      <c r="O820" s="27"/>
      <c r="P820" s="27"/>
    </row>
    <row r="821">
      <c r="F821" s="27"/>
      <c r="G821" s="27"/>
      <c r="H821" s="27"/>
      <c r="J821" s="27"/>
      <c r="L821" s="27"/>
      <c r="M821" s="27"/>
      <c r="N821" s="27"/>
      <c r="O821" s="27"/>
      <c r="P821" s="27"/>
    </row>
    <row r="822">
      <c r="F822" s="27"/>
      <c r="G822" s="27"/>
      <c r="H822" s="27"/>
      <c r="J822" s="27"/>
      <c r="L822" s="27"/>
      <c r="M822" s="27"/>
      <c r="N822" s="27"/>
      <c r="O822" s="27"/>
      <c r="P822" s="27"/>
    </row>
    <row r="823">
      <c r="F823" s="27"/>
      <c r="G823" s="27"/>
      <c r="H823" s="27"/>
      <c r="J823" s="27"/>
      <c r="L823" s="27"/>
      <c r="M823" s="27"/>
      <c r="N823" s="27"/>
      <c r="O823" s="27"/>
      <c r="P823" s="27"/>
    </row>
    <row r="824">
      <c r="F824" s="27"/>
      <c r="G824" s="27"/>
      <c r="H824" s="27"/>
      <c r="J824" s="27"/>
      <c r="L824" s="27"/>
      <c r="M824" s="27"/>
      <c r="N824" s="27"/>
      <c r="O824" s="27"/>
      <c r="P824" s="27"/>
    </row>
    <row r="825">
      <c r="F825" s="27"/>
      <c r="G825" s="27"/>
      <c r="H825" s="27"/>
      <c r="J825" s="27"/>
      <c r="L825" s="27"/>
      <c r="M825" s="27"/>
      <c r="N825" s="27"/>
      <c r="O825" s="27"/>
      <c r="P825" s="27"/>
    </row>
    <row r="826">
      <c r="F826" s="27"/>
      <c r="G826" s="27"/>
      <c r="H826" s="27"/>
      <c r="J826" s="27"/>
      <c r="L826" s="27"/>
      <c r="M826" s="27"/>
      <c r="N826" s="27"/>
      <c r="O826" s="27"/>
      <c r="P826" s="27"/>
    </row>
    <row r="827">
      <c r="F827" s="27"/>
      <c r="G827" s="27"/>
      <c r="H827" s="27"/>
      <c r="J827" s="27"/>
      <c r="L827" s="27"/>
      <c r="M827" s="27"/>
      <c r="N827" s="27"/>
      <c r="O827" s="27"/>
      <c r="P827" s="27"/>
    </row>
    <row r="828">
      <c r="F828" s="27"/>
      <c r="G828" s="27"/>
      <c r="H828" s="27"/>
      <c r="J828" s="27"/>
      <c r="L828" s="27"/>
      <c r="M828" s="27"/>
      <c r="N828" s="27"/>
      <c r="O828" s="27"/>
      <c r="P828" s="27"/>
    </row>
    <row r="829">
      <c r="F829" s="27"/>
      <c r="G829" s="27"/>
      <c r="H829" s="27"/>
      <c r="J829" s="27"/>
      <c r="L829" s="27"/>
      <c r="M829" s="27"/>
      <c r="N829" s="27"/>
      <c r="O829" s="27"/>
      <c r="P829" s="27"/>
    </row>
    <row r="830">
      <c r="F830" s="27"/>
      <c r="G830" s="27"/>
      <c r="H830" s="27"/>
      <c r="J830" s="27"/>
      <c r="L830" s="27"/>
      <c r="M830" s="27"/>
      <c r="N830" s="27"/>
      <c r="O830" s="27"/>
      <c r="P830" s="27"/>
    </row>
    <row r="831">
      <c r="F831" s="27"/>
      <c r="G831" s="27"/>
      <c r="H831" s="27"/>
      <c r="J831" s="27"/>
      <c r="L831" s="27"/>
      <c r="M831" s="27"/>
      <c r="N831" s="27"/>
      <c r="O831" s="27"/>
      <c r="P831" s="27"/>
    </row>
    <row r="832">
      <c r="F832" s="27"/>
      <c r="G832" s="27"/>
      <c r="H832" s="27"/>
      <c r="J832" s="27"/>
      <c r="L832" s="27"/>
      <c r="M832" s="27"/>
      <c r="N832" s="27"/>
      <c r="O832" s="27"/>
      <c r="P832" s="27"/>
    </row>
    <row r="833">
      <c r="F833" s="27"/>
      <c r="G833" s="27"/>
      <c r="H833" s="27"/>
      <c r="J833" s="27"/>
      <c r="L833" s="27"/>
      <c r="M833" s="27"/>
      <c r="N833" s="27"/>
      <c r="O833" s="27"/>
      <c r="P833" s="27"/>
    </row>
    <row r="834">
      <c r="F834" s="27"/>
      <c r="G834" s="27"/>
      <c r="H834" s="27"/>
      <c r="J834" s="27"/>
      <c r="L834" s="27"/>
      <c r="M834" s="27"/>
      <c r="N834" s="27"/>
      <c r="O834" s="27"/>
      <c r="P834" s="27"/>
    </row>
    <row r="835">
      <c r="F835" s="27"/>
      <c r="G835" s="27"/>
      <c r="H835" s="27"/>
      <c r="J835" s="27"/>
      <c r="L835" s="27"/>
      <c r="M835" s="27"/>
      <c r="N835" s="27"/>
      <c r="O835" s="27"/>
      <c r="P835" s="27"/>
    </row>
    <row r="836">
      <c r="F836" s="27"/>
      <c r="G836" s="27"/>
      <c r="H836" s="27"/>
      <c r="J836" s="27"/>
      <c r="L836" s="27"/>
      <c r="M836" s="27"/>
      <c r="N836" s="27"/>
      <c r="O836" s="27"/>
      <c r="P836" s="27"/>
    </row>
    <row r="837">
      <c r="F837" s="27"/>
      <c r="G837" s="27"/>
      <c r="H837" s="27"/>
      <c r="J837" s="27"/>
      <c r="L837" s="27"/>
      <c r="M837" s="27"/>
      <c r="N837" s="27"/>
      <c r="O837" s="27"/>
      <c r="P837" s="27"/>
    </row>
    <row r="838">
      <c r="F838" s="27"/>
      <c r="G838" s="27"/>
      <c r="H838" s="27"/>
      <c r="J838" s="27"/>
      <c r="L838" s="27"/>
      <c r="M838" s="27"/>
      <c r="N838" s="27"/>
      <c r="O838" s="27"/>
      <c r="P838" s="27"/>
    </row>
    <row r="839">
      <c r="F839" s="27"/>
      <c r="G839" s="27"/>
      <c r="H839" s="27"/>
      <c r="J839" s="27"/>
      <c r="L839" s="27"/>
      <c r="M839" s="27"/>
      <c r="N839" s="27"/>
      <c r="O839" s="27"/>
      <c r="P839" s="27"/>
    </row>
    <row r="840">
      <c r="F840" s="27"/>
      <c r="G840" s="27"/>
      <c r="H840" s="27"/>
      <c r="J840" s="27"/>
      <c r="L840" s="27"/>
      <c r="M840" s="27"/>
      <c r="N840" s="27"/>
      <c r="O840" s="27"/>
      <c r="P840" s="27"/>
    </row>
    <row r="841">
      <c r="F841" s="27"/>
      <c r="G841" s="27"/>
      <c r="H841" s="27"/>
      <c r="J841" s="27"/>
      <c r="L841" s="27"/>
      <c r="M841" s="27"/>
      <c r="N841" s="27"/>
      <c r="O841" s="27"/>
      <c r="P841" s="27"/>
    </row>
    <row r="842">
      <c r="F842" s="27"/>
      <c r="G842" s="27"/>
      <c r="H842" s="27"/>
      <c r="J842" s="27"/>
      <c r="L842" s="27"/>
      <c r="M842" s="27"/>
      <c r="N842" s="27"/>
      <c r="O842" s="27"/>
      <c r="P842" s="27"/>
    </row>
    <row r="843">
      <c r="F843" s="27"/>
      <c r="G843" s="27"/>
      <c r="H843" s="27"/>
      <c r="J843" s="27"/>
      <c r="L843" s="27"/>
      <c r="M843" s="27"/>
      <c r="N843" s="27"/>
      <c r="O843" s="27"/>
      <c r="P843" s="27"/>
    </row>
    <row r="844">
      <c r="F844" s="27"/>
      <c r="G844" s="27"/>
      <c r="H844" s="27"/>
      <c r="J844" s="27"/>
      <c r="L844" s="27"/>
      <c r="M844" s="27"/>
      <c r="N844" s="27"/>
      <c r="O844" s="27"/>
      <c r="P844" s="27"/>
    </row>
    <row r="845">
      <c r="F845" s="27"/>
      <c r="G845" s="27"/>
      <c r="H845" s="27"/>
      <c r="J845" s="27"/>
      <c r="L845" s="27"/>
      <c r="M845" s="27"/>
      <c r="N845" s="27"/>
      <c r="O845" s="27"/>
      <c r="P845" s="27"/>
    </row>
    <row r="846">
      <c r="F846" s="27"/>
      <c r="G846" s="27"/>
      <c r="H846" s="27"/>
      <c r="J846" s="27"/>
      <c r="L846" s="27"/>
      <c r="M846" s="27"/>
      <c r="N846" s="27"/>
      <c r="O846" s="27"/>
      <c r="P846" s="27"/>
    </row>
    <row r="847">
      <c r="F847" s="27"/>
      <c r="G847" s="27"/>
      <c r="H847" s="27"/>
      <c r="J847" s="27"/>
      <c r="L847" s="27"/>
      <c r="M847" s="27"/>
      <c r="N847" s="27"/>
      <c r="O847" s="27"/>
      <c r="P847" s="27"/>
    </row>
    <row r="848">
      <c r="F848" s="27"/>
      <c r="G848" s="27"/>
      <c r="H848" s="27"/>
      <c r="J848" s="27"/>
      <c r="L848" s="27"/>
      <c r="M848" s="27"/>
      <c r="N848" s="27"/>
      <c r="O848" s="27"/>
      <c r="P848" s="27"/>
    </row>
    <row r="849">
      <c r="F849" s="27"/>
      <c r="G849" s="27"/>
      <c r="H849" s="27"/>
      <c r="J849" s="27"/>
      <c r="L849" s="27"/>
      <c r="M849" s="27"/>
      <c r="N849" s="27"/>
      <c r="O849" s="27"/>
      <c r="P849" s="27"/>
    </row>
    <row r="850">
      <c r="F850" s="27"/>
      <c r="G850" s="27"/>
      <c r="H850" s="27"/>
      <c r="J850" s="27"/>
      <c r="L850" s="27"/>
      <c r="M850" s="27"/>
      <c r="N850" s="27"/>
      <c r="O850" s="27"/>
      <c r="P850" s="27"/>
    </row>
    <row r="851">
      <c r="F851" s="27"/>
      <c r="G851" s="27"/>
      <c r="H851" s="27"/>
      <c r="J851" s="27"/>
      <c r="L851" s="27"/>
      <c r="M851" s="27"/>
      <c r="N851" s="27"/>
      <c r="O851" s="27"/>
      <c r="P851" s="27"/>
    </row>
    <row r="852">
      <c r="F852" s="27"/>
      <c r="G852" s="27"/>
      <c r="H852" s="27"/>
      <c r="J852" s="27"/>
      <c r="L852" s="27"/>
      <c r="M852" s="27"/>
      <c r="N852" s="27"/>
      <c r="O852" s="27"/>
      <c r="P852" s="27"/>
    </row>
    <row r="853">
      <c r="F853" s="27"/>
      <c r="G853" s="27"/>
      <c r="H853" s="27"/>
      <c r="J853" s="27"/>
      <c r="L853" s="27"/>
      <c r="M853" s="27"/>
      <c r="N853" s="27"/>
      <c r="O853" s="27"/>
      <c r="P853" s="27"/>
    </row>
    <row r="854">
      <c r="F854" s="27"/>
      <c r="G854" s="27"/>
      <c r="H854" s="27"/>
      <c r="J854" s="27"/>
      <c r="L854" s="27"/>
      <c r="M854" s="27"/>
      <c r="N854" s="27"/>
      <c r="O854" s="27"/>
      <c r="P854" s="27"/>
    </row>
    <row r="855">
      <c r="F855" s="27"/>
      <c r="G855" s="27"/>
      <c r="H855" s="27"/>
      <c r="J855" s="27"/>
      <c r="L855" s="27"/>
      <c r="M855" s="27"/>
      <c r="N855" s="27"/>
      <c r="O855" s="27"/>
      <c r="P855" s="27"/>
    </row>
    <row r="856">
      <c r="F856" s="27"/>
      <c r="G856" s="27"/>
      <c r="H856" s="27"/>
      <c r="J856" s="27"/>
      <c r="L856" s="27"/>
      <c r="M856" s="27"/>
      <c r="N856" s="27"/>
      <c r="O856" s="27"/>
      <c r="P856" s="27"/>
    </row>
    <row r="857">
      <c r="F857" s="27"/>
      <c r="G857" s="27"/>
      <c r="H857" s="27"/>
      <c r="J857" s="27"/>
      <c r="L857" s="27"/>
      <c r="M857" s="27"/>
      <c r="N857" s="27"/>
      <c r="O857" s="27"/>
      <c r="P857" s="27"/>
    </row>
    <row r="858">
      <c r="F858" s="27"/>
      <c r="G858" s="27"/>
      <c r="H858" s="27"/>
      <c r="J858" s="27"/>
      <c r="L858" s="27"/>
      <c r="M858" s="27"/>
      <c r="N858" s="27"/>
      <c r="O858" s="27"/>
      <c r="P858" s="27"/>
    </row>
    <row r="859">
      <c r="F859" s="27"/>
      <c r="G859" s="27"/>
      <c r="H859" s="27"/>
      <c r="J859" s="27"/>
      <c r="L859" s="27"/>
      <c r="M859" s="27"/>
      <c r="N859" s="27"/>
      <c r="O859" s="27"/>
      <c r="P859" s="27"/>
    </row>
    <row r="860">
      <c r="F860" s="27"/>
      <c r="G860" s="27"/>
      <c r="H860" s="27"/>
      <c r="J860" s="27"/>
      <c r="L860" s="27"/>
      <c r="M860" s="27"/>
      <c r="N860" s="27"/>
      <c r="O860" s="27"/>
      <c r="P860" s="27"/>
    </row>
    <row r="861">
      <c r="F861" s="27"/>
      <c r="G861" s="27"/>
      <c r="H861" s="27"/>
      <c r="J861" s="27"/>
      <c r="L861" s="27"/>
      <c r="M861" s="27"/>
      <c r="N861" s="27"/>
      <c r="O861" s="27"/>
      <c r="P861" s="27"/>
    </row>
    <row r="862">
      <c r="F862" s="27"/>
      <c r="G862" s="27"/>
      <c r="H862" s="27"/>
      <c r="J862" s="27"/>
      <c r="L862" s="27"/>
      <c r="M862" s="27"/>
      <c r="N862" s="27"/>
      <c r="O862" s="27"/>
      <c r="P862" s="27"/>
    </row>
    <row r="863">
      <c r="F863" s="27"/>
      <c r="G863" s="27"/>
      <c r="H863" s="27"/>
      <c r="J863" s="27"/>
      <c r="L863" s="27"/>
      <c r="M863" s="27"/>
      <c r="N863" s="27"/>
      <c r="O863" s="27"/>
      <c r="P863" s="27"/>
    </row>
    <row r="864">
      <c r="F864" s="27"/>
      <c r="G864" s="27"/>
      <c r="H864" s="27"/>
      <c r="J864" s="27"/>
      <c r="L864" s="27"/>
      <c r="M864" s="27"/>
      <c r="N864" s="27"/>
      <c r="O864" s="27"/>
      <c r="P864" s="27"/>
    </row>
    <row r="865">
      <c r="F865" s="27"/>
      <c r="G865" s="27"/>
      <c r="H865" s="27"/>
      <c r="J865" s="27"/>
      <c r="L865" s="27"/>
      <c r="M865" s="27"/>
      <c r="N865" s="27"/>
      <c r="O865" s="27"/>
      <c r="P865" s="27"/>
    </row>
    <row r="866">
      <c r="F866" s="27"/>
      <c r="G866" s="27"/>
      <c r="H866" s="27"/>
      <c r="J866" s="27"/>
      <c r="L866" s="27"/>
      <c r="M866" s="27"/>
      <c r="N866" s="27"/>
      <c r="O866" s="27"/>
      <c r="P866" s="27"/>
    </row>
    <row r="867">
      <c r="F867" s="27"/>
      <c r="G867" s="27"/>
      <c r="H867" s="27"/>
      <c r="J867" s="27"/>
      <c r="L867" s="27"/>
      <c r="M867" s="27"/>
      <c r="N867" s="27"/>
      <c r="O867" s="27"/>
      <c r="P867" s="27"/>
    </row>
    <row r="868">
      <c r="F868" s="27"/>
      <c r="G868" s="27"/>
      <c r="H868" s="27"/>
      <c r="J868" s="27"/>
      <c r="L868" s="27"/>
      <c r="M868" s="27"/>
      <c r="N868" s="27"/>
      <c r="O868" s="27"/>
      <c r="P868" s="27"/>
    </row>
    <row r="869">
      <c r="F869" s="27"/>
      <c r="G869" s="27"/>
      <c r="H869" s="27"/>
      <c r="J869" s="27"/>
      <c r="L869" s="27"/>
      <c r="M869" s="27"/>
      <c r="N869" s="27"/>
      <c r="O869" s="27"/>
      <c r="P869" s="27"/>
    </row>
    <row r="870">
      <c r="F870" s="27"/>
      <c r="G870" s="27"/>
      <c r="H870" s="27"/>
      <c r="J870" s="27"/>
      <c r="L870" s="27"/>
      <c r="M870" s="27"/>
      <c r="N870" s="27"/>
      <c r="O870" s="27"/>
      <c r="P870" s="27"/>
    </row>
    <row r="871">
      <c r="F871" s="27"/>
      <c r="G871" s="27"/>
      <c r="H871" s="27"/>
      <c r="J871" s="27"/>
      <c r="L871" s="27"/>
      <c r="M871" s="27"/>
      <c r="N871" s="27"/>
      <c r="O871" s="27"/>
      <c r="P871" s="27"/>
    </row>
    <row r="872">
      <c r="F872" s="27"/>
      <c r="G872" s="27"/>
      <c r="H872" s="27"/>
      <c r="J872" s="27"/>
      <c r="L872" s="27"/>
      <c r="M872" s="27"/>
      <c r="N872" s="27"/>
      <c r="O872" s="27"/>
      <c r="P872" s="27"/>
    </row>
    <row r="873">
      <c r="F873" s="27"/>
      <c r="G873" s="27"/>
      <c r="H873" s="27"/>
      <c r="J873" s="27"/>
      <c r="L873" s="27"/>
      <c r="M873" s="27"/>
      <c r="N873" s="27"/>
      <c r="O873" s="27"/>
      <c r="P873" s="27"/>
    </row>
    <row r="874">
      <c r="F874" s="27"/>
      <c r="G874" s="27"/>
      <c r="H874" s="27"/>
      <c r="J874" s="27"/>
      <c r="L874" s="27"/>
      <c r="M874" s="27"/>
      <c r="N874" s="27"/>
      <c r="O874" s="27"/>
      <c r="P874" s="27"/>
    </row>
    <row r="875">
      <c r="F875" s="27"/>
      <c r="G875" s="27"/>
      <c r="H875" s="27"/>
      <c r="J875" s="27"/>
      <c r="L875" s="27"/>
      <c r="M875" s="27"/>
      <c r="N875" s="27"/>
      <c r="O875" s="27"/>
      <c r="P875" s="27"/>
    </row>
    <row r="876">
      <c r="F876" s="27"/>
      <c r="G876" s="27"/>
      <c r="H876" s="27"/>
      <c r="J876" s="27"/>
      <c r="L876" s="27"/>
      <c r="M876" s="27"/>
      <c r="N876" s="27"/>
      <c r="O876" s="27"/>
      <c r="P876" s="27"/>
    </row>
    <row r="877">
      <c r="F877" s="27"/>
      <c r="G877" s="27"/>
      <c r="H877" s="27"/>
      <c r="J877" s="27"/>
      <c r="L877" s="27"/>
      <c r="M877" s="27"/>
      <c r="N877" s="27"/>
      <c r="O877" s="27"/>
      <c r="P877" s="27"/>
    </row>
    <row r="878">
      <c r="F878" s="27"/>
      <c r="G878" s="27"/>
      <c r="H878" s="27"/>
      <c r="J878" s="27"/>
      <c r="L878" s="27"/>
      <c r="M878" s="27"/>
      <c r="N878" s="27"/>
      <c r="O878" s="27"/>
      <c r="P878" s="27"/>
    </row>
    <row r="879">
      <c r="F879" s="27"/>
      <c r="G879" s="27"/>
      <c r="H879" s="27"/>
      <c r="J879" s="27"/>
      <c r="L879" s="27"/>
      <c r="M879" s="27"/>
      <c r="N879" s="27"/>
      <c r="O879" s="27"/>
      <c r="P879" s="27"/>
    </row>
    <row r="880">
      <c r="F880" s="27"/>
      <c r="G880" s="27"/>
      <c r="H880" s="27"/>
      <c r="J880" s="27"/>
      <c r="L880" s="27"/>
      <c r="M880" s="27"/>
      <c r="N880" s="27"/>
      <c r="O880" s="27"/>
      <c r="P880" s="27"/>
    </row>
    <row r="881">
      <c r="F881" s="27"/>
      <c r="G881" s="27"/>
      <c r="H881" s="27"/>
      <c r="J881" s="27"/>
      <c r="L881" s="27"/>
      <c r="M881" s="27"/>
      <c r="N881" s="27"/>
      <c r="O881" s="27"/>
      <c r="P881" s="27"/>
    </row>
    <row r="882">
      <c r="F882" s="27"/>
      <c r="G882" s="27"/>
      <c r="H882" s="27"/>
      <c r="J882" s="27"/>
      <c r="L882" s="27"/>
      <c r="M882" s="27"/>
      <c r="N882" s="27"/>
      <c r="O882" s="27"/>
      <c r="P882" s="27"/>
    </row>
    <row r="883">
      <c r="F883" s="27"/>
      <c r="G883" s="27"/>
      <c r="H883" s="27"/>
      <c r="J883" s="27"/>
      <c r="L883" s="27"/>
      <c r="M883" s="27"/>
      <c r="N883" s="27"/>
      <c r="O883" s="27"/>
      <c r="P883" s="27"/>
    </row>
    <row r="884">
      <c r="F884" s="27"/>
      <c r="G884" s="27"/>
      <c r="H884" s="27"/>
      <c r="J884" s="27"/>
      <c r="L884" s="27"/>
      <c r="M884" s="27"/>
      <c r="N884" s="27"/>
      <c r="O884" s="27"/>
      <c r="P884" s="27"/>
    </row>
    <row r="885">
      <c r="F885" s="27"/>
      <c r="G885" s="27"/>
      <c r="H885" s="27"/>
      <c r="J885" s="27"/>
      <c r="L885" s="27"/>
      <c r="M885" s="27"/>
      <c r="N885" s="27"/>
      <c r="O885" s="27"/>
      <c r="P885" s="27"/>
    </row>
    <row r="886">
      <c r="F886" s="27"/>
      <c r="G886" s="27"/>
      <c r="H886" s="27"/>
      <c r="J886" s="27"/>
      <c r="L886" s="27"/>
      <c r="M886" s="27"/>
      <c r="N886" s="27"/>
      <c r="O886" s="27"/>
      <c r="P886" s="27"/>
    </row>
    <row r="887">
      <c r="F887" s="27"/>
      <c r="G887" s="27"/>
      <c r="H887" s="27"/>
      <c r="J887" s="27"/>
      <c r="L887" s="27"/>
      <c r="M887" s="27"/>
      <c r="N887" s="27"/>
      <c r="O887" s="27"/>
      <c r="P887" s="27"/>
    </row>
    <row r="888">
      <c r="F888" s="27"/>
      <c r="G888" s="27"/>
      <c r="H888" s="27"/>
      <c r="J888" s="27"/>
      <c r="L888" s="27"/>
      <c r="M888" s="27"/>
      <c r="N888" s="27"/>
      <c r="O888" s="27"/>
      <c r="P888" s="27"/>
    </row>
    <row r="889">
      <c r="F889" s="27"/>
      <c r="G889" s="27"/>
      <c r="H889" s="27"/>
      <c r="J889" s="27"/>
      <c r="L889" s="27"/>
      <c r="M889" s="27"/>
      <c r="N889" s="27"/>
      <c r="O889" s="27"/>
      <c r="P889" s="27"/>
    </row>
    <row r="890">
      <c r="F890" s="27"/>
      <c r="G890" s="27"/>
      <c r="H890" s="27"/>
      <c r="J890" s="27"/>
      <c r="L890" s="27"/>
      <c r="M890" s="27"/>
      <c r="N890" s="27"/>
      <c r="O890" s="27"/>
      <c r="P890" s="27"/>
    </row>
    <row r="891">
      <c r="F891" s="27"/>
      <c r="G891" s="27"/>
      <c r="H891" s="27"/>
      <c r="J891" s="27"/>
      <c r="L891" s="27"/>
      <c r="M891" s="27"/>
      <c r="N891" s="27"/>
      <c r="O891" s="27"/>
      <c r="P891" s="27"/>
    </row>
    <row r="892">
      <c r="F892" s="27"/>
      <c r="G892" s="27"/>
      <c r="H892" s="27"/>
      <c r="J892" s="27"/>
      <c r="L892" s="27"/>
      <c r="M892" s="27"/>
      <c r="N892" s="27"/>
      <c r="O892" s="27"/>
      <c r="P892" s="27"/>
    </row>
    <row r="893">
      <c r="F893" s="27"/>
      <c r="G893" s="27"/>
      <c r="H893" s="27"/>
      <c r="J893" s="27"/>
      <c r="L893" s="27"/>
      <c r="M893" s="27"/>
      <c r="N893" s="27"/>
      <c r="O893" s="27"/>
      <c r="P893" s="27"/>
    </row>
    <row r="894">
      <c r="F894" s="27"/>
      <c r="G894" s="27"/>
      <c r="H894" s="27"/>
      <c r="J894" s="27"/>
      <c r="L894" s="27"/>
      <c r="M894" s="27"/>
      <c r="N894" s="27"/>
      <c r="O894" s="27"/>
      <c r="P894" s="27"/>
    </row>
    <row r="895">
      <c r="F895" s="27"/>
      <c r="G895" s="27"/>
      <c r="H895" s="27"/>
      <c r="J895" s="27"/>
      <c r="L895" s="27"/>
      <c r="M895" s="27"/>
      <c r="N895" s="27"/>
      <c r="O895" s="27"/>
      <c r="P895" s="27"/>
    </row>
    <row r="896">
      <c r="F896" s="27"/>
      <c r="G896" s="27"/>
      <c r="H896" s="27"/>
      <c r="J896" s="27"/>
      <c r="L896" s="27"/>
      <c r="M896" s="27"/>
      <c r="N896" s="27"/>
      <c r="O896" s="27"/>
      <c r="P896" s="27"/>
    </row>
    <row r="897">
      <c r="F897" s="27"/>
      <c r="G897" s="27"/>
      <c r="H897" s="27"/>
      <c r="J897" s="27"/>
      <c r="L897" s="27"/>
      <c r="M897" s="27"/>
      <c r="N897" s="27"/>
      <c r="O897" s="27"/>
      <c r="P897" s="27"/>
    </row>
    <row r="898">
      <c r="F898" s="27"/>
      <c r="G898" s="27"/>
      <c r="H898" s="27"/>
      <c r="J898" s="27"/>
      <c r="L898" s="27"/>
      <c r="M898" s="27"/>
      <c r="N898" s="27"/>
      <c r="O898" s="27"/>
      <c r="P898" s="27"/>
    </row>
    <row r="899">
      <c r="F899" s="27"/>
      <c r="G899" s="27"/>
      <c r="H899" s="27"/>
      <c r="J899" s="27"/>
      <c r="L899" s="27"/>
      <c r="M899" s="27"/>
      <c r="N899" s="27"/>
      <c r="O899" s="27"/>
      <c r="P899" s="27"/>
    </row>
    <row r="900">
      <c r="F900" s="27"/>
      <c r="G900" s="27"/>
      <c r="H900" s="27"/>
      <c r="J900" s="27"/>
      <c r="L900" s="27"/>
      <c r="M900" s="27"/>
      <c r="N900" s="27"/>
      <c r="O900" s="27"/>
      <c r="P900" s="27"/>
    </row>
    <row r="901">
      <c r="F901" s="27"/>
      <c r="G901" s="27"/>
      <c r="H901" s="27"/>
      <c r="J901" s="27"/>
      <c r="L901" s="27"/>
      <c r="M901" s="27"/>
      <c r="N901" s="27"/>
      <c r="O901" s="27"/>
      <c r="P901" s="27"/>
    </row>
    <row r="902">
      <c r="F902" s="27"/>
      <c r="G902" s="27"/>
      <c r="H902" s="27"/>
      <c r="J902" s="27"/>
      <c r="L902" s="27"/>
      <c r="M902" s="27"/>
      <c r="N902" s="27"/>
      <c r="O902" s="27"/>
      <c r="P902" s="27"/>
    </row>
    <row r="903">
      <c r="F903" s="27"/>
      <c r="G903" s="27"/>
      <c r="H903" s="27"/>
      <c r="J903" s="27"/>
      <c r="L903" s="27"/>
      <c r="M903" s="27"/>
      <c r="N903" s="27"/>
      <c r="O903" s="27"/>
      <c r="P903" s="27"/>
    </row>
    <row r="904">
      <c r="F904" s="27"/>
      <c r="G904" s="27"/>
      <c r="H904" s="27"/>
      <c r="J904" s="27"/>
      <c r="L904" s="27"/>
      <c r="M904" s="27"/>
      <c r="N904" s="27"/>
      <c r="O904" s="27"/>
      <c r="P904" s="27"/>
    </row>
    <row r="905">
      <c r="F905" s="27"/>
      <c r="G905" s="27"/>
      <c r="H905" s="27"/>
      <c r="J905" s="27"/>
      <c r="L905" s="27"/>
      <c r="M905" s="27"/>
      <c r="N905" s="27"/>
      <c r="O905" s="27"/>
      <c r="P905" s="27"/>
    </row>
    <row r="906">
      <c r="F906" s="27"/>
      <c r="G906" s="27"/>
      <c r="H906" s="27"/>
      <c r="J906" s="27"/>
      <c r="L906" s="27"/>
      <c r="M906" s="27"/>
      <c r="N906" s="27"/>
      <c r="O906" s="27"/>
      <c r="P906" s="27"/>
    </row>
    <row r="907">
      <c r="F907" s="27"/>
      <c r="G907" s="27"/>
      <c r="H907" s="27"/>
      <c r="J907" s="27"/>
      <c r="L907" s="27"/>
      <c r="M907" s="27"/>
      <c r="N907" s="27"/>
      <c r="O907" s="27"/>
      <c r="P907" s="27"/>
    </row>
    <row r="908">
      <c r="F908" s="27"/>
      <c r="G908" s="27"/>
      <c r="H908" s="27"/>
      <c r="J908" s="27"/>
      <c r="L908" s="27"/>
      <c r="M908" s="27"/>
      <c r="N908" s="27"/>
      <c r="O908" s="27"/>
      <c r="P908" s="27"/>
    </row>
    <row r="909">
      <c r="F909" s="27"/>
      <c r="G909" s="27"/>
      <c r="H909" s="27"/>
      <c r="J909" s="27"/>
      <c r="L909" s="27"/>
      <c r="M909" s="27"/>
      <c r="N909" s="27"/>
      <c r="O909" s="27"/>
      <c r="P909" s="27"/>
    </row>
    <row r="910">
      <c r="F910" s="27"/>
      <c r="G910" s="27"/>
      <c r="H910" s="27"/>
      <c r="J910" s="27"/>
      <c r="L910" s="27"/>
      <c r="M910" s="27"/>
      <c r="N910" s="27"/>
      <c r="O910" s="27"/>
      <c r="P910" s="27"/>
    </row>
    <row r="911">
      <c r="F911" s="27"/>
      <c r="G911" s="27"/>
      <c r="H911" s="27"/>
      <c r="J911" s="27"/>
      <c r="L911" s="27"/>
      <c r="M911" s="27"/>
      <c r="N911" s="27"/>
      <c r="O911" s="27"/>
      <c r="P911" s="27"/>
    </row>
    <row r="912">
      <c r="F912" s="27"/>
      <c r="G912" s="27"/>
      <c r="H912" s="27"/>
      <c r="J912" s="27"/>
      <c r="L912" s="27"/>
      <c r="M912" s="27"/>
      <c r="N912" s="27"/>
      <c r="O912" s="27"/>
      <c r="P912" s="27"/>
    </row>
    <row r="913">
      <c r="F913" s="27"/>
      <c r="G913" s="27"/>
      <c r="H913" s="27"/>
      <c r="J913" s="27"/>
      <c r="L913" s="27"/>
      <c r="M913" s="27"/>
      <c r="N913" s="27"/>
      <c r="O913" s="27"/>
      <c r="P913" s="27"/>
    </row>
    <row r="914">
      <c r="F914" s="27"/>
      <c r="G914" s="27"/>
      <c r="H914" s="27"/>
      <c r="J914" s="27"/>
      <c r="L914" s="27"/>
      <c r="M914" s="27"/>
      <c r="N914" s="27"/>
      <c r="O914" s="27"/>
      <c r="P914" s="27"/>
    </row>
    <row r="915">
      <c r="F915" s="27"/>
      <c r="G915" s="27"/>
      <c r="H915" s="27"/>
      <c r="J915" s="27"/>
      <c r="L915" s="27"/>
      <c r="M915" s="27"/>
      <c r="N915" s="27"/>
      <c r="O915" s="27"/>
      <c r="P915" s="27"/>
    </row>
    <row r="916">
      <c r="F916" s="27"/>
      <c r="G916" s="27"/>
      <c r="H916" s="27"/>
      <c r="J916" s="27"/>
      <c r="L916" s="27"/>
      <c r="M916" s="27"/>
      <c r="N916" s="27"/>
      <c r="O916" s="27"/>
      <c r="P916" s="27"/>
    </row>
    <row r="917">
      <c r="F917" s="27"/>
      <c r="G917" s="27"/>
      <c r="H917" s="27"/>
      <c r="J917" s="27"/>
      <c r="L917" s="27"/>
      <c r="M917" s="27"/>
      <c r="N917" s="27"/>
      <c r="O917" s="27"/>
      <c r="P917" s="27"/>
    </row>
    <row r="918">
      <c r="F918" s="27"/>
      <c r="G918" s="27"/>
      <c r="H918" s="27"/>
      <c r="J918" s="27"/>
      <c r="L918" s="27"/>
      <c r="M918" s="27"/>
      <c r="N918" s="27"/>
      <c r="O918" s="27"/>
      <c r="P918" s="27"/>
    </row>
    <row r="919">
      <c r="F919" s="27"/>
      <c r="G919" s="27"/>
      <c r="H919" s="27"/>
      <c r="J919" s="27"/>
      <c r="L919" s="27"/>
      <c r="M919" s="27"/>
      <c r="N919" s="27"/>
      <c r="O919" s="27"/>
      <c r="P919" s="27"/>
    </row>
    <row r="920">
      <c r="F920" s="27"/>
      <c r="G920" s="27"/>
      <c r="H920" s="27"/>
      <c r="J920" s="27"/>
      <c r="L920" s="27"/>
      <c r="M920" s="27"/>
      <c r="N920" s="27"/>
      <c r="O920" s="27"/>
      <c r="P920" s="27"/>
    </row>
    <row r="921">
      <c r="F921" s="27"/>
      <c r="G921" s="27"/>
      <c r="H921" s="27"/>
      <c r="J921" s="27"/>
      <c r="L921" s="27"/>
      <c r="M921" s="27"/>
      <c r="N921" s="27"/>
      <c r="O921" s="27"/>
      <c r="P921" s="27"/>
    </row>
    <row r="922">
      <c r="F922" s="27"/>
      <c r="G922" s="27"/>
      <c r="H922" s="27"/>
      <c r="J922" s="27"/>
      <c r="L922" s="27"/>
      <c r="M922" s="27"/>
      <c r="N922" s="27"/>
      <c r="O922" s="27"/>
      <c r="P922" s="27"/>
    </row>
    <row r="923">
      <c r="F923" s="27"/>
      <c r="G923" s="27"/>
      <c r="H923" s="27"/>
      <c r="J923" s="27"/>
      <c r="L923" s="27"/>
      <c r="M923" s="27"/>
      <c r="N923" s="27"/>
      <c r="O923" s="27"/>
      <c r="P923" s="27"/>
    </row>
    <row r="924">
      <c r="F924" s="27"/>
      <c r="G924" s="27"/>
      <c r="H924" s="27"/>
      <c r="J924" s="27"/>
      <c r="L924" s="27"/>
      <c r="M924" s="27"/>
      <c r="N924" s="27"/>
      <c r="O924" s="27"/>
      <c r="P924" s="27"/>
    </row>
    <row r="925">
      <c r="F925" s="27"/>
      <c r="G925" s="27"/>
      <c r="H925" s="27"/>
      <c r="J925" s="27"/>
      <c r="L925" s="27"/>
      <c r="M925" s="27"/>
      <c r="N925" s="27"/>
      <c r="O925" s="27"/>
      <c r="P925" s="27"/>
    </row>
    <row r="926">
      <c r="F926" s="27"/>
      <c r="G926" s="27"/>
      <c r="H926" s="27"/>
      <c r="J926" s="27"/>
      <c r="L926" s="27"/>
      <c r="M926" s="27"/>
      <c r="N926" s="27"/>
      <c r="O926" s="27"/>
      <c r="P926" s="27"/>
    </row>
    <row r="927">
      <c r="F927" s="27"/>
      <c r="G927" s="27"/>
      <c r="H927" s="27"/>
      <c r="J927" s="27"/>
      <c r="L927" s="27"/>
      <c r="M927" s="27"/>
      <c r="N927" s="27"/>
      <c r="O927" s="27"/>
      <c r="P927" s="27"/>
    </row>
    <row r="928">
      <c r="F928" s="27"/>
      <c r="G928" s="27"/>
      <c r="H928" s="27"/>
      <c r="J928" s="27"/>
      <c r="L928" s="27"/>
      <c r="M928" s="27"/>
      <c r="N928" s="27"/>
      <c r="O928" s="27"/>
      <c r="P928" s="27"/>
    </row>
    <row r="929">
      <c r="F929" s="27"/>
      <c r="G929" s="27"/>
      <c r="H929" s="27"/>
      <c r="J929" s="27"/>
      <c r="L929" s="27"/>
      <c r="M929" s="27"/>
      <c r="N929" s="27"/>
      <c r="O929" s="27"/>
      <c r="P929" s="27"/>
    </row>
    <row r="930">
      <c r="F930" s="27"/>
      <c r="G930" s="27"/>
      <c r="H930" s="27"/>
      <c r="J930" s="27"/>
      <c r="L930" s="27"/>
      <c r="M930" s="27"/>
      <c r="N930" s="27"/>
      <c r="O930" s="27"/>
      <c r="P930" s="27"/>
    </row>
    <row r="931">
      <c r="F931" s="27"/>
      <c r="G931" s="27"/>
      <c r="H931" s="27"/>
      <c r="J931" s="27"/>
      <c r="L931" s="27"/>
      <c r="M931" s="27"/>
      <c r="N931" s="27"/>
      <c r="O931" s="27"/>
      <c r="P931" s="27"/>
    </row>
    <row r="932">
      <c r="F932" s="27"/>
      <c r="G932" s="27"/>
      <c r="H932" s="27"/>
      <c r="J932" s="27"/>
      <c r="L932" s="27"/>
      <c r="M932" s="27"/>
      <c r="N932" s="27"/>
      <c r="O932" s="27"/>
      <c r="P932" s="27"/>
    </row>
    <row r="933">
      <c r="F933" s="27"/>
      <c r="G933" s="27"/>
      <c r="H933" s="27"/>
      <c r="J933" s="27"/>
      <c r="L933" s="27"/>
      <c r="M933" s="27"/>
      <c r="N933" s="27"/>
      <c r="O933" s="27"/>
      <c r="P933" s="27"/>
    </row>
    <row r="934">
      <c r="F934" s="27"/>
      <c r="G934" s="27"/>
      <c r="H934" s="27"/>
      <c r="J934" s="27"/>
      <c r="L934" s="27"/>
      <c r="M934" s="27"/>
      <c r="N934" s="27"/>
      <c r="O934" s="27"/>
      <c r="P934" s="27"/>
    </row>
    <row r="935">
      <c r="F935" s="27"/>
      <c r="G935" s="27"/>
      <c r="H935" s="27"/>
      <c r="J935" s="27"/>
      <c r="L935" s="27"/>
      <c r="M935" s="27"/>
      <c r="N935" s="27"/>
      <c r="O935" s="27"/>
      <c r="P935" s="27"/>
    </row>
    <row r="936">
      <c r="F936" s="27"/>
      <c r="G936" s="27"/>
      <c r="H936" s="27"/>
      <c r="J936" s="27"/>
      <c r="L936" s="27"/>
      <c r="M936" s="27"/>
      <c r="N936" s="27"/>
      <c r="O936" s="27"/>
      <c r="P936" s="27"/>
    </row>
    <row r="937">
      <c r="F937" s="27"/>
      <c r="G937" s="27"/>
      <c r="H937" s="27"/>
      <c r="J937" s="27"/>
      <c r="L937" s="27"/>
      <c r="M937" s="27"/>
      <c r="N937" s="27"/>
      <c r="O937" s="27"/>
      <c r="P937" s="27"/>
    </row>
    <row r="938">
      <c r="F938" s="27"/>
      <c r="G938" s="27"/>
      <c r="H938" s="27"/>
      <c r="J938" s="27"/>
      <c r="L938" s="27"/>
      <c r="M938" s="27"/>
      <c r="N938" s="27"/>
      <c r="O938" s="27"/>
      <c r="P938" s="27"/>
    </row>
    <row r="939">
      <c r="F939" s="27"/>
      <c r="G939" s="27"/>
      <c r="H939" s="27"/>
      <c r="J939" s="27"/>
      <c r="L939" s="27"/>
      <c r="M939" s="27"/>
      <c r="N939" s="27"/>
      <c r="O939" s="27"/>
      <c r="P939" s="27"/>
    </row>
    <row r="940">
      <c r="F940" s="27"/>
      <c r="G940" s="27"/>
      <c r="H940" s="27"/>
      <c r="J940" s="27"/>
      <c r="L940" s="27"/>
      <c r="M940" s="27"/>
      <c r="N940" s="27"/>
      <c r="O940" s="27"/>
      <c r="P940" s="27"/>
    </row>
    <row r="941">
      <c r="F941" s="27"/>
      <c r="G941" s="27"/>
      <c r="H941" s="27"/>
      <c r="J941" s="27"/>
      <c r="L941" s="27"/>
      <c r="M941" s="27"/>
      <c r="N941" s="27"/>
      <c r="O941" s="27"/>
      <c r="P941" s="27"/>
    </row>
    <row r="942">
      <c r="F942" s="27"/>
      <c r="G942" s="27"/>
      <c r="H942" s="27"/>
      <c r="J942" s="27"/>
      <c r="L942" s="27"/>
      <c r="M942" s="27"/>
      <c r="N942" s="27"/>
      <c r="O942" s="27"/>
      <c r="P942" s="27"/>
    </row>
    <row r="943">
      <c r="F943" s="27"/>
      <c r="G943" s="27"/>
      <c r="H943" s="27"/>
      <c r="J943" s="27"/>
      <c r="L943" s="27"/>
      <c r="M943" s="27"/>
      <c r="N943" s="27"/>
      <c r="O943" s="27"/>
      <c r="P943" s="27"/>
    </row>
    <row r="944">
      <c r="F944" s="27"/>
      <c r="G944" s="27"/>
      <c r="H944" s="27"/>
      <c r="J944" s="27"/>
      <c r="L944" s="27"/>
      <c r="M944" s="27"/>
      <c r="N944" s="27"/>
      <c r="O944" s="27"/>
      <c r="P944" s="27"/>
    </row>
    <row r="945">
      <c r="F945" s="27"/>
      <c r="G945" s="27"/>
      <c r="H945" s="27"/>
      <c r="J945" s="27"/>
      <c r="L945" s="27"/>
      <c r="M945" s="27"/>
      <c r="N945" s="27"/>
      <c r="O945" s="27"/>
      <c r="P945" s="27"/>
    </row>
    <row r="946">
      <c r="F946" s="27"/>
      <c r="G946" s="27"/>
      <c r="H946" s="27"/>
      <c r="J946" s="27"/>
      <c r="L946" s="27"/>
      <c r="M946" s="27"/>
      <c r="N946" s="27"/>
      <c r="O946" s="27"/>
      <c r="P946" s="27"/>
    </row>
    <row r="947">
      <c r="F947" s="27"/>
      <c r="G947" s="27"/>
      <c r="H947" s="27"/>
      <c r="J947" s="27"/>
      <c r="L947" s="27"/>
      <c r="M947" s="27"/>
      <c r="N947" s="27"/>
      <c r="O947" s="27"/>
      <c r="P947" s="27"/>
    </row>
    <row r="948">
      <c r="F948" s="27"/>
      <c r="G948" s="27"/>
      <c r="H948" s="27"/>
      <c r="J948" s="27"/>
      <c r="L948" s="27"/>
      <c r="M948" s="27"/>
      <c r="N948" s="27"/>
      <c r="O948" s="27"/>
      <c r="P948" s="27"/>
    </row>
    <row r="949">
      <c r="F949" s="27"/>
      <c r="G949" s="27"/>
      <c r="H949" s="27"/>
      <c r="J949" s="27"/>
      <c r="L949" s="27"/>
      <c r="M949" s="27"/>
      <c r="N949" s="27"/>
      <c r="O949" s="27"/>
      <c r="P949" s="27"/>
    </row>
    <row r="950">
      <c r="F950" s="27"/>
      <c r="G950" s="27"/>
      <c r="H950" s="27"/>
      <c r="J950" s="27"/>
      <c r="L950" s="27"/>
      <c r="M950" s="27"/>
      <c r="N950" s="27"/>
      <c r="O950" s="27"/>
      <c r="P950" s="27"/>
    </row>
    <row r="951">
      <c r="F951" s="27"/>
      <c r="G951" s="27"/>
      <c r="H951" s="27"/>
      <c r="J951" s="27"/>
      <c r="L951" s="27"/>
      <c r="M951" s="27"/>
      <c r="N951" s="27"/>
      <c r="O951" s="27"/>
      <c r="P951" s="27"/>
    </row>
    <row r="952">
      <c r="F952" s="27"/>
      <c r="G952" s="27"/>
      <c r="H952" s="27"/>
      <c r="J952" s="27"/>
      <c r="L952" s="27"/>
      <c r="M952" s="27"/>
      <c r="N952" s="27"/>
      <c r="O952" s="27"/>
      <c r="P952" s="27"/>
    </row>
    <row r="953">
      <c r="F953" s="27"/>
      <c r="G953" s="27"/>
      <c r="H953" s="27"/>
      <c r="J953" s="27"/>
      <c r="L953" s="27"/>
      <c r="M953" s="27"/>
      <c r="N953" s="27"/>
      <c r="O953" s="27"/>
      <c r="P953" s="27"/>
    </row>
    <row r="954">
      <c r="F954" s="27"/>
      <c r="G954" s="27"/>
      <c r="H954" s="27"/>
      <c r="J954" s="27"/>
      <c r="L954" s="27"/>
      <c r="M954" s="27"/>
      <c r="N954" s="27"/>
      <c r="O954" s="27"/>
      <c r="P954" s="27"/>
    </row>
    <row r="955">
      <c r="F955" s="27"/>
      <c r="G955" s="27"/>
      <c r="H955" s="27"/>
      <c r="J955" s="27"/>
      <c r="L955" s="27"/>
      <c r="M955" s="27"/>
      <c r="N955" s="27"/>
      <c r="O955" s="27"/>
      <c r="P955" s="27"/>
    </row>
    <row r="956">
      <c r="F956" s="27"/>
      <c r="G956" s="27"/>
      <c r="H956" s="27"/>
      <c r="J956" s="27"/>
      <c r="L956" s="27"/>
      <c r="M956" s="27"/>
      <c r="N956" s="27"/>
      <c r="O956" s="27"/>
      <c r="P956" s="27"/>
    </row>
    <row r="957">
      <c r="F957" s="27"/>
      <c r="G957" s="27"/>
      <c r="H957" s="27"/>
      <c r="J957" s="27"/>
      <c r="L957" s="27"/>
      <c r="M957" s="27"/>
      <c r="N957" s="27"/>
      <c r="O957" s="27"/>
      <c r="P957" s="27"/>
    </row>
    <row r="958">
      <c r="F958" s="27"/>
      <c r="G958" s="27"/>
      <c r="H958" s="27"/>
      <c r="J958" s="27"/>
      <c r="L958" s="27"/>
      <c r="M958" s="27"/>
      <c r="N958" s="27"/>
      <c r="O958" s="27"/>
      <c r="P958" s="27"/>
    </row>
    <row r="959">
      <c r="F959" s="27"/>
      <c r="G959" s="27"/>
      <c r="H959" s="27"/>
      <c r="J959" s="27"/>
      <c r="L959" s="27"/>
      <c r="M959" s="27"/>
      <c r="N959" s="27"/>
      <c r="O959" s="27"/>
      <c r="P959" s="27"/>
    </row>
    <row r="960">
      <c r="F960" s="27"/>
      <c r="G960" s="27"/>
      <c r="H960" s="27"/>
      <c r="J960" s="27"/>
      <c r="L960" s="27"/>
      <c r="M960" s="27"/>
      <c r="N960" s="27"/>
      <c r="O960" s="27"/>
      <c r="P960" s="27"/>
    </row>
    <row r="961">
      <c r="F961" s="27"/>
      <c r="G961" s="27"/>
      <c r="H961" s="27"/>
      <c r="J961" s="27"/>
      <c r="L961" s="27"/>
      <c r="M961" s="27"/>
      <c r="N961" s="27"/>
      <c r="O961" s="27"/>
      <c r="P961" s="27"/>
    </row>
    <row r="962">
      <c r="F962" s="27"/>
      <c r="G962" s="27"/>
      <c r="H962" s="27"/>
      <c r="J962" s="27"/>
      <c r="L962" s="27"/>
      <c r="M962" s="27"/>
      <c r="N962" s="27"/>
      <c r="O962" s="27"/>
      <c r="P962" s="27"/>
    </row>
    <row r="963">
      <c r="F963" s="27"/>
      <c r="G963" s="27"/>
      <c r="H963" s="27"/>
      <c r="J963" s="27"/>
      <c r="L963" s="27"/>
      <c r="M963" s="27"/>
      <c r="N963" s="27"/>
      <c r="O963" s="27"/>
      <c r="P963" s="27"/>
    </row>
    <row r="964">
      <c r="F964" s="27"/>
      <c r="G964" s="27"/>
      <c r="H964" s="27"/>
      <c r="J964" s="27"/>
      <c r="L964" s="27"/>
      <c r="M964" s="27"/>
      <c r="N964" s="27"/>
      <c r="O964" s="27"/>
      <c r="P964" s="27"/>
    </row>
    <row r="965">
      <c r="F965" s="27"/>
      <c r="G965" s="27"/>
      <c r="H965" s="27"/>
      <c r="J965" s="27"/>
      <c r="L965" s="27"/>
      <c r="M965" s="27"/>
      <c r="N965" s="27"/>
      <c r="O965" s="27"/>
      <c r="P965" s="27"/>
    </row>
    <row r="966">
      <c r="F966" s="27"/>
      <c r="G966" s="27"/>
      <c r="H966" s="27"/>
      <c r="J966" s="27"/>
      <c r="L966" s="27"/>
      <c r="M966" s="27"/>
      <c r="N966" s="27"/>
      <c r="O966" s="27"/>
      <c r="P966" s="27"/>
    </row>
    <row r="967">
      <c r="F967" s="27"/>
      <c r="G967" s="27"/>
      <c r="H967" s="27"/>
      <c r="J967" s="27"/>
      <c r="L967" s="27"/>
      <c r="M967" s="27"/>
      <c r="N967" s="27"/>
      <c r="O967" s="27"/>
      <c r="P967" s="27"/>
    </row>
    <row r="968">
      <c r="F968" s="27"/>
      <c r="G968" s="27"/>
      <c r="H968" s="27"/>
      <c r="J968" s="27"/>
      <c r="L968" s="27"/>
      <c r="M968" s="27"/>
      <c r="N968" s="27"/>
      <c r="O968" s="27"/>
      <c r="P968" s="27"/>
    </row>
    <row r="969">
      <c r="F969" s="27"/>
      <c r="G969" s="27"/>
      <c r="H969" s="27"/>
      <c r="J969" s="27"/>
      <c r="L969" s="27"/>
      <c r="M969" s="27"/>
      <c r="N969" s="27"/>
      <c r="O969" s="27"/>
      <c r="P969" s="27"/>
    </row>
    <row r="970">
      <c r="F970" s="27"/>
      <c r="G970" s="27"/>
      <c r="H970" s="27"/>
      <c r="J970" s="27"/>
      <c r="L970" s="27"/>
      <c r="M970" s="27"/>
      <c r="N970" s="27"/>
      <c r="O970" s="27"/>
      <c r="P970" s="27"/>
    </row>
    <row r="971">
      <c r="F971" s="27"/>
      <c r="G971" s="27"/>
      <c r="H971" s="27"/>
      <c r="J971" s="27"/>
      <c r="L971" s="27"/>
      <c r="M971" s="27"/>
      <c r="N971" s="27"/>
      <c r="O971" s="27"/>
      <c r="P971" s="27"/>
    </row>
    <row r="972">
      <c r="F972" s="27"/>
      <c r="G972" s="27"/>
      <c r="H972" s="27"/>
      <c r="J972" s="27"/>
      <c r="L972" s="27"/>
      <c r="M972" s="27"/>
      <c r="N972" s="27"/>
      <c r="O972" s="27"/>
      <c r="P972" s="27"/>
    </row>
    <row r="973">
      <c r="F973" s="27"/>
      <c r="G973" s="27"/>
      <c r="H973" s="27"/>
      <c r="J973" s="27"/>
      <c r="L973" s="27"/>
      <c r="M973" s="27"/>
      <c r="N973" s="27"/>
      <c r="O973" s="27"/>
      <c r="P973" s="27"/>
    </row>
    <row r="974">
      <c r="F974" s="27"/>
      <c r="G974" s="27"/>
      <c r="H974" s="27"/>
      <c r="J974" s="27"/>
      <c r="L974" s="27"/>
      <c r="M974" s="27"/>
      <c r="N974" s="27"/>
      <c r="O974" s="27"/>
      <c r="P974" s="27"/>
    </row>
    <row r="975">
      <c r="F975" s="27"/>
      <c r="G975" s="27"/>
      <c r="H975" s="27"/>
      <c r="J975" s="27"/>
      <c r="L975" s="27"/>
      <c r="M975" s="27"/>
      <c r="N975" s="27"/>
      <c r="O975" s="27"/>
      <c r="P975" s="27"/>
    </row>
    <row r="976">
      <c r="F976" s="27"/>
      <c r="G976" s="27"/>
      <c r="H976" s="27"/>
      <c r="J976" s="27"/>
      <c r="L976" s="27"/>
      <c r="M976" s="27"/>
      <c r="N976" s="27"/>
      <c r="O976" s="27"/>
      <c r="P976" s="27"/>
    </row>
    <row r="977">
      <c r="F977" s="27"/>
      <c r="G977" s="27"/>
      <c r="H977" s="27"/>
      <c r="J977" s="27"/>
      <c r="L977" s="27"/>
      <c r="M977" s="27"/>
      <c r="N977" s="27"/>
      <c r="O977" s="27"/>
      <c r="P977" s="27"/>
    </row>
    <row r="978">
      <c r="F978" s="27"/>
      <c r="G978" s="27"/>
      <c r="H978" s="27"/>
      <c r="J978" s="27"/>
      <c r="L978" s="27"/>
      <c r="M978" s="27"/>
      <c r="N978" s="27"/>
      <c r="O978" s="27"/>
      <c r="P978" s="27"/>
    </row>
    <row r="979">
      <c r="F979" s="27"/>
      <c r="G979" s="27"/>
      <c r="H979" s="27"/>
      <c r="J979" s="27"/>
      <c r="L979" s="27"/>
      <c r="M979" s="27"/>
      <c r="N979" s="27"/>
      <c r="O979" s="27"/>
      <c r="P979" s="27"/>
    </row>
    <row r="980">
      <c r="F980" s="27"/>
      <c r="G980" s="27"/>
      <c r="H980" s="27"/>
      <c r="J980" s="27"/>
      <c r="L980" s="27"/>
      <c r="M980" s="27"/>
      <c r="N980" s="27"/>
      <c r="O980" s="27"/>
      <c r="P980" s="27"/>
    </row>
    <row r="981">
      <c r="F981" s="27"/>
      <c r="G981" s="27"/>
      <c r="H981" s="27"/>
      <c r="J981" s="27"/>
      <c r="L981" s="27"/>
      <c r="M981" s="27"/>
      <c r="N981" s="27"/>
      <c r="O981" s="27"/>
      <c r="P981" s="27"/>
    </row>
    <row r="982">
      <c r="F982" s="27"/>
      <c r="G982" s="27"/>
      <c r="H982" s="27"/>
      <c r="J982" s="27"/>
      <c r="L982" s="27"/>
      <c r="M982" s="27"/>
      <c r="N982" s="27"/>
      <c r="O982" s="27"/>
      <c r="P982" s="27"/>
    </row>
    <row r="983">
      <c r="F983" s="27"/>
      <c r="G983" s="27"/>
      <c r="H983" s="27"/>
      <c r="J983" s="27"/>
      <c r="L983" s="27"/>
      <c r="M983" s="27"/>
      <c r="N983" s="27"/>
      <c r="O983" s="27"/>
      <c r="P983" s="27"/>
    </row>
    <row r="984">
      <c r="F984" s="27"/>
      <c r="G984" s="27"/>
      <c r="H984" s="27"/>
      <c r="J984" s="27"/>
      <c r="L984" s="27"/>
      <c r="M984" s="27"/>
      <c r="N984" s="27"/>
      <c r="O984" s="27"/>
      <c r="P984" s="27"/>
    </row>
    <row r="985">
      <c r="F985" s="27"/>
      <c r="G985" s="27"/>
      <c r="H985" s="27"/>
      <c r="J985" s="27"/>
      <c r="L985" s="27"/>
      <c r="M985" s="27"/>
      <c r="N985" s="27"/>
      <c r="O985" s="27"/>
      <c r="P985" s="27"/>
    </row>
    <row r="986">
      <c r="F986" s="27"/>
      <c r="G986" s="27"/>
      <c r="H986" s="27"/>
      <c r="J986" s="27"/>
      <c r="L986" s="27"/>
      <c r="M986" s="27"/>
      <c r="N986" s="27"/>
      <c r="O986" s="27"/>
      <c r="P986" s="27"/>
    </row>
    <row r="987">
      <c r="F987" s="27"/>
      <c r="G987" s="27"/>
      <c r="H987" s="27"/>
      <c r="J987" s="27"/>
      <c r="L987" s="27"/>
      <c r="M987" s="27"/>
      <c r="N987" s="27"/>
      <c r="O987" s="27"/>
      <c r="P987" s="27"/>
    </row>
    <row r="988">
      <c r="F988" s="27"/>
      <c r="G988" s="27"/>
      <c r="H988" s="27"/>
      <c r="J988" s="27"/>
      <c r="L988" s="27"/>
      <c r="M988" s="27"/>
      <c r="N988" s="27"/>
      <c r="O988" s="27"/>
      <c r="P988" s="27"/>
    </row>
    <row r="989">
      <c r="F989" s="27"/>
      <c r="G989" s="27"/>
      <c r="H989" s="27"/>
      <c r="J989" s="27"/>
      <c r="L989" s="27"/>
      <c r="M989" s="27"/>
      <c r="N989" s="27"/>
      <c r="O989" s="27"/>
      <c r="P989" s="27"/>
    </row>
    <row r="990">
      <c r="F990" s="27"/>
      <c r="G990" s="27"/>
      <c r="H990" s="27"/>
      <c r="J990" s="27"/>
      <c r="L990" s="27"/>
      <c r="M990" s="27"/>
      <c r="N990" s="27"/>
      <c r="O990" s="27"/>
      <c r="P990" s="27"/>
    </row>
    <row r="991">
      <c r="F991" s="27"/>
      <c r="G991" s="27"/>
      <c r="H991" s="27"/>
      <c r="J991" s="27"/>
      <c r="L991" s="27"/>
      <c r="M991" s="27"/>
      <c r="N991" s="27"/>
      <c r="O991" s="27"/>
      <c r="P991" s="27"/>
    </row>
    <row r="992">
      <c r="F992" s="27"/>
      <c r="G992" s="27"/>
      <c r="H992" s="27"/>
      <c r="J992" s="27"/>
      <c r="L992" s="27"/>
      <c r="M992" s="27"/>
      <c r="N992" s="27"/>
      <c r="O992" s="27"/>
      <c r="P992" s="27"/>
    </row>
    <row r="993">
      <c r="F993" s="27"/>
      <c r="G993" s="27"/>
      <c r="H993" s="27"/>
      <c r="J993" s="27"/>
      <c r="L993" s="27"/>
      <c r="M993" s="27"/>
      <c r="N993" s="27"/>
      <c r="O993" s="27"/>
      <c r="P993" s="27"/>
    </row>
    <row r="994">
      <c r="F994" s="27"/>
      <c r="G994" s="27"/>
      <c r="H994" s="27"/>
      <c r="J994" s="27"/>
      <c r="L994" s="27"/>
      <c r="M994" s="27"/>
      <c r="N994" s="27"/>
      <c r="O994" s="27"/>
      <c r="P994" s="27"/>
    </row>
    <row r="995">
      <c r="F995" s="27"/>
      <c r="G995" s="27"/>
      <c r="H995" s="27"/>
      <c r="J995" s="27"/>
      <c r="L995" s="27"/>
      <c r="M995" s="27"/>
      <c r="N995" s="27"/>
      <c r="O995" s="27"/>
      <c r="P995" s="27"/>
    </row>
    <row r="996">
      <c r="F996" s="27"/>
      <c r="G996" s="27"/>
      <c r="H996" s="27"/>
      <c r="J996" s="27"/>
      <c r="L996" s="27"/>
      <c r="M996" s="27"/>
      <c r="N996" s="27"/>
      <c r="O996" s="27"/>
      <c r="P996" s="27"/>
    </row>
    <row r="997">
      <c r="F997" s="27"/>
      <c r="G997" s="27"/>
      <c r="H997" s="27"/>
      <c r="J997" s="27"/>
      <c r="L997" s="27"/>
      <c r="M997" s="27"/>
      <c r="N997" s="27"/>
      <c r="O997" s="27"/>
      <c r="P997" s="27"/>
    </row>
    <row r="998">
      <c r="F998" s="27"/>
      <c r="G998" s="27"/>
      <c r="H998" s="27"/>
      <c r="J998" s="27"/>
      <c r="L998" s="27"/>
      <c r="M998" s="27"/>
      <c r="N998" s="27"/>
      <c r="O998" s="27"/>
      <c r="P998" s="27"/>
    </row>
    <row r="999">
      <c r="F999" s="27"/>
      <c r="G999" s="27"/>
      <c r="H999" s="27"/>
      <c r="J999" s="27"/>
      <c r="L999" s="27"/>
      <c r="M999" s="27"/>
      <c r="N999" s="27"/>
      <c r="O999" s="27"/>
      <c r="P999" s="27"/>
    </row>
    <row r="1000">
      <c r="F1000" s="27"/>
      <c r="G1000" s="27"/>
      <c r="H1000" s="27"/>
      <c r="J1000" s="27"/>
      <c r="L1000" s="27"/>
      <c r="M1000" s="27"/>
      <c r="N1000" s="27"/>
      <c r="O1000" s="27"/>
      <c r="P1000" s="27"/>
    </row>
    <row r="1001">
      <c r="F1001" s="27"/>
      <c r="G1001" s="27"/>
      <c r="H1001" s="27"/>
      <c r="J1001" s="27"/>
      <c r="L1001" s="27"/>
      <c r="M1001" s="27"/>
      <c r="N1001" s="27"/>
      <c r="O1001" s="27"/>
      <c r="P1001" s="27"/>
    </row>
    <row r="1002">
      <c r="F1002" s="27"/>
      <c r="G1002" s="27"/>
      <c r="H1002" s="27"/>
      <c r="J1002" s="27"/>
      <c r="L1002" s="27"/>
      <c r="M1002" s="27"/>
      <c r="N1002" s="27"/>
      <c r="O1002" s="27"/>
      <c r="P1002" s="27"/>
    </row>
  </sheetData>
  <conditionalFormatting sqref="D44:E44 K51 D53:N53 K55">
    <cfRule type="cellIs" dxfId="0" priority="1" operator="lessThan">
      <formula>0</formula>
    </cfRule>
  </conditionalFormatting>
  <conditionalFormatting sqref="D53:E53">
    <cfRule type="cellIs" dxfId="0" priority="2" operator="lessThan">
      <formula>0</formula>
    </cfRule>
  </conditionalFormatting>
  <drawing r:id="rId2"/>
  <legacy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20.38"/>
    <col customWidth="1" min="3" max="3" width="9.38"/>
    <col customWidth="1" min="5" max="5" width="14.0"/>
    <col customWidth="1" hidden="1" min="6" max="6" width="14.63"/>
    <col customWidth="1" hidden="1" min="7" max="7" width="12.38"/>
    <col customWidth="1" hidden="1" min="8" max="8" width="13.25"/>
    <col customWidth="1" hidden="1" min="9" max="9" width="16.38"/>
    <col customWidth="1" hidden="1" min="10" max="11" width="12.75"/>
    <col customWidth="1" min="12" max="12" width="14.0"/>
    <col customWidth="1" min="13" max="13" width="14.63"/>
    <col customWidth="1" min="14" max="14" width="14.13"/>
    <col customWidth="1" min="15" max="15" width="13.13"/>
    <col customWidth="1" min="16" max="16" width="20.63"/>
    <col customWidth="1" min="17" max="17" width="23.38"/>
    <col customWidth="1" min="18" max="18" width="11.25"/>
    <col customWidth="1" min="19" max="19" width="9.25"/>
    <col customWidth="1" min="20" max="21" width="9.5"/>
    <col customWidth="1" min="24" max="24" width="9.88"/>
    <col customWidth="1" min="25" max="25" width="8.13"/>
  </cols>
  <sheetData>
    <row r="1">
      <c r="A1" s="18" t="s">
        <v>346</v>
      </c>
      <c r="B1" s="416" t="s">
        <v>296</v>
      </c>
      <c r="D1" s="107" t="s">
        <v>387</v>
      </c>
      <c r="E1" s="107" t="s">
        <v>388</v>
      </c>
      <c r="F1" s="107"/>
      <c r="G1" s="107"/>
      <c r="H1" s="107"/>
      <c r="J1" s="107"/>
      <c r="K1" s="107"/>
      <c r="L1" s="107"/>
      <c r="M1" s="107"/>
      <c r="N1" s="107"/>
      <c r="O1" s="107"/>
      <c r="P1" s="107"/>
      <c r="Q1" s="417" t="s">
        <v>325</v>
      </c>
      <c r="R1" s="107"/>
    </row>
    <row r="2">
      <c r="B2" s="18" t="s">
        <v>240</v>
      </c>
      <c r="C2" s="249"/>
      <c r="D2" s="27"/>
      <c r="E2" s="107"/>
      <c r="F2" s="27"/>
      <c r="G2" s="26"/>
      <c r="H2" s="26"/>
      <c r="J2" s="26"/>
      <c r="K2" s="107"/>
      <c r="L2" s="26"/>
      <c r="M2" s="26"/>
      <c r="N2" s="26"/>
      <c r="O2" s="26"/>
      <c r="P2" s="26"/>
      <c r="Q2" s="422" t="s">
        <v>119</v>
      </c>
      <c r="R2" s="302" t="s">
        <v>120</v>
      </c>
    </row>
    <row r="3">
      <c r="B3" s="18" t="s">
        <v>241</v>
      </c>
      <c r="C3" s="249">
        <v>70.7</v>
      </c>
      <c r="D3" s="107">
        <v>20.85</v>
      </c>
      <c r="E3" s="489">
        <f>D3*3.452</f>
        <v>71.9742</v>
      </c>
      <c r="F3" s="107"/>
      <c r="G3" s="107"/>
      <c r="H3" s="107"/>
      <c r="J3" s="107"/>
      <c r="K3" s="107"/>
      <c r="L3" s="107"/>
      <c r="M3" s="107"/>
      <c r="N3" s="107"/>
      <c r="O3" s="107"/>
      <c r="P3" s="107"/>
      <c r="Q3" s="423" t="s">
        <v>326</v>
      </c>
      <c r="R3" s="7" t="s">
        <v>327</v>
      </c>
    </row>
    <row r="4">
      <c r="B4" s="18" t="s">
        <v>242</v>
      </c>
      <c r="C4" s="249"/>
      <c r="D4" s="107">
        <v>3.82</v>
      </c>
      <c r="E4" s="489"/>
      <c r="F4" s="26"/>
      <c r="G4" s="107"/>
      <c r="H4" s="107"/>
      <c r="J4" s="107"/>
      <c r="L4" s="107">
        <v>11500.0</v>
      </c>
      <c r="M4" s="107"/>
      <c r="N4" s="107"/>
      <c r="O4" s="107"/>
      <c r="P4" s="107"/>
      <c r="Q4" s="423" t="s">
        <v>328</v>
      </c>
      <c r="R4" s="7" t="s">
        <v>329</v>
      </c>
      <c r="S4" s="107"/>
    </row>
    <row r="5">
      <c r="B5" s="18" t="s">
        <v>285</v>
      </c>
      <c r="C5" s="249">
        <v>42.0</v>
      </c>
      <c r="D5" s="107">
        <v>16.37</v>
      </c>
      <c r="E5" s="489">
        <v>60.48</v>
      </c>
      <c r="F5" s="107"/>
      <c r="G5" s="107"/>
      <c r="H5" s="107"/>
      <c r="J5" s="107"/>
      <c r="L5" s="107">
        <v>7460.0</v>
      </c>
      <c r="M5" s="107"/>
      <c r="N5" s="107"/>
      <c r="O5" s="107"/>
      <c r="P5" s="107"/>
      <c r="Q5" s="423"/>
      <c r="R5" s="7" t="s">
        <v>192</v>
      </c>
      <c r="S5" s="107"/>
    </row>
    <row r="6">
      <c r="B6" s="18" t="s">
        <v>324</v>
      </c>
      <c r="C6" s="249">
        <v>6.0</v>
      </c>
      <c r="D6" s="107"/>
      <c r="E6" s="107">
        <v>6.0</v>
      </c>
      <c r="F6" s="107"/>
      <c r="S6" s="107"/>
    </row>
    <row r="7">
      <c r="C7" s="276">
        <f>SUM(C2:C6)</f>
        <v>118.7</v>
      </c>
      <c r="D7" s="490">
        <f>E7-E2</f>
        <v>138.4542</v>
      </c>
      <c r="E7" s="490">
        <f>SUM(E2:E6)</f>
        <v>138.4542</v>
      </c>
      <c r="F7" s="107"/>
      <c r="S7" s="107"/>
    </row>
    <row r="8">
      <c r="S8" s="107"/>
      <c r="T8" s="12">
        <f>8661.72-8588.97</f>
        <v>72.75</v>
      </c>
    </row>
    <row r="9">
      <c r="S9" s="27"/>
    </row>
    <row r="10">
      <c r="N10" s="18" t="s">
        <v>366</v>
      </c>
      <c r="Q10" s="18">
        <v>3637.5</v>
      </c>
      <c r="S10" s="107"/>
    </row>
    <row r="11">
      <c r="B11" s="55" t="s">
        <v>122</v>
      </c>
      <c r="C11" s="56"/>
      <c r="D11" s="140" t="s">
        <v>123</v>
      </c>
      <c r="E11" s="140" t="s">
        <v>124</v>
      </c>
      <c r="F11" s="140" t="s">
        <v>125</v>
      </c>
      <c r="G11" s="424" t="s">
        <v>126</v>
      </c>
      <c r="H11" s="140" t="s">
        <v>127</v>
      </c>
      <c r="I11" s="140" t="s">
        <v>128</v>
      </c>
      <c r="J11" s="140" t="s">
        <v>129</v>
      </c>
      <c r="K11" s="140" t="s">
        <v>130</v>
      </c>
      <c r="L11" s="140" t="s">
        <v>131</v>
      </c>
      <c r="M11" s="140" t="s">
        <v>132</v>
      </c>
      <c r="N11" s="140" t="s">
        <v>133</v>
      </c>
      <c r="O11" s="140" t="s">
        <v>134</v>
      </c>
      <c r="S11" s="107"/>
      <c r="U11" s="18"/>
    </row>
    <row r="12">
      <c r="B12" s="59" t="s">
        <v>129</v>
      </c>
      <c r="C12" s="141"/>
      <c r="D12" s="113">
        <v>8402.26</v>
      </c>
      <c r="E12" s="113">
        <v>8473.39</v>
      </c>
      <c r="F12" s="113">
        <v>8402.26</v>
      </c>
      <c r="G12" s="425">
        <v>8402.26</v>
      </c>
      <c r="H12" s="113">
        <v>8661.72</v>
      </c>
      <c r="I12" s="113">
        <v>8661.71</v>
      </c>
      <c r="J12" s="113">
        <v>8661.71</v>
      </c>
      <c r="K12" s="113">
        <v>8661.71</v>
      </c>
      <c r="L12" s="113">
        <v>8661.72</v>
      </c>
      <c r="M12" s="113">
        <v>8661.72</v>
      </c>
      <c r="N12" s="113">
        <v>8661.72</v>
      </c>
      <c r="O12" s="113">
        <v>8661.72</v>
      </c>
      <c r="S12" s="107"/>
      <c r="U12" s="18"/>
    </row>
    <row r="13">
      <c r="B13" s="59" t="s">
        <v>136</v>
      </c>
      <c r="C13" s="141"/>
      <c r="D13" s="114">
        <f>2160+3349.61</f>
        <v>5509.61</v>
      </c>
      <c r="E13" s="114">
        <f>2160+3570.51</f>
        <v>5730.51</v>
      </c>
      <c r="F13" s="114">
        <f>2160+3544.87</f>
        <v>5704.87</v>
      </c>
      <c r="G13" s="426">
        <f>2230+3676.95</f>
        <v>5906.95</v>
      </c>
      <c r="H13" s="114">
        <f>2230+3690.95</f>
        <v>5920.95</v>
      </c>
      <c r="I13" s="426">
        <f>2230+3679.95</f>
        <v>5909.95</v>
      </c>
      <c r="J13" s="114">
        <f>2230+3663.96</f>
        <v>5893.96</v>
      </c>
      <c r="K13" s="114">
        <f>2230+3637.5</f>
        <v>5867.5</v>
      </c>
      <c r="L13" s="114">
        <f>2230+3709.95</f>
        <v>5939.95</v>
      </c>
      <c r="M13" s="114">
        <f>2230+3700.95</f>
        <v>5930.95</v>
      </c>
      <c r="N13" s="114">
        <f>2230+3710.95</f>
        <v>5940.95</v>
      </c>
      <c r="O13" s="114">
        <f>2230+3698.95</f>
        <v>5928.95</v>
      </c>
      <c r="P13" s="407"/>
      <c r="Q13" s="303"/>
      <c r="R13" s="107"/>
      <c r="S13" s="27"/>
      <c r="U13" s="18"/>
    </row>
    <row r="14">
      <c r="B14" s="59" t="s">
        <v>137</v>
      </c>
      <c r="C14" s="141"/>
      <c r="D14" s="115"/>
      <c r="E14" s="114"/>
      <c r="F14" s="115"/>
      <c r="G14" s="426"/>
      <c r="H14" s="115"/>
      <c r="I14" s="114"/>
      <c r="J14" s="115"/>
      <c r="K14" s="114"/>
      <c r="L14" s="115"/>
      <c r="M14" s="114"/>
      <c r="N14" s="115"/>
      <c r="O14" s="114"/>
      <c r="P14" s="363"/>
      <c r="Q14" s="363"/>
      <c r="R14" s="107"/>
      <c r="S14" s="107"/>
      <c r="U14" s="18"/>
    </row>
    <row r="15">
      <c r="B15" s="59" t="s">
        <v>138</v>
      </c>
      <c r="C15" s="141"/>
      <c r="D15" s="116"/>
      <c r="E15" s="117"/>
      <c r="F15" s="114">
        <f>16458.02+8673.34</f>
        <v>25131.36</v>
      </c>
      <c r="G15" s="426">
        <v>845.32</v>
      </c>
      <c r="H15" s="115"/>
      <c r="I15" s="118"/>
      <c r="J15" s="117">
        <v>20239.8</v>
      </c>
      <c r="K15" s="118"/>
      <c r="L15" s="118"/>
      <c r="M15" s="118"/>
      <c r="N15" s="118"/>
      <c r="O15" s="117">
        <f>(L4*1.0675)+(L5*1.0675)</f>
        <v>20239.8</v>
      </c>
      <c r="P15" s="32"/>
      <c r="Q15" s="32"/>
      <c r="R15" s="107"/>
      <c r="S15" s="107"/>
      <c r="U15" s="18"/>
    </row>
    <row r="16">
      <c r="B16" s="142" t="s">
        <v>139</v>
      </c>
      <c r="C16" s="143"/>
      <c r="D16" s="144">
        <f t="shared" ref="D16:E16" si="1">SUM(D12:D15)</f>
        <v>13911.87</v>
      </c>
      <c r="E16" s="144">
        <f t="shared" si="1"/>
        <v>14203.9</v>
      </c>
      <c r="F16" s="144">
        <f>SUM(F12:F14)</f>
        <v>14107.13</v>
      </c>
      <c r="G16" s="428">
        <f t="shared" ref="G16:I16" si="2">SUM(G12:G15)</f>
        <v>15154.53</v>
      </c>
      <c r="H16" s="144">
        <f t="shared" si="2"/>
        <v>14582.67</v>
      </c>
      <c r="I16" s="144">
        <f t="shared" si="2"/>
        <v>14571.66</v>
      </c>
      <c r="J16" s="144">
        <f>SUM(J12:J14)</f>
        <v>14555.67</v>
      </c>
      <c r="K16" s="144">
        <f t="shared" ref="K16:N16" si="3">SUM(K12:K15)</f>
        <v>14529.21</v>
      </c>
      <c r="L16" s="144">
        <f t="shared" si="3"/>
        <v>14601.67</v>
      </c>
      <c r="M16" s="144">
        <f t="shared" si="3"/>
        <v>14592.67</v>
      </c>
      <c r="N16" s="144">
        <f t="shared" si="3"/>
        <v>14602.67</v>
      </c>
      <c r="O16" s="144">
        <f>SUM(O12:O14)</f>
        <v>14590.67</v>
      </c>
      <c r="P16" s="257"/>
      <c r="Q16" s="257"/>
      <c r="T16" s="27"/>
      <c r="U16" s="18"/>
      <c r="W16" s="107"/>
    </row>
    <row r="17">
      <c r="C17" s="27"/>
      <c r="P17" s="32"/>
      <c r="Q17" s="32"/>
      <c r="R17" s="107"/>
      <c r="U17" s="18"/>
      <c r="W17" s="27"/>
    </row>
    <row r="18">
      <c r="B18" s="70" t="s">
        <v>140</v>
      </c>
      <c r="C18" s="71"/>
      <c r="D18" s="58" t="s">
        <v>123</v>
      </c>
      <c r="E18" s="58" t="s">
        <v>124</v>
      </c>
      <c r="F18" s="58" t="s">
        <v>125</v>
      </c>
      <c r="G18" s="430" t="s">
        <v>126</v>
      </c>
      <c r="H18" s="58" t="s">
        <v>127</v>
      </c>
      <c r="I18" s="58" t="s">
        <v>128</v>
      </c>
      <c r="J18" s="58" t="s">
        <v>129</v>
      </c>
      <c r="K18" s="58" t="s">
        <v>130</v>
      </c>
      <c r="L18" s="58" t="s">
        <v>131</v>
      </c>
      <c r="M18" s="58" t="s">
        <v>132</v>
      </c>
      <c r="N18" s="58" t="s">
        <v>133</v>
      </c>
      <c r="O18" s="58" t="s">
        <v>134</v>
      </c>
      <c r="P18" s="418"/>
      <c r="Q18" s="418" t="s">
        <v>331</v>
      </c>
      <c r="R18" s="192"/>
      <c r="U18" s="18"/>
    </row>
    <row r="19">
      <c r="B19" s="145" t="s">
        <v>141</v>
      </c>
      <c r="C19" s="146"/>
      <c r="D19" s="378">
        <v>410.0</v>
      </c>
      <c r="E19" s="378">
        <v>450.0</v>
      </c>
      <c r="F19" s="378">
        <v>450.0</v>
      </c>
      <c r="G19" s="446">
        <v>450.0</v>
      </c>
      <c r="H19" s="378">
        <v>450.0</v>
      </c>
      <c r="I19" s="378">
        <v>450.0</v>
      </c>
      <c r="J19" s="378">
        <v>450.0</v>
      </c>
      <c r="K19" s="378">
        <v>450.0</v>
      </c>
      <c r="L19" s="378">
        <v>450.0</v>
      </c>
      <c r="M19" s="378">
        <v>450.0</v>
      </c>
      <c r="N19" s="378">
        <v>450.0</v>
      </c>
      <c r="O19" s="147">
        <v>450.0</v>
      </c>
      <c r="P19" s="192"/>
      <c r="Q19" s="447"/>
      <c r="R19" s="448" t="s">
        <v>27</v>
      </c>
      <c r="S19" s="448" t="s">
        <v>274</v>
      </c>
      <c r="T19" s="448" t="s">
        <v>351</v>
      </c>
      <c r="U19" s="448" t="s">
        <v>333</v>
      </c>
      <c r="V19" s="449" t="s">
        <v>390</v>
      </c>
      <c r="W19" s="448" t="s">
        <v>48</v>
      </c>
      <c r="X19" s="448" t="s">
        <v>383</v>
      </c>
      <c r="Y19" s="448" t="s">
        <v>386</v>
      </c>
    </row>
    <row r="20">
      <c r="B20" s="145" t="s">
        <v>142</v>
      </c>
      <c r="C20" s="146"/>
      <c r="D20" s="378">
        <v>220.0</v>
      </c>
      <c r="E20" s="378">
        <v>220.0</v>
      </c>
      <c r="F20" s="378">
        <v>220.0</v>
      </c>
      <c r="G20" s="446">
        <v>220.0</v>
      </c>
      <c r="H20" s="446">
        <v>220.0</v>
      </c>
      <c r="I20" s="378">
        <v>220.0</v>
      </c>
      <c r="J20" s="378">
        <v>220.0</v>
      </c>
      <c r="K20" s="378">
        <v>220.0</v>
      </c>
      <c r="L20" s="378">
        <v>220.0</v>
      </c>
      <c r="M20" s="378">
        <v>220.0</v>
      </c>
      <c r="N20" s="378">
        <v>220.0</v>
      </c>
      <c r="O20" s="147">
        <v>220.0</v>
      </c>
      <c r="P20" s="409"/>
      <c r="Q20" s="450" t="s">
        <v>141</v>
      </c>
      <c r="R20" s="456"/>
      <c r="S20" s="452"/>
      <c r="T20" s="484">
        <v>450.0</v>
      </c>
      <c r="U20" s="452"/>
      <c r="V20" s="452"/>
      <c r="W20" s="452"/>
      <c r="X20" s="452"/>
      <c r="Y20" s="452"/>
    </row>
    <row r="21">
      <c r="B21" s="145" t="s">
        <v>143</v>
      </c>
      <c r="C21" s="146"/>
      <c r="D21" s="396">
        <v>139.9</v>
      </c>
      <c r="E21" s="396">
        <v>147.9</v>
      </c>
      <c r="F21" s="396">
        <v>147.9</v>
      </c>
      <c r="G21" s="454">
        <v>147.9</v>
      </c>
      <c r="H21" s="454">
        <v>147.9</v>
      </c>
      <c r="I21" s="378">
        <v>147.9</v>
      </c>
      <c r="J21" s="396">
        <v>147.9</v>
      </c>
      <c r="K21" s="396">
        <v>147.9</v>
      </c>
      <c r="L21" s="396">
        <v>147.9</v>
      </c>
      <c r="M21" s="396">
        <v>147.9</v>
      </c>
      <c r="N21" s="396">
        <v>147.9</v>
      </c>
      <c r="O21" s="149">
        <v>147.9</v>
      </c>
      <c r="P21" s="409"/>
      <c r="Q21" s="450" t="s">
        <v>142</v>
      </c>
      <c r="R21" s="456"/>
      <c r="S21" s="452"/>
      <c r="T21" s="484">
        <v>220.0</v>
      </c>
      <c r="U21" s="452"/>
      <c r="V21" s="452"/>
      <c r="W21" s="452"/>
      <c r="X21" s="452"/>
      <c r="Y21" s="452"/>
    </row>
    <row r="22">
      <c r="B22" s="145" t="s">
        <v>144</v>
      </c>
      <c r="C22" s="146"/>
      <c r="D22" s="378">
        <v>100.0</v>
      </c>
      <c r="E22" s="378">
        <v>100.0</v>
      </c>
      <c r="F22" s="378">
        <f t="shared" ref="F22:H22" si="4">E22</f>
        <v>100</v>
      </c>
      <c r="G22" s="446">
        <f t="shared" si="4"/>
        <v>100</v>
      </c>
      <c r="H22" s="446">
        <f t="shared" si="4"/>
        <v>100</v>
      </c>
      <c r="I22" s="378">
        <v>100.0</v>
      </c>
      <c r="J22" s="378">
        <f>I22</f>
        <v>100</v>
      </c>
      <c r="K22" s="378">
        <v>100.0</v>
      </c>
      <c r="L22" s="378">
        <f t="shared" ref="L22:O22" si="5">K22</f>
        <v>100</v>
      </c>
      <c r="M22" s="378">
        <f t="shared" si="5"/>
        <v>100</v>
      </c>
      <c r="N22" s="378">
        <f t="shared" si="5"/>
        <v>100</v>
      </c>
      <c r="O22" s="147">
        <f t="shared" si="5"/>
        <v>100</v>
      </c>
      <c r="P22" s="409"/>
      <c r="Q22" s="450" t="s">
        <v>143</v>
      </c>
      <c r="R22" s="456"/>
      <c r="S22" s="452"/>
      <c r="T22" s="484">
        <v>147.9</v>
      </c>
      <c r="U22" s="452"/>
      <c r="V22" s="452"/>
      <c r="W22" s="452"/>
      <c r="X22" s="452"/>
      <c r="Y22" s="452"/>
    </row>
    <row r="23">
      <c r="B23" s="145" t="s">
        <v>145</v>
      </c>
      <c r="C23" s="146"/>
      <c r="D23" s="378">
        <v>3004.8</v>
      </c>
      <c r="E23" s="378">
        <v>3004.8</v>
      </c>
      <c r="F23" s="378">
        <v>3004.8</v>
      </c>
      <c r="G23" s="446">
        <v>3004.8</v>
      </c>
      <c r="H23" s="446">
        <v>3004.8</v>
      </c>
      <c r="I23" s="378">
        <v>3004.8</v>
      </c>
      <c r="J23" s="378">
        <v>3004.8</v>
      </c>
      <c r="K23" s="378">
        <v>3004.8</v>
      </c>
      <c r="L23" s="378">
        <v>3004.8</v>
      </c>
      <c r="M23" s="378">
        <v>3004.8</v>
      </c>
      <c r="N23" s="378">
        <v>3004.8</v>
      </c>
      <c r="O23" s="147">
        <v>3004.8</v>
      </c>
      <c r="P23" s="409"/>
      <c r="Q23" s="450" t="s">
        <v>144</v>
      </c>
      <c r="R23" s="483"/>
      <c r="S23" s="485"/>
      <c r="T23" s="484">
        <v>100.0</v>
      </c>
      <c r="U23" s="485"/>
      <c r="V23" s="485"/>
      <c r="W23" s="485"/>
      <c r="X23" s="485"/>
      <c r="Y23" s="485"/>
    </row>
    <row r="24">
      <c r="B24" s="145" t="s">
        <v>146</v>
      </c>
      <c r="C24" s="150" t="s">
        <v>136</v>
      </c>
      <c r="D24" s="378">
        <v>50.0</v>
      </c>
      <c r="E24" s="378">
        <v>0.0</v>
      </c>
      <c r="F24" s="378">
        <v>0.0</v>
      </c>
      <c r="G24" s="446"/>
      <c r="H24" s="446"/>
      <c r="I24" s="378"/>
      <c r="J24" s="378"/>
      <c r="K24" s="378"/>
      <c r="L24" s="378"/>
      <c r="M24" s="378"/>
      <c r="N24" s="378"/>
      <c r="O24" s="147"/>
      <c r="P24" s="409"/>
      <c r="Q24" s="450" t="s">
        <v>145</v>
      </c>
      <c r="R24" s="478">
        <v>3004.8</v>
      </c>
      <c r="S24" s="483"/>
      <c r="T24" s="491"/>
      <c r="U24" s="485"/>
      <c r="V24" s="485"/>
      <c r="W24" s="485"/>
      <c r="X24" s="485"/>
      <c r="Y24" s="485"/>
    </row>
    <row r="25">
      <c r="B25" s="145" t="s">
        <v>180</v>
      </c>
      <c r="C25" s="146"/>
      <c r="D25" s="378">
        <v>400.0</v>
      </c>
      <c r="E25" s="378">
        <v>400.0</v>
      </c>
      <c r="F25" s="378">
        <v>400.0</v>
      </c>
      <c r="G25" s="446">
        <v>400.0</v>
      </c>
      <c r="H25" s="446">
        <v>400.0</v>
      </c>
      <c r="I25" s="378">
        <v>400.0</v>
      </c>
      <c r="J25" s="378">
        <v>400.0</v>
      </c>
      <c r="K25" s="378">
        <v>400.0</v>
      </c>
      <c r="L25" s="378">
        <v>400.0</v>
      </c>
      <c r="M25" s="378">
        <v>400.0</v>
      </c>
      <c r="N25" s="378">
        <v>400.0</v>
      </c>
      <c r="O25" s="147">
        <v>400.0</v>
      </c>
      <c r="P25" s="409"/>
      <c r="Q25" s="450" t="s">
        <v>146</v>
      </c>
      <c r="R25" s="456"/>
      <c r="S25" s="468"/>
      <c r="T25" s="485"/>
      <c r="U25" s="485"/>
      <c r="V25" s="485"/>
      <c r="W25" s="485"/>
      <c r="X25" s="485"/>
      <c r="Y25" s="485"/>
    </row>
    <row r="26">
      <c r="B26" s="145" t="s">
        <v>148</v>
      </c>
      <c r="C26" s="146"/>
      <c r="D26" s="378">
        <v>600.0</v>
      </c>
      <c r="E26" s="378">
        <v>600.0</v>
      </c>
      <c r="F26" s="378">
        <v>600.0</v>
      </c>
      <c r="G26" s="446">
        <v>600.0</v>
      </c>
      <c r="H26" s="446">
        <v>600.0</v>
      </c>
      <c r="I26" s="378">
        <v>600.0</v>
      </c>
      <c r="J26" s="378">
        <v>600.0</v>
      </c>
      <c r="K26" s="378">
        <v>600.0</v>
      </c>
      <c r="L26" s="378">
        <v>600.0</v>
      </c>
      <c r="M26" s="378">
        <v>600.0</v>
      </c>
      <c r="N26" s="378">
        <v>600.0</v>
      </c>
      <c r="O26" s="147">
        <v>600.0</v>
      </c>
      <c r="P26" s="409"/>
      <c r="Q26" s="450" t="s">
        <v>180</v>
      </c>
      <c r="R26" s="456"/>
      <c r="S26" s="483"/>
      <c r="T26" s="485"/>
      <c r="U26" s="485"/>
      <c r="V26" s="485"/>
      <c r="W26" s="485"/>
      <c r="X26" s="485"/>
      <c r="Y26" s="478">
        <v>400.0</v>
      </c>
    </row>
    <row r="27">
      <c r="B27" s="145" t="s">
        <v>149</v>
      </c>
      <c r="C27" s="146"/>
      <c r="D27" s="378">
        <v>500.0</v>
      </c>
      <c r="E27" s="378">
        <v>500.0</v>
      </c>
      <c r="F27" s="378">
        <f t="shared" ref="F27:H27" si="6">E27</f>
        <v>500</v>
      </c>
      <c r="G27" s="446">
        <f t="shared" si="6"/>
        <v>500</v>
      </c>
      <c r="H27" s="446">
        <f t="shared" si="6"/>
        <v>500</v>
      </c>
      <c r="I27" s="378">
        <v>500.0</v>
      </c>
      <c r="J27" s="378">
        <f>I27</f>
        <v>500</v>
      </c>
      <c r="K27" s="378">
        <v>500.0</v>
      </c>
      <c r="L27" s="378">
        <f t="shared" ref="L27:O27" si="7">K27</f>
        <v>500</v>
      </c>
      <c r="M27" s="378">
        <f t="shared" si="7"/>
        <v>500</v>
      </c>
      <c r="N27" s="378">
        <f t="shared" si="7"/>
        <v>500</v>
      </c>
      <c r="O27" s="147">
        <f t="shared" si="7"/>
        <v>500</v>
      </c>
      <c r="P27" s="409"/>
      <c r="Q27" s="450" t="s">
        <v>148</v>
      </c>
      <c r="R27" s="456"/>
      <c r="S27" s="484"/>
      <c r="T27" s="484">
        <v>600.0</v>
      </c>
      <c r="U27" s="485"/>
      <c r="V27" s="485"/>
      <c r="W27" s="485"/>
      <c r="X27" s="485"/>
      <c r="Y27" s="485"/>
    </row>
    <row r="28">
      <c r="B28" s="145" t="s">
        <v>181</v>
      </c>
      <c r="C28" s="146"/>
      <c r="D28" s="378">
        <v>150.0</v>
      </c>
      <c r="E28" s="378">
        <v>150.0</v>
      </c>
      <c r="F28" s="378">
        <v>150.0</v>
      </c>
      <c r="G28" s="446">
        <v>150.0</v>
      </c>
      <c r="H28" s="446">
        <v>150.0</v>
      </c>
      <c r="I28" s="378">
        <v>150.0</v>
      </c>
      <c r="J28" s="378">
        <v>150.0</v>
      </c>
      <c r="K28" s="378">
        <v>150.0</v>
      </c>
      <c r="L28" s="378">
        <v>150.0</v>
      </c>
      <c r="M28" s="378">
        <v>150.0</v>
      </c>
      <c r="N28" s="378">
        <v>150.0</v>
      </c>
      <c r="O28" s="147">
        <v>150.0</v>
      </c>
      <c r="P28" s="409"/>
      <c r="Q28" s="450" t="s">
        <v>149</v>
      </c>
      <c r="R28" s="456"/>
      <c r="S28" s="483"/>
      <c r="T28" s="484">
        <v>500.0</v>
      </c>
      <c r="U28" s="485"/>
      <c r="V28" s="485"/>
      <c r="W28" s="485"/>
      <c r="X28" s="485"/>
      <c r="Y28" s="485"/>
    </row>
    <row r="29">
      <c r="B29" s="145" t="s">
        <v>150</v>
      </c>
      <c r="C29" s="146"/>
      <c r="D29" s="378">
        <v>400.0</v>
      </c>
      <c r="E29" s="378">
        <v>400.0</v>
      </c>
      <c r="F29" s="378">
        <f t="shared" ref="F29:H29" si="8">E29</f>
        <v>400</v>
      </c>
      <c r="G29" s="446">
        <f t="shared" si="8"/>
        <v>400</v>
      </c>
      <c r="H29" s="446">
        <f t="shared" si="8"/>
        <v>400</v>
      </c>
      <c r="I29" s="378">
        <v>400.0</v>
      </c>
      <c r="J29" s="378">
        <v>400.0</v>
      </c>
      <c r="K29" s="378">
        <v>400.0</v>
      </c>
      <c r="L29" s="378">
        <f t="shared" ref="L29:O29" si="9">K29</f>
        <v>400</v>
      </c>
      <c r="M29" s="378">
        <f t="shared" si="9"/>
        <v>400</v>
      </c>
      <c r="N29" s="378">
        <f t="shared" si="9"/>
        <v>400</v>
      </c>
      <c r="O29" s="147">
        <f t="shared" si="9"/>
        <v>400</v>
      </c>
      <c r="P29" s="409"/>
      <c r="Q29" s="450" t="s">
        <v>181</v>
      </c>
      <c r="R29" s="456"/>
      <c r="S29" s="478">
        <v>400.0</v>
      </c>
      <c r="T29" s="484"/>
      <c r="U29" s="456">
        <v>150.0</v>
      </c>
      <c r="V29" s="485"/>
      <c r="W29" s="485"/>
      <c r="X29" s="485"/>
      <c r="Y29" s="485"/>
    </row>
    <row r="30">
      <c r="B30" s="145" t="s">
        <v>182</v>
      </c>
      <c r="C30" s="146"/>
      <c r="D30" s="378">
        <v>160.0</v>
      </c>
      <c r="E30" s="378">
        <v>160.0</v>
      </c>
      <c r="F30" s="378">
        <v>160.0</v>
      </c>
      <c r="G30" s="446">
        <v>160.0</v>
      </c>
      <c r="H30" s="446">
        <v>160.0</v>
      </c>
      <c r="I30" s="378">
        <v>160.0</v>
      </c>
      <c r="J30" s="378">
        <v>0.0</v>
      </c>
      <c r="K30" s="378">
        <v>160.0</v>
      </c>
      <c r="L30" s="378">
        <v>160.0</v>
      </c>
      <c r="M30" s="378">
        <v>80.0</v>
      </c>
      <c r="N30" s="378">
        <v>80.0</v>
      </c>
      <c r="O30" s="147">
        <v>80.0</v>
      </c>
      <c r="P30" s="409"/>
      <c r="Q30" s="450" t="s">
        <v>150</v>
      </c>
      <c r="R30" s="456"/>
      <c r="S30" s="478"/>
      <c r="T30" s="485"/>
      <c r="U30" s="485"/>
      <c r="V30" s="485"/>
      <c r="W30" s="485"/>
      <c r="X30" s="485"/>
      <c r="Y30" s="485"/>
    </row>
    <row r="31">
      <c r="B31" s="145" t="s">
        <v>392</v>
      </c>
      <c r="C31" s="146"/>
      <c r="D31" s="378">
        <v>400.0</v>
      </c>
      <c r="E31" s="378">
        <v>400.0</v>
      </c>
      <c r="F31" s="378">
        <v>400.0</v>
      </c>
      <c r="G31" s="446">
        <v>400.0</v>
      </c>
      <c r="H31" s="446">
        <v>400.0</v>
      </c>
      <c r="I31" s="378">
        <v>400.0</v>
      </c>
      <c r="J31" s="378">
        <v>400.0</v>
      </c>
      <c r="K31" s="378">
        <v>1400.0</v>
      </c>
      <c r="L31" s="378">
        <v>1400.0</v>
      </c>
      <c r="M31" s="378">
        <v>1400.0</v>
      </c>
      <c r="N31" s="378">
        <v>1400.0</v>
      </c>
      <c r="O31" s="147">
        <v>1400.0</v>
      </c>
      <c r="P31" s="409"/>
      <c r="Q31" s="450" t="s">
        <v>182</v>
      </c>
      <c r="R31" s="456"/>
      <c r="S31" s="456"/>
      <c r="T31" s="485"/>
      <c r="U31" s="485"/>
      <c r="V31" s="456">
        <v>80.0</v>
      </c>
      <c r="W31" s="485"/>
      <c r="X31" s="485"/>
      <c r="Y31" s="485"/>
    </row>
    <row r="32">
      <c r="B32" s="145" t="s">
        <v>152</v>
      </c>
      <c r="C32" s="146"/>
      <c r="D32" s="390"/>
      <c r="E32" s="378"/>
      <c r="F32" s="378"/>
      <c r="G32" s="459"/>
      <c r="H32" s="446"/>
      <c r="I32" s="378"/>
      <c r="J32" s="378"/>
      <c r="K32" s="378"/>
      <c r="L32" s="378"/>
      <c r="M32" s="390"/>
      <c r="N32" s="378"/>
      <c r="O32" s="147"/>
      <c r="P32" s="409"/>
      <c r="Q32" s="450" t="s">
        <v>392</v>
      </c>
      <c r="R32" s="374"/>
      <c r="S32" s="460"/>
      <c r="T32" s="485"/>
      <c r="U32" s="485"/>
      <c r="V32" s="479"/>
      <c r="W32" s="478">
        <v>1400.0</v>
      </c>
      <c r="X32" s="485"/>
      <c r="Y32" s="485"/>
    </row>
    <row r="33">
      <c r="B33" s="145" t="s">
        <v>154</v>
      </c>
      <c r="C33" s="146"/>
      <c r="D33" s="390">
        <v>136.92</v>
      </c>
      <c r="E33" s="390">
        <v>136.92</v>
      </c>
      <c r="F33" s="390">
        <v>136.92</v>
      </c>
      <c r="G33" s="446">
        <v>144.7</v>
      </c>
      <c r="H33" s="446">
        <v>144.7</v>
      </c>
      <c r="I33" s="378">
        <v>161.29</v>
      </c>
      <c r="J33" s="378">
        <v>161.29</v>
      </c>
      <c r="K33" s="378">
        <v>161.29</v>
      </c>
      <c r="L33" s="378">
        <v>161.29</v>
      </c>
      <c r="M33" s="378">
        <v>161.29</v>
      </c>
      <c r="N33" s="378">
        <v>160.67</v>
      </c>
      <c r="O33" s="147">
        <v>138.45</v>
      </c>
      <c r="P33" s="409"/>
      <c r="Q33" s="450" t="s">
        <v>152</v>
      </c>
      <c r="R33" s="456"/>
      <c r="S33" s="456"/>
      <c r="T33" s="485"/>
      <c r="U33" s="485"/>
      <c r="V33" s="481"/>
      <c r="W33" s="485"/>
      <c r="X33" s="485"/>
      <c r="Y33" s="485"/>
    </row>
    <row r="34">
      <c r="B34" s="145" t="s">
        <v>395</v>
      </c>
      <c r="C34" s="146"/>
      <c r="D34" s="390"/>
      <c r="E34" s="390"/>
      <c r="F34" s="378" t="str">
        <f t="shared" ref="F34:H34" si="10">E34</f>
        <v/>
      </c>
      <c r="G34" s="446" t="str">
        <f t="shared" si="10"/>
        <v/>
      </c>
      <c r="H34" s="446" t="str">
        <f t="shared" si="10"/>
        <v/>
      </c>
      <c r="I34" s="378" t="str">
        <f>H32</f>
        <v/>
      </c>
      <c r="J34" s="378" t="str">
        <f>I34</f>
        <v/>
      </c>
      <c r="K34" s="378" t="str">
        <f>J32</f>
        <v/>
      </c>
      <c r="L34" s="378" t="str">
        <f t="shared" ref="L34:M34" si="11">K34</f>
        <v/>
      </c>
      <c r="M34" s="378" t="str">
        <f t="shared" si="11"/>
        <v/>
      </c>
      <c r="N34" s="378">
        <v>234.53</v>
      </c>
      <c r="O34" s="147">
        <f>N34</f>
        <v>234.53</v>
      </c>
      <c r="P34" s="409"/>
      <c r="Q34" s="450" t="s">
        <v>154</v>
      </c>
      <c r="R34" s="457">
        <v>6.0</v>
      </c>
      <c r="S34" s="457"/>
      <c r="T34" s="485"/>
      <c r="U34" s="485"/>
      <c r="V34" s="481">
        <v>132.45</v>
      </c>
      <c r="W34" s="483"/>
      <c r="X34" s="485"/>
      <c r="Y34" s="485"/>
    </row>
    <row r="35">
      <c r="B35" s="145" t="s">
        <v>156</v>
      </c>
      <c r="C35" s="146"/>
      <c r="D35" s="378">
        <v>100.0</v>
      </c>
      <c r="E35" s="378">
        <v>100.0</v>
      </c>
      <c r="F35" s="390"/>
      <c r="G35" s="446">
        <v>100.0</v>
      </c>
      <c r="H35" s="446">
        <v>600.0</v>
      </c>
      <c r="I35" s="378">
        <v>500.0</v>
      </c>
      <c r="J35" s="378">
        <v>200.0</v>
      </c>
      <c r="K35" s="378">
        <v>100.0</v>
      </c>
      <c r="L35" s="390"/>
      <c r="M35" s="378">
        <v>200.0</v>
      </c>
      <c r="N35" s="378">
        <v>100.0</v>
      </c>
      <c r="O35" s="147">
        <v>200.0</v>
      </c>
      <c r="P35" s="409"/>
      <c r="Q35" s="145" t="s">
        <v>395</v>
      </c>
      <c r="R35" s="456"/>
      <c r="S35" s="456"/>
      <c r="T35" s="485"/>
      <c r="U35" s="478">
        <v>234.53</v>
      </c>
      <c r="V35" s="481"/>
      <c r="W35" s="485"/>
      <c r="X35" s="485"/>
      <c r="Y35" s="485"/>
    </row>
    <row r="36">
      <c r="B36" s="145" t="s">
        <v>157</v>
      </c>
      <c r="C36" s="146"/>
      <c r="D36" s="378">
        <v>50.0</v>
      </c>
      <c r="E36" s="378">
        <v>50.0</v>
      </c>
      <c r="F36" s="378">
        <f t="shared" ref="F36:H36" si="12">E36</f>
        <v>50</v>
      </c>
      <c r="G36" s="446">
        <f t="shared" si="12"/>
        <v>50</v>
      </c>
      <c r="H36" s="446">
        <f t="shared" si="12"/>
        <v>50</v>
      </c>
      <c r="I36" s="378">
        <v>50.0</v>
      </c>
      <c r="J36" s="378">
        <f t="shared" ref="J36:J37" si="15">I36</f>
        <v>50</v>
      </c>
      <c r="K36" s="378">
        <v>50.0</v>
      </c>
      <c r="L36" s="378">
        <f t="shared" ref="L36:O36" si="13">K36</f>
        <v>50</v>
      </c>
      <c r="M36" s="378">
        <f t="shared" si="13"/>
        <v>50</v>
      </c>
      <c r="N36" s="378">
        <f t="shared" si="13"/>
        <v>50</v>
      </c>
      <c r="O36" s="147">
        <f t="shared" si="13"/>
        <v>50</v>
      </c>
      <c r="P36" s="409"/>
      <c r="Q36" s="450" t="s">
        <v>156</v>
      </c>
      <c r="R36" s="456"/>
      <c r="S36" s="458"/>
      <c r="T36" s="485"/>
      <c r="U36" s="485"/>
      <c r="V36" s="478">
        <v>200.0</v>
      </c>
      <c r="W36" s="485"/>
      <c r="X36" s="485"/>
      <c r="Y36" s="485"/>
      <c r="Z36" s="18"/>
    </row>
    <row r="37">
      <c r="B37" s="145" t="s">
        <v>393</v>
      </c>
      <c r="C37" s="146"/>
      <c r="D37" s="390"/>
      <c r="E37" s="390"/>
      <c r="F37" s="378" t="str">
        <f t="shared" ref="F37:H37" si="14">E37</f>
        <v/>
      </c>
      <c r="G37" s="446" t="str">
        <f t="shared" si="14"/>
        <v/>
      </c>
      <c r="H37" s="446" t="str">
        <f t="shared" si="14"/>
        <v/>
      </c>
      <c r="I37" s="378"/>
      <c r="J37" s="378" t="str">
        <f t="shared" si="15"/>
        <v/>
      </c>
      <c r="K37" s="378">
        <v>200.0</v>
      </c>
      <c r="L37" s="378">
        <f t="shared" ref="L37:O37" si="16">K37</f>
        <v>200</v>
      </c>
      <c r="M37" s="378">
        <f t="shared" si="16"/>
        <v>200</v>
      </c>
      <c r="N37" s="378">
        <f t="shared" si="16"/>
        <v>200</v>
      </c>
      <c r="O37" s="147">
        <f t="shared" si="16"/>
        <v>200</v>
      </c>
      <c r="P37" s="409"/>
      <c r="Q37" s="450" t="s">
        <v>157</v>
      </c>
      <c r="R37" s="456"/>
      <c r="S37" s="456"/>
      <c r="T37" s="485"/>
      <c r="U37" s="485"/>
      <c r="V37" s="492"/>
      <c r="W37" s="485"/>
      <c r="X37" s="478">
        <v>50.0</v>
      </c>
      <c r="Y37" s="483"/>
      <c r="Z37" s="18"/>
    </row>
    <row r="38">
      <c r="B38" s="145" t="s">
        <v>159</v>
      </c>
      <c r="C38" s="146"/>
      <c r="D38" s="378">
        <v>800.0</v>
      </c>
      <c r="E38" s="378">
        <v>800.0</v>
      </c>
      <c r="F38" s="378">
        <v>800.0</v>
      </c>
      <c r="G38" s="446">
        <v>800.0</v>
      </c>
      <c r="H38" s="446">
        <v>800.0</v>
      </c>
      <c r="I38" s="378">
        <v>800.0</v>
      </c>
      <c r="J38" s="378">
        <v>800.0</v>
      </c>
      <c r="K38" s="378">
        <v>800.0</v>
      </c>
      <c r="L38" s="378">
        <v>800.0</v>
      </c>
      <c r="M38" s="378">
        <v>800.0</v>
      </c>
      <c r="N38" s="378">
        <v>800.0</v>
      </c>
      <c r="O38" s="147">
        <v>800.0</v>
      </c>
      <c r="P38" s="409"/>
      <c r="Q38" s="450" t="s">
        <v>393</v>
      </c>
      <c r="R38" s="456"/>
      <c r="S38" s="456"/>
      <c r="T38" s="485"/>
      <c r="U38" s="483"/>
      <c r="V38" s="485"/>
      <c r="W38" s="485"/>
      <c r="X38" s="485"/>
      <c r="Y38" s="485"/>
    </row>
    <row r="39">
      <c r="B39" s="145" t="s">
        <v>160</v>
      </c>
      <c r="C39" s="146"/>
      <c r="D39" s="378">
        <v>3000.0</v>
      </c>
      <c r="E39" s="378">
        <v>3000.0</v>
      </c>
      <c r="F39" s="378">
        <f t="shared" ref="F39:H39" si="17">E39</f>
        <v>3000</v>
      </c>
      <c r="G39" s="446">
        <f t="shared" si="17"/>
        <v>3000</v>
      </c>
      <c r="H39" s="446">
        <f t="shared" si="17"/>
        <v>3000</v>
      </c>
      <c r="I39" s="378">
        <v>3000.0</v>
      </c>
      <c r="J39" s="378">
        <f>I39</f>
        <v>3000</v>
      </c>
      <c r="K39" s="378">
        <v>3000.0</v>
      </c>
      <c r="L39" s="378">
        <f t="shared" ref="L39:O39" si="18">K39</f>
        <v>3000</v>
      </c>
      <c r="M39" s="378">
        <f t="shared" si="18"/>
        <v>3000</v>
      </c>
      <c r="N39" s="378">
        <f t="shared" si="18"/>
        <v>3000</v>
      </c>
      <c r="O39" s="147">
        <f t="shared" si="18"/>
        <v>3000</v>
      </c>
      <c r="P39" s="409"/>
      <c r="Q39" s="450" t="s">
        <v>159</v>
      </c>
      <c r="R39" s="455">
        <v>400.0</v>
      </c>
      <c r="S39" s="455">
        <v>400.0</v>
      </c>
      <c r="T39" s="485"/>
      <c r="U39" s="485"/>
      <c r="V39" s="485"/>
      <c r="W39" s="485"/>
      <c r="X39" s="485"/>
      <c r="Y39" s="485"/>
    </row>
    <row r="40">
      <c r="B40" s="145" t="s">
        <v>184</v>
      </c>
      <c r="C40" s="146"/>
      <c r="D40" s="378">
        <v>700.0</v>
      </c>
      <c r="E40" s="378">
        <v>700.0</v>
      </c>
      <c r="F40" s="378">
        <v>700.0</v>
      </c>
      <c r="G40" s="446">
        <v>700.0</v>
      </c>
      <c r="H40" s="446">
        <v>700.0</v>
      </c>
      <c r="I40" s="378">
        <v>700.0</v>
      </c>
      <c r="J40" s="378">
        <v>700.0</v>
      </c>
      <c r="K40" s="378">
        <v>700.0</v>
      </c>
      <c r="L40" s="378">
        <v>700.0</v>
      </c>
      <c r="M40" s="378">
        <v>1000.0</v>
      </c>
      <c r="N40" s="378">
        <v>1000.0</v>
      </c>
      <c r="O40" s="147">
        <v>1000.0</v>
      </c>
      <c r="P40" s="409"/>
      <c r="Q40" s="450" t="s">
        <v>160</v>
      </c>
      <c r="R40" s="455">
        <v>1500.0</v>
      </c>
      <c r="S40" s="455">
        <v>1500.0</v>
      </c>
      <c r="T40" s="485"/>
      <c r="U40" s="492"/>
      <c r="V40" s="485"/>
      <c r="W40" s="485"/>
      <c r="X40" s="485"/>
      <c r="Y40" s="485"/>
    </row>
    <row r="41">
      <c r="B41" s="145" t="s">
        <v>3</v>
      </c>
      <c r="C41" s="146"/>
      <c r="D41" s="378">
        <v>500.0</v>
      </c>
      <c r="E41" s="378">
        <v>500.0</v>
      </c>
      <c r="F41" s="378">
        <v>500.0</v>
      </c>
      <c r="G41" s="446">
        <v>500.0</v>
      </c>
      <c r="H41" s="446">
        <v>500.0</v>
      </c>
      <c r="I41" s="378">
        <v>500.0</v>
      </c>
      <c r="J41" s="378">
        <v>500.0</v>
      </c>
      <c r="K41" s="378">
        <v>500.0</v>
      </c>
      <c r="L41" s="378">
        <v>500.0</v>
      </c>
      <c r="M41" s="378">
        <v>500.0</v>
      </c>
      <c r="N41" s="378">
        <v>500.0</v>
      </c>
      <c r="O41" s="147">
        <v>500.0</v>
      </c>
      <c r="P41" s="409"/>
      <c r="Q41" s="450" t="s">
        <v>184</v>
      </c>
      <c r="R41" s="483"/>
      <c r="S41" s="483"/>
      <c r="T41" s="485"/>
      <c r="U41" s="456">
        <v>1000.0</v>
      </c>
      <c r="V41" s="485"/>
      <c r="W41" s="485"/>
      <c r="X41" s="485"/>
      <c r="Y41" s="485"/>
    </row>
    <row r="42">
      <c r="B42" s="152" t="s">
        <v>161</v>
      </c>
      <c r="C42" s="153"/>
      <c r="D42" s="154">
        <f t="shared" ref="D42:O42" si="19">SUM(D19:D41)*-1</f>
        <v>-11821.62</v>
      </c>
      <c r="E42" s="154">
        <f t="shared" si="19"/>
        <v>-11819.62</v>
      </c>
      <c r="F42" s="154">
        <f t="shared" si="19"/>
        <v>-11719.62</v>
      </c>
      <c r="G42" s="435">
        <f t="shared" si="19"/>
        <v>-11827.4</v>
      </c>
      <c r="H42" s="435">
        <f t="shared" si="19"/>
        <v>-12327.4</v>
      </c>
      <c r="I42" s="154">
        <f t="shared" si="19"/>
        <v>-12243.99</v>
      </c>
      <c r="J42" s="154">
        <f t="shared" si="19"/>
        <v>-11783.99</v>
      </c>
      <c r="K42" s="154">
        <f t="shared" si="19"/>
        <v>-13043.99</v>
      </c>
      <c r="L42" s="154">
        <f t="shared" si="19"/>
        <v>-12943.99</v>
      </c>
      <c r="M42" s="154">
        <f t="shared" si="19"/>
        <v>-13363.99</v>
      </c>
      <c r="N42" s="154">
        <f t="shared" si="19"/>
        <v>-13497.9</v>
      </c>
      <c r="O42" s="154">
        <f t="shared" si="19"/>
        <v>-13575.68</v>
      </c>
      <c r="P42" s="409"/>
      <c r="Q42" s="450" t="s">
        <v>3</v>
      </c>
      <c r="R42" s="483"/>
      <c r="S42" s="485"/>
      <c r="T42" s="485"/>
      <c r="U42" s="456">
        <v>500.0</v>
      </c>
      <c r="V42" s="485"/>
      <c r="W42" s="485"/>
      <c r="X42" s="485"/>
      <c r="Y42" s="485"/>
    </row>
    <row r="43">
      <c r="C43" s="27"/>
      <c r="P43" s="409"/>
      <c r="Q43" s="450" t="s">
        <v>385</v>
      </c>
      <c r="R43" s="483"/>
      <c r="S43" s="491"/>
      <c r="T43" s="491"/>
      <c r="U43" s="456">
        <v>200.0</v>
      </c>
      <c r="V43" s="491"/>
      <c r="W43" s="491"/>
      <c r="X43" s="491"/>
      <c r="Y43" s="491"/>
    </row>
    <row r="44">
      <c r="B44" s="156" t="s">
        <v>162</v>
      </c>
      <c r="C44" s="157"/>
      <c r="D44" s="469">
        <f t="shared" ref="D44:O44" si="20">D16+D42</f>
        <v>2090.25</v>
      </c>
      <c r="E44" s="469">
        <f t="shared" si="20"/>
        <v>2384.28</v>
      </c>
      <c r="F44" s="469">
        <f t="shared" si="20"/>
        <v>2387.51</v>
      </c>
      <c r="G44" s="470">
        <f t="shared" si="20"/>
        <v>3327.13</v>
      </c>
      <c r="H44" s="469">
        <f t="shared" si="20"/>
        <v>2255.27</v>
      </c>
      <c r="I44" s="469">
        <f t="shared" si="20"/>
        <v>2327.67</v>
      </c>
      <c r="J44" s="469">
        <f t="shared" si="20"/>
        <v>2771.68</v>
      </c>
      <c r="K44" s="158">
        <f t="shared" si="20"/>
        <v>1485.22</v>
      </c>
      <c r="L44" s="158">
        <f t="shared" si="20"/>
        <v>1657.68</v>
      </c>
      <c r="M44" s="158">
        <f t="shared" si="20"/>
        <v>1228.68</v>
      </c>
      <c r="N44" s="158">
        <f t="shared" si="20"/>
        <v>1104.77</v>
      </c>
      <c r="O44" s="158">
        <f t="shared" si="20"/>
        <v>1014.99</v>
      </c>
      <c r="P44" s="18"/>
      <c r="Q44" s="18" t="s">
        <v>391</v>
      </c>
      <c r="R44" s="467"/>
      <c r="S44" s="468"/>
      <c r="T44" s="485"/>
      <c r="U44" s="482"/>
      <c r="V44" s="485"/>
      <c r="W44" s="491"/>
      <c r="X44" s="485"/>
      <c r="Y44" s="485"/>
    </row>
    <row r="45">
      <c r="B45" s="83"/>
      <c r="C45" s="159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107"/>
      <c r="Q45" s="462" t="s">
        <v>382</v>
      </c>
      <c r="R45" s="493"/>
      <c r="S45" s="485"/>
      <c r="T45" s="485"/>
      <c r="U45" s="479">
        <f>724.25+290.74</f>
        <v>1014.99</v>
      </c>
      <c r="V45" s="485"/>
      <c r="W45" s="453"/>
      <c r="X45" s="485"/>
      <c r="Y45" s="485"/>
    </row>
    <row r="46">
      <c r="B46" s="85" t="s">
        <v>163</v>
      </c>
      <c r="C46" s="160"/>
      <c r="D46" s="161" t="s">
        <v>123</v>
      </c>
      <c r="E46" s="161" t="s">
        <v>124</v>
      </c>
      <c r="F46" s="161" t="s">
        <v>125</v>
      </c>
      <c r="G46" s="437" t="s">
        <v>126</v>
      </c>
      <c r="H46" s="161" t="s">
        <v>127</v>
      </c>
      <c r="I46" s="161" t="s">
        <v>128</v>
      </c>
      <c r="J46" s="161" t="s">
        <v>129</v>
      </c>
      <c r="K46" s="161" t="s">
        <v>130</v>
      </c>
      <c r="L46" s="161" t="s">
        <v>131</v>
      </c>
      <c r="M46" s="161" t="s">
        <v>132</v>
      </c>
      <c r="N46" s="161" t="s">
        <v>133</v>
      </c>
      <c r="O46" s="161" t="s">
        <v>134</v>
      </c>
      <c r="P46" s="107"/>
      <c r="Q46" s="463" t="s">
        <v>26</v>
      </c>
      <c r="R46" s="465">
        <f t="shared" ref="R46:Y46" si="21">SUM(R20:R45)</f>
        <v>4910.8</v>
      </c>
      <c r="S46" s="465">
        <f t="shared" si="21"/>
        <v>2300</v>
      </c>
      <c r="T46" s="465">
        <f t="shared" si="21"/>
        <v>2017.9</v>
      </c>
      <c r="U46" s="465">
        <f t="shared" si="21"/>
        <v>3099.52</v>
      </c>
      <c r="V46" s="465">
        <f t="shared" si="21"/>
        <v>412.45</v>
      </c>
      <c r="W46" s="465">
        <f t="shared" si="21"/>
        <v>1400</v>
      </c>
      <c r="X46" s="465">
        <f t="shared" si="21"/>
        <v>50</v>
      </c>
      <c r="Y46" s="465">
        <f t="shared" si="21"/>
        <v>400</v>
      </c>
      <c r="Z46" s="414">
        <f>SUM(R46:Y46)</f>
        <v>14590.67</v>
      </c>
    </row>
    <row r="47">
      <c r="B47" s="162"/>
      <c r="C47" s="163"/>
      <c r="D47" s="164"/>
      <c r="E47" s="164"/>
      <c r="F47" s="165"/>
      <c r="G47" s="438"/>
      <c r="H47" s="165"/>
      <c r="I47" s="165"/>
      <c r="J47" s="165"/>
      <c r="K47" s="165"/>
      <c r="L47" s="165"/>
      <c r="M47" s="165"/>
      <c r="N47" s="165"/>
      <c r="O47" s="165"/>
      <c r="P47" s="248"/>
      <c r="Q47" s="107" t="s">
        <v>389</v>
      </c>
      <c r="R47" s="486">
        <f>N12-R46</f>
        <v>3750.92</v>
      </c>
      <c r="S47" s="472">
        <f>3698.95-S46</f>
        <v>1398.95</v>
      </c>
      <c r="T47" s="287"/>
    </row>
    <row r="48">
      <c r="A48" s="298"/>
      <c r="B48" s="162" t="s">
        <v>58</v>
      </c>
      <c r="C48" s="163"/>
      <c r="D48" s="167">
        <v>962.79</v>
      </c>
      <c r="E48" s="167">
        <v>962.79</v>
      </c>
      <c r="F48" s="167">
        <v>962.79</v>
      </c>
      <c r="G48" s="439">
        <v>962.79</v>
      </c>
      <c r="H48" s="167">
        <v>724.25</v>
      </c>
      <c r="I48" s="167">
        <v>724.25</v>
      </c>
      <c r="J48" s="167">
        <v>724.25</v>
      </c>
      <c r="K48" s="167">
        <v>724.25</v>
      </c>
      <c r="L48" s="167">
        <v>724.25</v>
      </c>
      <c r="M48" s="167">
        <v>724.25</v>
      </c>
      <c r="N48" s="167">
        <v>724.25</v>
      </c>
      <c r="O48" s="167">
        <v>724.25</v>
      </c>
      <c r="P48" s="107"/>
      <c r="Q48" s="325" t="s">
        <v>353</v>
      </c>
    </row>
    <row r="49">
      <c r="B49" s="162"/>
      <c r="C49" s="163"/>
      <c r="D49" s="166"/>
      <c r="E49" s="166"/>
      <c r="F49" s="166"/>
      <c r="G49" s="440"/>
      <c r="H49" s="166"/>
      <c r="I49" s="166"/>
      <c r="J49" s="166"/>
      <c r="K49" s="166"/>
      <c r="L49" s="166"/>
      <c r="M49" s="166"/>
      <c r="N49" s="166"/>
      <c r="O49" s="166"/>
      <c r="P49" s="107"/>
      <c r="Q49" s="107"/>
      <c r="U49" s="387"/>
      <c r="W49" s="387"/>
    </row>
    <row r="50">
      <c r="B50" s="168"/>
      <c r="C50" s="169"/>
      <c r="D50" s="170"/>
      <c r="E50" s="170"/>
      <c r="F50" s="170"/>
      <c r="G50" s="441"/>
      <c r="H50" s="170"/>
      <c r="I50" s="166"/>
      <c r="J50" s="170"/>
      <c r="K50" s="170"/>
      <c r="L50" s="170"/>
      <c r="M50" s="170"/>
      <c r="N50" s="170"/>
      <c r="O50" s="170"/>
      <c r="P50" s="107"/>
      <c r="Q50" s="107"/>
    </row>
    <row r="51">
      <c r="B51" s="152" t="s">
        <v>167</v>
      </c>
      <c r="C51" s="171"/>
      <c r="D51" s="172">
        <f t="shared" ref="D51:O51" si="22">SUM(D47:D50)*-1</f>
        <v>-962.79</v>
      </c>
      <c r="E51" s="172">
        <f t="shared" si="22"/>
        <v>-962.79</v>
      </c>
      <c r="F51" s="172">
        <f t="shared" si="22"/>
        <v>-962.79</v>
      </c>
      <c r="G51" s="442">
        <f t="shared" si="22"/>
        <v>-962.79</v>
      </c>
      <c r="H51" s="172">
        <f t="shared" si="22"/>
        <v>-724.25</v>
      </c>
      <c r="I51" s="172">
        <f t="shared" si="22"/>
        <v>-724.25</v>
      </c>
      <c r="J51" s="172">
        <f t="shared" si="22"/>
        <v>-724.25</v>
      </c>
      <c r="K51" s="172">
        <f t="shared" si="22"/>
        <v>-724.25</v>
      </c>
      <c r="L51" s="172">
        <f t="shared" si="22"/>
        <v>-724.25</v>
      </c>
      <c r="M51" s="154">
        <f t="shared" si="22"/>
        <v>-724.25</v>
      </c>
      <c r="N51" s="172">
        <f t="shared" si="22"/>
        <v>-724.25</v>
      </c>
      <c r="O51" s="172">
        <f t="shared" si="22"/>
        <v>-724.25</v>
      </c>
      <c r="Q51" s="18" t="s">
        <v>394</v>
      </c>
      <c r="V51" s="12">
        <v>958.78</v>
      </c>
    </row>
    <row r="52">
      <c r="B52" s="83"/>
      <c r="C52" s="159"/>
      <c r="D52" s="96"/>
      <c r="E52" s="96"/>
      <c r="F52" s="96"/>
      <c r="G52" s="96"/>
      <c r="H52" s="96"/>
      <c r="I52" s="96"/>
      <c r="J52" s="96"/>
      <c r="K52" s="96"/>
      <c r="L52" s="96"/>
      <c r="M52" s="487"/>
      <c r="N52" s="96"/>
      <c r="O52" s="96"/>
      <c r="P52" s="107"/>
      <c r="Q52" s="107"/>
    </row>
    <row r="53">
      <c r="B53" s="173" t="s">
        <v>168</v>
      </c>
      <c r="C53" s="174"/>
      <c r="D53" s="175">
        <f t="shared" ref="D53:O53" si="23">D44+D51</f>
        <v>1127.46</v>
      </c>
      <c r="E53" s="175">
        <f t="shared" si="23"/>
        <v>1421.49</v>
      </c>
      <c r="F53" s="175">
        <f t="shared" si="23"/>
        <v>1424.72</v>
      </c>
      <c r="G53" s="443">
        <f t="shared" si="23"/>
        <v>2364.34</v>
      </c>
      <c r="H53" s="175">
        <f t="shared" si="23"/>
        <v>1531.02</v>
      </c>
      <c r="I53" s="175">
        <f t="shared" si="23"/>
        <v>1603.42</v>
      </c>
      <c r="J53" s="175">
        <f t="shared" si="23"/>
        <v>2047.43</v>
      </c>
      <c r="K53" s="175">
        <f t="shared" si="23"/>
        <v>760.97</v>
      </c>
      <c r="L53" s="175">
        <f t="shared" si="23"/>
        <v>933.43</v>
      </c>
      <c r="M53" s="488">
        <f t="shared" si="23"/>
        <v>504.43</v>
      </c>
      <c r="N53" s="175">
        <f t="shared" si="23"/>
        <v>380.52</v>
      </c>
      <c r="O53" s="488">
        <f t="shared" si="23"/>
        <v>290.74</v>
      </c>
      <c r="P53" s="107"/>
      <c r="Q53" s="107"/>
      <c r="R53" s="107"/>
    </row>
    <row r="54">
      <c r="B54" s="83"/>
      <c r="C54" s="159"/>
      <c r="D54" s="96"/>
      <c r="E54" s="96"/>
      <c r="F54" s="96"/>
      <c r="G54" s="96"/>
      <c r="H54" s="96"/>
      <c r="I54" s="96"/>
      <c r="J54" s="96"/>
      <c r="K54" s="96"/>
      <c r="L54" s="96"/>
      <c r="M54" s="487"/>
      <c r="N54" s="96"/>
      <c r="O54" s="96"/>
      <c r="P54" s="107"/>
      <c r="Q54" s="107"/>
      <c r="R54" s="18"/>
    </row>
    <row r="55">
      <c r="B55" s="100" t="s">
        <v>169</v>
      </c>
      <c r="C55" s="176"/>
      <c r="D55" s="177" t="s">
        <v>123</v>
      </c>
      <c r="E55" s="177" t="s">
        <v>124</v>
      </c>
      <c r="F55" s="177" t="s">
        <v>125</v>
      </c>
      <c r="G55" s="444" t="s">
        <v>126</v>
      </c>
      <c r="H55" s="177" t="s">
        <v>127</v>
      </c>
      <c r="I55" s="177" t="s">
        <v>128</v>
      </c>
      <c r="J55" s="177" t="s">
        <v>129</v>
      </c>
      <c r="K55" s="177" t="s">
        <v>130</v>
      </c>
      <c r="L55" s="177" t="s">
        <v>131</v>
      </c>
      <c r="M55" s="177" t="s">
        <v>132</v>
      </c>
      <c r="N55" s="177" t="s">
        <v>133</v>
      </c>
      <c r="O55" s="177" t="s">
        <v>134</v>
      </c>
      <c r="P55" s="107"/>
      <c r="Q55" s="107"/>
      <c r="R55" s="18"/>
    </row>
    <row r="56">
      <c r="B56" s="152" t="s">
        <v>171</v>
      </c>
      <c r="C56" s="153"/>
      <c r="D56" s="178">
        <f t="shared" ref="D56:O56" si="24">+D53</f>
        <v>1127.46</v>
      </c>
      <c r="E56" s="178">
        <f t="shared" si="24"/>
        <v>1421.49</v>
      </c>
      <c r="F56" s="178">
        <f t="shared" si="24"/>
        <v>1424.72</v>
      </c>
      <c r="G56" s="445">
        <f t="shared" si="24"/>
        <v>2364.34</v>
      </c>
      <c r="H56" s="178">
        <f t="shared" si="24"/>
        <v>1531.02</v>
      </c>
      <c r="I56" s="178">
        <f t="shared" si="24"/>
        <v>1603.42</v>
      </c>
      <c r="J56" s="178">
        <f t="shared" si="24"/>
        <v>2047.43</v>
      </c>
      <c r="K56" s="178">
        <f t="shared" si="24"/>
        <v>760.97</v>
      </c>
      <c r="L56" s="178">
        <f t="shared" si="24"/>
        <v>933.43</v>
      </c>
      <c r="M56" s="171">
        <f t="shared" si="24"/>
        <v>504.43</v>
      </c>
      <c r="N56" s="178">
        <f t="shared" si="24"/>
        <v>380.52</v>
      </c>
      <c r="O56" s="171">
        <f t="shared" si="24"/>
        <v>290.74</v>
      </c>
      <c r="P56" s="27"/>
      <c r="Q56" s="27"/>
    </row>
    <row r="57">
      <c r="D57" s="362"/>
      <c r="E57" s="362"/>
      <c r="F57" s="27"/>
      <c r="G57" s="27"/>
      <c r="H57" s="27"/>
      <c r="J57" s="27"/>
      <c r="L57" s="27"/>
      <c r="O57" s="27"/>
      <c r="P57" s="27"/>
      <c r="Q57" s="27"/>
    </row>
    <row r="58">
      <c r="F58" s="27"/>
      <c r="G58" s="27"/>
      <c r="H58" s="27"/>
      <c r="J58" s="27"/>
      <c r="L58" s="27"/>
      <c r="O58" s="27"/>
      <c r="P58" s="27"/>
      <c r="Q58" s="27"/>
    </row>
    <row r="59">
      <c r="F59" s="27"/>
      <c r="G59" s="27"/>
      <c r="H59" s="27"/>
      <c r="J59" s="27"/>
      <c r="L59" s="27"/>
      <c r="O59" s="27"/>
      <c r="P59" s="27"/>
      <c r="Q59" s="27"/>
    </row>
    <row r="60">
      <c r="F60" s="27"/>
      <c r="G60" s="27"/>
      <c r="H60" s="27"/>
      <c r="J60" s="27"/>
      <c r="L60" s="27"/>
      <c r="O60" s="27"/>
      <c r="P60" s="27"/>
      <c r="Q60" s="27"/>
    </row>
    <row r="61">
      <c r="F61" s="27"/>
      <c r="G61" s="27"/>
      <c r="H61" s="27"/>
      <c r="J61" s="27"/>
      <c r="L61" s="27"/>
      <c r="O61" s="27"/>
      <c r="P61" s="27"/>
      <c r="Q61" s="27"/>
    </row>
    <row r="62">
      <c r="F62" s="27"/>
      <c r="G62" s="27"/>
      <c r="H62" s="27"/>
      <c r="J62" s="27"/>
      <c r="L62" s="27"/>
      <c r="N62" s="27"/>
      <c r="O62" s="27"/>
      <c r="P62" s="27"/>
      <c r="Q62" s="27"/>
    </row>
    <row r="63">
      <c r="F63" s="27"/>
      <c r="G63" s="27"/>
      <c r="H63" s="27"/>
      <c r="J63" s="27"/>
      <c r="L63" s="27"/>
      <c r="N63" s="27"/>
      <c r="O63" s="27"/>
      <c r="P63" s="27"/>
      <c r="Q63" s="27"/>
    </row>
    <row r="64">
      <c r="F64" s="27"/>
      <c r="G64" s="27"/>
      <c r="H64" s="27"/>
      <c r="J64" s="27"/>
      <c r="L64" s="27"/>
      <c r="N64" s="27"/>
      <c r="O64" s="27"/>
      <c r="P64" s="27"/>
      <c r="Q64" s="27"/>
    </row>
    <row r="65">
      <c r="F65" s="27"/>
      <c r="G65" s="27"/>
      <c r="H65" s="27"/>
      <c r="J65" s="27"/>
      <c r="L65" s="27"/>
      <c r="N65" s="27"/>
      <c r="O65" s="27"/>
      <c r="P65" s="27"/>
      <c r="Q65" s="27"/>
    </row>
    <row r="66">
      <c r="F66" s="27"/>
      <c r="G66" s="27"/>
      <c r="H66" s="27"/>
      <c r="J66" s="27"/>
      <c r="L66" s="27"/>
      <c r="N66" s="27"/>
      <c r="O66" s="27"/>
      <c r="P66" s="27"/>
      <c r="Q66" s="27"/>
    </row>
    <row r="67">
      <c r="F67" s="27"/>
      <c r="G67" s="27"/>
      <c r="H67" s="27"/>
      <c r="J67" s="27"/>
      <c r="L67" s="27"/>
      <c r="N67" s="27"/>
      <c r="O67" s="27"/>
      <c r="P67" s="27"/>
      <c r="Q67" s="27"/>
    </row>
    <row r="68">
      <c r="F68" s="27"/>
      <c r="G68" s="27"/>
      <c r="H68" s="27"/>
      <c r="J68" s="27"/>
      <c r="L68" s="27"/>
      <c r="M68" s="27"/>
      <c r="N68" s="27"/>
      <c r="O68" s="27"/>
      <c r="P68" s="27"/>
      <c r="Q68" s="27"/>
    </row>
    <row r="69">
      <c r="F69" s="27"/>
      <c r="G69" s="27"/>
      <c r="H69" s="27"/>
      <c r="J69" s="27"/>
      <c r="L69" s="27"/>
      <c r="M69" s="27"/>
      <c r="N69" s="27"/>
      <c r="O69" s="27"/>
      <c r="P69" s="27"/>
      <c r="Q69" s="27"/>
    </row>
    <row r="70">
      <c r="F70" s="27"/>
      <c r="G70" s="27"/>
      <c r="H70" s="27"/>
      <c r="J70" s="27"/>
      <c r="L70" s="27"/>
      <c r="M70" s="27"/>
      <c r="N70" s="27"/>
      <c r="O70" s="27"/>
      <c r="P70" s="27"/>
      <c r="Q70" s="27"/>
    </row>
    <row r="71">
      <c r="F71" s="27"/>
      <c r="G71" s="27"/>
      <c r="H71" s="27"/>
      <c r="J71" s="27"/>
      <c r="L71" s="27"/>
      <c r="M71" s="27"/>
      <c r="N71" s="27"/>
      <c r="O71" s="27"/>
      <c r="P71" s="27"/>
      <c r="Q71" s="27"/>
    </row>
    <row r="72">
      <c r="F72" s="27"/>
      <c r="G72" s="27"/>
      <c r="H72" s="27"/>
      <c r="J72" s="27"/>
      <c r="L72" s="27"/>
      <c r="M72" s="27"/>
      <c r="N72" s="27"/>
      <c r="O72" s="27"/>
      <c r="P72" s="27"/>
      <c r="Q72" s="27"/>
    </row>
    <row r="73">
      <c r="F73" s="27"/>
      <c r="G73" s="27"/>
      <c r="H73" s="27"/>
      <c r="J73" s="27"/>
      <c r="L73" s="27"/>
      <c r="M73" s="27"/>
      <c r="N73" s="27"/>
      <c r="O73" s="27"/>
      <c r="P73" s="27"/>
      <c r="Q73" s="27"/>
    </row>
    <row r="74">
      <c r="F74" s="27"/>
      <c r="G74" s="27"/>
      <c r="H74" s="27"/>
      <c r="J74" s="27"/>
      <c r="L74" s="27"/>
      <c r="M74" s="27"/>
      <c r="N74" s="27"/>
      <c r="O74" s="27"/>
      <c r="P74" s="27"/>
      <c r="Q74" s="27"/>
    </row>
    <row r="75">
      <c r="F75" s="27"/>
      <c r="G75" s="27"/>
      <c r="H75" s="27"/>
      <c r="J75" s="27"/>
      <c r="L75" s="27"/>
      <c r="M75" s="27"/>
      <c r="N75" s="27"/>
      <c r="O75" s="27"/>
      <c r="P75" s="27"/>
      <c r="Q75" s="27"/>
    </row>
    <row r="76">
      <c r="F76" s="27"/>
      <c r="G76" s="27"/>
      <c r="H76" s="27"/>
      <c r="J76" s="27"/>
      <c r="L76" s="27"/>
      <c r="M76" s="27"/>
      <c r="N76" s="27"/>
      <c r="O76" s="27"/>
      <c r="P76" s="27"/>
      <c r="Q76" s="27"/>
    </row>
    <row r="77">
      <c r="F77" s="27"/>
      <c r="G77" s="27"/>
      <c r="H77" s="27"/>
      <c r="J77" s="27"/>
      <c r="L77" s="27"/>
      <c r="M77" s="27"/>
      <c r="N77" s="27"/>
      <c r="O77" s="27"/>
      <c r="P77" s="27"/>
      <c r="Q77" s="27"/>
    </row>
    <row r="78">
      <c r="F78" s="27"/>
      <c r="G78" s="27"/>
      <c r="H78" s="27"/>
      <c r="J78" s="27"/>
      <c r="L78" s="27"/>
      <c r="M78" s="27"/>
      <c r="N78" s="27"/>
      <c r="O78" s="27"/>
      <c r="P78" s="27"/>
      <c r="Q78" s="27"/>
    </row>
    <row r="79">
      <c r="F79" s="27"/>
      <c r="G79" s="27"/>
      <c r="H79" s="27"/>
      <c r="J79" s="27"/>
      <c r="L79" s="27"/>
      <c r="M79" s="27"/>
      <c r="N79" s="27"/>
      <c r="O79" s="27"/>
      <c r="P79" s="27"/>
      <c r="Q79" s="27"/>
    </row>
    <row r="80">
      <c r="F80" s="27"/>
      <c r="G80" s="27"/>
      <c r="H80" s="27"/>
      <c r="J80" s="27"/>
      <c r="L80" s="27"/>
      <c r="M80" s="27"/>
      <c r="N80" s="27"/>
      <c r="O80" s="27"/>
      <c r="P80" s="27"/>
      <c r="Q80" s="27"/>
    </row>
    <row r="81">
      <c r="F81" s="27"/>
      <c r="G81" s="27"/>
      <c r="H81" s="27"/>
      <c r="J81" s="27"/>
      <c r="L81" s="27"/>
      <c r="M81" s="27"/>
      <c r="N81" s="27"/>
      <c r="O81" s="27"/>
      <c r="P81" s="27"/>
      <c r="Q81" s="27"/>
    </row>
    <row r="82">
      <c r="F82" s="27"/>
      <c r="G82" s="27"/>
      <c r="H82" s="27"/>
      <c r="J82" s="27"/>
      <c r="L82" s="27"/>
      <c r="M82" s="27"/>
      <c r="N82" s="27"/>
      <c r="O82" s="27"/>
      <c r="P82" s="27"/>
      <c r="Q82" s="27"/>
    </row>
    <row r="83">
      <c r="F83" s="27"/>
      <c r="G83" s="27"/>
      <c r="H83" s="27"/>
      <c r="J83" s="27"/>
      <c r="L83" s="27"/>
      <c r="M83" s="27"/>
      <c r="N83" s="27"/>
      <c r="O83" s="27"/>
      <c r="P83" s="27"/>
      <c r="Q83" s="27"/>
    </row>
    <row r="84">
      <c r="F84" s="27"/>
      <c r="G84" s="27"/>
      <c r="H84" s="27"/>
      <c r="J84" s="27"/>
      <c r="L84" s="27"/>
      <c r="M84" s="27"/>
      <c r="N84" s="27"/>
      <c r="O84" s="27"/>
      <c r="P84" s="27"/>
      <c r="Q84" s="27"/>
    </row>
    <row r="85">
      <c r="F85" s="27"/>
      <c r="G85" s="27"/>
      <c r="H85" s="27"/>
      <c r="J85" s="27"/>
      <c r="L85" s="27"/>
      <c r="M85" s="27"/>
      <c r="N85" s="27"/>
      <c r="O85" s="27"/>
      <c r="P85" s="27"/>
      <c r="Q85" s="27"/>
    </row>
    <row r="86">
      <c r="F86" s="27"/>
      <c r="G86" s="27"/>
      <c r="H86" s="27"/>
      <c r="J86" s="27"/>
      <c r="L86" s="27"/>
      <c r="M86" s="27"/>
      <c r="N86" s="27"/>
      <c r="O86" s="27"/>
      <c r="P86" s="27"/>
      <c r="Q86" s="27"/>
    </row>
    <row r="87">
      <c r="F87" s="27"/>
      <c r="G87" s="27"/>
      <c r="H87" s="27"/>
      <c r="J87" s="27"/>
      <c r="L87" s="27"/>
      <c r="M87" s="27"/>
      <c r="N87" s="27"/>
      <c r="O87" s="27"/>
      <c r="P87" s="27"/>
      <c r="Q87" s="27"/>
    </row>
    <row r="88">
      <c r="F88" s="27"/>
      <c r="G88" s="27"/>
      <c r="H88" s="27"/>
      <c r="J88" s="27"/>
      <c r="L88" s="27"/>
      <c r="M88" s="27"/>
      <c r="N88" s="27"/>
      <c r="O88" s="27"/>
      <c r="P88" s="27"/>
      <c r="Q88" s="27"/>
    </row>
    <row r="89">
      <c r="F89" s="27"/>
      <c r="G89" s="27"/>
      <c r="H89" s="27"/>
      <c r="J89" s="27"/>
      <c r="L89" s="27"/>
      <c r="M89" s="27"/>
      <c r="N89" s="27"/>
      <c r="O89" s="27"/>
      <c r="P89" s="27"/>
      <c r="Q89" s="27"/>
    </row>
    <row r="90">
      <c r="F90" s="27"/>
      <c r="G90" s="27"/>
      <c r="H90" s="27"/>
      <c r="J90" s="27"/>
      <c r="L90" s="27"/>
      <c r="M90" s="27"/>
      <c r="N90" s="27"/>
      <c r="O90" s="27"/>
      <c r="P90" s="27"/>
      <c r="Q90" s="27"/>
    </row>
    <row r="91">
      <c r="F91" s="27"/>
      <c r="G91" s="27"/>
      <c r="H91" s="27"/>
      <c r="J91" s="27"/>
      <c r="L91" s="27"/>
      <c r="M91" s="27"/>
      <c r="N91" s="27"/>
      <c r="O91" s="27"/>
      <c r="P91" s="27"/>
      <c r="Q91" s="27"/>
    </row>
    <row r="92">
      <c r="F92" s="27"/>
      <c r="G92" s="27"/>
      <c r="H92" s="27"/>
      <c r="J92" s="27"/>
      <c r="L92" s="27"/>
      <c r="M92" s="27"/>
      <c r="N92" s="27"/>
      <c r="O92" s="27"/>
      <c r="P92" s="27"/>
      <c r="Q92" s="27"/>
    </row>
    <row r="93">
      <c r="F93" s="27"/>
      <c r="G93" s="27"/>
      <c r="H93" s="27"/>
      <c r="J93" s="27"/>
      <c r="L93" s="27"/>
      <c r="M93" s="27"/>
      <c r="N93" s="27"/>
      <c r="O93" s="27"/>
      <c r="P93" s="27"/>
      <c r="Q93" s="27"/>
    </row>
    <row r="94">
      <c r="F94" s="27"/>
      <c r="G94" s="27"/>
      <c r="H94" s="27"/>
      <c r="J94" s="27"/>
      <c r="L94" s="27"/>
      <c r="M94" s="27"/>
      <c r="N94" s="27"/>
      <c r="O94" s="27"/>
      <c r="P94" s="27"/>
      <c r="Q94" s="27"/>
    </row>
    <row r="95">
      <c r="F95" s="27"/>
      <c r="G95" s="27"/>
      <c r="H95" s="27"/>
      <c r="J95" s="27"/>
      <c r="L95" s="27"/>
      <c r="M95" s="27"/>
      <c r="N95" s="27"/>
      <c r="O95" s="27"/>
      <c r="P95" s="27"/>
      <c r="Q95" s="27"/>
    </row>
    <row r="96">
      <c r="F96" s="27"/>
      <c r="G96" s="27"/>
      <c r="H96" s="27"/>
      <c r="J96" s="27"/>
      <c r="L96" s="27"/>
      <c r="M96" s="27"/>
      <c r="N96" s="27"/>
      <c r="O96" s="27"/>
      <c r="P96" s="27"/>
      <c r="Q96" s="27"/>
    </row>
    <row r="97">
      <c r="F97" s="27"/>
      <c r="G97" s="27"/>
      <c r="H97" s="27"/>
      <c r="J97" s="27"/>
      <c r="L97" s="27"/>
      <c r="M97" s="27"/>
      <c r="N97" s="27"/>
      <c r="O97" s="27"/>
      <c r="P97" s="27"/>
      <c r="Q97" s="27"/>
    </row>
    <row r="98">
      <c r="F98" s="27"/>
      <c r="G98" s="27"/>
      <c r="H98" s="27"/>
      <c r="J98" s="27"/>
      <c r="L98" s="27"/>
      <c r="M98" s="27"/>
      <c r="N98" s="27"/>
      <c r="O98" s="27"/>
      <c r="P98" s="27"/>
      <c r="Q98" s="27"/>
    </row>
    <row r="99">
      <c r="F99" s="27"/>
      <c r="G99" s="27"/>
      <c r="H99" s="27"/>
      <c r="J99" s="27"/>
      <c r="L99" s="27"/>
      <c r="M99" s="27"/>
      <c r="N99" s="27"/>
      <c r="O99" s="27"/>
      <c r="P99" s="27"/>
      <c r="Q99" s="27"/>
    </row>
    <row r="100">
      <c r="F100" s="27"/>
      <c r="G100" s="27"/>
      <c r="H100" s="27"/>
      <c r="J100" s="27"/>
      <c r="L100" s="27"/>
      <c r="M100" s="27"/>
      <c r="N100" s="27"/>
      <c r="O100" s="27"/>
      <c r="P100" s="27"/>
      <c r="Q100" s="27"/>
    </row>
    <row r="101">
      <c r="F101" s="27"/>
      <c r="G101" s="27"/>
      <c r="H101" s="27"/>
      <c r="J101" s="27"/>
      <c r="L101" s="27"/>
      <c r="M101" s="27"/>
      <c r="N101" s="27"/>
      <c r="O101" s="27"/>
      <c r="P101" s="27"/>
      <c r="Q101" s="27"/>
    </row>
    <row r="102">
      <c r="F102" s="27"/>
      <c r="G102" s="27"/>
      <c r="H102" s="27"/>
      <c r="J102" s="27"/>
      <c r="L102" s="27"/>
      <c r="M102" s="27"/>
      <c r="N102" s="27"/>
      <c r="O102" s="27"/>
      <c r="P102" s="27"/>
      <c r="Q102" s="27"/>
    </row>
    <row r="103">
      <c r="F103" s="27"/>
      <c r="G103" s="27"/>
      <c r="H103" s="27"/>
      <c r="J103" s="27"/>
      <c r="L103" s="27"/>
      <c r="M103" s="27"/>
      <c r="N103" s="27"/>
      <c r="O103" s="27"/>
      <c r="P103" s="27"/>
      <c r="Q103" s="27"/>
    </row>
    <row r="104">
      <c r="F104" s="27"/>
      <c r="G104" s="27"/>
      <c r="H104" s="27"/>
      <c r="J104" s="27"/>
      <c r="L104" s="27"/>
      <c r="M104" s="27"/>
      <c r="N104" s="27"/>
      <c r="O104" s="27"/>
      <c r="P104" s="27"/>
      <c r="Q104" s="27"/>
    </row>
    <row r="105">
      <c r="F105" s="27"/>
      <c r="G105" s="27"/>
      <c r="H105" s="27"/>
      <c r="J105" s="27"/>
      <c r="L105" s="27"/>
      <c r="M105" s="27"/>
      <c r="N105" s="27"/>
      <c r="O105" s="27"/>
      <c r="P105" s="27"/>
      <c r="Q105" s="27"/>
    </row>
    <row r="106">
      <c r="F106" s="27"/>
      <c r="G106" s="27"/>
      <c r="H106" s="27"/>
      <c r="J106" s="27"/>
      <c r="L106" s="27"/>
      <c r="M106" s="27"/>
      <c r="N106" s="27"/>
      <c r="O106" s="27"/>
      <c r="P106" s="27"/>
      <c r="Q106" s="27"/>
    </row>
    <row r="107">
      <c r="F107" s="27"/>
      <c r="G107" s="27"/>
      <c r="H107" s="27"/>
      <c r="J107" s="27"/>
      <c r="L107" s="27"/>
      <c r="M107" s="27"/>
      <c r="N107" s="27"/>
      <c r="O107" s="27"/>
      <c r="P107" s="27"/>
      <c r="Q107" s="27"/>
    </row>
    <row r="108">
      <c r="F108" s="27"/>
      <c r="G108" s="27"/>
      <c r="H108" s="27"/>
      <c r="J108" s="27"/>
      <c r="L108" s="27"/>
      <c r="M108" s="27"/>
      <c r="N108" s="27"/>
      <c r="O108" s="27"/>
      <c r="P108" s="27"/>
      <c r="Q108" s="27"/>
    </row>
    <row r="109">
      <c r="F109" s="27"/>
      <c r="G109" s="27"/>
      <c r="H109" s="27"/>
      <c r="J109" s="27"/>
      <c r="L109" s="27"/>
      <c r="M109" s="27"/>
      <c r="N109" s="27"/>
      <c r="O109" s="27"/>
      <c r="P109" s="27"/>
      <c r="Q109" s="27"/>
    </row>
    <row r="110">
      <c r="F110" s="27"/>
      <c r="G110" s="27"/>
      <c r="H110" s="27"/>
      <c r="J110" s="27"/>
      <c r="L110" s="27"/>
      <c r="M110" s="27"/>
      <c r="N110" s="27"/>
      <c r="O110" s="27"/>
      <c r="P110" s="27"/>
      <c r="Q110" s="27"/>
    </row>
    <row r="111">
      <c r="F111" s="27"/>
      <c r="G111" s="27"/>
      <c r="H111" s="27"/>
      <c r="J111" s="27"/>
      <c r="L111" s="27"/>
      <c r="M111" s="27"/>
      <c r="N111" s="27"/>
      <c r="O111" s="27"/>
      <c r="P111" s="27"/>
      <c r="Q111" s="27"/>
    </row>
    <row r="112">
      <c r="F112" s="27"/>
      <c r="G112" s="27"/>
      <c r="H112" s="27"/>
      <c r="J112" s="27"/>
      <c r="L112" s="27"/>
      <c r="M112" s="27"/>
      <c r="N112" s="27"/>
      <c r="O112" s="27"/>
      <c r="P112" s="27"/>
      <c r="Q112" s="27"/>
    </row>
    <row r="113">
      <c r="F113" s="27"/>
      <c r="G113" s="27"/>
      <c r="H113" s="27"/>
      <c r="J113" s="27"/>
      <c r="L113" s="27"/>
      <c r="M113" s="27"/>
      <c r="N113" s="27"/>
      <c r="O113" s="27"/>
      <c r="P113" s="27"/>
      <c r="Q113" s="27"/>
    </row>
    <row r="114">
      <c r="F114" s="27"/>
      <c r="G114" s="27"/>
      <c r="H114" s="27"/>
      <c r="J114" s="27"/>
      <c r="L114" s="27"/>
      <c r="M114" s="27"/>
      <c r="N114" s="27"/>
      <c r="O114" s="27"/>
      <c r="P114" s="27"/>
      <c r="Q114" s="27"/>
    </row>
    <row r="115">
      <c r="F115" s="27"/>
      <c r="G115" s="27"/>
      <c r="H115" s="27"/>
      <c r="J115" s="27"/>
      <c r="L115" s="27"/>
      <c r="M115" s="27"/>
      <c r="N115" s="27"/>
      <c r="O115" s="27"/>
      <c r="P115" s="27"/>
      <c r="Q115" s="27"/>
    </row>
    <row r="116">
      <c r="F116" s="27"/>
      <c r="G116" s="27"/>
      <c r="H116" s="27"/>
      <c r="J116" s="27"/>
      <c r="L116" s="27"/>
      <c r="M116" s="27"/>
      <c r="N116" s="27"/>
      <c r="O116" s="27"/>
      <c r="P116" s="27"/>
      <c r="Q116" s="27"/>
    </row>
    <row r="117">
      <c r="F117" s="27"/>
      <c r="G117" s="27"/>
      <c r="H117" s="27"/>
      <c r="J117" s="27"/>
      <c r="L117" s="27"/>
      <c r="M117" s="27"/>
      <c r="N117" s="27"/>
      <c r="O117" s="27"/>
      <c r="P117" s="27"/>
      <c r="Q117" s="27"/>
    </row>
    <row r="118">
      <c r="F118" s="27"/>
      <c r="G118" s="27"/>
      <c r="H118" s="27"/>
      <c r="J118" s="27"/>
      <c r="L118" s="27"/>
      <c r="M118" s="27"/>
      <c r="N118" s="27"/>
      <c r="O118" s="27"/>
      <c r="P118" s="27"/>
      <c r="Q118" s="27"/>
    </row>
    <row r="119">
      <c r="F119" s="27"/>
      <c r="G119" s="27"/>
      <c r="H119" s="27"/>
      <c r="J119" s="27"/>
      <c r="L119" s="27"/>
      <c r="M119" s="27"/>
      <c r="N119" s="27"/>
      <c r="O119" s="27"/>
      <c r="P119" s="27"/>
      <c r="Q119" s="27"/>
    </row>
    <row r="120">
      <c r="F120" s="27"/>
      <c r="G120" s="27"/>
      <c r="H120" s="27"/>
      <c r="J120" s="27"/>
      <c r="L120" s="27"/>
      <c r="M120" s="27"/>
      <c r="N120" s="27"/>
      <c r="O120" s="27"/>
      <c r="P120" s="27"/>
      <c r="Q120" s="27"/>
    </row>
    <row r="121">
      <c r="F121" s="27"/>
      <c r="G121" s="27"/>
      <c r="H121" s="27"/>
      <c r="J121" s="27"/>
      <c r="L121" s="27"/>
      <c r="M121" s="27"/>
      <c r="N121" s="27"/>
      <c r="O121" s="27"/>
      <c r="P121" s="27"/>
      <c r="Q121" s="27"/>
    </row>
    <row r="122">
      <c r="F122" s="27"/>
      <c r="G122" s="27"/>
      <c r="H122" s="27"/>
      <c r="J122" s="27"/>
      <c r="L122" s="27"/>
      <c r="M122" s="27"/>
      <c r="N122" s="27"/>
      <c r="O122" s="27"/>
      <c r="P122" s="27"/>
      <c r="Q122" s="27"/>
    </row>
    <row r="123">
      <c r="F123" s="27"/>
      <c r="G123" s="27"/>
      <c r="H123" s="27"/>
      <c r="J123" s="27"/>
      <c r="L123" s="27"/>
      <c r="M123" s="27"/>
      <c r="N123" s="27"/>
      <c r="O123" s="27"/>
      <c r="P123" s="27"/>
      <c r="Q123" s="27"/>
    </row>
    <row r="124">
      <c r="F124" s="27"/>
      <c r="G124" s="27"/>
      <c r="H124" s="27"/>
      <c r="J124" s="27"/>
      <c r="L124" s="27"/>
      <c r="M124" s="27"/>
      <c r="N124" s="27"/>
      <c r="O124" s="27"/>
      <c r="P124" s="27"/>
      <c r="Q124" s="27"/>
    </row>
    <row r="125">
      <c r="F125" s="27"/>
      <c r="G125" s="27"/>
      <c r="H125" s="27"/>
      <c r="J125" s="27"/>
      <c r="L125" s="27"/>
      <c r="M125" s="27"/>
      <c r="N125" s="27"/>
      <c r="O125" s="27"/>
      <c r="P125" s="27"/>
      <c r="Q125" s="27"/>
    </row>
    <row r="126">
      <c r="F126" s="27"/>
      <c r="G126" s="27"/>
      <c r="H126" s="27"/>
      <c r="J126" s="27"/>
      <c r="L126" s="27"/>
      <c r="M126" s="27"/>
      <c r="N126" s="27"/>
      <c r="O126" s="27"/>
      <c r="P126" s="27"/>
      <c r="Q126" s="27"/>
    </row>
    <row r="127">
      <c r="F127" s="27"/>
      <c r="G127" s="27"/>
      <c r="H127" s="27"/>
      <c r="J127" s="27"/>
      <c r="L127" s="27"/>
      <c r="M127" s="27"/>
      <c r="N127" s="27"/>
      <c r="O127" s="27"/>
      <c r="P127" s="27"/>
      <c r="Q127" s="27"/>
    </row>
    <row r="128">
      <c r="F128" s="27"/>
      <c r="G128" s="27"/>
      <c r="H128" s="27"/>
      <c r="J128" s="27"/>
      <c r="L128" s="27"/>
      <c r="M128" s="27"/>
      <c r="N128" s="27"/>
      <c r="O128" s="27"/>
      <c r="P128" s="27"/>
      <c r="Q128" s="27"/>
    </row>
    <row r="129">
      <c r="F129" s="27"/>
      <c r="G129" s="27"/>
      <c r="H129" s="27"/>
      <c r="J129" s="27"/>
      <c r="L129" s="27"/>
      <c r="M129" s="27"/>
      <c r="N129" s="27"/>
      <c r="O129" s="27"/>
      <c r="P129" s="27"/>
      <c r="Q129" s="27"/>
    </row>
    <row r="130">
      <c r="F130" s="27"/>
      <c r="G130" s="27"/>
      <c r="H130" s="27"/>
      <c r="J130" s="27"/>
      <c r="L130" s="27"/>
      <c r="M130" s="27"/>
      <c r="N130" s="27"/>
      <c r="O130" s="27"/>
      <c r="P130" s="27"/>
      <c r="Q130" s="27"/>
    </row>
    <row r="131">
      <c r="F131" s="27"/>
      <c r="G131" s="27"/>
      <c r="H131" s="27"/>
      <c r="J131" s="27"/>
      <c r="L131" s="27"/>
      <c r="M131" s="27"/>
      <c r="N131" s="27"/>
      <c r="O131" s="27"/>
      <c r="P131" s="27"/>
      <c r="Q131" s="27"/>
    </row>
    <row r="132">
      <c r="F132" s="27"/>
      <c r="G132" s="27"/>
      <c r="H132" s="27"/>
      <c r="J132" s="27"/>
      <c r="L132" s="27"/>
      <c r="M132" s="27"/>
      <c r="N132" s="27"/>
      <c r="O132" s="27"/>
      <c r="P132" s="27"/>
      <c r="Q132" s="27"/>
    </row>
    <row r="133">
      <c r="F133" s="27"/>
      <c r="G133" s="27"/>
      <c r="H133" s="27"/>
      <c r="J133" s="27"/>
      <c r="L133" s="27"/>
      <c r="M133" s="27"/>
      <c r="N133" s="27"/>
      <c r="O133" s="27"/>
      <c r="P133" s="27"/>
      <c r="Q133" s="27"/>
    </row>
    <row r="134">
      <c r="F134" s="27"/>
      <c r="G134" s="27"/>
      <c r="H134" s="27"/>
      <c r="J134" s="27"/>
      <c r="L134" s="27"/>
      <c r="M134" s="27"/>
      <c r="N134" s="27"/>
      <c r="O134" s="27"/>
      <c r="P134" s="27"/>
      <c r="Q134" s="27"/>
    </row>
    <row r="135">
      <c r="F135" s="27"/>
      <c r="G135" s="27"/>
      <c r="H135" s="27"/>
      <c r="J135" s="27"/>
      <c r="L135" s="27"/>
      <c r="M135" s="27"/>
      <c r="N135" s="27"/>
      <c r="O135" s="27"/>
      <c r="P135" s="27"/>
      <c r="Q135" s="27"/>
    </row>
    <row r="136">
      <c r="F136" s="27"/>
      <c r="G136" s="27"/>
      <c r="H136" s="27"/>
      <c r="J136" s="27"/>
      <c r="L136" s="27"/>
      <c r="M136" s="27"/>
      <c r="N136" s="27"/>
      <c r="O136" s="27"/>
      <c r="P136" s="27"/>
      <c r="Q136" s="27"/>
    </row>
    <row r="137">
      <c r="F137" s="27"/>
      <c r="G137" s="27"/>
      <c r="H137" s="27"/>
      <c r="J137" s="27"/>
      <c r="L137" s="27"/>
      <c r="M137" s="27"/>
      <c r="N137" s="27"/>
      <c r="O137" s="27"/>
      <c r="P137" s="27"/>
      <c r="Q137" s="27"/>
    </row>
    <row r="138">
      <c r="F138" s="27"/>
      <c r="G138" s="27"/>
      <c r="H138" s="27"/>
      <c r="J138" s="27"/>
      <c r="L138" s="27"/>
      <c r="M138" s="27"/>
      <c r="N138" s="27"/>
      <c r="O138" s="27"/>
      <c r="P138" s="27"/>
      <c r="Q138" s="27"/>
    </row>
    <row r="139">
      <c r="F139" s="27"/>
      <c r="G139" s="27"/>
      <c r="H139" s="27"/>
      <c r="J139" s="27"/>
      <c r="L139" s="27"/>
      <c r="M139" s="27"/>
      <c r="N139" s="27"/>
      <c r="O139" s="27"/>
      <c r="P139" s="27"/>
      <c r="Q139" s="27"/>
    </row>
    <row r="140">
      <c r="F140" s="27"/>
      <c r="G140" s="27"/>
      <c r="H140" s="27"/>
      <c r="J140" s="27"/>
      <c r="L140" s="27"/>
      <c r="M140" s="27"/>
      <c r="N140" s="27"/>
      <c r="O140" s="27"/>
      <c r="P140" s="27"/>
      <c r="Q140" s="27"/>
    </row>
    <row r="141">
      <c r="F141" s="27"/>
      <c r="G141" s="27"/>
      <c r="H141" s="27"/>
      <c r="J141" s="27"/>
      <c r="L141" s="27"/>
      <c r="M141" s="27"/>
      <c r="N141" s="27"/>
      <c r="O141" s="27"/>
      <c r="P141" s="27"/>
      <c r="Q141" s="27"/>
    </row>
    <row r="142">
      <c r="F142" s="27"/>
      <c r="G142" s="27"/>
      <c r="H142" s="27"/>
      <c r="J142" s="27"/>
      <c r="L142" s="27"/>
      <c r="M142" s="27"/>
      <c r="N142" s="27"/>
      <c r="O142" s="27"/>
      <c r="P142" s="27"/>
      <c r="Q142" s="27"/>
    </row>
    <row r="143">
      <c r="F143" s="27"/>
      <c r="G143" s="27"/>
      <c r="H143" s="27"/>
      <c r="J143" s="27"/>
      <c r="L143" s="27"/>
      <c r="M143" s="27"/>
      <c r="N143" s="27"/>
      <c r="O143" s="27"/>
      <c r="P143" s="27"/>
      <c r="Q143" s="27"/>
    </row>
    <row r="144">
      <c r="F144" s="27"/>
      <c r="G144" s="27"/>
      <c r="H144" s="27"/>
      <c r="J144" s="27"/>
      <c r="L144" s="27"/>
      <c r="M144" s="27"/>
      <c r="N144" s="27"/>
      <c r="O144" s="27"/>
      <c r="P144" s="27"/>
      <c r="Q144" s="27"/>
    </row>
    <row r="145">
      <c r="F145" s="27"/>
      <c r="G145" s="27"/>
      <c r="H145" s="27"/>
      <c r="J145" s="27"/>
      <c r="L145" s="27"/>
      <c r="M145" s="27"/>
      <c r="N145" s="27"/>
      <c r="O145" s="27"/>
      <c r="P145" s="27"/>
      <c r="Q145" s="27"/>
    </row>
    <row r="146">
      <c r="F146" s="27"/>
      <c r="G146" s="27"/>
      <c r="H146" s="27"/>
      <c r="J146" s="27"/>
      <c r="L146" s="27"/>
      <c r="M146" s="27"/>
      <c r="N146" s="27"/>
      <c r="O146" s="27"/>
      <c r="P146" s="27"/>
      <c r="Q146" s="27"/>
    </row>
    <row r="147">
      <c r="F147" s="27"/>
      <c r="G147" s="27"/>
      <c r="H147" s="27"/>
      <c r="J147" s="27"/>
      <c r="L147" s="27"/>
      <c r="M147" s="27"/>
      <c r="N147" s="27"/>
      <c r="O147" s="27"/>
      <c r="P147" s="27"/>
      <c r="Q147" s="27"/>
    </row>
    <row r="148">
      <c r="F148" s="27"/>
      <c r="G148" s="27"/>
      <c r="H148" s="27"/>
      <c r="J148" s="27"/>
      <c r="L148" s="27"/>
      <c r="M148" s="27"/>
      <c r="N148" s="27"/>
      <c r="O148" s="27"/>
      <c r="P148" s="27"/>
      <c r="Q148" s="27"/>
    </row>
    <row r="149">
      <c r="F149" s="27"/>
      <c r="G149" s="27"/>
      <c r="H149" s="27"/>
      <c r="J149" s="27"/>
      <c r="L149" s="27"/>
      <c r="M149" s="27"/>
      <c r="N149" s="27"/>
      <c r="O149" s="27"/>
      <c r="P149" s="27"/>
      <c r="Q149" s="27"/>
    </row>
    <row r="150">
      <c r="F150" s="27"/>
      <c r="G150" s="27"/>
      <c r="H150" s="27"/>
      <c r="J150" s="27"/>
      <c r="L150" s="27"/>
      <c r="M150" s="27"/>
      <c r="N150" s="27"/>
      <c r="O150" s="27"/>
      <c r="P150" s="27"/>
      <c r="Q150" s="27"/>
    </row>
    <row r="151">
      <c r="F151" s="27"/>
      <c r="G151" s="27"/>
      <c r="H151" s="27"/>
      <c r="J151" s="27"/>
      <c r="L151" s="27"/>
      <c r="M151" s="27"/>
      <c r="N151" s="27"/>
      <c r="O151" s="27"/>
      <c r="P151" s="27"/>
      <c r="Q151" s="27"/>
    </row>
    <row r="152">
      <c r="F152" s="27"/>
      <c r="G152" s="27"/>
      <c r="H152" s="27"/>
      <c r="J152" s="27"/>
      <c r="L152" s="27"/>
      <c r="M152" s="27"/>
      <c r="N152" s="27"/>
      <c r="O152" s="27"/>
      <c r="P152" s="27"/>
      <c r="Q152" s="27"/>
    </row>
    <row r="153">
      <c r="F153" s="27"/>
      <c r="G153" s="27"/>
      <c r="H153" s="27"/>
      <c r="J153" s="27"/>
      <c r="L153" s="27"/>
      <c r="M153" s="27"/>
      <c r="N153" s="27"/>
      <c r="O153" s="27"/>
      <c r="P153" s="27"/>
      <c r="Q153" s="27"/>
    </row>
    <row r="154">
      <c r="F154" s="27"/>
      <c r="G154" s="27"/>
      <c r="H154" s="27"/>
      <c r="J154" s="27"/>
      <c r="L154" s="27"/>
      <c r="M154" s="27"/>
      <c r="N154" s="27"/>
      <c r="O154" s="27"/>
      <c r="P154" s="27"/>
      <c r="Q154" s="27"/>
    </row>
    <row r="155">
      <c r="F155" s="27"/>
      <c r="G155" s="27"/>
      <c r="H155" s="27"/>
      <c r="J155" s="27"/>
      <c r="L155" s="27"/>
      <c r="M155" s="27"/>
      <c r="N155" s="27"/>
      <c r="O155" s="27"/>
      <c r="P155" s="27"/>
      <c r="Q155" s="27"/>
    </row>
    <row r="156">
      <c r="F156" s="27"/>
      <c r="G156" s="27"/>
      <c r="H156" s="27"/>
      <c r="J156" s="27"/>
      <c r="L156" s="27"/>
      <c r="M156" s="27"/>
      <c r="N156" s="27"/>
      <c r="O156" s="27"/>
      <c r="P156" s="27"/>
      <c r="Q156" s="27"/>
    </row>
    <row r="157">
      <c r="F157" s="27"/>
      <c r="G157" s="27"/>
      <c r="H157" s="27"/>
      <c r="J157" s="27"/>
      <c r="L157" s="27"/>
      <c r="M157" s="27"/>
      <c r="N157" s="27"/>
      <c r="O157" s="27"/>
      <c r="P157" s="27"/>
      <c r="Q157" s="27"/>
    </row>
    <row r="158">
      <c r="F158" s="27"/>
      <c r="G158" s="27"/>
      <c r="H158" s="27"/>
      <c r="J158" s="27"/>
      <c r="L158" s="27"/>
      <c r="M158" s="27"/>
      <c r="N158" s="27"/>
      <c r="O158" s="27"/>
      <c r="P158" s="27"/>
      <c r="Q158" s="27"/>
    </row>
    <row r="159">
      <c r="F159" s="27"/>
      <c r="G159" s="27"/>
      <c r="H159" s="27"/>
      <c r="J159" s="27"/>
      <c r="L159" s="27"/>
      <c r="M159" s="27"/>
      <c r="N159" s="27"/>
      <c r="O159" s="27"/>
      <c r="P159" s="27"/>
      <c r="Q159" s="27"/>
    </row>
    <row r="160">
      <c r="F160" s="27"/>
      <c r="G160" s="27"/>
      <c r="H160" s="27"/>
      <c r="J160" s="27"/>
      <c r="L160" s="27"/>
      <c r="M160" s="27"/>
      <c r="N160" s="27"/>
      <c r="O160" s="27"/>
      <c r="P160" s="27"/>
      <c r="Q160" s="27"/>
    </row>
    <row r="161">
      <c r="F161" s="27"/>
      <c r="G161" s="27"/>
      <c r="H161" s="27"/>
      <c r="J161" s="27"/>
      <c r="L161" s="27"/>
      <c r="M161" s="27"/>
      <c r="N161" s="27"/>
      <c r="O161" s="27"/>
      <c r="P161" s="27"/>
      <c r="Q161" s="27"/>
    </row>
    <row r="162">
      <c r="F162" s="27"/>
      <c r="G162" s="27"/>
      <c r="H162" s="27"/>
      <c r="J162" s="27"/>
      <c r="L162" s="27"/>
      <c r="M162" s="27"/>
      <c r="N162" s="27"/>
      <c r="O162" s="27"/>
      <c r="P162" s="27"/>
      <c r="Q162" s="27"/>
    </row>
    <row r="163">
      <c r="F163" s="27"/>
      <c r="G163" s="27"/>
      <c r="H163" s="27"/>
      <c r="J163" s="27"/>
      <c r="L163" s="27"/>
      <c r="M163" s="27"/>
      <c r="N163" s="27"/>
      <c r="O163" s="27"/>
      <c r="P163" s="27"/>
      <c r="Q163" s="27"/>
    </row>
    <row r="164">
      <c r="F164" s="27"/>
      <c r="G164" s="27"/>
      <c r="H164" s="27"/>
      <c r="J164" s="27"/>
      <c r="L164" s="27"/>
      <c r="M164" s="27"/>
      <c r="N164" s="27"/>
      <c r="O164" s="27"/>
      <c r="P164" s="27"/>
      <c r="Q164" s="27"/>
    </row>
    <row r="165">
      <c r="F165" s="27"/>
      <c r="G165" s="27"/>
      <c r="H165" s="27"/>
      <c r="J165" s="27"/>
      <c r="L165" s="27"/>
      <c r="M165" s="27"/>
      <c r="N165" s="27"/>
      <c r="O165" s="27"/>
      <c r="P165" s="27"/>
      <c r="Q165" s="27"/>
    </row>
    <row r="166">
      <c r="F166" s="27"/>
      <c r="G166" s="27"/>
      <c r="H166" s="27"/>
      <c r="J166" s="27"/>
      <c r="L166" s="27"/>
      <c r="M166" s="27"/>
      <c r="N166" s="27"/>
      <c r="O166" s="27"/>
      <c r="P166" s="27"/>
      <c r="Q166" s="27"/>
    </row>
    <row r="167">
      <c r="F167" s="27"/>
      <c r="G167" s="27"/>
      <c r="H167" s="27"/>
      <c r="J167" s="27"/>
      <c r="L167" s="27"/>
      <c r="M167" s="27"/>
      <c r="N167" s="27"/>
      <c r="O167" s="27"/>
      <c r="P167" s="27"/>
      <c r="Q167" s="27"/>
    </row>
    <row r="168">
      <c r="F168" s="27"/>
      <c r="G168" s="27"/>
      <c r="H168" s="27"/>
      <c r="J168" s="27"/>
      <c r="L168" s="27"/>
      <c r="M168" s="27"/>
      <c r="N168" s="27"/>
      <c r="O168" s="27"/>
      <c r="P168" s="27"/>
      <c r="Q168" s="27"/>
    </row>
    <row r="169">
      <c r="F169" s="27"/>
      <c r="G169" s="27"/>
      <c r="H169" s="27"/>
      <c r="J169" s="27"/>
      <c r="L169" s="27"/>
      <c r="M169" s="27"/>
      <c r="N169" s="27"/>
      <c r="O169" s="27"/>
      <c r="P169" s="27"/>
      <c r="Q169" s="27"/>
    </row>
    <row r="170">
      <c r="F170" s="27"/>
      <c r="G170" s="27"/>
      <c r="H170" s="27"/>
      <c r="J170" s="27"/>
      <c r="L170" s="27"/>
      <c r="M170" s="27"/>
      <c r="N170" s="27"/>
      <c r="O170" s="27"/>
      <c r="P170" s="27"/>
      <c r="Q170" s="27"/>
    </row>
    <row r="171">
      <c r="F171" s="27"/>
      <c r="G171" s="27"/>
      <c r="H171" s="27"/>
      <c r="J171" s="27"/>
      <c r="L171" s="27"/>
      <c r="M171" s="27"/>
      <c r="N171" s="27"/>
      <c r="O171" s="27"/>
      <c r="P171" s="27"/>
      <c r="Q171" s="27"/>
    </row>
    <row r="172">
      <c r="F172" s="27"/>
      <c r="G172" s="27"/>
      <c r="H172" s="27"/>
      <c r="J172" s="27"/>
      <c r="L172" s="27"/>
      <c r="M172" s="27"/>
      <c r="N172" s="27"/>
      <c r="O172" s="27"/>
      <c r="P172" s="27"/>
      <c r="Q172" s="27"/>
    </row>
    <row r="173">
      <c r="F173" s="27"/>
      <c r="G173" s="27"/>
      <c r="H173" s="27"/>
      <c r="J173" s="27"/>
      <c r="L173" s="27"/>
      <c r="M173" s="27"/>
      <c r="N173" s="27"/>
      <c r="O173" s="27"/>
      <c r="P173" s="27"/>
      <c r="Q173" s="27"/>
    </row>
    <row r="174">
      <c r="F174" s="27"/>
      <c r="G174" s="27"/>
      <c r="H174" s="27"/>
      <c r="J174" s="27"/>
      <c r="L174" s="27"/>
      <c r="M174" s="27"/>
      <c r="N174" s="27"/>
      <c r="O174" s="27"/>
      <c r="P174" s="27"/>
      <c r="Q174" s="27"/>
    </row>
    <row r="175">
      <c r="F175" s="27"/>
      <c r="G175" s="27"/>
      <c r="H175" s="27"/>
      <c r="J175" s="27"/>
      <c r="L175" s="27"/>
      <c r="M175" s="27"/>
      <c r="N175" s="27"/>
      <c r="O175" s="27"/>
      <c r="P175" s="27"/>
      <c r="Q175" s="27"/>
    </row>
    <row r="176">
      <c r="F176" s="27"/>
      <c r="G176" s="27"/>
      <c r="H176" s="27"/>
      <c r="J176" s="27"/>
      <c r="L176" s="27"/>
      <c r="M176" s="27"/>
      <c r="N176" s="27"/>
      <c r="O176" s="27"/>
      <c r="P176" s="27"/>
      <c r="Q176" s="27"/>
    </row>
    <row r="177">
      <c r="F177" s="27"/>
      <c r="G177" s="27"/>
      <c r="H177" s="27"/>
      <c r="J177" s="27"/>
      <c r="L177" s="27"/>
      <c r="M177" s="27"/>
      <c r="N177" s="27"/>
      <c r="O177" s="27"/>
      <c r="P177" s="27"/>
      <c r="Q177" s="27"/>
    </row>
    <row r="178">
      <c r="F178" s="27"/>
      <c r="G178" s="27"/>
      <c r="H178" s="27"/>
      <c r="J178" s="27"/>
      <c r="L178" s="27"/>
      <c r="M178" s="27"/>
      <c r="N178" s="27"/>
      <c r="O178" s="27"/>
      <c r="P178" s="27"/>
      <c r="Q178" s="27"/>
    </row>
    <row r="179">
      <c r="F179" s="27"/>
      <c r="G179" s="27"/>
      <c r="H179" s="27"/>
      <c r="J179" s="27"/>
      <c r="L179" s="27"/>
      <c r="M179" s="27"/>
      <c r="N179" s="27"/>
      <c r="O179" s="27"/>
      <c r="P179" s="27"/>
      <c r="Q179" s="27"/>
    </row>
    <row r="180">
      <c r="F180" s="27"/>
      <c r="G180" s="27"/>
      <c r="H180" s="27"/>
      <c r="J180" s="27"/>
      <c r="L180" s="27"/>
      <c r="M180" s="27"/>
      <c r="N180" s="27"/>
      <c r="O180" s="27"/>
      <c r="P180" s="27"/>
      <c r="Q180" s="27"/>
    </row>
    <row r="181">
      <c r="F181" s="27"/>
      <c r="G181" s="27"/>
      <c r="H181" s="27"/>
      <c r="J181" s="27"/>
      <c r="L181" s="27"/>
      <c r="M181" s="27"/>
      <c r="N181" s="27"/>
      <c r="O181" s="27"/>
      <c r="P181" s="27"/>
      <c r="Q181" s="27"/>
    </row>
    <row r="182">
      <c r="F182" s="27"/>
      <c r="G182" s="27"/>
      <c r="H182" s="27"/>
      <c r="J182" s="27"/>
      <c r="L182" s="27"/>
      <c r="M182" s="27"/>
      <c r="N182" s="27"/>
      <c r="O182" s="27"/>
      <c r="P182" s="27"/>
      <c r="Q182" s="27"/>
    </row>
    <row r="183">
      <c r="F183" s="27"/>
      <c r="G183" s="27"/>
      <c r="H183" s="27"/>
      <c r="J183" s="27"/>
      <c r="L183" s="27"/>
      <c r="M183" s="27"/>
      <c r="N183" s="27"/>
      <c r="O183" s="27"/>
      <c r="P183" s="27"/>
      <c r="Q183" s="27"/>
    </row>
    <row r="184">
      <c r="F184" s="27"/>
      <c r="G184" s="27"/>
      <c r="H184" s="27"/>
      <c r="J184" s="27"/>
      <c r="L184" s="27"/>
      <c r="M184" s="27"/>
      <c r="N184" s="27"/>
      <c r="O184" s="27"/>
      <c r="P184" s="27"/>
      <c r="Q184" s="27"/>
    </row>
    <row r="185">
      <c r="F185" s="27"/>
      <c r="G185" s="27"/>
      <c r="H185" s="27"/>
      <c r="J185" s="27"/>
      <c r="L185" s="27"/>
      <c r="M185" s="27"/>
      <c r="N185" s="27"/>
      <c r="O185" s="27"/>
      <c r="P185" s="27"/>
      <c r="Q185" s="27"/>
    </row>
    <row r="186">
      <c r="F186" s="27"/>
      <c r="G186" s="27"/>
      <c r="H186" s="27"/>
      <c r="J186" s="27"/>
      <c r="L186" s="27"/>
      <c r="M186" s="27"/>
      <c r="N186" s="27"/>
      <c r="O186" s="27"/>
      <c r="P186" s="27"/>
      <c r="Q186" s="27"/>
    </row>
    <row r="187">
      <c r="F187" s="27"/>
      <c r="G187" s="27"/>
      <c r="H187" s="27"/>
      <c r="J187" s="27"/>
      <c r="L187" s="27"/>
      <c r="M187" s="27"/>
      <c r="N187" s="27"/>
      <c r="O187" s="27"/>
      <c r="P187" s="27"/>
      <c r="Q187" s="27"/>
    </row>
    <row r="188">
      <c r="F188" s="27"/>
      <c r="G188" s="27"/>
      <c r="H188" s="27"/>
      <c r="J188" s="27"/>
      <c r="L188" s="27"/>
      <c r="M188" s="27"/>
      <c r="N188" s="27"/>
      <c r="O188" s="27"/>
      <c r="P188" s="27"/>
      <c r="Q188" s="27"/>
    </row>
    <row r="189">
      <c r="F189" s="27"/>
      <c r="G189" s="27"/>
      <c r="H189" s="27"/>
      <c r="J189" s="27"/>
      <c r="L189" s="27"/>
      <c r="M189" s="27"/>
      <c r="N189" s="27"/>
      <c r="O189" s="27"/>
      <c r="P189" s="27"/>
      <c r="Q189" s="27"/>
    </row>
    <row r="190">
      <c r="F190" s="27"/>
      <c r="G190" s="27"/>
      <c r="H190" s="27"/>
      <c r="J190" s="27"/>
      <c r="L190" s="27"/>
      <c r="M190" s="27"/>
      <c r="N190" s="27"/>
      <c r="O190" s="27"/>
      <c r="P190" s="27"/>
      <c r="Q190" s="27"/>
    </row>
    <row r="191">
      <c r="F191" s="27"/>
      <c r="G191" s="27"/>
      <c r="H191" s="27"/>
      <c r="J191" s="27"/>
      <c r="L191" s="27"/>
      <c r="M191" s="27"/>
      <c r="N191" s="27"/>
      <c r="O191" s="27"/>
      <c r="P191" s="27"/>
      <c r="Q191" s="27"/>
    </row>
    <row r="192">
      <c r="F192" s="27"/>
      <c r="G192" s="27"/>
      <c r="H192" s="27"/>
      <c r="J192" s="27"/>
      <c r="L192" s="27"/>
      <c r="M192" s="27"/>
      <c r="N192" s="27"/>
      <c r="O192" s="27"/>
      <c r="P192" s="27"/>
      <c r="Q192" s="27"/>
    </row>
    <row r="193">
      <c r="F193" s="27"/>
      <c r="G193" s="27"/>
      <c r="H193" s="27"/>
      <c r="J193" s="27"/>
      <c r="L193" s="27"/>
      <c r="M193" s="27"/>
      <c r="N193" s="27"/>
      <c r="O193" s="27"/>
      <c r="P193" s="27"/>
      <c r="Q193" s="27"/>
    </row>
    <row r="194">
      <c r="F194" s="27"/>
      <c r="G194" s="27"/>
      <c r="H194" s="27"/>
      <c r="J194" s="27"/>
      <c r="L194" s="27"/>
      <c r="M194" s="27"/>
      <c r="N194" s="27"/>
      <c r="O194" s="27"/>
      <c r="P194" s="27"/>
      <c r="Q194" s="27"/>
    </row>
    <row r="195">
      <c r="F195" s="27"/>
      <c r="G195" s="27"/>
      <c r="H195" s="27"/>
      <c r="J195" s="27"/>
      <c r="L195" s="27"/>
      <c r="M195" s="27"/>
      <c r="N195" s="27"/>
      <c r="O195" s="27"/>
      <c r="P195" s="27"/>
      <c r="Q195" s="27"/>
    </row>
    <row r="196">
      <c r="F196" s="27"/>
      <c r="G196" s="27"/>
      <c r="H196" s="27"/>
      <c r="J196" s="27"/>
      <c r="L196" s="27"/>
      <c r="M196" s="27"/>
      <c r="N196" s="27"/>
      <c r="O196" s="27"/>
      <c r="P196" s="27"/>
      <c r="Q196" s="27"/>
    </row>
    <row r="197">
      <c r="F197" s="27"/>
      <c r="G197" s="27"/>
      <c r="H197" s="27"/>
      <c r="J197" s="27"/>
      <c r="L197" s="27"/>
      <c r="M197" s="27"/>
      <c r="N197" s="27"/>
      <c r="O197" s="27"/>
      <c r="P197" s="27"/>
      <c r="Q197" s="27"/>
    </row>
    <row r="198">
      <c r="F198" s="27"/>
      <c r="G198" s="27"/>
      <c r="H198" s="27"/>
      <c r="J198" s="27"/>
      <c r="L198" s="27"/>
      <c r="M198" s="27"/>
      <c r="N198" s="27"/>
      <c r="O198" s="27"/>
      <c r="P198" s="27"/>
      <c r="Q198" s="27"/>
    </row>
    <row r="199">
      <c r="F199" s="27"/>
      <c r="G199" s="27"/>
      <c r="H199" s="27"/>
      <c r="J199" s="27"/>
      <c r="L199" s="27"/>
      <c r="M199" s="27"/>
      <c r="N199" s="27"/>
      <c r="O199" s="27"/>
      <c r="P199" s="27"/>
      <c r="Q199" s="27"/>
    </row>
    <row r="200">
      <c r="F200" s="27"/>
      <c r="G200" s="27"/>
      <c r="H200" s="27"/>
      <c r="J200" s="27"/>
      <c r="L200" s="27"/>
      <c r="M200" s="27"/>
      <c r="N200" s="27"/>
      <c r="O200" s="27"/>
      <c r="P200" s="27"/>
      <c r="Q200" s="27"/>
    </row>
    <row r="201">
      <c r="F201" s="27"/>
      <c r="G201" s="27"/>
      <c r="H201" s="27"/>
      <c r="J201" s="27"/>
      <c r="L201" s="27"/>
      <c r="M201" s="27"/>
      <c r="N201" s="27"/>
      <c r="O201" s="27"/>
      <c r="P201" s="27"/>
      <c r="Q201" s="27"/>
    </row>
    <row r="202">
      <c r="F202" s="27"/>
      <c r="G202" s="27"/>
      <c r="H202" s="27"/>
      <c r="J202" s="27"/>
      <c r="L202" s="27"/>
      <c r="M202" s="27"/>
      <c r="N202" s="27"/>
      <c r="O202" s="27"/>
      <c r="P202" s="27"/>
      <c r="Q202" s="27"/>
    </row>
    <row r="203">
      <c r="F203" s="27"/>
      <c r="G203" s="27"/>
      <c r="H203" s="27"/>
      <c r="J203" s="27"/>
      <c r="L203" s="27"/>
      <c r="M203" s="27"/>
      <c r="N203" s="27"/>
      <c r="O203" s="27"/>
      <c r="P203" s="27"/>
      <c r="Q203" s="27"/>
    </row>
    <row r="204">
      <c r="F204" s="27"/>
      <c r="G204" s="27"/>
      <c r="H204" s="27"/>
      <c r="J204" s="27"/>
      <c r="L204" s="27"/>
      <c r="M204" s="27"/>
      <c r="N204" s="27"/>
      <c r="O204" s="27"/>
      <c r="P204" s="27"/>
      <c r="Q204" s="27"/>
    </row>
    <row r="205">
      <c r="F205" s="27"/>
      <c r="G205" s="27"/>
      <c r="H205" s="27"/>
      <c r="J205" s="27"/>
      <c r="L205" s="27"/>
      <c r="M205" s="27"/>
      <c r="N205" s="27"/>
      <c r="O205" s="27"/>
      <c r="P205" s="27"/>
      <c r="Q205" s="27"/>
    </row>
    <row r="206">
      <c r="F206" s="27"/>
      <c r="G206" s="27"/>
      <c r="H206" s="27"/>
      <c r="J206" s="27"/>
      <c r="L206" s="27"/>
      <c r="M206" s="27"/>
      <c r="N206" s="27"/>
      <c r="O206" s="27"/>
      <c r="P206" s="27"/>
      <c r="Q206" s="27"/>
    </row>
    <row r="207">
      <c r="F207" s="27"/>
      <c r="G207" s="27"/>
      <c r="H207" s="27"/>
      <c r="J207" s="27"/>
      <c r="L207" s="27"/>
      <c r="M207" s="27"/>
      <c r="N207" s="27"/>
      <c r="O207" s="27"/>
      <c r="P207" s="27"/>
      <c r="Q207" s="27"/>
    </row>
    <row r="208">
      <c r="F208" s="27"/>
      <c r="G208" s="27"/>
      <c r="H208" s="27"/>
      <c r="J208" s="27"/>
      <c r="L208" s="27"/>
      <c r="M208" s="27"/>
      <c r="N208" s="27"/>
      <c r="O208" s="27"/>
      <c r="P208" s="27"/>
      <c r="Q208" s="27"/>
    </row>
    <row r="209">
      <c r="F209" s="27"/>
      <c r="G209" s="27"/>
      <c r="H209" s="27"/>
      <c r="J209" s="27"/>
      <c r="L209" s="27"/>
      <c r="M209" s="27"/>
      <c r="N209" s="27"/>
      <c r="O209" s="27"/>
      <c r="P209" s="27"/>
      <c r="Q209" s="27"/>
    </row>
    <row r="210">
      <c r="F210" s="27"/>
      <c r="G210" s="27"/>
      <c r="H210" s="27"/>
      <c r="J210" s="27"/>
      <c r="L210" s="27"/>
      <c r="M210" s="27"/>
      <c r="N210" s="27"/>
      <c r="O210" s="27"/>
      <c r="P210" s="27"/>
      <c r="Q210" s="27"/>
    </row>
    <row r="211">
      <c r="F211" s="27"/>
      <c r="G211" s="27"/>
      <c r="H211" s="27"/>
      <c r="J211" s="27"/>
      <c r="L211" s="27"/>
      <c r="M211" s="27"/>
      <c r="N211" s="27"/>
      <c r="O211" s="27"/>
      <c r="P211" s="27"/>
      <c r="Q211" s="27"/>
    </row>
    <row r="212">
      <c r="F212" s="27"/>
      <c r="G212" s="27"/>
      <c r="H212" s="27"/>
      <c r="J212" s="27"/>
      <c r="L212" s="27"/>
      <c r="M212" s="27"/>
      <c r="N212" s="27"/>
      <c r="O212" s="27"/>
      <c r="P212" s="27"/>
      <c r="Q212" s="27"/>
    </row>
    <row r="213">
      <c r="F213" s="27"/>
      <c r="G213" s="27"/>
      <c r="H213" s="27"/>
      <c r="J213" s="27"/>
      <c r="L213" s="27"/>
      <c r="M213" s="27"/>
      <c r="N213" s="27"/>
      <c r="O213" s="27"/>
      <c r="P213" s="27"/>
      <c r="Q213" s="27"/>
    </row>
    <row r="214">
      <c r="F214" s="27"/>
      <c r="G214" s="27"/>
      <c r="H214" s="27"/>
      <c r="J214" s="27"/>
      <c r="L214" s="27"/>
      <c r="M214" s="27"/>
      <c r="N214" s="27"/>
      <c r="O214" s="27"/>
      <c r="P214" s="27"/>
      <c r="Q214" s="27"/>
    </row>
    <row r="215">
      <c r="F215" s="27"/>
      <c r="G215" s="27"/>
      <c r="H215" s="27"/>
      <c r="J215" s="27"/>
      <c r="L215" s="27"/>
      <c r="M215" s="27"/>
      <c r="N215" s="27"/>
      <c r="O215" s="27"/>
      <c r="P215" s="27"/>
      <c r="Q215" s="27"/>
    </row>
    <row r="216">
      <c r="F216" s="27"/>
      <c r="G216" s="27"/>
      <c r="H216" s="27"/>
      <c r="J216" s="27"/>
      <c r="L216" s="27"/>
      <c r="M216" s="27"/>
      <c r="N216" s="27"/>
      <c r="O216" s="27"/>
      <c r="P216" s="27"/>
      <c r="Q216" s="27"/>
    </row>
    <row r="217">
      <c r="F217" s="27"/>
      <c r="G217" s="27"/>
      <c r="H217" s="27"/>
      <c r="J217" s="27"/>
      <c r="L217" s="27"/>
      <c r="M217" s="27"/>
      <c r="N217" s="27"/>
      <c r="O217" s="27"/>
      <c r="P217" s="27"/>
      <c r="Q217" s="27"/>
    </row>
    <row r="218">
      <c r="F218" s="27"/>
      <c r="G218" s="27"/>
      <c r="H218" s="27"/>
      <c r="J218" s="27"/>
      <c r="L218" s="27"/>
      <c r="M218" s="27"/>
      <c r="N218" s="27"/>
      <c r="O218" s="27"/>
      <c r="P218" s="27"/>
      <c r="Q218" s="27"/>
    </row>
    <row r="219">
      <c r="F219" s="27"/>
      <c r="G219" s="27"/>
      <c r="H219" s="27"/>
      <c r="J219" s="27"/>
      <c r="L219" s="27"/>
      <c r="M219" s="27"/>
      <c r="N219" s="27"/>
      <c r="O219" s="27"/>
      <c r="P219" s="27"/>
      <c r="Q219" s="27"/>
    </row>
    <row r="220">
      <c r="F220" s="27"/>
      <c r="G220" s="27"/>
      <c r="H220" s="27"/>
      <c r="J220" s="27"/>
      <c r="L220" s="27"/>
      <c r="M220" s="27"/>
      <c r="N220" s="27"/>
      <c r="O220" s="27"/>
      <c r="P220" s="27"/>
      <c r="Q220" s="27"/>
    </row>
    <row r="221">
      <c r="F221" s="27"/>
      <c r="G221" s="27"/>
      <c r="H221" s="27"/>
      <c r="J221" s="27"/>
      <c r="L221" s="27"/>
      <c r="M221" s="27"/>
      <c r="N221" s="27"/>
      <c r="O221" s="27"/>
      <c r="P221" s="27"/>
      <c r="Q221" s="27"/>
    </row>
    <row r="222">
      <c r="F222" s="27"/>
      <c r="G222" s="27"/>
      <c r="H222" s="27"/>
      <c r="J222" s="27"/>
      <c r="L222" s="27"/>
      <c r="M222" s="27"/>
      <c r="N222" s="27"/>
      <c r="O222" s="27"/>
      <c r="P222" s="27"/>
      <c r="Q222" s="27"/>
    </row>
    <row r="223">
      <c r="F223" s="27"/>
      <c r="G223" s="27"/>
      <c r="H223" s="27"/>
      <c r="J223" s="27"/>
      <c r="L223" s="27"/>
      <c r="M223" s="27"/>
      <c r="N223" s="27"/>
      <c r="O223" s="27"/>
      <c r="P223" s="27"/>
      <c r="Q223" s="27"/>
    </row>
    <row r="224">
      <c r="F224" s="27"/>
      <c r="G224" s="27"/>
      <c r="H224" s="27"/>
      <c r="J224" s="27"/>
      <c r="L224" s="27"/>
      <c r="M224" s="27"/>
      <c r="N224" s="27"/>
      <c r="O224" s="27"/>
      <c r="P224" s="27"/>
      <c r="Q224" s="27"/>
    </row>
    <row r="225">
      <c r="F225" s="27"/>
      <c r="G225" s="27"/>
      <c r="H225" s="27"/>
      <c r="J225" s="27"/>
      <c r="L225" s="27"/>
      <c r="M225" s="27"/>
      <c r="N225" s="27"/>
      <c r="O225" s="27"/>
      <c r="P225" s="27"/>
      <c r="Q225" s="27"/>
    </row>
    <row r="226">
      <c r="F226" s="27"/>
      <c r="G226" s="27"/>
      <c r="H226" s="27"/>
      <c r="J226" s="27"/>
      <c r="L226" s="27"/>
      <c r="M226" s="27"/>
      <c r="N226" s="27"/>
      <c r="O226" s="27"/>
      <c r="P226" s="27"/>
      <c r="Q226" s="27"/>
    </row>
    <row r="227">
      <c r="F227" s="27"/>
      <c r="G227" s="27"/>
      <c r="H227" s="27"/>
      <c r="J227" s="27"/>
      <c r="L227" s="27"/>
      <c r="M227" s="27"/>
      <c r="N227" s="27"/>
      <c r="O227" s="27"/>
      <c r="P227" s="27"/>
      <c r="Q227" s="27"/>
    </row>
    <row r="228">
      <c r="F228" s="27"/>
      <c r="G228" s="27"/>
      <c r="H228" s="27"/>
      <c r="J228" s="27"/>
      <c r="L228" s="27"/>
      <c r="M228" s="27"/>
      <c r="N228" s="27"/>
      <c r="O228" s="27"/>
      <c r="P228" s="27"/>
      <c r="Q228" s="27"/>
    </row>
    <row r="229">
      <c r="F229" s="27"/>
      <c r="G229" s="27"/>
      <c r="H229" s="27"/>
      <c r="J229" s="27"/>
      <c r="L229" s="27"/>
      <c r="M229" s="27"/>
      <c r="N229" s="27"/>
      <c r="O229" s="27"/>
      <c r="P229" s="27"/>
      <c r="Q229" s="27"/>
    </row>
    <row r="230">
      <c r="F230" s="27"/>
      <c r="G230" s="27"/>
      <c r="H230" s="27"/>
      <c r="J230" s="27"/>
      <c r="L230" s="27"/>
      <c r="M230" s="27"/>
      <c r="N230" s="27"/>
      <c r="O230" s="27"/>
      <c r="P230" s="27"/>
      <c r="Q230" s="27"/>
    </row>
    <row r="231">
      <c r="F231" s="27"/>
      <c r="G231" s="27"/>
      <c r="H231" s="27"/>
      <c r="J231" s="27"/>
      <c r="L231" s="27"/>
      <c r="M231" s="27"/>
      <c r="N231" s="27"/>
      <c r="O231" s="27"/>
      <c r="P231" s="27"/>
      <c r="Q231" s="27"/>
    </row>
    <row r="232">
      <c r="F232" s="27"/>
      <c r="G232" s="27"/>
      <c r="H232" s="27"/>
      <c r="J232" s="27"/>
      <c r="L232" s="27"/>
      <c r="M232" s="27"/>
      <c r="N232" s="27"/>
      <c r="O232" s="27"/>
      <c r="P232" s="27"/>
      <c r="Q232" s="27"/>
    </row>
    <row r="233">
      <c r="F233" s="27"/>
      <c r="G233" s="27"/>
      <c r="H233" s="27"/>
      <c r="J233" s="27"/>
      <c r="L233" s="27"/>
      <c r="M233" s="27"/>
      <c r="N233" s="27"/>
      <c r="O233" s="27"/>
      <c r="P233" s="27"/>
      <c r="Q233" s="27"/>
    </row>
    <row r="234">
      <c r="F234" s="27"/>
      <c r="G234" s="27"/>
      <c r="H234" s="27"/>
      <c r="J234" s="27"/>
      <c r="L234" s="27"/>
      <c r="M234" s="27"/>
      <c r="N234" s="27"/>
      <c r="O234" s="27"/>
      <c r="P234" s="27"/>
      <c r="Q234" s="27"/>
    </row>
    <row r="235">
      <c r="F235" s="27"/>
      <c r="G235" s="27"/>
      <c r="H235" s="27"/>
      <c r="J235" s="27"/>
      <c r="L235" s="27"/>
      <c r="M235" s="27"/>
      <c r="N235" s="27"/>
      <c r="O235" s="27"/>
      <c r="P235" s="27"/>
      <c r="Q235" s="27"/>
    </row>
    <row r="236">
      <c r="F236" s="27"/>
      <c r="G236" s="27"/>
      <c r="H236" s="27"/>
      <c r="J236" s="27"/>
      <c r="L236" s="27"/>
      <c r="M236" s="27"/>
      <c r="N236" s="27"/>
      <c r="O236" s="27"/>
      <c r="P236" s="27"/>
      <c r="Q236" s="27"/>
    </row>
    <row r="237">
      <c r="F237" s="27"/>
      <c r="G237" s="27"/>
      <c r="H237" s="27"/>
      <c r="J237" s="27"/>
      <c r="L237" s="27"/>
      <c r="M237" s="27"/>
      <c r="N237" s="27"/>
      <c r="O237" s="27"/>
      <c r="P237" s="27"/>
      <c r="Q237" s="27"/>
    </row>
    <row r="238">
      <c r="F238" s="27"/>
      <c r="G238" s="27"/>
      <c r="H238" s="27"/>
      <c r="J238" s="27"/>
      <c r="L238" s="27"/>
      <c r="M238" s="27"/>
      <c r="N238" s="27"/>
      <c r="O238" s="27"/>
      <c r="P238" s="27"/>
      <c r="Q238" s="27"/>
    </row>
    <row r="239">
      <c r="F239" s="27"/>
      <c r="G239" s="27"/>
      <c r="H239" s="27"/>
      <c r="J239" s="27"/>
      <c r="L239" s="27"/>
      <c r="M239" s="27"/>
      <c r="N239" s="27"/>
      <c r="O239" s="27"/>
      <c r="P239" s="27"/>
      <c r="Q239" s="27"/>
    </row>
    <row r="240">
      <c r="F240" s="27"/>
      <c r="G240" s="27"/>
      <c r="H240" s="27"/>
      <c r="J240" s="27"/>
      <c r="L240" s="27"/>
      <c r="M240" s="27"/>
      <c r="N240" s="27"/>
      <c r="O240" s="27"/>
      <c r="P240" s="27"/>
      <c r="Q240" s="27"/>
    </row>
    <row r="241">
      <c r="F241" s="27"/>
      <c r="G241" s="27"/>
      <c r="H241" s="27"/>
      <c r="J241" s="27"/>
      <c r="L241" s="27"/>
      <c r="M241" s="27"/>
      <c r="N241" s="27"/>
      <c r="O241" s="27"/>
      <c r="P241" s="27"/>
      <c r="Q241" s="27"/>
    </row>
    <row r="242">
      <c r="F242" s="27"/>
      <c r="G242" s="27"/>
      <c r="H242" s="27"/>
      <c r="J242" s="27"/>
      <c r="L242" s="27"/>
      <c r="M242" s="27"/>
      <c r="N242" s="27"/>
      <c r="O242" s="27"/>
      <c r="P242" s="27"/>
      <c r="Q242" s="27"/>
    </row>
    <row r="243">
      <c r="F243" s="27"/>
      <c r="G243" s="27"/>
      <c r="H243" s="27"/>
      <c r="J243" s="27"/>
      <c r="L243" s="27"/>
      <c r="M243" s="27"/>
      <c r="N243" s="27"/>
      <c r="O243" s="27"/>
      <c r="P243" s="27"/>
      <c r="Q243" s="27"/>
    </row>
    <row r="244">
      <c r="F244" s="27"/>
      <c r="G244" s="27"/>
      <c r="H244" s="27"/>
      <c r="J244" s="27"/>
      <c r="L244" s="27"/>
      <c r="M244" s="27"/>
      <c r="N244" s="27"/>
      <c r="O244" s="27"/>
      <c r="P244" s="27"/>
      <c r="Q244" s="27"/>
    </row>
    <row r="245">
      <c r="F245" s="27"/>
      <c r="G245" s="27"/>
      <c r="H245" s="27"/>
      <c r="J245" s="27"/>
      <c r="L245" s="27"/>
      <c r="M245" s="27"/>
      <c r="N245" s="27"/>
      <c r="O245" s="27"/>
      <c r="P245" s="27"/>
      <c r="Q245" s="27"/>
    </row>
    <row r="246">
      <c r="F246" s="27"/>
      <c r="G246" s="27"/>
      <c r="H246" s="27"/>
      <c r="J246" s="27"/>
      <c r="L246" s="27"/>
      <c r="M246" s="27"/>
      <c r="N246" s="27"/>
      <c r="O246" s="27"/>
      <c r="P246" s="27"/>
      <c r="Q246" s="27"/>
    </row>
    <row r="247">
      <c r="F247" s="27"/>
      <c r="G247" s="27"/>
      <c r="H247" s="27"/>
      <c r="J247" s="27"/>
      <c r="L247" s="27"/>
      <c r="M247" s="27"/>
      <c r="N247" s="27"/>
      <c r="O247" s="27"/>
      <c r="P247" s="27"/>
      <c r="Q247" s="27"/>
    </row>
    <row r="248">
      <c r="F248" s="27"/>
      <c r="G248" s="27"/>
      <c r="H248" s="27"/>
      <c r="J248" s="27"/>
      <c r="L248" s="27"/>
      <c r="M248" s="27"/>
      <c r="N248" s="27"/>
      <c r="O248" s="27"/>
      <c r="P248" s="27"/>
      <c r="Q248" s="27"/>
    </row>
    <row r="249">
      <c r="F249" s="27"/>
      <c r="G249" s="27"/>
      <c r="H249" s="27"/>
      <c r="J249" s="27"/>
      <c r="L249" s="27"/>
      <c r="M249" s="27"/>
      <c r="N249" s="27"/>
      <c r="O249" s="27"/>
      <c r="P249" s="27"/>
      <c r="Q249" s="27"/>
    </row>
    <row r="250">
      <c r="F250" s="27"/>
      <c r="G250" s="27"/>
      <c r="H250" s="27"/>
      <c r="J250" s="27"/>
      <c r="L250" s="27"/>
      <c r="M250" s="27"/>
      <c r="N250" s="27"/>
      <c r="O250" s="27"/>
      <c r="P250" s="27"/>
      <c r="Q250" s="27"/>
    </row>
    <row r="251">
      <c r="F251" s="27"/>
      <c r="G251" s="27"/>
      <c r="H251" s="27"/>
      <c r="J251" s="27"/>
      <c r="L251" s="27"/>
      <c r="M251" s="27"/>
      <c r="N251" s="27"/>
      <c r="O251" s="27"/>
      <c r="P251" s="27"/>
      <c r="Q251" s="27"/>
    </row>
    <row r="252">
      <c r="F252" s="27"/>
      <c r="G252" s="27"/>
      <c r="H252" s="27"/>
      <c r="J252" s="27"/>
      <c r="L252" s="27"/>
      <c r="M252" s="27"/>
      <c r="N252" s="27"/>
      <c r="O252" s="27"/>
      <c r="P252" s="27"/>
      <c r="Q252" s="27"/>
    </row>
    <row r="253">
      <c r="F253" s="27"/>
      <c r="G253" s="27"/>
      <c r="H253" s="27"/>
      <c r="J253" s="27"/>
      <c r="L253" s="27"/>
      <c r="M253" s="27"/>
      <c r="N253" s="27"/>
      <c r="O253" s="27"/>
      <c r="P253" s="27"/>
      <c r="Q253" s="27"/>
    </row>
    <row r="254">
      <c r="F254" s="27"/>
      <c r="G254" s="27"/>
      <c r="H254" s="27"/>
      <c r="J254" s="27"/>
      <c r="L254" s="27"/>
      <c r="M254" s="27"/>
      <c r="N254" s="27"/>
      <c r="O254" s="27"/>
      <c r="P254" s="27"/>
      <c r="Q254" s="27"/>
    </row>
    <row r="255">
      <c r="F255" s="27"/>
      <c r="G255" s="27"/>
      <c r="H255" s="27"/>
      <c r="J255" s="27"/>
      <c r="L255" s="27"/>
      <c r="M255" s="27"/>
      <c r="N255" s="27"/>
      <c r="O255" s="27"/>
      <c r="P255" s="27"/>
      <c r="Q255" s="27"/>
    </row>
    <row r="256">
      <c r="F256" s="27"/>
      <c r="G256" s="27"/>
      <c r="H256" s="27"/>
      <c r="J256" s="27"/>
      <c r="L256" s="27"/>
      <c r="M256" s="27"/>
      <c r="N256" s="27"/>
      <c r="O256" s="27"/>
      <c r="P256" s="27"/>
      <c r="Q256" s="27"/>
    </row>
    <row r="257">
      <c r="F257" s="27"/>
      <c r="G257" s="27"/>
      <c r="H257" s="27"/>
      <c r="J257" s="27"/>
      <c r="L257" s="27"/>
      <c r="M257" s="27"/>
      <c r="N257" s="27"/>
      <c r="O257" s="27"/>
      <c r="P257" s="27"/>
      <c r="Q257" s="27"/>
    </row>
    <row r="258">
      <c r="F258" s="27"/>
      <c r="G258" s="27"/>
      <c r="H258" s="27"/>
      <c r="J258" s="27"/>
      <c r="L258" s="27"/>
      <c r="M258" s="27"/>
      <c r="N258" s="27"/>
      <c r="O258" s="27"/>
      <c r="P258" s="27"/>
      <c r="Q258" s="27"/>
    </row>
    <row r="259">
      <c r="F259" s="27"/>
      <c r="G259" s="27"/>
      <c r="H259" s="27"/>
      <c r="J259" s="27"/>
      <c r="L259" s="27"/>
      <c r="M259" s="27"/>
      <c r="N259" s="27"/>
      <c r="O259" s="27"/>
      <c r="P259" s="27"/>
      <c r="Q259" s="27"/>
    </row>
    <row r="260">
      <c r="F260" s="27"/>
      <c r="G260" s="27"/>
      <c r="H260" s="27"/>
      <c r="J260" s="27"/>
      <c r="L260" s="27"/>
      <c r="M260" s="27"/>
      <c r="N260" s="27"/>
      <c r="O260" s="27"/>
      <c r="P260" s="27"/>
      <c r="Q260" s="27"/>
    </row>
    <row r="261">
      <c r="F261" s="27"/>
      <c r="G261" s="27"/>
      <c r="H261" s="27"/>
      <c r="J261" s="27"/>
      <c r="L261" s="27"/>
      <c r="M261" s="27"/>
      <c r="N261" s="27"/>
      <c r="O261" s="27"/>
      <c r="P261" s="27"/>
      <c r="Q261" s="27"/>
    </row>
    <row r="262">
      <c r="F262" s="27"/>
      <c r="G262" s="27"/>
      <c r="H262" s="27"/>
      <c r="J262" s="27"/>
      <c r="L262" s="27"/>
      <c r="M262" s="27"/>
      <c r="N262" s="27"/>
      <c r="O262" s="27"/>
      <c r="P262" s="27"/>
      <c r="Q262" s="27"/>
    </row>
    <row r="263">
      <c r="F263" s="27"/>
      <c r="G263" s="27"/>
      <c r="H263" s="27"/>
      <c r="J263" s="27"/>
      <c r="L263" s="27"/>
      <c r="M263" s="27"/>
      <c r="N263" s="27"/>
      <c r="O263" s="27"/>
      <c r="P263" s="27"/>
      <c r="Q263" s="27"/>
    </row>
    <row r="264">
      <c r="F264" s="27"/>
      <c r="G264" s="27"/>
      <c r="H264" s="27"/>
      <c r="J264" s="27"/>
      <c r="L264" s="27"/>
      <c r="M264" s="27"/>
      <c r="N264" s="27"/>
      <c r="O264" s="27"/>
      <c r="P264" s="27"/>
      <c r="Q264" s="27"/>
    </row>
    <row r="265">
      <c r="F265" s="27"/>
      <c r="G265" s="27"/>
      <c r="H265" s="27"/>
      <c r="J265" s="27"/>
      <c r="L265" s="27"/>
      <c r="M265" s="27"/>
      <c r="N265" s="27"/>
      <c r="O265" s="27"/>
      <c r="P265" s="27"/>
      <c r="Q265" s="27"/>
    </row>
    <row r="266">
      <c r="F266" s="27"/>
      <c r="G266" s="27"/>
      <c r="H266" s="27"/>
      <c r="J266" s="27"/>
      <c r="L266" s="27"/>
      <c r="M266" s="27"/>
      <c r="N266" s="27"/>
      <c r="O266" s="27"/>
      <c r="P266" s="27"/>
      <c r="Q266" s="27"/>
    </row>
    <row r="267">
      <c r="F267" s="27"/>
      <c r="G267" s="27"/>
      <c r="H267" s="27"/>
      <c r="J267" s="27"/>
      <c r="L267" s="27"/>
      <c r="M267" s="27"/>
      <c r="N267" s="27"/>
      <c r="O267" s="27"/>
      <c r="P267" s="27"/>
      <c r="Q267" s="27"/>
    </row>
    <row r="268">
      <c r="F268" s="27"/>
      <c r="G268" s="27"/>
      <c r="H268" s="27"/>
      <c r="J268" s="27"/>
      <c r="L268" s="27"/>
      <c r="M268" s="27"/>
      <c r="N268" s="27"/>
      <c r="O268" s="27"/>
      <c r="P268" s="27"/>
      <c r="Q268" s="27"/>
    </row>
    <row r="269">
      <c r="F269" s="27"/>
      <c r="G269" s="27"/>
      <c r="H269" s="27"/>
      <c r="J269" s="27"/>
      <c r="L269" s="27"/>
      <c r="M269" s="27"/>
      <c r="N269" s="27"/>
      <c r="O269" s="27"/>
      <c r="P269" s="27"/>
      <c r="Q269" s="27"/>
    </row>
    <row r="270">
      <c r="F270" s="27"/>
      <c r="G270" s="27"/>
      <c r="H270" s="27"/>
      <c r="J270" s="27"/>
      <c r="L270" s="27"/>
      <c r="M270" s="27"/>
      <c r="N270" s="27"/>
      <c r="O270" s="27"/>
      <c r="P270" s="27"/>
      <c r="Q270" s="27"/>
    </row>
    <row r="271">
      <c r="F271" s="27"/>
      <c r="G271" s="27"/>
      <c r="H271" s="27"/>
      <c r="J271" s="27"/>
      <c r="L271" s="27"/>
      <c r="M271" s="27"/>
      <c r="N271" s="27"/>
      <c r="O271" s="27"/>
      <c r="P271" s="27"/>
      <c r="Q271" s="27"/>
    </row>
    <row r="272">
      <c r="F272" s="27"/>
      <c r="G272" s="27"/>
      <c r="H272" s="27"/>
      <c r="J272" s="27"/>
      <c r="L272" s="27"/>
      <c r="M272" s="27"/>
      <c r="N272" s="27"/>
      <c r="O272" s="27"/>
      <c r="P272" s="27"/>
      <c r="Q272" s="27"/>
    </row>
    <row r="273">
      <c r="F273" s="27"/>
      <c r="G273" s="27"/>
      <c r="H273" s="27"/>
      <c r="J273" s="27"/>
      <c r="L273" s="27"/>
      <c r="M273" s="27"/>
      <c r="N273" s="27"/>
      <c r="O273" s="27"/>
      <c r="P273" s="27"/>
      <c r="Q273" s="27"/>
    </row>
    <row r="274">
      <c r="F274" s="27"/>
      <c r="G274" s="27"/>
      <c r="H274" s="27"/>
      <c r="J274" s="27"/>
      <c r="L274" s="27"/>
      <c r="M274" s="27"/>
      <c r="N274" s="27"/>
      <c r="O274" s="27"/>
      <c r="P274" s="27"/>
      <c r="Q274" s="27"/>
    </row>
    <row r="275">
      <c r="F275" s="27"/>
      <c r="G275" s="27"/>
      <c r="H275" s="27"/>
      <c r="J275" s="27"/>
      <c r="L275" s="27"/>
      <c r="M275" s="27"/>
      <c r="N275" s="27"/>
      <c r="O275" s="27"/>
      <c r="P275" s="27"/>
      <c r="Q275" s="27"/>
    </row>
    <row r="276">
      <c r="F276" s="27"/>
      <c r="G276" s="27"/>
      <c r="H276" s="27"/>
      <c r="J276" s="27"/>
      <c r="L276" s="27"/>
      <c r="M276" s="27"/>
      <c r="N276" s="27"/>
      <c r="O276" s="27"/>
      <c r="P276" s="27"/>
      <c r="Q276" s="27"/>
    </row>
    <row r="277">
      <c r="F277" s="27"/>
      <c r="G277" s="27"/>
      <c r="H277" s="27"/>
      <c r="J277" s="27"/>
      <c r="L277" s="27"/>
      <c r="M277" s="27"/>
      <c r="N277" s="27"/>
      <c r="O277" s="27"/>
      <c r="P277" s="27"/>
      <c r="Q277" s="27"/>
    </row>
    <row r="278">
      <c r="F278" s="27"/>
      <c r="G278" s="27"/>
      <c r="H278" s="27"/>
      <c r="J278" s="27"/>
      <c r="L278" s="27"/>
      <c r="M278" s="27"/>
      <c r="N278" s="27"/>
      <c r="O278" s="27"/>
      <c r="P278" s="27"/>
      <c r="Q278" s="27"/>
    </row>
    <row r="279">
      <c r="F279" s="27"/>
      <c r="G279" s="27"/>
      <c r="H279" s="27"/>
      <c r="J279" s="27"/>
      <c r="L279" s="27"/>
      <c r="M279" s="27"/>
      <c r="N279" s="27"/>
      <c r="O279" s="27"/>
      <c r="P279" s="27"/>
      <c r="Q279" s="27"/>
    </row>
    <row r="280">
      <c r="F280" s="27"/>
      <c r="G280" s="27"/>
      <c r="H280" s="27"/>
      <c r="J280" s="27"/>
      <c r="L280" s="27"/>
      <c r="M280" s="27"/>
      <c r="N280" s="27"/>
      <c r="O280" s="27"/>
      <c r="P280" s="27"/>
      <c r="Q280" s="27"/>
    </row>
    <row r="281">
      <c r="F281" s="27"/>
      <c r="G281" s="27"/>
      <c r="H281" s="27"/>
      <c r="J281" s="27"/>
      <c r="L281" s="27"/>
      <c r="M281" s="27"/>
      <c r="N281" s="27"/>
      <c r="O281" s="27"/>
      <c r="P281" s="27"/>
      <c r="Q281" s="27"/>
    </row>
    <row r="282">
      <c r="F282" s="27"/>
      <c r="G282" s="27"/>
      <c r="H282" s="27"/>
      <c r="J282" s="27"/>
      <c r="L282" s="27"/>
      <c r="M282" s="27"/>
      <c r="N282" s="27"/>
      <c r="O282" s="27"/>
      <c r="P282" s="27"/>
      <c r="Q282" s="27"/>
    </row>
    <row r="283">
      <c r="F283" s="27"/>
      <c r="G283" s="27"/>
      <c r="H283" s="27"/>
      <c r="J283" s="27"/>
      <c r="L283" s="27"/>
      <c r="M283" s="27"/>
      <c r="N283" s="27"/>
      <c r="O283" s="27"/>
      <c r="P283" s="27"/>
      <c r="Q283" s="27"/>
    </row>
    <row r="284">
      <c r="F284" s="27"/>
      <c r="G284" s="27"/>
      <c r="H284" s="27"/>
      <c r="J284" s="27"/>
      <c r="L284" s="27"/>
      <c r="M284" s="27"/>
      <c r="N284" s="27"/>
      <c r="O284" s="27"/>
      <c r="P284" s="27"/>
      <c r="Q284" s="27"/>
    </row>
    <row r="285">
      <c r="F285" s="27"/>
      <c r="G285" s="27"/>
      <c r="H285" s="27"/>
      <c r="J285" s="27"/>
      <c r="L285" s="27"/>
      <c r="M285" s="27"/>
      <c r="N285" s="27"/>
      <c r="O285" s="27"/>
      <c r="P285" s="27"/>
      <c r="Q285" s="27"/>
    </row>
    <row r="286">
      <c r="F286" s="27"/>
      <c r="G286" s="27"/>
      <c r="H286" s="27"/>
      <c r="J286" s="27"/>
      <c r="L286" s="27"/>
      <c r="M286" s="27"/>
      <c r="N286" s="27"/>
      <c r="O286" s="27"/>
      <c r="P286" s="27"/>
      <c r="Q286" s="27"/>
    </row>
    <row r="287">
      <c r="F287" s="27"/>
      <c r="G287" s="27"/>
      <c r="H287" s="27"/>
      <c r="J287" s="27"/>
      <c r="L287" s="27"/>
      <c r="M287" s="27"/>
      <c r="N287" s="27"/>
      <c r="O287" s="27"/>
      <c r="P287" s="27"/>
      <c r="Q287" s="27"/>
    </row>
    <row r="288">
      <c r="F288" s="27"/>
      <c r="G288" s="27"/>
      <c r="H288" s="27"/>
      <c r="J288" s="27"/>
      <c r="L288" s="27"/>
      <c r="M288" s="27"/>
      <c r="N288" s="27"/>
      <c r="O288" s="27"/>
      <c r="P288" s="27"/>
      <c r="Q288" s="27"/>
    </row>
    <row r="289">
      <c r="F289" s="27"/>
      <c r="G289" s="27"/>
      <c r="H289" s="27"/>
      <c r="J289" s="27"/>
      <c r="L289" s="27"/>
      <c r="M289" s="27"/>
      <c r="N289" s="27"/>
      <c r="O289" s="27"/>
      <c r="P289" s="27"/>
      <c r="Q289" s="27"/>
    </row>
    <row r="290">
      <c r="F290" s="27"/>
      <c r="G290" s="27"/>
      <c r="H290" s="27"/>
      <c r="J290" s="27"/>
      <c r="L290" s="27"/>
      <c r="M290" s="27"/>
      <c r="N290" s="27"/>
      <c r="O290" s="27"/>
      <c r="P290" s="27"/>
      <c r="Q290" s="27"/>
    </row>
    <row r="291">
      <c r="F291" s="27"/>
      <c r="G291" s="27"/>
      <c r="H291" s="27"/>
      <c r="J291" s="27"/>
      <c r="L291" s="27"/>
      <c r="M291" s="27"/>
      <c r="N291" s="27"/>
      <c r="O291" s="27"/>
      <c r="P291" s="27"/>
      <c r="Q291" s="27"/>
    </row>
    <row r="292">
      <c r="F292" s="27"/>
      <c r="G292" s="27"/>
      <c r="H292" s="27"/>
      <c r="J292" s="27"/>
      <c r="L292" s="27"/>
      <c r="M292" s="27"/>
      <c r="N292" s="27"/>
      <c r="O292" s="27"/>
      <c r="P292" s="27"/>
      <c r="Q292" s="27"/>
    </row>
    <row r="293">
      <c r="F293" s="27"/>
      <c r="G293" s="27"/>
      <c r="H293" s="27"/>
      <c r="J293" s="27"/>
      <c r="L293" s="27"/>
      <c r="M293" s="27"/>
      <c r="N293" s="27"/>
      <c r="O293" s="27"/>
      <c r="P293" s="27"/>
      <c r="Q293" s="27"/>
    </row>
    <row r="294">
      <c r="F294" s="27"/>
      <c r="G294" s="27"/>
      <c r="H294" s="27"/>
      <c r="J294" s="27"/>
      <c r="L294" s="27"/>
      <c r="M294" s="27"/>
      <c r="N294" s="27"/>
      <c r="O294" s="27"/>
      <c r="P294" s="27"/>
      <c r="Q294" s="27"/>
    </row>
    <row r="295">
      <c r="F295" s="27"/>
      <c r="G295" s="27"/>
      <c r="H295" s="27"/>
      <c r="J295" s="27"/>
      <c r="L295" s="27"/>
      <c r="M295" s="27"/>
      <c r="N295" s="27"/>
      <c r="O295" s="27"/>
      <c r="P295" s="27"/>
      <c r="Q295" s="27"/>
    </row>
    <row r="296">
      <c r="F296" s="27"/>
      <c r="G296" s="27"/>
      <c r="H296" s="27"/>
      <c r="J296" s="27"/>
      <c r="L296" s="27"/>
      <c r="M296" s="27"/>
      <c r="N296" s="27"/>
      <c r="O296" s="27"/>
      <c r="P296" s="27"/>
      <c r="Q296" s="27"/>
    </row>
    <row r="297">
      <c r="F297" s="27"/>
      <c r="G297" s="27"/>
      <c r="H297" s="27"/>
      <c r="J297" s="27"/>
      <c r="L297" s="27"/>
      <c r="M297" s="27"/>
      <c r="N297" s="27"/>
      <c r="O297" s="27"/>
      <c r="P297" s="27"/>
      <c r="Q297" s="27"/>
    </row>
    <row r="298">
      <c r="F298" s="27"/>
      <c r="G298" s="27"/>
      <c r="H298" s="27"/>
      <c r="J298" s="27"/>
      <c r="L298" s="27"/>
      <c r="M298" s="27"/>
      <c r="N298" s="27"/>
      <c r="O298" s="27"/>
      <c r="P298" s="27"/>
      <c r="Q298" s="27"/>
    </row>
    <row r="299">
      <c r="F299" s="27"/>
      <c r="G299" s="27"/>
      <c r="H299" s="27"/>
      <c r="J299" s="27"/>
      <c r="L299" s="27"/>
      <c r="M299" s="27"/>
      <c r="N299" s="27"/>
      <c r="O299" s="27"/>
      <c r="P299" s="27"/>
      <c r="Q299" s="27"/>
    </row>
    <row r="300">
      <c r="F300" s="27"/>
      <c r="G300" s="27"/>
      <c r="H300" s="27"/>
      <c r="J300" s="27"/>
      <c r="L300" s="27"/>
      <c r="M300" s="27"/>
      <c r="N300" s="27"/>
      <c r="O300" s="27"/>
      <c r="P300" s="27"/>
      <c r="Q300" s="27"/>
    </row>
    <row r="301">
      <c r="F301" s="27"/>
      <c r="G301" s="27"/>
      <c r="H301" s="27"/>
      <c r="J301" s="27"/>
      <c r="L301" s="27"/>
      <c r="M301" s="27"/>
      <c r="N301" s="27"/>
      <c r="O301" s="27"/>
      <c r="P301" s="27"/>
      <c r="Q301" s="27"/>
    </row>
    <row r="302">
      <c r="F302" s="27"/>
      <c r="G302" s="27"/>
      <c r="H302" s="27"/>
      <c r="J302" s="27"/>
      <c r="L302" s="27"/>
      <c r="M302" s="27"/>
      <c r="N302" s="27"/>
      <c r="O302" s="27"/>
      <c r="P302" s="27"/>
      <c r="Q302" s="27"/>
    </row>
    <row r="303">
      <c r="F303" s="27"/>
      <c r="G303" s="27"/>
      <c r="H303" s="27"/>
      <c r="J303" s="27"/>
      <c r="L303" s="27"/>
      <c r="M303" s="27"/>
      <c r="N303" s="27"/>
      <c r="O303" s="27"/>
      <c r="P303" s="27"/>
      <c r="Q303" s="27"/>
    </row>
    <row r="304">
      <c r="F304" s="27"/>
      <c r="G304" s="27"/>
      <c r="H304" s="27"/>
      <c r="J304" s="27"/>
      <c r="L304" s="27"/>
      <c r="M304" s="27"/>
      <c r="N304" s="27"/>
      <c r="O304" s="27"/>
      <c r="P304" s="27"/>
      <c r="Q304" s="27"/>
    </row>
    <row r="305">
      <c r="F305" s="27"/>
      <c r="G305" s="27"/>
      <c r="H305" s="27"/>
      <c r="J305" s="27"/>
      <c r="L305" s="27"/>
      <c r="M305" s="27"/>
      <c r="N305" s="27"/>
      <c r="O305" s="27"/>
      <c r="P305" s="27"/>
      <c r="Q305" s="27"/>
    </row>
    <row r="306">
      <c r="F306" s="27"/>
      <c r="G306" s="27"/>
      <c r="H306" s="27"/>
      <c r="J306" s="27"/>
      <c r="L306" s="27"/>
      <c r="M306" s="27"/>
      <c r="N306" s="27"/>
      <c r="O306" s="27"/>
      <c r="P306" s="27"/>
      <c r="Q306" s="27"/>
    </row>
    <row r="307">
      <c r="F307" s="27"/>
      <c r="G307" s="27"/>
      <c r="H307" s="27"/>
      <c r="J307" s="27"/>
      <c r="L307" s="27"/>
      <c r="M307" s="27"/>
      <c r="N307" s="27"/>
      <c r="O307" s="27"/>
      <c r="P307" s="27"/>
      <c r="Q307" s="27"/>
    </row>
    <row r="308">
      <c r="F308" s="27"/>
      <c r="G308" s="27"/>
      <c r="H308" s="27"/>
      <c r="J308" s="27"/>
      <c r="L308" s="27"/>
      <c r="M308" s="27"/>
      <c r="N308" s="27"/>
      <c r="O308" s="27"/>
      <c r="P308" s="27"/>
      <c r="Q308" s="27"/>
    </row>
    <row r="309">
      <c r="F309" s="27"/>
      <c r="G309" s="27"/>
      <c r="H309" s="27"/>
      <c r="J309" s="27"/>
      <c r="L309" s="27"/>
      <c r="M309" s="27"/>
      <c r="N309" s="27"/>
      <c r="O309" s="27"/>
      <c r="P309" s="27"/>
      <c r="Q309" s="27"/>
    </row>
    <row r="310">
      <c r="F310" s="27"/>
      <c r="G310" s="27"/>
      <c r="H310" s="27"/>
      <c r="J310" s="27"/>
      <c r="L310" s="27"/>
      <c r="M310" s="27"/>
      <c r="N310" s="27"/>
      <c r="O310" s="27"/>
      <c r="P310" s="27"/>
      <c r="Q310" s="27"/>
    </row>
    <row r="311">
      <c r="F311" s="27"/>
      <c r="G311" s="27"/>
      <c r="H311" s="27"/>
      <c r="J311" s="27"/>
      <c r="L311" s="27"/>
      <c r="M311" s="27"/>
      <c r="N311" s="27"/>
      <c r="O311" s="27"/>
      <c r="P311" s="27"/>
      <c r="Q311" s="27"/>
    </row>
    <row r="312">
      <c r="F312" s="27"/>
      <c r="G312" s="27"/>
      <c r="H312" s="27"/>
      <c r="J312" s="27"/>
      <c r="L312" s="27"/>
      <c r="M312" s="27"/>
      <c r="N312" s="27"/>
      <c r="O312" s="27"/>
      <c r="P312" s="27"/>
      <c r="Q312" s="27"/>
    </row>
    <row r="313">
      <c r="F313" s="27"/>
      <c r="G313" s="27"/>
      <c r="H313" s="27"/>
      <c r="J313" s="27"/>
      <c r="L313" s="27"/>
      <c r="M313" s="27"/>
      <c r="N313" s="27"/>
      <c r="O313" s="27"/>
      <c r="P313" s="27"/>
      <c r="Q313" s="27"/>
    </row>
    <row r="314">
      <c r="F314" s="27"/>
      <c r="G314" s="27"/>
      <c r="H314" s="27"/>
      <c r="J314" s="27"/>
      <c r="L314" s="27"/>
      <c r="M314" s="27"/>
      <c r="N314" s="27"/>
      <c r="O314" s="27"/>
      <c r="P314" s="27"/>
      <c r="Q314" s="27"/>
    </row>
    <row r="315">
      <c r="F315" s="27"/>
      <c r="G315" s="27"/>
      <c r="H315" s="27"/>
      <c r="J315" s="27"/>
      <c r="L315" s="27"/>
      <c r="M315" s="27"/>
      <c r="N315" s="27"/>
      <c r="O315" s="27"/>
      <c r="P315" s="27"/>
      <c r="Q315" s="27"/>
    </row>
    <row r="316">
      <c r="F316" s="27"/>
      <c r="G316" s="27"/>
      <c r="H316" s="27"/>
      <c r="J316" s="27"/>
      <c r="L316" s="27"/>
      <c r="M316" s="27"/>
      <c r="N316" s="27"/>
      <c r="O316" s="27"/>
      <c r="P316" s="27"/>
      <c r="Q316" s="27"/>
    </row>
    <row r="317">
      <c r="F317" s="27"/>
      <c r="G317" s="27"/>
      <c r="H317" s="27"/>
      <c r="J317" s="27"/>
      <c r="L317" s="27"/>
      <c r="M317" s="27"/>
      <c r="N317" s="27"/>
      <c r="O317" s="27"/>
      <c r="P317" s="27"/>
      <c r="Q317" s="27"/>
    </row>
    <row r="318">
      <c r="F318" s="27"/>
      <c r="G318" s="27"/>
      <c r="H318" s="27"/>
      <c r="J318" s="27"/>
      <c r="L318" s="27"/>
      <c r="M318" s="27"/>
      <c r="N318" s="27"/>
      <c r="O318" s="27"/>
      <c r="P318" s="27"/>
      <c r="Q318" s="27"/>
    </row>
    <row r="319">
      <c r="F319" s="27"/>
      <c r="G319" s="27"/>
      <c r="H319" s="27"/>
      <c r="J319" s="27"/>
      <c r="L319" s="27"/>
      <c r="M319" s="27"/>
      <c r="N319" s="27"/>
      <c r="O319" s="27"/>
      <c r="P319" s="27"/>
      <c r="Q319" s="27"/>
    </row>
    <row r="320">
      <c r="F320" s="27"/>
      <c r="G320" s="27"/>
      <c r="H320" s="27"/>
      <c r="J320" s="27"/>
      <c r="L320" s="27"/>
      <c r="M320" s="27"/>
      <c r="N320" s="27"/>
      <c r="O320" s="27"/>
      <c r="P320" s="27"/>
      <c r="Q320" s="27"/>
    </row>
    <row r="321">
      <c r="F321" s="27"/>
      <c r="G321" s="27"/>
      <c r="H321" s="27"/>
      <c r="J321" s="27"/>
      <c r="L321" s="27"/>
      <c r="M321" s="27"/>
      <c r="N321" s="27"/>
      <c r="O321" s="27"/>
      <c r="P321" s="27"/>
      <c r="Q321" s="27"/>
    </row>
    <row r="322">
      <c r="F322" s="27"/>
      <c r="G322" s="27"/>
      <c r="H322" s="27"/>
      <c r="J322" s="27"/>
      <c r="L322" s="27"/>
      <c r="M322" s="27"/>
      <c r="N322" s="27"/>
      <c r="O322" s="27"/>
      <c r="P322" s="27"/>
      <c r="Q322" s="27"/>
    </row>
    <row r="323">
      <c r="F323" s="27"/>
      <c r="G323" s="27"/>
      <c r="H323" s="27"/>
      <c r="J323" s="27"/>
      <c r="L323" s="27"/>
      <c r="M323" s="27"/>
      <c r="N323" s="27"/>
      <c r="O323" s="27"/>
      <c r="P323" s="27"/>
      <c r="Q323" s="27"/>
    </row>
    <row r="324">
      <c r="F324" s="27"/>
      <c r="G324" s="27"/>
      <c r="H324" s="27"/>
      <c r="J324" s="27"/>
      <c r="L324" s="27"/>
      <c r="M324" s="27"/>
      <c r="N324" s="27"/>
      <c r="O324" s="27"/>
      <c r="P324" s="27"/>
      <c r="Q324" s="27"/>
    </row>
    <row r="325">
      <c r="F325" s="27"/>
      <c r="G325" s="27"/>
      <c r="H325" s="27"/>
      <c r="J325" s="27"/>
      <c r="L325" s="27"/>
      <c r="M325" s="27"/>
      <c r="N325" s="27"/>
      <c r="O325" s="27"/>
      <c r="P325" s="27"/>
      <c r="Q325" s="27"/>
    </row>
    <row r="326">
      <c r="F326" s="27"/>
      <c r="G326" s="27"/>
      <c r="H326" s="27"/>
      <c r="J326" s="27"/>
      <c r="L326" s="27"/>
      <c r="M326" s="27"/>
      <c r="N326" s="27"/>
      <c r="O326" s="27"/>
      <c r="P326" s="27"/>
      <c r="Q326" s="27"/>
    </row>
    <row r="327">
      <c r="F327" s="27"/>
      <c r="G327" s="27"/>
      <c r="H327" s="27"/>
      <c r="J327" s="27"/>
      <c r="L327" s="27"/>
      <c r="M327" s="27"/>
      <c r="N327" s="27"/>
      <c r="O327" s="27"/>
      <c r="P327" s="27"/>
      <c r="Q327" s="27"/>
    </row>
    <row r="328">
      <c r="F328" s="27"/>
      <c r="G328" s="27"/>
      <c r="H328" s="27"/>
      <c r="J328" s="27"/>
      <c r="L328" s="27"/>
      <c r="M328" s="27"/>
      <c r="N328" s="27"/>
      <c r="O328" s="27"/>
      <c r="P328" s="27"/>
      <c r="Q328" s="27"/>
    </row>
    <row r="329">
      <c r="F329" s="27"/>
      <c r="G329" s="27"/>
      <c r="H329" s="27"/>
      <c r="J329" s="27"/>
      <c r="L329" s="27"/>
      <c r="M329" s="27"/>
      <c r="N329" s="27"/>
      <c r="O329" s="27"/>
      <c r="P329" s="27"/>
      <c r="Q329" s="27"/>
    </row>
    <row r="330">
      <c r="F330" s="27"/>
      <c r="G330" s="27"/>
      <c r="H330" s="27"/>
      <c r="J330" s="27"/>
      <c r="L330" s="27"/>
      <c r="M330" s="27"/>
      <c r="N330" s="27"/>
      <c r="O330" s="27"/>
      <c r="P330" s="27"/>
      <c r="Q330" s="27"/>
    </row>
    <row r="331">
      <c r="F331" s="27"/>
      <c r="G331" s="27"/>
      <c r="H331" s="27"/>
      <c r="J331" s="27"/>
      <c r="L331" s="27"/>
      <c r="M331" s="27"/>
      <c r="N331" s="27"/>
      <c r="O331" s="27"/>
      <c r="P331" s="27"/>
      <c r="Q331" s="27"/>
    </row>
    <row r="332">
      <c r="F332" s="27"/>
      <c r="G332" s="27"/>
      <c r="H332" s="27"/>
      <c r="J332" s="27"/>
      <c r="L332" s="27"/>
      <c r="M332" s="27"/>
      <c r="N332" s="27"/>
      <c r="O332" s="27"/>
      <c r="P332" s="27"/>
      <c r="Q332" s="27"/>
    </row>
    <row r="333">
      <c r="F333" s="27"/>
      <c r="G333" s="27"/>
      <c r="H333" s="27"/>
      <c r="J333" s="27"/>
      <c r="L333" s="27"/>
      <c r="M333" s="27"/>
      <c r="N333" s="27"/>
      <c r="O333" s="27"/>
      <c r="P333" s="27"/>
      <c r="Q333" s="27"/>
    </row>
    <row r="334">
      <c r="F334" s="27"/>
      <c r="G334" s="27"/>
      <c r="H334" s="27"/>
      <c r="J334" s="27"/>
      <c r="L334" s="27"/>
      <c r="M334" s="27"/>
      <c r="N334" s="27"/>
      <c r="O334" s="27"/>
      <c r="P334" s="27"/>
      <c r="Q334" s="27"/>
    </row>
    <row r="335">
      <c r="F335" s="27"/>
      <c r="G335" s="27"/>
      <c r="H335" s="27"/>
      <c r="J335" s="27"/>
      <c r="L335" s="27"/>
      <c r="M335" s="27"/>
      <c r="N335" s="27"/>
      <c r="O335" s="27"/>
      <c r="P335" s="27"/>
      <c r="Q335" s="27"/>
    </row>
    <row r="336">
      <c r="F336" s="27"/>
      <c r="G336" s="27"/>
      <c r="H336" s="27"/>
      <c r="J336" s="27"/>
      <c r="L336" s="27"/>
      <c r="M336" s="27"/>
      <c r="N336" s="27"/>
      <c r="O336" s="27"/>
      <c r="P336" s="27"/>
      <c r="Q336" s="27"/>
    </row>
    <row r="337">
      <c r="F337" s="27"/>
      <c r="G337" s="27"/>
      <c r="H337" s="27"/>
      <c r="J337" s="27"/>
      <c r="L337" s="27"/>
      <c r="M337" s="27"/>
      <c r="N337" s="27"/>
      <c r="O337" s="27"/>
      <c r="P337" s="27"/>
      <c r="Q337" s="27"/>
    </row>
    <row r="338">
      <c r="F338" s="27"/>
      <c r="G338" s="27"/>
      <c r="H338" s="27"/>
      <c r="J338" s="27"/>
      <c r="L338" s="27"/>
      <c r="M338" s="27"/>
      <c r="N338" s="27"/>
      <c r="O338" s="27"/>
      <c r="P338" s="27"/>
      <c r="Q338" s="27"/>
    </row>
    <row r="339">
      <c r="F339" s="27"/>
      <c r="G339" s="27"/>
      <c r="H339" s="27"/>
      <c r="J339" s="27"/>
      <c r="L339" s="27"/>
      <c r="M339" s="27"/>
      <c r="N339" s="27"/>
      <c r="O339" s="27"/>
      <c r="P339" s="27"/>
      <c r="Q339" s="27"/>
    </row>
    <row r="340">
      <c r="F340" s="27"/>
      <c r="G340" s="27"/>
      <c r="H340" s="27"/>
      <c r="J340" s="27"/>
      <c r="L340" s="27"/>
      <c r="M340" s="27"/>
      <c r="N340" s="27"/>
      <c r="O340" s="27"/>
      <c r="P340" s="27"/>
      <c r="Q340" s="27"/>
    </row>
    <row r="341">
      <c r="F341" s="27"/>
      <c r="G341" s="27"/>
      <c r="H341" s="27"/>
      <c r="J341" s="27"/>
      <c r="L341" s="27"/>
      <c r="M341" s="27"/>
      <c r="N341" s="27"/>
      <c r="O341" s="27"/>
      <c r="P341" s="27"/>
      <c r="Q341" s="27"/>
    </row>
    <row r="342">
      <c r="F342" s="27"/>
      <c r="G342" s="27"/>
      <c r="H342" s="27"/>
      <c r="J342" s="27"/>
      <c r="L342" s="27"/>
      <c r="M342" s="27"/>
      <c r="N342" s="27"/>
      <c r="O342" s="27"/>
      <c r="P342" s="27"/>
      <c r="Q342" s="27"/>
    </row>
    <row r="343">
      <c r="F343" s="27"/>
      <c r="G343" s="27"/>
      <c r="H343" s="27"/>
      <c r="J343" s="27"/>
      <c r="L343" s="27"/>
      <c r="M343" s="27"/>
      <c r="N343" s="27"/>
      <c r="O343" s="27"/>
      <c r="P343" s="27"/>
      <c r="Q343" s="27"/>
    </row>
    <row r="344">
      <c r="F344" s="27"/>
      <c r="G344" s="27"/>
      <c r="H344" s="27"/>
      <c r="J344" s="27"/>
      <c r="L344" s="27"/>
      <c r="M344" s="27"/>
      <c r="N344" s="27"/>
      <c r="O344" s="27"/>
      <c r="P344" s="27"/>
      <c r="Q344" s="27"/>
    </row>
    <row r="345">
      <c r="F345" s="27"/>
      <c r="G345" s="27"/>
      <c r="H345" s="27"/>
      <c r="J345" s="27"/>
      <c r="L345" s="27"/>
      <c r="M345" s="27"/>
      <c r="N345" s="27"/>
      <c r="O345" s="27"/>
      <c r="P345" s="27"/>
      <c r="Q345" s="27"/>
    </row>
    <row r="346">
      <c r="F346" s="27"/>
      <c r="G346" s="27"/>
      <c r="H346" s="27"/>
      <c r="J346" s="27"/>
      <c r="L346" s="27"/>
      <c r="M346" s="27"/>
      <c r="N346" s="27"/>
      <c r="O346" s="27"/>
      <c r="P346" s="27"/>
      <c r="Q346" s="27"/>
    </row>
    <row r="347">
      <c r="F347" s="27"/>
      <c r="G347" s="27"/>
      <c r="H347" s="27"/>
      <c r="J347" s="27"/>
      <c r="L347" s="27"/>
      <c r="M347" s="27"/>
      <c r="N347" s="27"/>
      <c r="O347" s="27"/>
      <c r="P347" s="27"/>
      <c r="Q347" s="27"/>
    </row>
    <row r="348">
      <c r="F348" s="27"/>
      <c r="G348" s="27"/>
      <c r="H348" s="27"/>
      <c r="J348" s="27"/>
      <c r="L348" s="27"/>
      <c r="M348" s="27"/>
      <c r="N348" s="27"/>
      <c r="O348" s="27"/>
      <c r="P348" s="27"/>
      <c r="Q348" s="27"/>
    </row>
    <row r="349">
      <c r="F349" s="27"/>
      <c r="G349" s="27"/>
      <c r="H349" s="27"/>
      <c r="J349" s="27"/>
      <c r="L349" s="27"/>
      <c r="M349" s="27"/>
      <c r="N349" s="27"/>
      <c r="O349" s="27"/>
      <c r="P349" s="27"/>
      <c r="Q349" s="27"/>
    </row>
    <row r="350">
      <c r="F350" s="27"/>
      <c r="G350" s="27"/>
      <c r="H350" s="27"/>
      <c r="J350" s="27"/>
      <c r="L350" s="27"/>
      <c r="M350" s="27"/>
      <c r="N350" s="27"/>
      <c r="O350" s="27"/>
      <c r="P350" s="27"/>
      <c r="Q350" s="27"/>
    </row>
    <row r="351">
      <c r="F351" s="27"/>
      <c r="G351" s="27"/>
      <c r="H351" s="27"/>
      <c r="J351" s="27"/>
      <c r="L351" s="27"/>
      <c r="M351" s="27"/>
      <c r="N351" s="27"/>
      <c r="O351" s="27"/>
      <c r="P351" s="27"/>
      <c r="Q351" s="27"/>
    </row>
    <row r="352">
      <c r="F352" s="27"/>
      <c r="G352" s="27"/>
      <c r="H352" s="27"/>
      <c r="J352" s="27"/>
      <c r="L352" s="27"/>
      <c r="M352" s="27"/>
      <c r="N352" s="27"/>
      <c r="O352" s="27"/>
      <c r="P352" s="27"/>
      <c r="Q352" s="27"/>
    </row>
    <row r="353">
      <c r="F353" s="27"/>
      <c r="G353" s="27"/>
      <c r="H353" s="27"/>
      <c r="J353" s="27"/>
      <c r="L353" s="27"/>
      <c r="M353" s="27"/>
      <c r="N353" s="27"/>
      <c r="O353" s="27"/>
      <c r="P353" s="27"/>
      <c r="Q353" s="27"/>
    </row>
    <row r="354">
      <c r="F354" s="27"/>
      <c r="G354" s="27"/>
      <c r="H354" s="27"/>
      <c r="J354" s="27"/>
      <c r="L354" s="27"/>
      <c r="M354" s="27"/>
      <c r="N354" s="27"/>
      <c r="O354" s="27"/>
      <c r="P354" s="27"/>
      <c r="Q354" s="27"/>
    </row>
    <row r="355">
      <c r="F355" s="27"/>
      <c r="G355" s="27"/>
      <c r="H355" s="27"/>
      <c r="J355" s="27"/>
      <c r="L355" s="27"/>
      <c r="M355" s="27"/>
      <c r="N355" s="27"/>
      <c r="O355" s="27"/>
      <c r="P355" s="27"/>
      <c r="Q355" s="27"/>
    </row>
    <row r="356">
      <c r="F356" s="27"/>
      <c r="G356" s="27"/>
      <c r="H356" s="27"/>
      <c r="J356" s="27"/>
      <c r="L356" s="27"/>
      <c r="M356" s="27"/>
      <c r="N356" s="27"/>
      <c r="O356" s="27"/>
      <c r="P356" s="27"/>
      <c r="Q356" s="27"/>
    </row>
    <row r="357">
      <c r="F357" s="27"/>
      <c r="G357" s="27"/>
      <c r="H357" s="27"/>
      <c r="J357" s="27"/>
      <c r="L357" s="27"/>
      <c r="M357" s="27"/>
      <c r="N357" s="27"/>
      <c r="O357" s="27"/>
      <c r="P357" s="27"/>
      <c r="Q357" s="27"/>
    </row>
    <row r="358">
      <c r="F358" s="27"/>
      <c r="G358" s="27"/>
      <c r="H358" s="27"/>
      <c r="J358" s="27"/>
      <c r="L358" s="27"/>
      <c r="M358" s="27"/>
      <c r="N358" s="27"/>
      <c r="O358" s="27"/>
      <c r="P358" s="27"/>
      <c r="Q358" s="27"/>
    </row>
    <row r="359">
      <c r="F359" s="27"/>
      <c r="G359" s="27"/>
      <c r="H359" s="27"/>
      <c r="J359" s="27"/>
      <c r="L359" s="27"/>
      <c r="M359" s="27"/>
      <c r="N359" s="27"/>
      <c r="O359" s="27"/>
      <c r="P359" s="27"/>
      <c r="Q359" s="27"/>
    </row>
    <row r="360">
      <c r="F360" s="27"/>
      <c r="G360" s="27"/>
      <c r="H360" s="27"/>
      <c r="J360" s="27"/>
      <c r="L360" s="27"/>
      <c r="M360" s="27"/>
      <c r="N360" s="27"/>
      <c r="O360" s="27"/>
      <c r="P360" s="27"/>
      <c r="Q360" s="27"/>
    </row>
    <row r="361">
      <c r="F361" s="27"/>
      <c r="G361" s="27"/>
      <c r="H361" s="27"/>
      <c r="J361" s="27"/>
      <c r="L361" s="27"/>
      <c r="M361" s="27"/>
      <c r="N361" s="27"/>
      <c r="O361" s="27"/>
      <c r="P361" s="27"/>
      <c r="Q361" s="27"/>
    </row>
    <row r="362">
      <c r="F362" s="27"/>
      <c r="G362" s="27"/>
      <c r="H362" s="27"/>
      <c r="J362" s="27"/>
      <c r="L362" s="27"/>
      <c r="M362" s="27"/>
      <c r="N362" s="27"/>
      <c r="O362" s="27"/>
      <c r="P362" s="27"/>
      <c r="Q362" s="27"/>
    </row>
    <row r="363">
      <c r="F363" s="27"/>
      <c r="G363" s="27"/>
      <c r="H363" s="27"/>
      <c r="J363" s="27"/>
      <c r="L363" s="27"/>
      <c r="M363" s="27"/>
      <c r="N363" s="27"/>
      <c r="O363" s="27"/>
      <c r="P363" s="27"/>
      <c r="Q363" s="27"/>
    </row>
    <row r="364">
      <c r="F364" s="27"/>
      <c r="G364" s="27"/>
      <c r="H364" s="27"/>
      <c r="J364" s="27"/>
      <c r="L364" s="27"/>
      <c r="M364" s="27"/>
      <c r="N364" s="27"/>
      <c r="O364" s="27"/>
      <c r="P364" s="27"/>
      <c r="Q364" s="27"/>
    </row>
    <row r="365">
      <c r="F365" s="27"/>
      <c r="G365" s="27"/>
      <c r="H365" s="27"/>
      <c r="J365" s="27"/>
      <c r="L365" s="27"/>
      <c r="M365" s="27"/>
      <c r="N365" s="27"/>
      <c r="O365" s="27"/>
      <c r="P365" s="27"/>
      <c r="Q365" s="27"/>
    </row>
    <row r="366">
      <c r="F366" s="27"/>
      <c r="G366" s="27"/>
      <c r="H366" s="27"/>
      <c r="J366" s="27"/>
      <c r="L366" s="27"/>
      <c r="M366" s="27"/>
      <c r="N366" s="27"/>
      <c r="O366" s="27"/>
      <c r="P366" s="27"/>
      <c r="Q366" s="27"/>
    </row>
    <row r="367">
      <c r="F367" s="27"/>
      <c r="G367" s="27"/>
      <c r="H367" s="27"/>
      <c r="J367" s="27"/>
      <c r="L367" s="27"/>
      <c r="M367" s="27"/>
      <c r="N367" s="27"/>
      <c r="O367" s="27"/>
      <c r="P367" s="27"/>
      <c r="Q367" s="27"/>
    </row>
    <row r="368">
      <c r="F368" s="27"/>
      <c r="G368" s="27"/>
      <c r="H368" s="27"/>
      <c r="J368" s="27"/>
      <c r="L368" s="27"/>
      <c r="M368" s="27"/>
      <c r="N368" s="27"/>
      <c r="O368" s="27"/>
      <c r="P368" s="27"/>
      <c r="Q368" s="27"/>
    </row>
    <row r="369">
      <c r="F369" s="27"/>
      <c r="G369" s="27"/>
      <c r="H369" s="27"/>
      <c r="J369" s="27"/>
      <c r="L369" s="27"/>
      <c r="M369" s="27"/>
      <c r="N369" s="27"/>
      <c r="O369" s="27"/>
      <c r="P369" s="27"/>
      <c r="Q369" s="27"/>
    </row>
    <row r="370">
      <c r="F370" s="27"/>
      <c r="G370" s="27"/>
      <c r="H370" s="27"/>
      <c r="J370" s="27"/>
      <c r="L370" s="27"/>
      <c r="M370" s="27"/>
      <c r="N370" s="27"/>
      <c r="O370" s="27"/>
      <c r="P370" s="27"/>
      <c r="Q370" s="27"/>
    </row>
    <row r="371">
      <c r="F371" s="27"/>
      <c r="G371" s="27"/>
      <c r="H371" s="27"/>
      <c r="J371" s="27"/>
      <c r="L371" s="27"/>
      <c r="M371" s="27"/>
      <c r="N371" s="27"/>
      <c r="O371" s="27"/>
      <c r="P371" s="27"/>
      <c r="Q371" s="27"/>
    </row>
    <row r="372">
      <c r="F372" s="27"/>
      <c r="G372" s="27"/>
      <c r="H372" s="27"/>
      <c r="J372" s="27"/>
      <c r="L372" s="27"/>
      <c r="M372" s="27"/>
      <c r="N372" s="27"/>
      <c r="O372" s="27"/>
      <c r="P372" s="27"/>
      <c r="Q372" s="27"/>
    </row>
    <row r="373">
      <c r="F373" s="27"/>
      <c r="G373" s="27"/>
      <c r="H373" s="27"/>
      <c r="J373" s="27"/>
      <c r="L373" s="27"/>
      <c r="M373" s="27"/>
      <c r="N373" s="27"/>
      <c r="O373" s="27"/>
      <c r="P373" s="27"/>
      <c r="Q373" s="27"/>
    </row>
    <row r="374">
      <c r="F374" s="27"/>
      <c r="G374" s="27"/>
      <c r="H374" s="27"/>
      <c r="J374" s="27"/>
      <c r="L374" s="27"/>
      <c r="M374" s="27"/>
      <c r="N374" s="27"/>
      <c r="O374" s="27"/>
      <c r="P374" s="27"/>
      <c r="Q374" s="27"/>
    </row>
    <row r="375">
      <c r="F375" s="27"/>
      <c r="G375" s="27"/>
      <c r="H375" s="27"/>
      <c r="J375" s="27"/>
      <c r="L375" s="27"/>
      <c r="M375" s="27"/>
      <c r="N375" s="27"/>
      <c r="O375" s="27"/>
      <c r="P375" s="27"/>
      <c r="Q375" s="27"/>
    </row>
    <row r="376">
      <c r="F376" s="27"/>
      <c r="G376" s="27"/>
      <c r="H376" s="27"/>
      <c r="J376" s="27"/>
      <c r="L376" s="27"/>
      <c r="M376" s="27"/>
      <c r="N376" s="27"/>
      <c r="O376" s="27"/>
      <c r="P376" s="27"/>
      <c r="Q376" s="27"/>
    </row>
    <row r="377">
      <c r="F377" s="27"/>
      <c r="G377" s="27"/>
      <c r="H377" s="27"/>
      <c r="J377" s="27"/>
      <c r="L377" s="27"/>
      <c r="M377" s="27"/>
      <c r="N377" s="27"/>
      <c r="O377" s="27"/>
      <c r="P377" s="27"/>
      <c r="Q377" s="27"/>
    </row>
    <row r="378">
      <c r="F378" s="27"/>
      <c r="G378" s="27"/>
      <c r="H378" s="27"/>
      <c r="J378" s="27"/>
      <c r="L378" s="27"/>
      <c r="M378" s="27"/>
      <c r="N378" s="27"/>
      <c r="O378" s="27"/>
      <c r="P378" s="27"/>
      <c r="Q378" s="27"/>
    </row>
    <row r="379">
      <c r="F379" s="27"/>
      <c r="G379" s="27"/>
      <c r="H379" s="27"/>
      <c r="J379" s="27"/>
      <c r="L379" s="27"/>
      <c r="M379" s="27"/>
      <c r="N379" s="27"/>
      <c r="O379" s="27"/>
      <c r="P379" s="27"/>
      <c r="Q379" s="27"/>
    </row>
    <row r="380">
      <c r="F380" s="27"/>
      <c r="G380" s="27"/>
      <c r="H380" s="27"/>
      <c r="J380" s="27"/>
      <c r="L380" s="27"/>
      <c r="M380" s="27"/>
      <c r="N380" s="27"/>
      <c r="O380" s="27"/>
      <c r="P380" s="27"/>
      <c r="Q380" s="27"/>
    </row>
    <row r="381">
      <c r="F381" s="27"/>
      <c r="G381" s="27"/>
      <c r="H381" s="27"/>
      <c r="J381" s="27"/>
      <c r="L381" s="27"/>
      <c r="M381" s="27"/>
      <c r="N381" s="27"/>
      <c r="O381" s="27"/>
      <c r="P381" s="27"/>
      <c r="Q381" s="27"/>
    </row>
    <row r="382">
      <c r="F382" s="27"/>
      <c r="G382" s="27"/>
      <c r="H382" s="27"/>
      <c r="J382" s="27"/>
      <c r="L382" s="27"/>
      <c r="M382" s="27"/>
      <c r="N382" s="27"/>
      <c r="O382" s="27"/>
      <c r="P382" s="27"/>
      <c r="Q382" s="27"/>
    </row>
    <row r="383">
      <c r="F383" s="27"/>
      <c r="G383" s="27"/>
      <c r="H383" s="27"/>
      <c r="J383" s="27"/>
      <c r="L383" s="27"/>
      <c r="M383" s="27"/>
      <c r="N383" s="27"/>
      <c r="O383" s="27"/>
      <c r="P383" s="27"/>
      <c r="Q383" s="27"/>
    </row>
    <row r="384">
      <c r="F384" s="27"/>
      <c r="G384" s="27"/>
      <c r="H384" s="27"/>
      <c r="J384" s="27"/>
      <c r="L384" s="27"/>
      <c r="M384" s="27"/>
      <c r="N384" s="27"/>
      <c r="O384" s="27"/>
      <c r="P384" s="27"/>
      <c r="Q384" s="27"/>
    </row>
    <row r="385">
      <c r="F385" s="27"/>
      <c r="G385" s="27"/>
      <c r="H385" s="27"/>
      <c r="J385" s="27"/>
      <c r="L385" s="27"/>
      <c r="M385" s="27"/>
      <c r="N385" s="27"/>
      <c r="O385" s="27"/>
      <c r="P385" s="27"/>
      <c r="Q385" s="27"/>
    </row>
    <row r="386">
      <c r="F386" s="27"/>
      <c r="G386" s="27"/>
      <c r="H386" s="27"/>
      <c r="J386" s="27"/>
      <c r="L386" s="27"/>
      <c r="M386" s="27"/>
      <c r="N386" s="27"/>
      <c r="O386" s="27"/>
      <c r="P386" s="27"/>
      <c r="Q386" s="27"/>
    </row>
    <row r="387">
      <c r="F387" s="27"/>
      <c r="G387" s="27"/>
      <c r="H387" s="27"/>
      <c r="J387" s="27"/>
      <c r="L387" s="27"/>
      <c r="M387" s="27"/>
      <c r="N387" s="27"/>
      <c r="O387" s="27"/>
      <c r="P387" s="27"/>
      <c r="Q387" s="27"/>
    </row>
    <row r="388">
      <c r="F388" s="27"/>
      <c r="G388" s="27"/>
      <c r="H388" s="27"/>
      <c r="J388" s="27"/>
      <c r="L388" s="27"/>
      <c r="M388" s="27"/>
      <c r="N388" s="27"/>
      <c r="O388" s="27"/>
      <c r="P388" s="27"/>
      <c r="Q388" s="27"/>
    </row>
    <row r="389">
      <c r="F389" s="27"/>
      <c r="G389" s="27"/>
      <c r="H389" s="27"/>
      <c r="J389" s="27"/>
      <c r="L389" s="27"/>
      <c r="M389" s="27"/>
      <c r="N389" s="27"/>
      <c r="O389" s="27"/>
      <c r="P389" s="27"/>
      <c r="Q389" s="27"/>
    </row>
    <row r="390">
      <c r="F390" s="27"/>
      <c r="G390" s="27"/>
      <c r="H390" s="27"/>
      <c r="J390" s="27"/>
      <c r="L390" s="27"/>
      <c r="M390" s="27"/>
      <c r="N390" s="27"/>
      <c r="O390" s="27"/>
      <c r="P390" s="27"/>
      <c r="Q390" s="27"/>
    </row>
    <row r="391">
      <c r="F391" s="27"/>
      <c r="G391" s="27"/>
      <c r="H391" s="27"/>
      <c r="J391" s="27"/>
      <c r="L391" s="27"/>
      <c r="M391" s="27"/>
      <c r="N391" s="27"/>
      <c r="O391" s="27"/>
      <c r="P391" s="27"/>
      <c r="Q391" s="27"/>
    </row>
    <row r="392">
      <c r="F392" s="27"/>
      <c r="G392" s="27"/>
      <c r="H392" s="27"/>
      <c r="J392" s="27"/>
      <c r="L392" s="27"/>
      <c r="M392" s="27"/>
      <c r="N392" s="27"/>
      <c r="O392" s="27"/>
      <c r="P392" s="27"/>
      <c r="Q392" s="27"/>
    </row>
    <row r="393">
      <c r="F393" s="27"/>
      <c r="G393" s="27"/>
      <c r="H393" s="27"/>
      <c r="J393" s="27"/>
      <c r="L393" s="27"/>
      <c r="M393" s="27"/>
      <c r="N393" s="27"/>
      <c r="O393" s="27"/>
      <c r="P393" s="27"/>
      <c r="Q393" s="27"/>
    </row>
    <row r="394">
      <c r="F394" s="27"/>
      <c r="G394" s="27"/>
      <c r="H394" s="27"/>
      <c r="J394" s="27"/>
      <c r="L394" s="27"/>
      <c r="M394" s="27"/>
      <c r="N394" s="27"/>
      <c r="O394" s="27"/>
      <c r="P394" s="27"/>
      <c r="Q394" s="27"/>
    </row>
    <row r="395">
      <c r="F395" s="27"/>
      <c r="G395" s="27"/>
      <c r="H395" s="27"/>
      <c r="J395" s="27"/>
      <c r="L395" s="27"/>
      <c r="M395" s="27"/>
      <c r="N395" s="27"/>
      <c r="O395" s="27"/>
      <c r="P395" s="27"/>
      <c r="Q395" s="27"/>
    </row>
    <row r="396">
      <c r="F396" s="27"/>
      <c r="G396" s="27"/>
      <c r="H396" s="27"/>
      <c r="J396" s="27"/>
      <c r="L396" s="27"/>
      <c r="M396" s="27"/>
      <c r="N396" s="27"/>
      <c r="O396" s="27"/>
      <c r="P396" s="27"/>
      <c r="Q396" s="27"/>
    </row>
    <row r="397">
      <c r="F397" s="27"/>
      <c r="G397" s="27"/>
      <c r="H397" s="27"/>
      <c r="J397" s="27"/>
      <c r="L397" s="27"/>
      <c r="M397" s="27"/>
      <c r="N397" s="27"/>
      <c r="O397" s="27"/>
      <c r="P397" s="27"/>
      <c r="Q397" s="27"/>
    </row>
    <row r="398">
      <c r="F398" s="27"/>
      <c r="G398" s="27"/>
      <c r="H398" s="27"/>
      <c r="J398" s="27"/>
      <c r="L398" s="27"/>
      <c r="M398" s="27"/>
      <c r="N398" s="27"/>
      <c r="O398" s="27"/>
      <c r="P398" s="27"/>
      <c r="Q398" s="27"/>
    </row>
    <row r="399">
      <c r="F399" s="27"/>
      <c r="G399" s="27"/>
      <c r="H399" s="27"/>
      <c r="J399" s="27"/>
      <c r="L399" s="27"/>
      <c r="M399" s="27"/>
      <c r="N399" s="27"/>
      <c r="O399" s="27"/>
      <c r="P399" s="27"/>
      <c r="Q399" s="27"/>
    </row>
    <row r="400">
      <c r="F400" s="27"/>
      <c r="G400" s="27"/>
      <c r="H400" s="27"/>
      <c r="J400" s="27"/>
      <c r="L400" s="27"/>
      <c r="M400" s="27"/>
      <c r="N400" s="27"/>
      <c r="O400" s="27"/>
      <c r="P400" s="27"/>
      <c r="Q400" s="27"/>
    </row>
    <row r="401">
      <c r="F401" s="27"/>
      <c r="G401" s="27"/>
      <c r="H401" s="27"/>
      <c r="J401" s="27"/>
      <c r="L401" s="27"/>
      <c r="M401" s="27"/>
      <c r="N401" s="27"/>
      <c r="O401" s="27"/>
      <c r="P401" s="27"/>
      <c r="Q401" s="27"/>
    </row>
    <row r="402">
      <c r="F402" s="27"/>
      <c r="G402" s="27"/>
      <c r="H402" s="27"/>
      <c r="J402" s="27"/>
      <c r="L402" s="27"/>
      <c r="M402" s="27"/>
      <c r="N402" s="27"/>
      <c r="O402" s="27"/>
      <c r="P402" s="27"/>
      <c r="Q402" s="27"/>
    </row>
    <row r="403">
      <c r="F403" s="27"/>
      <c r="G403" s="27"/>
      <c r="H403" s="27"/>
      <c r="J403" s="27"/>
      <c r="L403" s="27"/>
      <c r="M403" s="27"/>
      <c r="N403" s="27"/>
      <c r="O403" s="27"/>
      <c r="P403" s="27"/>
      <c r="Q403" s="27"/>
    </row>
    <row r="404">
      <c r="F404" s="27"/>
      <c r="G404" s="27"/>
      <c r="H404" s="27"/>
      <c r="J404" s="27"/>
      <c r="L404" s="27"/>
      <c r="M404" s="27"/>
      <c r="N404" s="27"/>
      <c r="O404" s="27"/>
      <c r="P404" s="27"/>
      <c r="Q404" s="27"/>
    </row>
    <row r="405">
      <c r="F405" s="27"/>
      <c r="G405" s="27"/>
      <c r="H405" s="27"/>
      <c r="J405" s="27"/>
      <c r="L405" s="27"/>
      <c r="M405" s="27"/>
      <c r="N405" s="27"/>
      <c r="O405" s="27"/>
      <c r="P405" s="27"/>
      <c r="Q405" s="27"/>
    </row>
    <row r="406">
      <c r="F406" s="27"/>
      <c r="G406" s="27"/>
      <c r="H406" s="27"/>
      <c r="J406" s="27"/>
      <c r="L406" s="27"/>
      <c r="M406" s="27"/>
      <c r="N406" s="27"/>
      <c r="O406" s="27"/>
      <c r="P406" s="27"/>
      <c r="Q406" s="27"/>
    </row>
    <row r="407">
      <c r="F407" s="27"/>
      <c r="G407" s="27"/>
      <c r="H407" s="27"/>
      <c r="J407" s="27"/>
      <c r="L407" s="27"/>
      <c r="M407" s="27"/>
      <c r="N407" s="27"/>
      <c r="O407" s="27"/>
      <c r="P407" s="27"/>
      <c r="Q407" s="27"/>
    </row>
    <row r="408">
      <c r="F408" s="27"/>
      <c r="G408" s="27"/>
      <c r="H408" s="27"/>
      <c r="J408" s="27"/>
      <c r="L408" s="27"/>
      <c r="M408" s="27"/>
      <c r="N408" s="27"/>
      <c r="O408" s="27"/>
      <c r="P408" s="27"/>
      <c r="Q408" s="27"/>
    </row>
    <row r="409">
      <c r="F409" s="27"/>
      <c r="G409" s="27"/>
      <c r="H409" s="27"/>
      <c r="J409" s="27"/>
      <c r="L409" s="27"/>
      <c r="M409" s="27"/>
      <c r="N409" s="27"/>
      <c r="O409" s="27"/>
      <c r="P409" s="27"/>
      <c r="Q409" s="27"/>
    </row>
    <row r="410">
      <c r="F410" s="27"/>
      <c r="G410" s="27"/>
      <c r="H410" s="27"/>
      <c r="J410" s="27"/>
      <c r="L410" s="27"/>
      <c r="M410" s="27"/>
      <c r="N410" s="27"/>
      <c r="O410" s="27"/>
      <c r="P410" s="27"/>
      <c r="Q410" s="27"/>
    </row>
    <row r="411">
      <c r="F411" s="27"/>
      <c r="G411" s="27"/>
      <c r="H411" s="27"/>
      <c r="J411" s="27"/>
      <c r="L411" s="27"/>
      <c r="M411" s="27"/>
      <c r="N411" s="27"/>
      <c r="O411" s="27"/>
      <c r="P411" s="27"/>
      <c r="Q411" s="27"/>
    </row>
    <row r="412">
      <c r="F412" s="27"/>
      <c r="G412" s="27"/>
      <c r="H412" s="27"/>
      <c r="J412" s="27"/>
      <c r="L412" s="27"/>
      <c r="M412" s="27"/>
      <c r="N412" s="27"/>
      <c r="O412" s="27"/>
      <c r="P412" s="27"/>
      <c r="Q412" s="27"/>
    </row>
    <row r="413">
      <c r="F413" s="27"/>
      <c r="G413" s="27"/>
      <c r="H413" s="27"/>
      <c r="J413" s="27"/>
      <c r="L413" s="27"/>
      <c r="M413" s="27"/>
      <c r="N413" s="27"/>
      <c r="O413" s="27"/>
      <c r="P413" s="27"/>
      <c r="Q413" s="27"/>
    </row>
    <row r="414">
      <c r="F414" s="27"/>
      <c r="G414" s="27"/>
      <c r="H414" s="27"/>
      <c r="J414" s="27"/>
      <c r="L414" s="27"/>
      <c r="M414" s="27"/>
      <c r="N414" s="27"/>
      <c r="O414" s="27"/>
      <c r="P414" s="27"/>
      <c r="Q414" s="27"/>
    </row>
    <row r="415">
      <c r="F415" s="27"/>
      <c r="G415" s="27"/>
      <c r="H415" s="27"/>
      <c r="J415" s="27"/>
      <c r="L415" s="27"/>
      <c r="M415" s="27"/>
      <c r="N415" s="27"/>
      <c r="O415" s="27"/>
      <c r="P415" s="27"/>
      <c r="Q415" s="27"/>
    </row>
    <row r="416">
      <c r="F416" s="27"/>
      <c r="G416" s="27"/>
      <c r="H416" s="27"/>
      <c r="J416" s="27"/>
      <c r="L416" s="27"/>
      <c r="M416" s="27"/>
      <c r="N416" s="27"/>
      <c r="O416" s="27"/>
      <c r="P416" s="27"/>
      <c r="Q416" s="27"/>
    </row>
    <row r="417">
      <c r="F417" s="27"/>
      <c r="G417" s="27"/>
      <c r="H417" s="27"/>
      <c r="J417" s="27"/>
      <c r="L417" s="27"/>
      <c r="M417" s="27"/>
      <c r="N417" s="27"/>
      <c r="O417" s="27"/>
      <c r="P417" s="27"/>
      <c r="Q417" s="27"/>
    </row>
    <row r="418">
      <c r="F418" s="27"/>
      <c r="G418" s="27"/>
      <c r="H418" s="27"/>
      <c r="J418" s="27"/>
      <c r="L418" s="27"/>
      <c r="M418" s="27"/>
      <c r="N418" s="27"/>
      <c r="O418" s="27"/>
      <c r="P418" s="27"/>
      <c r="Q418" s="27"/>
    </row>
    <row r="419">
      <c r="F419" s="27"/>
      <c r="G419" s="27"/>
      <c r="H419" s="27"/>
      <c r="J419" s="27"/>
      <c r="L419" s="27"/>
      <c r="M419" s="27"/>
      <c r="N419" s="27"/>
      <c r="O419" s="27"/>
      <c r="P419" s="27"/>
      <c r="Q419" s="27"/>
    </row>
    <row r="420">
      <c r="F420" s="27"/>
      <c r="G420" s="27"/>
      <c r="H420" s="27"/>
      <c r="J420" s="27"/>
      <c r="L420" s="27"/>
      <c r="M420" s="27"/>
      <c r="N420" s="27"/>
      <c r="O420" s="27"/>
      <c r="P420" s="27"/>
      <c r="Q420" s="27"/>
    </row>
    <row r="421">
      <c r="F421" s="27"/>
      <c r="G421" s="27"/>
      <c r="H421" s="27"/>
      <c r="J421" s="27"/>
      <c r="L421" s="27"/>
      <c r="M421" s="27"/>
      <c r="N421" s="27"/>
      <c r="O421" s="27"/>
      <c r="P421" s="27"/>
      <c r="Q421" s="27"/>
    </row>
    <row r="422">
      <c r="F422" s="27"/>
      <c r="G422" s="27"/>
      <c r="H422" s="27"/>
      <c r="J422" s="27"/>
      <c r="L422" s="27"/>
      <c r="M422" s="27"/>
      <c r="N422" s="27"/>
      <c r="O422" s="27"/>
      <c r="P422" s="27"/>
      <c r="Q422" s="27"/>
    </row>
    <row r="423">
      <c r="F423" s="27"/>
      <c r="G423" s="27"/>
      <c r="H423" s="27"/>
      <c r="J423" s="27"/>
      <c r="L423" s="27"/>
      <c r="M423" s="27"/>
      <c r="N423" s="27"/>
      <c r="O423" s="27"/>
      <c r="P423" s="27"/>
      <c r="Q423" s="27"/>
    </row>
    <row r="424">
      <c r="F424" s="27"/>
      <c r="G424" s="27"/>
      <c r="H424" s="27"/>
      <c r="J424" s="27"/>
      <c r="L424" s="27"/>
      <c r="M424" s="27"/>
      <c r="N424" s="27"/>
      <c r="O424" s="27"/>
      <c r="P424" s="27"/>
      <c r="Q424" s="27"/>
    </row>
    <row r="425">
      <c r="F425" s="27"/>
      <c r="G425" s="27"/>
      <c r="H425" s="27"/>
      <c r="J425" s="27"/>
      <c r="L425" s="27"/>
      <c r="M425" s="27"/>
      <c r="N425" s="27"/>
      <c r="O425" s="27"/>
      <c r="P425" s="27"/>
      <c r="Q425" s="27"/>
    </row>
    <row r="426">
      <c r="F426" s="27"/>
      <c r="G426" s="27"/>
      <c r="H426" s="27"/>
      <c r="J426" s="27"/>
      <c r="L426" s="27"/>
      <c r="M426" s="27"/>
      <c r="N426" s="27"/>
      <c r="O426" s="27"/>
      <c r="P426" s="27"/>
      <c r="Q426" s="27"/>
    </row>
    <row r="427">
      <c r="F427" s="27"/>
      <c r="G427" s="27"/>
      <c r="H427" s="27"/>
      <c r="J427" s="27"/>
      <c r="L427" s="27"/>
      <c r="M427" s="27"/>
      <c r="N427" s="27"/>
      <c r="O427" s="27"/>
      <c r="P427" s="27"/>
      <c r="Q427" s="27"/>
    </row>
    <row r="428">
      <c r="F428" s="27"/>
      <c r="G428" s="27"/>
      <c r="H428" s="27"/>
      <c r="J428" s="27"/>
      <c r="L428" s="27"/>
      <c r="M428" s="27"/>
      <c r="N428" s="27"/>
      <c r="O428" s="27"/>
      <c r="P428" s="27"/>
      <c r="Q428" s="27"/>
    </row>
    <row r="429">
      <c r="F429" s="27"/>
      <c r="G429" s="27"/>
      <c r="H429" s="27"/>
      <c r="J429" s="27"/>
      <c r="L429" s="27"/>
      <c r="M429" s="27"/>
      <c r="N429" s="27"/>
      <c r="O429" s="27"/>
      <c r="P429" s="27"/>
      <c r="Q429" s="27"/>
    </row>
    <row r="430">
      <c r="F430" s="27"/>
      <c r="G430" s="27"/>
      <c r="H430" s="27"/>
      <c r="J430" s="27"/>
      <c r="L430" s="27"/>
      <c r="M430" s="27"/>
      <c r="N430" s="27"/>
      <c r="O430" s="27"/>
      <c r="P430" s="27"/>
      <c r="Q430" s="27"/>
    </row>
    <row r="431">
      <c r="F431" s="27"/>
      <c r="G431" s="27"/>
      <c r="H431" s="27"/>
      <c r="J431" s="27"/>
      <c r="L431" s="27"/>
      <c r="M431" s="27"/>
      <c r="N431" s="27"/>
      <c r="O431" s="27"/>
      <c r="P431" s="27"/>
      <c r="Q431" s="27"/>
    </row>
    <row r="432">
      <c r="F432" s="27"/>
      <c r="G432" s="27"/>
      <c r="H432" s="27"/>
      <c r="J432" s="27"/>
      <c r="L432" s="27"/>
      <c r="M432" s="27"/>
      <c r="N432" s="27"/>
      <c r="O432" s="27"/>
      <c r="P432" s="27"/>
      <c r="Q432" s="27"/>
    </row>
    <row r="433">
      <c r="F433" s="27"/>
      <c r="G433" s="27"/>
      <c r="H433" s="27"/>
      <c r="J433" s="27"/>
      <c r="L433" s="27"/>
      <c r="M433" s="27"/>
      <c r="N433" s="27"/>
      <c r="O433" s="27"/>
      <c r="P433" s="27"/>
      <c r="Q433" s="27"/>
    </row>
    <row r="434">
      <c r="F434" s="27"/>
      <c r="G434" s="27"/>
      <c r="H434" s="27"/>
      <c r="J434" s="27"/>
      <c r="L434" s="27"/>
      <c r="M434" s="27"/>
      <c r="N434" s="27"/>
      <c r="O434" s="27"/>
      <c r="P434" s="27"/>
      <c r="Q434" s="27"/>
    </row>
    <row r="435">
      <c r="F435" s="27"/>
      <c r="G435" s="27"/>
      <c r="H435" s="27"/>
      <c r="J435" s="27"/>
      <c r="L435" s="27"/>
      <c r="M435" s="27"/>
      <c r="N435" s="27"/>
      <c r="O435" s="27"/>
      <c r="P435" s="27"/>
      <c r="Q435" s="27"/>
    </row>
    <row r="436">
      <c r="F436" s="27"/>
      <c r="G436" s="27"/>
      <c r="H436" s="27"/>
      <c r="J436" s="27"/>
      <c r="L436" s="27"/>
      <c r="M436" s="27"/>
      <c r="N436" s="27"/>
      <c r="O436" s="27"/>
      <c r="P436" s="27"/>
      <c r="Q436" s="27"/>
    </row>
    <row r="437">
      <c r="F437" s="27"/>
      <c r="G437" s="27"/>
      <c r="H437" s="27"/>
      <c r="J437" s="27"/>
      <c r="L437" s="27"/>
      <c r="M437" s="27"/>
      <c r="N437" s="27"/>
      <c r="O437" s="27"/>
      <c r="P437" s="27"/>
      <c r="Q437" s="27"/>
    </row>
    <row r="438">
      <c r="F438" s="27"/>
      <c r="G438" s="27"/>
      <c r="H438" s="27"/>
      <c r="J438" s="27"/>
      <c r="L438" s="27"/>
      <c r="M438" s="27"/>
      <c r="N438" s="27"/>
      <c r="O438" s="27"/>
      <c r="P438" s="27"/>
      <c r="Q438" s="27"/>
    </row>
    <row r="439">
      <c r="F439" s="27"/>
      <c r="G439" s="27"/>
      <c r="H439" s="27"/>
      <c r="J439" s="27"/>
      <c r="L439" s="27"/>
      <c r="M439" s="27"/>
      <c r="N439" s="27"/>
      <c r="O439" s="27"/>
      <c r="P439" s="27"/>
      <c r="Q439" s="27"/>
    </row>
    <row r="440">
      <c r="F440" s="27"/>
      <c r="G440" s="27"/>
      <c r="H440" s="27"/>
      <c r="J440" s="27"/>
      <c r="L440" s="27"/>
      <c r="M440" s="27"/>
      <c r="N440" s="27"/>
      <c r="O440" s="27"/>
      <c r="P440" s="27"/>
      <c r="Q440" s="27"/>
    </row>
    <row r="441">
      <c r="F441" s="27"/>
      <c r="G441" s="27"/>
      <c r="H441" s="27"/>
      <c r="J441" s="27"/>
      <c r="L441" s="27"/>
      <c r="M441" s="27"/>
      <c r="N441" s="27"/>
      <c r="O441" s="27"/>
      <c r="P441" s="27"/>
      <c r="Q441" s="27"/>
    </row>
    <row r="442">
      <c r="F442" s="27"/>
      <c r="G442" s="27"/>
      <c r="H442" s="27"/>
      <c r="J442" s="27"/>
      <c r="L442" s="27"/>
      <c r="M442" s="27"/>
      <c r="N442" s="27"/>
      <c r="O442" s="27"/>
      <c r="P442" s="27"/>
      <c r="Q442" s="27"/>
    </row>
    <row r="443">
      <c r="F443" s="27"/>
      <c r="G443" s="27"/>
      <c r="H443" s="27"/>
      <c r="J443" s="27"/>
      <c r="L443" s="27"/>
      <c r="M443" s="27"/>
      <c r="N443" s="27"/>
      <c r="O443" s="27"/>
      <c r="P443" s="27"/>
      <c r="Q443" s="27"/>
    </row>
    <row r="444">
      <c r="F444" s="27"/>
      <c r="G444" s="27"/>
      <c r="H444" s="27"/>
      <c r="J444" s="27"/>
      <c r="L444" s="27"/>
      <c r="M444" s="27"/>
      <c r="N444" s="27"/>
      <c r="O444" s="27"/>
      <c r="P444" s="27"/>
      <c r="Q444" s="27"/>
    </row>
    <row r="445">
      <c r="F445" s="27"/>
      <c r="G445" s="27"/>
      <c r="H445" s="27"/>
      <c r="J445" s="27"/>
      <c r="L445" s="27"/>
      <c r="M445" s="27"/>
      <c r="N445" s="27"/>
      <c r="O445" s="27"/>
      <c r="P445" s="27"/>
      <c r="Q445" s="27"/>
    </row>
    <row r="446">
      <c r="F446" s="27"/>
      <c r="G446" s="27"/>
      <c r="H446" s="27"/>
      <c r="J446" s="27"/>
      <c r="L446" s="27"/>
      <c r="M446" s="27"/>
      <c r="N446" s="27"/>
      <c r="O446" s="27"/>
      <c r="P446" s="27"/>
      <c r="Q446" s="27"/>
    </row>
    <row r="447">
      <c r="F447" s="27"/>
      <c r="G447" s="27"/>
      <c r="H447" s="27"/>
      <c r="J447" s="27"/>
      <c r="L447" s="27"/>
      <c r="M447" s="27"/>
      <c r="N447" s="27"/>
      <c r="O447" s="27"/>
      <c r="P447" s="27"/>
      <c r="Q447" s="27"/>
    </row>
    <row r="448">
      <c r="F448" s="27"/>
      <c r="G448" s="27"/>
      <c r="H448" s="27"/>
      <c r="J448" s="27"/>
      <c r="L448" s="27"/>
      <c r="M448" s="27"/>
      <c r="N448" s="27"/>
      <c r="O448" s="27"/>
      <c r="P448" s="27"/>
      <c r="Q448" s="27"/>
    </row>
    <row r="449">
      <c r="F449" s="27"/>
      <c r="G449" s="27"/>
      <c r="H449" s="27"/>
      <c r="J449" s="27"/>
      <c r="L449" s="27"/>
      <c r="M449" s="27"/>
      <c r="N449" s="27"/>
      <c r="O449" s="27"/>
      <c r="P449" s="27"/>
      <c r="Q449" s="27"/>
    </row>
    <row r="450">
      <c r="F450" s="27"/>
      <c r="G450" s="27"/>
      <c r="H450" s="27"/>
      <c r="J450" s="27"/>
      <c r="L450" s="27"/>
      <c r="M450" s="27"/>
      <c r="N450" s="27"/>
      <c r="O450" s="27"/>
      <c r="P450" s="27"/>
      <c r="Q450" s="27"/>
    </row>
    <row r="451">
      <c r="F451" s="27"/>
      <c r="G451" s="27"/>
      <c r="H451" s="27"/>
      <c r="J451" s="27"/>
      <c r="L451" s="27"/>
      <c r="M451" s="27"/>
      <c r="N451" s="27"/>
      <c r="O451" s="27"/>
      <c r="P451" s="27"/>
      <c r="Q451" s="27"/>
    </row>
    <row r="452">
      <c r="F452" s="27"/>
      <c r="G452" s="27"/>
      <c r="H452" s="27"/>
      <c r="J452" s="27"/>
      <c r="L452" s="27"/>
      <c r="M452" s="27"/>
      <c r="N452" s="27"/>
      <c r="O452" s="27"/>
      <c r="P452" s="27"/>
      <c r="Q452" s="27"/>
    </row>
    <row r="453">
      <c r="F453" s="27"/>
      <c r="G453" s="27"/>
      <c r="H453" s="27"/>
      <c r="J453" s="27"/>
      <c r="L453" s="27"/>
      <c r="M453" s="27"/>
      <c r="N453" s="27"/>
      <c r="O453" s="27"/>
      <c r="P453" s="27"/>
      <c r="Q453" s="27"/>
    </row>
    <row r="454">
      <c r="F454" s="27"/>
      <c r="G454" s="27"/>
      <c r="H454" s="27"/>
      <c r="J454" s="27"/>
      <c r="L454" s="27"/>
      <c r="M454" s="27"/>
      <c r="N454" s="27"/>
      <c r="O454" s="27"/>
      <c r="P454" s="27"/>
      <c r="Q454" s="27"/>
    </row>
    <row r="455">
      <c r="F455" s="27"/>
      <c r="G455" s="27"/>
      <c r="H455" s="27"/>
      <c r="J455" s="27"/>
      <c r="L455" s="27"/>
      <c r="M455" s="27"/>
      <c r="N455" s="27"/>
      <c r="O455" s="27"/>
      <c r="P455" s="27"/>
      <c r="Q455" s="27"/>
    </row>
    <row r="456">
      <c r="F456" s="27"/>
      <c r="G456" s="27"/>
      <c r="H456" s="27"/>
      <c r="J456" s="27"/>
      <c r="L456" s="27"/>
      <c r="M456" s="27"/>
      <c r="N456" s="27"/>
      <c r="O456" s="27"/>
      <c r="P456" s="27"/>
      <c r="Q456" s="27"/>
    </row>
    <row r="457">
      <c r="F457" s="27"/>
      <c r="G457" s="27"/>
      <c r="H457" s="27"/>
      <c r="J457" s="27"/>
      <c r="L457" s="27"/>
      <c r="M457" s="27"/>
      <c r="N457" s="27"/>
      <c r="O457" s="27"/>
      <c r="P457" s="27"/>
      <c r="Q457" s="27"/>
    </row>
    <row r="458">
      <c r="F458" s="27"/>
      <c r="G458" s="27"/>
      <c r="H458" s="27"/>
      <c r="J458" s="27"/>
      <c r="L458" s="27"/>
      <c r="M458" s="27"/>
      <c r="N458" s="27"/>
      <c r="O458" s="27"/>
      <c r="P458" s="27"/>
      <c r="Q458" s="27"/>
    </row>
    <row r="459">
      <c r="F459" s="27"/>
      <c r="G459" s="27"/>
      <c r="H459" s="27"/>
      <c r="J459" s="27"/>
      <c r="L459" s="27"/>
      <c r="M459" s="27"/>
      <c r="N459" s="27"/>
      <c r="O459" s="27"/>
      <c r="P459" s="27"/>
      <c r="Q459" s="27"/>
    </row>
    <row r="460">
      <c r="F460" s="27"/>
      <c r="G460" s="27"/>
      <c r="H460" s="27"/>
      <c r="J460" s="27"/>
      <c r="L460" s="27"/>
      <c r="M460" s="27"/>
      <c r="N460" s="27"/>
      <c r="O460" s="27"/>
      <c r="P460" s="27"/>
      <c r="Q460" s="27"/>
    </row>
    <row r="461">
      <c r="F461" s="27"/>
      <c r="G461" s="27"/>
      <c r="H461" s="27"/>
      <c r="J461" s="27"/>
      <c r="L461" s="27"/>
      <c r="M461" s="27"/>
      <c r="N461" s="27"/>
      <c r="O461" s="27"/>
      <c r="P461" s="27"/>
      <c r="Q461" s="27"/>
    </row>
    <row r="462">
      <c r="F462" s="27"/>
      <c r="G462" s="27"/>
      <c r="H462" s="27"/>
      <c r="J462" s="27"/>
      <c r="L462" s="27"/>
      <c r="M462" s="27"/>
      <c r="N462" s="27"/>
      <c r="O462" s="27"/>
      <c r="P462" s="27"/>
      <c r="Q462" s="27"/>
    </row>
    <row r="463">
      <c r="F463" s="27"/>
      <c r="G463" s="27"/>
      <c r="H463" s="27"/>
      <c r="J463" s="27"/>
      <c r="L463" s="27"/>
      <c r="M463" s="27"/>
      <c r="N463" s="27"/>
      <c r="O463" s="27"/>
      <c r="P463" s="27"/>
      <c r="Q463" s="27"/>
    </row>
    <row r="464">
      <c r="F464" s="27"/>
      <c r="G464" s="27"/>
      <c r="H464" s="27"/>
      <c r="J464" s="27"/>
      <c r="L464" s="27"/>
      <c r="M464" s="27"/>
      <c r="N464" s="27"/>
      <c r="O464" s="27"/>
      <c r="P464" s="27"/>
      <c r="Q464" s="27"/>
    </row>
    <row r="465">
      <c r="F465" s="27"/>
      <c r="G465" s="27"/>
      <c r="H465" s="27"/>
      <c r="J465" s="27"/>
      <c r="L465" s="27"/>
      <c r="M465" s="27"/>
      <c r="N465" s="27"/>
      <c r="O465" s="27"/>
      <c r="P465" s="27"/>
      <c r="Q465" s="27"/>
    </row>
    <row r="466">
      <c r="F466" s="27"/>
      <c r="G466" s="27"/>
      <c r="H466" s="27"/>
      <c r="J466" s="27"/>
      <c r="L466" s="27"/>
      <c r="M466" s="27"/>
      <c r="N466" s="27"/>
      <c r="O466" s="27"/>
      <c r="P466" s="27"/>
      <c r="Q466" s="27"/>
    </row>
    <row r="467">
      <c r="F467" s="27"/>
      <c r="G467" s="27"/>
      <c r="H467" s="27"/>
      <c r="J467" s="27"/>
      <c r="L467" s="27"/>
      <c r="M467" s="27"/>
      <c r="N467" s="27"/>
      <c r="O467" s="27"/>
      <c r="P467" s="27"/>
      <c r="Q467" s="27"/>
    </row>
    <row r="468">
      <c r="F468" s="27"/>
      <c r="G468" s="27"/>
      <c r="H468" s="27"/>
      <c r="J468" s="27"/>
      <c r="L468" s="27"/>
      <c r="M468" s="27"/>
      <c r="N468" s="27"/>
      <c r="O468" s="27"/>
      <c r="P468" s="27"/>
      <c r="Q468" s="27"/>
    </row>
    <row r="469">
      <c r="F469" s="27"/>
      <c r="G469" s="27"/>
      <c r="H469" s="27"/>
      <c r="J469" s="27"/>
      <c r="L469" s="27"/>
      <c r="M469" s="27"/>
      <c r="N469" s="27"/>
      <c r="O469" s="27"/>
      <c r="P469" s="27"/>
      <c r="Q469" s="27"/>
    </row>
    <row r="470">
      <c r="F470" s="27"/>
      <c r="G470" s="27"/>
      <c r="H470" s="27"/>
      <c r="J470" s="27"/>
      <c r="L470" s="27"/>
      <c r="M470" s="27"/>
      <c r="N470" s="27"/>
      <c r="O470" s="27"/>
      <c r="P470" s="27"/>
      <c r="Q470" s="27"/>
    </row>
    <row r="471">
      <c r="F471" s="27"/>
      <c r="G471" s="27"/>
      <c r="H471" s="27"/>
      <c r="J471" s="27"/>
      <c r="L471" s="27"/>
      <c r="M471" s="27"/>
      <c r="N471" s="27"/>
      <c r="O471" s="27"/>
      <c r="P471" s="27"/>
      <c r="Q471" s="27"/>
    </row>
    <row r="472">
      <c r="F472" s="27"/>
      <c r="G472" s="27"/>
      <c r="H472" s="27"/>
      <c r="J472" s="27"/>
      <c r="L472" s="27"/>
      <c r="M472" s="27"/>
      <c r="N472" s="27"/>
      <c r="O472" s="27"/>
      <c r="P472" s="27"/>
      <c r="Q472" s="27"/>
    </row>
    <row r="473">
      <c r="F473" s="27"/>
      <c r="G473" s="27"/>
      <c r="H473" s="27"/>
      <c r="J473" s="27"/>
      <c r="L473" s="27"/>
      <c r="M473" s="27"/>
      <c r="N473" s="27"/>
      <c r="O473" s="27"/>
      <c r="P473" s="27"/>
      <c r="Q473" s="27"/>
    </row>
    <row r="474">
      <c r="F474" s="27"/>
      <c r="G474" s="27"/>
      <c r="H474" s="27"/>
      <c r="J474" s="27"/>
      <c r="L474" s="27"/>
      <c r="M474" s="27"/>
      <c r="N474" s="27"/>
      <c r="O474" s="27"/>
      <c r="P474" s="27"/>
      <c r="Q474" s="27"/>
    </row>
    <row r="475">
      <c r="F475" s="27"/>
      <c r="G475" s="27"/>
      <c r="H475" s="27"/>
      <c r="J475" s="27"/>
      <c r="L475" s="27"/>
      <c r="M475" s="27"/>
      <c r="N475" s="27"/>
      <c r="O475" s="27"/>
      <c r="P475" s="27"/>
      <c r="Q475" s="27"/>
    </row>
    <row r="476">
      <c r="F476" s="27"/>
      <c r="G476" s="27"/>
      <c r="H476" s="27"/>
      <c r="J476" s="27"/>
      <c r="L476" s="27"/>
      <c r="M476" s="27"/>
      <c r="N476" s="27"/>
      <c r="O476" s="27"/>
      <c r="P476" s="27"/>
      <c r="Q476" s="27"/>
    </row>
    <row r="477">
      <c r="F477" s="27"/>
      <c r="G477" s="27"/>
      <c r="H477" s="27"/>
      <c r="J477" s="27"/>
      <c r="L477" s="27"/>
      <c r="M477" s="27"/>
      <c r="N477" s="27"/>
      <c r="O477" s="27"/>
      <c r="P477" s="27"/>
      <c r="Q477" s="27"/>
    </row>
    <row r="478">
      <c r="F478" s="27"/>
      <c r="G478" s="27"/>
      <c r="H478" s="27"/>
      <c r="J478" s="27"/>
      <c r="L478" s="27"/>
      <c r="M478" s="27"/>
      <c r="N478" s="27"/>
      <c r="O478" s="27"/>
      <c r="P478" s="27"/>
      <c r="Q478" s="27"/>
    </row>
    <row r="479">
      <c r="F479" s="27"/>
      <c r="G479" s="27"/>
      <c r="H479" s="27"/>
      <c r="J479" s="27"/>
      <c r="L479" s="27"/>
      <c r="M479" s="27"/>
      <c r="N479" s="27"/>
      <c r="O479" s="27"/>
      <c r="P479" s="27"/>
      <c r="Q479" s="27"/>
    </row>
    <row r="480">
      <c r="F480" s="27"/>
      <c r="G480" s="27"/>
      <c r="H480" s="27"/>
      <c r="J480" s="27"/>
      <c r="L480" s="27"/>
      <c r="M480" s="27"/>
      <c r="N480" s="27"/>
      <c r="O480" s="27"/>
      <c r="P480" s="27"/>
      <c r="Q480" s="27"/>
    </row>
    <row r="481">
      <c r="F481" s="27"/>
      <c r="G481" s="27"/>
      <c r="H481" s="27"/>
      <c r="J481" s="27"/>
      <c r="L481" s="27"/>
      <c r="M481" s="27"/>
      <c r="N481" s="27"/>
      <c r="O481" s="27"/>
      <c r="P481" s="27"/>
      <c r="Q481" s="27"/>
    </row>
    <row r="482">
      <c r="F482" s="27"/>
      <c r="G482" s="27"/>
      <c r="H482" s="27"/>
      <c r="J482" s="27"/>
      <c r="L482" s="27"/>
      <c r="M482" s="27"/>
      <c r="N482" s="27"/>
      <c r="O482" s="27"/>
      <c r="P482" s="27"/>
      <c r="Q482" s="27"/>
    </row>
    <row r="483">
      <c r="F483" s="27"/>
      <c r="G483" s="27"/>
      <c r="H483" s="27"/>
      <c r="J483" s="27"/>
      <c r="L483" s="27"/>
      <c r="M483" s="27"/>
      <c r="N483" s="27"/>
      <c r="O483" s="27"/>
      <c r="P483" s="27"/>
      <c r="Q483" s="27"/>
    </row>
    <row r="484">
      <c r="F484" s="27"/>
      <c r="G484" s="27"/>
      <c r="H484" s="27"/>
      <c r="J484" s="27"/>
      <c r="L484" s="27"/>
      <c r="M484" s="27"/>
      <c r="N484" s="27"/>
      <c r="O484" s="27"/>
      <c r="P484" s="27"/>
      <c r="Q484" s="27"/>
    </row>
    <row r="485">
      <c r="F485" s="27"/>
      <c r="G485" s="27"/>
      <c r="H485" s="27"/>
      <c r="J485" s="27"/>
      <c r="L485" s="27"/>
      <c r="M485" s="27"/>
      <c r="N485" s="27"/>
      <c r="O485" s="27"/>
      <c r="P485" s="27"/>
      <c r="Q485" s="27"/>
    </row>
    <row r="486">
      <c r="F486" s="27"/>
      <c r="G486" s="27"/>
      <c r="H486" s="27"/>
      <c r="J486" s="27"/>
      <c r="L486" s="27"/>
      <c r="M486" s="27"/>
      <c r="N486" s="27"/>
      <c r="O486" s="27"/>
      <c r="P486" s="27"/>
      <c r="Q486" s="27"/>
    </row>
    <row r="487">
      <c r="F487" s="27"/>
      <c r="G487" s="27"/>
      <c r="H487" s="27"/>
      <c r="J487" s="27"/>
      <c r="L487" s="27"/>
      <c r="M487" s="27"/>
      <c r="N487" s="27"/>
      <c r="O487" s="27"/>
      <c r="P487" s="27"/>
      <c r="Q487" s="27"/>
    </row>
    <row r="488">
      <c r="F488" s="27"/>
      <c r="G488" s="27"/>
      <c r="H488" s="27"/>
      <c r="J488" s="27"/>
      <c r="L488" s="27"/>
      <c r="M488" s="27"/>
      <c r="N488" s="27"/>
      <c r="O488" s="27"/>
      <c r="P488" s="27"/>
      <c r="Q488" s="27"/>
    </row>
    <row r="489">
      <c r="F489" s="27"/>
      <c r="G489" s="27"/>
      <c r="H489" s="27"/>
      <c r="J489" s="27"/>
      <c r="L489" s="27"/>
      <c r="M489" s="27"/>
      <c r="N489" s="27"/>
      <c r="O489" s="27"/>
      <c r="P489" s="27"/>
      <c r="Q489" s="27"/>
    </row>
    <row r="490">
      <c r="F490" s="27"/>
      <c r="G490" s="27"/>
      <c r="H490" s="27"/>
      <c r="J490" s="27"/>
      <c r="L490" s="27"/>
      <c r="M490" s="27"/>
      <c r="N490" s="27"/>
      <c r="O490" s="27"/>
      <c r="P490" s="27"/>
      <c r="Q490" s="27"/>
    </row>
    <row r="491">
      <c r="F491" s="27"/>
      <c r="G491" s="27"/>
      <c r="H491" s="27"/>
      <c r="J491" s="27"/>
      <c r="L491" s="27"/>
      <c r="M491" s="27"/>
      <c r="N491" s="27"/>
      <c r="O491" s="27"/>
      <c r="P491" s="27"/>
      <c r="Q491" s="27"/>
    </row>
    <row r="492">
      <c r="F492" s="27"/>
      <c r="G492" s="27"/>
      <c r="H492" s="27"/>
      <c r="J492" s="27"/>
      <c r="L492" s="27"/>
      <c r="M492" s="27"/>
      <c r="N492" s="27"/>
      <c r="O492" s="27"/>
      <c r="P492" s="27"/>
      <c r="Q492" s="27"/>
    </row>
    <row r="493">
      <c r="F493" s="27"/>
      <c r="G493" s="27"/>
      <c r="H493" s="27"/>
      <c r="J493" s="27"/>
      <c r="L493" s="27"/>
      <c r="M493" s="27"/>
      <c r="N493" s="27"/>
      <c r="O493" s="27"/>
      <c r="P493" s="27"/>
      <c r="Q493" s="27"/>
    </row>
    <row r="494">
      <c r="F494" s="27"/>
      <c r="G494" s="27"/>
      <c r="H494" s="27"/>
      <c r="J494" s="27"/>
      <c r="L494" s="27"/>
      <c r="M494" s="27"/>
      <c r="N494" s="27"/>
      <c r="O494" s="27"/>
      <c r="P494" s="27"/>
      <c r="Q494" s="27"/>
    </row>
    <row r="495">
      <c r="F495" s="27"/>
      <c r="G495" s="27"/>
      <c r="H495" s="27"/>
      <c r="J495" s="27"/>
      <c r="L495" s="27"/>
      <c r="M495" s="27"/>
      <c r="N495" s="27"/>
      <c r="O495" s="27"/>
      <c r="P495" s="27"/>
      <c r="Q495" s="27"/>
    </row>
    <row r="496">
      <c r="F496" s="27"/>
      <c r="G496" s="27"/>
      <c r="H496" s="27"/>
      <c r="J496" s="27"/>
      <c r="L496" s="27"/>
      <c r="M496" s="27"/>
      <c r="N496" s="27"/>
      <c r="O496" s="27"/>
      <c r="P496" s="27"/>
      <c r="Q496" s="27"/>
    </row>
    <row r="497">
      <c r="F497" s="27"/>
      <c r="G497" s="27"/>
      <c r="H497" s="27"/>
      <c r="J497" s="27"/>
      <c r="L497" s="27"/>
      <c r="M497" s="27"/>
      <c r="N497" s="27"/>
      <c r="O497" s="27"/>
      <c r="P497" s="27"/>
      <c r="Q497" s="27"/>
    </row>
    <row r="498">
      <c r="F498" s="27"/>
      <c r="G498" s="27"/>
      <c r="H498" s="27"/>
      <c r="J498" s="27"/>
      <c r="L498" s="27"/>
      <c r="M498" s="27"/>
      <c r="N498" s="27"/>
      <c r="O498" s="27"/>
      <c r="P498" s="27"/>
      <c r="Q498" s="27"/>
    </row>
    <row r="499">
      <c r="F499" s="27"/>
      <c r="G499" s="27"/>
      <c r="H499" s="27"/>
      <c r="J499" s="27"/>
      <c r="L499" s="27"/>
      <c r="M499" s="27"/>
      <c r="N499" s="27"/>
      <c r="O499" s="27"/>
      <c r="P499" s="27"/>
      <c r="Q499" s="27"/>
    </row>
    <row r="500">
      <c r="F500" s="27"/>
      <c r="G500" s="27"/>
      <c r="H500" s="27"/>
      <c r="J500" s="27"/>
      <c r="L500" s="27"/>
      <c r="M500" s="27"/>
      <c r="N500" s="27"/>
      <c r="O500" s="27"/>
      <c r="P500" s="27"/>
      <c r="Q500" s="27"/>
    </row>
    <row r="501">
      <c r="F501" s="27"/>
      <c r="G501" s="27"/>
      <c r="H501" s="27"/>
      <c r="J501" s="27"/>
      <c r="L501" s="27"/>
      <c r="M501" s="27"/>
      <c r="N501" s="27"/>
      <c r="O501" s="27"/>
      <c r="P501" s="27"/>
      <c r="Q501" s="27"/>
    </row>
    <row r="502">
      <c r="F502" s="27"/>
      <c r="G502" s="27"/>
      <c r="H502" s="27"/>
      <c r="J502" s="27"/>
      <c r="L502" s="27"/>
      <c r="M502" s="27"/>
      <c r="N502" s="27"/>
      <c r="O502" s="27"/>
      <c r="P502" s="27"/>
      <c r="Q502" s="27"/>
    </row>
    <row r="503">
      <c r="F503" s="27"/>
      <c r="G503" s="27"/>
      <c r="H503" s="27"/>
      <c r="J503" s="27"/>
      <c r="L503" s="27"/>
      <c r="M503" s="27"/>
      <c r="N503" s="27"/>
      <c r="O503" s="27"/>
      <c r="P503" s="27"/>
      <c r="Q503" s="27"/>
    </row>
    <row r="504">
      <c r="F504" s="27"/>
      <c r="G504" s="27"/>
      <c r="H504" s="27"/>
      <c r="J504" s="27"/>
      <c r="L504" s="27"/>
      <c r="M504" s="27"/>
      <c r="N504" s="27"/>
      <c r="O504" s="27"/>
      <c r="P504" s="27"/>
      <c r="Q504" s="27"/>
    </row>
    <row r="505">
      <c r="F505" s="27"/>
      <c r="G505" s="27"/>
      <c r="H505" s="27"/>
      <c r="J505" s="27"/>
      <c r="L505" s="27"/>
      <c r="M505" s="27"/>
      <c r="N505" s="27"/>
      <c r="O505" s="27"/>
      <c r="P505" s="27"/>
      <c r="Q505" s="27"/>
    </row>
    <row r="506">
      <c r="F506" s="27"/>
      <c r="G506" s="27"/>
      <c r="H506" s="27"/>
      <c r="J506" s="27"/>
      <c r="L506" s="27"/>
      <c r="M506" s="27"/>
      <c r="N506" s="27"/>
      <c r="O506" s="27"/>
      <c r="P506" s="27"/>
      <c r="Q506" s="27"/>
    </row>
    <row r="507">
      <c r="F507" s="27"/>
      <c r="G507" s="27"/>
      <c r="H507" s="27"/>
      <c r="J507" s="27"/>
      <c r="L507" s="27"/>
      <c r="M507" s="27"/>
      <c r="N507" s="27"/>
      <c r="O507" s="27"/>
      <c r="P507" s="27"/>
      <c r="Q507" s="27"/>
    </row>
    <row r="508">
      <c r="F508" s="27"/>
      <c r="G508" s="27"/>
      <c r="H508" s="27"/>
      <c r="J508" s="27"/>
      <c r="L508" s="27"/>
      <c r="M508" s="27"/>
      <c r="N508" s="27"/>
      <c r="O508" s="27"/>
      <c r="P508" s="27"/>
      <c r="Q508" s="27"/>
    </row>
    <row r="509">
      <c r="F509" s="27"/>
      <c r="G509" s="27"/>
      <c r="H509" s="27"/>
      <c r="J509" s="27"/>
      <c r="L509" s="27"/>
      <c r="M509" s="27"/>
      <c r="N509" s="27"/>
      <c r="O509" s="27"/>
      <c r="P509" s="27"/>
      <c r="Q509" s="27"/>
    </row>
    <row r="510">
      <c r="F510" s="27"/>
      <c r="G510" s="27"/>
      <c r="H510" s="27"/>
      <c r="J510" s="27"/>
      <c r="L510" s="27"/>
      <c r="M510" s="27"/>
      <c r="N510" s="27"/>
      <c r="O510" s="27"/>
      <c r="P510" s="27"/>
      <c r="Q510" s="27"/>
    </row>
    <row r="511">
      <c r="F511" s="27"/>
      <c r="G511" s="27"/>
      <c r="H511" s="27"/>
      <c r="J511" s="27"/>
      <c r="L511" s="27"/>
      <c r="M511" s="27"/>
      <c r="N511" s="27"/>
      <c r="O511" s="27"/>
      <c r="P511" s="27"/>
      <c r="Q511" s="27"/>
    </row>
    <row r="512">
      <c r="F512" s="27"/>
      <c r="G512" s="27"/>
      <c r="H512" s="27"/>
      <c r="J512" s="27"/>
      <c r="L512" s="27"/>
      <c r="M512" s="27"/>
      <c r="N512" s="27"/>
      <c r="O512" s="27"/>
      <c r="P512" s="27"/>
      <c r="Q512" s="27"/>
    </row>
    <row r="513">
      <c r="F513" s="27"/>
      <c r="G513" s="27"/>
      <c r="H513" s="27"/>
      <c r="J513" s="27"/>
      <c r="L513" s="27"/>
      <c r="M513" s="27"/>
      <c r="N513" s="27"/>
      <c r="O513" s="27"/>
      <c r="P513" s="27"/>
      <c r="Q513" s="27"/>
    </row>
    <row r="514">
      <c r="F514" s="27"/>
      <c r="G514" s="27"/>
      <c r="H514" s="27"/>
      <c r="J514" s="27"/>
      <c r="L514" s="27"/>
      <c r="M514" s="27"/>
      <c r="N514" s="27"/>
      <c r="O514" s="27"/>
      <c r="P514" s="27"/>
      <c r="Q514" s="27"/>
    </row>
    <row r="515">
      <c r="F515" s="27"/>
      <c r="G515" s="27"/>
      <c r="H515" s="27"/>
      <c r="J515" s="27"/>
      <c r="L515" s="27"/>
      <c r="M515" s="27"/>
      <c r="N515" s="27"/>
      <c r="O515" s="27"/>
      <c r="P515" s="27"/>
      <c r="Q515" s="27"/>
    </row>
    <row r="516">
      <c r="F516" s="27"/>
      <c r="G516" s="27"/>
      <c r="H516" s="27"/>
      <c r="J516" s="27"/>
      <c r="L516" s="27"/>
      <c r="M516" s="27"/>
      <c r="N516" s="27"/>
      <c r="O516" s="27"/>
      <c r="P516" s="27"/>
      <c r="Q516" s="27"/>
    </row>
    <row r="517">
      <c r="F517" s="27"/>
      <c r="G517" s="27"/>
      <c r="H517" s="27"/>
      <c r="J517" s="27"/>
      <c r="L517" s="27"/>
      <c r="M517" s="27"/>
      <c r="N517" s="27"/>
      <c r="O517" s="27"/>
      <c r="P517" s="27"/>
      <c r="Q517" s="27"/>
    </row>
    <row r="518">
      <c r="F518" s="27"/>
      <c r="G518" s="27"/>
      <c r="H518" s="27"/>
      <c r="J518" s="27"/>
      <c r="L518" s="27"/>
      <c r="M518" s="27"/>
      <c r="N518" s="27"/>
      <c r="O518" s="27"/>
      <c r="P518" s="27"/>
      <c r="Q518" s="27"/>
    </row>
    <row r="519">
      <c r="F519" s="27"/>
      <c r="G519" s="27"/>
      <c r="H519" s="27"/>
      <c r="J519" s="27"/>
      <c r="L519" s="27"/>
      <c r="M519" s="27"/>
      <c r="N519" s="27"/>
      <c r="O519" s="27"/>
      <c r="P519" s="27"/>
      <c r="Q519" s="27"/>
    </row>
    <row r="520">
      <c r="F520" s="27"/>
      <c r="G520" s="27"/>
      <c r="H520" s="27"/>
      <c r="J520" s="27"/>
      <c r="L520" s="27"/>
      <c r="M520" s="27"/>
      <c r="N520" s="27"/>
      <c r="O520" s="27"/>
      <c r="P520" s="27"/>
      <c r="Q520" s="27"/>
    </row>
    <row r="521">
      <c r="F521" s="27"/>
      <c r="G521" s="27"/>
      <c r="H521" s="27"/>
      <c r="J521" s="27"/>
      <c r="L521" s="27"/>
      <c r="M521" s="27"/>
      <c r="N521" s="27"/>
      <c r="O521" s="27"/>
      <c r="P521" s="27"/>
      <c r="Q521" s="27"/>
    </row>
    <row r="522">
      <c r="F522" s="27"/>
      <c r="G522" s="27"/>
      <c r="H522" s="27"/>
      <c r="J522" s="27"/>
      <c r="L522" s="27"/>
      <c r="M522" s="27"/>
      <c r="N522" s="27"/>
      <c r="O522" s="27"/>
      <c r="P522" s="27"/>
      <c r="Q522" s="27"/>
    </row>
    <row r="523">
      <c r="F523" s="27"/>
      <c r="G523" s="27"/>
      <c r="H523" s="27"/>
      <c r="J523" s="27"/>
      <c r="L523" s="27"/>
      <c r="M523" s="27"/>
      <c r="N523" s="27"/>
      <c r="O523" s="27"/>
      <c r="P523" s="27"/>
      <c r="Q523" s="27"/>
    </row>
    <row r="524">
      <c r="F524" s="27"/>
      <c r="G524" s="27"/>
      <c r="H524" s="27"/>
      <c r="J524" s="27"/>
      <c r="L524" s="27"/>
      <c r="M524" s="27"/>
      <c r="N524" s="27"/>
      <c r="O524" s="27"/>
      <c r="P524" s="27"/>
      <c r="Q524" s="27"/>
    </row>
    <row r="525">
      <c r="F525" s="27"/>
      <c r="G525" s="27"/>
      <c r="H525" s="27"/>
      <c r="J525" s="27"/>
      <c r="L525" s="27"/>
      <c r="M525" s="27"/>
      <c r="N525" s="27"/>
      <c r="O525" s="27"/>
      <c r="P525" s="27"/>
      <c r="Q525" s="27"/>
    </row>
    <row r="526">
      <c r="F526" s="27"/>
      <c r="G526" s="27"/>
      <c r="H526" s="27"/>
      <c r="J526" s="27"/>
      <c r="L526" s="27"/>
      <c r="M526" s="27"/>
      <c r="N526" s="27"/>
      <c r="O526" s="27"/>
      <c r="P526" s="27"/>
      <c r="Q526" s="27"/>
    </row>
    <row r="527">
      <c r="F527" s="27"/>
      <c r="G527" s="27"/>
      <c r="H527" s="27"/>
      <c r="J527" s="27"/>
      <c r="L527" s="27"/>
      <c r="M527" s="27"/>
      <c r="N527" s="27"/>
      <c r="O527" s="27"/>
      <c r="P527" s="27"/>
      <c r="Q527" s="27"/>
    </row>
    <row r="528">
      <c r="F528" s="27"/>
      <c r="G528" s="27"/>
      <c r="H528" s="27"/>
      <c r="J528" s="27"/>
      <c r="L528" s="27"/>
      <c r="M528" s="27"/>
      <c r="N528" s="27"/>
      <c r="O528" s="27"/>
      <c r="P528" s="27"/>
      <c r="Q528" s="27"/>
    </row>
    <row r="529">
      <c r="F529" s="27"/>
      <c r="G529" s="27"/>
      <c r="H529" s="27"/>
      <c r="J529" s="27"/>
      <c r="L529" s="27"/>
      <c r="M529" s="27"/>
      <c r="N529" s="27"/>
      <c r="O529" s="27"/>
      <c r="P529" s="27"/>
      <c r="Q529" s="27"/>
    </row>
    <row r="530">
      <c r="F530" s="27"/>
      <c r="G530" s="27"/>
      <c r="H530" s="27"/>
      <c r="J530" s="27"/>
      <c r="L530" s="27"/>
      <c r="M530" s="27"/>
      <c r="N530" s="27"/>
      <c r="O530" s="27"/>
      <c r="P530" s="27"/>
      <c r="Q530" s="27"/>
    </row>
    <row r="531">
      <c r="F531" s="27"/>
      <c r="G531" s="27"/>
      <c r="H531" s="27"/>
      <c r="J531" s="27"/>
      <c r="L531" s="27"/>
      <c r="M531" s="27"/>
      <c r="N531" s="27"/>
      <c r="O531" s="27"/>
      <c r="P531" s="27"/>
      <c r="Q531" s="27"/>
    </row>
    <row r="532">
      <c r="F532" s="27"/>
      <c r="G532" s="27"/>
      <c r="H532" s="27"/>
      <c r="J532" s="27"/>
      <c r="L532" s="27"/>
      <c r="M532" s="27"/>
      <c r="N532" s="27"/>
      <c r="O532" s="27"/>
      <c r="P532" s="27"/>
      <c r="Q532" s="27"/>
    </row>
    <row r="533">
      <c r="F533" s="27"/>
      <c r="G533" s="27"/>
      <c r="H533" s="27"/>
      <c r="J533" s="27"/>
      <c r="L533" s="27"/>
      <c r="M533" s="27"/>
      <c r="N533" s="27"/>
      <c r="O533" s="27"/>
      <c r="P533" s="27"/>
      <c r="Q533" s="27"/>
    </row>
    <row r="534">
      <c r="F534" s="27"/>
      <c r="G534" s="27"/>
      <c r="H534" s="27"/>
      <c r="J534" s="27"/>
      <c r="L534" s="27"/>
      <c r="M534" s="27"/>
      <c r="N534" s="27"/>
      <c r="O534" s="27"/>
      <c r="P534" s="27"/>
      <c r="Q534" s="27"/>
    </row>
    <row r="535">
      <c r="F535" s="27"/>
      <c r="G535" s="27"/>
      <c r="H535" s="27"/>
      <c r="J535" s="27"/>
      <c r="L535" s="27"/>
      <c r="M535" s="27"/>
      <c r="N535" s="27"/>
      <c r="O535" s="27"/>
      <c r="P535" s="27"/>
      <c r="Q535" s="27"/>
    </row>
    <row r="536">
      <c r="F536" s="27"/>
      <c r="G536" s="27"/>
      <c r="H536" s="27"/>
      <c r="J536" s="27"/>
      <c r="L536" s="27"/>
      <c r="M536" s="27"/>
      <c r="N536" s="27"/>
      <c r="O536" s="27"/>
      <c r="P536" s="27"/>
      <c r="Q536" s="27"/>
    </row>
    <row r="537">
      <c r="F537" s="27"/>
      <c r="G537" s="27"/>
      <c r="H537" s="27"/>
      <c r="J537" s="27"/>
      <c r="L537" s="27"/>
      <c r="M537" s="27"/>
      <c r="N537" s="27"/>
      <c r="O537" s="27"/>
      <c r="P537" s="27"/>
      <c r="Q537" s="27"/>
    </row>
    <row r="538">
      <c r="F538" s="27"/>
      <c r="G538" s="27"/>
      <c r="H538" s="27"/>
      <c r="J538" s="27"/>
      <c r="L538" s="27"/>
      <c r="M538" s="27"/>
      <c r="N538" s="27"/>
      <c r="O538" s="27"/>
      <c r="P538" s="27"/>
      <c r="Q538" s="27"/>
    </row>
    <row r="539">
      <c r="F539" s="27"/>
      <c r="G539" s="27"/>
      <c r="H539" s="27"/>
      <c r="J539" s="27"/>
      <c r="L539" s="27"/>
      <c r="M539" s="27"/>
      <c r="N539" s="27"/>
      <c r="O539" s="27"/>
      <c r="P539" s="27"/>
      <c r="Q539" s="27"/>
    </row>
    <row r="540">
      <c r="F540" s="27"/>
      <c r="G540" s="27"/>
      <c r="H540" s="27"/>
      <c r="J540" s="27"/>
      <c r="L540" s="27"/>
      <c r="M540" s="27"/>
      <c r="N540" s="27"/>
      <c r="O540" s="27"/>
      <c r="P540" s="27"/>
      <c r="Q540" s="27"/>
    </row>
    <row r="541">
      <c r="F541" s="27"/>
      <c r="G541" s="27"/>
      <c r="H541" s="27"/>
      <c r="J541" s="27"/>
      <c r="L541" s="27"/>
      <c r="M541" s="27"/>
      <c r="N541" s="27"/>
      <c r="O541" s="27"/>
      <c r="P541" s="27"/>
      <c r="Q541" s="27"/>
    </row>
    <row r="542">
      <c r="F542" s="27"/>
      <c r="G542" s="27"/>
      <c r="H542" s="27"/>
      <c r="J542" s="27"/>
      <c r="L542" s="27"/>
      <c r="M542" s="27"/>
      <c r="N542" s="27"/>
      <c r="O542" s="27"/>
      <c r="P542" s="27"/>
      <c r="Q542" s="27"/>
    </row>
    <row r="543">
      <c r="F543" s="27"/>
      <c r="G543" s="27"/>
      <c r="H543" s="27"/>
      <c r="J543" s="27"/>
      <c r="L543" s="27"/>
      <c r="M543" s="27"/>
      <c r="N543" s="27"/>
      <c r="O543" s="27"/>
      <c r="P543" s="27"/>
      <c r="Q543" s="27"/>
    </row>
    <row r="544">
      <c r="F544" s="27"/>
      <c r="G544" s="27"/>
      <c r="H544" s="27"/>
      <c r="J544" s="27"/>
      <c r="L544" s="27"/>
      <c r="M544" s="27"/>
      <c r="N544" s="27"/>
      <c r="O544" s="27"/>
      <c r="P544" s="27"/>
      <c r="Q544" s="27"/>
    </row>
    <row r="545">
      <c r="F545" s="27"/>
      <c r="G545" s="27"/>
      <c r="H545" s="27"/>
      <c r="J545" s="27"/>
      <c r="L545" s="27"/>
      <c r="M545" s="27"/>
      <c r="N545" s="27"/>
      <c r="O545" s="27"/>
      <c r="P545" s="27"/>
      <c r="Q545" s="27"/>
    </row>
    <row r="546">
      <c r="F546" s="27"/>
      <c r="G546" s="27"/>
      <c r="H546" s="27"/>
      <c r="J546" s="27"/>
      <c r="L546" s="27"/>
      <c r="M546" s="27"/>
      <c r="N546" s="27"/>
      <c r="O546" s="27"/>
      <c r="P546" s="27"/>
      <c r="Q546" s="27"/>
    </row>
    <row r="547">
      <c r="F547" s="27"/>
      <c r="G547" s="27"/>
      <c r="H547" s="27"/>
      <c r="J547" s="27"/>
      <c r="L547" s="27"/>
      <c r="M547" s="27"/>
      <c r="N547" s="27"/>
      <c r="O547" s="27"/>
      <c r="P547" s="27"/>
      <c r="Q547" s="27"/>
    </row>
    <row r="548">
      <c r="F548" s="27"/>
      <c r="G548" s="27"/>
      <c r="H548" s="27"/>
      <c r="J548" s="27"/>
      <c r="L548" s="27"/>
      <c r="M548" s="27"/>
      <c r="N548" s="27"/>
      <c r="O548" s="27"/>
      <c r="P548" s="27"/>
      <c r="Q548" s="27"/>
    </row>
    <row r="549">
      <c r="F549" s="27"/>
      <c r="G549" s="27"/>
      <c r="H549" s="27"/>
      <c r="J549" s="27"/>
      <c r="L549" s="27"/>
      <c r="M549" s="27"/>
      <c r="N549" s="27"/>
      <c r="O549" s="27"/>
      <c r="P549" s="27"/>
      <c r="Q549" s="27"/>
    </row>
    <row r="550">
      <c r="F550" s="27"/>
      <c r="G550" s="27"/>
      <c r="H550" s="27"/>
      <c r="J550" s="27"/>
      <c r="L550" s="27"/>
      <c r="M550" s="27"/>
      <c r="N550" s="27"/>
      <c r="O550" s="27"/>
      <c r="P550" s="27"/>
      <c r="Q550" s="27"/>
    </row>
    <row r="551">
      <c r="F551" s="27"/>
      <c r="G551" s="27"/>
      <c r="H551" s="27"/>
      <c r="J551" s="27"/>
      <c r="L551" s="27"/>
      <c r="M551" s="27"/>
      <c r="N551" s="27"/>
      <c r="O551" s="27"/>
      <c r="P551" s="27"/>
      <c r="Q551" s="27"/>
    </row>
    <row r="552">
      <c r="F552" s="27"/>
      <c r="G552" s="27"/>
      <c r="H552" s="27"/>
      <c r="J552" s="27"/>
      <c r="L552" s="27"/>
      <c r="M552" s="27"/>
      <c r="N552" s="27"/>
      <c r="O552" s="27"/>
      <c r="P552" s="27"/>
      <c r="Q552" s="27"/>
    </row>
    <row r="553">
      <c r="F553" s="27"/>
      <c r="G553" s="27"/>
      <c r="H553" s="27"/>
      <c r="J553" s="27"/>
      <c r="L553" s="27"/>
      <c r="M553" s="27"/>
      <c r="N553" s="27"/>
      <c r="O553" s="27"/>
      <c r="P553" s="27"/>
      <c r="Q553" s="27"/>
    </row>
    <row r="554">
      <c r="F554" s="27"/>
      <c r="G554" s="27"/>
      <c r="H554" s="27"/>
      <c r="J554" s="27"/>
      <c r="L554" s="27"/>
      <c r="M554" s="27"/>
      <c r="N554" s="27"/>
      <c r="O554" s="27"/>
      <c r="P554" s="27"/>
      <c r="Q554" s="27"/>
    </row>
    <row r="555">
      <c r="F555" s="27"/>
      <c r="G555" s="27"/>
      <c r="H555" s="27"/>
      <c r="J555" s="27"/>
      <c r="L555" s="27"/>
      <c r="M555" s="27"/>
      <c r="N555" s="27"/>
      <c r="O555" s="27"/>
      <c r="P555" s="27"/>
      <c r="Q555" s="27"/>
    </row>
    <row r="556">
      <c r="F556" s="27"/>
      <c r="G556" s="27"/>
      <c r="H556" s="27"/>
      <c r="J556" s="27"/>
      <c r="L556" s="27"/>
      <c r="M556" s="27"/>
      <c r="N556" s="27"/>
      <c r="O556" s="27"/>
      <c r="P556" s="27"/>
      <c r="Q556" s="27"/>
    </row>
    <row r="557">
      <c r="F557" s="27"/>
      <c r="G557" s="27"/>
      <c r="H557" s="27"/>
      <c r="J557" s="27"/>
      <c r="L557" s="27"/>
      <c r="M557" s="27"/>
      <c r="N557" s="27"/>
      <c r="O557" s="27"/>
      <c r="P557" s="27"/>
      <c r="Q557" s="27"/>
    </row>
    <row r="558">
      <c r="F558" s="27"/>
      <c r="G558" s="27"/>
      <c r="H558" s="27"/>
      <c r="J558" s="27"/>
      <c r="L558" s="27"/>
      <c r="M558" s="27"/>
      <c r="N558" s="27"/>
      <c r="O558" s="27"/>
      <c r="P558" s="27"/>
      <c r="Q558" s="27"/>
    </row>
    <row r="559">
      <c r="F559" s="27"/>
      <c r="G559" s="27"/>
      <c r="H559" s="27"/>
      <c r="J559" s="27"/>
      <c r="L559" s="27"/>
      <c r="M559" s="27"/>
      <c r="N559" s="27"/>
      <c r="O559" s="27"/>
      <c r="P559" s="27"/>
      <c r="Q559" s="27"/>
    </row>
    <row r="560">
      <c r="F560" s="27"/>
      <c r="G560" s="27"/>
      <c r="H560" s="27"/>
      <c r="J560" s="27"/>
      <c r="L560" s="27"/>
      <c r="M560" s="27"/>
      <c r="N560" s="27"/>
      <c r="O560" s="27"/>
      <c r="P560" s="27"/>
      <c r="Q560" s="27"/>
    </row>
    <row r="561">
      <c r="F561" s="27"/>
      <c r="G561" s="27"/>
      <c r="H561" s="27"/>
      <c r="J561" s="27"/>
      <c r="L561" s="27"/>
      <c r="M561" s="27"/>
      <c r="N561" s="27"/>
      <c r="O561" s="27"/>
      <c r="P561" s="27"/>
      <c r="Q561" s="27"/>
    </row>
    <row r="562">
      <c r="F562" s="27"/>
      <c r="G562" s="27"/>
      <c r="H562" s="27"/>
      <c r="J562" s="27"/>
      <c r="L562" s="27"/>
      <c r="M562" s="27"/>
      <c r="N562" s="27"/>
      <c r="O562" s="27"/>
      <c r="P562" s="27"/>
      <c r="Q562" s="27"/>
    </row>
    <row r="563">
      <c r="F563" s="27"/>
      <c r="G563" s="27"/>
      <c r="H563" s="27"/>
      <c r="J563" s="27"/>
      <c r="L563" s="27"/>
      <c r="M563" s="27"/>
      <c r="N563" s="27"/>
      <c r="O563" s="27"/>
      <c r="P563" s="27"/>
      <c r="Q563" s="27"/>
    </row>
    <row r="564">
      <c r="F564" s="27"/>
      <c r="G564" s="27"/>
      <c r="H564" s="27"/>
      <c r="J564" s="27"/>
      <c r="L564" s="27"/>
      <c r="M564" s="27"/>
      <c r="N564" s="27"/>
      <c r="O564" s="27"/>
      <c r="P564" s="27"/>
      <c r="Q564" s="27"/>
    </row>
    <row r="565">
      <c r="F565" s="27"/>
      <c r="G565" s="27"/>
      <c r="H565" s="27"/>
      <c r="J565" s="27"/>
      <c r="L565" s="27"/>
      <c r="M565" s="27"/>
      <c r="N565" s="27"/>
      <c r="O565" s="27"/>
      <c r="P565" s="27"/>
      <c r="Q565" s="27"/>
    </row>
    <row r="566">
      <c r="F566" s="27"/>
      <c r="G566" s="27"/>
      <c r="H566" s="27"/>
      <c r="J566" s="27"/>
      <c r="L566" s="27"/>
      <c r="M566" s="27"/>
      <c r="N566" s="27"/>
      <c r="O566" s="27"/>
      <c r="P566" s="27"/>
      <c r="Q566" s="27"/>
    </row>
    <row r="567">
      <c r="F567" s="27"/>
      <c r="G567" s="27"/>
      <c r="H567" s="27"/>
      <c r="J567" s="27"/>
      <c r="L567" s="27"/>
      <c r="M567" s="27"/>
      <c r="N567" s="27"/>
      <c r="O567" s="27"/>
      <c r="P567" s="27"/>
      <c r="Q567" s="27"/>
    </row>
    <row r="568">
      <c r="F568" s="27"/>
      <c r="G568" s="27"/>
      <c r="H568" s="27"/>
      <c r="J568" s="27"/>
      <c r="L568" s="27"/>
      <c r="M568" s="27"/>
      <c r="N568" s="27"/>
      <c r="O568" s="27"/>
      <c r="P568" s="27"/>
      <c r="Q568" s="27"/>
    </row>
    <row r="569">
      <c r="F569" s="27"/>
      <c r="G569" s="27"/>
      <c r="H569" s="27"/>
      <c r="J569" s="27"/>
      <c r="L569" s="27"/>
      <c r="M569" s="27"/>
      <c r="N569" s="27"/>
      <c r="O569" s="27"/>
      <c r="P569" s="27"/>
      <c r="Q569" s="27"/>
    </row>
    <row r="570">
      <c r="F570" s="27"/>
      <c r="G570" s="27"/>
      <c r="H570" s="27"/>
      <c r="J570" s="27"/>
      <c r="L570" s="27"/>
      <c r="M570" s="27"/>
      <c r="N570" s="27"/>
      <c r="O570" s="27"/>
      <c r="P570" s="27"/>
      <c r="Q570" s="27"/>
    </row>
    <row r="571">
      <c r="F571" s="27"/>
      <c r="G571" s="27"/>
      <c r="H571" s="27"/>
      <c r="J571" s="27"/>
      <c r="L571" s="27"/>
      <c r="M571" s="27"/>
      <c r="N571" s="27"/>
      <c r="O571" s="27"/>
      <c r="P571" s="27"/>
      <c r="Q571" s="27"/>
    </row>
    <row r="572">
      <c r="F572" s="27"/>
      <c r="G572" s="27"/>
      <c r="H572" s="27"/>
      <c r="J572" s="27"/>
      <c r="L572" s="27"/>
      <c r="M572" s="27"/>
      <c r="N572" s="27"/>
      <c r="O572" s="27"/>
      <c r="P572" s="27"/>
      <c r="Q572" s="27"/>
    </row>
    <row r="573">
      <c r="F573" s="27"/>
      <c r="G573" s="27"/>
      <c r="H573" s="27"/>
      <c r="J573" s="27"/>
      <c r="L573" s="27"/>
      <c r="M573" s="27"/>
      <c r="N573" s="27"/>
      <c r="O573" s="27"/>
      <c r="P573" s="27"/>
      <c r="Q573" s="27"/>
    </row>
    <row r="574">
      <c r="F574" s="27"/>
      <c r="G574" s="27"/>
      <c r="H574" s="27"/>
      <c r="J574" s="27"/>
      <c r="L574" s="27"/>
      <c r="M574" s="27"/>
      <c r="N574" s="27"/>
      <c r="O574" s="27"/>
      <c r="P574" s="27"/>
      <c r="Q574" s="27"/>
    </row>
    <row r="575">
      <c r="F575" s="27"/>
      <c r="G575" s="27"/>
      <c r="H575" s="27"/>
      <c r="J575" s="27"/>
      <c r="L575" s="27"/>
      <c r="M575" s="27"/>
      <c r="N575" s="27"/>
      <c r="O575" s="27"/>
      <c r="P575" s="27"/>
      <c r="Q575" s="27"/>
    </row>
    <row r="576">
      <c r="F576" s="27"/>
      <c r="G576" s="27"/>
      <c r="H576" s="27"/>
      <c r="J576" s="27"/>
      <c r="L576" s="27"/>
      <c r="M576" s="27"/>
      <c r="N576" s="27"/>
      <c r="O576" s="27"/>
      <c r="P576" s="27"/>
      <c r="Q576" s="27"/>
    </row>
    <row r="577">
      <c r="F577" s="27"/>
      <c r="G577" s="27"/>
      <c r="H577" s="27"/>
      <c r="J577" s="27"/>
      <c r="L577" s="27"/>
      <c r="M577" s="27"/>
      <c r="N577" s="27"/>
      <c r="O577" s="27"/>
      <c r="P577" s="27"/>
      <c r="Q577" s="27"/>
    </row>
    <row r="578">
      <c r="F578" s="27"/>
      <c r="G578" s="27"/>
      <c r="H578" s="27"/>
      <c r="J578" s="27"/>
      <c r="L578" s="27"/>
      <c r="M578" s="27"/>
      <c r="N578" s="27"/>
      <c r="O578" s="27"/>
      <c r="P578" s="27"/>
      <c r="Q578" s="27"/>
    </row>
    <row r="579">
      <c r="F579" s="27"/>
      <c r="G579" s="27"/>
      <c r="H579" s="27"/>
      <c r="J579" s="27"/>
      <c r="L579" s="27"/>
      <c r="M579" s="27"/>
      <c r="N579" s="27"/>
      <c r="O579" s="27"/>
      <c r="P579" s="27"/>
      <c r="Q579" s="27"/>
    </row>
    <row r="580">
      <c r="F580" s="27"/>
      <c r="G580" s="27"/>
      <c r="H580" s="27"/>
      <c r="J580" s="27"/>
      <c r="L580" s="27"/>
      <c r="M580" s="27"/>
      <c r="N580" s="27"/>
      <c r="O580" s="27"/>
      <c r="P580" s="27"/>
      <c r="Q580" s="27"/>
    </row>
    <row r="581">
      <c r="F581" s="27"/>
      <c r="G581" s="27"/>
      <c r="H581" s="27"/>
      <c r="J581" s="27"/>
      <c r="L581" s="27"/>
      <c r="M581" s="27"/>
      <c r="N581" s="27"/>
      <c r="O581" s="27"/>
      <c r="P581" s="27"/>
      <c r="Q581" s="27"/>
    </row>
    <row r="582">
      <c r="F582" s="27"/>
      <c r="G582" s="27"/>
      <c r="H582" s="27"/>
      <c r="J582" s="27"/>
      <c r="L582" s="27"/>
      <c r="M582" s="27"/>
      <c r="N582" s="27"/>
      <c r="O582" s="27"/>
      <c r="P582" s="27"/>
      <c r="Q582" s="27"/>
    </row>
    <row r="583">
      <c r="F583" s="27"/>
      <c r="G583" s="27"/>
      <c r="H583" s="27"/>
      <c r="J583" s="27"/>
      <c r="L583" s="27"/>
      <c r="M583" s="27"/>
      <c r="N583" s="27"/>
      <c r="O583" s="27"/>
      <c r="P583" s="27"/>
      <c r="Q583" s="27"/>
    </row>
    <row r="584">
      <c r="F584" s="27"/>
      <c r="G584" s="27"/>
      <c r="H584" s="27"/>
      <c r="J584" s="27"/>
      <c r="L584" s="27"/>
      <c r="M584" s="27"/>
      <c r="N584" s="27"/>
      <c r="O584" s="27"/>
      <c r="P584" s="27"/>
      <c r="Q584" s="27"/>
    </row>
    <row r="585">
      <c r="F585" s="27"/>
      <c r="G585" s="27"/>
      <c r="H585" s="27"/>
      <c r="J585" s="27"/>
      <c r="L585" s="27"/>
      <c r="M585" s="27"/>
      <c r="N585" s="27"/>
      <c r="O585" s="27"/>
      <c r="P585" s="27"/>
      <c r="Q585" s="27"/>
    </row>
    <row r="586">
      <c r="F586" s="27"/>
      <c r="G586" s="27"/>
      <c r="H586" s="27"/>
      <c r="J586" s="27"/>
      <c r="L586" s="27"/>
      <c r="M586" s="27"/>
      <c r="N586" s="27"/>
      <c r="O586" s="27"/>
      <c r="P586" s="27"/>
      <c r="Q586" s="27"/>
    </row>
    <row r="587">
      <c r="F587" s="27"/>
      <c r="G587" s="27"/>
      <c r="H587" s="27"/>
      <c r="J587" s="27"/>
      <c r="L587" s="27"/>
      <c r="M587" s="27"/>
      <c r="N587" s="27"/>
      <c r="O587" s="27"/>
      <c r="P587" s="27"/>
      <c r="Q587" s="27"/>
    </row>
    <row r="588">
      <c r="F588" s="27"/>
      <c r="G588" s="27"/>
      <c r="H588" s="27"/>
      <c r="J588" s="27"/>
      <c r="L588" s="27"/>
      <c r="M588" s="27"/>
      <c r="N588" s="27"/>
      <c r="O588" s="27"/>
      <c r="P588" s="27"/>
      <c r="Q588" s="27"/>
    </row>
    <row r="589">
      <c r="F589" s="27"/>
      <c r="G589" s="27"/>
      <c r="H589" s="27"/>
      <c r="J589" s="27"/>
      <c r="L589" s="27"/>
      <c r="M589" s="27"/>
      <c r="N589" s="27"/>
      <c r="O589" s="27"/>
      <c r="P589" s="27"/>
      <c r="Q589" s="27"/>
    </row>
    <row r="590">
      <c r="F590" s="27"/>
      <c r="G590" s="27"/>
      <c r="H590" s="27"/>
      <c r="J590" s="27"/>
      <c r="L590" s="27"/>
      <c r="M590" s="27"/>
      <c r="N590" s="27"/>
      <c r="O590" s="27"/>
      <c r="P590" s="27"/>
      <c r="Q590" s="27"/>
    </row>
    <row r="591">
      <c r="F591" s="27"/>
      <c r="G591" s="27"/>
      <c r="H591" s="27"/>
      <c r="J591" s="27"/>
      <c r="L591" s="27"/>
      <c r="M591" s="27"/>
      <c r="N591" s="27"/>
      <c r="O591" s="27"/>
      <c r="P591" s="27"/>
      <c r="Q591" s="27"/>
    </row>
    <row r="592">
      <c r="F592" s="27"/>
      <c r="G592" s="27"/>
      <c r="H592" s="27"/>
      <c r="J592" s="27"/>
      <c r="L592" s="27"/>
      <c r="M592" s="27"/>
      <c r="N592" s="27"/>
      <c r="O592" s="27"/>
      <c r="P592" s="27"/>
      <c r="Q592" s="27"/>
    </row>
    <row r="593">
      <c r="F593" s="27"/>
      <c r="G593" s="27"/>
      <c r="H593" s="27"/>
      <c r="J593" s="27"/>
      <c r="L593" s="27"/>
      <c r="M593" s="27"/>
      <c r="N593" s="27"/>
      <c r="O593" s="27"/>
      <c r="P593" s="27"/>
      <c r="Q593" s="27"/>
    </row>
    <row r="594">
      <c r="F594" s="27"/>
      <c r="G594" s="27"/>
      <c r="H594" s="27"/>
      <c r="J594" s="27"/>
      <c r="L594" s="27"/>
      <c r="M594" s="27"/>
      <c r="N594" s="27"/>
      <c r="O594" s="27"/>
      <c r="P594" s="27"/>
      <c r="Q594" s="27"/>
    </row>
    <row r="595">
      <c r="F595" s="27"/>
      <c r="G595" s="27"/>
      <c r="H595" s="27"/>
      <c r="J595" s="27"/>
      <c r="L595" s="27"/>
      <c r="M595" s="27"/>
      <c r="N595" s="27"/>
      <c r="O595" s="27"/>
      <c r="P595" s="27"/>
      <c r="Q595" s="27"/>
    </row>
    <row r="596">
      <c r="F596" s="27"/>
      <c r="G596" s="27"/>
      <c r="H596" s="27"/>
      <c r="J596" s="27"/>
      <c r="L596" s="27"/>
      <c r="M596" s="27"/>
      <c r="N596" s="27"/>
      <c r="O596" s="27"/>
      <c r="P596" s="27"/>
      <c r="Q596" s="27"/>
    </row>
    <row r="597">
      <c r="F597" s="27"/>
      <c r="G597" s="27"/>
      <c r="H597" s="27"/>
      <c r="J597" s="27"/>
      <c r="L597" s="27"/>
      <c r="M597" s="27"/>
      <c r="N597" s="27"/>
      <c r="O597" s="27"/>
      <c r="P597" s="27"/>
      <c r="Q597" s="27"/>
    </row>
    <row r="598">
      <c r="F598" s="27"/>
      <c r="G598" s="27"/>
      <c r="H598" s="27"/>
      <c r="J598" s="27"/>
      <c r="L598" s="27"/>
      <c r="M598" s="27"/>
      <c r="N598" s="27"/>
      <c r="O598" s="27"/>
      <c r="P598" s="27"/>
      <c r="Q598" s="27"/>
    </row>
    <row r="599">
      <c r="F599" s="27"/>
      <c r="G599" s="27"/>
      <c r="H599" s="27"/>
      <c r="J599" s="27"/>
      <c r="L599" s="27"/>
      <c r="M599" s="27"/>
      <c r="N599" s="27"/>
      <c r="O599" s="27"/>
      <c r="P599" s="27"/>
      <c r="Q599" s="27"/>
    </row>
    <row r="600">
      <c r="F600" s="27"/>
      <c r="G600" s="27"/>
      <c r="H600" s="27"/>
      <c r="J600" s="27"/>
      <c r="L600" s="27"/>
      <c r="M600" s="27"/>
      <c r="N600" s="27"/>
      <c r="O600" s="27"/>
      <c r="P600" s="27"/>
      <c r="Q600" s="27"/>
    </row>
    <row r="601">
      <c r="F601" s="27"/>
      <c r="G601" s="27"/>
      <c r="H601" s="27"/>
      <c r="J601" s="27"/>
      <c r="L601" s="27"/>
      <c r="M601" s="27"/>
      <c r="N601" s="27"/>
      <c r="O601" s="27"/>
      <c r="P601" s="27"/>
      <c r="Q601" s="27"/>
    </row>
    <row r="602">
      <c r="F602" s="27"/>
      <c r="G602" s="27"/>
      <c r="H602" s="27"/>
      <c r="J602" s="27"/>
      <c r="L602" s="27"/>
      <c r="M602" s="27"/>
      <c r="N602" s="27"/>
      <c r="O602" s="27"/>
      <c r="P602" s="27"/>
      <c r="Q602" s="27"/>
    </row>
    <row r="603">
      <c r="F603" s="27"/>
      <c r="G603" s="27"/>
      <c r="H603" s="27"/>
      <c r="J603" s="27"/>
      <c r="L603" s="27"/>
      <c r="M603" s="27"/>
      <c r="N603" s="27"/>
      <c r="O603" s="27"/>
      <c r="P603" s="27"/>
      <c r="Q603" s="27"/>
    </row>
    <row r="604">
      <c r="F604" s="27"/>
      <c r="G604" s="27"/>
      <c r="H604" s="27"/>
      <c r="J604" s="27"/>
      <c r="L604" s="27"/>
      <c r="M604" s="27"/>
      <c r="N604" s="27"/>
      <c r="O604" s="27"/>
      <c r="P604" s="27"/>
      <c r="Q604" s="27"/>
    </row>
    <row r="605">
      <c r="F605" s="27"/>
      <c r="G605" s="27"/>
      <c r="H605" s="27"/>
      <c r="J605" s="27"/>
      <c r="L605" s="27"/>
      <c r="M605" s="27"/>
      <c r="N605" s="27"/>
      <c r="O605" s="27"/>
      <c r="P605" s="27"/>
      <c r="Q605" s="27"/>
    </row>
    <row r="606">
      <c r="F606" s="27"/>
      <c r="G606" s="27"/>
      <c r="H606" s="27"/>
      <c r="J606" s="27"/>
      <c r="L606" s="27"/>
      <c r="M606" s="27"/>
      <c r="N606" s="27"/>
      <c r="O606" s="27"/>
      <c r="P606" s="27"/>
      <c r="Q606" s="27"/>
    </row>
    <row r="607">
      <c r="F607" s="27"/>
      <c r="G607" s="27"/>
      <c r="H607" s="27"/>
      <c r="J607" s="27"/>
      <c r="L607" s="27"/>
      <c r="M607" s="27"/>
      <c r="N607" s="27"/>
      <c r="O607" s="27"/>
      <c r="P607" s="27"/>
      <c r="Q607" s="27"/>
    </row>
    <row r="608">
      <c r="F608" s="27"/>
      <c r="G608" s="27"/>
      <c r="H608" s="27"/>
      <c r="J608" s="27"/>
      <c r="L608" s="27"/>
      <c r="M608" s="27"/>
      <c r="N608" s="27"/>
      <c r="O608" s="27"/>
      <c r="P608" s="27"/>
      <c r="Q608" s="27"/>
    </row>
    <row r="609">
      <c r="F609" s="27"/>
      <c r="G609" s="27"/>
      <c r="H609" s="27"/>
      <c r="J609" s="27"/>
      <c r="L609" s="27"/>
      <c r="M609" s="27"/>
      <c r="N609" s="27"/>
      <c r="O609" s="27"/>
      <c r="P609" s="27"/>
      <c r="Q609" s="27"/>
    </row>
    <row r="610">
      <c r="F610" s="27"/>
      <c r="G610" s="27"/>
      <c r="H610" s="27"/>
      <c r="J610" s="27"/>
      <c r="L610" s="27"/>
      <c r="M610" s="27"/>
      <c r="N610" s="27"/>
      <c r="O610" s="27"/>
      <c r="P610" s="27"/>
      <c r="Q610" s="27"/>
    </row>
    <row r="611">
      <c r="F611" s="27"/>
      <c r="G611" s="27"/>
      <c r="H611" s="27"/>
      <c r="J611" s="27"/>
      <c r="L611" s="27"/>
      <c r="M611" s="27"/>
      <c r="N611" s="27"/>
      <c r="O611" s="27"/>
      <c r="P611" s="27"/>
      <c r="Q611" s="27"/>
    </row>
    <row r="612">
      <c r="F612" s="27"/>
      <c r="G612" s="27"/>
      <c r="H612" s="27"/>
      <c r="J612" s="27"/>
      <c r="L612" s="27"/>
      <c r="M612" s="27"/>
      <c r="N612" s="27"/>
      <c r="O612" s="27"/>
      <c r="P612" s="27"/>
      <c r="Q612" s="27"/>
    </row>
    <row r="613">
      <c r="F613" s="27"/>
      <c r="G613" s="27"/>
      <c r="H613" s="27"/>
      <c r="J613" s="27"/>
      <c r="L613" s="27"/>
      <c r="M613" s="27"/>
      <c r="N613" s="27"/>
      <c r="O613" s="27"/>
      <c r="P613" s="27"/>
      <c r="Q613" s="27"/>
    </row>
    <row r="614">
      <c r="F614" s="27"/>
      <c r="G614" s="27"/>
      <c r="H614" s="27"/>
      <c r="J614" s="27"/>
      <c r="L614" s="27"/>
      <c r="M614" s="27"/>
      <c r="N614" s="27"/>
      <c r="O614" s="27"/>
      <c r="P614" s="27"/>
      <c r="Q614" s="27"/>
    </row>
    <row r="615">
      <c r="F615" s="27"/>
      <c r="G615" s="27"/>
      <c r="H615" s="27"/>
      <c r="J615" s="27"/>
      <c r="L615" s="27"/>
      <c r="M615" s="27"/>
      <c r="N615" s="27"/>
      <c r="O615" s="27"/>
      <c r="P615" s="27"/>
      <c r="Q615" s="27"/>
    </row>
    <row r="616">
      <c r="F616" s="27"/>
      <c r="G616" s="27"/>
      <c r="H616" s="27"/>
      <c r="J616" s="27"/>
      <c r="L616" s="27"/>
      <c r="M616" s="27"/>
      <c r="N616" s="27"/>
      <c r="O616" s="27"/>
      <c r="P616" s="27"/>
      <c r="Q616" s="27"/>
    </row>
    <row r="617">
      <c r="F617" s="27"/>
      <c r="G617" s="27"/>
      <c r="H617" s="27"/>
      <c r="J617" s="27"/>
      <c r="L617" s="27"/>
      <c r="M617" s="27"/>
      <c r="N617" s="27"/>
      <c r="O617" s="27"/>
      <c r="P617" s="27"/>
      <c r="Q617" s="27"/>
    </row>
    <row r="618">
      <c r="F618" s="27"/>
      <c r="G618" s="27"/>
      <c r="H618" s="27"/>
      <c r="J618" s="27"/>
      <c r="L618" s="27"/>
      <c r="M618" s="27"/>
      <c r="N618" s="27"/>
      <c r="O618" s="27"/>
      <c r="P618" s="27"/>
      <c r="Q618" s="27"/>
    </row>
    <row r="619">
      <c r="F619" s="27"/>
      <c r="G619" s="27"/>
      <c r="H619" s="27"/>
      <c r="J619" s="27"/>
      <c r="L619" s="27"/>
      <c r="M619" s="27"/>
      <c r="N619" s="27"/>
      <c r="O619" s="27"/>
      <c r="P619" s="27"/>
      <c r="Q619" s="27"/>
    </row>
    <row r="620">
      <c r="F620" s="27"/>
      <c r="G620" s="27"/>
      <c r="H620" s="27"/>
      <c r="J620" s="27"/>
      <c r="L620" s="27"/>
      <c r="M620" s="27"/>
      <c r="N620" s="27"/>
      <c r="O620" s="27"/>
      <c r="P620" s="27"/>
      <c r="Q620" s="27"/>
    </row>
    <row r="621">
      <c r="F621" s="27"/>
      <c r="G621" s="27"/>
      <c r="H621" s="27"/>
      <c r="J621" s="27"/>
      <c r="L621" s="27"/>
      <c r="M621" s="27"/>
      <c r="N621" s="27"/>
      <c r="O621" s="27"/>
      <c r="P621" s="27"/>
      <c r="Q621" s="27"/>
    </row>
    <row r="622">
      <c r="F622" s="27"/>
      <c r="G622" s="27"/>
      <c r="H622" s="27"/>
      <c r="J622" s="27"/>
      <c r="L622" s="27"/>
      <c r="M622" s="27"/>
      <c r="N622" s="27"/>
      <c r="O622" s="27"/>
      <c r="P622" s="27"/>
      <c r="Q622" s="27"/>
    </row>
    <row r="623">
      <c r="F623" s="27"/>
      <c r="G623" s="27"/>
      <c r="H623" s="27"/>
      <c r="J623" s="27"/>
      <c r="L623" s="27"/>
      <c r="M623" s="27"/>
      <c r="N623" s="27"/>
      <c r="O623" s="27"/>
      <c r="P623" s="27"/>
      <c r="Q623" s="27"/>
    </row>
    <row r="624">
      <c r="F624" s="27"/>
      <c r="G624" s="27"/>
      <c r="H624" s="27"/>
      <c r="J624" s="27"/>
      <c r="L624" s="27"/>
      <c r="M624" s="27"/>
      <c r="N624" s="27"/>
      <c r="O624" s="27"/>
      <c r="P624" s="27"/>
      <c r="Q624" s="27"/>
    </row>
    <row r="625">
      <c r="F625" s="27"/>
      <c r="G625" s="27"/>
      <c r="H625" s="27"/>
      <c r="J625" s="27"/>
      <c r="L625" s="27"/>
      <c r="M625" s="27"/>
      <c r="N625" s="27"/>
      <c r="O625" s="27"/>
      <c r="P625" s="27"/>
      <c r="Q625" s="27"/>
    </row>
    <row r="626">
      <c r="F626" s="27"/>
      <c r="G626" s="27"/>
      <c r="H626" s="27"/>
      <c r="J626" s="27"/>
      <c r="L626" s="27"/>
      <c r="M626" s="27"/>
      <c r="N626" s="27"/>
      <c r="O626" s="27"/>
      <c r="P626" s="27"/>
      <c r="Q626" s="27"/>
    </row>
    <row r="627">
      <c r="F627" s="27"/>
      <c r="G627" s="27"/>
      <c r="H627" s="27"/>
      <c r="J627" s="27"/>
      <c r="L627" s="27"/>
      <c r="M627" s="27"/>
      <c r="N627" s="27"/>
      <c r="O627" s="27"/>
      <c r="P627" s="27"/>
      <c r="Q627" s="27"/>
    </row>
    <row r="628">
      <c r="F628" s="27"/>
      <c r="G628" s="27"/>
      <c r="H628" s="27"/>
      <c r="J628" s="27"/>
      <c r="L628" s="27"/>
      <c r="M628" s="27"/>
      <c r="N628" s="27"/>
      <c r="O628" s="27"/>
      <c r="P628" s="27"/>
      <c r="Q628" s="27"/>
    </row>
    <row r="629">
      <c r="F629" s="27"/>
      <c r="G629" s="27"/>
      <c r="H629" s="27"/>
      <c r="J629" s="27"/>
      <c r="L629" s="27"/>
      <c r="M629" s="27"/>
      <c r="N629" s="27"/>
      <c r="O629" s="27"/>
      <c r="P629" s="27"/>
      <c r="Q629" s="27"/>
    </row>
    <row r="630">
      <c r="F630" s="27"/>
      <c r="G630" s="27"/>
      <c r="H630" s="27"/>
      <c r="J630" s="27"/>
      <c r="L630" s="27"/>
      <c r="M630" s="27"/>
      <c r="N630" s="27"/>
      <c r="O630" s="27"/>
      <c r="P630" s="27"/>
      <c r="Q630" s="27"/>
    </row>
    <row r="631">
      <c r="F631" s="27"/>
      <c r="G631" s="27"/>
      <c r="H631" s="27"/>
      <c r="J631" s="27"/>
      <c r="L631" s="27"/>
      <c r="M631" s="27"/>
      <c r="N631" s="27"/>
      <c r="O631" s="27"/>
      <c r="P631" s="27"/>
      <c r="Q631" s="27"/>
    </row>
    <row r="632">
      <c r="F632" s="27"/>
      <c r="G632" s="27"/>
      <c r="H632" s="27"/>
      <c r="J632" s="27"/>
      <c r="L632" s="27"/>
      <c r="M632" s="27"/>
      <c r="N632" s="27"/>
      <c r="O632" s="27"/>
      <c r="P632" s="27"/>
      <c r="Q632" s="27"/>
    </row>
    <row r="633">
      <c r="F633" s="27"/>
      <c r="G633" s="27"/>
      <c r="H633" s="27"/>
      <c r="J633" s="27"/>
      <c r="L633" s="27"/>
      <c r="M633" s="27"/>
      <c r="N633" s="27"/>
      <c r="O633" s="27"/>
      <c r="P633" s="27"/>
      <c r="Q633" s="27"/>
    </row>
    <row r="634">
      <c r="F634" s="27"/>
      <c r="G634" s="27"/>
      <c r="H634" s="27"/>
      <c r="J634" s="27"/>
      <c r="L634" s="27"/>
      <c r="M634" s="27"/>
      <c r="N634" s="27"/>
      <c r="O634" s="27"/>
      <c r="P634" s="27"/>
      <c r="Q634" s="27"/>
    </row>
    <row r="635">
      <c r="F635" s="27"/>
      <c r="G635" s="27"/>
      <c r="H635" s="27"/>
      <c r="J635" s="27"/>
      <c r="L635" s="27"/>
      <c r="M635" s="27"/>
      <c r="N635" s="27"/>
      <c r="O635" s="27"/>
      <c r="P635" s="27"/>
      <c r="Q635" s="27"/>
    </row>
    <row r="636">
      <c r="F636" s="27"/>
      <c r="G636" s="27"/>
      <c r="H636" s="27"/>
      <c r="J636" s="27"/>
      <c r="L636" s="27"/>
      <c r="M636" s="27"/>
      <c r="N636" s="27"/>
      <c r="O636" s="27"/>
      <c r="P636" s="27"/>
      <c r="Q636" s="27"/>
    </row>
    <row r="637">
      <c r="F637" s="27"/>
      <c r="G637" s="27"/>
      <c r="H637" s="27"/>
      <c r="J637" s="27"/>
      <c r="L637" s="27"/>
      <c r="M637" s="27"/>
      <c r="N637" s="27"/>
      <c r="O637" s="27"/>
      <c r="P637" s="27"/>
      <c r="Q637" s="27"/>
    </row>
    <row r="638">
      <c r="F638" s="27"/>
      <c r="G638" s="27"/>
      <c r="H638" s="27"/>
      <c r="J638" s="27"/>
      <c r="L638" s="27"/>
      <c r="M638" s="27"/>
      <c r="N638" s="27"/>
      <c r="O638" s="27"/>
      <c r="P638" s="27"/>
      <c r="Q638" s="27"/>
    </row>
    <row r="639">
      <c r="F639" s="27"/>
      <c r="G639" s="27"/>
      <c r="H639" s="27"/>
      <c r="J639" s="27"/>
      <c r="L639" s="27"/>
      <c r="M639" s="27"/>
      <c r="N639" s="27"/>
      <c r="O639" s="27"/>
      <c r="P639" s="27"/>
      <c r="Q639" s="27"/>
    </row>
    <row r="640">
      <c r="F640" s="27"/>
      <c r="G640" s="27"/>
      <c r="H640" s="27"/>
      <c r="J640" s="27"/>
      <c r="L640" s="27"/>
      <c r="M640" s="27"/>
      <c r="N640" s="27"/>
      <c r="O640" s="27"/>
      <c r="P640" s="27"/>
      <c r="Q640" s="27"/>
    </row>
    <row r="641">
      <c r="F641" s="27"/>
      <c r="G641" s="27"/>
      <c r="H641" s="27"/>
      <c r="J641" s="27"/>
      <c r="L641" s="27"/>
      <c r="M641" s="27"/>
      <c r="N641" s="27"/>
      <c r="O641" s="27"/>
      <c r="P641" s="27"/>
      <c r="Q641" s="27"/>
    </row>
    <row r="642">
      <c r="F642" s="27"/>
      <c r="G642" s="27"/>
      <c r="H642" s="27"/>
      <c r="J642" s="27"/>
      <c r="L642" s="27"/>
      <c r="M642" s="27"/>
      <c r="N642" s="27"/>
      <c r="O642" s="27"/>
      <c r="P642" s="27"/>
      <c r="Q642" s="27"/>
    </row>
    <row r="643">
      <c r="F643" s="27"/>
      <c r="G643" s="27"/>
      <c r="H643" s="27"/>
      <c r="J643" s="27"/>
      <c r="L643" s="27"/>
      <c r="M643" s="27"/>
      <c r="N643" s="27"/>
      <c r="O643" s="27"/>
      <c r="P643" s="27"/>
      <c r="Q643" s="27"/>
    </row>
    <row r="644">
      <c r="F644" s="27"/>
      <c r="G644" s="27"/>
      <c r="H644" s="27"/>
      <c r="J644" s="27"/>
      <c r="L644" s="27"/>
      <c r="M644" s="27"/>
      <c r="N644" s="27"/>
      <c r="O644" s="27"/>
      <c r="P644" s="27"/>
      <c r="Q644" s="27"/>
    </row>
    <row r="645">
      <c r="F645" s="27"/>
      <c r="G645" s="27"/>
      <c r="H645" s="27"/>
      <c r="J645" s="27"/>
      <c r="L645" s="27"/>
      <c r="M645" s="27"/>
      <c r="N645" s="27"/>
      <c r="O645" s="27"/>
      <c r="P645" s="27"/>
      <c r="Q645" s="27"/>
    </row>
    <row r="646">
      <c r="F646" s="27"/>
      <c r="G646" s="27"/>
      <c r="H646" s="27"/>
      <c r="J646" s="27"/>
      <c r="L646" s="27"/>
      <c r="M646" s="27"/>
      <c r="N646" s="27"/>
      <c r="O646" s="27"/>
      <c r="P646" s="27"/>
      <c r="Q646" s="27"/>
    </row>
    <row r="647">
      <c r="F647" s="27"/>
      <c r="G647" s="27"/>
      <c r="H647" s="27"/>
      <c r="J647" s="27"/>
      <c r="L647" s="27"/>
      <c r="M647" s="27"/>
      <c r="N647" s="27"/>
      <c r="O647" s="27"/>
      <c r="P647" s="27"/>
      <c r="Q647" s="27"/>
    </row>
    <row r="648">
      <c r="F648" s="27"/>
      <c r="G648" s="27"/>
      <c r="H648" s="27"/>
      <c r="J648" s="27"/>
      <c r="L648" s="27"/>
      <c r="M648" s="27"/>
      <c r="N648" s="27"/>
      <c r="O648" s="27"/>
      <c r="P648" s="27"/>
      <c r="Q648" s="27"/>
    </row>
    <row r="649">
      <c r="F649" s="27"/>
      <c r="G649" s="27"/>
      <c r="H649" s="27"/>
      <c r="J649" s="27"/>
      <c r="L649" s="27"/>
      <c r="M649" s="27"/>
      <c r="N649" s="27"/>
      <c r="O649" s="27"/>
      <c r="P649" s="27"/>
      <c r="Q649" s="27"/>
    </row>
    <row r="650">
      <c r="F650" s="27"/>
      <c r="G650" s="27"/>
      <c r="H650" s="27"/>
      <c r="J650" s="27"/>
      <c r="L650" s="27"/>
      <c r="M650" s="27"/>
      <c r="N650" s="27"/>
      <c r="O650" s="27"/>
      <c r="P650" s="27"/>
      <c r="Q650" s="27"/>
    </row>
    <row r="651">
      <c r="F651" s="27"/>
      <c r="G651" s="27"/>
      <c r="H651" s="27"/>
      <c r="J651" s="27"/>
      <c r="L651" s="27"/>
      <c r="M651" s="27"/>
      <c r="N651" s="27"/>
      <c r="O651" s="27"/>
      <c r="P651" s="27"/>
      <c r="Q651" s="27"/>
    </row>
    <row r="652">
      <c r="F652" s="27"/>
      <c r="G652" s="27"/>
      <c r="H652" s="27"/>
      <c r="J652" s="27"/>
      <c r="L652" s="27"/>
      <c r="M652" s="27"/>
      <c r="N652" s="27"/>
      <c r="O652" s="27"/>
      <c r="P652" s="27"/>
      <c r="Q652" s="27"/>
    </row>
    <row r="653">
      <c r="F653" s="27"/>
      <c r="G653" s="27"/>
      <c r="H653" s="27"/>
      <c r="J653" s="27"/>
      <c r="L653" s="27"/>
      <c r="M653" s="27"/>
      <c r="N653" s="27"/>
      <c r="O653" s="27"/>
      <c r="P653" s="27"/>
      <c r="Q653" s="27"/>
    </row>
    <row r="654">
      <c r="F654" s="27"/>
      <c r="G654" s="27"/>
      <c r="H654" s="27"/>
      <c r="J654" s="27"/>
      <c r="L654" s="27"/>
      <c r="M654" s="27"/>
      <c r="N654" s="27"/>
      <c r="O654" s="27"/>
      <c r="P654" s="27"/>
      <c r="Q654" s="27"/>
    </row>
    <row r="655">
      <c r="F655" s="27"/>
      <c r="G655" s="27"/>
      <c r="H655" s="27"/>
      <c r="J655" s="27"/>
      <c r="L655" s="27"/>
      <c r="M655" s="27"/>
      <c r="N655" s="27"/>
      <c r="O655" s="27"/>
      <c r="P655" s="27"/>
      <c r="Q655" s="27"/>
    </row>
    <row r="656">
      <c r="F656" s="27"/>
      <c r="G656" s="27"/>
      <c r="H656" s="27"/>
      <c r="J656" s="27"/>
      <c r="L656" s="27"/>
      <c r="M656" s="27"/>
      <c r="N656" s="27"/>
      <c r="O656" s="27"/>
      <c r="P656" s="27"/>
      <c r="Q656" s="27"/>
    </row>
    <row r="657">
      <c r="F657" s="27"/>
      <c r="G657" s="27"/>
      <c r="H657" s="27"/>
      <c r="J657" s="27"/>
      <c r="L657" s="27"/>
      <c r="M657" s="27"/>
      <c r="N657" s="27"/>
      <c r="O657" s="27"/>
      <c r="P657" s="27"/>
      <c r="Q657" s="27"/>
    </row>
    <row r="658">
      <c r="F658" s="27"/>
      <c r="G658" s="27"/>
      <c r="H658" s="27"/>
      <c r="J658" s="27"/>
      <c r="L658" s="27"/>
      <c r="M658" s="27"/>
      <c r="N658" s="27"/>
      <c r="O658" s="27"/>
      <c r="P658" s="27"/>
      <c r="Q658" s="27"/>
    </row>
    <row r="659">
      <c r="F659" s="27"/>
      <c r="G659" s="27"/>
      <c r="H659" s="27"/>
      <c r="J659" s="27"/>
      <c r="L659" s="27"/>
      <c r="M659" s="27"/>
      <c r="N659" s="27"/>
      <c r="O659" s="27"/>
      <c r="P659" s="27"/>
      <c r="Q659" s="27"/>
    </row>
    <row r="660">
      <c r="F660" s="27"/>
      <c r="G660" s="27"/>
      <c r="H660" s="27"/>
      <c r="J660" s="27"/>
      <c r="L660" s="27"/>
      <c r="M660" s="27"/>
      <c r="N660" s="27"/>
      <c r="O660" s="27"/>
      <c r="P660" s="27"/>
      <c r="Q660" s="27"/>
    </row>
    <row r="661">
      <c r="F661" s="27"/>
      <c r="G661" s="27"/>
      <c r="H661" s="27"/>
      <c r="J661" s="27"/>
      <c r="L661" s="27"/>
      <c r="M661" s="27"/>
      <c r="N661" s="27"/>
      <c r="O661" s="27"/>
      <c r="P661" s="27"/>
      <c r="Q661" s="27"/>
    </row>
    <row r="662">
      <c r="F662" s="27"/>
      <c r="G662" s="27"/>
      <c r="H662" s="27"/>
      <c r="J662" s="27"/>
      <c r="L662" s="27"/>
      <c r="M662" s="27"/>
      <c r="N662" s="27"/>
      <c r="O662" s="27"/>
      <c r="P662" s="27"/>
      <c r="Q662" s="27"/>
    </row>
    <row r="663">
      <c r="F663" s="27"/>
      <c r="G663" s="27"/>
      <c r="H663" s="27"/>
      <c r="J663" s="27"/>
      <c r="L663" s="27"/>
      <c r="M663" s="27"/>
      <c r="N663" s="27"/>
      <c r="O663" s="27"/>
      <c r="P663" s="27"/>
      <c r="Q663" s="27"/>
    </row>
    <row r="664">
      <c r="F664" s="27"/>
      <c r="G664" s="27"/>
      <c r="H664" s="27"/>
      <c r="J664" s="27"/>
      <c r="L664" s="27"/>
      <c r="M664" s="27"/>
      <c r="N664" s="27"/>
      <c r="O664" s="27"/>
      <c r="P664" s="27"/>
      <c r="Q664" s="27"/>
    </row>
    <row r="665">
      <c r="F665" s="27"/>
      <c r="G665" s="27"/>
      <c r="H665" s="27"/>
      <c r="J665" s="27"/>
      <c r="L665" s="27"/>
      <c r="M665" s="27"/>
      <c r="N665" s="27"/>
      <c r="O665" s="27"/>
      <c r="P665" s="27"/>
      <c r="Q665" s="27"/>
    </row>
    <row r="666">
      <c r="F666" s="27"/>
      <c r="G666" s="27"/>
      <c r="H666" s="27"/>
      <c r="J666" s="27"/>
      <c r="L666" s="27"/>
      <c r="M666" s="27"/>
      <c r="N666" s="27"/>
      <c r="O666" s="27"/>
      <c r="P666" s="27"/>
      <c r="Q666" s="27"/>
    </row>
    <row r="667">
      <c r="F667" s="27"/>
      <c r="G667" s="27"/>
      <c r="H667" s="27"/>
      <c r="J667" s="27"/>
      <c r="L667" s="27"/>
      <c r="M667" s="27"/>
      <c r="N667" s="27"/>
      <c r="O667" s="27"/>
      <c r="P667" s="27"/>
      <c r="Q667" s="27"/>
    </row>
    <row r="668">
      <c r="F668" s="27"/>
      <c r="G668" s="27"/>
      <c r="H668" s="27"/>
      <c r="J668" s="27"/>
      <c r="L668" s="27"/>
      <c r="M668" s="27"/>
      <c r="N668" s="27"/>
      <c r="O668" s="27"/>
      <c r="P668" s="27"/>
      <c r="Q668" s="27"/>
    </row>
    <row r="669">
      <c r="F669" s="27"/>
      <c r="G669" s="27"/>
      <c r="H669" s="27"/>
      <c r="J669" s="27"/>
      <c r="L669" s="27"/>
      <c r="M669" s="27"/>
      <c r="N669" s="27"/>
      <c r="O669" s="27"/>
      <c r="P669" s="27"/>
      <c r="Q669" s="27"/>
    </row>
    <row r="670">
      <c r="F670" s="27"/>
      <c r="G670" s="27"/>
      <c r="H670" s="27"/>
      <c r="J670" s="27"/>
      <c r="L670" s="27"/>
      <c r="M670" s="27"/>
      <c r="N670" s="27"/>
      <c r="O670" s="27"/>
      <c r="P670" s="27"/>
      <c r="Q670" s="27"/>
    </row>
    <row r="671">
      <c r="F671" s="27"/>
      <c r="G671" s="27"/>
      <c r="H671" s="27"/>
      <c r="J671" s="27"/>
      <c r="L671" s="27"/>
      <c r="M671" s="27"/>
      <c r="N671" s="27"/>
      <c r="O671" s="27"/>
      <c r="P671" s="27"/>
      <c r="Q671" s="27"/>
    </row>
    <row r="672">
      <c r="F672" s="27"/>
      <c r="G672" s="27"/>
      <c r="H672" s="27"/>
      <c r="J672" s="27"/>
      <c r="L672" s="27"/>
      <c r="M672" s="27"/>
      <c r="N672" s="27"/>
      <c r="O672" s="27"/>
      <c r="P672" s="27"/>
      <c r="Q672" s="27"/>
    </row>
    <row r="673">
      <c r="F673" s="27"/>
      <c r="G673" s="27"/>
      <c r="H673" s="27"/>
      <c r="J673" s="27"/>
      <c r="L673" s="27"/>
      <c r="M673" s="27"/>
      <c r="N673" s="27"/>
      <c r="O673" s="27"/>
      <c r="P673" s="27"/>
      <c r="Q673" s="27"/>
    </row>
    <row r="674">
      <c r="F674" s="27"/>
      <c r="G674" s="27"/>
      <c r="H674" s="27"/>
      <c r="J674" s="27"/>
      <c r="L674" s="27"/>
      <c r="M674" s="27"/>
      <c r="N674" s="27"/>
      <c r="O674" s="27"/>
      <c r="P674" s="27"/>
      <c r="Q674" s="27"/>
    </row>
    <row r="675">
      <c r="F675" s="27"/>
      <c r="G675" s="27"/>
      <c r="H675" s="27"/>
      <c r="J675" s="27"/>
      <c r="L675" s="27"/>
      <c r="M675" s="27"/>
      <c r="N675" s="27"/>
      <c r="O675" s="27"/>
      <c r="P675" s="27"/>
      <c r="Q675" s="27"/>
    </row>
    <row r="676">
      <c r="F676" s="27"/>
      <c r="G676" s="27"/>
      <c r="H676" s="27"/>
      <c r="J676" s="27"/>
      <c r="L676" s="27"/>
      <c r="M676" s="27"/>
      <c r="N676" s="27"/>
      <c r="O676" s="27"/>
      <c r="P676" s="27"/>
      <c r="Q676" s="27"/>
    </row>
    <row r="677">
      <c r="F677" s="27"/>
      <c r="G677" s="27"/>
      <c r="H677" s="27"/>
      <c r="J677" s="27"/>
      <c r="L677" s="27"/>
      <c r="M677" s="27"/>
      <c r="N677" s="27"/>
      <c r="O677" s="27"/>
      <c r="P677" s="27"/>
      <c r="Q677" s="27"/>
    </row>
    <row r="678">
      <c r="F678" s="27"/>
      <c r="G678" s="27"/>
      <c r="H678" s="27"/>
      <c r="J678" s="27"/>
      <c r="L678" s="27"/>
      <c r="M678" s="27"/>
      <c r="N678" s="27"/>
      <c r="O678" s="27"/>
      <c r="P678" s="27"/>
      <c r="Q678" s="27"/>
    </row>
    <row r="679">
      <c r="F679" s="27"/>
      <c r="G679" s="27"/>
      <c r="H679" s="27"/>
      <c r="J679" s="27"/>
      <c r="L679" s="27"/>
      <c r="M679" s="27"/>
      <c r="N679" s="27"/>
      <c r="O679" s="27"/>
      <c r="P679" s="27"/>
      <c r="Q679" s="27"/>
    </row>
    <row r="680">
      <c r="F680" s="27"/>
      <c r="G680" s="27"/>
      <c r="H680" s="27"/>
      <c r="J680" s="27"/>
      <c r="L680" s="27"/>
      <c r="M680" s="27"/>
      <c r="N680" s="27"/>
      <c r="O680" s="27"/>
      <c r="P680" s="27"/>
      <c r="Q680" s="27"/>
    </row>
    <row r="681">
      <c r="F681" s="27"/>
      <c r="G681" s="27"/>
      <c r="H681" s="27"/>
      <c r="J681" s="27"/>
      <c r="L681" s="27"/>
      <c r="M681" s="27"/>
      <c r="N681" s="27"/>
      <c r="O681" s="27"/>
      <c r="P681" s="27"/>
      <c r="Q681" s="27"/>
    </row>
    <row r="682">
      <c r="F682" s="27"/>
      <c r="G682" s="27"/>
      <c r="H682" s="27"/>
      <c r="J682" s="27"/>
      <c r="L682" s="27"/>
      <c r="M682" s="27"/>
      <c r="N682" s="27"/>
      <c r="O682" s="27"/>
      <c r="P682" s="27"/>
      <c r="Q682" s="27"/>
    </row>
    <row r="683">
      <c r="F683" s="27"/>
      <c r="G683" s="27"/>
      <c r="H683" s="27"/>
      <c r="J683" s="27"/>
      <c r="L683" s="27"/>
      <c r="M683" s="27"/>
      <c r="N683" s="27"/>
      <c r="O683" s="27"/>
      <c r="P683" s="27"/>
      <c r="Q683" s="27"/>
    </row>
    <row r="684">
      <c r="F684" s="27"/>
      <c r="G684" s="27"/>
      <c r="H684" s="27"/>
      <c r="J684" s="27"/>
      <c r="L684" s="27"/>
      <c r="M684" s="27"/>
      <c r="N684" s="27"/>
      <c r="O684" s="27"/>
      <c r="P684" s="27"/>
      <c r="Q684" s="27"/>
    </row>
    <row r="685">
      <c r="F685" s="27"/>
      <c r="G685" s="27"/>
      <c r="H685" s="27"/>
      <c r="J685" s="27"/>
      <c r="L685" s="27"/>
      <c r="M685" s="27"/>
      <c r="N685" s="27"/>
      <c r="O685" s="27"/>
      <c r="P685" s="27"/>
      <c r="Q685" s="27"/>
    </row>
    <row r="686">
      <c r="F686" s="27"/>
      <c r="G686" s="27"/>
      <c r="H686" s="27"/>
      <c r="J686" s="27"/>
      <c r="L686" s="27"/>
      <c r="M686" s="27"/>
      <c r="N686" s="27"/>
      <c r="O686" s="27"/>
      <c r="P686" s="27"/>
      <c r="Q686" s="27"/>
    </row>
    <row r="687">
      <c r="F687" s="27"/>
      <c r="G687" s="27"/>
      <c r="H687" s="27"/>
      <c r="J687" s="27"/>
      <c r="L687" s="27"/>
      <c r="M687" s="27"/>
      <c r="N687" s="27"/>
      <c r="O687" s="27"/>
      <c r="P687" s="27"/>
      <c r="Q687" s="27"/>
    </row>
    <row r="688">
      <c r="F688" s="27"/>
      <c r="G688" s="27"/>
      <c r="H688" s="27"/>
      <c r="J688" s="27"/>
      <c r="L688" s="27"/>
      <c r="M688" s="27"/>
      <c r="N688" s="27"/>
      <c r="O688" s="27"/>
      <c r="P688" s="27"/>
      <c r="Q688" s="27"/>
    </row>
    <row r="689">
      <c r="F689" s="27"/>
      <c r="G689" s="27"/>
      <c r="H689" s="27"/>
      <c r="J689" s="27"/>
      <c r="L689" s="27"/>
      <c r="M689" s="27"/>
      <c r="N689" s="27"/>
      <c r="O689" s="27"/>
      <c r="P689" s="27"/>
      <c r="Q689" s="27"/>
    </row>
    <row r="690">
      <c r="F690" s="27"/>
      <c r="G690" s="27"/>
      <c r="H690" s="27"/>
      <c r="J690" s="27"/>
      <c r="L690" s="27"/>
      <c r="M690" s="27"/>
      <c r="N690" s="27"/>
      <c r="O690" s="27"/>
      <c r="P690" s="27"/>
      <c r="Q690" s="27"/>
    </row>
    <row r="691">
      <c r="F691" s="27"/>
      <c r="G691" s="27"/>
      <c r="H691" s="27"/>
      <c r="J691" s="27"/>
      <c r="L691" s="27"/>
      <c r="M691" s="27"/>
      <c r="N691" s="27"/>
      <c r="O691" s="27"/>
      <c r="P691" s="27"/>
      <c r="Q691" s="27"/>
    </row>
    <row r="692">
      <c r="F692" s="27"/>
      <c r="G692" s="27"/>
      <c r="H692" s="27"/>
      <c r="J692" s="27"/>
      <c r="L692" s="27"/>
      <c r="M692" s="27"/>
      <c r="N692" s="27"/>
      <c r="O692" s="27"/>
      <c r="P692" s="27"/>
      <c r="Q692" s="27"/>
    </row>
    <row r="693">
      <c r="F693" s="27"/>
      <c r="G693" s="27"/>
      <c r="H693" s="27"/>
      <c r="J693" s="27"/>
      <c r="L693" s="27"/>
      <c r="M693" s="27"/>
      <c r="N693" s="27"/>
      <c r="O693" s="27"/>
      <c r="P693" s="27"/>
      <c r="Q693" s="27"/>
    </row>
    <row r="694">
      <c r="F694" s="27"/>
      <c r="G694" s="27"/>
      <c r="H694" s="27"/>
      <c r="J694" s="27"/>
      <c r="L694" s="27"/>
      <c r="M694" s="27"/>
      <c r="N694" s="27"/>
      <c r="O694" s="27"/>
      <c r="P694" s="27"/>
      <c r="Q694" s="27"/>
    </row>
    <row r="695">
      <c r="F695" s="27"/>
      <c r="G695" s="27"/>
      <c r="H695" s="27"/>
      <c r="J695" s="27"/>
      <c r="L695" s="27"/>
      <c r="M695" s="27"/>
      <c r="N695" s="27"/>
      <c r="O695" s="27"/>
      <c r="P695" s="27"/>
      <c r="Q695" s="27"/>
    </row>
    <row r="696">
      <c r="F696" s="27"/>
      <c r="G696" s="27"/>
      <c r="H696" s="27"/>
      <c r="J696" s="27"/>
      <c r="L696" s="27"/>
      <c r="M696" s="27"/>
      <c r="N696" s="27"/>
      <c r="O696" s="27"/>
      <c r="P696" s="27"/>
      <c r="Q696" s="27"/>
    </row>
    <row r="697">
      <c r="F697" s="27"/>
      <c r="G697" s="27"/>
      <c r="H697" s="27"/>
      <c r="J697" s="27"/>
      <c r="L697" s="27"/>
      <c r="M697" s="27"/>
      <c r="N697" s="27"/>
      <c r="O697" s="27"/>
      <c r="P697" s="27"/>
      <c r="Q697" s="27"/>
    </row>
    <row r="698">
      <c r="F698" s="27"/>
      <c r="G698" s="27"/>
      <c r="H698" s="27"/>
      <c r="J698" s="27"/>
      <c r="L698" s="27"/>
      <c r="M698" s="27"/>
      <c r="N698" s="27"/>
      <c r="O698" s="27"/>
      <c r="P698" s="27"/>
      <c r="Q698" s="27"/>
    </row>
    <row r="699">
      <c r="F699" s="27"/>
      <c r="G699" s="27"/>
      <c r="H699" s="27"/>
      <c r="J699" s="27"/>
      <c r="L699" s="27"/>
      <c r="M699" s="27"/>
      <c r="N699" s="27"/>
      <c r="O699" s="27"/>
      <c r="P699" s="27"/>
      <c r="Q699" s="27"/>
    </row>
    <row r="700">
      <c r="F700" s="27"/>
      <c r="G700" s="27"/>
      <c r="H700" s="27"/>
      <c r="J700" s="27"/>
      <c r="L700" s="27"/>
      <c r="M700" s="27"/>
      <c r="N700" s="27"/>
      <c r="O700" s="27"/>
      <c r="P700" s="27"/>
      <c r="Q700" s="27"/>
    </row>
    <row r="701">
      <c r="F701" s="27"/>
      <c r="G701" s="27"/>
      <c r="H701" s="27"/>
      <c r="J701" s="27"/>
      <c r="L701" s="27"/>
      <c r="M701" s="27"/>
      <c r="N701" s="27"/>
      <c r="O701" s="27"/>
      <c r="P701" s="27"/>
      <c r="Q701" s="27"/>
    </row>
    <row r="702">
      <c r="F702" s="27"/>
      <c r="G702" s="27"/>
      <c r="H702" s="27"/>
      <c r="J702" s="27"/>
      <c r="L702" s="27"/>
      <c r="M702" s="27"/>
      <c r="N702" s="27"/>
      <c r="O702" s="27"/>
      <c r="P702" s="27"/>
      <c r="Q702" s="27"/>
    </row>
    <row r="703">
      <c r="F703" s="27"/>
      <c r="G703" s="27"/>
      <c r="H703" s="27"/>
      <c r="J703" s="27"/>
      <c r="L703" s="27"/>
      <c r="M703" s="27"/>
      <c r="N703" s="27"/>
      <c r="O703" s="27"/>
      <c r="P703" s="27"/>
      <c r="Q703" s="27"/>
    </row>
    <row r="704">
      <c r="F704" s="27"/>
      <c r="G704" s="27"/>
      <c r="H704" s="27"/>
      <c r="J704" s="27"/>
      <c r="L704" s="27"/>
      <c r="M704" s="27"/>
      <c r="N704" s="27"/>
      <c r="O704" s="27"/>
      <c r="P704" s="27"/>
      <c r="Q704" s="27"/>
    </row>
    <row r="705">
      <c r="F705" s="27"/>
      <c r="G705" s="27"/>
      <c r="H705" s="27"/>
      <c r="J705" s="27"/>
      <c r="L705" s="27"/>
      <c r="M705" s="27"/>
      <c r="N705" s="27"/>
      <c r="O705" s="27"/>
      <c r="P705" s="27"/>
      <c r="Q705" s="27"/>
    </row>
    <row r="706">
      <c r="F706" s="27"/>
      <c r="G706" s="27"/>
      <c r="H706" s="27"/>
      <c r="J706" s="27"/>
      <c r="L706" s="27"/>
      <c r="M706" s="27"/>
      <c r="N706" s="27"/>
      <c r="O706" s="27"/>
      <c r="P706" s="27"/>
      <c r="Q706" s="27"/>
    </row>
    <row r="707">
      <c r="F707" s="27"/>
      <c r="G707" s="27"/>
      <c r="H707" s="27"/>
      <c r="J707" s="27"/>
      <c r="L707" s="27"/>
      <c r="M707" s="27"/>
      <c r="N707" s="27"/>
      <c r="O707" s="27"/>
      <c r="P707" s="27"/>
      <c r="Q707" s="27"/>
    </row>
    <row r="708">
      <c r="F708" s="27"/>
      <c r="G708" s="27"/>
      <c r="H708" s="27"/>
      <c r="J708" s="27"/>
      <c r="L708" s="27"/>
      <c r="M708" s="27"/>
      <c r="N708" s="27"/>
      <c r="O708" s="27"/>
      <c r="P708" s="27"/>
      <c r="Q708" s="27"/>
    </row>
    <row r="709">
      <c r="F709" s="27"/>
      <c r="G709" s="27"/>
      <c r="H709" s="27"/>
      <c r="J709" s="27"/>
      <c r="L709" s="27"/>
      <c r="M709" s="27"/>
      <c r="N709" s="27"/>
      <c r="O709" s="27"/>
      <c r="P709" s="27"/>
      <c r="Q709" s="27"/>
    </row>
    <row r="710">
      <c r="F710" s="27"/>
      <c r="G710" s="27"/>
      <c r="H710" s="27"/>
      <c r="J710" s="27"/>
      <c r="L710" s="27"/>
      <c r="M710" s="27"/>
      <c r="N710" s="27"/>
      <c r="O710" s="27"/>
      <c r="P710" s="27"/>
      <c r="Q710" s="27"/>
    </row>
    <row r="711">
      <c r="F711" s="27"/>
      <c r="G711" s="27"/>
      <c r="H711" s="27"/>
      <c r="J711" s="27"/>
      <c r="L711" s="27"/>
      <c r="M711" s="27"/>
      <c r="N711" s="27"/>
      <c r="O711" s="27"/>
      <c r="P711" s="27"/>
      <c r="Q711" s="27"/>
    </row>
    <row r="712">
      <c r="F712" s="27"/>
      <c r="G712" s="27"/>
      <c r="H712" s="27"/>
      <c r="J712" s="27"/>
      <c r="L712" s="27"/>
      <c r="M712" s="27"/>
      <c r="N712" s="27"/>
      <c r="O712" s="27"/>
      <c r="P712" s="27"/>
      <c r="Q712" s="27"/>
    </row>
    <row r="713">
      <c r="F713" s="27"/>
      <c r="G713" s="27"/>
      <c r="H713" s="27"/>
      <c r="J713" s="27"/>
      <c r="L713" s="27"/>
      <c r="M713" s="27"/>
      <c r="N713" s="27"/>
      <c r="O713" s="27"/>
      <c r="P713" s="27"/>
      <c r="Q713" s="27"/>
    </row>
    <row r="714">
      <c r="F714" s="27"/>
      <c r="G714" s="27"/>
      <c r="H714" s="27"/>
      <c r="J714" s="27"/>
      <c r="L714" s="27"/>
      <c r="M714" s="27"/>
      <c r="N714" s="27"/>
      <c r="O714" s="27"/>
      <c r="P714" s="27"/>
      <c r="Q714" s="27"/>
    </row>
    <row r="715">
      <c r="F715" s="27"/>
      <c r="G715" s="27"/>
      <c r="H715" s="27"/>
      <c r="J715" s="27"/>
      <c r="L715" s="27"/>
      <c r="M715" s="27"/>
      <c r="N715" s="27"/>
      <c r="O715" s="27"/>
      <c r="P715" s="27"/>
      <c r="Q715" s="27"/>
    </row>
    <row r="716">
      <c r="F716" s="27"/>
      <c r="G716" s="27"/>
      <c r="H716" s="27"/>
      <c r="J716" s="27"/>
      <c r="L716" s="27"/>
      <c r="M716" s="27"/>
      <c r="N716" s="27"/>
      <c r="O716" s="27"/>
      <c r="P716" s="27"/>
      <c r="Q716" s="27"/>
    </row>
    <row r="717">
      <c r="F717" s="27"/>
      <c r="G717" s="27"/>
      <c r="H717" s="27"/>
      <c r="J717" s="27"/>
      <c r="L717" s="27"/>
      <c r="M717" s="27"/>
      <c r="N717" s="27"/>
      <c r="O717" s="27"/>
      <c r="P717" s="27"/>
      <c r="Q717" s="27"/>
    </row>
    <row r="718">
      <c r="F718" s="27"/>
      <c r="G718" s="27"/>
      <c r="H718" s="27"/>
      <c r="J718" s="27"/>
      <c r="L718" s="27"/>
      <c r="M718" s="27"/>
      <c r="N718" s="27"/>
      <c r="O718" s="27"/>
      <c r="P718" s="27"/>
      <c r="Q718" s="27"/>
    </row>
    <row r="719">
      <c r="F719" s="27"/>
      <c r="G719" s="27"/>
      <c r="H719" s="27"/>
      <c r="J719" s="27"/>
      <c r="L719" s="27"/>
      <c r="M719" s="27"/>
      <c r="N719" s="27"/>
      <c r="O719" s="27"/>
      <c r="P719" s="27"/>
      <c r="Q719" s="27"/>
    </row>
    <row r="720">
      <c r="F720" s="27"/>
      <c r="G720" s="27"/>
      <c r="H720" s="27"/>
      <c r="J720" s="27"/>
      <c r="L720" s="27"/>
      <c r="M720" s="27"/>
      <c r="N720" s="27"/>
      <c r="O720" s="27"/>
      <c r="P720" s="27"/>
      <c r="Q720" s="27"/>
    </row>
    <row r="721">
      <c r="F721" s="27"/>
      <c r="G721" s="27"/>
      <c r="H721" s="27"/>
      <c r="J721" s="27"/>
      <c r="L721" s="27"/>
      <c r="M721" s="27"/>
      <c r="N721" s="27"/>
      <c r="O721" s="27"/>
      <c r="P721" s="27"/>
      <c r="Q721" s="27"/>
    </row>
    <row r="722">
      <c r="F722" s="27"/>
      <c r="G722" s="27"/>
      <c r="H722" s="27"/>
      <c r="J722" s="27"/>
      <c r="L722" s="27"/>
      <c r="M722" s="27"/>
      <c r="N722" s="27"/>
      <c r="O722" s="27"/>
      <c r="P722" s="27"/>
      <c r="Q722" s="27"/>
    </row>
    <row r="723">
      <c r="F723" s="27"/>
      <c r="G723" s="27"/>
      <c r="H723" s="27"/>
      <c r="J723" s="27"/>
      <c r="L723" s="27"/>
      <c r="M723" s="27"/>
      <c r="N723" s="27"/>
      <c r="O723" s="27"/>
      <c r="P723" s="27"/>
      <c r="Q723" s="27"/>
    </row>
    <row r="724">
      <c r="F724" s="27"/>
      <c r="G724" s="27"/>
      <c r="H724" s="27"/>
      <c r="J724" s="27"/>
      <c r="L724" s="27"/>
      <c r="M724" s="27"/>
      <c r="N724" s="27"/>
      <c r="O724" s="27"/>
      <c r="P724" s="27"/>
      <c r="Q724" s="27"/>
    </row>
    <row r="725">
      <c r="F725" s="27"/>
      <c r="G725" s="27"/>
      <c r="H725" s="27"/>
      <c r="J725" s="27"/>
      <c r="L725" s="27"/>
      <c r="M725" s="27"/>
      <c r="N725" s="27"/>
      <c r="O725" s="27"/>
      <c r="P725" s="27"/>
      <c r="Q725" s="27"/>
    </row>
    <row r="726">
      <c r="F726" s="27"/>
      <c r="G726" s="27"/>
      <c r="H726" s="27"/>
      <c r="J726" s="27"/>
      <c r="L726" s="27"/>
      <c r="M726" s="27"/>
      <c r="N726" s="27"/>
      <c r="O726" s="27"/>
      <c r="P726" s="27"/>
      <c r="Q726" s="27"/>
    </row>
    <row r="727">
      <c r="F727" s="27"/>
      <c r="G727" s="27"/>
      <c r="H727" s="27"/>
      <c r="J727" s="27"/>
      <c r="L727" s="27"/>
      <c r="M727" s="27"/>
      <c r="N727" s="27"/>
      <c r="O727" s="27"/>
      <c r="P727" s="27"/>
      <c r="Q727" s="27"/>
    </row>
    <row r="728">
      <c r="F728" s="27"/>
      <c r="G728" s="27"/>
      <c r="H728" s="27"/>
      <c r="J728" s="27"/>
      <c r="L728" s="27"/>
      <c r="M728" s="27"/>
      <c r="N728" s="27"/>
      <c r="O728" s="27"/>
      <c r="P728" s="27"/>
      <c r="Q728" s="27"/>
    </row>
    <row r="729">
      <c r="F729" s="27"/>
      <c r="G729" s="27"/>
      <c r="H729" s="27"/>
      <c r="J729" s="27"/>
      <c r="L729" s="27"/>
      <c r="M729" s="27"/>
      <c r="N729" s="27"/>
      <c r="O729" s="27"/>
      <c r="P729" s="27"/>
      <c r="Q729" s="27"/>
    </row>
    <row r="730">
      <c r="F730" s="27"/>
      <c r="G730" s="27"/>
      <c r="H730" s="27"/>
      <c r="J730" s="27"/>
      <c r="L730" s="27"/>
      <c r="M730" s="27"/>
      <c r="N730" s="27"/>
      <c r="O730" s="27"/>
      <c r="P730" s="27"/>
      <c r="Q730" s="27"/>
    </row>
    <row r="731">
      <c r="F731" s="27"/>
      <c r="G731" s="27"/>
      <c r="H731" s="27"/>
      <c r="J731" s="27"/>
      <c r="L731" s="27"/>
      <c r="M731" s="27"/>
      <c r="N731" s="27"/>
      <c r="O731" s="27"/>
      <c r="P731" s="27"/>
      <c r="Q731" s="27"/>
    </row>
    <row r="732">
      <c r="F732" s="27"/>
      <c r="G732" s="27"/>
      <c r="H732" s="27"/>
      <c r="J732" s="27"/>
      <c r="L732" s="27"/>
      <c r="M732" s="27"/>
      <c r="N732" s="27"/>
      <c r="O732" s="27"/>
      <c r="P732" s="27"/>
      <c r="Q732" s="27"/>
    </row>
    <row r="733">
      <c r="F733" s="27"/>
      <c r="G733" s="27"/>
      <c r="H733" s="27"/>
      <c r="J733" s="27"/>
      <c r="L733" s="27"/>
      <c r="M733" s="27"/>
      <c r="N733" s="27"/>
      <c r="O733" s="27"/>
      <c r="P733" s="27"/>
      <c r="Q733" s="27"/>
    </row>
    <row r="734">
      <c r="F734" s="27"/>
      <c r="G734" s="27"/>
      <c r="H734" s="27"/>
      <c r="J734" s="27"/>
      <c r="L734" s="27"/>
      <c r="M734" s="27"/>
      <c r="N734" s="27"/>
      <c r="O734" s="27"/>
      <c r="P734" s="27"/>
      <c r="Q734" s="27"/>
    </row>
    <row r="735">
      <c r="F735" s="27"/>
      <c r="G735" s="27"/>
      <c r="H735" s="27"/>
      <c r="J735" s="27"/>
      <c r="L735" s="27"/>
      <c r="M735" s="27"/>
      <c r="N735" s="27"/>
      <c r="O735" s="27"/>
      <c r="P735" s="27"/>
      <c r="Q735" s="27"/>
    </row>
    <row r="736">
      <c r="F736" s="27"/>
      <c r="G736" s="27"/>
      <c r="H736" s="27"/>
      <c r="J736" s="27"/>
      <c r="L736" s="27"/>
      <c r="M736" s="27"/>
      <c r="N736" s="27"/>
      <c r="O736" s="27"/>
      <c r="P736" s="27"/>
      <c r="Q736" s="27"/>
    </row>
    <row r="737">
      <c r="F737" s="27"/>
      <c r="G737" s="27"/>
      <c r="H737" s="27"/>
      <c r="J737" s="27"/>
      <c r="L737" s="27"/>
      <c r="M737" s="27"/>
      <c r="N737" s="27"/>
      <c r="O737" s="27"/>
      <c r="P737" s="27"/>
      <c r="Q737" s="27"/>
    </row>
    <row r="738">
      <c r="F738" s="27"/>
      <c r="G738" s="27"/>
      <c r="H738" s="27"/>
      <c r="J738" s="27"/>
      <c r="L738" s="27"/>
      <c r="M738" s="27"/>
      <c r="N738" s="27"/>
      <c r="O738" s="27"/>
      <c r="P738" s="27"/>
      <c r="Q738" s="27"/>
    </row>
    <row r="739">
      <c r="F739" s="27"/>
      <c r="G739" s="27"/>
      <c r="H739" s="27"/>
      <c r="J739" s="27"/>
      <c r="L739" s="27"/>
      <c r="M739" s="27"/>
      <c r="N739" s="27"/>
      <c r="O739" s="27"/>
      <c r="P739" s="27"/>
      <c r="Q739" s="27"/>
    </row>
    <row r="740">
      <c r="F740" s="27"/>
      <c r="G740" s="27"/>
      <c r="H740" s="27"/>
      <c r="J740" s="27"/>
      <c r="L740" s="27"/>
      <c r="M740" s="27"/>
      <c r="N740" s="27"/>
      <c r="O740" s="27"/>
      <c r="P740" s="27"/>
      <c r="Q740" s="27"/>
    </row>
    <row r="741">
      <c r="F741" s="27"/>
      <c r="G741" s="27"/>
      <c r="H741" s="27"/>
      <c r="J741" s="27"/>
      <c r="L741" s="27"/>
      <c r="M741" s="27"/>
      <c r="N741" s="27"/>
      <c r="O741" s="27"/>
      <c r="P741" s="27"/>
      <c r="Q741" s="27"/>
    </row>
    <row r="742">
      <c r="F742" s="27"/>
      <c r="G742" s="27"/>
      <c r="H742" s="27"/>
      <c r="J742" s="27"/>
      <c r="L742" s="27"/>
      <c r="M742" s="27"/>
      <c r="N742" s="27"/>
      <c r="O742" s="27"/>
      <c r="P742" s="27"/>
      <c r="Q742" s="27"/>
    </row>
    <row r="743">
      <c r="F743" s="27"/>
      <c r="G743" s="27"/>
      <c r="H743" s="27"/>
      <c r="J743" s="27"/>
      <c r="L743" s="27"/>
      <c r="M743" s="27"/>
      <c r="N743" s="27"/>
      <c r="O743" s="27"/>
      <c r="P743" s="27"/>
      <c r="Q743" s="27"/>
    </row>
    <row r="744">
      <c r="F744" s="27"/>
      <c r="G744" s="27"/>
      <c r="H744" s="27"/>
      <c r="J744" s="27"/>
      <c r="L744" s="27"/>
      <c r="M744" s="27"/>
      <c r="N744" s="27"/>
      <c r="O744" s="27"/>
      <c r="P744" s="27"/>
      <c r="Q744" s="27"/>
    </row>
    <row r="745">
      <c r="F745" s="27"/>
      <c r="G745" s="27"/>
      <c r="H745" s="27"/>
      <c r="J745" s="27"/>
      <c r="L745" s="27"/>
      <c r="M745" s="27"/>
      <c r="N745" s="27"/>
      <c r="O745" s="27"/>
      <c r="P745" s="27"/>
      <c r="Q745" s="27"/>
    </row>
    <row r="746">
      <c r="F746" s="27"/>
      <c r="G746" s="27"/>
      <c r="H746" s="27"/>
      <c r="J746" s="27"/>
      <c r="L746" s="27"/>
      <c r="M746" s="27"/>
      <c r="N746" s="27"/>
      <c r="O746" s="27"/>
      <c r="P746" s="27"/>
      <c r="Q746" s="27"/>
    </row>
    <row r="747">
      <c r="F747" s="27"/>
      <c r="G747" s="27"/>
      <c r="H747" s="27"/>
      <c r="J747" s="27"/>
      <c r="L747" s="27"/>
      <c r="M747" s="27"/>
      <c r="N747" s="27"/>
      <c r="O747" s="27"/>
      <c r="P747" s="27"/>
      <c r="Q747" s="27"/>
    </row>
    <row r="748">
      <c r="F748" s="27"/>
      <c r="G748" s="27"/>
      <c r="H748" s="27"/>
      <c r="J748" s="27"/>
      <c r="L748" s="27"/>
      <c r="M748" s="27"/>
      <c r="N748" s="27"/>
      <c r="O748" s="27"/>
      <c r="P748" s="27"/>
      <c r="Q748" s="27"/>
    </row>
    <row r="749">
      <c r="F749" s="27"/>
      <c r="G749" s="27"/>
      <c r="H749" s="27"/>
      <c r="J749" s="27"/>
      <c r="L749" s="27"/>
      <c r="M749" s="27"/>
      <c r="N749" s="27"/>
      <c r="O749" s="27"/>
      <c r="P749" s="27"/>
      <c r="Q749" s="27"/>
    </row>
    <row r="750">
      <c r="F750" s="27"/>
      <c r="G750" s="27"/>
      <c r="H750" s="27"/>
      <c r="J750" s="27"/>
      <c r="L750" s="27"/>
      <c r="M750" s="27"/>
      <c r="N750" s="27"/>
      <c r="O750" s="27"/>
      <c r="P750" s="27"/>
      <c r="Q750" s="27"/>
    </row>
    <row r="751">
      <c r="F751" s="27"/>
      <c r="G751" s="27"/>
      <c r="H751" s="27"/>
      <c r="J751" s="27"/>
      <c r="L751" s="27"/>
      <c r="M751" s="27"/>
      <c r="N751" s="27"/>
      <c r="O751" s="27"/>
      <c r="P751" s="27"/>
      <c r="Q751" s="27"/>
    </row>
    <row r="752">
      <c r="F752" s="27"/>
      <c r="G752" s="27"/>
      <c r="H752" s="27"/>
      <c r="J752" s="27"/>
      <c r="L752" s="27"/>
      <c r="M752" s="27"/>
      <c r="N752" s="27"/>
      <c r="O752" s="27"/>
      <c r="P752" s="27"/>
      <c r="Q752" s="27"/>
    </row>
    <row r="753">
      <c r="F753" s="27"/>
      <c r="G753" s="27"/>
      <c r="H753" s="27"/>
      <c r="J753" s="27"/>
      <c r="L753" s="27"/>
      <c r="M753" s="27"/>
      <c r="N753" s="27"/>
      <c r="O753" s="27"/>
      <c r="P753" s="27"/>
      <c r="Q753" s="27"/>
    </row>
    <row r="754">
      <c r="F754" s="27"/>
      <c r="G754" s="27"/>
      <c r="H754" s="27"/>
      <c r="J754" s="27"/>
      <c r="L754" s="27"/>
      <c r="M754" s="27"/>
      <c r="N754" s="27"/>
      <c r="O754" s="27"/>
      <c r="P754" s="27"/>
      <c r="Q754" s="27"/>
    </row>
    <row r="755">
      <c r="F755" s="27"/>
      <c r="G755" s="27"/>
      <c r="H755" s="27"/>
      <c r="J755" s="27"/>
      <c r="L755" s="27"/>
      <c r="M755" s="27"/>
      <c r="N755" s="27"/>
      <c r="O755" s="27"/>
      <c r="P755" s="27"/>
      <c r="Q755" s="27"/>
    </row>
    <row r="756">
      <c r="F756" s="27"/>
      <c r="G756" s="27"/>
      <c r="H756" s="27"/>
      <c r="J756" s="27"/>
      <c r="L756" s="27"/>
      <c r="M756" s="27"/>
      <c r="N756" s="27"/>
      <c r="O756" s="27"/>
      <c r="P756" s="27"/>
      <c r="Q756" s="27"/>
    </row>
    <row r="757">
      <c r="F757" s="27"/>
      <c r="G757" s="27"/>
      <c r="H757" s="27"/>
      <c r="J757" s="27"/>
      <c r="L757" s="27"/>
      <c r="M757" s="27"/>
      <c r="N757" s="27"/>
      <c r="O757" s="27"/>
      <c r="P757" s="27"/>
      <c r="Q757" s="27"/>
    </row>
    <row r="758">
      <c r="F758" s="27"/>
      <c r="G758" s="27"/>
      <c r="H758" s="27"/>
      <c r="J758" s="27"/>
      <c r="L758" s="27"/>
      <c r="M758" s="27"/>
      <c r="N758" s="27"/>
      <c r="O758" s="27"/>
      <c r="P758" s="27"/>
      <c r="Q758" s="27"/>
    </row>
    <row r="759">
      <c r="F759" s="27"/>
      <c r="G759" s="27"/>
      <c r="H759" s="27"/>
      <c r="J759" s="27"/>
      <c r="L759" s="27"/>
      <c r="M759" s="27"/>
      <c r="N759" s="27"/>
      <c r="O759" s="27"/>
      <c r="P759" s="27"/>
      <c r="Q759" s="27"/>
    </row>
    <row r="760">
      <c r="F760" s="27"/>
      <c r="G760" s="27"/>
      <c r="H760" s="27"/>
      <c r="J760" s="27"/>
      <c r="L760" s="27"/>
      <c r="M760" s="27"/>
      <c r="N760" s="27"/>
      <c r="O760" s="27"/>
      <c r="P760" s="27"/>
      <c r="Q760" s="27"/>
    </row>
    <row r="761">
      <c r="F761" s="27"/>
      <c r="G761" s="27"/>
      <c r="H761" s="27"/>
      <c r="J761" s="27"/>
      <c r="L761" s="27"/>
      <c r="M761" s="27"/>
      <c r="N761" s="27"/>
      <c r="O761" s="27"/>
      <c r="P761" s="27"/>
      <c r="Q761" s="27"/>
    </row>
    <row r="762">
      <c r="F762" s="27"/>
      <c r="G762" s="27"/>
      <c r="H762" s="27"/>
      <c r="J762" s="27"/>
      <c r="L762" s="27"/>
      <c r="M762" s="27"/>
      <c r="N762" s="27"/>
      <c r="O762" s="27"/>
      <c r="P762" s="27"/>
      <c r="Q762" s="27"/>
    </row>
    <row r="763">
      <c r="F763" s="27"/>
      <c r="G763" s="27"/>
      <c r="H763" s="27"/>
      <c r="J763" s="27"/>
      <c r="L763" s="27"/>
      <c r="M763" s="27"/>
      <c r="N763" s="27"/>
      <c r="O763" s="27"/>
      <c r="P763" s="27"/>
      <c r="Q763" s="27"/>
    </row>
    <row r="764">
      <c r="F764" s="27"/>
      <c r="G764" s="27"/>
      <c r="H764" s="27"/>
      <c r="J764" s="27"/>
      <c r="L764" s="27"/>
      <c r="M764" s="27"/>
      <c r="N764" s="27"/>
      <c r="O764" s="27"/>
      <c r="P764" s="27"/>
      <c r="Q764" s="27"/>
    </row>
    <row r="765">
      <c r="F765" s="27"/>
      <c r="G765" s="27"/>
      <c r="H765" s="27"/>
      <c r="J765" s="27"/>
      <c r="L765" s="27"/>
      <c r="M765" s="27"/>
      <c r="N765" s="27"/>
      <c r="O765" s="27"/>
      <c r="P765" s="27"/>
      <c r="Q765" s="27"/>
    </row>
    <row r="766">
      <c r="F766" s="27"/>
      <c r="G766" s="27"/>
      <c r="H766" s="27"/>
      <c r="J766" s="27"/>
      <c r="L766" s="27"/>
      <c r="M766" s="27"/>
      <c r="N766" s="27"/>
      <c r="O766" s="27"/>
      <c r="P766" s="27"/>
      <c r="Q766" s="27"/>
    </row>
    <row r="767">
      <c r="F767" s="27"/>
      <c r="G767" s="27"/>
      <c r="H767" s="27"/>
      <c r="J767" s="27"/>
      <c r="L767" s="27"/>
      <c r="M767" s="27"/>
      <c r="N767" s="27"/>
      <c r="O767" s="27"/>
      <c r="P767" s="27"/>
      <c r="Q767" s="27"/>
    </row>
    <row r="768">
      <c r="F768" s="27"/>
      <c r="G768" s="27"/>
      <c r="H768" s="27"/>
      <c r="J768" s="27"/>
      <c r="L768" s="27"/>
      <c r="M768" s="27"/>
      <c r="N768" s="27"/>
      <c r="O768" s="27"/>
      <c r="P768" s="27"/>
      <c r="Q768" s="27"/>
    </row>
    <row r="769">
      <c r="F769" s="27"/>
      <c r="G769" s="27"/>
      <c r="H769" s="27"/>
      <c r="J769" s="27"/>
      <c r="L769" s="27"/>
      <c r="M769" s="27"/>
      <c r="N769" s="27"/>
      <c r="O769" s="27"/>
      <c r="P769" s="27"/>
      <c r="Q769" s="27"/>
    </row>
    <row r="770">
      <c r="F770" s="27"/>
      <c r="G770" s="27"/>
      <c r="H770" s="27"/>
      <c r="J770" s="27"/>
      <c r="L770" s="27"/>
      <c r="M770" s="27"/>
      <c r="N770" s="27"/>
      <c r="O770" s="27"/>
      <c r="P770" s="27"/>
      <c r="Q770" s="27"/>
    </row>
    <row r="771">
      <c r="F771" s="27"/>
      <c r="G771" s="27"/>
      <c r="H771" s="27"/>
      <c r="J771" s="27"/>
      <c r="L771" s="27"/>
      <c r="M771" s="27"/>
      <c r="N771" s="27"/>
      <c r="O771" s="27"/>
      <c r="P771" s="27"/>
      <c r="Q771" s="27"/>
    </row>
    <row r="772">
      <c r="F772" s="27"/>
      <c r="G772" s="27"/>
      <c r="H772" s="27"/>
      <c r="J772" s="27"/>
      <c r="L772" s="27"/>
      <c r="M772" s="27"/>
      <c r="N772" s="27"/>
      <c r="O772" s="27"/>
      <c r="P772" s="27"/>
      <c r="Q772" s="27"/>
    </row>
    <row r="773">
      <c r="F773" s="27"/>
      <c r="G773" s="27"/>
      <c r="H773" s="27"/>
      <c r="J773" s="27"/>
      <c r="L773" s="27"/>
      <c r="M773" s="27"/>
      <c r="N773" s="27"/>
      <c r="O773" s="27"/>
      <c r="P773" s="27"/>
      <c r="Q773" s="27"/>
    </row>
    <row r="774">
      <c r="F774" s="27"/>
      <c r="G774" s="27"/>
      <c r="H774" s="27"/>
      <c r="J774" s="27"/>
      <c r="L774" s="27"/>
      <c r="M774" s="27"/>
      <c r="N774" s="27"/>
      <c r="O774" s="27"/>
      <c r="P774" s="27"/>
      <c r="Q774" s="27"/>
    </row>
    <row r="775">
      <c r="F775" s="27"/>
      <c r="G775" s="27"/>
      <c r="H775" s="27"/>
      <c r="J775" s="27"/>
      <c r="L775" s="27"/>
      <c r="M775" s="27"/>
      <c r="N775" s="27"/>
      <c r="O775" s="27"/>
      <c r="P775" s="27"/>
      <c r="Q775" s="27"/>
    </row>
    <row r="776">
      <c r="F776" s="27"/>
      <c r="G776" s="27"/>
      <c r="H776" s="27"/>
      <c r="J776" s="27"/>
      <c r="L776" s="27"/>
      <c r="M776" s="27"/>
      <c r="N776" s="27"/>
      <c r="O776" s="27"/>
      <c r="P776" s="27"/>
      <c r="Q776" s="27"/>
    </row>
    <row r="777">
      <c r="F777" s="27"/>
      <c r="G777" s="27"/>
      <c r="H777" s="27"/>
      <c r="J777" s="27"/>
      <c r="L777" s="27"/>
      <c r="M777" s="27"/>
      <c r="N777" s="27"/>
      <c r="O777" s="27"/>
      <c r="P777" s="27"/>
      <c r="Q777" s="27"/>
    </row>
    <row r="778">
      <c r="F778" s="27"/>
      <c r="G778" s="27"/>
      <c r="H778" s="27"/>
      <c r="J778" s="27"/>
      <c r="L778" s="27"/>
      <c r="M778" s="27"/>
      <c r="N778" s="27"/>
      <c r="O778" s="27"/>
      <c r="P778" s="27"/>
      <c r="Q778" s="27"/>
    </row>
    <row r="779">
      <c r="F779" s="27"/>
      <c r="G779" s="27"/>
      <c r="H779" s="27"/>
      <c r="J779" s="27"/>
      <c r="L779" s="27"/>
      <c r="M779" s="27"/>
      <c r="N779" s="27"/>
      <c r="O779" s="27"/>
      <c r="P779" s="27"/>
      <c r="Q779" s="27"/>
    </row>
    <row r="780">
      <c r="F780" s="27"/>
      <c r="G780" s="27"/>
      <c r="H780" s="27"/>
      <c r="J780" s="27"/>
      <c r="L780" s="27"/>
      <c r="M780" s="27"/>
      <c r="N780" s="27"/>
      <c r="O780" s="27"/>
      <c r="P780" s="27"/>
      <c r="Q780" s="27"/>
    </row>
    <row r="781">
      <c r="F781" s="27"/>
      <c r="G781" s="27"/>
      <c r="H781" s="27"/>
      <c r="J781" s="27"/>
      <c r="L781" s="27"/>
      <c r="M781" s="27"/>
      <c r="N781" s="27"/>
      <c r="O781" s="27"/>
      <c r="P781" s="27"/>
      <c r="Q781" s="27"/>
    </row>
    <row r="782">
      <c r="F782" s="27"/>
      <c r="G782" s="27"/>
      <c r="H782" s="27"/>
      <c r="J782" s="27"/>
      <c r="L782" s="27"/>
      <c r="M782" s="27"/>
      <c r="N782" s="27"/>
      <c r="O782" s="27"/>
      <c r="P782" s="27"/>
      <c r="Q782" s="27"/>
    </row>
    <row r="783">
      <c r="F783" s="27"/>
      <c r="G783" s="27"/>
      <c r="H783" s="27"/>
      <c r="J783" s="27"/>
      <c r="L783" s="27"/>
      <c r="M783" s="27"/>
      <c r="N783" s="27"/>
      <c r="O783" s="27"/>
      <c r="P783" s="27"/>
      <c r="Q783" s="27"/>
    </row>
    <row r="784">
      <c r="F784" s="27"/>
      <c r="G784" s="27"/>
      <c r="H784" s="27"/>
      <c r="J784" s="27"/>
      <c r="L784" s="27"/>
      <c r="M784" s="27"/>
      <c r="N784" s="27"/>
      <c r="O784" s="27"/>
      <c r="P784" s="27"/>
      <c r="Q784" s="27"/>
    </row>
    <row r="785">
      <c r="F785" s="27"/>
      <c r="G785" s="27"/>
      <c r="H785" s="27"/>
      <c r="J785" s="27"/>
      <c r="L785" s="27"/>
      <c r="M785" s="27"/>
      <c r="N785" s="27"/>
      <c r="O785" s="27"/>
      <c r="P785" s="27"/>
      <c r="Q785" s="27"/>
    </row>
    <row r="786">
      <c r="F786" s="27"/>
      <c r="G786" s="27"/>
      <c r="H786" s="27"/>
      <c r="J786" s="27"/>
      <c r="L786" s="27"/>
      <c r="M786" s="27"/>
      <c r="N786" s="27"/>
      <c r="O786" s="27"/>
      <c r="P786" s="27"/>
      <c r="Q786" s="27"/>
    </row>
    <row r="787">
      <c r="F787" s="27"/>
      <c r="G787" s="27"/>
      <c r="H787" s="27"/>
      <c r="J787" s="27"/>
      <c r="L787" s="27"/>
      <c r="M787" s="27"/>
      <c r="N787" s="27"/>
      <c r="O787" s="27"/>
      <c r="P787" s="27"/>
      <c r="Q787" s="27"/>
    </row>
    <row r="788">
      <c r="F788" s="27"/>
      <c r="G788" s="27"/>
      <c r="H788" s="27"/>
      <c r="J788" s="27"/>
      <c r="L788" s="27"/>
      <c r="M788" s="27"/>
      <c r="N788" s="27"/>
      <c r="O788" s="27"/>
      <c r="P788" s="27"/>
      <c r="Q788" s="27"/>
    </row>
    <row r="789">
      <c r="F789" s="27"/>
      <c r="G789" s="27"/>
      <c r="H789" s="27"/>
      <c r="J789" s="27"/>
      <c r="L789" s="27"/>
      <c r="M789" s="27"/>
      <c r="N789" s="27"/>
      <c r="O789" s="27"/>
      <c r="P789" s="27"/>
      <c r="Q789" s="27"/>
    </row>
    <row r="790">
      <c r="F790" s="27"/>
      <c r="G790" s="27"/>
      <c r="H790" s="27"/>
      <c r="J790" s="27"/>
      <c r="L790" s="27"/>
      <c r="M790" s="27"/>
      <c r="N790" s="27"/>
      <c r="O790" s="27"/>
      <c r="P790" s="27"/>
      <c r="Q790" s="27"/>
    </row>
    <row r="791">
      <c r="F791" s="27"/>
      <c r="G791" s="27"/>
      <c r="H791" s="27"/>
      <c r="J791" s="27"/>
      <c r="L791" s="27"/>
      <c r="M791" s="27"/>
      <c r="N791" s="27"/>
      <c r="O791" s="27"/>
      <c r="P791" s="27"/>
      <c r="Q791" s="27"/>
    </row>
    <row r="792">
      <c r="F792" s="27"/>
      <c r="G792" s="27"/>
      <c r="H792" s="27"/>
      <c r="J792" s="27"/>
      <c r="L792" s="27"/>
      <c r="M792" s="27"/>
      <c r="N792" s="27"/>
      <c r="O792" s="27"/>
      <c r="P792" s="27"/>
      <c r="Q792" s="27"/>
    </row>
    <row r="793">
      <c r="F793" s="27"/>
      <c r="G793" s="27"/>
      <c r="H793" s="27"/>
      <c r="J793" s="27"/>
      <c r="L793" s="27"/>
      <c r="M793" s="27"/>
      <c r="N793" s="27"/>
      <c r="O793" s="27"/>
      <c r="P793" s="27"/>
      <c r="Q793" s="27"/>
    </row>
    <row r="794">
      <c r="F794" s="27"/>
      <c r="G794" s="27"/>
      <c r="H794" s="27"/>
      <c r="J794" s="27"/>
      <c r="L794" s="27"/>
      <c r="M794" s="27"/>
      <c r="N794" s="27"/>
      <c r="O794" s="27"/>
      <c r="P794" s="27"/>
      <c r="Q794" s="27"/>
    </row>
    <row r="795">
      <c r="F795" s="27"/>
      <c r="G795" s="27"/>
      <c r="H795" s="27"/>
      <c r="J795" s="27"/>
      <c r="L795" s="27"/>
      <c r="M795" s="27"/>
      <c r="N795" s="27"/>
      <c r="O795" s="27"/>
      <c r="P795" s="27"/>
      <c r="Q795" s="27"/>
    </row>
    <row r="796">
      <c r="F796" s="27"/>
      <c r="G796" s="27"/>
      <c r="H796" s="27"/>
      <c r="J796" s="27"/>
      <c r="L796" s="27"/>
      <c r="M796" s="27"/>
      <c r="N796" s="27"/>
      <c r="O796" s="27"/>
      <c r="P796" s="27"/>
      <c r="Q796" s="27"/>
    </row>
    <row r="797">
      <c r="F797" s="27"/>
      <c r="G797" s="27"/>
      <c r="H797" s="27"/>
      <c r="J797" s="27"/>
      <c r="L797" s="27"/>
      <c r="M797" s="27"/>
      <c r="N797" s="27"/>
      <c r="O797" s="27"/>
      <c r="P797" s="27"/>
      <c r="Q797" s="27"/>
    </row>
    <row r="798">
      <c r="F798" s="27"/>
      <c r="G798" s="27"/>
      <c r="H798" s="27"/>
      <c r="J798" s="27"/>
      <c r="L798" s="27"/>
      <c r="M798" s="27"/>
      <c r="N798" s="27"/>
      <c r="O798" s="27"/>
      <c r="P798" s="27"/>
      <c r="Q798" s="27"/>
    </row>
    <row r="799">
      <c r="F799" s="27"/>
      <c r="G799" s="27"/>
      <c r="H799" s="27"/>
      <c r="J799" s="27"/>
      <c r="L799" s="27"/>
      <c r="M799" s="27"/>
      <c r="N799" s="27"/>
      <c r="O799" s="27"/>
      <c r="P799" s="27"/>
      <c r="Q799" s="27"/>
    </row>
    <row r="800">
      <c r="F800" s="27"/>
      <c r="G800" s="27"/>
      <c r="H800" s="27"/>
      <c r="J800" s="27"/>
      <c r="L800" s="27"/>
      <c r="M800" s="27"/>
      <c r="N800" s="27"/>
      <c r="O800" s="27"/>
      <c r="P800" s="27"/>
      <c r="Q800" s="27"/>
    </row>
    <row r="801">
      <c r="F801" s="27"/>
      <c r="G801" s="27"/>
      <c r="H801" s="27"/>
      <c r="J801" s="27"/>
      <c r="L801" s="27"/>
      <c r="M801" s="27"/>
      <c r="N801" s="27"/>
      <c r="O801" s="27"/>
      <c r="P801" s="27"/>
      <c r="Q801" s="27"/>
    </row>
    <row r="802">
      <c r="F802" s="27"/>
      <c r="G802" s="27"/>
      <c r="H802" s="27"/>
      <c r="J802" s="27"/>
      <c r="L802" s="27"/>
      <c r="M802" s="27"/>
      <c r="N802" s="27"/>
      <c r="O802" s="27"/>
      <c r="P802" s="27"/>
      <c r="Q802" s="27"/>
    </row>
    <row r="803">
      <c r="F803" s="27"/>
      <c r="G803" s="27"/>
      <c r="H803" s="27"/>
      <c r="J803" s="27"/>
      <c r="L803" s="27"/>
      <c r="M803" s="27"/>
      <c r="N803" s="27"/>
      <c r="O803" s="27"/>
      <c r="P803" s="27"/>
      <c r="Q803" s="27"/>
    </row>
    <row r="804">
      <c r="F804" s="27"/>
      <c r="G804" s="27"/>
      <c r="H804" s="27"/>
      <c r="J804" s="27"/>
      <c r="L804" s="27"/>
      <c r="M804" s="27"/>
      <c r="N804" s="27"/>
      <c r="O804" s="27"/>
      <c r="P804" s="27"/>
      <c r="Q804" s="27"/>
    </row>
    <row r="805">
      <c r="F805" s="27"/>
      <c r="G805" s="27"/>
      <c r="H805" s="27"/>
      <c r="J805" s="27"/>
      <c r="L805" s="27"/>
      <c r="M805" s="27"/>
      <c r="N805" s="27"/>
      <c r="O805" s="27"/>
      <c r="P805" s="27"/>
      <c r="Q805" s="27"/>
    </row>
    <row r="806">
      <c r="F806" s="27"/>
      <c r="G806" s="27"/>
      <c r="H806" s="27"/>
      <c r="J806" s="27"/>
      <c r="L806" s="27"/>
      <c r="M806" s="27"/>
      <c r="N806" s="27"/>
      <c r="O806" s="27"/>
      <c r="P806" s="27"/>
      <c r="Q806" s="27"/>
    </row>
    <row r="807">
      <c r="F807" s="27"/>
      <c r="G807" s="27"/>
      <c r="H807" s="27"/>
      <c r="J807" s="27"/>
      <c r="L807" s="27"/>
      <c r="M807" s="27"/>
      <c r="N807" s="27"/>
      <c r="O807" s="27"/>
      <c r="P807" s="27"/>
      <c r="Q807" s="27"/>
    </row>
    <row r="808">
      <c r="F808" s="27"/>
      <c r="G808" s="27"/>
      <c r="H808" s="27"/>
      <c r="J808" s="27"/>
      <c r="L808" s="27"/>
      <c r="M808" s="27"/>
      <c r="N808" s="27"/>
      <c r="O808" s="27"/>
      <c r="P808" s="27"/>
      <c r="Q808" s="27"/>
    </row>
    <row r="809">
      <c r="F809" s="27"/>
      <c r="G809" s="27"/>
      <c r="H809" s="27"/>
      <c r="J809" s="27"/>
      <c r="L809" s="27"/>
      <c r="M809" s="27"/>
      <c r="N809" s="27"/>
      <c r="O809" s="27"/>
      <c r="P809" s="27"/>
      <c r="Q809" s="27"/>
    </row>
    <row r="810">
      <c r="F810" s="27"/>
      <c r="G810" s="27"/>
      <c r="H810" s="27"/>
      <c r="J810" s="27"/>
      <c r="L810" s="27"/>
      <c r="M810" s="27"/>
      <c r="N810" s="27"/>
      <c r="O810" s="27"/>
      <c r="P810" s="27"/>
      <c r="Q810" s="27"/>
    </row>
    <row r="811">
      <c r="F811" s="27"/>
      <c r="G811" s="27"/>
      <c r="H811" s="27"/>
      <c r="J811" s="27"/>
      <c r="L811" s="27"/>
      <c r="M811" s="27"/>
      <c r="N811" s="27"/>
      <c r="O811" s="27"/>
      <c r="P811" s="27"/>
      <c r="Q811" s="27"/>
    </row>
    <row r="812">
      <c r="F812" s="27"/>
      <c r="G812" s="27"/>
      <c r="H812" s="27"/>
      <c r="J812" s="27"/>
      <c r="L812" s="27"/>
      <c r="M812" s="27"/>
      <c r="N812" s="27"/>
      <c r="O812" s="27"/>
      <c r="P812" s="27"/>
      <c r="Q812" s="27"/>
    </row>
    <row r="813">
      <c r="F813" s="27"/>
      <c r="G813" s="27"/>
      <c r="H813" s="27"/>
      <c r="J813" s="27"/>
      <c r="L813" s="27"/>
      <c r="M813" s="27"/>
      <c r="N813" s="27"/>
      <c r="O813" s="27"/>
      <c r="P813" s="27"/>
      <c r="Q813" s="27"/>
    </row>
    <row r="814">
      <c r="F814" s="27"/>
      <c r="G814" s="27"/>
      <c r="H814" s="27"/>
      <c r="J814" s="27"/>
      <c r="L814" s="27"/>
      <c r="M814" s="27"/>
      <c r="N814" s="27"/>
      <c r="O814" s="27"/>
      <c r="P814" s="27"/>
      <c r="Q814" s="27"/>
    </row>
    <row r="815">
      <c r="F815" s="27"/>
      <c r="G815" s="27"/>
      <c r="H815" s="27"/>
      <c r="J815" s="27"/>
      <c r="L815" s="27"/>
      <c r="M815" s="27"/>
      <c r="N815" s="27"/>
      <c r="O815" s="27"/>
      <c r="P815" s="27"/>
      <c r="Q815" s="27"/>
    </row>
    <row r="816">
      <c r="F816" s="27"/>
      <c r="G816" s="27"/>
      <c r="H816" s="27"/>
      <c r="J816" s="27"/>
      <c r="L816" s="27"/>
      <c r="M816" s="27"/>
      <c r="N816" s="27"/>
      <c r="O816" s="27"/>
      <c r="P816" s="27"/>
      <c r="Q816" s="27"/>
    </row>
    <row r="817">
      <c r="F817" s="27"/>
      <c r="G817" s="27"/>
      <c r="H817" s="27"/>
      <c r="J817" s="27"/>
      <c r="L817" s="27"/>
      <c r="M817" s="27"/>
      <c r="N817" s="27"/>
      <c r="O817" s="27"/>
      <c r="P817" s="27"/>
      <c r="Q817" s="27"/>
    </row>
    <row r="818">
      <c r="F818" s="27"/>
      <c r="G818" s="27"/>
      <c r="H818" s="27"/>
      <c r="J818" s="27"/>
      <c r="L818" s="27"/>
      <c r="M818" s="27"/>
      <c r="N818" s="27"/>
      <c r="O818" s="27"/>
      <c r="P818" s="27"/>
      <c r="Q818" s="27"/>
    </row>
    <row r="819">
      <c r="F819" s="27"/>
      <c r="G819" s="27"/>
      <c r="H819" s="27"/>
      <c r="J819" s="27"/>
      <c r="L819" s="27"/>
      <c r="M819" s="27"/>
      <c r="N819" s="27"/>
      <c r="O819" s="27"/>
      <c r="P819" s="27"/>
      <c r="Q819" s="27"/>
    </row>
    <row r="820">
      <c r="F820" s="27"/>
      <c r="G820" s="27"/>
      <c r="H820" s="27"/>
      <c r="J820" s="27"/>
      <c r="L820" s="27"/>
      <c r="M820" s="27"/>
      <c r="N820" s="27"/>
      <c r="O820" s="27"/>
      <c r="P820" s="27"/>
      <c r="Q820" s="27"/>
    </row>
    <row r="821">
      <c r="F821" s="27"/>
      <c r="G821" s="27"/>
      <c r="H821" s="27"/>
      <c r="J821" s="27"/>
      <c r="L821" s="27"/>
      <c r="M821" s="27"/>
      <c r="N821" s="27"/>
      <c r="O821" s="27"/>
      <c r="P821" s="27"/>
      <c r="Q821" s="27"/>
    </row>
    <row r="822">
      <c r="F822" s="27"/>
      <c r="G822" s="27"/>
      <c r="H822" s="27"/>
      <c r="J822" s="27"/>
      <c r="L822" s="27"/>
      <c r="M822" s="27"/>
      <c r="N822" s="27"/>
      <c r="O822" s="27"/>
      <c r="P822" s="27"/>
      <c r="Q822" s="27"/>
    </row>
    <row r="823">
      <c r="F823" s="27"/>
      <c r="G823" s="27"/>
      <c r="H823" s="27"/>
      <c r="J823" s="27"/>
      <c r="L823" s="27"/>
      <c r="M823" s="27"/>
      <c r="N823" s="27"/>
      <c r="O823" s="27"/>
      <c r="P823" s="27"/>
      <c r="Q823" s="27"/>
    </row>
    <row r="824">
      <c r="F824" s="27"/>
      <c r="G824" s="27"/>
      <c r="H824" s="27"/>
      <c r="J824" s="27"/>
      <c r="L824" s="27"/>
      <c r="M824" s="27"/>
      <c r="N824" s="27"/>
      <c r="O824" s="27"/>
      <c r="P824" s="27"/>
      <c r="Q824" s="27"/>
    </row>
    <row r="825">
      <c r="F825" s="27"/>
      <c r="G825" s="27"/>
      <c r="H825" s="27"/>
      <c r="J825" s="27"/>
      <c r="L825" s="27"/>
      <c r="M825" s="27"/>
      <c r="N825" s="27"/>
      <c r="O825" s="27"/>
      <c r="P825" s="27"/>
      <c r="Q825" s="27"/>
    </row>
    <row r="826">
      <c r="F826" s="27"/>
      <c r="G826" s="27"/>
      <c r="H826" s="27"/>
      <c r="J826" s="27"/>
      <c r="L826" s="27"/>
      <c r="M826" s="27"/>
      <c r="N826" s="27"/>
      <c r="O826" s="27"/>
      <c r="P826" s="27"/>
      <c r="Q826" s="27"/>
    </row>
    <row r="827">
      <c r="F827" s="27"/>
      <c r="G827" s="27"/>
      <c r="H827" s="27"/>
      <c r="J827" s="27"/>
      <c r="L827" s="27"/>
      <c r="M827" s="27"/>
      <c r="N827" s="27"/>
      <c r="O827" s="27"/>
      <c r="P827" s="27"/>
      <c r="Q827" s="27"/>
    </row>
    <row r="828">
      <c r="F828" s="27"/>
      <c r="G828" s="27"/>
      <c r="H828" s="27"/>
      <c r="J828" s="27"/>
      <c r="L828" s="27"/>
      <c r="M828" s="27"/>
      <c r="N828" s="27"/>
      <c r="O828" s="27"/>
      <c r="P828" s="27"/>
      <c r="Q828" s="27"/>
    </row>
    <row r="829">
      <c r="F829" s="27"/>
      <c r="G829" s="27"/>
      <c r="H829" s="27"/>
      <c r="J829" s="27"/>
      <c r="L829" s="27"/>
      <c r="M829" s="27"/>
      <c r="N829" s="27"/>
      <c r="O829" s="27"/>
      <c r="P829" s="27"/>
      <c r="Q829" s="27"/>
    </row>
    <row r="830">
      <c r="F830" s="27"/>
      <c r="G830" s="27"/>
      <c r="H830" s="27"/>
      <c r="J830" s="27"/>
      <c r="L830" s="27"/>
      <c r="M830" s="27"/>
      <c r="N830" s="27"/>
      <c r="O830" s="27"/>
      <c r="P830" s="27"/>
      <c r="Q830" s="27"/>
    </row>
    <row r="831">
      <c r="F831" s="27"/>
      <c r="G831" s="27"/>
      <c r="H831" s="27"/>
      <c r="J831" s="27"/>
      <c r="L831" s="27"/>
      <c r="M831" s="27"/>
      <c r="N831" s="27"/>
      <c r="O831" s="27"/>
      <c r="P831" s="27"/>
      <c r="Q831" s="27"/>
    </row>
    <row r="832">
      <c r="F832" s="27"/>
      <c r="G832" s="27"/>
      <c r="H832" s="27"/>
      <c r="J832" s="27"/>
      <c r="L832" s="27"/>
      <c r="M832" s="27"/>
      <c r="N832" s="27"/>
      <c r="O832" s="27"/>
      <c r="P832" s="27"/>
      <c r="Q832" s="27"/>
    </row>
    <row r="833">
      <c r="F833" s="27"/>
      <c r="G833" s="27"/>
      <c r="H833" s="27"/>
      <c r="J833" s="27"/>
      <c r="L833" s="27"/>
      <c r="M833" s="27"/>
      <c r="N833" s="27"/>
      <c r="O833" s="27"/>
      <c r="P833" s="27"/>
      <c r="Q833" s="27"/>
    </row>
    <row r="834">
      <c r="F834" s="27"/>
      <c r="G834" s="27"/>
      <c r="H834" s="27"/>
      <c r="J834" s="27"/>
      <c r="L834" s="27"/>
      <c r="M834" s="27"/>
      <c r="N834" s="27"/>
      <c r="O834" s="27"/>
      <c r="P834" s="27"/>
      <c r="Q834" s="27"/>
    </row>
    <row r="835">
      <c r="F835" s="27"/>
      <c r="G835" s="27"/>
      <c r="H835" s="27"/>
      <c r="J835" s="27"/>
      <c r="L835" s="27"/>
      <c r="M835" s="27"/>
      <c r="N835" s="27"/>
      <c r="O835" s="27"/>
      <c r="P835" s="27"/>
      <c r="Q835" s="27"/>
    </row>
    <row r="836">
      <c r="F836" s="27"/>
      <c r="G836" s="27"/>
      <c r="H836" s="27"/>
      <c r="J836" s="27"/>
      <c r="L836" s="27"/>
      <c r="M836" s="27"/>
      <c r="N836" s="27"/>
      <c r="O836" s="27"/>
      <c r="P836" s="27"/>
      <c r="Q836" s="27"/>
    </row>
    <row r="837">
      <c r="F837" s="27"/>
      <c r="G837" s="27"/>
      <c r="H837" s="27"/>
      <c r="J837" s="27"/>
      <c r="L837" s="27"/>
      <c r="M837" s="27"/>
      <c r="N837" s="27"/>
      <c r="O837" s="27"/>
      <c r="P837" s="27"/>
      <c r="Q837" s="27"/>
    </row>
    <row r="838">
      <c r="F838" s="27"/>
      <c r="G838" s="27"/>
      <c r="H838" s="27"/>
      <c r="J838" s="27"/>
      <c r="L838" s="27"/>
      <c r="M838" s="27"/>
      <c r="N838" s="27"/>
      <c r="O838" s="27"/>
      <c r="P838" s="27"/>
      <c r="Q838" s="27"/>
    </row>
    <row r="839">
      <c r="F839" s="27"/>
      <c r="G839" s="27"/>
      <c r="H839" s="27"/>
      <c r="J839" s="27"/>
      <c r="L839" s="27"/>
      <c r="M839" s="27"/>
      <c r="N839" s="27"/>
      <c r="O839" s="27"/>
      <c r="P839" s="27"/>
      <c r="Q839" s="27"/>
    </row>
    <row r="840">
      <c r="F840" s="27"/>
      <c r="G840" s="27"/>
      <c r="H840" s="27"/>
      <c r="J840" s="27"/>
      <c r="L840" s="27"/>
      <c r="M840" s="27"/>
      <c r="N840" s="27"/>
      <c r="O840" s="27"/>
      <c r="P840" s="27"/>
      <c r="Q840" s="27"/>
    </row>
    <row r="841">
      <c r="F841" s="27"/>
      <c r="G841" s="27"/>
      <c r="H841" s="27"/>
      <c r="J841" s="27"/>
      <c r="L841" s="27"/>
      <c r="M841" s="27"/>
      <c r="N841" s="27"/>
      <c r="O841" s="27"/>
      <c r="P841" s="27"/>
      <c r="Q841" s="27"/>
    </row>
    <row r="842">
      <c r="F842" s="27"/>
      <c r="G842" s="27"/>
      <c r="H842" s="27"/>
      <c r="J842" s="27"/>
      <c r="L842" s="27"/>
      <c r="M842" s="27"/>
      <c r="N842" s="27"/>
      <c r="O842" s="27"/>
      <c r="P842" s="27"/>
      <c r="Q842" s="27"/>
    </row>
    <row r="843">
      <c r="F843" s="27"/>
      <c r="G843" s="27"/>
      <c r="H843" s="27"/>
      <c r="J843" s="27"/>
      <c r="L843" s="27"/>
      <c r="M843" s="27"/>
      <c r="N843" s="27"/>
      <c r="O843" s="27"/>
      <c r="P843" s="27"/>
      <c r="Q843" s="27"/>
    </row>
    <row r="844">
      <c r="F844" s="27"/>
      <c r="G844" s="27"/>
      <c r="H844" s="27"/>
      <c r="J844" s="27"/>
      <c r="L844" s="27"/>
      <c r="M844" s="27"/>
      <c r="N844" s="27"/>
      <c r="O844" s="27"/>
      <c r="P844" s="27"/>
      <c r="Q844" s="27"/>
    </row>
    <row r="845">
      <c r="F845" s="27"/>
      <c r="G845" s="27"/>
      <c r="H845" s="27"/>
      <c r="J845" s="27"/>
      <c r="L845" s="27"/>
      <c r="M845" s="27"/>
      <c r="N845" s="27"/>
      <c r="O845" s="27"/>
      <c r="P845" s="27"/>
      <c r="Q845" s="27"/>
    </row>
    <row r="846">
      <c r="F846" s="27"/>
      <c r="G846" s="27"/>
      <c r="H846" s="27"/>
      <c r="J846" s="27"/>
      <c r="L846" s="27"/>
      <c r="M846" s="27"/>
      <c r="N846" s="27"/>
      <c r="O846" s="27"/>
      <c r="P846" s="27"/>
      <c r="Q846" s="27"/>
    </row>
    <row r="847">
      <c r="F847" s="27"/>
      <c r="G847" s="27"/>
      <c r="H847" s="27"/>
      <c r="J847" s="27"/>
      <c r="L847" s="27"/>
      <c r="M847" s="27"/>
      <c r="N847" s="27"/>
      <c r="O847" s="27"/>
      <c r="P847" s="27"/>
      <c r="Q847" s="27"/>
    </row>
    <row r="848">
      <c r="F848" s="27"/>
      <c r="G848" s="27"/>
      <c r="H848" s="27"/>
      <c r="J848" s="27"/>
      <c r="L848" s="27"/>
      <c r="M848" s="27"/>
      <c r="N848" s="27"/>
      <c r="O848" s="27"/>
      <c r="P848" s="27"/>
      <c r="Q848" s="27"/>
    </row>
    <row r="849">
      <c r="F849" s="27"/>
      <c r="G849" s="27"/>
      <c r="H849" s="27"/>
      <c r="J849" s="27"/>
      <c r="L849" s="27"/>
      <c r="M849" s="27"/>
      <c r="N849" s="27"/>
      <c r="O849" s="27"/>
      <c r="P849" s="27"/>
      <c r="Q849" s="27"/>
    </row>
    <row r="850">
      <c r="F850" s="27"/>
      <c r="G850" s="27"/>
      <c r="H850" s="27"/>
      <c r="J850" s="27"/>
      <c r="L850" s="27"/>
      <c r="M850" s="27"/>
      <c r="N850" s="27"/>
      <c r="O850" s="27"/>
      <c r="P850" s="27"/>
      <c r="Q850" s="27"/>
    </row>
    <row r="851">
      <c r="F851" s="27"/>
      <c r="G851" s="27"/>
      <c r="H851" s="27"/>
      <c r="J851" s="27"/>
      <c r="L851" s="27"/>
      <c r="M851" s="27"/>
      <c r="N851" s="27"/>
      <c r="O851" s="27"/>
      <c r="P851" s="27"/>
      <c r="Q851" s="27"/>
    </row>
    <row r="852">
      <c r="F852" s="27"/>
      <c r="G852" s="27"/>
      <c r="H852" s="27"/>
      <c r="J852" s="27"/>
      <c r="L852" s="27"/>
      <c r="M852" s="27"/>
      <c r="N852" s="27"/>
      <c r="O852" s="27"/>
      <c r="P852" s="27"/>
      <c r="Q852" s="27"/>
    </row>
    <row r="853">
      <c r="F853" s="27"/>
      <c r="G853" s="27"/>
      <c r="H853" s="27"/>
      <c r="J853" s="27"/>
      <c r="L853" s="27"/>
      <c r="M853" s="27"/>
      <c r="N853" s="27"/>
      <c r="O853" s="27"/>
      <c r="P853" s="27"/>
      <c r="Q853" s="27"/>
    </row>
    <row r="854">
      <c r="F854" s="27"/>
      <c r="G854" s="27"/>
      <c r="H854" s="27"/>
      <c r="J854" s="27"/>
      <c r="L854" s="27"/>
      <c r="M854" s="27"/>
      <c r="N854" s="27"/>
      <c r="O854" s="27"/>
      <c r="P854" s="27"/>
      <c r="Q854" s="27"/>
    </row>
    <row r="855">
      <c r="F855" s="27"/>
      <c r="G855" s="27"/>
      <c r="H855" s="27"/>
      <c r="J855" s="27"/>
      <c r="L855" s="27"/>
      <c r="M855" s="27"/>
      <c r="N855" s="27"/>
      <c r="O855" s="27"/>
      <c r="P855" s="27"/>
      <c r="Q855" s="27"/>
    </row>
    <row r="856">
      <c r="F856" s="27"/>
      <c r="G856" s="27"/>
      <c r="H856" s="27"/>
      <c r="J856" s="27"/>
      <c r="L856" s="27"/>
      <c r="M856" s="27"/>
      <c r="N856" s="27"/>
      <c r="O856" s="27"/>
      <c r="P856" s="27"/>
      <c r="Q856" s="27"/>
    </row>
    <row r="857">
      <c r="F857" s="27"/>
      <c r="G857" s="27"/>
      <c r="H857" s="27"/>
      <c r="J857" s="27"/>
      <c r="L857" s="27"/>
      <c r="M857" s="27"/>
      <c r="N857" s="27"/>
      <c r="O857" s="27"/>
      <c r="P857" s="27"/>
      <c r="Q857" s="27"/>
    </row>
    <row r="858">
      <c r="F858" s="27"/>
      <c r="G858" s="27"/>
      <c r="H858" s="27"/>
      <c r="J858" s="27"/>
      <c r="L858" s="27"/>
      <c r="M858" s="27"/>
      <c r="N858" s="27"/>
      <c r="O858" s="27"/>
      <c r="P858" s="27"/>
      <c r="Q858" s="27"/>
    </row>
    <row r="859">
      <c r="F859" s="27"/>
      <c r="G859" s="27"/>
      <c r="H859" s="27"/>
      <c r="J859" s="27"/>
      <c r="L859" s="27"/>
      <c r="M859" s="27"/>
      <c r="N859" s="27"/>
      <c r="O859" s="27"/>
      <c r="P859" s="27"/>
      <c r="Q859" s="27"/>
    </row>
    <row r="860">
      <c r="F860" s="27"/>
      <c r="G860" s="27"/>
      <c r="H860" s="27"/>
      <c r="J860" s="27"/>
      <c r="L860" s="27"/>
      <c r="M860" s="27"/>
      <c r="N860" s="27"/>
      <c r="O860" s="27"/>
      <c r="P860" s="27"/>
      <c r="Q860" s="27"/>
    </row>
    <row r="861">
      <c r="F861" s="27"/>
      <c r="G861" s="27"/>
      <c r="H861" s="27"/>
      <c r="J861" s="27"/>
      <c r="L861" s="27"/>
      <c r="M861" s="27"/>
      <c r="N861" s="27"/>
      <c r="O861" s="27"/>
      <c r="P861" s="27"/>
      <c r="Q861" s="27"/>
    </row>
    <row r="862">
      <c r="F862" s="27"/>
      <c r="G862" s="27"/>
      <c r="H862" s="27"/>
      <c r="J862" s="27"/>
      <c r="L862" s="27"/>
      <c r="M862" s="27"/>
      <c r="N862" s="27"/>
      <c r="O862" s="27"/>
      <c r="P862" s="27"/>
      <c r="Q862" s="27"/>
    </row>
    <row r="863">
      <c r="F863" s="27"/>
      <c r="G863" s="27"/>
      <c r="H863" s="27"/>
      <c r="J863" s="27"/>
      <c r="L863" s="27"/>
      <c r="M863" s="27"/>
      <c r="N863" s="27"/>
      <c r="O863" s="27"/>
      <c r="P863" s="27"/>
      <c r="Q863" s="27"/>
    </row>
    <row r="864">
      <c r="F864" s="27"/>
      <c r="G864" s="27"/>
      <c r="H864" s="27"/>
      <c r="J864" s="27"/>
      <c r="L864" s="27"/>
      <c r="M864" s="27"/>
      <c r="N864" s="27"/>
      <c r="O864" s="27"/>
      <c r="P864" s="27"/>
      <c r="Q864" s="27"/>
    </row>
    <row r="865">
      <c r="F865" s="27"/>
      <c r="G865" s="27"/>
      <c r="H865" s="27"/>
      <c r="J865" s="27"/>
      <c r="L865" s="27"/>
      <c r="M865" s="27"/>
      <c r="N865" s="27"/>
      <c r="O865" s="27"/>
      <c r="P865" s="27"/>
      <c r="Q865" s="27"/>
    </row>
    <row r="866">
      <c r="F866" s="27"/>
      <c r="G866" s="27"/>
      <c r="H866" s="27"/>
      <c r="J866" s="27"/>
      <c r="L866" s="27"/>
      <c r="M866" s="27"/>
      <c r="N866" s="27"/>
      <c r="O866" s="27"/>
      <c r="P866" s="27"/>
      <c r="Q866" s="27"/>
    </row>
    <row r="867">
      <c r="F867" s="27"/>
      <c r="G867" s="27"/>
      <c r="H867" s="27"/>
      <c r="J867" s="27"/>
      <c r="L867" s="27"/>
      <c r="M867" s="27"/>
      <c r="N867" s="27"/>
      <c r="O867" s="27"/>
      <c r="P867" s="27"/>
      <c r="Q867" s="27"/>
    </row>
    <row r="868">
      <c r="F868" s="27"/>
      <c r="G868" s="27"/>
      <c r="H868" s="27"/>
      <c r="J868" s="27"/>
      <c r="L868" s="27"/>
      <c r="M868" s="27"/>
      <c r="N868" s="27"/>
      <c r="O868" s="27"/>
      <c r="P868" s="27"/>
      <c r="Q868" s="27"/>
    </row>
    <row r="869">
      <c r="F869" s="27"/>
      <c r="G869" s="27"/>
      <c r="H869" s="27"/>
      <c r="J869" s="27"/>
      <c r="L869" s="27"/>
      <c r="M869" s="27"/>
      <c r="N869" s="27"/>
      <c r="O869" s="27"/>
      <c r="P869" s="27"/>
      <c r="Q869" s="27"/>
    </row>
    <row r="870">
      <c r="F870" s="27"/>
      <c r="G870" s="27"/>
      <c r="H870" s="27"/>
      <c r="J870" s="27"/>
      <c r="L870" s="27"/>
      <c r="M870" s="27"/>
      <c r="N870" s="27"/>
      <c r="O870" s="27"/>
      <c r="P870" s="27"/>
      <c r="Q870" s="27"/>
    </row>
    <row r="871">
      <c r="F871" s="27"/>
      <c r="G871" s="27"/>
      <c r="H871" s="27"/>
      <c r="J871" s="27"/>
      <c r="L871" s="27"/>
      <c r="M871" s="27"/>
      <c r="N871" s="27"/>
      <c r="O871" s="27"/>
      <c r="P871" s="27"/>
      <c r="Q871" s="27"/>
    </row>
    <row r="872">
      <c r="F872" s="27"/>
      <c r="G872" s="27"/>
      <c r="H872" s="27"/>
      <c r="J872" s="27"/>
      <c r="L872" s="27"/>
      <c r="M872" s="27"/>
      <c r="N872" s="27"/>
      <c r="O872" s="27"/>
      <c r="P872" s="27"/>
      <c r="Q872" s="27"/>
    </row>
    <row r="873">
      <c r="F873" s="27"/>
      <c r="G873" s="27"/>
      <c r="H873" s="27"/>
      <c r="J873" s="27"/>
      <c r="L873" s="27"/>
      <c r="M873" s="27"/>
      <c r="N873" s="27"/>
      <c r="O873" s="27"/>
      <c r="P873" s="27"/>
      <c r="Q873" s="27"/>
    </row>
    <row r="874">
      <c r="F874" s="27"/>
      <c r="G874" s="27"/>
      <c r="H874" s="27"/>
      <c r="J874" s="27"/>
      <c r="L874" s="27"/>
      <c r="M874" s="27"/>
      <c r="N874" s="27"/>
      <c r="O874" s="27"/>
      <c r="P874" s="27"/>
      <c r="Q874" s="27"/>
    </row>
    <row r="875">
      <c r="F875" s="27"/>
      <c r="G875" s="27"/>
      <c r="H875" s="27"/>
      <c r="J875" s="27"/>
      <c r="L875" s="27"/>
      <c r="M875" s="27"/>
      <c r="N875" s="27"/>
      <c r="O875" s="27"/>
      <c r="P875" s="27"/>
      <c r="Q875" s="27"/>
    </row>
    <row r="876">
      <c r="F876" s="27"/>
      <c r="G876" s="27"/>
      <c r="H876" s="27"/>
      <c r="J876" s="27"/>
      <c r="L876" s="27"/>
      <c r="M876" s="27"/>
      <c r="N876" s="27"/>
      <c r="O876" s="27"/>
      <c r="P876" s="27"/>
      <c r="Q876" s="27"/>
    </row>
    <row r="877">
      <c r="F877" s="27"/>
      <c r="G877" s="27"/>
      <c r="H877" s="27"/>
      <c r="J877" s="27"/>
      <c r="L877" s="27"/>
      <c r="M877" s="27"/>
      <c r="N877" s="27"/>
      <c r="O877" s="27"/>
      <c r="P877" s="27"/>
      <c r="Q877" s="27"/>
    </row>
    <row r="878">
      <c r="F878" s="27"/>
      <c r="G878" s="27"/>
      <c r="H878" s="27"/>
      <c r="J878" s="27"/>
      <c r="L878" s="27"/>
      <c r="M878" s="27"/>
      <c r="N878" s="27"/>
      <c r="O878" s="27"/>
      <c r="P878" s="27"/>
      <c r="Q878" s="27"/>
    </row>
    <row r="879">
      <c r="F879" s="27"/>
      <c r="G879" s="27"/>
      <c r="H879" s="27"/>
      <c r="J879" s="27"/>
      <c r="L879" s="27"/>
      <c r="M879" s="27"/>
      <c r="N879" s="27"/>
      <c r="O879" s="27"/>
      <c r="P879" s="27"/>
      <c r="Q879" s="27"/>
    </row>
    <row r="880">
      <c r="F880" s="27"/>
      <c r="G880" s="27"/>
      <c r="H880" s="27"/>
      <c r="J880" s="27"/>
      <c r="L880" s="27"/>
      <c r="M880" s="27"/>
      <c r="N880" s="27"/>
      <c r="O880" s="27"/>
      <c r="P880" s="27"/>
      <c r="Q880" s="27"/>
    </row>
    <row r="881">
      <c r="F881" s="27"/>
      <c r="G881" s="27"/>
      <c r="H881" s="27"/>
      <c r="J881" s="27"/>
      <c r="L881" s="27"/>
      <c r="M881" s="27"/>
      <c r="N881" s="27"/>
      <c r="O881" s="27"/>
      <c r="P881" s="27"/>
      <c r="Q881" s="27"/>
    </row>
    <row r="882">
      <c r="F882" s="27"/>
      <c r="G882" s="27"/>
      <c r="H882" s="27"/>
      <c r="J882" s="27"/>
      <c r="L882" s="27"/>
      <c r="M882" s="27"/>
      <c r="N882" s="27"/>
      <c r="O882" s="27"/>
      <c r="P882" s="27"/>
      <c r="Q882" s="27"/>
    </row>
    <row r="883">
      <c r="F883" s="27"/>
      <c r="G883" s="27"/>
      <c r="H883" s="27"/>
      <c r="J883" s="27"/>
      <c r="L883" s="27"/>
      <c r="M883" s="27"/>
      <c r="N883" s="27"/>
      <c r="O883" s="27"/>
      <c r="P883" s="27"/>
      <c r="Q883" s="27"/>
    </row>
    <row r="884">
      <c r="F884" s="27"/>
      <c r="G884" s="27"/>
      <c r="H884" s="27"/>
      <c r="J884" s="27"/>
      <c r="L884" s="27"/>
      <c r="M884" s="27"/>
      <c r="N884" s="27"/>
      <c r="O884" s="27"/>
      <c r="P884" s="27"/>
      <c r="Q884" s="27"/>
    </row>
    <row r="885">
      <c r="F885" s="27"/>
      <c r="G885" s="27"/>
      <c r="H885" s="27"/>
      <c r="J885" s="27"/>
      <c r="L885" s="27"/>
      <c r="M885" s="27"/>
      <c r="N885" s="27"/>
      <c r="O885" s="27"/>
      <c r="P885" s="27"/>
      <c r="Q885" s="27"/>
    </row>
    <row r="886">
      <c r="F886" s="27"/>
      <c r="G886" s="27"/>
      <c r="H886" s="27"/>
      <c r="J886" s="27"/>
      <c r="L886" s="27"/>
      <c r="M886" s="27"/>
      <c r="N886" s="27"/>
      <c r="O886" s="27"/>
      <c r="P886" s="27"/>
      <c r="Q886" s="27"/>
    </row>
    <row r="887">
      <c r="F887" s="27"/>
      <c r="G887" s="27"/>
      <c r="H887" s="27"/>
      <c r="J887" s="27"/>
      <c r="L887" s="27"/>
      <c r="M887" s="27"/>
      <c r="N887" s="27"/>
      <c r="O887" s="27"/>
      <c r="P887" s="27"/>
      <c r="Q887" s="27"/>
    </row>
    <row r="888">
      <c r="F888" s="27"/>
      <c r="G888" s="27"/>
      <c r="H888" s="27"/>
      <c r="J888" s="27"/>
      <c r="L888" s="27"/>
      <c r="M888" s="27"/>
      <c r="N888" s="27"/>
      <c r="O888" s="27"/>
      <c r="P888" s="27"/>
      <c r="Q888" s="27"/>
    </row>
    <row r="889">
      <c r="F889" s="27"/>
      <c r="G889" s="27"/>
      <c r="H889" s="27"/>
      <c r="J889" s="27"/>
      <c r="L889" s="27"/>
      <c r="M889" s="27"/>
      <c r="N889" s="27"/>
      <c r="O889" s="27"/>
      <c r="P889" s="27"/>
      <c r="Q889" s="27"/>
    </row>
    <row r="890">
      <c r="F890" s="27"/>
      <c r="G890" s="27"/>
      <c r="H890" s="27"/>
      <c r="J890" s="27"/>
      <c r="L890" s="27"/>
      <c r="M890" s="27"/>
      <c r="N890" s="27"/>
      <c r="O890" s="27"/>
      <c r="P890" s="27"/>
      <c r="Q890" s="27"/>
    </row>
    <row r="891">
      <c r="F891" s="27"/>
      <c r="G891" s="27"/>
      <c r="H891" s="27"/>
      <c r="J891" s="27"/>
      <c r="L891" s="27"/>
      <c r="M891" s="27"/>
      <c r="N891" s="27"/>
      <c r="O891" s="27"/>
      <c r="P891" s="27"/>
      <c r="Q891" s="27"/>
    </row>
    <row r="892">
      <c r="F892" s="27"/>
      <c r="G892" s="27"/>
      <c r="H892" s="27"/>
      <c r="J892" s="27"/>
      <c r="L892" s="27"/>
      <c r="M892" s="27"/>
      <c r="N892" s="27"/>
      <c r="O892" s="27"/>
      <c r="P892" s="27"/>
      <c r="Q892" s="27"/>
    </row>
    <row r="893">
      <c r="F893" s="27"/>
      <c r="G893" s="27"/>
      <c r="H893" s="27"/>
      <c r="J893" s="27"/>
      <c r="L893" s="27"/>
      <c r="M893" s="27"/>
      <c r="N893" s="27"/>
      <c r="O893" s="27"/>
      <c r="P893" s="27"/>
      <c r="Q893" s="27"/>
    </row>
    <row r="894">
      <c r="F894" s="27"/>
      <c r="G894" s="27"/>
      <c r="H894" s="27"/>
      <c r="J894" s="27"/>
      <c r="L894" s="27"/>
      <c r="M894" s="27"/>
      <c r="N894" s="27"/>
      <c r="O894" s="27"/>
      <c r="P894" s="27"/>
      <c r="Q894" s="27"/>
    </row>
    <row r="895">
      <c r="F895" s="27"/>
      <c r="G895" s="27"/>
      <c r="H895" s="27"/>
      <c r="J895" s="27"/>
      <c r="L895" s="27"/>
      <c r="M895" s="27"/>
      <c r="N895" s="27"/>
      <c r="O895" s="27"/>
      <c r="P895" s="27"/>
      <c r="Q895" s="27"/>
    </row>
    <row r="896">
      <c r="F896" s="27"/>
      <c r="G896" s="27"/>
      <c r="H896" s="27"/>
      <c r="J896" s="27"/>
      <c r="L896" s="27"/>
      <c r="M896" s="27"/>
      <c r="N896" s="27"/>
      <c r="O896" s="27"/>
      <c r="P896" s="27"/>
      <c r="Q896" s="27"/>
    </row>
    <row r="897">
      <c r="F897" s="27"/>
      <c r="G897" s="27"/>
      <c r="H897" s="27"/>
      <c r="J897" s="27"/>
      <c r="L897" s="27"/>
      <c r="M897" s="27"/>
      <c r="N897" s="27"/>
      <c r="O897" s="27"/>
      <c r="P897" s="27"/>
      <c r="Q897" s="27"/>
    </row>
    <row r="898">
      <c r="F898" s="27"/>
      <c r="G898" s="27"/>
      <c r="H898" s="27"/>
      <c r="J898" s="27"/>
      <c r="L898" s="27"/>
      <c r="M898" s="27"/>
      <c r="N898" s="27"/>
      <c r="O898" s="27"/>
      <c r="P898" s="27"/>
      <c r="Q898" s="27"/>
    </row>
    <row r="899">
      <c r="F899" s="27"/>
      <c r="G899" s="27"/>
      <c r="H899" s="27"/>
      <c r="J899" s="27"/>
      <c r="L899" s="27"/>
      <c r="M899" s="27"/>
      <c r="N899" s="27"/>
      <c r="O899" s="27"/>
      <c r="P899" s="27"/>
      <c r="Q899" s="27"/>
    </row>
    <row r="900">
      <c r="F900" s="27"/>
      <c r="G900" s="27"/>
      <c r="H900" s="27"/>
      <c r="J900" s="27"/>
      <c r="L900" s="27"/>
      <c r="M900" s="27"/>
      <c r="N900" s="27"/>
      <c r="O900" s="27"/>
      <c r="P900" s="27"/>
      <c r="Q900" s="27"/>
    </row>
    <row r="901">
      <c r="F901" s="27"/>
      <c r="G901" s="27"/>
      <c r="H901" s="27"/>
      <c r="J901" s="27"/>
      <c r="L901" s="27"/>
      <c r="M901" s="27"/>
      <c r="N901" s="27"/>
      <c r="O901" s="27"/>
      <c r="P901" s="27"/>
      <c r="Q901" s="27"/>
    </row>
    <row r="902">
      <c r="F902" s="27"/>
      <c r="G902" s="27"/>
      <c r="H902" s="27"/>
      <c r="J902" s="27"/>
      <c r="L902" s="27"/>
      <c r="M902" s="27"/>
      <c r="N902" s="27"/>
      <c r="O902" s="27"/>
      <c r="P902" s="27"/>
      <c r="Q902" s="27"/>
    </row>
    <row r="903">
      <c r="F903" s="27"/>
      <c r="G903" s="27"/>
      <c r="H903" s="27"/>
      <c r="J903" s="27"/>
      <c r="L903" s="27"/>
      <c r="M903" s="27"/>
      <c r="N903" s="27"/>
      <c r="O903" s="27"/>
      <c r="P903" s="27"/>
      <c r="Q903" s="27"/>
    </row>
    <row r="904">
      <c r="F904" s="27"/>
      <c r="G904" s="27"/>
      <c r="H904" s="27"/>
      <c r="J904" s="27"/>
      <c r="L904" s="27"/>
      <c r="M904" s="27"/>
      <c r="N904" s="27"/>
      <c r="O904" s="27"/>
      <c r="P904" s="27"/>
      <c r="Q904" s="27"/>
    </row>
    <row r="905">
      <c r="F905" s="27"/>
      <c r="G905" s="27"/>
      <c r="H905" s="27"/>
      <c r="J905" s="27"/>
      <c r="L905" s="27"/>
      <c r="M905" s="27"/>
      <c r="N905" s="27"/>
      <c r="O905" s="27"/>
      <c r="P905" s="27"/>
      <c r="Q905" s="27"/>
    </row>
    <row r="906">
      <c r="F906" s="27"/>
      <c r="G906" s="27"/>
      <c r="H906" s="27"/>
      <c r="J906" s="27"/>
      <c r="L906" s="27"/>
      <c r="M906" s="27"/>
      <c r="N906" s="27"/>
      <c r="O906" s="27"/>
      <c r="P906" s="27"/>
      <c r="Q906" s="27"/>
    </row>
    <row r="907">
      <c r="F907" s="27"/>
      <c r="G907" s="27"/>
      <c r="H907" s="27"/>
      <c r="J907" s="27"/>
      <c r="L907" s="27"/>
      <c r="M907" s="27"/>
      <c r="N907" s="27"/>
      <c r="O907" s="27"/>
      <c r="P907" s="27"/>
      <c r="Q907" s="27"/>
    </row>
    <row r="908">
      <c r="F908" s="27"/>
      <c r="G908" s="27"/>
      <c r="H908" s="27"/>
      <c r="J908" s="27"/>
      <c r="L908" s="27"/>
      <c r="M908" s="27"/>
      <c r="N908" s="27"/>
      <c r="O908" s="27"/>
      <c r="P908" s="27"/>
      <c r="Q908" s="27"/>
    </row>
    <row r="909">
      <c r="F909" s="27"/>
      <c r="G909" s="27"/>
      <c r="H909" s="27"/>
      <c r="J909" s="27"/>
      <c r="L909" s="27"/>
      <c r="M909" s="27"/>
      <c r="N909" s="27"/>
      <c r="O909" s="27"/>
      <c r="P909" s="27"/>
      <c r="Q909" s="27"/>
    </row>
    <row r="910">
      <c r="F910" s="27"/>
      <c r="G910" s="27"/>
      <c r="H910" s="27"/>
      <c r="J910" s="27"/>
      <c r="L910" s="27"/>
      <c r="M910" s="27"/>
      <c r="N910" s="27"/>
      <c r="O910" s="27"/>
      <c r="P910" s="27"/>
      <c r="Q910" s="27"/>
    </row>
    <row r="911">
      <c r="F911" s="27"/>
      <c r="G911" s="27"/>
      <c r="H911" s="27"/>
      <c r="J911" s="27"/>
      <c r="L911" s="27"/>
      <c r="M911" s="27"/>
      <c r="N911" s="27"/>
      <c r="O911" s="27"/>
      <c r="P911" s="27"/>
      <c r="Q911" s="27"/>
    </row>
    <row r="912">
      <c r="F912" s="27"/>
      <c r="G912" s="27"/>
      <c r="H912" s="27"/>
      <c r="J912" s="27"/>
      <c r="L912" s="27"/>
      <c r="M912" s="27"/>
      <c r="N912" s="27"/>
      <c r="O912" s="27"/>
      <c r="P912" s="27"/>
      <c r="Q912" s="27"/>
    </row>
    <row r="913">
      <c r="F913" s="27"/>
      <c r="G913" s="27"/>
      <c r="H913" s="27"/>
      <c r="J913" s="27"/>
      <c r="L913" s="27"/>
      <c r="M913" s="27"/>
      <c r="N913" s="27"/>
      <c r="O913" s="27"/>
      <c r="P913" s="27"/>
      <c r="Q913" s="27"/>
    </row>
    <row r="914">
      <c r="F914" s="27"/>
      <c r="G914" s="27"/>
      <c r="H914" s="27"/>
      <c r="J914" s="27"/>
      <c r="L914" s="27"/>
      <c r="M914" s="27"/>
      <c r="N914" s="27"/>
      <c r="O914" s="27"/>
      <c r="P914" s="27"/>
      <c r="Q914" s="27"/>
    </row>
    <row r="915">
      <c r="F915" s="27"/>
      <c r="G915" s="27"/>
      <c r="H915" s="27"/>
      <c r="J915" s="27"/>
      <c r="L915" s="27"/>
      <c r="M915" s="27"/>
      <c r="N915" s="27"/>
      <c r="O915" s="27"/>
      <c r="P915" s="27"/>
      <c r="Q915" s="27"/>
    </row>
    <row r="916">
      <c r="F916" s="27"/>
      <c r="G916" s="27"/>
      <c r="H916" s="27"/>
      <c r="J916" s="27"/>
      <c r="L916" s="27"/>
      <c r="M916" s="27"/>
      <c r="N916" s="27"/>
      <c r="O916" s="27"/>
      <c r="P916" s="27"/>
      <c r="Q916" s="27"/>
    </row>
    <row r="917">
      <c r="F917" s="27"/>
      <c r="G917" s="27"/>
      <c r="H917" s="27"/>
      <c r="J917" s="27"/>
      <c r="L917" s="27"/>
      <c r="M917" s="27"/>
      <c r="N917" s="27"/>
      <c r="O917" s="27"/>
      <c r="P917" s="27"/>
      <c r="Q917" s="27"/>
    </row>
    <row r="918">
      <c r="F918" s="27"/>
      <c r="G918" s="27"/>
      <c r="H918" s="27"/>
      <c r="J918" s="27"/>
      <c r="L918" s="27"/>
      <c r="M918" s="27"/>
      <c r="N918" s="27"/>
      <c r="O918" s="27"/>
      <c r="P918" s="27"/>
      <c r="Q918" s="27"/>
    </row>
    <row r="919">
      <c r="F919" s="27"/>
      <c r="G919" s="27"/>
      <c r="H919" s="27"/>
      <c r="J919" s="27"/>
      <c r="L919" s="27"/>
      <c r="M919" s="27"/>
      <c r="N919" s="27"/>
      <c r="O919" s="27"/>
      <c r="P919" s="27"/>
      <c r="Q919" s="27"/>
    </row>
    <row r="920">
      <c r="F920" s="27"/>
      <c r="G920" s="27"/>
      <c r="H920" s="27"/>
      <c r="J920" s="27"/>
      <c r="L920" s="27"/>
      <c r="M920" s="27"/>
      <c r="N920" s="27"/>
      <c r="O920" s="27"/>
      <c r="P920" s="27"/>
      <c r="Q920" s="27"/>
    </row>
    <row r="921">
      <c r="F921" s="27"/>
      <c r="G921" s="27"/>
      <c r="H921" s="27"/>
      <c r="J921" s="27"/>
      <c r="L921" s="27"/>
      <c r="M921" s="27"/>
      <c r="N921" s="27"/>
      <c r="O921" s="27"/>
      <c r="P921" s="27"/>
      <c r="Q921" s="27"/>
    </row>
    <row r="922">
      <c r="F922" s="27"/>
      <c r="G922" s="27"/>
      <c r="H922" s="27"/>
      <c r="J922" s="27"/>
      <c r="L922" s="27"/>
      <c r="M922" s="27"/>
      <c r="N922" s="27"/>
      <c r="O922" s="27"/>
      <c r="P922" s="27"/>
      <c r="Q922" s="27"/>
    </row>
    <row r="923">
      <c r="F923" s="27"/>
      <c r="G923" s="27"/>
      <c r="H923" s="27"/>
      <c r="J923" s="27"/>
      <c r="L923" s="27"/>
      <c r="M923" s="27"/>
      <c r="N923" s="27"/>
      <c r="O923" s="27"/>
      <c r="P923" s="27"/>
      <c r="Q923" s="27"/>
    </row>
    <row r="924">
      <c r="F924" s="27"/>
      <c r="G924" s="27"/>
      <c r="H924" s="27"/>
      <c r="J924" s="27"/>
      <c r="L924" s="27"/>
      <c r="M924" s="27"/>
      <c r="N924" s="27"/>
      <c r="O924" s="27"/>
      <c r="P924" s="27"/>
      <c r="Q924" s="27"/>
    </row>
    <row r="925">
      <c r="F925" s="27"/>
      <c r="G925" s="27"/>
      <c r="H925" s="27"/>
      <c r="J925" s="27"/>
      <c r="L925" s="27"/>
      <c r="M925" s="27"/>
      <c r="N925" s="27"/>
      <c r="O925" s="27"/>
      <c r="P925" s="27"/>
      <c r="Q925" s="27"/>
    </row>
    <row r="926">
      <c r="F926" s="27"/>
      <c r="G926" s="27"/>
      <c r="H926" s="27"/>
      <c r="J926" s="27"/>
      <c r="L926" s="27"/>
      <c r="M926" s="27"/>
      <c r="N926" s="27"/>
      <c r="O926" s="27"/>
      <c r="P926" s="27"/>
      <c r="Q926" s="27"/>
    </row>
    <row r="927">
      <c r="F927" s="27"/>
      <c r="G927" s="27"/>
      <c r="H927" s="27"/>
      <c r="J927" s="27"/>
      <c r="L927" s="27"/>
      <c r="M927" s="27"/>
      <c r="N927" s="27"/>
      <c r="O927" s="27"/>
      <c r="P927" s="27"/>
      <c r="Q927" s="27"/>
    </row>
    <row r="928">
      <c r="F928" s="27"/>
      <c r="G928" s="27"/>
      <c r="H928" s="27"/>
      <c r="J928" s="27"/>
      <c r="L928" s="27"/>
      <c r="M928" s="27"/>
      <c r="N928" s="27"/>
      <c r="O928" s="27"/>
      <c r="P928" s="27"/>
      <c r="Q928" s="27"/>
    </row>
    <row r="929">
      <c r="F929" s="27"/>
      <c r="G929" s="27"/>
      <c r="H929" s="27"/>
      <c r="J929" s="27"/>
      <c r="L929" s="27"/>
      <c r="M929" s="27"/>
      <c r="N929" s="27"/>
      <c r="O929" s="27"/>
      <c r="P929" s="27"/>
      <c r="Q929" s="27"/>
    </row>
    <row r="930">
      <c r="F930" s="27"/>
      <c r="G930" s="27"/>
      <c r="H930" s="27"/>
      <c r="J930" s="27"/>
      <c r="L930" s="27"/>
      <c r="M930" s="27"/>
      <c r="N930" s="27"/>
      <c r="O930" s="27"/>
      <c r="P930" s="27"/>
      <c r="Q930" s="27"/>
    </row>
    <row r="931">
      <c r="F931" s="27"/>
      <c r="G931" s="27"/>
      <c r="H931" s="27"/>
      <c r="J931" s="27"/>
      <c r="L931" s="27"/>
      <c r="M931" s="27"/>
      <c r="N931" s="27"/>
      <c r="O931" s="27"/>
      <c r="P931" s="27"/>
      <c r="Q931" s="27"/>
    </row>
    <row r="932">
      <c r="F932" s="27"/>
      <c r="G932" s="27"/>
      <c r="H932" s="27"/>
      <c r="J932" s="27"/>
      <c r="L932" s="27"/>
      <c r="M932" s="27"/>
      <c r="N932" s="27"/>
      <c r="O932" s="27"/>
      <c r="P932" s="27"/>
      <c r="Q932" s="27"/>
    </row>
    <row r="933">
      <c r="F933" s="27"/>
      <c r="G933" s="27"/>
      <c r="H933" s="27"/>
      <c r="J933" s="27"/>
      <c r="L933" s="27"/>
      <c r="M933" s="27"/>
      <c r="N933" s="27"/>
      <c r="O933" s="27"/>
      <c r="P933" s="27"/>
      <c r="Q933" s="27"/>
    </row>
    <row r="934">
      <c r="F934" s="27"/>
      <c r="G934" s="27"/>
      <c r="H934" s="27"/>
      <c r="J934" s="27"/>
      <c r="L934" s="27"/>
      <c r="M934" s="27"/>
      <c r="N934" s="27"/>
      <c r="O934" s="27"/>
      <c r="P934" s="27"/>
      <c r="Q934" s="27"/>
    </row>
    <row r="935">
      <c r="F935" s="27"/>
      <c r="G935" s="27"/>
      <c r="H935" s="27"/>
      <c r="J935" s="27"/>
      <c r="L935" s="27"/>
      <c r="M935" s="27"/>
      <c r="N935" s="27"/>
      <c r="O935" s="27"/>
      <c r="P935" s="27"/>
      <c r="Q935" s="27"/>
    </row>
    <row r="936">
      <c r="F936" s="27"/>
      <c r="G936" s="27"/>
      <c r="H936" s="27"/>
      <c r="J936" s="27"/>
      <c r="L936" s="27"/>
      <c r="M936" s="27"/>
      <c r="N936" s="27"/>
      <c r="O936" s="27"/>
      <c r="P936" s="27"/>
      <c r="Q936" s="27"/>
    </row>
    <row r="937">
      <c r="F937" s="27"/>
      <c r="G937" s="27"/>
      <c r="H937" s="27"/>
      <c r="J937" s="27"/>
      <c r="L937" s="27"/>
      <c r="M937" s="27"/>
      <c r="N937" s="27"/>
      <c r="O937" s="27"/>
      <c r="P937" s="27"/>
      <c r="Q937" s="27"/>
    </row>
    <row r="938">
      <c r="F938" s="27"/>
      <c r="G938" s="27"/>
      <c r="H938" s="27"/>
      <c r="J938" s="27"/>
      <c r="L938" s="27"/>
      <c r="M938" s="27"/>
      <c r="N938" s="27"/>
      <c r="O938" s="27"/>
      <c r="P938" s="27"/>
      <c r="Q938" s="27"/>
    </row>
    <row r="939">
      <c r="F939" s="27"/>
      <c r="G939" s="27"/>
      <c r="H939" s="27"/>
      <c r="J939" s="27"/>
      <c r="L939" s="27"/>
      <c r="M939" s="27"/>
      <c r="N939" s="27"/>
      <c r="O939" s="27"/>
      <c r="P939" s="27"/>
      <c r="Q939" s="27"/>
    </row>
    <row r="940">
      <c r="F940" s="27"/>
      <c r="G940" s="27"/>
      <c r="H940" s="27"/>
      <c r="J940" s="27"/>
      <c r="L940" s="27"/>
      <c r="M940" s="27"/>
      <c r="N940" s="27"/>
      <c r="O940" s="27"/>
      <c r="P940" s="27"/>
      <c r="Q940" s="27"/>
    </row>
    <row r="941">
      <c r="F941" s="27"/>
      <c r="G941" s="27"/>
      <c r="H941" s="27"/>
      <c r="J941" s="27"/>
      <c r="L941" s="27"/>
      <c r="M941" s="27"/>
      <c r="N941" s="27"/>
      <c r="O941" s="27"/>
      <c r="P941" s="27"/>
      <c r="Q941" s="27"/>
    </row>
    <row r="942">
      <c r="F942" s="27"/>
      <c r="G942" s="27"/>
      <c r="H942" s="27"/>
      <c r="J942" s="27"/>
      <c r="L942" s="27"/>
      <c r="M942" s="27"/>
      <c r="N942" s="27"/>
      <c r="O942" s="27"/>
      <c r="P942" s="27"/>
      <c r="Q942" s="27"/>
    </row>
    <row r="943">
      <c r="F943" s="27"/>
      <c r="G943" s="27"/>
      <c r="H943" s="27"/>
      <c r="J943" s="27"/>
      <c r="L943" s="27"/>
      <c r="M943" s="27"/>
      <c r="N943" s="27"/>
      <c r="O943" s="27"/>
      <c r="P943" s="27"/>
      <c r="Q943" s="27"/>
    </row>
    <row r="944">
      <c r="F944" s="27"/>
      <c r="G944" s="27"/>
      <c r="H944" s="27"/>
      <c r="J944" s="27"/>
      <c r="L944" s="27"/>
      <c r="M944" s="27"/>
      <c r="N944" s="27"/>
      <c r="O944" s="27"/>
      <c r="P944" s="27"/>
      <c r="Q944" s="27"/>
    </row>
    <row r="945">
      <c r="F945" s="27"/>
      <c r="G945" s="27"/>
      <c r="H945" s="27"/>
      <c r="J945" s="27"/>
      <c r="L945" s="27"/>
      <c r="M945" s="27"/>
      <c r="N945" s="27"/>
      <c r="O945" s="27"/>
      <c r="P945" s="27"/>
      <c r="Q945" s="27"/>
    </row>
    <row r="946">
      <c r="F946" s="27"/>
      <c r="G946" s="27"/>
      <c r="H946" s="27"/>
      <c r="J946" s="27"/>
      <c r="L946" s="27"/>
      <c r="M946" s="27"/>
      <c r="N946" s="27"/>
      <c r="O946" s="27"/>
      <c r="P946" s="27"/>
      <c r="Q946" s="27"/>
    </row>
    <row r="947">
      <c r="F947" s="27"/>
      <c r="G947" s="27"/>
      <c r="H947" s="27"/>
      <c r="J947" s="27"/>
      <c r="L947" s="27"/>
      <c r="M947" s="27"/>
      <c r="N947" s="27"/>
      <c r="O947" s="27"/>
      <c r="P947" s="27"/>
      <c r="Q947" s="27"/>
    </row>
    <row r="948">
      <c r="F948" s="27"/>
      <c r="G948" s="27"/>
      <c r="H948" s="27"/>
      <c r="J948" s="27"/>
      <c r="L948" s="27"/>
      <c r="M948" s="27"/>
      <c r="N948" s="27"/>
      <c r="O948" s="27"/>
      <c r="P948" s="27"/>
      <c r="Q948" s="27"/>
    </row>
    <row r="949">
      <c r="F949" s="27"/>
      <c r="G949" s="27"/>
      <c r="H949" s="27"/>
      <c r="J949" s="27"/>
      <c r="L949" s="27"/>
      <c r="M949" s="27"/>
      <c r="N949" s="27"/>
      <c r="O949" s="27"/>
      <c r="P949" s="27"/>
      <c r="Q949" s="27"/>
    </row>
    <row r="950">
      <c r="F950" s="27"/>
      <c r="G950" s="27"/>
      <c r="H950" s="27"/>
      <c r="J950" s="27"/>
      <c r="L950" s="27"/>
      <c r="M950" s="27"/>
      <c r="N950" s="27"/>
      <c r="O950" s="27"/>
      <c r="P950" s="27"/>
      <c r="Q950" s="27"/>
    </row>
    <row r="951">
      <c r="F951" s="27"/>
      <c r="G951" s="27"/>
      <c r="H951" s="27"/>
      <c r="J951" s="27"/>
      <c r="L951" s="27"/>
      <c r="M951" s="27"/>
      <c r="N951" s="27"/>
      <c r="O951" s="27"/>
      <c r="P951" s="27"/>
      <c r="Q951" s="27"/>
    </row>
    <row r="952">
      <c r="F952" s="27"/>
      <c r="G952" s="27"/>
      <c r="H952" s="27"/>
      <c r="J952" s="27"/>
      <c r="L952" s="27"/>
      <c r="M952" s="27"/>
      <c r="N952" s="27"/>
      <c r="O952" s="27"/>
      <c r="P952" s="27"/>
      <c r="Q952" s="27"/>
    </row>
    <row r="953">
      <c r="F953" s="27"/>
      <c r="G953" s="27"/>
      <c r="H953" s="27"/>
      <c r="J953" s="27"/>
      <c r="L953" s="27"/>
      <c r="M953" s="27"/>
      <c r="N953" s="27"/>
      <c r="O953" s="27"/>
      <c r="P953" s="27"/>
      <c r="Q953" s="27"/>
    </row>
    <row r="954">
      <c r="F954" s="27"/>
      <c r="G954" s="27"/>
      <c r="H954" s="27"/>
      <c r="J954" s="27"/>
      <c r="L954" s="27"/>
      <c r="M954" s="27"/>
      <c r="N954" s="27"/>
      <c r="O954" s="27"/>
      <c r="P954" s="27"/>
      <c r="Q954" s="27"/>
    </row>
    <row r="955">
      <c r="F955" s="27"/>
      <c r="G955" s="27"/>
      <c r="H955" s="27"/>
      <c r="J955" s="27"/>
      <c r="L955" s="27"/>
      <c r="M955" s="27"/>
      <c r="N955" s="27"/>
      <c r="O955" s="27"/>
      <c r="P955" s="27"/>
      <c r="Q955" s="27"/>
    </row>
    <row r="956">
      <c r="F956" s="27"/>
      <c r="G956" s="27"/>
      <c r="H956" s="27"/>
      <c r="J956" s="27"/>
      <c r="L956" s="27"/>
      <c r="M956" s="27"/>
      <c r="N956" s="27"/>
      <c r="O956" s="27"/>
      <c r="P956" s="27"/>
      <c r="Q956" s="27"/>
    </row>
    <row r="957">
      <c r="F957" s="27"/>
      <c r="G957" s="27"/>
      <c r="H957" s="27"/>
      <c r="J957" s="27"/>
      <c r="L957" s="27"/>
      <c r="M957" s="27"/>
      <c r="N957" s="27"/>
      <c r="O957" s="27"/>
      <c r="P957" s="27"/>
      <c r="Q957" s="27"/>
    </row>
    <row r="958">
      <c r="F958" s="27"/>
      <c r="G958" s="27"/>
      <c r="H958" s="27"/>
      <c r="J958" s="27"/>
      <c r="L958" s="27"/>
      <c r="M958" s="27"/>
      <c r="N958" s="27"/>
      <c r="O958" s="27"/>
      <c r="P958" s="27"/>
      <c r="Q958" s="27"/>
    </row>
    <row r="959">
      <c r="F959" s="27"/>
      <c r="G959" s="27"/>
      <c r="H959" s="27"/>
      <c r="J959" s="27"/>
      <c r="L959" s="27"/>
      <c r="M959" s="27"/>
      <c r="N959" s="27"/>
      <c r="O959" s="27"/>
      <c r="P959" s="27"/>
      <c r="Q959" s="27"/>
    </row>
    <row r="960">
      <c r="F960" s="27"/>
      <c r="G960" s="27"/>
      <c r="H960" s="27"/>
      <c r="J960" s="27"/>
      <c r="L960" s="27"/>
      <c r="M960" s="27"/>
      <c r="N960" s="27"/>
      <c r="O960" s="27"/>
      <c r="P960" s="27"/>
      <c r="Q960" s="27"/>
    </row>
    <row r="961">
      <c r="F961" s="27"/>
      <c r="G961" s="27"/>
      <c r="H961" s="27"/>
      <c r="J961" s="27"/>
      <c r="L961" s="27"/>
      <c r="M961" s="27"/>
      <c r="N961" s="27"/>
      <c r="O961" s="27"/>
      <c r="P961" s="27"/>
      <c r="Q961" s="27"/>
    </row>
    <row r="962">
      <c r="F962" s="27"/>
      <c r="G962" s="27"/>
      <c r="H962" s="27"/>
      <c r="J962" s="27"/>
      <c r="L962" s="27"/>
      <c r="M962" s="27"/>
      <c r="N962" s="27"/>
      <c r="O962" s="27"/>
      <c r="P962" s="27"/>
      <c r="Q962" s="27"/>
    </row>
    <row r="963">
      <c r="F963" s="27"/>
      <c r="G963" s="27"/>
      <c r="H963" s="27"/>
      <c r="J963" s="27"/>
      <c r="L963" s="27"/>
      <c r="M963" s="27"/>
      <c r="N963" s="27"/>
      <c r="O963" s="27"/>
      <c r="P963" s="27"/>
      <c r="Q963" s="27"/>
    </row>
    <row r="964">
      <c r="F964" s="27"/>
      <c r="G964" s="27"/>
      <c r="H964" s="27"/>
      <c r="J964" s="27"/>
      <c r="L964" s="27"/>
      <c r="M964" s="27"/>
      <c r="N964" s="27"/>
      <c r="O964" s="27"/>
      <c r="P964" s="27"/>
      <c r="Q964" s="27"/>
    </row>
    <row r="965">
      <c r="F965" s="27"/>
      <c r="G965" s="27"/>
      <c r="H965" s="27"/>
      <c r="J965" s="27"/>
      <c r="L965" s="27"/>
      <c r="M965" s="27"/>
      <c r="N965" s="27"/>
      <c r="O965" s="27"/>
      <c r="P965" s="27"/>
      <c r="Q965" s="27"/>
    </row>
    <row r="966">
      <c r="F966" s="27"/>
      <c r="G966" s="27"/>
      <c r="H966" s="27"/>
      <c r="J966" s="27"/>
      <c r="L966" s="27"/>
      <c r="M966" s="27"/>
      <c r="N966" s="27"/>
      <c r="O966" s="27"/>
      <c r="P966" s="27"/>
      <c r="Q966" s="27"/>
    </row>
    <row r="967">
      <c r="F967" s="27"/>
      <c r="G967" s="27"/>
      <c r="H967" s="27"/>
      <c r="J967" s="27"/>
      <c r="L967" s="27"/>
      <c r="M967" s="27"/>
      <c r="N967" s="27"/>
      <c r="O967" s="27"/>
      <c r="P967" s="27"/>
      <c r="Q967" s="27"/>
    </row>
    <row r="968">
      <c r="F968" s="27"/>
      <c r="G968" s="27"/>
      <c r="H968" s="27"/>
      <c r="J968" s="27"/>
      <c r="L968" s="27"/>
      <c r="M968" s="27"/>
      <c r="N968" s="27"/>
      <c r="O968" s="27"/>
      <c r="P968" s="27"/>
      <c r="Q968" s="27"/>
    </row>
    <row r="969">
      <c r="F969" s="27"/>
      <c r="G969" s="27"/>
      <c r="H969" s="27"/>
      <c r="J969" s="27"/>
      <c r="L969" s="27"/>
      <c r="M969" s="27"/>
      <c r="N969" s="27"/>
      <c r="O969" s="27"/>
      <c r="P969" s="27"/>
      <c r="Q969" s="27"/>
    </row>
    <row r="970">
      <c r="F970" s="27"/>
      <c r="G970" s="27"/>
      <c r="H970" s="27"/>
      <c r="J970" s="27"/>
      <c r="L970" s="27"/>
      <c r="M970" s="27"/>
      <c r="N970" s="27"/>
      <c r="O970" s="27"/>
      <c r="P970" s="27"/>
      <c r="Q970" s="27"/>
    </row>
    <row r="971">
      <c r="F971" s="27"/>
      <c r="G971" s="27"/>
      <c r="H971" s="27"/>
      <c r="J971" s="27"/>
      <c r="L971" s="27"/>
      <c r="M971" s="27"/>
      <c r="N971" s="27"/>
      <c r="O971" s="27"/>
      <c r="P971" s="27"/>
      <c r="Q971" s="27"/>
    </row>
    <row r="972">
      <c r="F972" s="27"/>
      <c r="G972" s="27"/>
      <c r="H972" s="27"/>
      <c r="J972" s="27"/>
      <c r="L972" s="27"/>
      <c r="M972" s="27"/>
      <c r="N972" s="27"/>
      <c r="O972" s="27"/>
      <c r="P972" s="27"/>
      <c r="Q972" s="27"/>
    </row>
    <row r="973">
      <c r="F973" s="27"/>
      <c r="G973" s="27"/>
      <c r="H973" s="27"/>
      <c r="J973" s="27"/>
      <c r="L973" s="27"/>
      <c r="M973" s="27"/>
      <c r="N973" s="27"/>
      <c r="O973" s="27"/>
      <c r="P973" s="27"/>
      <c r="Q973" s="27"/>
    </row>
    <row r="974">
      <c r="F974" s="27"/>
      <c r="G974" s="27"/>
      <c r="H974" s="27"/>
      <c r="J974" s="27"/>
      <c r="L974" s="27"/>
      <c r="M974" s="27"/>
      <c r="N974" s="27"/>
      <c r="O974" s="27"/>
      <c r="P974" s="27"/>
      <c r="Q974" s="27"/>
    </row>
    <row r="975">
      <c r="F975" s="27"/>
      <c r="G975" s="27"/>
      <c r="H975" s="27"/>
      <c r="J975" s="27"/>
      <c r="L975" s="27"/>
      <c r="M975" s="27"/>
      <c r="N975" s="27"/>
      <c r="O975" s="27"/>
      <c r="P975" s="27"/>
      <c r="Q975" s="27"/>
    </row>
    <row r="976">
      <c r="F976" s="27"/>
      <c r="G976" s="27"/>
      <c r="H976" s="27"/>
      <c r="J976" s="27"/>
      <c r="L976" s="27"/>
      <c r="M976" s="27"/>
      <c r="N976" s="27"/>
      <c r="O976" s="27"/>
      <c r="P976" s="27"/>
      <c r="Q976" s="27"/>
    </row>
    <row r="977">
      <c r="F977" s="27"/>
      <c r="G977" s="27"/>
      <c r="H977" s="27"/>
      <c r="J977" s="27"/>
      <c r="L977" s="27"/>
      <c r="M977" s="27"/>
      <c r="N977" s="27"/>
      <c r="O977" s="27"/>
      <c r="P977" s="27"/>
      <c r="Q977" s="27"/>
    </row>
    <row r="978">
      <c r="F978" s="27"/>
      <c r="G978" s="27"/>
      <c r="H978" s="27"/>
      <c r="J978" s="27"/>
      <c r="L978" s="27"/>
      <c r="M978" s="27"/>
      <c r="N978" s="27"/>
      <c r="O978" s="27"/>
      <c r="P978" s="27"/>
      <c r="Q978" s="27"/>
    </row>
    <row r="979">
      <c r="F979" s="27"/>
      <c r="G979" s="27"/>
      <c r="H979" s="27"/>
      <c r="J979" s="27"/>
      <c r="L979" s="27"/>
      <c r="M979" s="27"/>
      <c r="N979" s="27"/>
      <c r="O979" s="27"/>
      <c r="P979" s="27"/>
      <c r="Q979" s="27"/>
    </row>
    <row r="980">
      <c r="F980" s="27"/>
      <c r="G980" s="27"/>
      <c r="H980" s="27"/>
      <c r="J980" s="27"/>
      <c r="L980" s="27"/>
      <c r="M980" s="27"/>
      <c r="N980" s="27"/>
      <c r="O980" s="27"/>
      <c r="P980" s="27"/>
      <c r="Q980" s="27"/>
    </row>
    <row r="981">
      <c r="F981" s="27"/>
      <c r="G981" s="27"/>
      <c r="H981" s="27"/>
      <c r="J981" s="27"/>
      <c r="L981" s="27"/>
      <c r="M981" s="27"/>
      <c r="N981" s="27"/>
      <c r="O981" s="27"/>
      <c r="P981" s="27"/>
      <c r="Q981" s="27"/>
    </row>
    <row r="982">
      <c r="F982" s="27"/>
      <c r="G982" s="27"/>
      <c r="H982" s="27"/>
      <c r="J982" s="27"/>
      <c r="L982" s="27"/>
      <c r="M982" s="27"/>
      <c r="N982" s="27"/>
      <c r="O982" s="27"/>
      <c r="P982" s="27"/>
      <c r="Q982" s="27"/>
    </row>
    <row r="983">
      <c r="F983" s="27"/>
      <c r="G983" s="27"/>
      <c r="H983" s="27"/>
      <c r="J983" s="27"/>
      <c r="L983" s="27"/>
      <c r="M983" s="27"/>
      <c r="N983" s="27"/>
      <c r="O983" s="27"/>
      <c r="P983" s="27"/>
      <c r="Q983" s="27"/>
    </row>
    <row r="984">
      <c r="F984" s="27"/>
      <c r="G984" s="27"/>
      <c r="H984" s="27"/>
      <c r="J984" s="27"/>
      <c r="L984" s="27"/>
      <c r="M984" s="27"/>
      <c r="N984" s="27"/>
      <c r="O984" s="27"/>
      <c r="P984" s="27"/>
      <c r="Q984" s="27"/>
    </row>
    <row r="985">
      <c r="F985" s="27"/>
      <c r="G985" s="27"/>
      <c r="H985" s="27"/>
      <c r="J985" s="27"/>
      <c r="L985" s="27"/>
      <c r="M985" s="27"/>
      <c r="N985" s="27"/>
      <c r="O985" s="27"/>
      <c r="P985" s="27"/>
      <c r="Q985" s="27"/>
    </row>
    <row r="986">
      <c r="F986" s="27"/>
      <c r="G986" s="27"/>
      <c r="H986" s="27"/>
      <c r="J986" s="27"/>
      <c r="L986" s="27"/>
      <c r="M986" s="27"/>
      <c r="N986" s="27"/>
      <c r="O986" s="27"/>
      <c r="P986" s="27"/>
      <c r="Q986" s="27"/>
    </row>
    <row r="987">
      <c r="F987" s="27"/>
      <c r="G987" s="27"/>
      <c r="H987" s="27"/>
      <c r="J987" s="27"/>
      <c r="L987" s="27"/>
      <c r="M987" s="27"/>
      <c r="N987" s="27"/>
      <c r="O987" s="27"/>
      <c r="P987" s="27"/>
      <c r="Q987" s="27"/>
    </row>
    <row r="988">
      <c r="F988" s="27"/>
      <c r="G988" s="27"/>
      <c r="H988" s="27"/>
      <c r="J988" s="27"/>
      <c r="L988" s="27"/>
      <c r="M988" s="27"/>
      <c r="N988" s="27"/>
      <c r="O988" s="27"/>
      <c r="P988" s="27"/>
      <c r="Q988" s="27"/>
    </row>
    <row r="989">
      <c r="F989" s="27"/>
      <c r="G989" s="27"/>
      <c r="H989" s="27"/>
      <c r="J989" s="27"/>
      <c r="L989" s="27"/>
      <c r="M989" s="27"/>
      <c r="N989" s="27"/>
      <c r="O989" s="27"/>
      <c r="P989" s="27"/>
      <c r="Q989" s="27"/>
    </row>
    <row r="990">
      <c r="F990" s="27"/>
      <c r="G990" s="27"/>
      <c r="H990" s="27"/>
      <c r="J990" s="27"/>
      <c r="L990" s="27"/>
      <c r="M990" s="27"/>
      <c r="N990" s="27"/>
      <c r="O990" s="27"/>
      <c r="P990" s="27"/>
      <c r="Q990" s="27"/>
    </row>
    <row r="991">
      <c r="F991" s="27"/>
      <c r="G991" s="27"/>
      <c r="H991" s="27"/>
      <c r="J991" s="27"/>
      <c r="L991" s="27"/>
      <c r="M991" s="27"/>
      <c r="N991" s="27"/>
      <c r="O991" s="27"/>
      <c r="P991" s="27"/>
      <c r="Q991" s="27"/>
    </row>
    <row r="992">
      <c r="F992" s="27"/>
      <c r="G992" s="27"/>
      <c r="H992" s="27"/>
      <c r="J992" s="27"/>
      <c r="L992" s="27"/>
      <c r="M992" s="27"/>
      <c r="N992" s="27"/>
      <c r="O992" s="27"/>
      <c r="P992" s="27"/>
      <c r="Q992" s="27"/>
    </row>
    <row r="993">
      <c r="F993" s="27"/>
      <c r="G993" s="27"/>
      <c r="H993" s="27"/>
      <c r="J993" s="27"/>
      <c r="L993" s="27"/>
      <c r="M993" s="27"/>
      <c r="N993" s="27"/>
      <c r="O993" s="27"/>
      <c r="P993" s="27"/>
      <c r="Q993" s="27"/>
    </row>
    <row r="994">
      <c r="F994" s="27"/>
      <c r="G994" s="27"/>
      <c r="H994" s="27"/>
      <c r="J994" s="27"/>
      <c r="L994" s="27"/>
      <c r="M994" s="27"/>
      <c r="N994" s="27"/>
      <c r="O994" s="27"/>
      <c r="P994" s="27"/>
      <c r="Q994" s="27"/>
    </row>
    <row r="995">
      <c r="F995" s="27"/>
      <c r="G995" s="27"/>
      <c r="H995" s="27"/>
      <c r="J995" s="27"/>
      <c r="L995" s="27"/>
      <c r="M995" s="27"/>
      <c r="N995" s="27"/>
      <c r="O995" s="27"/>
      <c r="P995" s="27"/>
      <c r="Q995" s="27"/>
    </row>
    <row r="996">
      <c r="F996" s="27"/>
      <c r="G996" s="27"/>
      <c r="H996" s="27"/>
      <c r="J996" s="27"/>
      <c r="L996" s="27"/>
      <c r="M996" s="27"/>
      <c r="N996" s="27"/>
      <c r="O996" s="27"/>
      <c r="P996" s="27"/>
      <c r="Q996" s="27"/>
    </row>
    <row r="997">
      <c r="F997" s="27"/>
      <c r="G997" s="27"/>
      <c r="H997" s="27"/>
      <c r="J997" s="27"/>
      <c r="L997" s="27"/>
      <c r="M997" s="27"/>
      <c r="N997" s="27"/>
      <c r="O997" s="27"/>
      <c r="P997" s="27"/>
      <c r="Q997" s="27"/>
    </row>
    <row r="998">
      <c r="F998" s="27"/>
      <c r="G998" s="27"/>
      <c r="H998" s="27"/>
      <c r="J998" s="27"/>
      <c r="L998" s="27"/>
      <c r="M998" s="27"/>
      <c r="N998" s="27"/>
      <c r="O998" s="27"/>
      <c r="P998" s="27"/>
      <c r="Q998" s="27"/>
    </row>
    <row r="999">
      <c r="F999" s="27"/>
      <c r="G999" s="27"/>
      <c r="H999" s="27"/>
      <c r="J999" s="27"/>
      <c r="L999" s="27"/>
      <c r="M999" s="27"/>
      <c r="N999" s="27"/>
      <c r="O999" s="27"/>
      <c r="P999" s="27"/>
      <c r="Q999" s="27"/>
    </row>
    <row r="1000">
      <c r="F1000" s="27"/>
      <c r="G1000" s="27"/>
      <c r="H1000" s="27"/>
      <c r="J1000" s="27"/>
      <c r="L1000" s="27"/>
      <c r="M1000" s="27"/>
      <c r="N1000" s="27"/>
      <c r="O1000" s="27"/>
      <c r="P1000" s="27"/>
      <c r="Q1000" s="27"/>
    </row>
    <row r="1001">
      <c r="F1001" s="27"/>
      <c r="G1001" s="27"/>
      <c r="H1001" s="27"/>
      <c r="J1001" s="27"/>
      <c r="L1001" s="27"/>
      <c r="M1001" s="27"/>
      <c r="N1001" s="27"/>
      <c r="O1001" s="27"/>
      <c r="P1001" s="27"/>
      <c r="Q1001" s="27"/>
    </row>
    <row r="1002">
      <c r="F1002" s="27"/>
      <c r="G1002" s="27"/>
      <c r="H1002" s="27"/>
      <c r="J1002" s="27"/>
      <c r="L1002" s="27"/>
      <c r="M1002" s="27"/>
      <c r="N1002" s="27"/>
      <c r="O1002" s="27"/>
      <c r="P1002" s="27"/>
      <c r="Q1002" s="27"/>
    </row>
  </sheetData>
  <conditionalFormatting sqref="D44:E44 K51 D53:O53 K55">
    <cfRule type="cellIs" dxfId="0" priority="1" operator="lessThan">
      <formula>0</formula>
    </cfRule>
  </conditionalFormatting>
  <conditionalFormatting sqref="D53:E53">
    <cfRule type="cellIs" dxfId="0" priority="2" operator="lessThan">
      <formula>0</formula>
    </cfRule>
  </conditionalFormatting>
  <drawing r:id="rId2"/>
  <legacyDrawing r:id="rId3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20.38"/>
    <col customWidth="1" min="3" max="3" width="9.38"/>
    <col customWidth="1" min="5" max="5" width="14.0"/>
    <col customWidth="1" hidden="1" min="6" max="6" width="14.63"/>
    <col customWidth="1" hidden="1" min="7" max="7" width="12.38"/>
    <col customWidth="1" hidden="1" min="8" max="8" width="13.25"/>
    <col customWidth="1" hidden="1" min="9" max="9" width="16.38"/>
    <col customWidth="1" hidden="1" min="10" max="11" width="12.75"/>
    <col customWidth="1" min="12" max="12" width="14.0"/>
    <col customWidth="1" min="13" max="13" width="14.63"/>
    <col customWidth="1" min="14" max="14" width="14.13"/>
    <col customWidth="1" min="15" max="15" width="13.13"/>
    <col customWidth="1" min="16" max="16" width="20.63"/>
    <col customWidth="1" min="17" max="18" width="23.38"/>
    <col customWidth="1" min="19" max="19" width="11.25"/>
    <col customWidth="1" min="20" max="20" width="9.25"/>
    <col customWidth="1" min="21" max="22" width="9.5"/>
    <col customWidth="1" min="25" max="25" width="9.88"/>
    <col customWidth="1" min="26" max="26" width="8.13"/>
  </cols>
  <sheetData>
    <row r="1">
      <c r="A1" s="18" t="s">
        <v>346</v>
      </c>
      <c r="B1" s="416" t="s">
        <v>296</v>
      </c>
      <c r="D1" s="107" t="s">
        <v>387</v>
      </c>
      <c r="E1" s="107" t="s">
        <v>388</v>
      </c>
      <c r="F1" s="107"/>
      <c r="G1" s="107"/>
      <c r="H1" s="107"/>
      <c r="J1" s="107"/>
      <c r="K1" s="107"/>
      <c r="L1" s="107"/>
      <c r="M1" s="107"/>
      <c r="N1" s="107"/>
      <c r="O1" s="107"/>
      <c r="P1" s="107"/>
      <c r="Q1" s="107"/>
      <c r="R1" s="417" t="s">
        <v>325</v>
      </c>
      <c r="S1" s="107"/>
    </row>
    <row r="2">
      <c r="B2" s="18" t="s">
        <v>240</v>
      </c>
      <c r="C2" s="249"/>
      <c r="D2" s="27"/>
      <c r="E2" s="107"/>
      <c r="F2" s="27"/>
      <c r="G2" s="26"/>
      <c r="H2" s="26"/>
      <c r="J2" s="26"/>
      <c r="K2" s="107"/>
      <c r="L2" s="26"/>
      <c r="M2" s="26"/>
      <c r="N2" s="26"/>
      <c r="O2" s="26"/>
      <c r="P2" s="26"/>
      <c r="Q2" s="26"/>
      <c r="R2" s="422" t="s">
        <v>119</v>
      </c>
      <c r="S2" s="302" t="s">
        <v>120</v>
      </c>
    </row>
    <row r="3">
      <c r="B3" s="18" t="s">
        <v>241</v>
      </c>
      <c r="C3" s="249">
        <v>70.7</v>
      </c>
      <c r="D3" s="107">
        <v>20.85</v>
      </c>
      <c r="E3" s="489">
        <f>D3*3.452</f>
        <v>71.9742</v>
      </c>
      <c r="F3" s="107"/>
      <c r="G3" s="107"/>
      <c r="H3" s="107"/>
      <c r="J3" s="107"/>
      <c r="K3" s="107"/>
      <c r="L3" s="107"/>
      <c r="M3" s="107"/>
      <c r="N3" s="107"/>
      <c r="O3" s="107"/>
      <c r="P3" s="107"/>
      <c r="Q3" s="107"/>
      <c r="R3" s="423" t="s">
        <v>326</v>
      </c>
      <c r="S3" s="7" t="s">
        <v>327</v>
      </c>
    </row>
    <row r="4">
      <c r="B4" s="18" t="s">
        <v>242</v>
      </c>
      <c r="C4" s="249"/>
      <c r="D4" s="107">
        <v>3.82</v>
      </c>
      <c r="E4" s="489"/>
      <c r="F4" s="26"/>
      <c r="G4" s="107"/>
      <c r="H4" s="107"/>
      <c r="J4" s="107"/>
      <c r="L4" s="107">
        <v>11500.0</v>
      </c>
      <c r="M4" s="107"/>
      <c r="N4" s="107"/>
      <c r="O4" s="107"/>
      <c r="P4" s="107"/>
      <c r="Q4" s="107"/>
      <c r="R4" s="423" t="s">
        <v>328</v>
      </c>
      <c r="S4" s="7" t="s">
        <v>329</v>
      </c>
      <c r="T4" s="107"/>
    </row>
    <row r="5">
      <c r="B5" s="18" t="s">
        <v>285</v>
      </c>
      <c r="C5" s="249">
        <v>42.0</v>
      </c>
      <c r="D5" s="107">
        <v>16.37</v>
      </c>
      <c r="E5" s="489">
        <v>60.48</v>
      </c>
      <c r="F5" s="107"/>
      <c r="G5" s="107"/>
      <c r="H5" s="107"/>
      <c r="J5" s="107"/>
      <c r="L5" s="107">
        <v>7460.0</v>
      </c>
      <c r="M5" s="107"/>
      <c r="N5" s="107"/>
      <c r="O5" s="107"/>
      <c r="P5" s="107"/>
      <c r="Q5" s="107"/>
      <c r="R5" s="423"/>
      <c r="S5" s="7" t="s">
        <v>192</v>
      </c>
      <c r="T5" s="107"/>
    </row>
    <row r="6">
      <c r="B6" s="18" t="s">
        <v>324</v>
      </c>
      <c r="C6" s="249">
        <v>6.0</v>
      </c>
      <c r="D6" s="107"/>
      <c r="E6" s="107">
        <v>6.0</v>
      </c>
      <c r="F6" s="107"/>
      <c r="T6" s="107"/>
    </row>
    <row r="7">
      <c r="C7" s="276">
        <f>SUM(C2:C6)</f>
        <v>118.7</v>
      </c>
      <c r="D7" s="490">
        <f>E7-E2</f>
        <v>138.4542</v>
      </c>
      <c r="E7" s="490">
        <f>SUM(E2:E6)</f>
        <v>138.4542</v>
      </c>
      <c r="F7" s="107"/>
      <c r="T7" s="107"/>
    </row>
    <row r="8">
      <c r="T8" s="107"/>
      <c r="U8" s="12">
        <f>8661.72-8588.97</f>
        <v>72.75</v>
      </c>
    </row>
    <row r="9">
      <c r="T9" s="27"/>
    </row>
    <row r="10">
      <c r="N10" s="18" t="s">
        <v>366</v>
      </c>
      <c r="Q10" s="18"/>
      <c r="R10" s="18">
        <v>3637.5</v>
      </c>
      <c r="T10" s="107"/>
    </row>
    <row r="11">
      <c r="B11" s="55" t="s">
        <v>122</v>
      </c>
      <c r="C11" s="56"/>
      <c r="D11" s="140" t="s">
        <v>123</v>
      </c>
      <c r="E11" s="140" t="s">
        <v>124</v>
      </c>
      <c r="F11" s="140" t="s">
        <v>125</v>
      </c>
      <c r="G11" s="424" t="s">
        <v>126</v>
      </c>
      <c r="H11" s="140" t="s">
        <v>127</v>
      </c>
      <c r="I11" s="140" t="s">
        <v>128</v>
      </c>
      <c r="J11" s="140" t="s">
        <v>129</v>
      </c>
      <c r="K11" s="140" t="s">
        <v>130</v>
      </c>
      <c r="L11" s="140" t="s">
        <v>131</v>
      </c>
      <c r="M11" s="140" t="s">
        <v>132</v>
      </c>
      <c r="N11" s="140" t="s">
        <v>133</v>
      </c>
      <c r="O11" s="140" t="s">
        <v>134</v>
      </c>
      <c r="P11" s="57" t="s">
        <v>123</v>
      </c>
      <c r="T11" s="107"/>
      <c r="V11" s="18"/>
    </row>
    <row r="12">
      <c r="B12" s="59" t="s">
        <v>129</v>
      </c>
      <c r="C12" s="141"/>
      <c r="D12" s="113">
        <v>8402.26</v>
      </c>
      <c r="E12" s="113">
        <v>8473.39</v>
      </c>
      <c r="F12" s="113">
        <v>8402.26</v>
      </c>
      <c r="G12" s="425">
        <v>8402.26</v>
      </c>
      <c r="H12" s="113">
        <v>8661.72</v>
      </c>
      <c r="I12" s="113">
        <v>8661.71</v>
      </c>
      <c r="J12" s="113">
        <v>8661.71</v>
      </c>
      <c r="K12" s="113">
        <v>8661.71</v>
      </c>
      <c r="L12" s="113">
        <v>8661.72</v>
      </c>
      <c r="M12" s="113">
        <v>8661.72</v>
      </c>
      <c r="N12" s="113">
        <v>8661.72</v>
      </c>
      <c r="O12" s="113">
        <v>8661.72</v>
      </c>
      <c r="P12" s="113">
        <v>8588.97</v>
      </c>
      <c r="T12" s="107"/>
      <c r="V12" s="18"/>
    </row>
    <row r="13">
      <c r="B13" s="59" t="s">
        <v>136</v>
      </c>
      <c r="C13" s="141"/>
      <c r="D13" s="114">
        <f>2160+3349.61</f>
        <v>5509.61</v>
      </c>
      <c r="E13" s="114">
        <f>2160+3570.51</f>
        <v>5730.51</v>
      </c>
      <c r="F13" s="114">
        <f>2160+3544.87</f>
        <v>5704.87</v>
      </c>
      <c r="G13" s="426">
        <f>2230+3676.95</f>
        <v>5906.95</v>
      </c>
      <c r="H13" s="114">
        <f>2230+3690.95</f>
        <v>5920.95</v>
      </c>
      <c r="I13" s="426">
        <f>2230+3679.95</f>
        <v>5909.95</v>
      </c>
      <c r="J13" s="114">
        <f>2230+3663.96</f>
        <v>5893.96</v>
      </c>
      <c r="K13" s="114">
        <f>2230+3637.5</f>
        <v>5867.5</v>
      </c>
      <c r="L13" s="114">
        <f>2230+3709.95</f>
        <v>5939.95</v>
      </c>
      <c r="M13" s="114">
        <f>2230+3700.95</f>
        <v>5930.95</v>
      </c>
      <c r="N13" s="114">
        <f>2230+3710.95</f>
        <v>5940.95</v>
      </c>
      <c r="O13" s="114">
        <f>2230+3698.95</f>
        <v>5928.95</v>
      </c>
      <c r="P13" s="114">
        <f>2230+3615.05</f>
        <v>5845.05</v>
      </c>
      <c r="Q13" s="407"/>
      <c r="R13" s="303"/>
      <c r="S13" s="107"/>
      <c r="T13" s="27"/>
      <c r="V13" s="18"/>
    </row>
    <row r="14">
      <c r="B14" s="59" t="s">
        <v>137</v>
      </c>
      <c r="C14" s="141"/>
      <c r="D14" s="115"/>
      <c r="E14" s="114"/>
      <c r="F14" s="115"/>
      <c r="G14" s="426"/>
      <c r="H14" s="115"/>
      <c r="I14" s="114"/>
      <c r="J14" s="115"/>
      <c r="K14" s="114"/>
      <c r="L14" s="115"/>
      <c r="M14" s="114"/>
      <c r="N14" s="115"/>
      <c r="O14" s="114"/>
      <c r="P14" s="114"/>
      <c r="Q14" s="363"/>
      <c r="R14" s="363"/>
      <c r="S14" s="107"/>
      <c r="T14" s="107"/>
      <c r="V14" s="18"/>
    </row>
    <row r="15">
      <c r="B15" s="59" t="s">
        <v>138</v>
      </c>
      <c r="C15" s="141"/>
      <c r="D15" s="116"/>
      <c r="E15" s="117"/>
      <c r="F15" s="114">
        <f>16458.02+8673.34</f>
        <v>25131.36</v>
      </c>
      <c r="G15" s="426">
        <v>845.32</v>
      </c>
      <c r="H15" s="115"/>
      <c r="I15" s="118"/>
      <c r="J15" s="117">
        <v>20239.8</v>
      </c>
      <c r="K15" s="118"/>
      <c r="L15" s="118"/>
      <c r="M15" s="118"/>
      <c r="N15" s="118"/>
      <c r="O15" s="117">
        <f>(L4*1.0675)+(L5*1.0675)</f>
        <v>20239.8</v>
      </c>
      <c r="P15" s="117">
        <v>7666.0</v>
      </c>
      <c r="Q15" s="32"/>
      <c r="R15" s="32"/>
      <c r="S15" s="107"/>
      <c r="T15" s="107"/>
      <c r="V15" s="18"/>
    </row>
    <row r="16">
      <c r="B16" s="142" t="s">
        <v>139</v>
      </c>
      <c r="C16" s="143"/>
      <c r="D16" s="144">
        <f t="shared" ref="D16:E16" si="1">SUM(D12:D15)</f>
        <v>13911.87</v>
      </c>
      <c r="E16" s="144">
        <f t="shared" si="1"/>
        <v>14203.9</v>
      </c>
      <c r="F16" s="144">
        <f>SUM(F12:F14)</f>
        <v>14107.13</v>
      </c>
      <c r="G16" s="428">
        <f t="shared" ref="G16:I16" si="2">SUM(G12:G15)</f>
        <v>15154.53</v>
      </c>
      <c r="H16" s="144">
        <f t="shared" si="2"/>
        <v>14582.67</v>
      </c>
      <c r="I16" s="144">
        <f t="shared" si="2"/>
        <v>14571.66</v>
      </c>
      <c r="J16" s="144">
        <f>SUM(J12:J14)</f>
        <v>14555.67</v>
      </c>
      <c r="K16" s="144">
        <f t="shared" ref="K16:N16" si="3">SUM(K12:K15)</f>
        <v>14529.21</v>
      </c>
      <c r="L16" s="144">
        <f t="shared" si="3"/>
        <v>14601.67</v>
      </c>
      <c r="M16" s="144">
        <f t="shared" si="3"/>
        <v>14592.67</v>
      </c>
      <c r="N16" s="144">
        <f t="shared" si="3"/>
        <v>14602.67</v>
      </c>
      <c r="O16" s="144">
        <f t="shared" ref="O16:P16" si="4">SUM(O12:O14)</f>
        <v>14590.67</v>
      </c>
      <c r="P16" s="494">
        <f t="shared" si="4"/>
        <v>14434.02</v>
      </c>
      <c r="Q16" s="257"/>
      <c r="R16" s="257"/>
      <c r="U16" s="27"/>
      <c r="V16" s="18"/>
      <c r="X16" s="107"/>
    </row>
    <row r="17">
      <c r="C17" s="27"/>
      <c r="Q17" s="32"/>
      <c r="R17" s="32"/>
      <c r="S17" s="107"/>
      <c r="V17" s="18"/>
      <c r="X17" s="27"/>
    </row>
    <row r="18">
      <c r="B18" s="70" t="s">
        <v>140</v>
      </c>
      <c r="C18" s="71"/>
      <c r="D18" s="58" t="s">
        <v>123</v>
      </c>
      <c r="E18" s="58" t="s">
        <v>124</v>
      </c>
      <c r="F18" s="58" t="s">
        <v>125</v>
      </c>
      <c r="G18" s="430" t="s">
        <v>126</v>
      </c>
      <c r="H18" s="58" t="s">
        <v>127</v>
      </c>
      <c r="I18" s="58" t="s">
        <v>128</v>
      </c>
      <c r="J18" s="58" t="s">
        <v>129</v>
      </c>
      <c r="K18" s="58" t="s">
        <v>130</v>
      </c>
      <c r="L18" s="58" t="s">
        <v>131</v>
      </c>
      <c r="M18" s="58" t="s">
        <v>132</v>
      </c>
      <c r="N18" s="58" t="s">
        <v>133</v>
      </c>
      <c r="O18" s="58" t="s">
        <v>134</v>
      </c>
      <c r="P18" s="58" t="s">
        <v>134</v>
      </c>
      <c r="Q18" s="418"/>
      <c r="R18" s="418" t="s">
        <v>331</v>
      </c>
      <c r="S18" s="192"/>
      <c r="V18" s="18"/>
    </row>
    <row r="19">
      <c r="B19" s="145" t="s">
        <v>141</v>
      </c>
      <c r="C19" s="146"/>
      <c r="D19" s="378">
        <v>410.0</v>
      </c>
      <c r="E19" s="378">
        <v>450.0</v>
      </c>
      <c r="F19" s="378">
        <v>450.0</v>
      </c>
      <c r="G19" s="446">
        <v>450.0</v>
      </c>
      <c r="H19" s="378">
        <v>450.0</v>
      </c>
      <c r="I19" s="378">
        <v>450.0</v>
      </c>
      <c r="J19" s="378">
        <v>450.0</v>
      </c>
      <c r="K19" s="378">
        <v>450.0</v>
      </c>
      <c r="L19" s="378">
        <v>450.0</v>
      </c>
      <c r="M19" s="378">
        <v>450.0</v>
      </c>
      <c r="N19" s="378">
        <v>450.0</v>
      </c>
      <c r="O19" s="378">
        <v>450.0</v>
      </c>
      <c r="P19" s="147">
        <v>450.0</v>
      </c>
      <c r="Q19" s="192"/>
      <c r="R19" s="447"/>
      <c r="S19" s="448" t="s">
        <v>27</v>
      </c>
      <c r="T19" s="448" t="s">
        <v>274</v>
      </c>
      <c r="U19" s="448" t="s">
        <v>351</v>
      </c>
      <c r="V19" s="448" t="s">
        <v>333</v>
      </c>
      <c r="W19" s="449" t="s">
        <v>390</v>
      </c>
      <c r="X19" s="448" t="s">
        <v>48</v>
      </c>
      <c r="Y19" s="448" t="s">
        <v>383</v>
      </c>
      <c r="Z19" s="448" t="s">
        <v>386</v>
      </c>
    </row>
    <row r="20">
      <c r="B20" s="145" t="s">
        <v>142</v>
      </c>
      <c r="C20" s="146"/>
      <c r="D20" s="378">
        <v>220.0</v>
      </c>
      <c r="E20" s="378">
        <v>220.0</v>
      </c>
      <c r="F20" s="378">
        <v>220.0</v>
      </c>
      <c r="G20" s="446">
        <v>220.0</v>
      </c>
      <c r="H20" s="446">
        <v>220.0</v>
      </c>
      <c r="I20" s="378">
        <v>220.0</v>
      </c>
      <c r="J20" s="378">
        <v>220.0</v>
      </c>
      <c r="K20" s="378">
        <v>220.0</v>
      </c>
      <c r="L20" s="378">
        <v>220.0</v>
      </c>
      <c r="M20" s="378">
        <v>220.0</v>
      </c>
      <c r="N20" s="378">
        <v>220.0</v>
      </c>
      <c r="O20" s="378">
        <v>220.0</v>
      </c>
      <c r="P20" s="147">
        <v>220.0</v>
      </c>
      <c r="Q20" s="409"/>
      <c r="R20" s="145" t="s">
        <v>141</v>
      </c>
      <c r="T20" s="452"/>
      <c r="U20" s="147">
        <v>450.0</v>
      </c>
      <c r="V20" s="452"/>
      <c r="W20" s="452"/>
      <c r="X20" s="452"/>
      <c r="Y20" s="452"/>
      <c r="Z20" s="452"/>
    </row>
    <row r="21">
      <c r="B21" s="145" t="s">
        <v>143</v>
      </c>
      <c r="C21" s="146"/>
      <c r="D21" s="396">
        <v>139.9</v>
      </c>
      <c r="E21" s="396">
        <v>147.9</v>
      </c>
      <c r="F21" s="396">
        <v>147.9</v>
      </c>
      <c r="G21" s="454">
        <v>147.9</v>
      </c>
      <c r="H21" s="454">
        <v>147.9</v>
      </c>
      <c r="I21" s="378">
        <v>147.9</v>
      </c>
      <c r="J21" s="396">
        <v>147.9</v>
      </c>
      <c r="K21" s="396">
        <v>147.9</v>
      </c>
      <c r="L21" s="396">
        <v>147.9</v>
      </c>
      <c r="M21" s="396">
        <v>147.9</v>
      </c>
      <c r="N21" s="396">
        <v>147.9</v>
      </c>
      <c r="O21" s="396">
        <v>147.9</v>
      </c>
      <c r="P21" s="149">
        <v>147.9</v>
      </c>
      <c r="Q21" s="409"/>
      <c r="R21" s="145" t="s">
        <v>142</v>
      </c>
      <c r="T21" s="452"/>
      <c r="U21" s="147">
        <v>220.0</v>
      </c>
      <c r="V21" s="452"/>
      <c r="W21" s="452"/>
      <c r="X21" s="452"/>
      <c r="Y21" s="452"/>
      <c r="Z21" s="452"/>
    </row>
    <row r="22">
      <c r="B22" s="145" t="s">
        <v>144</v>
      </c>
      <c r="C22" s="146"/>
      <c r="D22" s="378">
        <v>100.0</v>
      </c>
      <c r="E22" s="378">
        <v>100.0</v>
      </c>
      <c r="F22" s="378">
        <f t="shared" ref="F22:H22" si="5">E22</f>
        <v>100</v>
      </c>
      <c r="G22" s="446">
        <f t="shared" si="5"/>
        <v>100</v>
      </c>
      <c r="H22" s="446">
        <f t="shared" si="5"/>
        <v>100</v>
      </c>
      <c r="I22" s="378">
        <v>100.0</v>
      </c>
      <c r="J22" s="378">
        <f>I22</f>
        <v>100</v>
      </c>
      <c r="K22" s="378">
        <v>100.0</v>
      </c>
      <c r="L22" s="378">
        <f t="shared" ref="L22:P22" si="6">K22</f>
        <v>100</v>
      </c>
      <c r="M22" s="378">
        <f t="shared" si="6"/>
        <v>100</v>
      </c>
      <c r="N22" s="378">
        <f t="shared" si="6"/>
        <v>100</v>
      </c>
      <c r="O22" s="378">
        <f t="shared" si="6"/>
        <v>100</v>
      </c>
      <c r="P22" s="147">
        <f t="shared" si="6"/>
        <v>100</v>
      </c>
      <c r="Q22" s="409"/>
      <c r="R22" s="145" t="s">
        <v>143</v>
      </c>
      <c r="T22" s="452"/>
      <c r="U22" s="149">
        <v>147.9</v>
      </c>
      <c r="V22" s="452"/>
      <c r="W22" s="452"/>
      <c r="X22" s="452"/>
      <c r="Y22" s="452"/>
      <c r="Z22" s="452"/>
    </row>
    <row r="23">
      <c r="B23" s="145" t="s">
        <v>145</v>
      </c>
      <c r="C23" s="146"/>
      <c r="D23" s="378">
        <v>3004.8</v>
      </c>
      <c r="E23" s="378">
        <v>3004.8</v>
      </c>
      <c r="F23" s="378">
        <v>3004.8</v>
      </c>
      <c r="G23" s="446">
        <v>3004.8</v>
      </c>
      <c r="H23" s="446">
        <v>3004.8</v>
      </c>
      <c r="I23" s="378">
        <v>3004.8</v>
      </c>
      <c r="J23" s="378">
        <v>3004.8</v>
      </c>
      <c r="K23" s="378">
        <v>3004.8</v>
      </c>
      <c r="L23" s="378">
        <v>3004.8</v>
      </c>
      <c r="M23" s="378">
        <v>3004.8</v>
      </c>
      <c r="N23" s="378">
        <v>3004.8</v>
      </c>
      <c r="O23" s="378">
        <v>3004.8</v>
      </c>
      <c r="P23" s="147">
        <v>3004.8</v>
      </c>
      <c r="Q23" s="409"/>
      <c r="R23" s="145" t="s">
        <v>144</v>
      </c>
      <c r="T23" s="452"/>
      <c r="U23" s="147">
        <v>100.0</v>
      </c>
      <c r="V23" s="452"/>
      <c r="W23" s="452"/>
      <c r="X23" s="452"/>
      <c r="Y23" s="452"/>
      <c r="Z23" s="452"/>
    </row>
    <row r="24">
      <c r="B24" s="145" t="s">
        <v>146</v>
      </c>
      <c r="C24" s="150" t="s">
        <v>136</v>
      </c>
      <c r="D24" s="378">
        <v>50.0</v>
      </c>
      <c r="E24" s="378">
        <v>0.0</v>
      </c>
      <c r="F24" s="378">
        <v>0.0</v>
      </c>
      <c r="G24" s="446"/>
      <c r="H24" s="446"/>
      <c r="I24" s="378"/>
      <c r="J24" s="378"/>
      <c r="K24" s="378"/>
      <c r="L24" s="378"/>
      <c r="M24" s="378"/>
      <c r="N24" s="378"/>
      <c r="O24" s="378"/>
      <c r="P24" s="147"/>
      <c r="Q24" s="409"/>
      <c r="R24" s="145" t="s">
        <v>145</v>
      </c>
      <c r="S24" s="378">
        <v>3004.8</v>
      </c>
      <c r="T24" s="456"/>
      <c r="U24" s="451"/>
      <c r="V24" s="452"/>
      <c r="W24" s="452"/>
      <c r="X24" s="452"/>
      <c r="Y24" s="452"/>
      <c r="Z24" s="452"/>
    </row>
    <row r="25">
      <c r="B25" s="145" t="s">
        <v>180</v>
      </c>
      <c r="C25" s="146"/>
      <c r="D25" s="378">
        <v>400.0</v>
      </c>
      <c r="E25" s="378">
        <v>400.0</v>
      </c>
      <c r="F25" s="378">
        <v>400.0</v>
      </c>
      <c r="G25" s="446">
        <v>400.0</v>
      </c>
      <c r="H25" s="446">
        <v>400.0</v>
      </c>
      <c r="I25" s="378">
        <v>400.0</v>
      </c>
      <c r="J25" s="378">
        <v>400.0</v>
      </c>
      <c r="K25" s="378">
        <v>400.0</v>
      </c>
      <c r="L25" s="378">
        <v>400.0</v>
      </c>
      <c r="M25" s="378">
        <v>400.0</v>
      </c>
      <c r="N25" s="378">
        <v>400.0</v>
      </c>
      <c r="O25" s="378">
        <v>400.0</v>
      </c>
      <c r="P25" s="147">
        <v>400.0</v>
      </c>
      <c r="Q25" s="409"/>
      <c r="R25" s="145" t="s">
        <v>146</v>
      </c>
      <c r="S25" s="378"/>
      <c r="T25" s="457"/>
      <c r="U25" s="452"/>
      <c r="V25" s="452"/>
      <c r="W25" s="452"/>
      <c r="X25" s="452"/>
      <c r="Y25" s="452"/>
      <c r="Z25" s="452"/>
    </row>
    <row r="26">
      <c r="B26" s="145" t="s">
        <v>148</v>
      </c>
      <c r="C26" s="146"/>
      <c r="D26" s="378">
        <v>600.0</v>
      </c>
      <c r="E26" s="378">
        <v>600.0</v>
      </c>
      <c r="F26" s="378">
        <v>600.0</v>
      </c>
      <c r="G26" s="446">
        <v>600.0</v>
      </c>
      <c r="H26" s="446">
        <v>600.0</v>
      </c>
      <c r="I26" s="378">
        <v>600.0</v>
      </c>
      <c r="J26" s="378">
        <v>600.0</v>
      </c>
      <c r="K26" s="378">
        <v>600.0</v>
      </c>
      <c r="L26" s="378">
        <v>600.0</v>
      </c>
      <c r="M26" s="378">
        <v>600.0</v>
      </c>
      <c r="N26" s="378">
        <v>600.0</v>
      </c>
      <c r="O26" s="378">
        <v>600.0</v>
      </c>
      <c r="P26" s="147">
        <v>600.0</v>
      </c>
      <c r="Q26" s="409"/>
      <c r="R26" s="145" t="s">
        <v>180</v>
      </c>
      <c r="T26" s="456"/>
      <c r="U26" s="452"/>
      <c r="V26" s="452"/>
      <c r="W26" s="452"/>
      <c r="X26" s="452"/>
      <c r="Y26" s="452"/>
      <c r="Z26" s="147">
        <v>400.0</v>
      </c>
    </row>
    <row r="27">
      <c r="B27" s="145" t="s">
        <v>149</v>
      </c>
      <c r="C27" s="146"/>
      <c r="D27" s="378">
        <v>500.0</v>
      </c>
      <c r="E27" s="378">
        <v>500.0</v>
      </c>
      <c r="F27" s="378">
        <f t="shared" ref="F27:H27" si="7">E27</f>
        <v>500</v>
      </c>
      <c r="G27" s="446">
        <f t="shared" si="7"/>
        <v>500</v>
      </c>
      <c r="H27" s="446">
        <f t="shared" si="7"/>
        <v>500</v>
      </c>
      <c r="I27" s="378">
        <v>500.0</v>
      </c>
      <c r="J27" s="378">
        <f>I27</f>
        <v>500</v>
      </c>
      <c r="K27" s="378">
        <v>500.0</v>
      </c>
      <c r="L27" s="378">
        <f t="shared" ref="L27:P27" si="8">K27</f>
        <v>500</v>
      </c>
      <c r="M27" s="378">
        <f t="shared" si="8"/>
        <v>500</v>
      </c>
      <c r="N27" s="378">
        <f t="shared" si="8"/>
        <v>500</v>
      </c>
      <c r="O27" s="378">
        <f t="shared" si="8"/>
        <v>500</v>
      </c>
      <c r="P27" s="147">
        <f t="shared" si="8"/>
        <v>500</v>
      </c>
      <c r="Q27" s="409"/>
      <c r="R27" s="145" t="s">
        <v>148</v>
      </c>
      <c r="T27" s="478"/>
      <c r="U27" s="147">
        <v>600.0</v>
      </c>
      <c r="V27" s="452"/>
      <c r="W27" s="452"/>
      <c r="X27" s="452"/>
      <c r="Y27" s="452"/>
      <c r="Z27" s="452"/>
    </row>
    <row r="28">
      <c r="B28" s="145" t="s">
        <v>181</v>
      </c>
      <c r="C28" s="146"/>
      <c r="D28" s="378">
        <v>150.0</v>
      </c>
      <c r="E28" s="378">
        <v>150.0</v>
      </c>
      <c r="F28" s="378">
        <v>150.0</v>
      </c>
      <c r="G28" s="446">
        <v>150.0</v>
      </c>
      <c r="H28" s="446">
        <v>150.0</v>
      </c>
      <c r="I28" s="378">
        <v>150.0</v>
      </c>
      <c r="J28" s="378">
        <v>150.0</v>
      </c>
      <c r="K28" s="378">
        <v>150.0</v>
      </c>
      <c r="L28" s="378">
        <v>150.0</v>
      </c>
      <c r="M28" s="378">
        <v>150.0</v>
      </c>
      <c r="N28" s="378">
        <v>150.0</v>
      </c>
      <c r="O28" s="378">
        <v>150.0</v>
      </c>
      <c r="P28" s="147">
        <v>150.0</v>
      </c>
      <c r="Q28" s="409"/>
      <c r="R28" s="145" t="s">
        <v>149</v>
      </c>
      <c r="T28" s="456"/>
      <c r="U28" s="147">
        <v>500.0</v>
      </c>
      <c r="V28" s="452"/>
      <c r="W28" s="452"/>
      <c r="X28" s="452"/>
      <c r="Y28" s="452"/>
      <c r="Z28" s="452"/>
    </row>
    <row r="29">
      <c r="B29" s="145" t="s">
        <v>150</v>
      </c>
      <c r="C29" s="146"/>
      <c r="D29" s="378">
        <v>400.0</v>
      </c>
      <c r="E29" s="378">
        <v>400.0</v>
      </c>
      <c r="F29" s="378">
        <f t="shared" ref="F29:H29" si="9">E29</f>
        <v>400</v>
      </c>
      <c r="G29" s="446">
        <f t="shared" si="9"/>
        <v>400</v>
      </c>
      <c r="H29" s="446">
        <f t="shared" si="9"/>
        <v>400</v>
      </c>
      <c r="I29" s="378">
        <v>400.0</v>
      </c>
      <c r="J29" s="378">
        <v>400.0</v>
      </c>
      <c r="K29" s="378">
        <v>400.0</v>
      </c>
      <c r="L29" s="378">
        <f t="shared" ref="L29:P29" si="10">K29</f>
        <v>400</v>
      </c>
      <c r="M29" s="378">
        <f t="shared" si="10"/>
        <v>400</v>
      </c>
      <c r="N29" s="378">
        <f t="shared" si="10"/>
        <v>400</v>
      </c>
      <c r="O29" s="378">
        <f t="shared" si="10"/>
        <v>400</v>
      </c>
      <c r="P29" s="147">
        <f t="shared" si="10"/>
        <v>400</v>
      </c>
      <c r="Q29" s="409"/>
      <c r="R29" s="145" t="s">
        <v>181</v>
      </c>
      <c r="T29" s="478"/>
      <c r="U29" s="478"/>
      <c r="V29" s="378">
        <v>150.0</v>
      </c>
      <c r="W29" s="452"/>
      <c r="X29" s="452"/>
      <c r="Y29" s="452"/>
      <c r="Z29" s="452"/>
    </row>
    <row r="30">
      <c r="B30" s="145" t="s">
        <v>182</v>
      </c>
      <c r="C30" s="146"/>
      <c r="D30" s="378">
        <v>160.0</v>
      </c>
      <c r="E30" s="378">
        <v>160.0</v>
      </c>
      <c r="F30" s="378">
        <v>160.0</v>
      </c>
      <c r="G30" s="446">
        <v>160.0</v>
      </c>
      <c r="H30" s="446">
        <v>160.0</v>
      </c>
      <c r="I30" s="378">
        <v>160.0</v>
      </c>
      <c r="J30" s="378">
        <v>0.0</v>
      </c>
      <c r="K30" s="378">
        <v>160.0</v>
      </c>
      <c r="L30" s="378">
        <v>160.0</v>
      </c>
      <c r="M30" s="378">
        <v>80.0</v>
      </c>
      <c r="N30" s="378">
        <v>80.0</v>
      </c>
      <c r="O30" s="378">
        <v>80.0</v>
      </c>
      <c r="P30" s="147">
        <v>80.0</v>
      </c>
      <c r="Q30" s="409"/>
      <c r="R30" s="145" t="s">
        <v>150</v>
      </c>
      <c r="T30" s="378">
        <v>400.0</v>
      </c>
      <c r="U30" s="452"/>
      <c r="V30" s="452"/>
      <c r="W30" s="452"/>
      <c r="X30" s="452"/>
      <c r="Y30" s="452"/>
      <c r="Z30" s="452"/>
    </row>
    <row r="31">
      <c r="B31" s="145" t="s">
        <v>392</v>
      </c>
      <c r="C31" s="146"/>
      <c r="D31" s="378">
        <v>400.0</v>
      </c>
      <c r="E31" s="378">
        <v>400.0</v>
      </c>
      <c r="F31" s="378">
        <v>400.0</v>
      </c>
      <c r="G31" s="446">
        <v>400.0</v>
      </c>
      <c r="H31" s="446">
        <v>400.0</v>
      </c>
      <c r="I31" s="378">
        <v>400.0</v>
      </c>
      <c r="J31" s="378">
        <v>400.0</v>
      </c>
      <c r="K31" s="378">
        <v>1400.0</v>
      </c>
      <c r="L31" s="378">
        <v>1400.0</v>
      </c>
      <c r="M31" s="378">
        <v>1400.0</v>
      </c>
      <c r="N31" s="378">
        <v>1400.0</v>
      </c>
      <c r="O31" s="378">
        <v>1400.0</v>
      </c>
      <c r="P31" s="147">
        <v>1400.0</v>
      </c>
      <c r="Q31" s="409"/>
      <c r="R31" s="145" t="s">
        <v>182</v>
      </c>
      <c r="T31" s="456"/>
      <c r="U31" s="452"/>
      <c r="V31" s="452"/>
      <c r="W31" s="147">
        <v>80.0</v>
      </c>
      <c r="X31" s="452"/>
      <c r="Y31" s="452"/>
      <c r="Z31" s="452"/>
    </row>
    <row r="32">
      <c r="B32" s="145" t="s">
        <v>152</v>
      </c>
      <c r="C32" s="146"/>
      <c r="D32" s="390"/>
      <c r="E32" s="378"/>
      <c r="F32" s="378"/>
      <c r="G32" s="459"/>
      <c r="H32" s="446"/>
      <c r="I32" s="378"/>
      <c r="J32" s="378"/>
      <c r="K32" s="378"/>
      <c r="L32" s="378"/>
      <c r="M32" s="390"/>
      <c r="N32" s="378"/>
      <c r="O32" s="378"/>
      <c r="P32" s="147"/>
      <c r="Q32" s="409"/>
      <c r="R32" s="145" t="s">
        <v>392</v>
      </c>
      <c r="T32" s="460"/>
      <c r="U32" s="452"/>
      <c r="V32" s="452"/>
      <c r="W32" s="479"/>
      <c r="X32" s="378">
        <v>1400.0</v>
      </c>
      <c r="Y32" s="452"/>
      <c r="Z32" s="452"/>
    </row>
    <row r="33">
      <c r="B33" s="145" t="s">
        <v>154</v>
      </c>
      <c r="C33" s="146"/>
      <c r="D33" s="390">
        <v>136.92</v>
      </c>
      <c r="E33" s="390">
        <v>136.92</v>
      </c>
      <c r="F33" s="390">
        <v>136.92</v>
      </c>
      <c r="G33" s="446">
        <v>144.7</v>
      </c>
      <c r="H33" s="446">
        <v>144.7</v>
      </c>
      <c r="I33" s="378">
        <v>161.29</v>
      </c>
      <c r="J33" s="378">
        <v>161.29</v>
      </c>
      <c r="K33" s="378">
        <v>161.29</v>
      </c>
      <c r="L33" s="378">
        <v>161.29</v>
      </c>
      <c r="M33" s="378">
        <v>161.29</v>
      </c>
      <c r="N33" s="378">
        <v>160.67</v>
      </c>
      <c r="O33" s="378">
        <v>138.45</v>
      </c>
      <c r="P33" s="147">
        <v>168.45</v>
      </c>
      <c r="Q33" s="409"/>
      <c r="R33" s="145" t="s">
        <v>152</v>
      </c>
      <c r="S33" s="378"/>
      <c r="T33" s="456"/>
      <c r="U33" s="452"/>
      <c r="V33" s="452"/>
      <c r="W33" s="481"/>
      <c r="X33" s="452"/>
      <c r="Y33" s="452"/>
      <c r="Z33" s="452"/>
    </row>
    <row r="34">
      <c r="B34" s="145" t="s">
        <v>395</v>
      </c>
      <c r="C34" s="146"/>
      <c r="D34" s="390"/>
      <c r="E34" s="390"/>
      <c r="F34" s="378" t="str">
        <f t="shared" ref="F34:H34" si="11">E34</f>
        <v/>
      </c>
      <c r="G34" s="446" t="str">
        <f t="shared" si="11"/>
        <v/>
      </c>
      <c r="H34" s="446" t="str">
        <f t="shared" si="11"/>
        <v/>
      </c>
      <c r="I34" s="378" t="str">
        <f>H32</f>
        <v/>
      </c>
      <c r="J34" s="378" t="str">
        <f>I34</f>
        <v/>
      </c>
      <c r="K34" s="378" t="str">
        <f>J32</f>
        <v/>
      </c>
      <c r="L34" s="378" t="str">
        <f t="shared" ref="L34:M34" si="12">K34</f>
        <v/>
      </c>
      <c r="M34" s="378" t="str">
        <f t="shared" si="12"/>
        <v/>
      </c>
      <c r="N34" s="378">
        <v>234.53</v>
      </c>
      <c r="O34" s="378">
        <f t="shared" ref="O34:P34" si="13">N34</f>
        <v>234.53</v>
      </c>
      <c r="P34" s="147">
        <f t="shared" si="13"/>
        <v>234.53</v>
      </c>
      <c r="Q34" s="409"/>
      <c r="R34" s="145" t="s">
        <v>154</v>
      </c>
      <c r="S34" s="468">
        <v>15.0</v>
      </c>
      <c r="T34" s="468">
        <v>15.0</v>
      </c>
      <c r="U34" s="452"/>
      <c r="V34" s="452"/>
      <c r="W34" s="147">
        <v>138.45</v>
      </c>
      <c r="X34" s="456"/>
      <c r="Y34" s="452"/>
      <c r="Z34" s="452"/>
    </row>
    <row r="35">
      <c r="B35" s="145" t="s">
        <v>156</v>
      </c>
      <c r="C35" s="146"/>
      <c r="D35" s="378">
        <v>100.0</v>
      </c>
      <c r="E35" s="378">
        <v>100.0</v>
      </c>
      <c r="F35" s="390"/>
      <c r="G35" s="446">
        <v>100.0</v>
      </c>
      <c r="H35" s="446">
        <v>600.0</v>
      </c>
      <c r="I35" s="378">
        <v>500.0</v>
      </c>
      <c r="J35" s="378">
        <v>200.0</v>
      </c>
      <c r="K35" s="378">
        <v>100.0</v>
      </c>
      <c r="L35" s="390"/>
      <c r="M35" s="378">
        <v>200.0</v>
      </c>
      <c r="N35" s="378">
        <v>100.0</v>
      </c>
      <c r="O35" s="378">
        <v>200.0</v>
      </c>
      <c r="P35" s="147">
        <v>100.0</v>
      </c>
      <c r="Q35" s="409"/>
      <c r="R35" s="145" t="s">
        <v>395</v>
      </c>
      <c r="T35" s="456"/>
      <c r="U35" s="452"/>
      <c r="V35" s="378">
        <v>234.53</v>
      </c>
      <c r="W35" s="481"/>
      <c r="X35" s="452"/>
      <c r="Y35" s="452"/>
      <c r="Z35" s="452"/>
    </row>
    <row r="36">
      <c r="B36" s="145" t="s">
        <v>157</v>
      </c>
      <c r="C36" s="146"/>
      <c r="D36" s="378">
        <v>50.0</v>
      </c>
      <c r="E36" s="378">
        <v>50.0</v>
      </c>
      <c r="F36" s="378">
        <f t="shared" ref="F36:H36" si="14">E36</f>
        <v>50</v>
      </c>
      <c r="G36" s="446">
        <f t="shared" si="14"/>
        <v>50</v>
      </c>
      <c r="H36" s="446">
        <f t="shared" si="14"/>
        <v>50</v>
      </c>
      <c r="I36" s="378">
        <v>50.0</v>
      </c>
      <c r="J36" s="378">
        <f t="shared" ref="J36:J37" si="17">I36</f>
        <v>50</v>
      </c>
      <c r="K36" s="378">
        <v>50.0</v>
      </c>
      <c r="L36" s="378">
        <f t="shared" ref="L36:P36" si="15">K36</f>
        <v>50</v>
      </c>
      <c r="M36" s="378">
        <f t="shared" si="15"/>
        <v>50</v>
      </c>
      <c r="N36" s="378">
        <f t="shared" si="15"/>
        <v>50</v>
      </c>
      <c r="O36" s="378">
        <f t="shared" si="15"/>
        <v>50</v>
      </c>
      <c r="P36" s="147">
        <f t="shared" si="15"/>
        <v>50</v>
      </c>
      <c r="Q36" s="409"/>
      <c r="R36" s="145" t="s">
        <v>156</v>
      </c>
      <c r="T36" s="458"/>
      <c r="U36" s="452"/>
      <c r="V36" s="452"/>
      <c r="W36" s="147">
        <v>100.0</v>
      </c>
      <c r="X36" s="452"/>
      <c r="Y36" s="452"/>
      <c r="Z36" s="452"/>
      <c r="AA36" s="18"/>
    </row>
    <row r="37">
      <c r="B37" s="145" t="s">
        <v>393</v>
      </c>
      <c r="C37" s="146"/>
      <c r="D37" s="390"/>
      <c r="E37" s="390"/>
      <c r="F37" s="378" t="str">
        <f t="shared" ref="F37:H37" si="16">E37</f>
        <v/>
      </c>
      <c r="G37" s="446" t="str">
        <f t="shared" si="16"/>
        <v/>
      </c>
      <c r="H37" s="446" t="str">
        <f t="shared" si="16"/>
        <v/>
      </c>
      <c r="I37" s="378"/>
      <c r="J37" s="378" t="str">
        <f t="shared" si="17"/>
        <v/>
      </c>
      <c r="K37" s="378">
        <v>200.0</v>
      </c>
      <c r="L37" s="378">
        <f t="shared" ref="L37:P37" si="18">K37</f>
        <v>200</v>
      </c>
      <c r="M37" s="378">
        <f t="shared" si="18"/>
        <v>200</v>
      </c>
      <c r="N37" s="378">
        <f t="shared" si="18"/>
        <v>200</v>
      </c>
      <c r="O37" s="378">
        <f t="shared" si="18"/>
        <v>200</v>
      </c>
      <c r="P37" s="147">
        <f t="shared" si="18"/>
        <v>200</v>
      </c>
      <c r="Q37" s="409"/>
      <c r="R37" s="145" t="s">
        <v>157</v>
      </c>
      <c r="T37" s="456"/>
      <c r="U37" s="452"/>
      <c r="V37" s="452"/>
      <c r="W37" s="481"/>
      <c r="X37" s="452"/>
      <c r="Y37" s="147">
        <v>50.0</v>
      </c>
      <c r="Z37" s="456"/>
      <c r="AA37" s="18"/>
    </row>
    <row r="38">
      <c r="B38" s="145" t="s">
        <v>159</v>
      </c>
      <c r="C38" s="146"/>
      <c r="D38" s="378">
        <v>800.0</v>
      </c>
      <c r="E38" s="378">
        <v>800.0</v>
      </c>
      <c r="F38" s="378">
        <v>800.0</v>
      </c>
      <c r="G38" s="446">
        <v>800.0</v>
      </c>
      <c r="H38" s="446">
        <v>800.0</v>
      </c>
      <c r="I38" s="378">
        <v>800.0</v>
      </c>
      <c r="J38" s="378">
        <v>800.0</v>
      </c>
      <c r="K38" s="378">
        <v>800.0</v>
      </c>
      <c r="L38" s="378">
        <v>800.0</v>
      </c>
      <c r="M38" s="378">
        <v>800.0</v>
      </c>
      <c r="N38" s="378">
        <v>800.0</v>
      </c>
      <c r="O38" s="378">
        <v>800.0</v>
      </c>
      <c r="P38" s="147">
        <v>800.0</v>
      </c>
      <c r="Q38" s="409"/>
      <c r="R38" s="145" t="s">
        <v>393</v>
      </c>
      <c r="T38" s="456"/>
      <c r="U38" s="452"/>
      <c r="V38" s="378">
        <v>200.0</v>
      </c>
      <c r="W38" s="452"/>
      <c r="X38" s="452"/>
      <c r="Y38" s="452"/>
      <c r="Z38" s="452"/>
    </row>
    <row r="39">
      <c r="B39" s="145" t="s">
        <v>160</v>
      </c>
      <c r="C39" s="146"/>
      <c r="D39" s="378">
        <v>3000.0</v>
      </c>
      <c r="E39" s="378">
        <v>3000.0</v>
      </c>
      <c r="F39" s="378">
        <f t="shared" ref="F39:H39" si="19">E39</f>
        <v>3000</v>
      </c>
      <c r="G39" s="446">
        <f t="shared" si="19"/>
        <v>3000</v>
      </c>
      <c r="H39" s="446">
        <f t="shared" si="19"/>
        <v>3000</v>
      </c>
      <c r="I39" s="378">
        <v>3000.0</v>
      </c>
      <c r="J39" s="378">
        <f>I39</f>
        <v>3000</v>
      </c>
      <c r="K39" s="378">
        <v>3000.0</v>
      </c>
      <c r="L39" s="378">
        <f t="shared" ref="L39:P39" si="20">K39</f>
        <v>3000</v>
      </c>
      <c r="M39" s="378">
        <f t="shared" si="20"/>
        <v>3000</v>
      </c>
      <c r="N39" s="378">
        <f t="shared" si="20"/>
        <v>3000</v>
      </c>
      <c r="O39" s="378">
        <f t="shared" si="20"/>
        <v>3000</v>
      </c>
      <c r="P39" s="147">
        <f t="shared" si="20"/>
        <v>3000</v>
      </c>
      <c r="Q39" s="409"/>
      <c r="R39" s="145" t="s">
        <v>159</v>
      </c>
      <c r="S39" s="378">
        <v>400.0</v>
      </c>
      <c r="T39" s="378">
        <v>400.0</v>
      </c>
      <c r="U39" s="452"/>
      <c r="V39" s="452"/>
      <c r="W39" s="452"/>
      <c r="X39" s="452"/>
      <c r="Y39" s="452"/>
      <c r="Z39" s="452"/>
    </row>
    <row r="40">
      <c r="B40" s="145" t="s">
        <v>184</v>
      </c>
      <c r="C40" s="146"/>
      <c r="D40" s="378">
        <v>700.0</v>
      </c>
      <c r="E40" s="378">
        <v>700.0</v>
      </c>
      <c r="F40" s="378">
        <v>700.0</v>
      </c>
      <c r="G40" s="446">
        <v>700.0</v>
      </c>
      <c r="H40" s="446">
        <v>700.0</v>
      </c>
      <c r="I40" s="378">
        <v>700.0</v>
      </c>
      <c r="J40" s="378">
        <v>700.0</v>
      </c>
      <c r="K40" s="378">
        <v>700.0</v>
      </c>
      <c r="L40" s="378">
        <v>700.0</v>
      </c>
      <c r="M40" s="378">
        <v>1000.0</v>
      </c>
      <c r="N40" s="378">
        <v>1000.0</v>
      </c>
      <c r="O40" s="378">
        <v>1000.0</v>
      </c>
      <c r="P40" s="147">
        <v>1000.0</v>
      </c>
      <c r="Q40" s="409"/>
      <c r="R40" s="145" t="s">
        <v>160</v>
      </c>
      <c r="S40" s="378">
        <v>1500.0</v>
      </c>
      <c r="T40" s="378">
        <v>1500.0</v>
      </c>
      <c r="U40" s="452"/>
      <c r="V40" s="481"/>
      <c r="W40" s="452"/>
      <c r="X40" s="452"/>
      <c r="Y40" s="452"/>
      <c r="Z40" s="452"/>
    </row>
    <row r="41">
      <c r="B41" s="145" t="s">
        <v>3</v>
      </c>
      <c r="C41" s="146"/>
      <c r="D41" s="378">
        <v>500.0</v>
      </c>
      <c r="E41" s="378">
        <v>500.0</v>
      </c>
      <c r="F41" s="378">
        <v>500.0</v>
      </c>
      <c r="G41" s="446">
        <v>500.0</v>
      </c>
      <c r="H41" s="446">
        <v>500.0</v>
      </c>
      <c r="I41" s="378">
        <v>500.0</v>
      </c>
      <c r="J41" s="378">
        <v>500.0</v>
      </c>
      <c r="K41" s="378">
        <v>500.0</v>
      </c>
      <c r="L41" s="378">
        <v>500.0</v>
      </c>
      <c r="M41" s="378">
        <v>500.0</v>
      </c>
      <c r="N41" s="378">
        <v>500.0</v>
      </c>
      <c r="O41" s="378">
        <v>500.0</v>
      </c>
      <c r="P41" s="147">
        <v>500.0</v>
      </c>
      <c r="Q41" s="409"/>
      <c r="R41" s="145" t="s">
        <v>184</v>
      </c>
      <c r="T41" s="456"/>
      <c r="U41" s="452"/>
      <c r="V41" s="378">
        <v>1000.0</v>
      </c>
      <c r="W41" s="452"/>
      <c r="X41" s="452"/>
      <c r="Y41" s="452"/>
      <c r="Z41" s="452"/>
    </row>
    <row r="42">
      <c r="B42" s="152" t="s">
        <v>161</v>
      </c>
      <c r="C42" s="153"/>
      <c r="D42" s="154">
        <f t="shared" ref="D42:P42" si="21">SUM(D19:D41)*-1</f>
        <v>-11821.62</v>
      </c>
      <c r="E42" s="154">
        <f t="shared" si="21"/>
        <v>-11819.62</v>
      </c>
      <c r="F42" s="154">
        <f t="shared" si="21"/>
        <v>-11719.62</v>
      </c>
      <c r="G42" s="435">
        <f t="shared" si="21"/>
        <v>-11827.4</v>
      </c>
      <c r="H42" s="435">
        <f t="shared" si="21"/>
        <v>-12327.4</v>
      </c>
      <c r="I42" s="154">
        <f t="shared" si="21"/>
        <v>-12243.99</v>
      </c>
      <c r="J42" s="154">
        <f t="shared" si="21"/>
        <v>-11783.99</v>
      </c>
      <c r="K42" s="154">
        <f t="shared" si="21"/>
        <v>-13043.99</v>
      </c>
      <c r="L42" s="154">
        <f t="shared" si="21"/>
        <v>-12943.99</v>
      </c>
      <c r="M42" s="154">
        <f t="shared" si="21"/>
        <v>-13363.99</v>
      </c>
      <c r="N42" s="154">
        <f t="shared" si="21"/>
        <v>-13497.9</v>
      </c>
      <c r="O42" s="154">
        <f t="shared" si="21"/>
        <v>-13575.68</v>
      </c>
      <c r="P42" s="154">
        <f t="shared" si="21"/>
        <v>-13505.68</v>
      </c>
      <c r="Q42" s="409"/>
      <c r="R42" s="145" t="s">
        <v>3</v>
      </c>
      <c r="T42" s="452"/>
      <c r="U42" s="452"/>
      <c r="V42" s="378">
        <v>500.0</v>
      </c>
      <c r="W42" s="452"/>
      <c r="X42" s="452"/>
      <c r="Y42" s="452"/>
      <c r="Z42" s="452"/>
    </row>
    <row r="43">
      <c r="C43" s="27"/>
      <c r="Q43" s="409"/>
      <c r="R43" s="450"/>
      <c r="S43" s="456"/>
      <c r="T43" s="451"/>
      <c r="U43" s="451"/>
      <c r="V43" s="456"/>
      <c r="W43" s="451"/>
      <c r="X43" s="451"/>
      <c r="Y43" s="451"/>
      <c r="Z43" s="451"/>
    </row>
    <row r="44">
      <c r="B44" s="156" t="s">
        <v>162</v>
      </c>
      <c r="C44" s="157"/>
      <c r="D44" s="469">
        <f t="shared" ref="D44:P44" si="22">D16+D42</f>
        <v>2090.25</v>
      </c>
      <c r="E44" s="469">
        <f t="shared" si="22"/>
        <v>2384.28</v>
      </c>
      <c r="F44" s="469">
        <f t="shared" si="22"/>
        <v>2387.51</v>
      </c>
      <c r="G44" s="470">
        <f t="shared" si="22"/>
        <v>3327.13</v>
      </c>
      <c r="H44" s="469">
        <f t="shared" si="22"/>
        <v>2255.27</v>
      </c>
      <c r="I44" s="469">
        <f t="shared" si="22"/>
        <v>2327.67</v>
      </c>
      <c r="J44" s="469">
        <f t="shared" si="22"/>
        <v>2771.68</v>
      </c>
      <c r="K44" s="158">
        <f t="shared" si="22"/>
        <v>1485.22</v>
      </c>
      <c r="L44" s="158">
        <f t="shared" si="22"/>
        <v>1657.68</v>
      </c>
      <c r="M44" s="158">
        <f t="shared" si="22"/>
        <v>1228.68</v>
      </c>
      <c r="N44" s="158">
        <f t="shared" si="22"/>
        <v>1104.77</v>
      </c>
      <c r="O44" s="158">
        <f t="shared" si="22"/>
        <v>1014.99</v>
      </c>
      <c r="P44" s="469">
        <f t="shared" si="22"/>
        <v>928.34</v>
      </c>
      <c r="Q44" s="18"/>
      <c r="R44" s="18" t="s">
        <v>391</v>
      </c>
      <c r="S44" s="455"/>
      <c r="T44" s="457"/>
      <c r="U44" s="452"/>
      <c r="V44" s="479"/>
      <c r="W44" s="452"/>
      <c r="X44" s="451"/>
      <c r="Y44" s="452"/>
      <c r="Z44" s="452"/>
    </row>
    <row r="45">
      <c r="B45" s="83"/>
      <c r="C45" s="159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18"/>
      <c r="R45" s="462" t="s">
        <v>382</v>
      </c>
      <c r="S45" s="462"/>
      <c r="T45" s="452"/>
      <c r="U45" s="452"/>
      <c r="V45" s="479">
        <f>P48+P56</f>
        <v>928.34</v>
      </c>
      <c r="W45" s="452"/>
      <c r="X45" s="458"/>
      <c r="Y45" s="452"/>
      <c r="Z45" s="452"/>
    </row>
    <row r="46">
      <c r="B46" s="85" t="s">
        <v>163</v>
      </c>
      <c r="C46" s="160"/>
      <c r="D46" s="161" t="s">
        <v>123</v>
      </c>
      <c r="E46" s="161" t="s">
        <v>124</v>
      </c>
      <c r="F46" s="161" t="s">
        <v>125</v>
      </c>
      <c r="G46" s="437" t="s">
        <v>126</v>
      </c>
      <c r="H46" s="161" t="s">
        <v>127</v>
      </c>
      <c r="I46" s="161" t="s">
        <v>128</v>
      </c>
      <c r="J46" s="161" t="s">
        <v>129</v>
      </c>
      <c r="K46" s="161" t="s">
        <v>130</v>
      </c>
      <c r="L46" s="161" t="s">
        <v>131</v>
      </c>
      <c r="M46" s="161" t="s">
        <v>132</v>
      </c>
      <c r="N46" s="161" t="s">
        <v>133</v>
      </c>
      <c r="O46" s="161" t="s">
        <v>134</v>
      </c>
      <c r="P46" s="161" t="s">
        <v>134</v>
      </c>
      <c r="Q46" s="107"/>
      <c r="R46" s="463" t="s">
        <v>26</v>
      </c>
      <c r="S46" s="464">
        <f t="shared" ref="S46:Z46" si="23">SUM(S20:S45)</f>
        <v>4919.8</v>
      </c>
      <c r="T46" s="465">
        <f t="shared" si="23"/>
        <v>2315</v>
      </c>
      <c r="U46" s="465">
        <f t="shared" si="23"/>
        <v>2017.9</v>
      </c>
      <c r="V46" s="465">
        <f t="shared" si="23"/>
        <v>3012.87</v>
      </c>
      <c r="W46" s="465">
        <f t="shared" si="23"/>
        <v>318.45</v>
      </c>
      <c r="X46" s="465">
        <f t="shared" si="23"/>
        <v>1400</v>
      </c>
      <c r="Y46" s="465">
        <f t="shared" si="23"/>
        <v>50</v>
      </c>
      <c r="Z46" s="465">
        <f t="shared" si="23"/>
        <v>400</v>
      </c>
      <c r="AA46" s="27">
        <f>SUM(S46:Z46)</f>
        <v>14434.02</v>
      </c>
    </row>
    <row r="47">
      <c r="B47" s="162"/>
      <c r="C47" s="163"/>
      <c r="D47" s="164"/>
      <c r="E47" s="164"/>
      <c r="F47" s="165"/>
      <c r="G47" s="438"/>
      <c r="H47" s="165"/>
      <c r="I47" s="165"/>
      <c r="J47" s="165"/>
      <c r="K47" s="165"/>
      <c r="L47" s="165"/>
      <c r="M47" s="165"/>
      <c r="N47" s="165"/>
      <c r="O47" s="165"/>
      <c r="P47" s="165"/>
      <c r="Q47" s="107"/>
      <c r="R47" s="107" t="s">
        <v>389</v>
      </c>
      <c r="S47" s="486">
        <f>P12-S46</f>
        <v>3669.17</v>
      </c>
      <c r="T47" s="472">
        <f> 3615.05-T46</f>
        <v>1300.05</v>
      </c>
      <c r="U47" s="287"/>
    </row>
    <row r="48">
      <c r="A48" s="298"/>
      <c r="B48" s="162" t="s">
        <v>58</v>
      </c>
      <c r="C48" s="163"/>
      <c r="D48" s="167">
        <v>962.79</v>
      </c>
      <c r="E48" s="167">
        <v>962.79</v>
      </c>
      <c r="F48" s="167">
        <v>962.79</v>
      </c>
      <c r="G48" s="439">
        <v>962.79</v>
      </c>
      <c r="H48" s="167">
        <v>724.25</v>
      </c>
      <c r="I48" s="167">
        <v>724.25</v>
      </c>
      <c r="J48" s="167">
        <v>724.25</v>
      </c>
      <c r="K48" s="167">
        <v>724.25</v>
      </c>
      <c r="L48" s="167">
        <v>724.25</v>
      </c>
      <c r="M48" s="167">
        <v>724.25</v>
      </c>
      <c r="N48" s="167">
        <v>724.25</v>
      </c>
      <c r="O48" s="167">
        <v>724.25</v>
      </c>
      <c r="P48" s="167">
        <v>724.25</v>
      </c>
      <c r="Q48" s="248"/>
      <c r="R48" s="325" t="s">
        <v>353</v>
      </c>
    </row>
    <row r="49">
      <c r="B49" s="162"/>
      <c r="C49" s="163"/>
      <c r="D49" s="166"/>
      <c r="E49" s="166"/>
      <c r="F49" s="166"/>
      <c r="G49" s="440"/>
      <c r="H49" s="166"/>
      <c r="I49" s="166"/>
      <c r="J49" s="166"/>
      <c r="K49" s="166"/>
      <c r="L49" s="166"/>
      <c r="M49" s="166"/>
      <c r="N49" s="166"/>
      <c r="O49" s="166"/>
      <c r="P49" s="166"/>
      <c r="Q49" s="107"/>
      <c r="R49" s="107"/>
      <c r="V49" s="387"/>
      <c r="X49" s="387"/>
    </row>
    <row r="50">
      <c r="B50" s="168"/>
      <c r="C50" s="169"/>
      <c r="D50" s="170"/>
      <c r="E50" s="170"/>
      <c r="F50" s="170"/>
      <c r="G50" s="441"/>
      <c r="H50" s="170"/>
      <c r="I50" s="166"/>
      <c r="J50" s="170"/>
      <c r="K50" s="170"/>
      <c r="L50" s="170"/>
      <c r="M50" s="170"/>
      <c r="N50" s="170"/>
      <c r="O50" s="170"/>
      <c r="P50" s="170"/>
      <c r="Q50" s="107"/>
      <c r="R50" s="107"/>
    </row>
    <row r="51">
      <c r="B51" s="152" t="s">
        <v>167</v>
      </c>
      <c r="C51" s="171"/>
      <c r="D51" s="172">
        <f t="shared" ref="D51:P51" si="24">SUM(D47:D50)*-1</f>
        <v>-962.79</v>
      </c>
      <c r="E51" s="172">
        <f t="shared" si="24"/>
        <v>-962.79</v>
      </c>
      <c r="F51" s="172">
        <f t="shared" si="24"/>
        <v>-962.79</v>
      </c>
      <c r="G51" s="442">
        <f t="shared" si="24"/>
        <v>-962.79</v>
      </c>
      <c r="H51" s="172">
        <f t="shared" si="24"/>
        <v>-724.25</v>
      </c>
      <c r="I51" s="172">
        <f t="shared" si="24"/>
        <v>-724.25</v>
      </c>
      <c r="J51" s="172">
        <f t="shared" si="24"/>
        <v>-724.25</v>
      </c>
      <c r="K51" s="172">
        <f t="shared" si="24"/>
        <v>-724.25</v>
      </c>
      <c r="L51" s="172">
        <f t="shared" si="24"/>
        <v>-724.25</v>
      </c>
      <c r="M51" s="154">
        <f t="shared" si="24"/>
        <v>-724.25</v>
      </c>
      <c r="N51" s="172">
        <f t="shared" si="24"/>
        <v>-724.25</v>
      </c>
      <c r="O51" s="172">
        <f t="shared" si="24"/>
        <v>-724.25</v>
      </c>
      <c r="P51" s="154">
        <f t="shared" si="24"/>
        <v>-724.25</v>
      </c>
      <c r="Q51" s="18"/>
    </row>
    <row r="52">
      <c r="B52" s="83"/>
      <c r="C52" s="159"/>
      <c r="D52" s="96"/>
      <c r="E52" s="96"/>
      <c r="F52" s="96"/>
      <c r="G52" s="96"/>
      <c r="H52" s="96"/>
      <c r="I52" s="96"/>
      <c r="J52" s="96"/>
      <c r="K52" s="96"/>
      <c r="L52" s="96"/>
      <c r="M52" s="487"/>
      <c r="N52" s="96"/>
      <c r="O52" s="96"/>
      <c r="P52" s="96"/>
      <c r="Q52" s="107"/>
      <c r="R52" s="107"/>
    </row>
    <row r="53">
      <c r="B53" s="173" t="s">
        <v>168</v>
      </c>
      <c r="C53" s="174"/>
      <c r="D53" s="175">
        <f t="shared" ref="D53:P53" si="25">D44+D51</f>
        <v>1127.46</v>
      </c>
      <c r="E53" s="175">
        <f t="shared" si="25"/>
        <v>1421.49</v>
      </c>
      <c r="F53" s="175">
        <f t="shared" si="25"/>
        <v>1424.72</v>
      </c>
      <c r="G53" s="443">
        <f t="shared" si="25"/>
        <v>2364.34</v>
      </c>
      <c r="H53" s="175">
        <f t="shared" si="25"/>
        <v>1531.02</v>
      </c>
      <c r="I53" s="175">
        <f t="shared" si="25"/>
        <v>1603.42</v>
      </c>
      <c r="J53" s="175">
        <f t="shared" si="25"/>
        <v>2047.43</v>
      </c>
      <c r="K53" s="175">
        <f t="shared" si="25"/>
        <v>760.97</v>
      </c>
      <c r="L53" s="175">
        <f t="shared" si="25"/>
        <v>933.43</v>
      </c>
      <c r="M53" s="488">
        <f t="shared" si="25"/>
        <v>504.43</v>
      </c>
      <c r="N53" s="175">
        <f t="shared" si="25"/>
        <v>380.52</v>
      </c>
      <c r="O53" s="488">
        <f t="shared" si="25"/>
        <v>290.74</v>
      </c>
      <c r="P53" s="488">
        <f t="shared" si="25"/>
        <v>204.09</v>
      </c>
      <c r="Q53" s="107"/>
      <c r="R53" s="107"/>
      <c r="S53" s="107"/>
    </row>
    <row r="54">
      <c r="B54" s="83"/>
      <c r="C54" s="159"/>
      <c r="D54" s="96"/>
      <c r="E54" s="96"/>
      <c r="F54" s="96"/>
      <c r="G54" s="96"/>
      <c r="H54" s="96"/>
      <c r="I54" s="96"/>
      <c r="J54" s="96"/>
      <c r="K54" s="96"/>
      <c r="L54" s="96"/>
      <c r="M54" s="487"/>
      <c r="N54" s="96"/>
      <c r="O54" s="96"/>
      <c r="P54" s="107"/>
      <c r="Q54" s="107"/>
      <c r="R54" s="107"/>
      <c r="S54" s="18"/>
    </row>
    <row r="55">
      <c r="B55" s="100" t="s">
        <v>169</v>
      </c>
      <c r="C55" s="176"/>
      <c r="D55" s="177" t="s">
        <v>123</v>
      </c>
      <c r="E55" s="177" t="s">
        <v>124</v>
      </c>
      <c r="F55" s="177" t="s">
        <v>125</v>
      </c>
      <c r="G55" s="444" t="s">
        <v>126</v>
      </c>
      <c r="H55" s="177" t="s">
        <v>127</v>
      </c>
      <c r="I55" s="177" t="s">
        <v>128</v>
      </c>
      <c r="J55" s="177" t="s">
        <v>129</v>
      </c>
      <c r="K55" s="177" t="s">
        <v>130</v>
      </c>
      <c r="L55" s="177" t="s">
        <v>131</v>
      </c>
      <c r="M55" s="177" t="s">
        <v>132</v>
      </c>
      <c r="N55" s="177" t="s">
        <v>133</v>
      </c>
      <c r="O55" s="177" t="s">
        <v>134</v>
      </c>
      <c r="P55" s="57" t="s">
        <v>396</v>
      </c>
      <c r="Q55" s="107"/>
      <c r="R55" s="107"/>
      <c r="S55" s="18"/>
    </row>
    <row r="56">
      <c r="B56" s="152" t="s">
        <v>171</v>
      </c>
      <c r="C56" s="153"/>
      <c r="D56" s="178">
        <f t="shared" ref="D56:P56" si="26">+D53</f>
        <v>1127.46</v>
      </c>
      <c r="E56" s="178">
        <f t="shared" si="26"/>
        <v>1421.49</v>
      </c>
      <c r="F56" s="178">
        <f t="shared" si="26"/>
        <v>1424.72</v>
      </c>
      <c r="G56" s="445">
        <f t="shared" si="26"/>
        <v>2364.34</v>
      </c>
      <c r="H56" s="178">
        <f t="shared" si="26"/>
        <v>1531.02</v>
      </c>
      <c r="I56" s="178">
        <f t="shared" si="26"/>
        <v>1603.42</v>
      </c>
      <c r="J56" s="178">
        <f t="shared" si="26"/>
        <v>2047.43</v>
      </c>
      <c r="K56" s="178">
        <f t="shared" si="26"/>
        <v>760.97</v>
      </c>
      <c r="L56" s="178">
        <f t="shared" si="26"/>
        <v>933.43</v>
      </c>
      <c r="M56" s="171">
        <f t="shared" si="26"/>
        <v>504.43</v>
      </c>
      <c r="N56" s="178">
        <f t="shared" si="26"/>
        <v>380.52</v>
      </c>
      <c r="O56" s="171">
        <f t="shared" si="26"/>
        <v>290.74</v>
      </c>
      <c r="P56" s="495">
        <f t="shared" si="26"/>
        <v>204.09</v>
      </c>
      <c r="Q56" s="27"/>
      <c r="R56" s="27"/>
    </row>
    <row r="57">
      <c r="D57" s="362"/>
      <c r="E57" s="362"/>
      <c r="F57" s="27"/>
      <c r="G57" s="27"/>
      <c r="H57" s="27"/>
      <c r="J57" s="27"/>
      <c r="L57" s="27"/>
      <c r="O57" s="27"/>
      <c r="P57" s="27"/>
      <c r="Q57" s="27"/>
      <c r="R57" s="27"/>
    </row>
    <row r="58">
      <c r="F58" s="27"/>
      <c r="G58" s="27"/>
      <c r="H58" s="27"/>
      <c r="J58" s="27"/>
      <c r="L58" s="27"/>
      <c r="O58" s="27"/>
      <c r="P58" s="27"/>
      <c r="Q58" s="27"/>
      <c r="R58" s="27"/>
    </row>
    <row r="59">
      <c r="F59" s="27"/>
      <c r="G59" s="27"/>
      <c r="H59" s="27"/>
      <c r="J59" s="27"/>
      <c r="L59" s="27"/>
      <c r="O59" s="27"/>
      <c r="P59" s="27"/>
      <c r="Q59" s="27"/>
      <c r="R59" s="27"/>
    </row>
    <row r="60">
      <c r="F60" s="27"/>
      <c r="G60" s="27"/>
      <c r="H60" s="27"/>
      <c r="J60" s="27"/>
      <c r="L60" s="27"/>
      <c r="O60" s="27"/>
      <c r="P60" s="27"/>
      <c r="Q60" s="27"/>
      <c r="R60" s="27"/>
    </row>
    <row r="61">
      <c r="F61" s="27"/>
      <c r="G61" s="27"/>
      <c r="H61" s="27"/>
      <c r="J61" s="27"/>
      <c r="L61" s="27"/>
      <c r="O61" s="27"/>
      <c r="P61" s="27"/>
      <c r="Q61" s="27"/>
      <c r="R61" s="27"/>
    </row>
    <row r="62">
      <c r="F62" s="27"/>
      <c r="G62" s="27"/>
      <c r="H62" s="27"/>
      <c r="J62" s="27"/>
      <c r="L62" s="27"/>
      <c r="N62" s="27"/>
      <c r="O62" s="27"/>
      <c r="P62" s="27"/>
      <c r="Q62" s="27"/>
      <c r="R62" s="27"/>
    </row>
    <row r="63">
      <c r="F63" s="27"/>
      <c r="G63" s="27"/>
      <c r="H63" s="27"/>
      <c r="J63" s="27"/>
      <c r="L63" s="27"/>
      <c r="N63" s="27"/>
      <c r="O63" s="27"/>
      <c r="P63" s="27"/>
      <c r="Q63" s="27"/>
      <c r="R63" s="27"/>
    </row>
    <row r="64">
      <c r="F64" s="27"/>
      <c r="G64" s="27"/>
      <c r="H64" s="27"/>
      <c r="J64" s="27"/>
      <c r="L64" s="27"/>
      <c r="N64" s="27"/>
      <c r="O64" s="27"/>
      <c r="P64" s="27"/>
      <c r="Q64" s="27"/>
      <c r="R64" s="27"/>
    </row>
    <row r="65">
      <c r="F65" s="27"/>
      <c r="G65" s="27"/>
      <c r="H65" s="27"/>
      <c r="J65" s="27"/>
      <c r="L65" s="27"/>
      <c r="N65" s="27"/>
      <c r="O65" s="27"/>
      <c r="P65" s="27"/>
      <c r="Q65" s="27"/>
      <c r="R65" s="27"/>
    </row>
    <row r="66">
      <c r="F66" s="27"/>
      <c r="G66" s="27"/>
      <c r="H66" s="27"/>
      <c r="J66" s="27"/>
      <c r="L66" s="27"/>
      <c r="N66" s="27"/>
      <c r="O66" s="27"/>
      <c r="P66" s="27"/>
      <c r="Q66" s="27"/>
      <c r="R66" s="27"/>
    </row>
    <row r="67">
      <c r="F67" s="27"/>
      <c r="G67" s="27"/>
      <c r="H67" s="27"/>
      <c r="J67" s="27"/>
      <c r="L67" s="27"/>
      <c r="N67" s="27"/>
      <c r="O67" s="27"/>
      <c r="P67" s="27"/>
      <c r="Q67" s="27"/>
      <c r="R67" s="27"/>
    </row>
    <row r="68">
      <c r="F68" s="27"/>
      <c r="G68" s="27"/>
      <c r="H68" s="27"/>
      <c r="J68" s="27"/>
      <c r="L68" s="27"/>
      <c r="M68" s="27"/>
      <c r="N68" s="27"/>
      <c r="O68" s="27"/>
      <c r="P68" s="27"/>
      <c r="Q68" s="27"/>
      <c r="R68" s="27"/>
    </row>
    <row r="69">
      <c r="F69" s="27"/>
      <c r="G69" s="27"/>
      <c r="H69" s="27"/>
      <c r="J69" s="27"/>
      <c r="L69" s="27"/>
      <c r="M69" s="27"/>
      <c r="N69" s="27"/>
      <c r="O69" s="27"/>
      <c r="P69" s="27"/>
      <c r="Q69" s="27"/>
      <c r="R69" s="27"/>
    </row>
    <row r="70">
      <c r="F70" s="27"/>
      <c r="G70" s="27"/>
      <c r="H70" s="27"/>
      <c r="J70" s="27"/>
      <c r="L70" s="27"/>
      <c r="M70" s="27"/>
      <c r="N70" s="27"/>
      <c r="O70" s="27"/>
      <c r="P70" s="27"/>
      <c r="Q70" s="27"/>
      <c r="R70" s="27"/>
    </row>
    <row r="71">
      <c r="F71" s="27"/>
      <c r="G71" s="27"/>
      <c r="H71" s="27"/>
      <c r="J71" s="27"/>
      <c r="L71" s="27"/>
      <c r="M71" s="27"/>
      <c r="N71" s="27"/>
      <c r="O71" s="27"/>
      <c r="P71" s="27"/>
      <c r="Q71" s="27"/>
      <c r="R71" s="27"/>
    </row>
    <row r="72">
      <c r="F72" s="27"/>
      <c r="G72" s="27"/>
      <c r="H72" s="27"/>
      <c r="J72" s="27"/>
      <c r="L72" s="27"/>
      <c r="M72" s="27"/>
      <c r="N72" s="27"/>
      <c r="O72" s="27"/>
      <c r="P72" s="27"/>
      <c r="Q72" s="27"/>
      <c r="R72" s="27"/>
    </row>
    <row r="73">
      <c r="F73" s="27"/>
      <c r="G73" s="27"/>
      <c r="H73" s="27"/>
      <c r="J73" s="27"/>
      <c r="L73" s="27"/>
      <c r="M73" s="27"/>
      <c r="N73" s="27"/>
      <c r="O73" s="27"/>
      <c r="P73" s="27"/>
      <c r="Q73" s="27"/>
      <c r="R73" s="27"/>
    </row>
    <row r="74">
      <c r="F74" s="27"/>
      <c r="G74" s="27"/>
      <c r="H74" s="27"/>
      <c r="J74" s="27"/>
      <c r="L74" s="27"/>
      <c r="M74" s="27"/>
      <c r="N74" s="27"/>
      <c r="O74" s="27"/>
      <c r="P74" s="27"/>
      <c r="Q74" s="27"/>
      <c r="R74" s="27"/>
    </row>
    <row r="75">
      <c r="F75" s="27"/>
      <c r="G75" s="27"/>
      <c r="H75" s="27"/>
      <c r="J75" s="27"/>
      <c r="L75" s="27"/>
      <c r="M75" s="27"/>
      <c r="N75" s="27"/>
      <c r="O75" s="27"/>
      <c r="P75" s="27"/>
      <c r="Q75" s="27"/>
      <c r="R75" s="27"/>
    </row>
    <row r="76">
      <c r="F76" s="27"/>
      <c r="G76" s="27"/>
      <c r="H76" s="27"/>
      <c r="J76" s="27"/>
      <c r="L76" s="27"/>
      <c r="M76" s="27"/>
      <c r="N76" s="27"/>
      <c r="O76" s="27"/>
      <c r="P76" s="27"/>
      <c r="Q76" s="27"/>
      <c r="R76" s="27"/>
    </row>
    <row r="77">
      <c r="F77" s="27"/>
      <c r="G77" s="27"/>
      <c r="H77" s="27"/>
      <c r="J77" s="27"/>
      <c r="L77" s="27"/>
      <c r="M77" s="27"/>
      <c r="N77" s="27"/>
      <c r="O77" s="27"/>
      <c r="P77" s="27"/>
      <c r="Q77" s="27"/>
      <c r="R77" s="27"/>
    </row>
    <row r="78">
      <c r="F78" s="27"/>
      <c r="G78" s="27"/>
      <c r="H78" s="27"/>
      <c r="J78" s="27"/>
      <c r="L78" s="27"/>
      <c r="M78" s="27"/>
      <c r="N78" s="27"/>
      <c r="O78" s="27"/>
      <c r="P78" s="27"/>
      <c r="Q78" s="27"/>
      <c r="R78" s="27"/>
    </row>
    <row r="79">
      <c r="F79" s="27"/>
      <c r="G79" s="27"/>
      <c r="H79" s="27"/>
      <c r="J79" s="27"/>
      <c r="L79" s="27"/>
      <c r="M79" s="27"/>
      <c r="N79" s="27"/>
      <c r="O79" s="27"/>
      <c r="P79" s="27"/>
      <c r="Q79" s="27"/>
      <c r="R79" s="27"/>
    </row>
    <row r="80">
      <c r="F80" s="27"/>
      <c r="G80" s="27"/>
      <c r="H80" s="27"/>
      <c r="J80" s="27"/>
      <c r="L80" s="27"/>
      <c r="M80" s="27"/>
      <c r="N80" s="27"/>
      <c r="O80" s="27"/>
      <c r="P80" s="27"/>
      <c r="Q80" s="27"/>
      <c r="R80" s="27"/>
    </row>
    <row r="81">
      <c r="F81" s="27"/>
      <c r="G81" s="27"/>
      <c r="H81" s="27"/>
      <c r="J81" s="27"/>
      <c r="L81" s="27"/>
      <c r="M81" s="27"/>
      <c r="N81" s="27"/>
      <c r="O81" s="27"/>
      <c r="P81" s="27"/>
      <c r="Q81" s="27"/>
      <c r="R81" s="27"/>
    </row>
    <row r="82">
      <c r="F82" s="27"/>
      <c r="G82" s="27"/>
      <c r="H82" s="27"/>
      <c r="J82" s="27"/>
      <c r="L82" s="27"/>
      <c r="M82" s="27"/>
      <c r="N82" s="27"/>
      <c r="O82" s="27"/>
      <c r="P82" s="27"/>
      <c r="Q82" s="27"/>
      <c r="R82" s="27"/>
    </row>
    <row r="83">
      <c r="F83" s="27"/>
      <c r="G83" s="27"/>
      <c r="H83" s="27"/>
      <c r="J83" s="27"/>
      <c r="L83" s="27"/>
      <c r="M83" s="27"/>
      <c r="N83" s="27"/>
      <c r="O83" s="27"/>
      <c r="P83" s="27"/>
      <c r="Q83" s="27"/>
      <c r="R83" s="27"/>
    </row>
    <row r="84">
      <c r="F84" s="27"/>
      <c r="G84" s="27"/>
      <c r="H84" s="27"/>
      <c r="J84" s="27"/>
      <c r="L84" s="27"/>
      <c r="M84" s="27"/>
      <c r="N84" s="27"/>
      <c r="O84" s="27"/>
      <c r="P84" s="27"/>
      <c r="Q84" s="27"/>
      <c r="R84" s="27"/>
    </row>
    <row r="85">
      <c r="F85" s="27"/>
      <c r="G85" s="27"/>
      <c r="H85" s="27"/>
      <c r="J85" s="27"/>
      <c r="L85" s="27"/>
      <c r="M85" s="27"/>
      <c r="N85" s="27"/>
      <c r="O85" s="27"/>
      <c r="P85" s="27"/>
      <c r="Q85" s="27"/>
      <c r="R85" s="27"/>
    </row>
    <row r="86">
      <c r="F86" s="27"/>
      <c r="G86" s="27"/>
      <c r="H86" s="27"/>
      <c r="J86" s="27"/>
      <c r="L86" s="27"/>
      <c r="M86" s="27"/>
      <c r="N86" s="27"/>
      <c r="O86" s="27"/>
      <c r="P86" s="27"/>
      <c r="Q86" s="27"/>
      <c r="R86" s="27"/>
    </row>
    <row r="87">
      <c r="F87" s="27"/>
      <c r="G87" s="27"/>
      <c r="H87" s="27"/>
      <c r="J87" s="27"/>
      <c r="L87" s="27"/>
      <c r="M87" s="27"/>
      <c r="N87" s="27"/>
      <c r="O87" s="27"/>
      <c r="P87" s="27"/>
      <c r="Q87" s="27"/>
      <c r="R87" s="27"/>
    </row>
    <row r="88">
      <c r="F88" s="27"/>
      <c r="G88" s="27"/>
      <c r="H88" s="27"/>
      <c r="J88" s="27"/>
      <c r="L88" s="27"/>
      <c r="M88" s="27"/>
      <c r="N88" s="27"/>
      <c r="O88" s="27"/>
      <c r="P88" s="27"/>
      <c r="Q88" s="27"/>
      <c r="R88" s="27"/>
    </row>
    <row r="89">
      <c r="F89" s="27"/>
      <c r="G89" s="27"/>
      <c r="H89" s="27"/>
      <c r="J89" s="27"/>
      <c r="L89" s="27"/>
      <c r="M89" s="27"/>
      <c r="N89" s="27"/>
      <c r="O89" s="27"/>
      <c r="P89" s="27"/>
      <c r="Q89" s="27"/>
      <c r="R89" s="27"/>
    </row>
    <row r="90">
      <c r="F90" s="27"/>
      <c r="G90" s="27"/>
      <c r="H90" s="27"/>
      <c r="J90" s="27"/>
      <c r="L90" s="27"/>
      <c r="M90" s="27"/>
      <c r="N90" s="27"/>
      <c r="O90" s="27"/>
      <c r="P90" s="27"/>
      <c r="Q90" s="27"/>
      <c r="R90" s="27"/>
    </row>
    <row r="91">
      <c r="F91" s="27"/>
      <c r="G91" s="27"/>
      <c r="H91" s="27"/>
      <c r="J91" s="27"/>
      <c r="L91" s="27"/>
      <c r="M91" s="27"/>
      <c r="N91" s="27"/>
      <c r="O91" s="27"/>
      <c r="P91" s="27"/>
      <c r="Q91" s="27"/>
      <c r="R91" s="27"/>
    </row>
    <row r="92">
      <c r="F92" s="27"/>
      <c r="G92" s="27"/>
      <c r="H92" s="27"/>
      <c r="J92" s="27"/>
      <c r="L92" s="27"/>
      <c r="M92" s="27"/>
      <c r="N92" s="27"/>
      <c r="O92" s="27"/>
      <c r="P92" s="27"/>
      <c r="Q92" s="27"/>
      <c r="R92" s="27"/>
    </row>
    <row r="93">
      <c r="F93" s="27"/>
      <c r="G93" s="27"/>
      <c r="H93" s="27"/>
      <c r="J93" s="27"/>
      <c r="L93" s="27"/>
      <c r="M93" s="27"/>
      <c r="N93" s="27"/>
      <c r="O93" s="27"/>
      <c r="P93" s="27"/>
      <c r="Q93" s="27"/>
      <c r="R93" s="27"/>
    </row>
    <row r="94">
      <c r="F94" s="27"/>
      <c r="G94" s="27"/>
      <c r="H94" s="27"/>
      <c r="J94" s="27"/>
      <c r="L94" s="27"/>
      <c r="M94" s="27"/>
      <c r="N94" s="27"/>
      <c r="O94" s="27"/>
      <c r="P94" s="27"/>
      <c r="Q94" s="27"/>
      <c r="R94" s="27"/>
    </row>
    <row r="95">
      <c r="F95" s="27"/>
      <c r="G95" s="27"/>
      <c r="H95" s="27"/>
      <c r="J95" s="27"/>
      <c r="L95" s="27"/>
      <c r="M95" s="27"/>
      <c r="N95" s="27"/>
      <c r="O95" s="27"/>
      <c r="P95" s="27"/>
      <c r="Q95" s="27"/>
      <c r="R95" s="27"/>
    </row>
    <row r="96">
      <c r="F96" s="27"/>
      <c r="G96" s="27"/>
      <c r="H96" s="27"/>
      <c r="J96" s="27"/>
      <c r="L96" s="27"/>
      <c r="M96" s="27"/>
      <c r="N96" s="27"/>
      <c r="O96" s="27"/>
      <c r="P96" s="27"/>
      <c r="Q96" s="27"/>
      <c r="R96" s="27"/>
    </row>
    <row r="97">
      <c r="F97" s="27"/>
      <c r="G97" s="27"/>
      <c r="H97" s="27"/>
      <c r="J97" s="27"/>
      <c r="L97" s="27"/>
      <c r="M97" s="27"/>
      <c r="N97" s="27"/>
      <c r="O97" s="27"/>
      <c r="P97" s="27"/>
      <c r="Q97" s="27"/>
      <c r="R97" s="27"/>
    </row>
    <row r="98">
      <c r="F98" s="27"/>
      <c r="G98" s="27"/>
      <c r="H98" s="27"/>
      <c r="J98" s="27"/>
      <c r="L98" s="27"/>
      <c r="M98" s="27"/>
      <c r="N98" s="27"/>
      <c r="O98" s="27"/>
      <c r="P98" s="27"/>
      <c r="Q98" s="27"/>
      <c r="R98" s="27"/>
    </row>
    <row r="99">
      <c r="F99" s="27"/>
      <c r="G99" s="27"/>
      <c r="H99" s="27"/>
      <c r="J99" s="27"/>
      <c r="L99" s="27"/>
      <c r="M99" s="27"/>
      <c r="N99" s="27"/>
      <c r="O99" s="27"/>
      <c r="P99" s="27"/>
      <c r="Q99" s="27"/>
      <c r="R99" s="27"/>
    </row>
    <row r="100">
      <c r="F100" s="27"/>
      <c r="G100" s="27"/>
      <c r="H100" s="27"/>
      <c r="J100" s="27"/>
      <c r="L100" s="27"/>
      <c r="M100" s="27"/>
      <c r="N100" s="27"/>
      <c r="O100" s="27"/>
      <c r="P100" s="27"/>
      <c r="Q100" s="27"/>
      <c r="R100" s="27"/>
    </row>
    <row r="101">
      <c r="F101" s="27"/>
      <c r="G101" s="27"/>
      <c r="H101" s="27"/>
      <c r="J101" s="27"/>
      <c r="L101" s="27"/>
      <c r="M101" s="27"/>
      <c r="N101" s="27"/>
      <c r="O101" s="27"/>
      <c r="P101" s="27"/>
      <c r="Q101" s="27"/>
      <c r="R101" s="27"/>
    </row>
    <row r="102">
      <c r="F102" s="27"/>
      <c r="G102" s="27"/>
      <c r="H102" s="27"/>
      <c r="J102" s="27"/>
      <c r="L102" s="27"/>
      <c r="M102" s="27"/>
      <c r="N102" s="27"/>
      <c r="O102" s="27"/>
      <c r="P102" s="27"/>
      <c r="Q102" s="27"/>
      <c r="R102" s="27"/>
    </row>
    <row r="103">
      <c r="F103" s="27"/>
      <c r="G103" s="27"/>
      <c r="H103" s="27"/>
      <c r="J103" s="27"/>
      <c r="L103" s="27"/>
      <c r="M103" s="27"/>
      <c r="N103" s="27"/>
      <c r="O103" s="27"/>
      <c r="P103" s="27"/>
      <c r="Q103" s="27"/>
      <c r="R103" s="27"/>
    </row>
    <row r="104">
      <c r="F104" s="27"/>
      <c r="G104" s="27"/>
      <c r="H104" s="27"/>
      <c r="J104" s="27"/>
      <c r="L104" s="27"/>
      <c r="M104" s="27"/>
      <c r="N104" s="27"/>
      <c r="O104" s="27"/>
      <c r="P104" s="27"/>
      <c r="Q104" s="27"/>
      <c r="R104" s="27"/>
    </row>
    <row r="105">
      <c r="F105" s="27"/>
      <c r="G105" s="27"/>
      <c r="H105" s="27"/>
      <c r="J105" s="27"/>
      <c r="L105" s="27"/>
      <c r="M105" s="27"/>
      <c r="N105" s="27"/>
      <c r="O105" s="27"/>
      <c r="P105" s="27"/>
      <c r="Q105" s="27"/>
      <c r="R105" s="27"/>
    </row>
    <row r="106">
      <c r="F106" s="27"/>
      <c r="G106" s="27"/>
      <c r="H106" s="27"/>
      <c r="J106" s="27"/>
      <c r="L106" s="27"/>
      <c r="M106" s="27"/>
      <c r="N106" s="27"/>
      <c r="O106" s="27"/>
      <c r="P106" s="27"/>
      <c r="Q106" s="27"/>
      <c r="R106" s="27"/>
    </row>
    <row r="107">
      <c r="F107" s="27"/>
      <c r="G107" s="27"/>
      <c r="H107" s="27"/>
      <c r="J107" s="27"/>
      <c r="L107" s="27"/>
      <c r="M107" s="27"/>
      <c r="N107" s="27"/>
      <c r="O107" s="27"/>
      <c r="P107" s="27"/>
      <c r="Q107" s="27"/>
      <c r="R107" s="27"/>
    </row>
    <row r="108">
      <c r="F108" s="27"/>
      <c r="G108" s="27"/>
      <c r="H108" s="27"/>
      <c r="J108" s="27"/>
      <c r="L108" s="27"/>
      <c r="M108" s="27"/>
      <c r="N108" s="27"/>
      <c r="O108" s="27"/>
      <c r="P108" s="27"/>
      <c r="Q108" s="27"/>
      <c r="R108" s="27"/>
    </row>
    <row r="109">
      <c r="F109" s="27"/>
      <c r="G109" s="27"/>
      <c r="H109" s="27"/>
      <c r="J109" s="27"/>
      <c r="L109" s="27"/>
      <c r="M109" s="27"/>
      <c r="N109" s="27"/>
      <c r="O109" s="27"/>
      <c r="P109" s="27"/>
      <c r="Q109" s="27"/>
      <c r="R109" s="27"/>
    </row>
    <row r="110">
      <c r="F110" s="27"/>
      <c r="G110" s="27"/>
      <c r="H110" s="27"/>
      <c r="J110" s="27"/>
      <c r="L110" s="27"/>
      <c r="M110" s="27"/>
      <c r="N110" s="27"/>
      <c r="O110" s="27"/>
      <c r="P110" s="27"/>
      <c r="Q110" s="27"/>
      <c r="R110" s="27"/>
    </row>
    <row r="111">
      <c r="F111" s="27"/>
      <c r="G111" s="27"/>
      <c r="H111" s="27"/>
      <c r="J111" s="27"/>
      <c r="L111" s="27"/>
      <c r="M111" s="27"/>
      <c r="N111" s="27"/>
      <c r="O111" s="27"/>
      <c r="P111" s="27"/>
      <c r="Q111" s="27"/>
      <c r="R111" s="27"/>
    </row>
    <row r="112">
      <c r="F112" s="27"/>
      <c r="G112" s="27"/>
      <c r="H112" s="27"/>
      <c r="J112" s="27"/>
      <c r="L112" s="27"/>
      <c r="M112" s="27"/>
      <c r="N112" s="27"/>
      <c r="O112" s="27"/>
      <c r="P112" s="27"/>
      <c r="Q112" s="27"/>
      <c r="R112" s="27"/>
    </row>
    <row r="113">
      <c r="F113" s="27"/>
      <c r="G113" s="27"/>
      <c r="H113" s="27"/>
      <c r="J113" s="27"/>
      <c r="L113" s="27"/>
      <c r="M113" s="27"/>
      <c r="N113" s="27"/>
      <c r="O113" s="27"/>
      <c r="P113" s="27"/>
      <c r="Q113" s="27"/>
      <c r="R113" s="27"/>
    </row>
    <row r="114">
      <c r="F114" s="27"/>
      <c r="G114" s="27"/>
      <c r="H114" s="27"/>
      <c r="J114" s="27"/>
      <c r="L114" s="27"/>
      <c r="M114" s="27"/>
      <c r="N114" s="27"/>
      <c r="O114" s="27"/>
      <c r="P114" s="27"/>
      <c r="Q114" s="27"/>
      <c r="R114" s="27"/>
    </row>
    <row r="115">
      <c r="F115" s="27"/>
      <c r="G115" s="27"/>
      <c r="H115" s="27"/>
      <c r="J115" s="27"/>
      <c r="L115" s="27"/>
      <c r="M115" s="27"/>
      <c r="N115" s="27"/>
      <c r="O115" s="27"/>
      <c r="P115" s="27"/>
      <c r="Q115" s="27"/>
      <c r="R115" s="27"/>
    </row>
    <row r="116">
      <c r="F116" s="27"/>
      <c r="G116" s="27"/>
      <c r="H116" s="27"/>
      <c r="J116" s="27"/>
      <c r="L116" s="27"/>
      <c r="M116" s="27"/>
      <c r="N116" s="27"/>
      <c r="O116" s="27"/>
      <c r="P116" s="27"/>
      <c r="Q116" s="27"/>
      <c r="R116" s="27"/>
    </row>
    <row r="117">
      <c r="F117" s="27"/>
      <c r="G117" s="27"/>
      <c r="H117" s="27"/>
      <c r="J117" s="27"/>
      <c r="L117" s="27"/>
      <c r="M117" s="27"/>
      <c r="N117" s="27"/>
      <c r="O117" s="27"/>
      <c r="P117" s="27"/>
      <c r="Q117" s="27"/>
      <c r="R117" s="27"/>
    </row>
    <row r="118">
      <c r="F118" s="27"/>
      <c r="G118" s="27"/>
      <c r="H118" s="27"/>
      <c r="J118" s="27"/>
      <c r="L118" s="27"/>
      <c r="M118" s="27"/>
      <c r="N118" s="27"/>
      <c r="O118" s="27"/>
      <c r="P118" s="27"/>
      <c r="Q118" s="27"/>
      <c r="R118" s="27"/>
    </row>
    <row r="119">
      <c r="F119" s="27"/>
      <c r="G119" s="27"/>
      <c r="H119" s="27"/>
      <c r="J119" s="27"/>
      <c r="L119" s="27"/>
      <c r="M119" s="27"/>
      <c r="N119" s="27"/>
      <c r="O119" s="27"/>
      <c r="P119" s="27"/>
      <c r="Q119" s="27"/>
      <c r="R119" s="27"/>
    </row>
    <row r="120">
      <c r="F120" s="27"/>
      <c r="G120" s="27"/>
      <c r="H120" s="27"/>
      <c r="J120" s="27"/>
      <c r="L120" s="27"/>
      <c r="M120" s="27"/>
      <c r="N120" s="27"/>
      <c r="O120" s="27"/>
      <c r="P120" s="27"/>
      <c r="Q120" s="27"/>
      <c r="R120" s="27"/>
    </row>
    <row r="121">
      <c r="F121" s="27"/>
      <c r="G121" s="27"/>
      <c r="H121" s="27"/>
      <c r="J121" s="27"/>
      <c r="L121" s="27"/>
      <c r="M121" s="27"/>
      <c r="N121" s="27"/>
      <c r="O121" s="27"/>
      <c r="P121" s="27"/>
      <c r="Q121" s="27"/>
      <c r="R121" s="27"/>
    </row>
    <row r="122">
      <c r="F122" s="27"/>
      <c r="G122" s="27"/>
      <c r="H122" s="27"/>
      <c r="J122" s="27"/>
      <c r="L122" s="27"/>
      <c r="M122" s="27"/>
      <c r="N122" s="27"/>
      <c r="O122" s="27"/>
      <c r="P122" s="27"/>
      <c r="Q122" s="27"/>
      <c r="R122" s="27"/>
    </row>
    <row r="123">
      <c r="F123" s="27"/>
      <c r="G123" s="27"/>
      <c r="H123" s="27"/>
      <c r="J123" s="27"/>
      <c r="L123" s="27"/>
      <c r="M123" s="27"/>
      <c r="N123" s="27"/>
      <c r="O123" s="27"/>
      <c r="P123" s="27"/>
      <c r="Q123" s="27"/>
      <c r="R123" s="27"/>
    </row>
    <row r="124">
      <c r="F124" s="27"/>
      <c r="G124" s="27"/>
      <c r="H124" s="27"/>
      <c r="J124" s="27"/>
      <c r="L124" s="27"/>
      <c r="M124" s="27"/>
      <c r="N124" s="27"/>
      <c r="O124" s="27"/>
      <c r="P124" s="27"/>
      <c r="Q124" s="27"/>
      <c r="R124" s="27"/>
    </row>
    <row r="125">
      <c r="F125" s="27"/>
      <c r="G125" s="27"/>
      <c r="H125" s="27"/>
      <c r="J125" s="27"/>
      <c r="L125" s="27"/>
      <c r="M125" s="27"/>
      <c r="N125" s="27"/>
      <c r="O125" s="27"/>
      <c r="P125" s="27"/>
      <c r="Q125" s="27"/>
      <c r="R125" s="27"/>
    </row>
    <row r="126">
      <c r="F126" s="27"/>
      <c r="G126" s="27"/>
      <c r="H126" s="27"/>
      <c r="J126" s="27"/>
      <c r="L126" s="27"/>
      <c r="M126" s="27"/>
      <c r="N126" s="27"/>
      <c r="O126" s="27"/>
      <c r="P126" s="27"/>
      <c r="Q126" s="27"/>
      <c r="R126" s="27"/>
    </row>
    <row r="127">
      <c r="F127" s="27"/>
      <c r="G127" s="27"/>
      <c r="H127" s="27"/>
      <c r="J127" s="27"/>
      <c r="L127" s="27"/>
      <c r="M127" s="27"/>
      <c r="N127" s="27"/>
      <c r="O127" s="27"/>
      <c r="P127" s="27"/>
      <c r="Q127" s="27"/>
      <c r="R127" s="27"/>
    </row>
    <row r="128">
      <c r="F128" s="27"/>
      <c r="G128" s="27"/>
      <c r="H128" s="27"/>
      <c r="J128" s="27"/>
      <c r="L128" s="27"/>
      <c r="M128" s="27"/>
      <c r="N128" s="27"/>
      <c r="O128" s="27"/>
      <c r="P128" s="27"/>
      <c r="Q128" s="27"/>
      <c r="R128" s="27"/>
    </row>
    <row r="129">
      <c r="F129" s="27"/>
      <c r="G129" s="27"/>
      <c r="H129" s="27"/>
      <c r="J129" s="27"/>
      <c r="L129" s="27"/>
      <c r="M129" s="27"/>
      <c r="N129" s="27"/>
      <c r="O129" s="27"/>
      <c r="P129" s="27"/>
      <c r="Q129" s="27"/>
      <c r="R129" s="27"/>
    </row>
    <row r="130">
      <c r="F130" s="27"/>
      <c r="G130" s="27"/>
      <c r="H130" s="27"/>
      <c r="J130" s="27"/>
      <c r="L130" s="27"/>
      <c r="M130" s="27"/>
      <c r="N130" s="27"/>
      <c r="O130" s="27"/>
      <c r="P130" s="27"/>
      <c r="Q130" s="27"/>
      <c r="R130" s="27"/>
    </row>
    <row r="131">
      <c r="F131" s="27"/>
      <c r="G131" s="27"/>
      <c r="H131" s="27"/>
      <c r="J131" s="27"/>
      <c r="L131" s="27"/>
      <c r="M131" s="27"/>
      <c r="N131" s="27"/>
      <c r="O131" s="27"/>
      <c r="P131" s="27"/>
      <c r="Q131" s="27"/>
      <c r="R131" s="27"/>
    </row>
    <row r="132">
      <c r="F132" s="27"/>
      <c r="G132" s="27"/>
      <c r="H132" s="27"/>
      <c r="J132" s="27"/>
      <c r="L132" s="27"/>
      <c r="M132" s="27"/>
      <c r="N132" s="27"/>
      <c r="O132" s="27"/>
      <c r="P132" s="27"/>
      <c r="Q132" s="27"/>
      <c r="R132" s="27"/>
    </row>
    <row r="133">
      <c r="F133" s="27"/>
      <c r="G133" s="27"/>
      <c r="H133" s="27"/>
      <c r="J133" s="27"/>
      <c r="L133" s="27"/>
      <c r="M133" s="27"/>
      <c r="N133" s="27"/>
      <c r="O133" s="27"/>
      <c r="P133" s="27"/>
      <c r="Q133" s="27"/>
      <c r="R133" s="27"/>
    </row>
    <row r="134">
      <c r="F134" s="27"/>
      <c r="G134" s="27"/>
      <c r="H134" s="27"/>
      <c r="J134" s="27"/>
      <c r="L134" s="27"/>
      <c r="M134" s="27"/>
      <c r="N134" s="27"/>
      <c r="O134" s="27"/>
      <c r="P134" s="27"/>
      <c r="Q134" s="27"/>
      <c r="R134" s="27"/>
    </row>
    <row r="135">
      <c r="F135" s="27"/>
      <c r="G135" s="27"/>
      <c r="H135" s="27"/>
      <c r="J135" s="27"/>
      <c r="L135" s="27"/>
      <c r="M135" s="27"/>
      <c r="N135" s="27"/>
      <c r="O135" s="27"/>
      <c r="P135" s="27"/>
      <c r="Q135" s="27"/>
      <c r="R135" s="27"/>
    </row>
    <row r="136">
      <c r="F136" s="27"/>
      <c r="G136" s="27"/>
      <c r="H136" s="27"/>
      <c r="J136" s="27"/>
      <c r="L136" s="27"/>
      <c r="M136" s="27"/>
      <c r="N136" s="27"/>
      <c r="O136" s="27"/>
      <c r="P136" s="27"/>
      <c r="Q136" s="27"/>
      <c r="R136" s="27"/>
    </row>
    <row r="137">
      <c r="F137" s="27"/>
      <c r="G137" s="27"/>
      <c r="H137" s="27"/>
      <c r="J137" s="27"/>
      <c r="L137" s="27"/>
      <c r="M137" s="27"/>
      <c r="N137" s="27"/>
      <c r="O137" s="27"/>
      <c r="P137" s="27"/>
      <c r="Q137" s="27"/>
      <c r="R137" s="27"/>
    </row>
    <row r="138">
      <c r="F138" s="27"/>
      <c r="G138" s="27"/>
      <c r="H138" s="27"/>
      <c r="J138" s="27"/>
      <c r="L138" s="27"/>
      <c r="M138" s="27"/>
      <c r="N138" s="27"/>
      <c r="O138" s="27"/>
      <c r="P138" s="27"/>
      <c r="Q138" s="27"/>
      <c r="R138" s="27"/>
    </row>
    <row r="139">
      <c r="F139" s="27"/>
      <c r="G139" s="27"/>
      <c r="H139" s="27"/>
      <c r="J139" s="27"/>
      <c r="L139" s="27"/>
      <c r="M139" s="27"/>
      <c r="N139" s="27"/>
      <c r="O139" s="27"/>
      <c r="P139" s="27"/>
      <c r="Q139" s="27"/>
      <c r="R139" s="27"/>
    </row>
    <row r="140">
      <c r="F140" s="27"/>
      <c r="G140" s="27"/>
      <c r="H140" s="27"/>
      <c r="J140" s="27"/>
      <c r="L140" s="27"/>
      <c r="M140" s="27"/>
      <c r="N140" s="27"/>
      <c r="O140" s="27"/>
      <c r="P140" s="27"/>
      <c r="Q140" s="27"/>
      <c r="R140" s="27"/>
    </row>
    <row r="141">
      <c r="F141" s="27"/>
      <c r="G141" s="27"/>
      <c r="H141" s="27"/>
      <c r="J141" s="27"/>
      <c r="L141" s="27"/>
      <c r="M141" s="27"/>
      <c r="N141" s="27"/>
      <c r="O141" s="27"/>
      <c r="P141" s="27"/>
      <c r="Q141" s="27"/>
      <c r="R141" s="27"/>
    </row>
    <row r="142">
      <c r="F142" s="27"/>
      <c r="G142" s="27"/>
      <c r="H142" s="27"/>
      <c r="J142" s="27"/>
      <c r="L142" s="27"/>
      <c r="M142" s="27"/>
      <c r="N142" s="27"/>
      <c r="O142" s="27"/>
      <c r="P142" s="27"/>
      <c r="Q142" s="27"/>
      <c r="R142" s="27"/>
    </row>
    <row r="143">
      <c r="F143" s="27"/>
      <c r="G143" s="27"/>
      <c r="H143" s="27"/>
      <c r="J143" s="27"/>
      <c r="L143" s="27"/>
      <c r="M143" s="27"/>
      <c r="N143" s="27"/>
      <c r="O143" s="27"/>
      <c r="P143" s="27"/>
      <c r="Q143" s="27"/>
      <c r="R143" s="27"/>
    </row>
    <row r="144">
      <c r="F144" s="27"/>
      <c r="G144" s="27"/>
      <c r="H144" s="27"/>
      <c r="J144" s="27"/>
      <c r="L144" s="27"/>
      <c r="M144" s="27"/>
      <c r="N144" s="27"/>
      <c r="O144" s="27"/>
      <c r="P144" s="27"/>
      <c r="Q144" s="27"/>
      <c r="R144" s="27"/>
    </row>
    <row r="145">
      <c r="F145" s="27"/>
      <c r="G145" s="27"/>
      <c r="H145" s="27"/>
      <c r="J145" s="27"/>
      <c r="L145" s="27"/>
      <c r="M145" s="27"/>
      <c r="N145" s="27"/>
      <c r="O145" s="27"/>
      <c r="P145" s="27"/>
      <c r="Q145" s="27"/>
      <c r="R145" s="27"/>
    </row>
    <row r="146">
      <c r="F146" s="27"/>
      <c r="G146" s="27"/>
      <c r="H146" s="27"/>
      <c r="J146" s="27"/>
      <c r="L146" s="27"/>
      <c r="M146" s="27"/>
      <c r="N146" s="27"/>
      <c r="O146" s="27"/>
      <c r="P146" s="27"/>
      <c r="Q146" s="27"/>
      <c r="R146" s="27"/>
    </row>
    <row r="147">
      <c r="F147" s="27"/>
      <c r="G147" s="27"/>
      <c r="H147" s="27"/>
      <c r="J147" s="27"/>
      <c r="L147" s="27"/>
      <c r="M147" s="27"/>
      <c r="N147" s="27"/>
      <c r="O147" s="27"/>
      <c r="P147" s="27"/>
      <c r="Q147" s="27"/>
      <c r="R147" s="27"/>
    </row>
    <row r="148">
      <c r="F148" s="27"/>
      <c r="G148" s="27"/>
      <c r="H148" s="27"/>
      <c r="J148" s="27"/>
      <c r="L148" s="27"/>
      <c r="M148" s="27"/>
      <c r="N148" s="27"/>
      <c r="O148" s="27"/>
      <c r="P148" s="27"/>
      <c r="Q148" s="27"/>
      <c r="R148" s="27"/>
    </row>
    <row r="149">
      <c r="F149" s="27"/>
      <c r="G149" s="27"/>
      <c r="H149" s="27"/>
      <c r="J149" s="27"/>
      <c r="L149" s="27"/>
      <c r="M149" s="27"/>
      <c r="N149" s="27"/>
      <c r="O149" s="27"/>
      <c r="P149" s="27"/>
      <c r="Q149" s="27"/>
      <c r="R149" s="27"/>
    </row>
    <row r="150">
      <c r="F150" s="27"/>
      <c r="G150" s="27"/>
      <c r="H150" s="27"/>
      <c r="J150" s="27"/>
      <c r="L150" s="27"/>
      <c r="M150" s="27"/>
      <c r="N150" s="27"/>
      <c r="O150" s="27"/>
      <c r="P150" s="27"/>
      <c r="Q150" s="27"/>
      <c r="R150" s="27"/>
    </row>
    <row r="151">
      <c r="F151" s="27"/>
      <c r="G151" s="27"/>
      <c r="H151" s="27"/>
      <c r="J151" s="27"/>
      <c r="L151" s="27"/>
      <c r="M151" s="27"/>
      <c r="N151" s="27"/>
      <c r="O151" s="27"/>
      <c r="P151" s="27"/>
      <c r="Q151" s="27"/>
      <c r="R151" s="27"/>
    </row>
    <row r="152">
      <c r="F152" s="27"/>
      <c r="G152" s="27"/>
      <c r="H152" s="27"/>
      <c r="J152" s="27"/>
      <c r="L152" s="27"/>
      <c r="M152" s="27"/>
      <c r="N152" s="27"/>
      <c r="O152" s="27"/>
      <c r="P152" s="27"/>
      <c r="Q152" s="27"/>
      <c r="R152" s="27"/>
    </row>
    <row r="153">
      <c r="F153" s="27"/>
      <c r="G153" s="27"/>
      <c r="H153" s="27"/>
      <c r="J153" s="27"/>
      <c r="L153" s="27"/>
      <c r="M153" s="27"/>
      <c r="N153" s="27"/>
      <c r="O153" s="27"/>
      <c r="P153" s="27"/>
      <c r="Q153" s="27"/>
      <c r="R153" s="27"/>
    </row>
    <row r="154">
      <c r="F154" s="27"/>
      <c r="G154" s="27"/>
      <c r="H154" s="27"/>
      <c r="J154" s="27"/>
      <c r="L154" s="27"/>
      <c r="M154" s="27"/>
      <c r="N154" s="27"/>
      <c r="O154" s="27"/>
      <c r="P154" s="27"/>
      <c r="Q154" s="27"/>
      <c r="R154" s="27"/>
    </row>
    <row r="155">
      <c r="F155" s="27"/>
      <c r="G155" s="27"/>
      <c r="H155" s="27"/>
      <c r="J155" s="27"/>
      <c r="L155" s="27"/>
      <c r="M155" s="27"/>
      <c r="N155" s="27"/>
      <c r="O155" s="27"/>
      <c r="P155" s="27"/>
      <c r="Q155" s="27"/>
      <c r="R155" s="27"/>
    </row>
    <row r="156">
      <c r="F156" s="27"/>
      <c r="G156" s="27"/>
      <c r="H156" s="27"/>
      <c r="J156" s="27"/>
      <c r="L156" s="27"/>
      <c r="M156" s="27"/>
      <c r="N156" s="27"/>
      <c r="O156" s="27"/>
      <c r="P156" s="27"/>
      <c r="Q156" s="27"/>
      <c r="R156" s="27"/>
    </row>
    <row r="157">
      <c r="F157" s="27"/>
      <c r="G157" s="27"/>
      <c r="H157" s="27"/>
      <c r="J157" s="27"/>
      <c r="L157" s="27"/>
      <c r="M157" s="27"/>
      <c r="N157" s="27"/>
      <c r="O157" s="27"/>
      <c r="P157" s="27"/>
      <c r="Q157" s="27"/>
      <c r="R157" s="27"/>
    </row>
    <row r="158">
      <c r="F158" s="27"/>
      <c r="G158" s="27"/>
      <c r="H158" s="27"/>
      <c r="J158" s="27"/>
      <c r="L158" s="27"/>
      <c r="M158" s="27"/>
      <c r="N158" s="27"/>
      <c r="O158" s="27"/>
      <c r="P158" s="27"/>
      <c r="Q158" s="27"/>
      <c r="R158" s="27"/>
    </row>
    <row r="159">
      <c r="F159" s="27"/>
      <c r="G159" s="27"/>
      <c r="H159" s="27"/>
      <c r="J159" s="27"/>
      <c r="L159" s="27"/>
      <c r="M159" s="27"/>
      <c r="N159" s="27"/>
      <c r="O159" s="27"/>
      <c r="P159" s="27"/>
      <c r="Q159" s="27"/>
      <c r="R159" s="27"/>
    </row>
    <row r="160">
      <c r="F160" s="27"/>
      <c r="G160" s="27"/>
      <c r="H160" s="27"/>
      <c r="J160" s="27"/>
      <c r="L160" s="27"/>
      <c r="M160" s="27"/>
      <c r="N160" s="27"/>
      <c r="O160" s="27"/>
      <c r="P160" s="27"/>
      <c r="Q160" s="27"/>
      <c r="R160" s="27"/>
    </row>
    <row r="161">
      <c r="F161" s="27"/>
      <c r="G161" s="27"/>
      <c r="H161" s="27"/>
      <c r="J161" s="27"/>
      <c r="L161" s="27"/>
      <c r="M161" s="27"/>
      <c r="N161" s="27"/>
      <c r="O161" s="27"/>
      <c r="P161" s="27"/>
      <c r="Q161" s="27"/>
      <c r="R161" s="27"/>
    </row>
    <row r="162">
      <c r="F162" s="27"/>
      <c r="G162" s="27"/>
      <c r="H162" s="27"/>
      <c r="J162" s="27"/>
      <c r="L162" s="27"/>
      <c r="M162" s="27"/>
      <c r="N162" s="27"/>
      <c r="O162" s="27"/>
      <c r="P162" s="27"/>
      <c r="Q162" s="27"/>
      <c r="R162" s="27"/>
    </row>
    <row r="163">
      <c r="F163" s="27"/>
      <c r="G163" s="27"/>
      <c r="H163" s="27"/>
      <c r="J163" s="27"/>
      <c r="L163" s="27"/>
      <c r="M163" s="27"/>
      <c r="N163" s="27"/>
      <c r="O163" s="27"/>
      <c r="P163" s="27"/>
      <c r="Q163" s="27"/>
      <c r="R163" s="27"/>
    </row>
    <row r="164">
      <c r="F164" s="27"/>
      <c r="G164" s="27"/>
      <c r="H164" s="27"/>
      <c r="J164" s="27"/>
      <c r="L164" s="27"/>
      <c r="M164" s="27"/>
      <c r="N164" s="27"/>
      <c r="O164" s="27"/>
      <c r="P164" s="27"/>
      <c r="Q164" s="27"/>
      <c r="R164" s="27"/>
    </row>
    <row r="165">
      <c r="F165" s="27"/>
      <c r="G165" s="27"/>
      <c r="H165" s="27"/>
      <c r="J165" s="27"/>
      <c r="L165" s="27"/>
      <c r="M165" s="27"/>
      <c r="N165" s="27"/>
      <c r="O165" s="27"/>
      <c r="P165" s="27"/>
      <c r="Q165" s="27"/>
      <c r="R165" s="27"/>
    </row>
    <row r="166">
      <c r="F166" s="27"/>
      <c r="G166" s="27"/>
      <c r="H166" s="27"/>
      <c r="J166" s="27"/>
      <c r="L166" s="27"/>
      <c r="M166" s="27"/>
      <c r="N166" s="27"/>
      <c r="O166" s="27"/>
      <c r="P166" s="27"/>
      <c r="Q166" s="27"/>
      <c r="R166" s="27"/>
    </row>
    <row r="167">
      <c r="F167" s="27"/>
      <c r="G167" s="27"/>
      <c r="H167" s="27"/>
      <c r="J167" s="27"/>
      <c r="L167" s="27"/>
      <c r="M167" s="27"/>
      <c r="N167" s="27"/>
      <c r="O167" s="27"/>
      <c r="P167" s="27"/>
      <c r="Q167" s="27"/>
      <c r="R167" s="27"/>
    </row>
    <row r="168">
      <c r="F168" s="27"/>
      <c r="G168" s="27"/>
      <c r="H168" s="27"/>
      <c r="J168" s="27"/>
      <c r="L168" s="27"/>
      <c r="M168" s="27"/>
      <c r="N168" s="27"/>
      <c r="O168" s="27"/>
      <c r="P168" s="27"/>
      <c r="Q168" s="27"/>
      <c r="R168" s="27"/>
    </row>
    <row r="169">
      <c r="F169" s="27"/>
      <c r="G169" s="27"/>
      <c r="H169" s="27"/>
      <c r="J169" s="27"/>
      <c r="L169" s="27"/>
      <c r="M169" s="27"/>
      <c r="N169" s="27"/>
      <c r="O169" s="27"/>
      <c r="P169" s="27"/>
      <c r="Q169" s="27"/>
      <c r="R169" s="27"/>
    </row>
    <row r="170">
      <c r="F170" s="27"/>
      <c r="G170" s="27"/>
      <c r="H170" s="27"/>
      <c r="J170" s="27"/>
      <c r="L170" s="27"/>
      <c r="M170" s="27"/>
      <c r="N170" s="27"/>
      <c r="O170" s="27"/>
      <c r="P170" s="27"/>
      <c r="Q170" s="27"/>
      <c r="R170" s="27"/>
    </row>
    <row r="171">
      <c r="F171" s="27"/>
      <c r="G171" s="27"/>
      <c r="H171" s="27"/>
      <c r="J171" s="27"/>
      <c r="L171" s="27"/>
      <c r="M171" s="27"/>
      <c r="N171" s="27"/>
      <c r="O171" s="27"/>
      <c r="P171" s="27"/>
      <c r="Q171" s="27"/>
      <c r="R171" s="27"/>
    </row>
    <row r="172">
      <c r="F172" s="27"/>
      <c r="G172" s="27"/>
      <c r="H172" s="27"/>
      <c r="J172" s="27"/>
      <c r="L172" s="27"/>
      <c r="M172" s="27"/>
      <c r="N172" s="27"/>
      <c r="O172" s="27"/>
      <c r="P172" s="27"/>
      <c r="Q172" s="27"/>
      <c r="R172" s="27"/>
    </row>
    <row r="173">
      <c r="F173" s="27"/>
      <c r="G173" s="27"/>
      <c r="H173" s="27"/>
      <c r="J173" s="27"/>
      <c r="L173" s="27"/>
      <c r="M173" s="27"/>
      <c r="N173" s="27"/>
      <c r="O173" s="27"/>
      <c r="P173" s="27"/>
      <c r="Q173" s="27"/>
      <c r="R173" s="27"/>
    </row>
    <row r="174">
      <c r="F174" s="27"/>
      <c r="G174" s="27"/>
      <c r="H174" s="27"/>
      <c r="J174" s="27"/>
      <c r="L174" s="27"/>
      <c r="M174" s="27"/>
      <c r="N174" s="27"/>
      <c r="O174" s="27"/>
      <c r="P174" s="27"/>
      <c r="Q174" s="27"/>
      <c r="R174" s="27"/>
    </row>
    <row r="175">
      <c r="F175" s="27"/>
      <c r="G175" s="27"/>
      <c r="H175" s="27"/>
      <c r="J175" s="27"/>
      <c r="L175" s="27"/>
      <c r="M175" s="27"/>
      <c r="N175" s="27"/>
      <c r="O175" s="27"/>
      <c r="P175" s="27"/>
      <c r="Q175" s="27"/>
      <c r="R175" s="27"/>
    </row>
    <row r="176">
      <c r="F176" s="27"/>
      <c r="G176" s="27"/>
      <c r="H176" s="27"/>
      <c r="J176" s="27"/>
      <c r="L176" s="27"/>
      <c r="M176" s="27"/>
      <c r="N176" s="27"/>
      <c r="O176" s="27"/>
      <c r="P176" s="27"/>
      <c r="Q176" s="27"/>
      <c r="R176" s="27"/>
    </row>
    <row r="177">
      <c r="F177" s="27"/>
      <c r="G177" s="27"/>
      <c r="H177" s="27"/>
      <c r="J177" s="27"/>
      <c r="L177" s="27"/>
      <c r="M177" s="27"/>
      <c r="N177" s="27"/>
      <c r="O177" s="27"/>
      <c r="P177" s="27"/>
      <c r="Q177" s="27"/>
      <c r="R177" s="27"/>
    </row>
    <row r="178">
      <c r="F178" s="27"/>
      <c r="G178" s="27"/>
      <c r="H178" s="27"/>
      <c r="J178" s="27"/>
      <c r="L178" s="27"/>
      <c r="M178" s="27"/>
      <c r="N178" s="27"/>
      <c r="O178" s="27"/>
      <c r="P178" s="27"/>
      <c r="Q178" s="27"/>
      <c r="R178" s="27"/>
    </row>
    <row r="179">
      <c r="F179" s="27"/>
      <c r="G179" s="27"/>
      <c r="H179" s="27"/>
      <c r="J179" s="27"/>
      <c r="L179" s="27"/>
      <c r="M179" s="27"/>
      <c r="N179" s="27"/>
      <c r="O179" s="27"/>
      <c r="P179" s="27"/>
      <c r="Q179" s="27"/>
      <c r="R179" s="27"/>
    </row>
    <row r="180">
      <c r="F180" s="27"/>
      <c r="G180" s="27"/>
      <c r="H180" s="27"/>
      <c r="J180" s="27"/>
      <c r="L180" s="27"/>
      <c r="M180" s="27"/>
      <c r="N180" s="27"/>
      <c r="O180" s="27"/>
      <c r="P180" s="27"/>
      <c r="Q180" s="27"/>
      <c r="R180" s="27"/>
    </row>
    <row r="181">
      <c r="F181" s="27"/>
      <c r="G181" s="27"/>
      <c r="H181" s="27"/>
      <c r="J181" s="27"/>
      <c r="L181" s="27"/>
      <c r="M181" s="27"/>
      <c r="N181" s="27"/>
      <c r="O181" s="27"/>
      <c r="P181" s="27"/>
      <c r="Q181" s="27"/>
      <c r="R181" s="27"/>
    </row>
    <row r="182">
      <c r="F182" s="27"/>
      <c r="G182" s="27"/>
      <c r="H182" s="27"/>
      <c r="J182" s="27"/>
      <c r="L182" s="27"/>
      <c r="M182" s="27"/>
      <c r="N182" s="27"/>
      <c r="O182" s="27"/>
      <c r="P182" s="27"/>
      <c r="Q182" s="27"/>
      <c r="R182" s="27"/>
    </row>
    <row r="183">
      <c r="F183" s="27"/>
      <c r="G183" s="27"/>
      <c r="H183" s="27"/>
      <c r="J183" s="27"/>
      <c r="L183" s="27"/>
      <c r="M183" s="27"/>
      <c r="N183" s="27"/>
      <c r="O183" s="27"/>
      <c r="P183" s="27"/>
      <c r="Q183" s="27"/>
      <c r="R183" s="27"/>
    </row>
    <row r="184">
      <c r="F184" s="27"/>
      <c r="G184" s="27"/>
      <c r="H184" s="27"/>
      <c r="J184" s="27"/>
      <c r="L184" s="27"/>
      <c r="M184" s="27"/>
      <c r="N184" s="27"/>
      <c r="O184" s="27"/>
      <c r="P184" s="27"/>
      <c r="Q184" s="27"/>
      <c r="R184" s="27"/>
    </row>
    <row r="185">
      <c r="F185" s="27"/>
      <c r="G185" s="27"/>
      <c r="H185" s="27"/>
      <c r="J185" s="27"/>
      <c r="L185" s="27"/>
      <c r="M185" s="27"/>
      <c r="N185" s="27"/>
      <c r="O185" s="27"/>
      <c r="P185" s="27"/>
      <c r="Q185" s="27"/>
      <c r="R185" s="27"/>
    </row>
    <row r="186">
      <c r="F186" s="27"/>
      <c r="G186" s="27"/>
      <c r="H186" s="27"/>
      <c r="J186" s="27"/>
      <c r="L186" s="27"/>
      <c r="M186" s="27"/>
      <c r="N186" s="27"/>
      <c r="O186" s="27"/>
      <c r="P186" s="27"/>
      <c r="Q186" s="27"/>
      <c r="R186" s="27"/>
    </row>
    <row r="187">
      <c r="F187" s="27"/>
      <c r="G187" s="27"/>
      <c r="H187" s="27"/>
      <c r="J187" s="27"/>
      <c r="L187" s="27"/>
      <c r="M187" s="27"/>
      <c r="N187" s="27"/>
      <c r="O187" s="27"/>
      <c r="P187" s="27"/>
      <c r="Q187" s="27"/>
      <c r="R187" s="27"/>
    </row>
    <row r="188">
      <c r="F188" s="27"/>
      <c r="G188" s="27"/>
      <c r="H188" s="27"/>
      <c r="J188" s="27"/>
      <c r="L188" s="27"/>
      <c r="M188" s="27"/>
      <c r="N188" s="27"/>
      <c r="O188" s="27"/>
      <c r="P188" s="27"/>
      <c r="Q188" s="27"/>
      <c r="R188" s="27"/>
    </row>
    <row r="189">
      <c r="F189" s="27"/>
      <c r="G189" s="27"/>
      <c r="H189" s="27"/>
      <c r="J189" s="27"/>
      <c r="L189" s="27"/>
      <c r="M189" s="27"/>
      <c r="N189" s="27"/>
      <c r="O189" s="27"/>
      <c r="P189" s="27"/>
      <c r="Q189" s="27"/>
      <c r="R189" s="27"/>
    </row>
    <row r="190">
      <c r="F190" s="27"/>
      <c r="G190" s="27"/>
      <c r="H190" s="27"/>
      <c r="J190" s="27"/>
      <c r="L190" s="27"/>
      <c r="M190" s="27"/>
      <c r="N190" s="27"/>
      <c r="O190" s="27"/>
      <c r="P190" s="27"/>
      <c r="Q190" s="27"/>
      <c r="R190" s="27"/>
    </row>
    <row r="191">
      <c r="F191" s="27"/>
      <c r="G191" s="27"/>
      <c r="H191" s="27"/>
      <c r="J191" s="27"/>
      <c r="L191" s="27"/>
      <c r="M191" s="27"/>
      <c r="N191" s="27"/>
      <c r="O191" s="27"/>
      <c r="P191" s="27"/>
      <c r="Q191" s="27"/>
      <c r="R191" s="27"/>
    </row>
    <row r="192">
      <c r="F192" s="27"/>
      <c r="G192" s="27"/>
      <c r="H192" s="27"/>
      <c r="J192" s="27"/>
      <c r="L192" s="27"/>
      <c r="M192" s="27"/>
      <c r="N192" s="27"/>
      <c r="O192" s="27"/>
      <c r="P192" s="27"/>
      <c r="Q192" s="27"/>
      <c r="R192" s="27"/>
    </row>
    <row r="193">
      <c r="F193" s="27"/>
      <c r="G193" s="27"/>
      <c r="H193" s="27"/>
      <c r="J193" s="27"/>
      <c r="L193" s="27"/>
      <c r="M193" s="27"/>
      <c r="N193" s="27"/>
      <c r="O193" s="27"/>
      <c r="P193" s="27"/>
      <c r="Q193" s="27"/>
      <c r="R193" s="27"/>
    </row>
    <row r="194">
      <c r="F194" s="27"/>
      <c r="G194" s="27"/>
      <c r="H194" s="27"/>
      <c r="J194" s="27"/>
      <c r="L194" s="27"/>
      <c r="M194" s="27"/>
      <c r="N194" s="27"/>
      <c r="O194" s="27"/>
      <c r="P194" s="27"/>
      <c r="Q194" s="27"/>
      <c r="R194" s="27"/>
    </row>
    <row r="195">
      <c r="F195" s="27"/>
      <c r="G195" s="27"/>
      <c r="H195" s="27"/>
      <c r="J195" s="27"/>
      <c r="L195" s="27"/>
      <c r="M195" s="27"/>
      <c r="N195" s="27"/>
      <c r="O195" s="27"/>
      <c r="P195" s="27"/>
      <c r="Q195" s="27"/>
      <c r="R195" s="27"/>
    </row>
    <row r="196">
      <c r="F196" s="27"/>
      <c r="G196" s="27"/>
      <c r="H196" s="27"/>
      <c r="J196" s="27"/>
      <c r="L196" s="27"/>
      <c r="M196" s="27"/>
      <c r="N196" s="27"/>
      <c r="O196" s="27"/>
      <c r="P196" s="27"/>
      <c r="Q196" s="27"/>
      <c r="R196" s="27"/>
    </row>
    <row r="197">
      <c r="F197" s="27"/>
      <c r="G197" s="27"/>
      <c r="H197" s="27"/>
      <c r="J197" s="27"/>
      <c r="L197" s="27"/>
      <c r="M197" s="27"/>
      <c r="N197" s="27"/>
      <c r="O197" s="27"/>
      <c r="P197" s="27"/>
      <c r="Q197" s="27"/>
      <c r="R197" s="27"/>
    </row>
    <row r="198">
      <c r="F198" s="27"/>
      <c r="G198" s="27"/>
      <c r="H198" s="27"/>
      <c r="J198" s="27"/>
      <c r="L198" s="27"/>
      <c r="M198" s="27"/>
      <c r="N198" s="27"/>
      <c r="O198" s="27"/>
      <c r="P198" s="27"/>
      <c r="Q198" s="27"/>
      <c r="R198" s="27"/>
    </row>
    <row r="199">
      <c r="F199" s="27"/>
      <c r="G199" s="27"/>
      <c r="H199" s="27"/>
      <c r="J199" s="27"/>
      <c r="L199" s="27"/>
      <c r="M199" s="27"/>
      <c r="N199" s="27"/>
      <c r="O199" s="27"/>
      <c r="P199" s="27"/>
      <c r="Q199" s="27"/>
      <c r="R199" s="27"/>
    </row>
    <row r="200">
      <c r="F200" s="27"/>
      <c r="G200" s="27"/>
      <c r="H200" s="27"/>
      <c r="J200" s="27"/>
      <c r="L200" s="27"/>
      <c r="M200" s="27"/>
      <c r="N200" s="27"/>
      <c r="O200" s="27"/>
      <c r="P200" s="27"/>
      <c r="Q200" s="27"/>
      <c r="R200" s="27"/>
    </row>
    <row r="201">
      <c r="F201" s="27"/>
      <c r="G201" s="27"/>
      <c r="H201" s="27"/>
      <c r="J201" s="27"/>
      <c r="L201" s="27"/>
      <c r="M201" s="27"/>
      <c r="N201" s="27"/>
      <c r="O201" s="27"/>
      <c r="P201" s="27"/>
      <c r="Q201" s="27"/>
      <c r="R201" s="27"/>
    </row>
    <row r="202">
      <c r="F202" s="27"/>
      <c r="G202" s="27"/>
      <c r="H202" s="27"/>
      <c r="J202" s="27"/>
      <c r="L202" s="27"/>
      <c r="M202" s="27"/>
      <c r="N202" s="27"/>
      <c r="O202" s="27"/>
      <c r="P202" s="27"/>
      <c r="Q202" s="27"/>
      <c r="R202" s="27"/>
    </row>
    <row r="203">
      <c r="F203" s="27"/>
      <c r="G203" s="27"/>
      <c r="H203" s="27"/>
      <c r="J203" s="27"/>
      <c r="L203" s="27"/>
      <c r="M203" s="27"/>
      <c r="N203" s="27"/>
      <c r="O203" s="27"/>
      <c r="P203" s="27"/>
      <c r="Q203" s="27"/>
      <c r="R203" s="27"/>
    </row>
    <row r="204">
      <c r="F204" s="27"/>
      <c r="G204" s="27"/>
      <c r="H204" s="27"/>
      <c r="J204" s="27"/>
      <c r="L204" s="27"/>
      <c r="M204" s="27"/>
      <c r="N204" s="27"/>
      <c r="O204" s="27"/>
      <c r="P204" s="27"/>
      <c r="Q204" s="27"/>
      <c r="R204" s="27"/>
    </row>
    <row r="205">
      <c r="F205" s="27"/>
      <c r="G205" s="27"/>
      <c r="H205" s="27"/>
      <c r="J205" s="27"/>
      <c r="L205" s="27"/>
      <c r="M205" s="27"/>
      <c r="N205" s="27"/>
      <c r="O205" s="27"/>
      <c r="P205" s="27"/>
      <c r="Q205" s="27"/>
      <c r="R205" s="27"/>
    </row>
    <row r="206">
      <c r="F206" s="27"/>
      <c r="G206" s="27"/>
      <c r="H206" s="27"/>
      <c r="J206" s="27"/>
      <c r="L206" s="27"/>
      <c r="M206" s="27"/>
      <c r="N206" s="27"/>
      <c r="O206" s="27"/>
      <c r="P206" s="27"/>
      <c r="Q206" s="27"/>
      <c r="R206" s="27"/>
    </row>
    <row r="207">
      <c r="F207" s="27"/>
      <c r="G207" s="27"/>
      <c r="H207" s="27"/>
      <c r="J207" s="27"/>
      <c r="L207" s="27"/>
      <c r="M207" s="27"/>
      <c r="N207" s="27"/>
      <c r="O207" s="27"/>
      <c r="P207" s="27"/>
      <c r="Q207" s="27"/>
      <c r="R207" s="27"/>
    </row>
    <row r="208">
      <c r="F208" s="27"/>
      <c r="G208" s="27"/>
      <c r="H208" s="27"/>
      <c r="J208" s="27"/>
      <c r="L208" s="27"/>
      <c r="M208" s="27"/>
      <c r="N208" s="27"/>
      <c r="O208" s="27"/>
      <c r="P208" s="27"/>
      <c r="Q208" s="27"/>
      <c r="R208" s="27"/>
    </row>
    <row r="209">
      <c r="F209" s="27"/>
      <c r="G209" s="27"/>
      <c r="H209" s="27"/>
      <c r="J209" s="27"/>
      <c r="L209" s="27"/>
      <c r="M209" s="27"/>
      <c r="N209" s="27"/>
      <c r="O209" s="27"/>
      <c r="P209" s="27"/>
      <c r="Q209" s="27"/>
      <c r="R209" s="27"/>
    </row>
    <row r="210">
      <c r="F210" s="27"/>
      <c r="G210" s="27"/>
      <c r="H210" s="27"/>
      <c r="J210" s="27"/>
      <c r="L210" s="27"/>
      <c r="M210" s="27"/>
      <c r="N210" s="27"/>
      <c r="O210" s="27"/>
      <c r="P210" s="27"/>
      <c r="Q210" s="27"/>
      <c r="R210" s="27"/>
    </row>
    <row r="211">
      <c r="F211" s="27"/>
      <c r="G211" s="27"/>
      <c r="H211" s="27"/>
      <c r="J211" s="27"/>
      <c r="L211" s="27"/>
      <c r="M211" s="27"/>
      <c r="N211" s="27"/>
      <c r="O211" s="27"/>
      <c r="P211" s="27"/>
      <c r="Q211" s="27"/>
      <c r="R211" s="27"/>
    </row>
    <row r="212">
      <c r="F212" s="27"/>
      <c r="G212" s="27"/>
      <c r="H212" s="27"/>
      <c r="J212" s="27"/>
      <c r="L212" s="27"/>
      <c r="M212" s="27"/>
      <c r="N212" s="27"/>
      <c r="O212" s="27"/>
      <c r="P212" s="27"/>
      <c r="Q212" s="27"/>
      <c r="R212" s="27"/>
    </row>
    <row r="213">
      <c r="F213" s="27"/>
      <c r="G213" s="27"/>
      <c r="H213" s="27"/>
      <c r="J213" s="27"/>
      <c r="L213" s="27"/>
      <c r="M213" s="27"/>
      <c r="N213" s="27"/>
      <c r="O213" s="27"/>
      <c r="P213" s="27"/>
      <c r="Q213" s="27"/>
      <c r="R213" s="27"/>
    </row>
    <row r="214">
      <c r="F214" s="27"/>
      <c r="G214" s="27"/>
      <c r="H214" s="27"/>
      <c r="J214" s="27"/>
      <c r="L214" s="27"/>
      <c r="M214" s="27"/>
      <c r="N214" s="27"/>
      <c r="O214" s="27"/>
      <c r="P214" s="27"/>
      <c r="Q214" s="27"/>
      <c r="R214" s="27"/>
    </row>
    <row r="215">
      <c r="F215" s="27"/>
      <c r="G215" s="27"/>
      <c r="H215" s="27"/>
      <c r="J215" s="27"/>
      <c r="L215" s="27"/>
      <c r="M215" s="27"/>
      <c r="N215" s="27"/>
      <c r="O215" s="27"/>
      <c r="P215" s="27"/>
      <c r="Q215" s="27"/>
      <c r="R215" s="27"/>
    </row>
    <row r="216">
      <c r="F216" s="27"/>
      <c r="G216" s="27"/>
      <c r="H216" s="27"/>
      <c r="J216" s="27"/>
      <c r="L216" s="27"/>
      <c r="M216" s="27"/>
      <c r="N216" s="27"/>
      <c r="O216" s="27"/>
      <c r="P216" s="27"/>
      <c r="Q216" s="27"/>
      <c r="R216" s="27"/>
    </row>
    <row r="217">
      <c r="F217" s="27"/>
      <c r="G217" s="27"/>
      <c r="H217" s="27"/>
      <c r="J217" s="27"/>
      <c r="L217" s="27"/>
      <c r="M217" s="27"/>
      <c r="N217" s="27"/>
      <c r="O217" s="27"/>
      <c r="P217" s="27"/>
      <c r="Q217" s="27"/>
      <c r="R217" s="27"/>
    </row>
    <row r="218">
      <c r="F218" s="27"/>
      <c r="G218" s="27"/>
      <c r="H218" s="27"/>
      <c r="J218" s="27"/>
      <c r="L218" s="27"/>
      <c r="M218" s="27"/>
      <c r="N218" s="27"/>
      <c r="O218" s="27"/>
      <c r="P218" s="27"/>
      <c r="Q218" s="27"/>
      <c r="R218" s="27"/>
    </row>
    <row r="219">
      <c r="F219" s="27"/>
      <c r="G219" s="27"/>
      <c r="H219" s="27"/>
      <c r="J219" s="27"/>
      <c r="L219" s="27"/>
      <c r="M219" s="27"/>
      <c r="N219" s="27"/>
      <c r="O219" s="27"/>
      <c r="P219" s="27"/>
      <c r="Q219" s="27"/>
      <c r="R219" s="27"/>
    </row>
    <row r="220">
      <c r="F220" s="27"/>
      <c r="G220" s="27"/>
      <c r="H220" s="27"/>
      <c r="J220" s="27"/>
      <c r="L220" s="27"/>
      <c r="M220" s="27"/>
      <c r="N220" s="27"/>
      <c r="O220" s="27"/>
      <c r="P220" s="27"/>
      <c r="Q220" s="27"/>
      <c r="R220" s="27"/>
    </row>
    <row r="221">
      <c r="F221" s="27"/>
      <c r="G221" s="27"/>
      <c r="H221" s="27"/>
      <c r="J221" s="27"/>
      <c r="L221" s="27"/>
      <c r="M221" s="27"/>
      <c r="N221" s="27"/>
      <c r="O221" s="27"/>
      <c r="P221" s="27"/>
      <c r="Q221" s="27"/>
      <c r="R221" s="27"/>
    </row>
    <row r="222">
      <c r="F222" s="27"/>
      <c r="G222" s="27"/>
      <c r="H222" s="27"/>
      <c r="J222" s="27"/>
      <c r="L222" s="27"/>
      <c r="M222" s="27"/>
      <c r="N222" s="27"/>
      <c r="O222" s="27"/>
      <c r="P222" s="27"/>
      <c r="Q222" s="27"/>
      <c r="R222" s="27"/>
    </row>
    <row r="223">
      <c r="F223" s="27"/>
      <c r="G223" s="27"/>
      <c r="H223" s="27"/>
      <c r="J223" s="27"/>
      <c r="L223" s="27"/>
      <c r="M223" s="27"/>
      <c r="N223" s="27"/>
      <c r="O223" s="27"/>
      <c r="P223" s="27"/>
      <c r="Q223" s="27"/>
      <c r="R223" s="27"/>
    </row>
    <row r="224">
      <c r="F224" s="27"/>
      <c r="G224" s="27"/>
      <c r="H224" s="27"/>
      <c r="J224" s="27"/>
      <c r="L224" s="27"/>
      <c r="M224" s="27"/>
      <c r="N224" s="27"/>
      <c r="O224" s="27"/>
      <c r="P224" s="27"/>
      <c r="Q224" s="27"/>
      <c r="R224" s="27"/>
    </row>
    <row r="225">
      <c r="F225" s="27"/>
      <c r="G225" s="27"/>
      <c r="H225" s="27"/>
      <c r="J225" s="27"/>
      <c r="L225" s="27"/>
      <c r="M225" s="27"/>
      <c r="N225" s="27"/>
      <c r="O225" s="27"/>
      <c r="P225" s="27"/>
      <c r="Q225" s="27"/>
      <c r="R225" s="27"/>
    </row>
    <row r="226">
      <c r="F226" s="27"/>
      <c r="G226" s="27"/>
      <c r="H226" s="27"/>
      <c r="J226" s="27"/>
      <c r="L226" s="27"/>
      <c r="M226" s="27"/>
      <c r="N226" s="27"/>
      <c r="O226" s="27"/>
      <c r="P226" s="27"/>
      <c r="Q226" s="27"/>
      <c r="R226" s="27"/>
    </row>
    <row r="227">
      <c r="F227" s="27"/>
      <c r="G227" s="27"/>
      <c r="H227" s="27"/>
      <c r="J227" s="27"/>
      <c r="L227" s="27"/>
      <c r="M227" s="27"/>
      <c r="N227" s="27"/>
      <c r="O227" s="27"/>
      <c r="P227" s="27"/>
      <c r="Q227" s="27"/>
      <c r="R227" s="27"/>
    </row>
    <row r="228">
      <c r="F228" s="27"/>
      <c r="G228" s="27"/>
      <c r="H228" s="27"/>
      <c r="J228" s="27"/>
      <c r="L228" s="27"/>
      <c r="M228" s="27"/>
      <c r="N228" s="27"/>
      <c r="O228" s="27"/>
      <c r="P228" s="27"/>
      <c r="Q228" s="27"/>
      <c r="R228" s="27"/>
    </row>
    <row r="229">
      <c r="F229" s="27"/>
      <c r="G229" s="27"/>
      <c r="H229" s="27"/>
      <c r="J229" s="27"/>
      <c r="L229" s="27"/>
      <c r="M229" s="27"/>
      <c r="N229" s="27"/>
      <c r="O229" s="27"/>
      <c r="P229" s="27"/>
      <c r="Q229" s="27"/>
      <c r="R229" s="27"/>
    </row>
    <row r="230">
      <c r="F230" s="27"/>
      <c r="G230" s="27"/>
      <c r="H230" s="27"/>
      <c r="J230" s="27"/>
      <c r="L230" s="27"/>
      <c r="M230" s="27"/>
      <c r="N230" s="27"/>
      <c r="O230" s="27"/>
      <c r="P230" s="27"/>
      <c r="Q230" s="27"/>
      <c r="R230" s="27"/>
    </row>
    <row r="231">
      <c r="F231" s="27"/>
      <c r="G231" s="27"/>
      <c r="H231" s="27"/>
      <c r="J231" s="27"/>
      <c r="L231" s="27"/>
      <c r="M231" s="27"/>
      <c r="N231" s="27"/>
      <c r="O231" s="27"/>
      <c r="P231" s="27"/>
      <c r="Q231" s="27"/>
      <c r="R231" s="27"/>
    </row>
    <row r="232">
      <c r="F232" s="27"/>
      <c r="G232" s="27"/>
      <c r="H232" s="27"/>
      <c r="J232" s="27"/>
      <c r="L232" s="27"/>
      <c r="M232" s="27"/>
      <c r="N232" s="27"/>
      <c r="O232" s="27"/>
      <c r="P232" s="27"/>
      <c r="Q232" s="27"/>
      <c r="R232" s="27"/>
    </row>
    <row r="233">
      <c r="F233" s="27"/>
      <c r="G233" s="27"/>
      <c r="H233" s="27"/>
      <c r="J233" s="27"/>
      <c r="L233" s="27"/>
      <c r="M233" s="27"/>
      <c r="N233" s="27"/>
      <c r="O233" s="27"/>
      <c r="P233" s="27"/>
      <c r="Q233" s="27"/>
      <c r="R233" s="27"/>
    </row>
    <row r="234">
      <c r="F234" s="27"/>
      <c r="G234" s="27"/>
      <c r="H234" s="27"/>
      <c r="J234" s="27"/>
      <c r="L234" s="27"/>
      <c r="M234" s="27"/>
      <c r="N234" s="27"/>
      <c r="O234" s="27"/>
      <c r="P234" s="27"/>
      <c r="Q234" s="27"/>
      <c r="R234" s="27"/>
    </row>
    <row r="235">
      <c r="F235" s="27"/>
      <c r="G235" s="27"/>
      <c r="H235" s="27"/>
      <c r="J235" s="27"/>
      <c r="L235" s="27"/>
      <c r="M235" s="27"/>
      <c r="N235" s="27"/>
      <c r="O235" s="27"/>
      <c r="P235" s="27"/>
      <c r="Q235" s="27"/>
      <c r="R235" s="27"/>
    </row>
    <row r="236">
      <c r="F236" s="27"/>
      <c r="G236" s="27"/>
      <c r="H236" s="27"/>
      <c r="J236" s="27"/>
      <c r="L236" s="27"/>
      <c r="M236" s="27"/>
      <c r="N236" s="27"/>
      <c r="O236" s="27"/>
      <c r="P236" s="27"/>
      <c r="Q236" s="27"/>
      <c r="R236" s="27"/>
    </row>
    <row r="237">
      <c r="F237" s="27"/>
      <c r="G237" s="27"/>
      <c r="H237" s="27"/>
      <c r="J237" s="27"/>
      <c r="L237" s="27"/>
      <c r="M237" s="27"/>
      <c r="N237" s="27"/>
      <c r="O237" s="27"/>
      <c r="P237" s="27"/>
      <c r="Q237" s="27"/>
      <c r="R237" s="27"/>
    </row>
    <row r="238">
      <c r="F238" s="27"/>
      <c r="G238" s="27"/>
      <c r="H238" s="27"/>
      <c r="J238" s="27"/>
      <c r="L238" s="27"/>
      <c r="M238" s="27"/>
      <c r="N238" s="27"/>
      <c r="O238" s="27"/>
      <c r="P238" s="27"/>
      <c r="Q238" s="27"/>
      <c r="R238" s="27"/>
    </row>
    <row r="239">
      <c r="F239" s="27"/>
      <c r="G239" s="27"/>
      <c r="H239" s="27"/>
      <c r="J239" s="27"/>
      <c r="L239" s="27"/>
      <c r="M239" s="27"/>
      <c r="N239" s="27"/>
      <c r="O239" s="27"/>
      <c r="P239" s="27"/>
      <c r="Q239" s="27"/>
      <c r="R239" s="27"/>
    </row>
    <row r="240">
      <c r="F240" s="27"/>
      <c r="G240" s="27"/>
      <c r="H240" s="27"/>
      <c r="J240" s="27"/>
      <c r="L240" s="27"/>
      <c r="M240" s="27"/>
      <c r="N240" s="27"/>
      <c r="O240" s="27"/>
      <c r="P240" s="27"/>
      <c r="Q240" s="27"/>
      <c r="R240" s="27"/>
    </row>
    <row r="241">
      <c r="F241" s="27"/>
      <c r="G241" s="27"/>
      <c r="H241" s="27"/>
      <c r="J241" s="27"/>
      <c r="L241" s="27"/>
      <c r="M241" s="27"/>
      <c r="N241" s="27"/>
      <c r="O241" s="27"/>
      <c r="P241" s="27"/>
      <c r="Q241" s="27"/>
      <c r="R241" s="27"/>
    </row>
    <row r="242">
      <c r="F242" s="27"/>
      <c r="G242" s="27"/>
      <c r="H242" s="27"/>
      <c r="J242" s="27"/>
      <c r="L242" s="27"/>
      <c r="M242" s="27"/>
      <c r="N242" s="27"/>
      <c r="O242" s="27"/>
      <c r="P242" s="27"/>
      <c r="Q242" s="27"/>
      <c r="R242" s="27"/>
    </row>
    <row r="243">
      <c r="F243" s="27"/>
      <c r="G243" s="27"/>
      <c r="H243" s="27"/>
      <c r="J243" s="27"/>
      <c r="L243" s="27"/>
      <c r="M243" s="27"/>
      <c r="N243" s="27"/>
      <c r="O243" s="27"/>
      <c r="P243" s="27"/>
      <c r="Q243" s="27"/>
      <c r="R243" s="27"/>
    </row>
    <row r="244">
      <c r="F244" s="27"/>
      <c r="G244" s="27"/>
      <c r="H244" s="27"/>
      <c r="J244" s="27"/>
      <c r="L244" s="27"/>
      <c r="M244" s="27"/>
      <c r="N244" s="27"/>
      <c r="O244" s="27"/>
      <c r="P244" s="27"/>
      <c r="Q244" s="27"/>
      <c r="R244" s="27"/>
    </row>
    <row r="245">
      <c r="F245" s="27"/>
      <c r="G245" s="27"/>
      <c r="H245" s="27"/>
      <c r="J245" s="27"/>
      <c r="L245" s="27"/>
      <c r="M245" s="27"/>
      <c r="N245" s="27"/>
      <c r="O245" s="27"/>
      <c r="P245" s="27"/>
      <c r="Q245" s="27"/>
      <c r="R245" s="27"/>
    </row>
    <row r="246">
      <c r="F246" s="27"/>
      <c r="G246" s="27"/>
      <c r="H246" s="27"/>
      <c r="J246" s="27"/>
      <c r="L246" s="27"/>
      <c r="M246" s="27"/>
      <c r="N246" s="27"/>
      <c r="O246" s="27"/>
      <c r="P246" s="27"/>
      <c r="Q246" s="27"/>
      <c r="R246" s="27"/>
    </row>
    <row r="247">
      <c r="F247" s="27"/>
      <c r="G247" s="27"/>
      <c r="H247" s="27"/>
      <c r="J247" s="27"/>
      <c r="L247" s="27"/>
      <c r="M247" s="27"/>
      <c r="N247" s="27"/>
      <c r="O247" s="27"/>
      <c r="P247" s="27"/>
      <c r="Q247" s="27"/>
      <c r="R247" s="27"/>
    </row>
    <row r="248">
      <c r="F248" s="27"/>
      <c r="G248" s="27"/>
      <c r="H248" s="27"/>
      <c r="J248" s="27"/>
      <c r="L248" s="27"/>
      <c r="M248" s="27"/>
      <c r="N248" s="27"/>
      <c r="O248" s="27"/>
      <c r="P248" s="27"/>
      <c r="Q248" s="27"/>
      <c r="R248" s="27"/>
    </row>
    <row r="249">
      <c r="F249" s="27"/>
      <c r="G249" s="27"/>
      <c r="H249" s="27"/>
      <c r="J249" s="27"/>
      <c r="L249" s="27"/>
      <c r="M249" s="27"/>
      <c r="N249" s="27"/>
      <c r="O249" s="27"/>
      <c r="P249" s="27"/>
      <c r="Q249" s="27"/>
      <c r="R249" s="27"/>
    </row>
    <row r="250">
      <c r="F250" s="27"/>
      <c r="G250" s="27"/>
      <c r="H250" s="27"/>
      <c r="J250" s="27"/>
      <c r="L250" s="27"/>
      <c r="M250" s="27"/>
      <c r="N250" s="27"/>
      <c r="O250" s="27"/>
      <c r="P250" s="27"/>
      <c r="Q250" s="27"/>
      <c r="R250" s="27"/>
    </row>
    <row r="251">
      <c r="F251" s="27"/>
      <c r="G251" s="27"/>
      <c r="H251" s="27"/>
      <c r="J251" s="27"/>
      <c r="L251" s="27"/>
      <c r="M251" s="27"/>
      <c r="N251" s="27"/>
      <c r="O251" s="27"/>
      <c r="P251" s="27"/>
      <c r="Q251" s="27"/>
      <c r="R251" s="27"/>
    </row>
    <row r="252">
      <c r="F252" s="27"/>
      <c r="G252" s="27"/>
      <c r="H252" s="27"/>
      <c r="J252" s="27"/>
      <c r="L252" s="27"/>
      <c r="M252" s="27"/>
      <c r="N252" s="27"/>
      <c r="O252" s="27"/>
      <c r="P252" s="27"/>
      <c r="Q252" s="27"/>
      <c r="R252" s="27"/>
    </row>
    <row r="253">
      <c r="F253" s="27"/>
      <c r="G253" s="27"/>
      <c r="H253" s="27"/>
      <c r="J253" s="27"/>
      <c r="L253" s="27"/>
      <c r="M253" s="27"/>
      <c r="N253" s="27"/>
      <c r="O253" s="27"/>
      <c r="P253" s="27"/>
      <c r="Q253" s="27"/>
      <c r="R253" s="27"/>
    </row>
    <row r="254">
      <c r="F254" s="27"/>
      <c r="G254" s="27"/>
      <c r="H254" s="27"/>
      <c r="J254" s="27"/>
      <c r="L254" s="27"/>
      <c r="M254" s="27"/>
      <c r="N254" s="27"/>
      <c r="O254" s="27"/>
      <c r="P254" s="27"/>
      <c r="Q254" s="27"/>
      <c r="R254" s="27"/>
    </row>
    <row r="255">
      <c r="F255" s="27"/>
      <c r="G255" s="27"/>
      <c r="H255" s="27"/>
      <c r="J255" s="27"/>
      <c r="L255" s="27"/>
      <c r="M255" s="27"/>
      <c r="N255" s="27"/>
      <c r="O255" s="27"/>
      <c r="P255" s="27"/>
      <c r="Q255" s="27"/>
      <c r="R255" s="27"/>
    </row>
    <row r="256">
      <c r="F256" s="27"/>
      <c r="G256" s="27"/>
      <c r="H256" s="27"/>
      <c r="J256" s="27"/>
      <c r="L256" s="27"/>
      <c r="M256" s="27"/>
      <c r="N256" s="27"/>
      <c r="O256" s="27"/>
      <c r="P256" s="27"/>
      <c r="Q256" s="27"/>
      <c r="R256" s="27"/>
    </row>
    <row r="257">
      <c r="F257" s="27"/>
      <c r="G257" s="27"/>
      <c r="H257" s="27"/>
      <c r="J257" s="27"/>
      <c r="L257" s="27"/>
      <c r="M257" s="27"/>
      <c r="N257" s="27"/>
      <c r="O257" s="27"/>
      <c r="P257" s="27"/>
      <c r="Q257" s="27"/>
      <c r="R257" s="27"/>
    </row>
    <row r="258">
      <c r="F258" s="27"/>
      <c r="G258" s="27"/>
      <c r="H258" s="27"/>
      <c r="J258" s="27"/>
      <c r="L258" s="27"/>
      <c r="M258" s="27"/>
      <c r="N258" s="27"/>
      <c r="O258" s="27"/>
      <c r="P258" s="27"/>
      <c r="Q258" s="27"/>
      <c r="R258" s="27"/>
    </row>
    <row r="259">
      <c r="F259" s="27"/>
      <c r="G259" s="27"/>
      <c r="H259" s="27"/>
      <c r="J259" s="27"/>
      <c r="L259" s="27"/>
      <c r="M259" s="27"/>
      <c r="N259" s="27"/>
      <c r="O259" s="27"/>
      <c r="P259" s="27"/>
      <c r="Q259" s="27"/>
      <c r="R259" s="27"/>
    </row>
    <row r="260">
      <c r="F260" s="27"/>
      <c r="G260" s="27"/>
      <c r="H260" s="27"/>
      <c r="J260" s="27"/>
      <c r="L260" s="27"/>
      <c r="M260" s="27"/>
      <c r="N260" s="27"/>
      <c r="O260" s="27"/>
      <c r="P260" s="27"/>
      <c r="Q260" s="27"/>
      <c r="R260" s="27"/>
    </row>
    <row r="261">
      <c r="F261" s="27"/>
      <c r="G261" s="27"/>
      <c r="H261" s="27"/>
      <c r="J261" s="27"/>
      <c r="L261" s="27"/>
      <c r="M261" s="27"/>
      <c r="N261" s="27"/>
      <c r="O261" s="27"/>
      <c r="P261" s="27"/>
      <c r="Q261" s="27"/>
      <c r="R261" s="27"/>
    </row>
    <row r="262">
      <c r="F262" s="27"/>
      <c r="G262" s="27"/>
      <c r="H262" s="27"/>
      <c r="J262" s="27"/>
      <c r="L262" s="27"/>
      <c r="M262" s="27"/>
      <c r="N262" s="27"/>
      <c r="O262" s="27"/>
      <c r="P262" s="27"/>
      <c r="Q262" s="27"/>
      <c r="R262" s="27"/>
    </row>
    <row r="263">
      <c r="F263" s="27"/>
      <c r="G263" s="27"/>
      <c r="H263" s="27"/>
      <c r="J263" s="27"/>
      <c r="L263" s="27"/>
      <c r="M263" s="27"/>
      <c r="N263" s="27"/>
      <c r="O263" s="27"/>
      <c r="P263" s="27"/>
      <c r="Q263" s="27"/>
      <c r="R263" s="27"/>
    </row>
    <row r="264">
      <c r="F264" s="27"/>
      <c r="G264" s="27"/>
      <c r="H264" s="27"/>
      <c r="J264" s="27"/>
      <c r="L264" s="27"/>
      <c r="M264" s="27"/>
      <c r="N264" s="27"/>
      <c r="O264" s="27"/>
      <c r="P264" s="27"/>
      <c r="Q264" s="27"/>
      <c r="R264" s="27"/>
    </row>
    <row r="265">
      <c r="F265" s="27"/>
      <c r="G265" s="27"/>
      <c r="H265" s="27"/>
      <c r="J265" s="27"/>
      <c r="L265" s="27"/>
      <c r="M265" s="27"/>
      <c r="N265" s="27"/>
      <c r="O265" s="27"/>
      <c r="P265" s="27"/>
      <c r="Q265" s="27"/>
      <c r="R265" s="27"/>
    </row>
    <row r="266">
      <c r="F266" s="27"/>
      <c r="G266" s="27"/>
      <c r="H266" s="27"/>
      <c r="J266" s="27"/>
      <c r="L266" s="27"/>
      <c r="M266" s="27"/>
      <c r="N266" s="27"/>
      <c r="O266" s="27"/>
      <c r="P266" s="27"/>
      <c r="Q266" s="27"/>
      <c r="R266" s="27"/>
    </row>
    <row r="267">
      <c r="F267" s="27"/>
      <c r="G267" s="27"/>
      <c r="H267" s="27"/>
      <c r="J267" s="27"/>
      <c r="L267" s="27"/>
      <c r="M267" s="27"/>
      <c r="N267" s="27"/>
      <c r="O267" s="27"/>
      <c r="P267" s="27"/>
      <c r="Q267" s="27"/>
      <c r="R267" s="27"/>
    </row>
    <row r="268">
      <c r="F268" s="27"/>
      <c r="G268" s="27"/>
      <c r="H268" s="27"/>
      <c r="J268" s="27"/>
      <c r="L268" s="27"/>
      <c r="M268" s="27"/>
      <c r="N268" s="27"/>
      <c r="O268" s="27"/>
      <c r="P268" s="27"/>
      <c r="Q268" s="27"/>
      <c r="R268" s="27"/>
    </row>
    <row r="269">
      <c r="F269" s="27"/>
      <c r="G269" s="27"/>
      <c r="H269" s="27"/>
      <c r="J269" s="27"/>
      <c r="L269" s="27"/>
      <c r="M269" s="27"/>
      <c r="N269" s="27"/>
      <c r="O269" s="27"/>
      <c r="P269" s="27"/>
      <c r="Q269" s="27"/>
      <c r="R269" s="27"/>
    </row>
    <row r="270">
      <c r="F270" s="27"/>
      <c r="G270" s="27"/>
      <c r="H270" s="27"/>
      <c r="J270" s="27"/>
      <c r="L270" s="27"/>
      <c r="M270" s="27"/>
      <c r="N270" s="27"/>
      <c r="O270" s="27"/>
      <c r="P270" s="27"/>
      <c r="Q270" s="27"/>
      <c r="R270" s="27"/>
    </row>
    <row r="271">
      <c r="F271" s="27"/>
      <c r="G271" s="27"/>
      <c r="H271" s="27"/>
      <c r="J271" s="27"/>
      <c r="L271" s="27"/>
      <c r="M271" s="27"/>
      <c r="N271" s="27"/>
      <c r="O271" s="27"/>
      <c r="P271" s="27"/>
      <c r="Q271" s="27"/>
      <c r="R271" s="27"/>
    </row>
    <row r="272">
      <c r="F272" s="27"/>
      <c r="G272" s="27"/>
      <c r="H272" s="27"/>
      <c r="J272" s="27"/>
      <c r="L272" s="27"/>
      <c r="M272" s="27"/>
      <c r="N272" s="27"/>
      <c r="O272" s="27"/>
      <c r="P272" s="27"/>
      <c r="Q272" s="27"/>
      <c r="R272" s="27"/>
    </row>
    <row r="273">
      <c r="F273" s="27"/>
      <c r="G273" s="27"/>
      <c r="H273" s="27"/>
      <c r="J273" s="27"/>
      <c r="L273" s="27"/>
      <c r="M273" s="27"/>
      <c r="N273" s="27"/>
      <c r="O273" s="27"/>
      <c r="P273" s="27"/>
      <c r="Q273" s="27"/>
      <c r="R273" s="27"/>
    </row>
    <row r="274">
      <c r="F274" s="27"/>
      <c r="G274" s="27"/>
      <c r="H274" s="27"/>
      <c r="J274" s="27"/>
      <c r="L274" s="27"/>
      <c r="M274" s="27"/>
      <c r="N274" s="27"/>
      <c r="O274" s="27"/>
      <c r="P274" s="27"/>
      <c r="Q274" s="27"/>
      <c r="R274" s="27"/>
    </row>
    <row r="275">
      <c r="F275" s="27"/>
      <c r="G275" s="27"/>
      <c r="H275" s="27"/>
      <c r="J275" s="27"/>
      <c r="L275" s="27"/>
      <c r="M275" s="27"/>
      <c r="N275" s="27"/>
      <c r="O275" s="27"/>
      <c r="P275" s="27"/>
      <c r="Q275" s="27"/>
      <c r="R275" s="27"/>
    </row>
    <row r="276">
      <c r="F276" s="27"/>
      <c r="G276" s="27"/>
      <c r="H276" s="27"/>
      <c r="J276" s="27"/>
      <c r="L276" s="27"/>
      <c r="M276" s="27"/>
      <c r="N276" s="27"/>
      <c r="O276" s="27"/>
      <c r="P276" s="27"/>
      <c r="Q276" s="27"/>
      <c r="R276" s="27"/>
    </row>
    <row r="277">
      <c r="F277" s="27"/>
      <c r="G277" s="27"/>
      <c r="H277" s="27"/>
      <c r="J277" s="27"/>
      <c r="L277" s="27"/>
      <c r="M277" s="27"/>
      <c r="N277" s="27"/>
      <c r="O277" s="27"/>
      <c r="P277" s="27"/>
      <c r="Q277" s="27"/>
      <c r="R277" s="27"/>
    </row>
    <row r="278">
      <c r="F278" s="27"/>
      <c r="G278" s="27"/>
      <c r="H278" s="27"/>
      <c r="J278" s="27"/>
      <c r="L278" s="27"/>
      <c r="M278" s="27"/>
      <c r="N278" s="27"/>
      <c r="O278" s="27"/>
      <c r="P278" s="27"/>
      <c r="Q278" s="27"/>
      <c r="R278" s="27"/>
    </row>
    <row r="279">
      <c r="F279" s="27"/>
      <c r="G279" s="27"/>
      <c r="H279" s="27"/>
      <c r="J279" s="27"/>
      <c r="L279" s="27"/>
      <c r="M279" s="27"/>
      <c r="N279" s="27"/>
      <c r="O279" s="27"/>
      <c r="P279" s="27"/>
      <c r="Q279" s="27"/>
      <c r="R279" s="27"/>
    </row>
    <row r="280">
      <c r="F280" s="27"/>
      <c r="G280" s="27"/>
      <c r="H280" s="27"/>
      <c r="J280" s="27"/>
      <c r="L280" s="27"/>
      <c r="M280" s="27"/>
      <c r="N280" s="27"/>
      <c r="O280" s="27"/>
      <c r="P280" s="27"/>
      <c r="Q280" s="27"/>
      <c r="R280" s="27"/>
    </row>
    <row r="281">
      <c r="F281" s="27"/>
      <c r="G281" s="27"/>
      <c r="H281" s="27"/>
      <c r="J281" s="27"/>
      <c r="L281" s="27"/>
      <c r="M281" s="27"/>
      <c r="N281" s="27"/>
      <c r="O281" s="27"/>
      <c r="P281" s="27"/>
      <c r="Q281" s="27"/>
      <c r="R281" s="27"/>
    </row>
    <row r="282">
      <c r="F282" s="27"/>
      <c r="G282" s="27"/>
      <c r="H282" s="27"/>
      <c r="J282" s="27"/>
      <c r="L282" s="27"/>
      <c r="M282" s="27"/>
      <c r="N282" s="27"/>
      <c r="O282" s="27"/>
      <c r="P282" s="27"/>
      <c r="Q282" s="27"/>
      <c r="R282" s="27"/>
    </row>
    <row r="283">
      <c r="F283" s="27"/>
      <c r="G283" s="27"/>
      <c r="H283" s="27"/>
      <c r="J283" s="27"/>
      <c r="L283" s="27"/>
      <c r="M283" s="27"/>
      <c r="N283" s="27"/>
      <c r="O283" s="27"/>
      <c r="P283" s="27"/>
      <c r="Q283" s="27"/>
      <c r="R283" s="27"/>
    </row>
    <row r="284">
      <c r="F284" s="27"/>
      <c r="G284" s="27"/>
      <c r="H284" s="27"/>
      <c r="J284" s="27"/>
      <c r="L284" s="27"/>
      <c r="M284" s="27"/>
      <c r="N284" s="27"/>
      <c r="O284" s="27"/>
      <c r="P284" s="27"/>
      <c r="Q284" s="27"/>
      <c r="R284" s="27"/>
    </row>
    <row r="285">
      <c r="F285" s="27"/>
      <c r="G285" s="27"/>
      <c r="H285" s="27"/>
      <c r="J285" s="27"/>
      <c r="L285" s="27"/>
      <c r="M285" s="27"/>
      <c r="N285" s="27"/>
      <c r="O285" s="27"/>
      <c r="P285" s="27"/>
      <c r="Q285" s="27"/>
      <c r="R285" s="27"/>
    </row>
    <row r="286">
      <c r="F286" s="27"/>
      <c r="G286" s="27"/>
      <c r="H286" s="27"/>
      <c r="J286" s="27"/>
      <c r="L286" s="27"/>
      <c r="M286" s="27"/>
      <c r="N286" s="27"/>
      <c r="O286" s="27"/>
      <c r="P286" s="27"/>
      <c r="Q286" s="27"/>
      <c r="R286" s="27"/>
    </row>
    <row r="287">
      <c r="F287" s="27"/>
      <c r="G287" s="27"/>
      <c r="H287" s="27"/>
      <c r="J287" s="27"/>
      <c r="L287" s="27"/>
      <c r="M287" s="27"/>
      <c r="N287" s="27"/>
      <c r="O287" s="27"/>
      <c r="P287" s="27"/>
      <c r="Q287" s="27"/>
      <c r="R287" s="27"/>
    </row>
    <row r="288">
      <c r="F288" s="27"/>
      <c r="G288" s="27"/>
      <c r="H288" s="27"/>
      <c r="J288" s="27"/>
      <c r="L288" s="27"/>
      <c r="M288" s="27"/>
      <c r="N288" s="27"/>
      <c r="O288" s="27"/>
      <c r="P288" s="27"/>
      <c r="Q288" s="27"/>
      <c r="R288" s="27"/>
    </row>
    <row r="289">
      <c r="F289" s="27"/>
      <c r="G289" s="27"/>
      <c r="H289" s="27"/>
      <c r="J289" s="27"/>
      <c r="L289" s="27"/>
      <c r="M289" s="27"/>
      <c r="N289" s="27"/>
      <c r="O289" s="27"/>
      <c r="P289" s="27"/>
      <c r="Q289" s="27"/>
      <c r="R289" s="27"/>
    </row>
    <row r="290">
      <c r="F290" s="27"/>
      <c r="G290" s="27"/>
      <c r="H290" s="27"/>
      <c r="J290" s="27"/>
      <c r="L290" s="27"/>
      <c r="M290" s="27"/>
      <c r="N290" s="27"/>
      <c r="O290" s="27"/>
      <c r="P290" s="27"/>
      <c r="Q290" s="27"/>
      <c r="R290" s="27"/>
    </row>
    <row r="291">
      <c r="F291" s="27"/>
      <c r="G291" s="27"/>
      <c r="H291" s="27"/>
      <c r="J291" s="27"/>
      <c r="L291" s="27"/>
      <c r="M291" s="27"/>
      <c r="N291" s="27"/>
      <c r="O291" s="27"/>
      <c r="P291" s="27"/>
      <c r="Q291" s="27"/>
      <c r="R291" s="27"/>
    </row>
    <row r="292">
      <c r="F292" s="27"/>
      <c r="G292" s="27"/>
      <c r="H292" s="27"/>
      <c r="J292" s="27"/>
      <c r="L292" s="27"/>
      <c r="M292" s="27"/>
      <c r="N292" s="27"/>
      <c r="O292" s="27"/>
      <c r="P292" s="27"/>
      <c r="Q292" s="27"/>
      <c r="R292" s="27"/>
    </row>
    <row r="293">
      <c r="F293" s="27"/>
      <c r="G293" s="27"/>
      <c r="H293" s="27"/>
      <c r="J293" s="27"/>
      <c r="L293" s="27"/>
      <c r="M293" s="27"/>
      <c r="N293" s="27"/>
      <c r="O293" s="27"/>
      <c r="P293" s="27"/>
      <c r="Q293" s="27"/>
      <c r="R293" s="27"/>
    </row>
    <row r="294">
      <c r="F294" s="27"/>
      <c r="G294" s="27"/>
      <c r="H294" s="27"/>
      <c r="J294" s="27"/>
      <c r="L294" s="27"/>
      <c r="M294" s="27"/>
      <c r="N294" s="27"/>
      <c r="O294" s="27"/>
      <c r="P294" s="27"/>
      <c r="Q294" s="27"/>
      <c r="R294" s="27"/>
    </row>
    <row r="295">
      <c r="F295" s="27"/>
      <c r="G295" s="27"/>
      <c r="H295" s="27"/>
      <c r="J295" s="27"/>
      <c r="L295" s="27"/>
      <c r="M295" s="27"/>
      <c r="N295" s="27"/>
      <c r="O295" s="27"/>
      <c r="P295" s="27"/>
      <c r="Q295" s="27"/>
      <c r="R295" s="27"/>
    </row>
    <row r="296">
      <c r="F296" s="27"/>
      <c r="G296" s="27"/>
      <c r="H296" s="27"/>
      <c r="J296" s="27"/>
      <c r="L296" s="27"/>
      <c r="M296" s="27"/>
      <c r="N296" s="27"/>
      <c r="O296" s="27"/>
      <c r="P296" s="27"/>
      <c r="Q296" s="27"/>
      <c r="R296" s="27"/>
    </row>
    <row r="297">
      <c r="F297" s="27"/>
      <c r="G297" s="27"/>
      <c r="H297" s="27"/>
      <c r="J297" s="27"/>
      <c r="L297" s="27"/>
      <c r="M297" s="27"/>
      <c r="N297" s="27"/>
      <c r="O297" s="27"/>
      <c r="P297" s="27"/>
      <c r="Q297" s="27"/>
      <c r="R297" s="27"/>
    </row>
    <row r="298">
      <c r="F298" s="27"/>
      <c r="G298" s="27"/>
      <c r="H298" s="27"/>
      <c r="J298" s="27"/>
      <c r="L298" s="27"/>
      <c r="M298" s="27"/>
      <c r="N298" s="27"/>
      <c r="O298" s="27"/>
      <c r="P298" s="27"/>
      <c r="Q298" s="27"/>
      <c r="R298" s="27"/>
    </row>
    <row r="299">
      <c r="F299" s="27"/>
      <c r="G299" s="27"/>
      <c r="H299" s="27"/>
      <c r="J299" s="27"/>
      <c r="L299" s="27"/>
      <c r="M299" s="27"/>
      <c r="N299" s="27"/>
      <c r="O299" s="27"/>
      <c r="P299" s="27"/>
      <c r="Q299" s="27"/>
      <c r="R299" s="27"/>
    </row>
    <row r="300">
      <c r="F300" s="27"/>
      <c r="G300" s="27"/>
      <c r="H300" s="27"/>
      <c r="J300" s="27"/>
      <c r="L300" s="27"/>
      <c r="M300" s="27"/>
      <c r="N300" s="27"/>
      <c r="O300" s="27"/>
      <c r="P300" s="27"/>
      <c r="Q300" s="27"/>
      <c r="R300" s="27"/>
    </row>
    <row r="301">
      <c r="F301" s="27"/>
      <c r="G301" s="27"/>
      <c r="H301" s="27"/>
      <c r="J301" s="27"/>
      <c r="L301" s="27"/>
      <c r="M301" s="27"/>
      <c r="N301" s="27"/>
      <c r="O301" s="27"/>
      <c r="P301" s="27"/>
      <c r="Q301" s="27"/>
      <c r="R301" s="27"/>
    </row>
    <row r="302">
      <c r="F302" s="27"/>
      <c r="G302" s="27"/>
      <c r="H302" s="27"/>
      <c r="J302" s="27"/>
      <c r="L302" s="27"/>
      <c r="M302" s="27"/>
      <c r="N302" s="27"/>
      <c r="O302" s="27"/>
      <c r="P302" s="27"/>
      <c r="Q302" s="27"/>
      <c r="R302" s="27"/>
    </row>
    <row r="303">
      <c r="F303" s="27"/>
      <c r="G303" s="27"/>
      <c r="H303" s="27"/>
      <c r="J303" s="27"/>
      <c r="L303" s="27"/>
      <c r="M303" s="27"/>
      <c r="N303" s="27"/>
      <c r="O303" s="27"/>
      <c r="P303" s="27"/>
      <c r="Q303" s="27"/>
      <c r="R303" s="27"/>
    </row>
    <row r="304">
      <c r="F304" s="27"/>
      <c r="G304" s="27"/>
      <c r="H304" s="27"/>
      <c r="J304" s="27"/>
      <c r="L304" s="27"/>
      <c r="M304" s="27"/>
      <c r="N304" s="27"/>
      <c r="O304" s="27"/>
      <c r="P304" s="27"/>
      <c r="Q304" s="27"/>
      <c r="R304" s="27"/>
    </row>
    <row r="305">
      <c r="F305" s="27"/>
      <c r="G305" s="27"/>
      <c r="H305" s="27"/>
      <c r="J305" s="27"/>
      <c r="L305" s="27"/>
      <c r="M305" s="27"/>
      <c r="N305" s="27"/>
      <c r="O305" s="27"/>
      <c r="P305" s="27"/>
      <c r="Q305" s="27"/>
      <c r="R305" s="27"/>
    </row>
    <row r="306">
      <c r="F306" s="27"/>
      <c r="G306" s="27"/>
      <c r="H306" s="27"/>
      <c r="J306" s="27"/>
      <c r="L306" s="27"/>
      <c r="M306" s="27"/>
      <c r="N306" s="27"/>
      <c r="O306" s="27"/>
      <c r="P306" s="27"/>
      <c r="Q306" s="27"/>
      <c r="R306" s="27"/>
    </row>
    <row r="307">
      <c r="F307" s="27"/>
      <c r="G307" s="27"/>
      <c r="H307" s="27"/>
      <c r="J307" s="27"/>
      <c r="L307" s="27"/>
      <c r="M307" s="27"/>
      <c r="N307" s="27"/>
      <c r="O307" s="27"/>
      <c r="P307" s="27"/>
      <c r="Q307" s="27"/>
      <c r="R307" s="27"/>
    </row>
    <row r="308">
      <c r="F308" s="27"/>
      <c r="G308" s="27"/>
      <c r="H308" s="27"/>
      <c r="J308" s="27"/>
      <c r="L308" s="27"/>
      <c r="M308" s="27"/>
      <c r="N308" s="27"/>
      <c r="O308" s="27"/>
      <c r="P308" s="27"/>
      <c r="Q308" s="27"/>
      <c r="R308" s="27"/>
    </row>
    <row r="309">
      <c r="F309" s="27"/>
      <c r="G309" s="27"/>
      <c r="H309" s="27"/>
      <c r="J309" s="27"/>
      <c r="L309" s="27"/>
      <c r="M309" s="27"/>
      <c r="N309" s="27"/>
      <c r="O309" s="27"/>
      <c r="P309" s="27"/>
      <c r="Q309" s="27"/>
      <c r="R309" s="27"/>
    </row>
    <row r="310">
      <c r="F310" s="27"/>
      <c r="G310" s="27"/>
      <c r="H310" s="27"/>
      <c r="J310" s="27"/>
      <c r="L310" s="27"/>
      <c r="M310" s="27"/>
      <c r="N310" s="27"/>
      <c r="O310" s="27"/>
      <c r="P310" s="27"/>
      <c r="Q310" s="27"/>
      <c r="R310" s="27"/>
    </row>
    <row r="311">
      <c r="F311" s="27"/>
      <c r="G311" s="27"/>
      <c r="H311" s="27"/>
      <c r="J311" s="27"/>
      <c r="L311" s="27"/>
      <c r="M311" s="27"/>
      <c r="N311" s="27"/>
      <c r="O311" s="27"/>
      <c r="P311" s="27"/>
      <c r="Q311" s="27"/>
      <c r="R311" s="27"/>
    </row>
    <row r="312">
      <c r="F312" s="27"/>
      <c r="G312" s="27"/>
      <c r="H312" s="27"/>
      <c r="J312" s="27"/>
      <c r="L312" s="27"/>
      <c r="M312" s="27"/>
      <c r="N312" s="27"/>
      <c r="O312" s="27"/>
      <c r="P312" s="27"/>
      <c r="Q312" s="27"/>
      <c r="R312" s="27"/>
    </row>
    <row r="313">
      <c r="F313" s="27"/>
      <c r="G313" s="27"/>
      <c r="H313" s="27"/>
      <c r="J313" s="27"/>
      <c r="L313" s="27"/>
      <c r="M313" s="27"/>
      <c r="N313" s="27"/>
      <c r="O313" s="27"/>
      <c r="P313" s="27"/>
      <c r="Q313" s="27"/>
      <c r="R313" s="27"/>
    </row>
    <row r="314">
      <c r="F314" s="27"/>
      <c r="G314" s="27"/>
      <c r="H314" s="27"/>
      <c r="J314" s="27"/>
      <c r="L314" s="27"/>
      <c r="M314" s="27"/>
      <c r="N314" s="27"/>
      <c r="O314" s="27"/>
      <c r="P314" s="27"/>
      <c r="Q314" s="27"/>
      <c r="R314" s="27"/>
    </row>
    <row r="315">
      <c r="F315" s="27"/>
      <c r="G315" s="27"/>
      <c r="H315" s="27"/>
      <c r="J315" s="27"/>
      <c r="L315" s="27"/>
      <c r="M315" s="27"/>
      <c r="N315" s="27"/>
      <c r="O315" s="27"/>
      <c r="P315" s="27"/>
      <c r="Q315" s="27"/>
      <c r="R315" s="27"/>
    </row>
    <row r="316">
      <c r="F316" s="27"/>
      <c r="G316" s="27"/>
      <c r="H316" s="27"/>
      <c r="J316" s="27"/>
      <c r="L316" s="27"/>
      <c r="M316" s="27"/>
      <c r="N316" s="27"/>
      <c r="O316" s="27"/>
      <c r="P316" s="27"/>
      <c r="Q316" s="27"/>
      <c r="R316" s="27"/>
    </row>
    <row r="317">
      <c r="F317" s="27"/>
      <c r="G317" s="27"/>
      <c r="H317" s="27"/>
      <c r="J317" s="27"/>
      <c r="L317" s="27"/>
      <c r="M317" s="27"/>
      <c r="N317" s="27"/>
      <c r="O317" s="27"/>
      <c r="P317" s="27"/>
      <c r="Q317" s="27"/>
      <c r="R317" s="27"/>
    </row>
    <row r="318">
      <c r="F318" s="27"/>
      <c r="G318" s="27"/>
      <c r="H318" s="27"/>
      <c r="J318" s="27"/>
      <c r="L318" s="27"/>
      <c r="M318" s="27"/>
      <c r="N318" s="27"/>
      <c r="O318" s="27"/>
      <c r="P318" s="27"/>
      <c r="Q318" s="27"/>
      <c r="R318" s="27"/>
    </row>
    <row r="319">
      <c r="F319" s="27"/>
      <c r="G319" s="27"/>
      <c r="H319" s="27"/>
      <c r="J319" s="27"/>
      <c r="L319" s="27"/>
      <c r="M319" s="27"/>
      <c r="N319" s="27"/>
      <c r="O319" s="27"/>
      <c r="P319" s="27"/>
      <c r="Q319" s="27"/>
      <c r="R319" s="27"/>
    </row>
    <row r="320">
      <c r="F320" s="27"/>
      <c r="G320" s="27"/>
      <c r="H320" s="27"/>
      <c r="J320" s="27"/>
      <c r="L320" s="27"/>
      <c r="M320" s="27"/>
      <c r="N320" s="27"/>
      <c r="O320" s="27"/>
      <c r="P320" s="27"/>
      <c r="Q320" s="27"/>
      <c r="R320" s="27"/>
    </row>
    <row r="321">
      <c r="F321" s="27"/>
      <c r="G321" s="27"/>
      <c r="H321" s="27"/>
      <c r="J321" s="27"/>
      <c r="L321" s="27"/>
      <c r="M321" s="27"/>
      <c r="N321" s="27"/>
      <c r="O321" s="27"/>
      <c r="P321" s="27"/>
      <c r="Q321" s="27"/>
      <c r="R321" s="27"/>
    </row>
    <row r="322">
      <c r="F322" s="27"/>
      <c r="G322" s="27"/>
      <c r="H322" s="27"/>
      <c r="J322" s="27"/>
      <c r="L322" s="27"/>
      <c r="M322" s="27"/>
      <c r="N322" s="27"/>
      <c r="O322" s="27"/>
      <c r="P322" s="27"/>
      <c r="Q322" s="27"/>
      <c r="R322" s="27"/>
    </row>
    <row r="323">
      <c r="F323" s="27"/>
      <c r="G323" s="27"/>
      <c r="H323" s="27"/>
      <c r="J323" s="27"/>
      <c r="L323" s="27"/>
      <c r="M323" s="27"/>
      <c r="N323" s="27"/>
      <c r="O323" s="27"/>
      <c r="P323" s="27"/>
      <c r="Q323" s="27"/>
      <c r="R323" s="27"/>
    </row>
    <row r="324">
      <c r="F324" s="27"/>
      <c r="G324" s="27"/>
      <c r="H324" s="27"/>
      <c r="J324" s="27"/>
      <c r="L324" s="27"/>
      <c r="M324" s="27"/>
      <c r="N324" s="27"/>
      <c r="O324" s="27"/>
      <c r="P324" s="27"/>
      <c r="Q324" s="27"/>
      <c r="R324" s="27"/>
    </row>
    <row r="325">
      <c r="F325" s="27"/>
      <c r="G325" s="27"/>
      <c r="H325" s="27"/>
      <c r="J325" s="27"/>
      <c r="L325" s="27"/>
      <c r="M325" s="27"/>
      <c r="N325" s="27"/>
      <c r="O325" s="27"/>
      <c r="P325" s="27"/>
      <c r="Q325" s="27"/>
      <c r="R325" s="27"/>
    </row>
    <row r="326">
      <c r="F326" s="27"/>
      <c r="G326" s="27"/>
      <c r="H326" s="27"/>
      <c r="J326" s="27"/>
      <c r="L326" s="27"/>
      <c r="M326" s="27"/>
      <c r="N326" s="27"/>
      <c r="O326" s="27"/>
      <c r="P326" s="27"/>
      <c r="Q326" s="27"/>
      <c r="R326" s="27"/>
    </row>
    <row r="327">
      <c r="F327" s="27"/>
      <c r="G327" s="27"/>
      <c r="H327" s="27"/>
      <c r="J327" s="27"/>
      <c r="L327" s="27"/>
      <c r="M327" s="27"/>
      <c r="N327" s="27"/>
      <c r="O327" s="27"/>
      <c r="P327" s="27"/>
      <c r="Q327" s="27"/>
      <c r="R327" s="27"/>
    </row>
    <row r="328">
      <c r="F328" s="27"/>
      <c r="G328" s="27"/>
      <c r="H328" s="27"/>
      <c r="J328" s="27"/>
      <c r="L328" s="27"/>
      <c r="M328" s="27"/>
      <c r="N328" s="27"/>
      <c r="O328" s="27"/>
      <c r="P328" s="27"/>
      <c r="Q328" s="27"/>
      <c r="R328" s="27"/>
    </row>
    <row r="329">
      <c r="F329" s="27"/>
      <c r="G329" s="27"/>
      <c r="H329" s="27"/>
      <c r="J329" s="27"/>
      <c r="L329" s="27"/>
      <c r="M329" s="27"/>
      <c r="N329" s="27"/>
      <c r="O329" s="27"/>
      <c r="P329" s="27"/>
      <c r="Q329" s="27"/>
      <c r="R329" s="27"/>
    </row>
    <row r="330">
      <c r="F330" s="27"/>
      <c r="G330" s="27"/>
      <c r="H330" s="27"/>
      <c r="J330" s="27"/>
      <c r="L330" s="27"/>
      <c r="M330" s="27"/>
      <c r="N330" s="27"/>
      <c r="O330" s="27"/>
      <c r="P330" s="27"/>
      <c r="Q330" s="27"/>
      <c r="R330" s="27"/>
    </row>
    <row r="331">
      <c r="F331" s="27"/>
      <c r="G331" s="27"/>
      <c r="H331" s="27"/>
      <c r="J331" s="27"/>
      <c r="L331" s="27"/>
      <c r="M331" s="27"/>
      <c r="N331" s="27"/>
      <c r="O331" s="27"/>
      <c r="P331" s="27"/>
      <c r="Q331" s="27"/>
      <c r="R331" s="27"/>
    </row>
    <row r="332">
      <c r="F332" s="27"/>
      <c r="G332" s="27"/>
      <c r="H332" s="27"/>
      <c r="J332" s="27"/>
      <c r="L332" s="27"/>
      <c r="M332" s="27"/>
      <c r="N332" s="27"/>
      <c r="O332" s="27"/>
      <c r="P332" s="27"/>
      <c r="Q332" s="27"/>
      <c r="R332" s="27"/>
    </row>
    <row r="333">
      <c r="F333" s="27"/>
      <c r="G333" s="27"/>
      <c r="H333" s="27"/>
      <c r="J333" s="27"/>
      <c r="L333" s="27"/>
      <c r="M333" s="27"/>
      <c r="N333" s="27"/>
      <c r="O333" s="27"/>
      <c r="P333" s="27"/>
      <c r="Q333" s="27"/>
      <c r="R333" s="27"/>
    </row>
    <row r="334">
      <c r="F334" s="27"/>
      <c r="G334" s="27"/>
      <c r="H334" s="27"/>
      <c r="J334" s="27"/>
      <c r="L334" s="27"/>
      <c r="M334" s="27"/>
      <c r="N334" s="27"/>
      <c r="O334" s="27"/>
      <c r="P334" s="27"/>
      <c r="Q334" s="27"/>
      <c r="R334" s="27"/>
    </row>
    <row r="335">
      <c r="F335" s="27"/>
      <c r="G335" s="27"/>
      <c r="H335" s="27"/>
      <c r="J335" s="27"/>
      <c r="L335" s="27"/>
      <c r="M335" s="27"/>
      <c r="N335" s="27"/>
      <c r="O335" s="27"/>
      <c r="P335" s="27"/>
      <c r="Q335" s="27"/>
      <c r="R335" s="27"/>
    </row>
    <row r="336">
      <c r="F336" s="27"/>
      <c r="G336" s="27"/>
      <c r="H336" s="27"/>
      <c r="J336" s="27"/>
      <c r="L336" s="27"/>
      <c r="M336" s="27"/>
      <c r="N336" s="27"/>
      <c r="O336" s="27"/>
      <c r="P336" s="27"/>
      <c r="Q336" s="27"/>
      <c r="R336" s="27"/>
    </row>
    <row r="337">
      <c r="F337" s="27"/>
      <c r="G337" s="27"/>
      <c r="H337" s="27"/>
      <c r="J337" s="27"/>
      <c r="L337" s="27"/>
      <c r="M337" s="27"/>
      <c r="N337" s="27"/>
      <c r="O337" s="27"/>
      <c r="P337" s="27"/>
      <c r="Q337" s="27"/>
      <c r="R337" s="27"/>
    </row>
    <row r="338">
      <c r="F338" s="27"/>
      <c r="G338" s="27"/>
      <c r="H338" s="27"/>
      <c r="J338" s="27"/>
      <c r="L338" s="27"/>
      <c r="M338" s="27"/>
      <c r="N338" s="27"/>
      <c r="O338" s="27"/>
      <c r="P338" s="27"/>
      <c r="Q338" s="27"/>
      <c r="R338" s="27"/>
    </row>
    <row r="339">
      <c r="F339" s="27"/>
      <c r="G339" s="27"/>
      <c r="H339" s="27"/>
      <c r="J339" s="27"/>
      <c r="L339" s="27"/>
      <c r="M339" s="27"/>
      <c r="N339" s="27"/>
      <c r="O339" s="27"/>
      <c r="P339" s="27"/>
      <c r="Q339" s="27"/>
      <c r="R339" s="27"/>
    </row>
    <row r="340">
      <c r="F340" s="27"/>
      <c r="G340" s="27"/>
      <c r="H340" s="27"/>
      <c r="J340" s="27"/>
      <c r="L340" s="27"/>
      <c r="M340" s="27"/>
      <c r="N340" s="27"/>
      <c r="O340" s="27"/>
      <c r="P340" s="27"/>
      <c r="Q340" s="27"/>
      <c r="R340" s="27"/>
    </row>
    <row r="341">
      <c r="F341" s="27"/>
      <c r="G341" s="27"/>
      <c r="H341" s="27"/>
      <c r="J341" s="27"/>
      <c r="L341" s="27"/>
      <c r="M341" s="27"/>
      <c r="N341" s="27"/>
      <c r="O341" s="27"/>
      <c r="P341" s="27"/>
      <c r="Q341" s="27"/>
      <c r="R341" s="27"/>
    </row>
    <row r="342">
      <c r="F342" s="27"/>
      <c r="G342" s="27"/>
      <c r="H342" s="27"/>
      <c r="J342" s="27"/>
      <c r="L342" s="27"/>
      <c r="M342" s="27"/>
      <c r="N342" s="27"/>
      <c r="O342" s="27"/>
      <c r="P342" s="27"/>
      <c r="Q342" s="27"/>
      <c r="R342" s="27"/>
    </row>
    <row r="343">
      <c r="F343" s="27"/>
      <c r="G343" s="27"/>
      <c r="H343" s="27"/>
      <c r="J343" s="27"/>
      <c r="L343" s="27"/>
      <c r="M343" s="27"/>
      <c r="N343" s="27"/>
      <c r="O343" s="27"/>
      <c r="P343" s="27"/>
      <c r="Q343" s="27"/>
      <c r="R343" s="27"/>
    </row>
    <row r="344">
      <c r="F344" s="27"/>
      <c r="G344" s="27"/>
      <c r="H344" s="27"/>
      <c r="J344" s="27"/>
      <c r="L344" s="27"/>
      <c r="M344" s="27"/>
      <c r="N344" s="27"/>
      <c r="O344" s="27"/>
      <c r="P344" s="27"/>
      <c r="Q344" s="27"/>
      <c r="R344" s="27"/>
    </row>
    <row r="345">
      <c r="F345" s="27"/>
      <c r="G345" s="27"/>
      <c r="H345" s="27"/>
      <c r="J345" s="27"/>
      <c r="L345" s="27"/>
      <c r="M345" s="27"/>
      <c r="N345" s="27"/>
      <c r="O345" s="27"/>
      <c r="P345" s="27"/>
      <c r="Q345" s="27"/>
      <c r="R345" s="27"/>
    </row>
    <row r="346">
      <c r="F346" s="27"/>
      <c r="G346" s="27"/>
      <c r="H346" s="27"/>
      <c r="J346" s="27"/>
      <c r="L346" s="27"/>
      <c r="M346" s="27"/>
      <c r="N346" s="27"/>
      <c r="O346" s="27"/>
      <c r="P346" s="27"/>
      <c r="Q346" s="27"/>
      <c r="R346" s="27"/>
    </row>
    <row r="347">
      <c r="F347" s="27"/>
      <c r="G347" s="27"/>
      <c r="H347" s="27"/>
      <c r="J347" s="27"/>
      <c r="L347" s="27"/>
      <c r="M347" s="27"/>
      <c r="N347" s="27"/>
      <c r="O347" s="27"/>
      <c r="P347" s="27"/>
      <c r="Q347" s="27"/>
      <c r="R347" s="27"/>
    </row>
    <row r="348">
      <c r="F348" s="27"/>
      <c r="G348" s="27"/>
      <c r="H348" s="27"/>
      <c r="J348" s="27"/>
      <c r="L348" s="27"/>
      <c r="M348" s="27"/>
      <c r="N348" s="27"/>
      <c r="O348" s="27"/>
      <c r="P348" s="27"/>
      <c r="Q348" s="27"/>
      <c r="R348" s="27"/>
    </row>
    <row r="349">
      <c r="F349" s="27"/>
      <c r="G349" s="27"/>
      <c r="H349" s="27"/>
      <c r="J349" s="27"/>
      <c r="L349" s="27"/>
      <c r="M349" s="27"/>
      <c r="N349" s="27"/>
      <c r="O349" s="27"/>
      <c r="P349" s="27"/>
      <c r="Q349" s="27"/>
      <c r="R349" s="27"/>
    </row>
    <row r="350">
      <c r="F350" s="27"/>
      <c r="G350" s="27"/>
      <c r="H350" s="27"/>
      <c r="J350" s="27"/>
      <c r="L350" s="27"/>
      <c r="M350" s="27"/>
      <c r="N350" s="27"/>
      <c r="O350" s="27"/>
      <c r="P350" s="27"/>
      <c r="Q350" s="27"/>
      <c r="R350" s="27"/>
    </row>
    <row r="351">
      <c r="F351" s="27"/>
      <c r="G351" s="27"/>
      <c r="H351" s="27"/>
      <c r="J351" s="27"/>
      <c r="L351" s="27"/>
      <c r="M351" s="27"/>
      <c r="N351" s="27"/>
      <c r="O351" s="27"/>
      <c r="P351" s="27"/>
      <c r="Q351" s="27"/>
      <c r="R351" s="27"/>
    </row>
    <row r="352">
      <c r="F352" s="27"/>
      <c r="G352" s="27"/>
      <c r="H352" s="27"/>
      <c r="J352" s="27"/>
      <c r="L352" s="27"/>
      <c r="M352" s="27"/>
      <c r="N352" s="27"/>
      <c r="O352" s="27"/>
      <c r="P352" s="27"/>
      <c r="Q352" s="27"/>
      <c r="R352" s="27"/>
    </row>
    <row r="353">
      <c r="F353" s="27"/>
      <c r="G353" s="27"/>
      <c r="H353" s="27"/>
      <c r="J353" s="27"/>
      <c r="L353" s="27"/>
      <c r="M353" s="27"/>
      <c r="N353" s="27"/>
      <c r="O353" s="27"/>
      <c r="P353" s="27"/>
      <c r="Q353" s="27"/>
      <c r="R353" s="27"/>
    </row>
    <row r="354">
      <c r="F354" s="27"/>
      <c r="G354" s="27"/>
      <c r="H354" s="27"/>
      <c r="J354" s="27"/>
      <c r="L354" s="27"/>
      <c r="M354" s="27"/>
      <c r="N354" s="27"/>
      <c r="O354" s="27"/>
      <c r="P354" s="27"/>
      <c r="Q354" s="27"/>
      <c r="R354" s="27"/>
    </row>
    <row r="355">
      <c r="F355" s="27"/>
      <c r="G355" s="27"/>
      <c r="H355" s="27"/>
      <c r="J355" s="27"/>
      <c r="L355" s="27"/>
      <c r="M355" s="27"/>
      <c r="N355" s="27"/>
      <c r="O355" s="27"/>
      <c r="P355" s="27"/>
      <c r="Q355" s="27"/>
      <c r="R355" s="27"/>
    </row>
    <row r="356">
      <c r="F356" s="27"/>
      <c r="G356" s="27"/>
      <c r="H356" s="27"/>
      <c r="J356" s="27"/>
      <c r="L356" s="27"/>
      <c r="M356" s="27"/>
      <c r="N356" s="27"/>
      <c r="O356" s="27"/>
      <c r="P356" s="27"/>
      <c r="Q356" s="27"/>
      <c r="R356" s="27"/>
    </row>
    <row r="357">
      <c r="F357" s="27"/>
      <c r="G357" s="27"/>
      <c r="H357" s="27"/>
      <c r="J357" s="27"/>
      <c r="L357" s="27"/>
      <c r="M357" s="27"/>
      <c r="N357" s="27"/>
      <c r="O357" s="27"/>
      <c r="P357" s="27"/>
      <c r="Q357" s="27"/>
      <c r="R357" s="27"/>
    </row>
    <row r="358">
      <c r="F358" s="27"/>
      <c r="G358" s="27"/>
      <c r="H358" s="27"/>
      <c r="J358" s="27"/>
      <c r="L358" s="27"/>
      <c r="M358" s="27"/>
      <c r="N358" s="27"/>
      <c r="O358" s="27"/>
      <c r="P358" s="27"/>
      <c r="Q358" s="27"/>
      <c r="R358" s="27"/>
    </row>
    <row r="359">
      <c r="F359" s="27"/>
      <c r="G359" s="27"/>
      <c r="H359" s="27"/>
      <c r="J359" s="27"/>
      <c r="L359" s="27"/>
      <c r="M359" s="27"/>
      <c r="N359" s="27"/>
      <c r="O359" s="27"/>
      <c r="P359" s="27"/>
      <c r="Q359" s="27"/>
      <c r="R359" s="27"/>
    </row>
    <row r="360">
      <c r="F360" s="27"/>
      <c r="G360" s="27"/>
      <c r="H360" s="27"/>
      <c r="J360" s="27"/>
      <c r="L360" s="27"/>
      <c r="M360" s="27"/>
      <c r="N360" s="27"/>
      <c r="O360" s="27"/>
      <c r="P360" s="27"/>
      <c r="Q360" s="27"/>
      <c r="R360" s="27"/>
    </row>
    <row r="361">
      <c r="F361" s="27"/>
      <c r="G361" s="27"/>
      <c r="H361" s="27"/>
      <c r="J361" s="27"/>
      <c r="L361" s="27"/>
      <c r="M361" s="27"/>
      <c r="N361" s="27"/>
      <c r="O361" s="27"/>
      <c r="P361" s="27"/>
      <c r="Q361" s="27"/>
      <c r="R361" s="27"/>
    </row>
    <row r="362">
      <c r="F362" s="27"/>
      <c r="G362" s="27"/>
      <c r="H362" s="27"/>
      <c r="J362" s="27"/>
      <c r="L362" s="27"/>
      <c r="M362" s="27"/>
      <c r="N362" s="27"/>
      <c r="O362" s="27"/>
      <c r="P362" s="27"/>
      <c r="Q362" s="27"/>
      <c r="R362" s="27"/>
    </row>
    <row r="363">
      <c r="F363" s="27"/>
      <c r="G363" s="27"/>
      <c r="H363" s="27"/>
      <c r="J363" s="27"/>
      <c r="L363" s="27"/>
      <c r="M363" s="27"/>
      <c r="N363" s="27"/>
      <c r="O363" s="27"/>
      <c r="P363" s="27"/>
      <c r="Q363" s="27"/>
      <c r="R363" s="27"/>
    </row>
    <row r="364">
      <c r="F364" s="27"/>
      <c r="G364" s="27"/>
      <c r="H364" s="27"/>
      <c r="J364" s="27"/>
      <c r="L364" s="27"/>
      <c r="M364" s="27"/>
      <c r="N364" s="27"/>
      <c r="O364" s="27"/>
      <c r="P364" s="27"/>
      <c r="Q364" s="27"/>
      <c r="R364" s="27"/>
    </row>
    <row r="365">
      <c r="F365" s="27"/>
      <c r="G365" s="27"/>
      <c r="H365" s="27"/>
      <c r="J365" s="27"/>
      <c r="L365" s="27"/>
      <c r="M365" s="27"/>
      <c r="N365" s="27"/>
      <c r="O365" s="27"/>
      <c r="P365" s="27"/>
      <c r="Q365" s="27"/>
      <c r="R365" s="27"/>
    </row>
    <row r="366">
      <c r="F366" s="27"/>
      <c r="G366" s="27"/>
      <c r="H366" s="27"/>
      <c r="J366" s="27"/>
      <c r="L366" s="27"/>
      <c r="M366" s="27"/>
      <c r="N366" s="27"/>
      <c r="O366" s="27"/>
      <c r="P366" s="27"/>
      <c r="Q366" s="27"/>
      <c r="R366" s="27"/>
    </row>
    <row r="367">
      <c r="F367" s="27"/>
      <c r="G367" s="27"/>
      <c r="H367" s="27"/>
      <c r="J367" s="27"/>
      <c r="L367" s="27"/>
      <c r="M367" s="27"/>
      <c r="N367" s="27"/>
      <c r="O367" s="27"/>
      <c r="P367" s="27"/>
      <c r="Q367" s="27"/>
      <c r="R367" s="27"/>
    </row>
    <row r="368">
      <c r="F368" s="27"/>
      <c r="G368" s="27"/>
      <c r="H368" s="27"/>
      <c r="J368" s="27"/>
      <c r="L368" s="27"/>
      <c r="M368" s="27"/>
      <c r="N368" s="27"/>
      <c r="O368" s="27"/>
      <c r="P368" s="27"/>
      <c r="Q368" s="27"/>
      <c r="R368" s="27"/>
    </row>
    <row r="369">
      <c r="F369" s="27"/>
      <c r="G369" s="27"/>
      <c r="H369" s="27"/>
      <c r="J369" s="27"/>
      <c r="L369" s="27"/>
      <c r="M369" s="27"/>
      <c r="N369" s="27"/>
      <c r="O369" s="27"/>
      <c r="P369" s="27"/>
      <c r="Q369" s="27"/>
      <c r="R369" s="27"/>
    </row>
    <row r="370">
      <c r="F370" s="27"/>
      <c r="G370" s="27"/>
      <c r="H370" s="27"/>
      <c r="J370" s="27"/>
      <c r="L370" s="27"/>
      <c r="M370" s="27"/>
      <c r="N370" s="27"/>
      <c r="O370" s="27"/>
      <c r="P370" s="27"/>
      <c r="Q370" s="27"/>
      <c r="R370" s="27"/>
    </row>
    <row r="371">
      <c r="F371" s="27"/>
      <c r="G371" s="27"/>
      <c r="H371" s="27"/>
      <c r="J371" s="27"/>
      <c r="L371" s="27"/>
      <c r="M371" s="27"/>
      <c r="N371" s="27"/>
      <c r="O371" s="27"/>
      <c r="P371" s="27"/>
      <c r="Q371" s="27"/>
      <c r="R371" s="27"/>
    </row>
    <row r="372">
      <c r="F372" s="27"/>
      <c r="G372" s="27"/>
      <c r="H372" s="27"/>
      <c r="J372" s="27"/>
      <c r="L372" s="27"/>
      <c r="M372" s="27"/>
      <c r="N372" s="27"/>
      <c r="O372" s="27"/>
      <c r="P372" s="27"/>
      <c r="Q372" s="27"/>
      <c r="R372" s="27"/>
    </row>
    <row r="373">
      <c r="F373" s="27"/>
      <c r="G373" s="27"/>
      <c r="H373" s="27"/>
      <c r="J373" s="27"/>
      <c r="L373" s="27"/>
      <c r="M373" s="27"/>
      <c r="N373" s="27"/>
      <c r="O373" s="27"/>
      <c r="P373" s="27"/>
      <c r="Q373" s="27"/>
      <c r="R373" s="27"/>
    </row>
    <row r="374">
      <c r="F374" s="27"/>
      <c r="G374" s="27"/>
      <c r="H374" s="27"/>
      <c r="J374" s="27"/>
      <c r="L374" s="27"/>
      <c r="M374" s="27"/>
      <c r="N374" s="27"/>
      <c r="O374" s="27"/>
      <c r="P374" s="27"/>
      <c r="Q374" s="27"/>
      <c r="R374" s="27"/>
    </row>
    <row r="375">
      <c r="F375" s="27"/>
      <c r="G375" s="27"/>
      <c r="H375" s="27"/>
      <c r="J375" s="27"/>
      <c r="L375" s="27"/>
      <c r="M375" s="27"/>
      <c r="N375" s="27"/>
      <c r="O375" s="27"/>
      <c r="P375" s="27"/>
      <c r="Q375" s="27"/>
      <c r="R375" s="27"/>
    </row>
    <row r="376">
      <c r="F376" s="27"/>
      <c r="G376" s="27"/>
      <c r="H376" s="27"/>
      <c r="J376" s="27"/>
      <c r="L376" s="27"/>
      <c r="M376" s="27"/>
      <c r="N376" s="27"/>
      <c r="O376" s="27"/>
      <c r="P376" s="27"/>
      <c r="Q376" s="27"/>
      <c r="R376" s="27"/>
    </row>
    <row r="377">
      <c r="F377" s="27"/>
      <c r="G377" s="27"/>
      <c r="H377" s="27"/>
      <c r="J377" s="27"/>
      <c r="L377" s="27"/>
      <c r="M377" s="27"/>
      <c r="N377" s="27"/>
      <c r="O377" s="27"/>
      <c r="P377" s="27"/>
      <c r="Q377" s="27"/>
      <c r="R377" s="27"/>
    </row>
    <row r="378">
      <c r="F378" s="27"/>
      <c r="G378" s="27"/>
      <c r="H378" s="27"/>
      <c r="J378" s="27"/>
      <c r="L378" s="27"/>
      <c r="M378" s="27"/>
      <c r="N378" s="27"/>
      <c r="O378" s="27"/>
      <c r="P378" s="27"/>
      <c r="Q378" s="27"/>
      <c r="R378" s="27"/>
    </row>
    <row r="379">
      <c r="F379" s="27"/>
      <c r="G379" s="27"/>
      <c r="H379" s="27"/>
      <c r="J379" s="27"/>
      <c r="L379" s="27"/>
      <c r="M379" s="27"/>
      <c r="N379" s="27"/>
      <c r="O379" s="27"/>
      <c r="P379" s="27"/>
      <c r="Q379" s="27"/>
      <c r="R379" s="27"/>
    </row>
    <row r="380">
      <c r="F380" s="27"/>
      <c r="G380" s="27"/>
      <c r="H380" s="27"/>
      <c r="J380" s="27"/>
      <c r="L380" s="27"/>
      <c r="M380" s="27"/>
      <c r="N380" s="27"/>
      <c r="O380" s="27"/>
      <c r="P380" s="27"/>
      <c r="Q380" s="27"/>
      <c r="R380" s="27"/>
    </row>
    <row r="381">
      <c r="F381" s="27"/>
      <c r="G381" s="27"/>
      <c r="H381" s="27"/>
      <c r="J381" s="27"/>
      <c r="L381" s="27"/>
      <c r="M381" s="27"/>
      <c r="N381" s="27"/>
      <c r="O381" s="27"/>
      <c r="P381" s="27"/>
      <c r="Q381" s="27"/>
      <c r="R381" s="27"/>
    </row>
    <row r="382">
      <c r="F382" s="27"/>
      <c r="G382" s="27"/>
      <c r="H382" s="27"/>
      <c r="J382" s="27"/>
      <c r="L382" s="27"/>
      <c r="M382" s="27"/>
      <c r="N382" s="27"/>
      <c r="O382" s="27"/>
      <c r="P382" s="27"/>
      <c r="Q382" s="27"/>
      <c r="R382" s="27"/>
    </row>
    <row r="383">
      <c r="F383" s="27"/>
      <c r="G383" s="27"/>
      <c r="H383" s="27"/>
      <c r="J383" s="27"/>
      <c r="L383" s="27"/>
      <c r="M383" s="27"/>
      <c r="N383" s="27"/>
      <c r="O383" s="27"/>
      <c r="P383" s="27"/>
      <c r="Q383" s="27"/>
      <c r="R383" s="27"/>
    </row>
    <row r="384">
      <c r="F384" s="27"/>
      <c r="G384" s="27"/>
      <c r="H384" s="27"/>
      <c r="J384" s="27"/>
      <c r="L384" s="27"/>
      <c r="M384" s="27"/>
      <c r="N384" s="27"/>
      <c r="O384" s="27"/>
      <c r="P384" s="27"/>
      <c r="Q384" s="27"/>
      <c r="R384" s="27"/>
    </row>
    <row r="385">
      <c r="F385" s="27"/>
      <c r="G385" s="27"/>
      <c r="H385" s="27"/>
      <c r="J385" s="27"/>
      <c r="L385" s="27"/>
      <c r="M385" s="27"/>
      <c r="N385" s="27"/>
      <c r="O385" s="27"/>
      <c r="P385" s="27"/>
      <c r="Q385" s="27"/>
      <c r="R385" s="27"/>
    </row>
    <row r="386">
      <c r="F386" s="27"/>
      <c r="G386" s="27"/>
      <c r="H386" s="27"/>
      <c r="J386" s="27"/>
      <c r="L386" s="27"/>
      <c r="M386" s="27"/>
      <c r="N386" s="27"/>
      <c r="O386" s="27"/>
      <c r="P386" s="27"/>
      <c r="Q386" s="27"/>
      <c r="R386" s="27"/>
    </row>
    <row r="387">
      <c r="F387" s="27"/>
      <c r="G387" s="27"/>
      <c r="H387" s="27"/>
      <c r="J387" s="27"/>
      <c r="L387" s="27"/>
      <c r="M387" s="27"/>
      <c r="N387" s="27"/>
      <c r="O387" s="27"/>
      <c r="P387" s="27"/>
      <c r="Q387" s="27"/>
      <c r="R387" s="27"/>
    </row>
    <row r="388">
      <c r="F388" s="27"/>
      <c r="G388" s="27"/>
      <c r="H388" s="27"/>
      <c r="J388" s="27"/>
      <c r="L388" s="27"/>
      <c r="M388" s="27"/>
      <c r="N388" s="27"/>
      <c r="O388" s="27"/>
      <c r="P388" s="27"/>
      <c r="Q388" s="27"/>
      <c r="R388" s="27"/>
    </row>
    <row r="389">
      <c r="F389" s="27"/>
      <c r="G389" s="27"/>
      <c r="H389" s="27"/>
      <c r="J389" s="27"/>
      <c r="L389" s="27"/>
      <c r="M389" s="27"/>
      <c r="N389" s="27"/>
      <c r="O389" s="27"/>
      <c r="P389" s="27"/>
      <c r="Q389" s="27"/>
      <c r="R389" s="27"/>
    </row>
    <row r="390">
      <c r="F390" s="27"/>
      <c r="G390" s="27"/>
      <c r="H390" s="27"/>
      <c r="J390" s="27"/>
      <c r="L390" s="27"/>
      <c r="M390" s="27"/>
      <c r="N390" s="27"/>
      <c r="O390" s="27"/>
      <c r="P390" s="27"/>
      <c r="Q390" s="27"/>
      <c r="R390" s="27"/>
    </row>
    <row r="391">
      <c r="F391" s="27"/>
      <c r="G391" s="27"/>
      <c r="H391" s="27"/>
      <c r="J391" s="27"/>
      <c r="L391" s="27"/>
      <c r="M391" s="27"/>
      <c r="N391" s="27"/>
      <c r="O391" s="27"/>
      <c r="P391" s="27"/>
      <c r="Q391" s="27"/>
      <c r="R391" s="27"/>
    </row>
    <row r="392">
      <c r="F392" s="27"/>
      <c r="G392" s="27"/>
      <c r="H392" s="27"/>
      <c r="J392" s="27"/>
      <c r="L392" s="27"/>
      <c r="M392" s="27"/>
      <c r="N392" s="27"/>
      <c r="O392" s="27"/>
      <c r="P392" s="27"/>
      <c r="Q392" s="27"/>
      <c r="R392" s="27"/>
    </row>
    <row r="393">
      <c r="F393" s="27"/>
      <c r="G393" s="27"/>
      <c r="H393" s="27"/>
      <c r="J393" s="27"/>
      <c r="L393" s="27"/>
      <c r="M393" s="27"/>
      <c r="N393" s="27"/>
      <c r="O393" s="27"/>
      <c r="P393" s="27"/>
      <c r="Q393" s="27"/>
      <c r="R393" s="27"/>
    </row>
    <row r="394">
      <c r="F394" s="27"/>
      <c r="G394" s="27"/>
      <c r="H394" s="27"/>
      <c r="J394" s="27"/>
      <c r="L394" s="27"/>
      <c r="M394" s="27"/>
      <c r="N394" s="27"/>
      <c r="O394" s="27"/>
      <c r="P394" s="27"/>
      <c r="Q394" s="27"/>
      <c r="R394" s="27"/>
    </row>
    <row r="395">
      <c r="F395" s="27"/>
      <c r="G395" s="27"/>
      <c r="H395" s="27"/>
      <c r="J395" s="27"/>
      <c r="L395" s="27"/>
      <c r="M395" s="27"/>
      <c r="N395" s="27"/>
      <c r="O395" s="27"/>
      <c r="P395" s="27"/>
      <c r="Q395" s="27"/>
      <c r="R395" s="27"/>
    </row>
    <row r="396">
      <c r="F396" s="27"/>
      <c r="G396" s="27"/>
      <c r="H396" s="27"/>
      <c r="J396" s="27"/>
      <c r="L396" s="27"/>
      <c r="M396" s="27"/>
      <c r="N396" s="27"/>
      <c r="O396" s="27"/>
      <c r="P396" s="27"/>
      <c r="Q396" s="27"/>
      <c r="R396" s="27"/>
    </row>
    <row r="397">
      <c r="F397" s="27"/>
      <c r="G397" s="27"/>
      <c r="H397" s="27"/>
      <c r="J397" s="27"/>
      <c r="L397" s="27"/>
      <c r="M397" s="27"/>
      <c r="N397" s="27"/>
      <c r="O397" s="27"/>
      <c r="P397" s="27"/>
      <c r="Q397" s="27"/>
      <c r="R397" s="27"/>
    </row>
    <row r="398">
      <c r="F398" s="27"/>
      <c r="G398" s="27"/>
      <c r="H398" s="27"/>
      <c r="J398" s="27"/>
      <c r="L398" s="27"/>
      <c r="M398" s="27"/>
      <c r="N398" s="27"/>
      <c r="O398" s="27"/>
      <c r="P398" s="27"/>
      <c r="Q398" s="27"/>
      <c r="R398" s="27"/>
    </row>
    <row r="399">
      <c r="F399" s="27"/>
      <c r="G399" s="27"/>
      <c r="H399" s="27"/>
      <c r="J399" s="27"/>
      <c r="L399" s="27"/>
      <c r="M399" s="27"/>
      <c r="N399" s="27"/>
      <c r="O399" s="27"/>
      <c r="P399" s="27"/>
      <c r="Q399" s="27"/>
      <c r="R399" s="27"/>
    </row>
    <row r="400">
      <c r="F400" s="27"/>
      <c r="G400" s="27"/>
      <c r="H400" s="27"/>
      <c r="J400" s="27"/>
      <c r="L400" s="27"/>
      <c r="M400" s="27"/>
      <c r="N400" s="27"/>
      <c r="O400" s="27"/>
      <c r="P400" s="27"/>
      <c r="Q400" s="27"/>
      <c r="R400" s="27"/>
    </row>
    <row r="401">
      <c r="F401" s="27"/>
      <c r="G401" s="27"/>
      <c r="H401" s="27"/>
      <c r="J401" s="27"/>
      <c r="L401" s="27"/>
      <c r="M401" s="27"/>
      <c r="N401" s="27"/>
      <c r="O401" s="27"/>
      <c r="P401" s="27"/>
      <c r="Q401" s="27"/>
      <c r="R401" s="27"/>
    </row>
    <row r="402">
      <c r="F402" s="27"/>
      <c r="G402" s="27"/>
      <c r="H402" s="27"/>
      <c r="J402" s="27"/>
      <c r="L402" s="27"/>
      <c r="M402" s="27"/>
      <c r="N402" s="27"/>
      <c r="O402" s="27"/>
      <c r="P402" s="27"/>
      <c r="Q402" s="27"/>
      <c r="R402" s="27"/>
    </row>
    <row r="403">
      <c r="F403" s="27"/>
      <c r="G403" s="27"/>
      <c r="H403" s="27"/>
      <c r="J403" s="27"/>
      <c r="L403" s="27"/>
      <c r="M403" s="27"/>
      <c r="N403" s="27"/>
      <c r="O403" s="27"/>
      <c r="P403" s="27"/>
      <c r="Q403" s="27"/>
      <c r="R403" s="27"/>
    </row>
    <row r="404">
      <c r="F404" s="27"/>
      <c r="G404" s="27"/>
      <c r="H404" s="27"/>
      <c r="J404" s="27"/>
      <c r="L404" s="27"/>
      <c r="M404" s="27"/>
      <c r="N404" s="27"/>
      <c r="O404" s="27"/>
      <c r="P404" s="27"/>
      <c r="Q404" s="27"/>
      <c r="R404" s="27"/>
    </row>
    <row r="405">
      <c r="F405" s="27"/>
      <c r="G405" s="27"/>
      <c r="H405" s="27"/>
      <c r="J405" s="27"/>
      <c r="L405" s="27"/>
      <c r="M405" s="27"/>
      <c r="N405" s="27"/>
      <c r="O405" s="27"/>
      <c r="P405" s="27"/>
      <c r="Q405" s="27"/>
      <c r="R405" s="27"/>
    </row>
    <row r="406">
      <c r="F406" s="27"/>
      <c r="G406" s="27"/>
      <c r="H406" s="27"/>
      <c r="J406" s="27"/>
      <c r="L406" s="27"/>
      <c r="M406" s="27"/>
      <c r="N406" s="27"/>
      <c r="O406" s="27"/>
      <c r="P406" s="27"/>
      <c r="Q406" s="27"/>
      <c r="R406" s="27"/>
    </row>
    <row r="407">
      <c r="F407" s="27"/>
      <c r="G407" s="27"/>
      <c r="H407" s="27"/>
      <c r="J407" s="27"/>
      <c r="L407" s="27"/>
      <c r="M407" s="27"/>
      <c r="N407" s="27"/>
      <c r="O407" s="27"/>
      <c r="P407" s="27"/>
      <c r="Q407" s="27"/>
      <c r="R407" s="27"/>
    </row>
    <row r="408">
      <c r="F408" s="27"/>
      <c r="G408" s="27"/>
      <c r="H408" s="27"/>
      <c r="J408" s="27"/>
      <c r="L408" s="27"/>
      <c r="M408" s="27"/>
      <c r="N408" s="27"/>
      <c r="O408" s="27"/>
      <c r="P408" s="27"/>
      <c r="Q408" s="27"/>
      <c r="R408" s="27"/>
    </row>
    <row r="409">
      <c r="F409" s="27"/>
      <c r="G409" s="27"/>
      <c r="H409" s="27"/>
      <c r="J409" s="27"/>
      <c r="L409" s="27"/>
      <c r="M409" s="27"/>
      <c r="N409" s="27"/>
      <c r="O409" s="27"/>
      <c r="P409" s="27"/>
      <c r="Q409" s="27"/>
      <c r="R409" s="27"/>
    </row>
    <row r="410">
      <c r="F410" s="27"/>
      <c r="G410" s="27"/>
      <c r="H410" s="27"/>
      <c r="J410" s="27"/>
      <c r="L410" s="27"/>
      <c r="M410" s="27"/>
      <c r="N410" s="27"/>
      <c r="O410" s="27"/>
      <c r="P410" s="27"/>
      <c r="Q410" s="27"/>
      <c r="R410" s="27"/>
    </row>
    <row r="411">
      <c r="F411" s="27"/>
      <c r="G411" s="27"/>
      <c r="H411" s="27"/>
      <c r="J411" s="27"/>
      <c r="L411" s="27"/>
      <c r="M411" s="27"/>
      <c r="N411" s="27"/>
      <c r="O411" s="27"/>
      <c r="P411" s="27"/>
      <c r="Q411" s="27"/>
      <c r="R411" s="27"/>
    </row>
    <row r="412">
      <c r="F412" s="27"/>
      <c r="G412" s="27"/>
      <c r="H412" s="27"/>
      <c r="J412" s="27"/>
      <c r="L412" s="27"/>
      <c r="M412" s="27"/>
      <c r="N412" s="27"/>
      <c r="O412" s="27"/>
      <c r="P412" s="27"/>
      <c r="Q412" s="27"/>
      <c r="R412" s="27"/>
    </row>
    <row r="413">
      <c r="F413" s="27"/>
      <c r="G413" s="27"/>
      <c r="H413" s="27"/>
      <c r="J413" s="27"/>
      <c r="L413" s="27"/>
      <c r="M413" s="27"/>
      <c r="N413" s="27"/>
      <c r="O413" s="27"/>
      <c r="P413" s="27"/>
      <c r="Q413" s="27"/>
      <c r="R413" s="27"/>
    </row>
    <row r="414">
      <c r="F414" s="27"/>
      <c r="G414" s="27"/>
      <c r="H414" s="27"/>
      <c r="J414" s="27"/>
      <c r="L414" s="27"/>
      <c r="M414" s="27"/>
      <c r="N414" s="27"/>
      <c r="O414" s="27"/>
      <c r="P414" s="27"/>
      <c r="Q414" s="27"/>
      <c r="R414" s="27"/>
    </row>
    <row r="415">
      <c r="F415" s="27"/>
      <c r="G415" s="27"/>
      <c r="H415" s="27"/>
      <c r="J415" s="27"/>
      <c r="L415" s="27"/>
      <c r="M415" s="27"/>
      <c r="N415" s="27"/>
      <c r="O415" s="27"/>
      <c r="P415" s="27"/>
      <c r="Q415" s="27"/>
      <c r="R415" s="27"/>
    </row>
    <row r="416">
      <c r="F416" s="27"/>
      <c r="G416" s="27"/>
      <c r="H416" s="27"/>
      <c r="J416" s="27"/>
      <c r="L416" s="27"/>
      <c r="M416" s="27"/>
      <c r="N416" s="27"/>
      <c r="O416" s="27"/>
      <c r="P416" s="27"/>
      <c r="Q416" s="27"/>
      <c r="R416" s="27"/>
    </row>
    <row r="417">
      <c r="F417" s="27"/>
      <c r="G417" s="27"/>
      <c r="H417" s="27"/>
      <c r="J417" s="27"/>
      <c r="L417" s="27"/>
      <c r="M417" s="27"/>
      <c r="N417" s="27"/>
      <c r="O417" s="27"/>
      <c r="P417" s="27"/>
      <c r="Q417" s="27"/>
      <c r="R417" s="27"/>
    </row>
    <row r="418">
      <c r="F418" s="27"/>
      <c r="G418" s="27"/>
      <c r="H418" s="27"/>
      <c r="J418" s="27"/>
      <c r="L418" s="27"/>
      <c r="M418" s="27"/>
      <c r="N418" s="27"/>
      <c r="O418" s="27"/>
      <c r="P418" s="27"/>
      <c r="Q418" s="27"/>
      <c r="R418" s="27"/>
    </row>
    <row r="419">
      <c r="F419" s="27"/>
      <c r="G419" s="27"/>
      <c r="H419" s="27"/>
      <c r="J419" s="27"/>
      <c r="L419" s="27"/>
      <c r="M419" s="27"/>
      <c r="N419" s="27"/>
      <c r="O419" s="27"/>
      <c r="P419" s="27"/>
      <c r="Q419" s="27"/>
      <c r="R419" s="27"/>
    </row>
    <row r="420">
      <c r="F420" s="27"/>
      <c r="G420" s="27"/>
      <c r="H420" s="27"/>
      <c r="J420" s="27"/>
      <c r="L420" s="27"/>
      <c r="M420" s="27"/>
      <c r="N420" s="27"/>
      <c r="O420" s="27"/>
      <c r="P420" s="27"/>
      <c r="Q420" s="27"/>
      <c r="R420" s="27"/>
    </row>
    <row r="421">
      <c r="F421" s="27"/>
      <c r="G421" s="27"/>
      <c r="H421" s="27"/>
      <c r="J421" s="27"/>
      <c r="L421" s="27"/>
      <c r="M421" s="27"/>
      <c r="N421" s="27"/>
      <c r="O421" s="27"/>
      <c r="P421" s="27"/>
      <c r="Q421" s="27"/>
      <c r="R421" s="27"/>
    </row>
    <row r="422">
      <c r="F422" s="27"/>
      <c r="G422" s="27"/>
      <c r="H422" s="27"/>
      <c r="J422" s="27"/>
      <c r="L422" s="27"/>
      <c r="M422" s="27"/>
      <c r="N422" s="27"/>
      <c r="O422" s="27"/>
      <c r="P422" s="27"/>
      <c r="Q422" s="27"/>
      <c r="R422" s="27"/>
    </row>
    <row r="423">
      <c r="F423" s="27"/>
      <c r="G423" s="27"/>
      <c r="H423" s="27"/>
      <c r="J423" s="27"/>
      <c r="L423" s="27"/>
      <c r="M423" s="27"/>
      <c r="N423" s="27"/>
      <c r="O423" s="27"/>
      <c r="P423" s="27"/>
      <c r="Q423" s="27"/>
      <c r="R423" s="27"/>
    </row>
    <row r="424">
      <c r="F424" s="27"/>
      <c r="G424" s="27"/>
      <c r="H424" s="27"/>
      <c r="J424" s="27"/>
      <c r="L424" s="27"/>
      <c r="M424" s="27"/>
      <c r="N424" s="27"/>
      <c r="O424" s="27"/>
      <c r="P424" s="27"/>
      <c r="Q424" s="27"/>
      <c r="R424" s="27"/>
    </row>
    <row r="425">
      <c r="F425" s="27"/>
      <c r="G425" s="27"/>
      <c r="H425" s="27"/>
      <c r="J425" s="27"/>
      <c r="L425" s="27"/>
      <c r="M425" s="27"/>
      <c r="N425" s="27"/>
      <c r="O425" s="27"/>
      <c r="P425" s="27"/>
      <c r="Q425" s="27"/>
      <c r="R425" s="27"/>
    </row>
    <row r="426">
      <c r="F426" s="27"/>
      <c r="G426" s="27"/>
      <c r="H426" s="27"/>
      <c r="J426" s="27"/>
      <c r="L426" s="27"/>
      <c r="M426" s="27"/>
      <c r="N426" s="27"/>
      <c r="O426" s="27"/>
      <c r="P426" s="27"/>
      <c r="Q426" s="27"/>
      <c r="R426" s="27"/>
    </row>
    <row r="427">
      <c r="F427" s="27"/>
      <c r="G427" s="27"/>
      <c r="H427" s="27"/>
      <c r="J427" s="27"/>
      <c r="L427" s="27"/>
      <c r="M427" s="27"/>
      <c r="N427" s="27"/>
      <c r="O427" s="27"/>
      <c r="P427" s="27"/>
      <c r="Q427" s="27"/>
      <c r="R427" s="27"/>
    </row>
    <row r="428">
      <c r="F428" s="27"/>
      <c r="G428" s="27"/>
      <c r="H428" s="27"/>
      <c r="J428" s="27"/>
      <c r="L428" s="27"/>
      <c r="M428" s="27"/>
      <c r="N428" s="27"/>
      <c r="O428" s="27"/>
      <c r="P428" s="27"/>
      <c r="Q428" s="27"/>
      <c r="R428" s="27"/>
    </row>
    <row r="429">
      <c r="F429" s="27"/>
      <c r="G429" s="27"/>
      <c r="H429" s="27"/>
      <c r="J429" s="27"/>
      <c r="L429" s="27"/>
      <c r="M429" s="27"/>
      <c r="N429" s="27"/>
      <c r="O429" s="27"/>
      <c r="P429" s="27"/>
      <c r="Q429" s="27"/>
      <c r="R429" s="27"/>
    </row>
    <row r="430">
      <c r="F430" s="27"/>
      <c r="G430" s="27"/>
      <c r="H430" s="27"/>
      <c r="J430" s="27"/>
      <c r="L430" s="27"/>
      <c r="M430" s="27"/>
      <c r="N430" s="27"/>
      <c r="O430" s="27"/>
      <c r="P430" s="27"/>
      <c r="Q430" s="27"/>
      <c r="R430" s="27"/>
    </row>
    <row r="431">
      <c r="F431" s="27"/>
      <c r="G431" s="27"/>
      <c r="H431" s="27"/>
      <c r="J431" s="27"/>
      <c r="L431" s="27"/>
      <c r="M431" s="27"/>
      <c r="N431" s="27"/>
      <c r="O431" s="27"/>
      <c r="P431" s="27"/>
      <c r="Q431" s="27"/>
      <c r="R431" s="27"/>
    </row>
    <row r="432">
      <c r="F432" s="27"/>
      <c r="G432" s="27"/>
      <c r="H432" s="27"/>
      <c r="J432" s="27"/>
      <c r="L432" s="27"/>
      <c r="M432" s="27"/>
      <c r="N432" s="27"/>
      <c r="O432" s="27"/>
      <c r="P432" s="27"/>
      <c r="Q432" s="27"/>
      <c r="R432" s="27"/>
    </row>
    <row r="433">
      <c r="F433" s="27"/>
      <c r="G433" s="27"/>
      <c r="H433" s="27"/>
      <c r="J433" s="27"/>
      <c r="L433" s="27"/>
      <c r="M433" s="27"/>
      <c r="N433" s="27"/>
      <c r="O433" s="27"/>
      <c r="P433" s="27"/>
      <c r="Q433" s="27"/>
      <c r="R433" s="27"/>
    </row>
    <row r="434">
      <c r="F434" s="27"/>
      <c r="G434" s="27"/>
      <c r="H434" s="27"/>
      <c r="J434" s="27"/>
      <c r="L434" s="27"/>
      <c r="M434" s="27"/>
      <c r="N434" s="27"/>
      <c r="O434" s="27"/>
      <c r="P434" s="27"/>
      <c r="Q434" s="27"/>
      <c r="R434" s="27"/>
    </row>
    <row r="435">
      <c r="F435" s="27"/>
      <c r="G435" s="27"/>
      <c r="H435" s="27"/>
      <c r="J435" s="27"/>
      <c r="L435" s="27"/>
      <c r="M435" s="27"/>
      <c r="N435" s="27"/>
      <c r="O435" s="27"/>
      <c r="P435" s="27"/>
      <c r="Q435" s="27"/>
      <c r="R435" s="27"/>
    </row>
    <row r="436">
      <c r="F436" s="27"/>
      <c r="G436" s="27"/>
      <c r="H436" s="27"/>
      <c r="J436" s="27"/>
      <c r="L436" s="27"/>
      <c r="M436" s="27"/>
      <c r="N436" s="27"/>
      <c r="O436" s="27"/>
      <c r="P436" s="27"/>
      <c r="Q436" s="27"/>
      <c r="R436" s="27"/>
    </row>
    <row r="437">
      <c r="F437" s="27"/>
      <c r="G437" s="27"/>
      <c r="H437" s="27"/>
      <c r="J437" s="27"/>
      <c r="L437" s="27"/>
      <c r="M437" s="27"/>
      <c r="N437" s="27"/>
      <c r="O437" s="27"/>
      <c r="P437" s="27"/>
      <c r="Q437" s="27"/>
      <c r="R437" s="27"/>
    </row>
    <row r="438">
      <c r="F438" s="27"/>
      <c r="G438" s="27"/>
      <c r="H438" s="27"/>
      <c r="J438" s="27"/>
      <c r="L438" s="27"/>
      <c r="M438" s="27"/>
      <c r="N438" s="27"/>
      <c r="O438" s="27"/>
      <c r="P438" s="27"/>
      <c r="Q438" s="27"/>
      <c r="R438" s="27"/>
    </row>
    <row r="439">
      <c r="F439" s="27"/>
      <c r="G439" s="27"/>
      <c r="H439" s="27"/>
      <c r="J439" s="27"/>
      <c r="L439" s="27"/>
      <c r="M439" s="27"/>
      <c r="N439" s="27"/>
      <c r="O439" s="27"/>
      <c r="P439" s="27"/>
      <c r="Q439" s="27"/>
      <c r="R439" s="27"/>
    </row>
    <row r="440">
      <c r="F440" s="27"/>
      <c r="G440" s="27"/>
      <c r="H440" s="27"/>
      <c r="J440" s="27"/>
      <c r="L440" s="27"/>
      <c r="M440" s="27"/>
      <c r="N440" s="27"/>
      <c r="O440" s="27"/>
      <c r="P440" s="27"/>
      <c r="Q440" s="27"/>
      <c r="R440" s="27"/>
    </row>
    <row r="441">
      <c r="F441" s="27"/>
      <c r="G441" s="27"/>
      <c r="H441" s="27"/>
      <c r="J441" s="27"/>
      <c r="L441" s="27"/>
      <c r="M441" s="27"/>
      <c r="N441" s="27"/>
      <c r="O441" s="27"/>
      <c r="P441" s="27"/>
      <c r="Q441" s="27"/>
      <c r="R441" s="27"/>
    </row>
    <row r="442">
      <c r="F442" s="27"/>
      <c r="G442" s="27"/>
      <c r="H442" s="27"/>
      <c r="J442" s="27"/>
      <c r="L442" s="27"/>
      <c r="M442" s="27"/>
      <c r="N442" s="27"/>
      <c r="O442" s="27"/>
      <c r="P442" s="27"/>
      <c r="Q442" s="27"/>
      <c r="R442" s="27"/>
    </row>
    <row r="443">
      <c r="F443" s="27"/>
      <c r="G443" s="27"/>
      <c r="H443" s="27"/>
      <c r="J443" s="27"/>
      <c r="L443" s="27"/>
      <c r="M443" s="27"/>
      <c r="N443" s="27"/>
      <c r="O443" s="27"/>
      <c r="P443" s="27"/>
      <c r="Q443" s="27"/>
      <c r="R443" s="27"/>
    </row>
    <row r="444">
      <c r="F444" s="27"/>
      <c r="G444" s="27"/>
      <c r="H444" s="27"/>
      <c r="J444" s="27"/>
      <c r="L444" s="27"/>
      <c r="M444" s="27"/>
      <c r="N444" s="27"/>
      <c r="O444" s="27"/>
      <c r="P444" s="27"/>
      <c r="Q444" s="27"/>
      <c r="R444" s="27"/>
    </row>
    <row r="445">
      <c r="F445" s="27"/>
      <c r="G445" s="27"/>
      <c r="H445" s="27"/>
      <c r="J445" s="27"/>
      <c r="L445" s="27"/>
      <c r="M445" s="27"/>
      <c r="N445" s="27"/>
      <c r="O445" s="27"/>
      <c r="P445" s="27"/>
      <c r="Q445" s="27"/>
      <c r="R445" s="27"/>
    </row>
    <row r="446">
      <c r="F446" s="27"/>
      <c r="G446" s="27"/>
      <c r="H446" s="27"/>
      <c r="J446" s="27"/>
      <c r="L446" s="27"/>
      <c r="M446" s="27"/>
      <c r="N446" s="27"/>
      <c r="O446" s="27"/>
      <c r="P446" s="27"/>
      <c r="Q446" s="27"/>
      <c r="R446" s="27"/>
    </row>
    <row r="447">
      <c r="F447" s="27"/>
      <c r="G447" s="27"/>
      <c r="H447" s="27"/>
      <c r="J447" s="27"/>
      <c r="L447" s="27"/>
      <c r="M447" s="27"/>
      <c r="N447" s="27"/>
      <c r="O447" s="27"/>
      <c r="P447" s="27"/>
      <c r="Q447" s="27"/>
      <c r="R447" s="27"/>
    </row>
    <row r="448">
      <c r="F448" s="27"/>
      <c r="G448" s="27"/>
      <c r="H448" s="27"/>
      <c r="J448" s="27"/>
      <c r="L448" s="27"/>
      <c r="M448" s="27"/>
      <c r="N448" s="27"/>
      <c r="O448" s="27"/>
      <c r="P448" s="27"/>
      <c r="Q448" s="27"/>
      <c r="R448" s="27"/>
    </row>
    <row r="449">
      <c r="F449" s="27"/>
      <c r="G449" s="27"/>
      <c r="H449" s="27"/>
      <c r="J449" s="27"/>
      <c r="L449" s="27"/>
      <c r="M449" s="27"/>
      <c r="N449" s="27"/>
      <c r="O449" s="27"/>
      <c r="P449" s="27"/>
      <c r="Q449" s="27"/>
      <c r="R449" s="27"/>
    </row>
    <row r="450">
      <c r="F450" s="27"/>
      <c r="G450" s="27"/>
      <c r="H450" s="27"/>
      <c r="J450" s="27"/>
      <c r="L450" s="27"/>
      <c r="M450" s="27"/>
      <c r="N450" s="27"/>
      <c r="O450" s="27"/>
      <c r="P450" s="27"/>
      <c r="Q450" s="27"/>
      <c r="R450" s="27"/>
    </row>
    <row r="451">
      <c r="F451" s="27"/>
      <c r="G451" s="27"/>
      <c r="H451" s="27"/>
      <c r="J451" s="27"/>
      <c r="L451" s="27"/>
      <c r="M451" s="27"/>
      <c r="N451" s="27"/>
      <c r="O451" s="27"/>
      <c r="P451" s="27"/>
      <c r="Q451" s="27"/>
      <c r="R451" s="27"/>
    </row>
    <row r="452">
      <c r="F452" s="27"/>
      <c r="G452" s="27"/>
      <c r="H452" s="27"/>
      <c r="J452" s="27"/>
      <c r="L452" s="27"/>
      <c r="M452" s="27"/>
      <c r="N452" s="27"/>
      <c r="O452" s="27"/>
      <c r="P452" s="27"/>
      <c r="Q452" s="27"/>
      <c r="R452" s="27"/>
    </row>
    <row r="453">
      <c r="F453" s="27"/>
      <c r="G453" s="27"/>
      <c r="H453" s="27"/>
      <c r="J453" s="27"/>
      <c r="L453" s="27"/>
      <c r="M453" s="27"/>
      <c r="N453" s="27"/>
      <c r="O453" s="27"/>
      <c r="P453" s="27"/>
      <c r="Q453" s="27"/>
      <c r="R453" s="27"/>
    </row>
    <row r="454">
      <c r="F454" s="27"/>
      <c r="G454" s="27"/>
      <c r="H454" s="27"/>
      <c r="J454" s="27"/>
      <c r="L454" s="27"/>
      <c r="M454" s="27"/>
      <c r="N454" s="27"/>
      <c r="O454" s="27"/>
      <c r="P454" s="27"/>
      <c r="Q454" s="27"/>
      <c r="R454" s="27"/>
    </row>
    <row r="455">
      <c r="F455" s="27"/>
      <c r="G455" s="27"/>
      <c r="H455" s="27"/>
      <c r="J455" s="27"/>
      <c r="L455" s="27"/>
      <c r="M455" s="27"/>
      <c r="N455" s="27"/>
      <c r="O455" s="27"/>
      <c r="P455" s="27"/>
      <c r="Q455" s="27"/>
      <c r="R455" s="27"/>
    </row>
    <row r="456">
      <c r="F456" s="27"/>
      <c r="G456" s="27"/>
      <c r="H456" s="27"/>
      <c r="J456" s="27"/>
      <c r="L456" s="27"/>
      <c r="M456" s="27"/>
      <c r="N456" s="27"/>
      <c r="O456" s="27"/>
      <c r="P456" s="27"/>
      <c r="Q456" s="27"/>
      <c r="R456" s="27"/>
    </row>
    <row r="457">
      <c r="F457" s="27"/>
      <c r="G457" s="27"/>
      <c r="H457" s="27"/>
      <c r="J457" s="27"/>
      <c r="L457" s="27"/>
      <c r="M457" s="27"/>
      <c r="N457" s="27"/>
      <c r="O457" s="27"/>
      <c r="P457" s="27"/>
      <c r="Q457" s="27"/>
      <c r="R457" s="27"/>
    </row>
    <row r="458">
      <c r="F458" s="27"/>
      <c r="G458" s="27"/>
      <c r="H458" s="27"/>
      <c r="J458" s="27"/>
      <c r="L458" s="27"/>
      <c r="M458" s="27"/>
      <c r="N458" s="27"/>
      <c r="O458" s="27"/>
      <c r="P458" s="27"/>
      <c r="Q458" s="27"/>
      <c r="R458" s="27"/>
    </row>
    <row r="459">
      <c r="F459" s="27"/>
      <c r="G459" s="27"/>
      <c r="H459" s="27"/>
      <c r="J459" s="27"/>
      <c r="L459" s="27"/>
      <c r="M459" s="27"/>
      <c r="N459" s="27"/>
      <c r="O459" s="27"/>
      <c r="P459" s="27"/>
      <c r="Q459" s="27"/>
      <c r="R459" s="27"/>
    </row>
    <row r="460">
      <c r="F460" s="27"/>
      <c r="G460" s="27"/>
      <c r="H460" s="27"/>
      <c r="J460" s="27"/>
      <c r="L460" s="27"/>
      <c r="M460" s="27"/>
      <c r="N460" s="27"/>
      <c r="O460" s="27"/>
      <c r="P460" s="27"/>
      <c r="Q460" s="27"/>
      <c r="R460" s="27"/>
    </row>
    <row r="461">
      <c r="F461" s="27"/>
      <c r="G461" s="27"/>
      <c r="H461" s="27"/>
      <c r="J461" s="27"/>
      <c r="L461" s="27"/>
      <c r="M461" s="27"/>
      <c r="N461" s="27"/>
      <c r="O461" s="27"/>
      <c r="P461" s="27"/>
      <c r="Q461" s="27"/>
      <c r="R461" s="27"/>
    </row>
    <row r="462">
      <c r="F462" s="27"/>
      <c r="G462" s="27"/>
      <c r="H462" s="27"/>
      <c r="J462" s="27"/>
      <c r="L462" s="27"/>
      <c r="M462" s="27"/>
      <c r="N462" s="27"/>
      <c r="O462" s="27"/>
      <c r="P462" s="27"/>
      <c r="Q462" s="27"/>
      <c r="R462" s="27"/>
    </row>
    <row r="463">
      <c r="F463" s="27"/>
      <c r="G463" s="27"/>
      <c r="H463" s="27"/>
      <c r="J463" s="27"/>
      <c r="L463" s="27"/>
      <c r="M463" s="27"/>
      <c r="N463" s="27"/>
      <c r="O463" s="27"/>
      <c r="P463" s="27"/>
      <c r="Q463" s="27"/>
      <c r="R463" s="27"/>
    </row>
    <row r="464">
      <c r="F464" s="27"/>
      <c r="G464" s="27"/>
      <c r="H464" s="27"/>
      <c r="J464" s="27"/>
      <c r="L464" s="27"/>
      <c r="M464" s="27"/>
      <c r="N464" s="27"/>
      <c r="O464" s="27"/>
      <c r="P464" s="27"/>
      <c r="Q464" s="27"/>
      <c r="R464" s="27"/>
    </row>
    <row r="465">
      <c r="F465" s="27"/>
      <c r="G465" s="27"/>
      <c r="H465" s="27"/>
      <c r="J465" s="27"/>
      <c r="L465" s="27"/>
      <c r="M465" s="27"/>
      <c r="N465" s="27"/>
      <c r="O465" s="27"/>
      <c r="P465" s="27"/>
      <c r="Q465" s="27"/>
      <c r="R465" s="27"/>
    </row>
    <row r="466">
      <c r="F466" s="27"/>
      <c r="G466" s="27"/>
      <c r="H466" s="27"/>
      <c r="J466" s="27"/>
      <c r="L466" s="27"/>
      <c r="M466" s="27"/>
      <c r="N466" s="27"/>
      <c r="O466" s="27"/>
      <c r="P466" s="27"/>
      <c r="Q466" s="27"/>
      <c r="R466" s="27"/>
    </row>
    <row r="467">
      <c r="F467" s="27"/>
      <c r="G467" s="27"/>
      <c r="H467" s="27"/>
      <c r="J467" s="27"/>
      <c r="L467" s="27"/>
      <c r="M467" s="27"/>
      <c r="N467" s="27"/>
      <c r="O467" s="27"/>
      <c r="P467" s="27"/>
      <c r="Q467" s="27"/>
      <c r="R467" s="27"/>
    </row>
    <row r="468">
      <c r="F468" s="27"/>
      <c r="G468" s="27"/>
      <c r="H468" s="27"/>
      <c r="J468" s="27"/>
      <c r="L468" s="27"/>
      <c r="M468" s="27"/>
      <c r="N468" s="27"/>
      <c r="O468" s="27"/>
      <c r="P468" s="27"/>
      <c r="Q468" s="27"/>
      <c r="R468" s="27"/>
    </row>
    <row r="469">
      <c r="F469" s="27"/>
      <c r="G469" s="27"/>
      <c r="H469" s="27"/>
      <c r="J469" s="27"/>
      <c r="L469" s="27"/>
      <c r="M469" s="27"/>
      <c r="N469" s="27"/>
      <c r="O469" s="27"/>
      <c r="P469" s="27"/>
      <c r="Q469" s="27"/>
      <c r="R469" s="27"/>
    </row>
    <row r="470">
      <c r="F470" s="27"/>
      <c r="G470" s="27"/>
      <c r="H470" s="27"/>
      <c r="J470" s="27"/>
      <c r="L470" s="27"/>
      <c r="M470" s="27"/>
      <c r="N470" s="27"/>
      <c r="O470" s="27"/>
      <c r="P470" s="27"/>
      <c r="Q470" s="27"/>
      <c r="R470" s="27"/>
    </row>
    <row r="471">
      <c r="F471" s="27"/>
      <c r="G471" s="27"/>
      <c r="H471" s="27"/>
      <c r="J471" s="27"/>
      <c r="L471" s="27"/>
      <c r="M471" s="27"/>
      <c r="N471" s="27"/>
      <c r="O471" s="27"/>
      <c r="P471" s="27"/>
      <c r="Q471" s="27"/>
      <c r="R471" s="27"/>
    </row>
    <row r="472">
      <c r="F472" s="27"/>
      <c r="G472" s="27"/>
      <c r="H472" s="27"/>
      <c r="J472" s="27"/>
      <c r="L472" s="27"/>
      <c r="M472" s="27"/>
      <c r="N472" s="27"/>
      <c r="O472" s="27"/>
      <c r="P472" s="27"/>
      <c r="Q472" s="27"/>
      <c r="R472" s="27"/>
    </row>
    <row r="473">
      <c r="F473" s="27"/>
      <c r="G473" s="27"/>
      <c r="H473" s="27"/>
      <c r="J473" s="27"/>
      <c r="L473" s="27"/>
      <c r="M473" s="27"/>
      <c r="N473" s="27"/>
      <c r="O473" s="27"/>
      <c r="P473" s="27"/>
      <c r="Q473" s="27"/>
      <c r="R473" s="27"/>
    </row>
    <row r="474">
      <c r="F474" s="27"/>
      <c r="G474" s="27"/>
      <c r="H474" s="27"/>
      <c r="J474" s="27"/>
      <c r="L474" s="27"/>
      <c r="M474" s="27"/>
      <c r="N474" s="27"/>
      <c r="O474" s="27"/>
      <c r="P474" s="27"/>
      <c r="Q474" s="27"/>
      <c r="R474" s="27"/>
    </row>
    <row r="475">
      <c r="F475" s="27"/>
      <c r="G475" s="27"/>
      <c r="H475" s="27"/>
      <c r="J475" s="27"/>
      <c r="L475" s="27"/>
      <c r="M475" s="27"/>
      <c r="N475" s="27"/>
      <c r="O475" s="27"/>
      <c r="P475" s="27"/>
      <c r="Q475" s="27"/>
      <c r="R475" s="27"/>
    </row>
    <row r="476">
      <c r="F476" s="27"/>
      <c r="G476" s="27"/>
      <c r="H476" s="27"/>
      <c r="J476" s="27"/>
      <c r="L476" s="27"/>
      <c r="M476" s="27"/>
      <c r="N476" s="27"/>
      <c r="O476" s="27"/>
      <c r="P476" s="27"/>
      <c r="Q476" s="27"/>
      <c r="R476" s="27"/>
    </row>
    <row r="477">
      <c r="F477" s="27"/>
      <c r="G477" s="27"/>
      <c r="H477" s="27"/>
      <c r="J477" s="27"/>
      <c r="L477" s="27"/>
      <c r="M477" s="27"/>
      <c r="N477" s="27"/>
      <c r="O477" s="27"/>
      <c r="P477" s="27"/>
      <c r="Q477" s="27"/>
      <c r="R477" s="27"/>
    </row>
    <row r="478">
      <c r="F478" s="27"/>
      <c r="G478" s="27"/>
      <c r="H478" s="27"/>
      <c r="J478" s="27"/>
      <c r="L478" s="27"/>
      <c r="M478" s="27"/>
      <c r="N478" s="27"/>
      <c r="O478" s="27"/>
      <c r="P478" s="27"/>
      <c r="Q478" s="27"/>
      <c r="R478" s="27"/>
    </row>
    <row r="479">
      <c r="F479" s="27"/>
      <c r="G479" s="27"/>
      <c r="H479" s="27"/>
      <c r="J479" s="27"/>
      <c r="L479" s="27"/>
      <c r="M479" s="27"/>
      <c r="N479" s="27"/>
      <c r="O479" s="27"/>
      <c r="P479" s="27"/>
      <c r="Q479" s="27"/>
      <c r="R479" s="27"/>
    </row>
    <row r="480">
      <c r="F480" s="27"/>
      <c r="G480" s="27"/>
      <c r="H480" s="27"/>
      <c r="J480" s="27"/>
      <c r="L480" s="27"/>
      <c r="M480" s="27"/>
      <c r="N480" s="27"/>
      <c r="O480" s="27"/>
      <c r="P480" s="27"/>
      <c r="Q480" s="27"/>
      <c r="R480" s="27"/>
    </row>
    <row r="481">
      <c r="F481" s="27"/>
      <c r="G481" s="27"/>
      <c r="H481" s="27"/>
      <c r="J481" s="27"/>
      <c r="L481" s="27"/>
      <c r="M481" s="27"/>
      <c r="N481" s="27"/>
      <c r="O481" s="27"/>
      <c r="P481" s="27"/>
      <c r="Q481" s="27"/>
      <c r="R481" s="27"/>
    </row>
    <row r="482">
      <c r="F482" s="27"/>
      <c r="G482" s="27"/>
      <c r="H482" s="27"/>
      <c r="J482" s="27"/>
      <c r="L482" s="27"/>
      <c r="M482" s="27"/>
      <c r="N482" s="27"/>
      <c r="O482" s="27"/>
      <c r="P482" s="27"/>
      <c r="Q482" s="27"/>
      <c r="R482" s="27"/>
    </row>
    <row r="483">
      <c r="F483" s="27"/>
      <c r="G483" s="27"/>
      <c r="H483" s="27"/>
      <c r="J483" s="27"/>
      <c r="L483" s="27"/>
      <c r="M483" s="27"/>
      <c r="N483" s="27"/>
      <c r="O483" s="27"/>
      <c r="P483" s="27"/>
      <c r="Q483" s="27"/>
      <c r="R483" s="27"/>
    </row>
    <row r="484">
      <c r="F484" s="27"/>
      <c r="G484" s="27"/>
      <c r="H484" s="27"/>
      <c r="J484" s="27"/>
      <c r="L484" s="27"/>
      <c r="M484" s="27"/>
      <c r="N484" s="27"/>
      <c r="O484" s="27"/>
      <c r="P484" s="27"/>
      <c r="Q484" s="27"/>
      <c r="R484" s="27"/>
    </row>
    <row r="485">
      <c r="F485" s="27"/>
      <c r="G485" s="27"/>
      <c r="H485" s="27"/>
      <c r="J485" s="27"/>
      <c r="L485" s="27"/>
      <c r="M485" s="27"/>
      <c r="N485" s="27"/>
      <c r="O485" s="27"/>
      <c r="P485" s="27"/>
      <c r="Q485" s="27"/>
      <c r="R485" s="27"/>
    </row>
    <row r="486">
      <c r="F486" s="27"/>
      <c r="G486" s="27"/>
      <c r="H486" s="27"/>
      <c r="J486" s="27"/>
      <c r="L486" s="27"/>
      <c r="M486" s="27"/>
      <c r="N486" s="27"/>
      <c r="O486" s="27"/>
      <c r="P486" s="27"/>
      <c r="Q486" s="27"/>
      <c r="R486" s="27"/>
    </row>
    <row r="487">
      <c r="F487" s="27"/>
      <c r="G487" s="27"/>
      <c r="H487" s="27"/>
      <c r="J487" s="27"/>
      <c r="L487" s="27"/>
      <c r="M487" s="27"/>
      <c r="N487" s="27"/>
      <c r="O487" s="27"/>
      <c r="P487" s="27"/>
      <c r="Q487" s="27"/>
      <c r="R487" s="27"/>
    </row>
    <row r="488">
      <c r="F488" s="27"/>
      <c r="G488" s="27"/>
      <c r="H488" s="27"/>
      <c r="J488" s="27"/>
      <c r="L488" s="27"/>
      <c r="M488" s="27"/>
      <c r="N488" s="27"/>
      <c r="O488" s="27"/>
      <c r="P488" s="27"/>
      <c r="Q488" s="27"/>
      <c r="R488" s="27"/>
    </row>
    <row r="489">
      <c r="F489" s="27"/>
      <c r="G489" s="27"/>
      <c r="H489" s="27"/>
      <c r="J489" s="27"/>
      <c r="L489" s="27"/>
      <c r="M489" s="27"/>
      <c r="N489" s="27"/>
      <c r="O489" s="27"/>
      <c r="P489" s="27"/>
      <c r="Q489" s="27"/>
      <c r="R489" s="27"/>
    </row>
    <row r="490">
      <c r="F490" s="27"/>
      <c r="G490" s="27"/>
      <c r="H490" s="27"/>
      <c r="J490" s="27"/>
      <c r="L490" s="27"/>
      <c r="M490" s="27"/>
      <c r="N490" s="27"/>
      <c r="O490" s="27"/>
      <c r="P490" s="27"/>
      <c r="Q490" s="27"/>
      <c r="R490" s="27"/>
    </row>
    <row r="491">
      <c r="F491" s="27"/>
      <c r="G491" s="27"/>
      <c r="H491" s="27"/>
      <c r="J491" s="27"/>
      <c r="L491" s="27"/>
      <c r="M491" s="27"/>
      <c r="N491" s="27"/>
      <c r="O491" s="27"/>
      <c r="P491" s="27"/>
      <c r="Q491" s="27"/>
      <c r="R491" s="27"/>
    </row>
    <row r="492">
      <c r="F492" s="27"/>
      <c r="G492" s="27"/>
      <c r="H492" s="27"/>
      <c r="J492" s="27"/>
      <c r="L492" s="27"/>
      <c r="M492" s="27"/>
      <c r="N492" s="27"/>
      <c r="O492" s="27"/>
      <c r="P492" s="27"/>
      <c r="Q492" s="27"/>
      <c r="R492" s="27"/>
    </row>
    <row r="493">
      <c r="F493" s="27"/>
      <c r="G493" s="27"/>
      <c r="H493" s="27"/>
      <c r="J493" s="27"/>
      <c r="L493" s="27"/>
      <c r="M493" s="27"/>
      <c r="N493" s="27"/>
      <c r="O493" s="27"/>
      <c r="P493" s="27"/>
      <c r="Q493" s="27"/>
      <c r="R493" s="27"/>
    </row>
    <row r="494">
      <c r="F494" s="27"/>
      <c r="G494" s="27"/>
      <c r="H494" s="27"/>
      <c r="J494" s="27"/>
      <c r="L494" s="27"/>
      <c r="M494" s="27"/>
      <c r="N494" s="27"/>
      <c r="O494" s="27"/>
      <c r="P494" s="27"/>
      <c r="Q494" s="27"/>
      <c r="R494" s="27"/>
    </row>
    <row r="495">
      <c r="F495" s="27"/>
      <c r="G495" s="27"/>
      <c r="H495" s="27"/>
      <c r="J495" s="27"/>
      <c r="L495" s="27"/>
      <c r="M495" s="27"/>
      <c r="N495" s="27"/>
      <c r="O495" s="27"/>
      <c r="P495" s="27"/>
      <c r="Q495" s="27"/>
      <c r="R495" s="27"/>
    </row>
    <row r="496">
      <c r="F496" s="27"/>
      <c r="G496" s="27"/>
      <c r="H496" s="27"/>
      <c r="J496" s="27"/>
      <c r="L496" s="27"/>
      <c r="M496" s="27"/>
      <c r="N496" s="27"/>
      <c r="O496" s="27"/>
      <c r="P496" s="27"/>
      <c r="Q496" s="27"/>
      <c r="R496" s="27"/>
    </row>
    <row r="497">
      <c r="F497" s="27"/>
      <c r="G497" s="27"/>
      <c r="H497" s="27"/>
      <c r="J497" s="27"/>
      <c r="L497" s="27"/>
      <c r="M497" s="27"/>
      <c r="N497" s="27"/>
      <c r="O497" s="27"/>
      <c r="P497" s="27"/>
      <c r="Q497" s="27"/>
      <c r="R497" s="27"/>
    </row>
    <row r="498">
      <c r="F498" s="27"/>
      <c r="G498" s="27"/>
      <c r="H498" s="27"/>
      <c r="J498" s="27"/>
      <c r="L498" s="27"/>
      <c r="M498" s="27"/>
      <c r="N498" s="27"/>
      <c r="O498" s="27"/>
      <c r="P498" s="27"/>
      <c r="Q498" s="27"/>
      <c r="R498" s="27"/>
    </row>
    <row r="499">
      <c r="F499" s="27"/>
      <c r="G499" s="27"/>
      <c r="H499" s="27"/>
      <c r="J499" s="27"/>
      <c r="L499" s="27"/>
      <c r="M499" s="27"/>
      <c r="N499" s="27"/>
      <c r="O499" s="27"/>
      <c r="P499" s="27"/>
      <c r="Q499" s="27"/>
      <c r="R499" s="27"/>
    </row>
    <row r="500">
      <c r="F500" s="27"/>
      <c r="G500" s="27"/>
      <c r="H500" s="27"/>
      <c r="J500" s="27"/>
      <c r="L500" s="27"/>
      <c r="M500" s="27"/>
      <c r="N500" s="27"/>
      <c r="O500" s="27"/>
      <c r="P500" s="27"/>
      <c r="Q500" s="27"/>
      <c r="R500" s="27"/>
    </row>
    <row r="501">
      <c r="F501" s="27"/>
      <c r="G501" s="27"/>
      <c r="H501" s="27"/>
      <c r="J501" s="27"/>
      <c r="L501" s="27"/>
      <c r="M501" s="27"/>
      <c r="N501" s="27"/>
      <c r="O501" s="27"/>
      <c r="P501" s="27"/>
      <c r="Q501" s="27"/>
      <c r="R501" s="27"/>
    </row>
    <row r="502">
      <c r="F502" s="27"/>
      <c r="G502" s="27"/>
      <c r="H502" s="27"/>
      <c r="J502" s="27"/>
      <c r="L502" s="27"/>
      <c r="M502" s="27"/>
      <c r="N502" s="27"/>
      <c r="O502" s="27"/>
      <c r="P502" s="27"/>
      <c r="Q502" s="27"/>
      <c r="R502" s="27"/>
    </row>
    <row r="503">
      <c r="F503" s="27"/>
      <c r="G503" s="27"/>
      <c r="H503" s="27"/>
      <c r="J503" s="27"/>
      <c r="L503" s="27"/>
      <c r="M503" s="27"/>
      <c r="N503" s="27"/>
      <c r="O503" s="27"/>
      <c r="P503" s="27"/>
      <c r="Q503" s="27"/>
      <c r="R503" s="27"/>
    </row>
    <row r="504">
      <c r="F504" s="27"/>
      <c r="G504" s="27"/>
      <c r="H504" s="27"/>
      <c r="J504" s="27"/>
      <c r="L504" s="27"/>
      <c r="M504" s="27"/>
      <c r="N504" s="27"/>
      <c r="O504" s="27"/>
      <c r="P504" s="27"/>
      <c r="Q504" s="27"/>
      <c r="R504" s="27"/>
    </row>
    <row r="505">
      <c r="F505" s="27"/>
      <c r="G505" s="27"/>
      <c r="H505" s="27"/>
      <c r="J505" s="27"/>
      <c r="L505" s="27"/>
      <c r="M505" s="27"/>
      <c r="N505" s="27"/>
      <c r="O505" s="27"/>
      <c r="P505" s="27"/>
      <c r="Q505" s="27"/>
      <c r="R505" s="27"/>
    </row>
    <row r="506">
      <c r="F506" s="27"/>
      <c r="G506" s="27"/>
      <c r="H506" s="27"/>
      <c r="J506" s="27"/>
      <c r="L506" s="27"/>
      <c r="M506" s="27"/>
      <c r="N506" s="27"/>
      <c r="O506" s="27"/>
      <c r="P506" s="27"/>
      <c r="Q506" s="27"/>
      <c r="R506" s="27"/>
    </row>
    <row r="507">
      <c r="F507" s="27"/>
      <c r="G507" s="27"/>
      <c r="H507" s="27"/>
      <c r="J507" s="27"/>
      <c r="L507" s="27"/>
      <c r="M507" s="27"/>
      <c r="N507" s="27"/>
      <c r="O507" s="27"/>
      <c r="P507" s="27"/>
      <c r="Q507" s="27"/>
      <c r="R507" s="27"/>
    </row>
    <row r="508">
      <c r="F508" s="27"/>
      <c r="G508" s="27"/>
      <c r="H508" s="27"/>
      <c r="J508" s="27"/>
      <c r="L508" s="27"/>
      <c r="M508" s="27"/>
      <c r="N508" s="27"/>
      <c r="O508" s="27"/>
      <c r="P508" s="27"/>
      <c r="Q508" s="27"/>
      <c r="R508" s="27"/>
    </row>
    <row r="509">
      <c r="F509" s="27"/>
      <c r="G509" s="27"/>
      <c r="H509" s="27"/>
      <c r="J509" s="27"/>
      <c r="L509" s="27"/>
      <c r="M509" s="27"/>
      <c r="N509" s="27"/>
      <c r="O509" s="27"/>
      <c r="P509" s="27"/>
      <c r="Q509" s="27"/>
      <c r="R509" s="27"/>
    </row>
    <row r="510">
      <c r="F510" s="27"/>
      <c r="G510" s="27"/>
      <c r="H510" s="27"/>
      <c r="J510" s="27"/>
      <c r="L510" s="27"/>
      <c r="M510" s="27"/>
      <c r="N510" s="27"/>
      <c r="O510" s="27"/>
      <c r="P510" s="27"/>
      <c r="Q510" s="27"/>
      <c r="R510" s="27"/>
    </row>
    <row r="511">
      <c r="F511" s="27"/>
      <c r="G511" s="27"/>
      <c r="H511" s="27"/>
      <c r="J511" s="27"/>
      <c r="L511" s="27"/>
      <c r="M511" s="27"/>
      <c r="N511" s="27"/>
      <c r="O511" s="27"/>
      <c r="P511" s="27"/>
      <c r="Q511" s="27"/>
      <c r="R511" s="27"/>
    </row>
    <row r="512">
      <c r="F512" s="27"/>
      <c r="G512" s="27"/>
      <c r="H512" s="27"/>
      <c r="J512" s="27"/>
      <c r="L512" s="27"/>
      <c r="M512" s="27"/>
      <c r="N512" s="27"/>
      <c r="O512" s="27"/>
      <c r="P512" s="27"/>
      <c r="Q512" s="27"/>
      <c r="R512" s="27"/>
    </row>
    <row r="513">
      <c r="F513" s="27"/>
      <c r="G513" s="27"/>
      <c r="H513" s="27"/>
      <c r="J513" s="27"/>
      <c r="L513" s="27"/>
      <c r="M513" s="27"/>
      <c r="N513" s="27"/>
      <c r="O513" s="27"/>
      <c r="P513" s="27"/>
      <c r="Q513" s="27"/>
      <c r="R513" s="27"/>
    </row>
    <row r="514">
      <c r="F514" s="27"/>
      <c r="G514" s="27"/>
      <c r="H514" s="27"/>
      <c r="J514" s="27"/>
      <c r="L514" s="27"/>
      <c r="M514" s="27"/>
      <c r="N514" s="27"/>
      <c r="O514" s="27"/>
      <c r="P514" s="27"/>
      <c r="Q514" s="27"/>
      <c r="R514" s="27"/>
    </row>
    <row r="515">
      <c r="F515" s="27"/>
      <c r="G515" s="27"/>
      <c r="H515" s="27"/>
      <c r="J515" s="27"/>
      <c r="L515" s="27"/>
      <c r="M515" s="27"/>
      <c r="N515" s="27"/>
      <c r="O515" s="27"/>
      <c r="P515" s="27"/>
      <c r="Q515" s="27"/>
      <c r="R515" s="27"/>
    </row>
    <row r="516">
      <c r="F516" s="27"/>
      <c r="G516" s="27"/>
      <c r="H516" s="27"/>
      <c r="J516" s="27"/>
      <c r="L516" s="27"/>
      <c r="M516" s="27"/>
      <c r="N516" s="27"/>
      <c r="O516" s="27"/>
      <c r="P516" s="27"/>
      <c r="Q516" s="27"/>
      <c r="R516" s="27"/>
    </row>
    <row r="517">
      <c r="F517" s="27"/>
      <c r="G517" s="27"/>
      <c r="H517" s="27"/>
      <c r="J517" s="27"/>
      <c r="L517" s="27"/>
      <c r="M517" s="27"/>
      <c r="N517" s="27"/>
      <c r="O517" s="27"/>
      <c r="P517" s="27"/>
      <c r="Q517" s="27"/>
      <c r="R517" s="27"/>
    </row>
    <row r="518">
      <c r="F518" s="27"/>
      <c r="G518" s="27"/>
      <c r="H518" s="27"/>
      <c r="J518" s="27"/>
      <c r="L518" s="27"/>
      <c r="M518" s="27"/>
      <c r="N518" s="27"/>
      <c r="O518" s="27"/>
      <c r="P518" s="27"/>
      <c r="Q518" s="27"/>
      <c r="R518" s="27"/>
    </row>
    <row r="519">
      <c r="F519" s="27"/>
      <c r="G519" s="27"/>
      <c r="H519" s="27"/>
      <c r="J519" s="27"/>
      <c r="L519" s="27"/>
      <c r="M519" s="27"/>
      <c r="N519" s="27"/>
      <c r="O519" s="27"/>
      <c r="P519" s="27"/>
      <c r="Q519" s="27"/>
      <c r="R519" s="27"/>
    </row>
    <row r="520">
      <c r="F520" s="27"/>
      <c r="G520" s="27"/>
      <c r="H520" s="27"/>
      <c r="J520" s="27"/>
      <c r="L520" s="27"/>
      <c r="M520" s="27"/>
      <c r="N520" s="27"/>
      <c r="O520" s="27"/>
      <c r="P520" s="27"/>
      <c r="Q520" s="27"/>
      <c r="R520" s="27"/>
    </row>
    <row r="521">
      <c r="F521" s="27"/>
      <c r="G521" s="27"/>
      <c r="H521" s="27"/>
      <c r="J521" s="27"/>
      <c r="L521" s="27"/>
      <c r="M521" s="27"/>
      <c r="N521" s="27"/>
      <c r="O521" s="27"/>
      <c r="P521" s="27"/>
      <c r="Q521" s="27"/>
      <c r="R521" s="27"/>
    </row>
    <row r="522">
      <c r="F522" s="27"/>
      <c r="G522" s="27"/>
      <c r="H522" s="27"/>
      <c r="J522" s="27"/>
      <c r="L522" s="27"/>
      <c r="M522" s="27"/>
      <c r="N522" s="27"/>
      <c r="O522" s="27"/>
      <c r="P522" s="27"/>
      <c r="Q522" s="27"/>
      <c r="R522" s="27"/>
    </row>
    <row r="523">
      <c r="F523" s="27"/>
      <c r="G523" s="27"/>
      <c r="H523" s="27"/>
      <c r="J523" s="27"/>
      <c r="L523" s="27"/>
      <c r="M523" s="27"/>
      <c r="N523" s="27"/>
      <c r="O523" s="27"/>
      <c r="P523" s="27"/>
      <c r="Q523" s="27"/>
      <c r="R523" s="27"/>
    </row>
    <row r="524">
      <c r="F524" s="27"/>
      <c r="G524" s="27"/>
      <c r="H524" s="27"/>
      <c r="J524" s="27"/>
      <c r="L524" s="27"/>
      <c r="M524" s="27"/>
      <c r="N524" s="27"/>
      <c r="O524" s="27"/>
      <c r="P524" s="27"/>
      <c r="Q524" s="27"/>
      <c r="R524" s="27"/>
    </row>
    <row r="525">
      <c r="F525" s="27"/>
      <c r="G525" s="27"/>
      <c r="H525" s="27"/>
      <c r="J525" s="27"/>
      <c r="L525" s="27"/>
      <c r="M525" s="27"/>
      <c r="N525" s="27"/>
      <c r="O525" s="27"/>
      <c r="P525" s="27"/>
      <c r="Q525" s="27"/>
      <c r="R525" s="27"/>
    </row>
    <row r="526">
      <c r="F526" s="27"/>
      <c r="G526" s="27"/>
      <c r="H526" s="27"/>
      <c r="J526" s="27"/>
      <c r="L526" s="27"/>
      <c r="M526" s="27"/>
      <c r="N526" s="27"/>
      <c r="O526" s="27"/>
      <c r="P526" s="27"/>
      <c r="Q526" s="27"/>
      <c r="R526" s="27"/>
    </row>
    <row r="527">
      <c r="F527" s="27"/>
      <c r="G527" s="27"/>
      <c r="H527" s="27"/>
      <c r="J527" s="27"/>
      <c r="L527" s="27"/>
      <c r="M527" s="27"/>
      <c r="N527" s="27"/>
      <c r="O527" s="27"/>
      <c r="P527" s="27"/>
      <c r="Q527" s="27"/>
      <c r="R527" s="27"/>
    </row>
    <row r="528">
      <c r="F528" s="27"/>
      <c r="G528" s="27"/>
      <c r="H528" s="27"/>
      <c r="J528" s="27"/>
      <c r="L528" s="27"/>
      <c r="M528" s="27"/>
      <c r="N528" s="27"/>
      <c r="O528" s="27"/>
      <c r="P528" s="27"/>
      <c r="Q528" s="27"/>
      <c r="R528" s="27"/>
    </row>
    <row r="529">
      <c r="F529" s="27"/>
      <c r="G529" s="27"/>
      <c r="H529" s="27"/>
      <c r="J529" s="27"/>
      <c r="L529" s="27"/>
      <c r="M529" s="27"/>
      <c r="N529" s="27"/>
      <c r="O529" s="27"/>
      <c r="P529" s="27"/>
      <c r="Q529" s="27"/>
      <c r="R529" s="27"/>
    </row>
    <row r="530">
      <c r="F530" s="27"/>
      <c r="G530" s="27"/>
      <c r="H530" s="27"/>
      <c r="J530" s="27"/>
      <c r="L530" s="27"/>
      <c r="M530" s="27"/>
      <c r="N530" s="27"/>
      <c r="O530" s="27"/>
      <c r="P530" s="27"/>
      <c r="Q530" s="27"/>
      <c r="R530" s="27"/>
    </row>
    <row r="531">
      <c r="F531" s="27"/>
      <c r="G531" s="27"/>
      <c r="H531" s="27"/>
      <c r="J531" s="27"/>
      <c r="L531" s="27"/>
      <c r="M531" s="27"/>
      <c r="N531" s="27"/>
      <c r="O531" s="27"/>
      <c r="P531" s="27"/>
      <c r="Q531" s="27"/>
      <c r="R531" s="27"/>
    </row>
    <row r="532">
      <c r="F532" s="27"/>
      <c r="G532" s="27"/>
      <c r="H532" s="27"/>
      <c r="J532" s="27"/>
      <c r="L532" s="27"/>
      <c r="M532" s="27"/>
      <c r="N532" s="27"/>
      <c r="O532" s="27"/>
      <c r="P532" s="27"/>
      <c r="Q532" s="27"/>
      <c r="R532" s="27"/>
    </row>
    <row r="533">
      <c r="F533" s="27"/>
      <c r="G533" s="27"/>
      <c r="H533" s="27"/>
      <c r="J533" s="27"/>
      <c r="L533" s="27"/>
      <c r="M533" s="27"/>
      <c r="N533" s="27"/>
      <c r="O533" s="27"/>
      <c r="P533" s="27"/>
      <c r="Q533" s="27"/>
      <c r="R533" s="27"/>
    </row>
    <row r="534">
      <c r="F534" s="27"/>
      <c r="G534" s="27"/>
      <c r="H534" s="27"/>
      <c r="J534" s="27"/>
      <c r="L534" s="27"/>
      <c r="M534" s="27"/>
      <c r="N534" s="27"/>
      <c r="O534" s="27"/>
      <c r="P534" s="27"/>
      <c r="Q534" s="27"/>
      <c r="R534" s="27"/>
    </row>
    <row r="535">
      <c r="F535" s="27"/>
      <c r="G535" s="27"/>
      <c r="H535" s="27"/>
      <c r="J535" s="27"/>
      <c r="L535" s="27"/>
      <c r="M535" s="27"/>
      <c r="N535" s="27"/>
      <c r="O535" s="27"/>
      <c r="P535" s="27"/>
      <c r="Q535" s="27"/>
      <c r="R535" s="27"/>
    </row>
    <row r="536">
      <c r="F536" s="27"/>
      <c r="G536" s="27"/>
      <c r="H536" s="27"/>
      <c r="J536" s="27"/>
      <c r="L536" s="27"/>
      <c r="M536" s="27"/>
      <c r="N536" s="27"/>
      <c r="O536" s="27"/>
      <c r="P536" s="27"/>
      <c r="Q536" s="27"/>
      <c r="R536" s="27"/>
    </row>
    <row r="537">
      <c r="F537" s="27"/>
      <c r="G537" s="27"/>
      <c r="H537" s="27"/>
      <c r="J537" s="27"/>
      <c r="L537" s="27"/>
      <c r="M537" s="27"/>
      <c r="N537" s="27"/>
      <c r="O537" s="27"/>
      <c r="P537" s="27"/>
      <c r="Q537" s="27"/>
      <c r="R537" s="27"/>
    </row>
    <row r="538">
      <c r="F538" s="27"/>
      <c r="G538" s="27"/>
      <c r="H538" s="27"/>
      <c r="J538" s="27"/>
      <c r="L538" s="27"/>
      <c r="M538" s="27"/>
      <c r="N538" s="27"/>
      <c r="O538" s="27"/>
      <c r="P538" s="27"/>
      <c r="Q538" s="27"/>
      <c r="R538" s="27"/>
    </row>
    <row r="539">
      <c r="F539" s="27"/>
      <c r="G539" s="27"/>
      <c r="H539" s="27"/>
      <c r="J539" s="27"/>
      <c r="L539" s="27"/>
      <c r="M539" s="27"/>
      <c r="N539" s="27"/>
      <c r="O539" s="27"/>
      <c r="P539" s="27"/>
      <c r="Q539" s="27"/>
      <c r="R539" s="27"/>
    </row>
    <row r="540">
      <c r="F540" s="27"/>
      <c r="G540" s="27"/>
      <c r="H540" s="27"/>
      <c r="J540" s="27"/>
      <c r="L540" s="27"/>
      <c r="M540" s="27"/>
      <c r="N540" s="27"/>
      <c r="O540" s="27"/>
      <c r="P540" s="27"/>
      <c r="Q540" s="27"/>
      <c r="R540" s="27"/>
    </row>
    <row r="541">
      <c r="F541" s="27"/>
      <c r="G541" s="27"/>
      <c r="H541" s="27"/>
      <c r="J541" s="27"/>
      <c r="L541" s="27"/>
      <c r="M541" s="27"/>
      <c r="N541" s="27"/>
      <c r="O541" s="27"/>
      <c r="P541" s="27"/>
      <c r="Q541" s="27"/>
      <c r="R541" s="27"/>
    </row>
    <row r="542">
      <c r="F542" s="27"/>
      <c r="G542" s="27"/>
      <c r="H542" s="27"/>
      <c r="J542" s="27"/>
      <c r="L542" s="27"/>
      <c r="M542" s="27"/>
      <c r="N542" s="27"/>
      <c r="O542" s="27"/>
      <c r="P542" s="27"/>
      <c r="Q542" s="27"/>
      <c r="R542" s="27"/>
    </row>
    <row r="543">
      <c r="F543" s="27"/>
      <c r="G543" s="27"/>
      <c r="H543" s="27"/>
      <c r="J543" s="27"/>
      <c r="L543" s="27"/>
      <c r="M543" s="27"/>
      <c r="N543" s="27"/>
      <c r="O543" s="27"/>
      <c r="P543" s="27"/>
      <c r="Q543" s="27"/>
      <c r="R543" s="27"/>
    </row>
    <row r="544">
      <c r="F544" s="27"/>
      <c r="G544" s="27"/>
      <c r="H544" s="27"/>
      <c r="J544" s="27"/>
      <c r="L544" s="27"/>
      <c r="M544" s="27"/>
      <c r="N544" s="27"/>
      <c r="O544" s="27"/>
      <c r="P544" s="27"/>
      <c r="Q544" s="27"/>
      <c r="R544" s="27"/>
    </row>
    <row r="545">
      <c r="F545" s="27"/>
      <c r="G545" s="27"/>
      <c r="H545" s="27"/>
      <c r="J545" s="27"/>
      <c r="L545" s="27"/>
      <c r="M545" s="27"/>
      <c r="N545" s="27"/>
      <c r="O545" s="27"/>
      <c r="P545" s="27"/>
      <c r="Q545" s="27"/>
      <c r="R545" s="27"/>
    </row>
    <row r="546">
      <c r="F546" s="27"/>
      <c r="G546" s="27"/>
      <c r="H546" s="27"/>
      <c r="J546" s="27"/>
      <c r="L546" s="27"/>
      <c r="M546" s="27"/>
      <c r="N546" s="27"/>
      <c r="O546" s="27"/>
      <c r="P546" s="27"/>
      <c r="Q546" s="27"/>
      <c r="R546" s="27"/>
    </row>
    <row r="547">
      <c r="F547" s="27"/>
      <c r="G547" s="27"/>
      <c r="H547" s="27"/>
      <c r="J547" s="27"/>
      <c r="L547" s="27"/>
      <c r="M547" s="27"/>
      <c r="N547" s="27"/>
      <c r="O547" s="27"/>
      <c r="P547" s="27"/>
      <c r="Q547" s="27"/>
      <c r="R547" s="27"/>
    </row>
    <row r="548">
      <c r="F548" s="27"/>
      <c r="G548" s="27"/>
      <c r="H548" s="27"/>
      <c r="J548" s="27"/>
      <c r="L548" s="27"/>
      <c r="M548" s="27"/>
      <c r="N548" s="27"/>
      <c r="O548" s="27"/>
      <c r="P548" s="27"/>
      <c r="Q548" s="27"/>
      <c r="R548" s="27"/>
    </row>
    <row r="549">
      <c r="F549" s="27"/>
      <c r="G549" s="27"/>
      <c r="H549" s="27"/>
      <c r="J549" s="27"/>
      <c r="L549" s="27"/>
      <c r="M549" s="27"/>
      <c r="N549" s="27"/>
      <c r="O549" s="27"/>
      <c r="P549" s="27"/>
      <c r="Q549" s="27"/>
      <c r="R549" s="27"/>
    </row>
    <row r="550">
      <c r="F550" s="27"/>
      <c r="G550" s="27"/>
      <c r="H550" s="27"/>
      <c r="J550" s="27"/>
      <c r="L550" s="27"/>
      <c r="M550" s="27"/>
      <c r="N550" s="27"/>
      <c r="O550" s="27"/>
      <c r="P550" s="27"/>
      <c r="Q550" s="27"/>
      <c r="R550" s="27"/>
    </row>
    <row r="551">
      <c r="F551" s="27"/>
      <c r="G551" s="27"/>
      <c r="H551" s="27"/>
      <c r="J551" s="27"/>
      <c r="L551" s="27"/>
      <c r="M551" s="27"/>
      <c r="N551" s="27"/>
      <c r="O551" s="27"/>
      <c r="P551" s="27"/>
      <c r="Q551" s="27"/>
      <c r="R551" s="27"/>
    </row>
    <row r="552">
      <c r="F552" s="27"/>
      <c r="G552" s="27"/>
      <c r="H552" s="27"/>
      <c r="J552" s="27"/>
      <c r="L552" s="27"/>
      <c r="M552" s="27"/>
      <c r="N552" s="27"/>
      <c r="O552" s="27"/>
      <c r="P552" s="27"/>
      <c r="Q552" s="27"/>
      <c r="R552" s="27"/>
    </row>
    <row r="553">
      <c r="F553" s="27"/>
      <c r="G553" s="27"/>
      <c r="H553" s="27"/>
      <c r="J553" s="27"/>
      <c r="L553" s="27"/>
      <c r="M553" s="27"/>
      <c r="N553" s="27"/>
      <c r="O553" s="27"/>
      <c r="P553" s="27"/>
      <c r="Q553" s="27"/>
      <c r="R553" s="27"/>
    </row>
    <row r="554">
      <c r="F554" s="27"/>
      <c r="G554" s="27"/>
      <c r="H554" s="27"/>
      <c r="J554" s="27"/>
      <c r="L554" s="27"/>
      <c r="M554" s="27"/>
      <c r="N554" s="27"/>
      <c r="O554" s="27"/>
      <c r="P554" s="27"/>
      <c r="Q554" s="27"/>
      <c r="R554" s="27"/>
    </row>
    <row r="555">
      <c r="F555" s="27"/>
      <c r="G555" s="27"/>
      <c r="H555" s="27"/>
      <c r="J555" s="27"/>
      <c r="L555" s="27"/>
      <c r="M555" s="27"/>
      <c r="N555" s="27"/>
      <c r="O555" s="27"/>
      <c r="P555" s="27"/>
      <c r="Q555" s="27"/>
      <c r="R555" s="27"/>
    </row>
    <row r="556">
      <c r="F556" s="27"/>
      <c r="G556" s="27"/>
      <c r="H556" s="27"/>
      <c r="J556" s="27"/>
      <c r="L556" s="27"/>
      <c r="M556" s="27"/>
      <c r="N556" s="27"/>
      <c r="O556" s="27"/>
      <c r="P556" s="27"/>
      <c r="Q556" s="27"/>
      <c r="R556" s="27"/>
    </row>
    <row r="557">
      <c r="F557" s="27"/>
      <c r="G557" s="27"/>
      <c r="H557" s="27"/>
      <c r="J557" s="27"/>
      <c r="L557" s="27"/>
      <c r="M557" s="27"/>
      <c r="N557" s="27"/>
      <c r="O557" s="27"/>
      <c r="P557" s="27"/>
      <c r="Q557" s="27"/>
      <c r="R557" s="27"/>
    </row>
    <row r="558">
      <c r="F558" s="27"/>
      <c r="G558" s="27"/>
      <c r="H558" s="27"/>
      <c r="J558" s="27"/>
      <c r="L558" s="27"/>
      <c r="M558" s="27"/>
      <c r="N558" s="27"/>
      <c r="O558" s="27"/>
      <c r="P558" s="27"/>
      <c r="Q558" s="27"/>
      <c r="R558" s="27"/>
    </row>
    <row r="559">
      <c r="F559" s="27"/>
      <c r="G559" s="27"/>
      <c r="H559" s="27"/>
      <c r="J559" s="27"/>
      <c r="L559" s="27"/>
      <c r="M559" s="27"/>
      <c r="N559" s="27"/>
      <c r="O559" s="27"/>
      <c r="P559" s="27"/>
      <c r="Q559" s="27"/>
      <c r="R559" s="27"/>
    </row>
    <row r="560">
      <c r="F560" s="27"/>
      <c r="G560" s="27"/>
      <c r="H560" s="27"/>
      <c r="J560" s="27"/>
      <c r="L560" s="27"/>
      <c r="M560" s="27"/>
      <c r="N560" s="27"/>
      <c r="O560" s="27"/>
      <c r="P560" s="27"/>
      <c r="Q560" s="27"/>
      <c r="R560" s="27"/>
    </row>
    <row r="561">
      <c r="F561" s="27"/>
      <c r="G561" s="27"/>
      <c r="H561" s="27"/>
      <c r="J561" s="27"/>
      <c r="L561" s="27"/>
      <c r="M561" s="27"/>
      <c r="N561" s="27"/>
      <c r="O561" s="27"/>
      <c r="P561" s="27"/>
      <c r="Q561" s="27"/>
      <c r="R561" s="27"/>
    </row>
    <row r="562">
      <c r="F562" s="27"/>
      <c r="G562" s="27"/>
      <c r="H562" s="27"/>
      <c r="J562" s="27"/>
      <c r="L562" s="27"/>
      <c r="M562" s="27"/>
      <c r="N562" s="27"/>
      <c r="O562" s="27"/>
      <c r="P562" s="27"/>
      <c r="Q562" s="27"/>
      <c r="R562" s="27"/>
    </row>
    <row r="563">
      <c r="F563" s="27"/>
      <c r="G563" s="27"/>
      <c r="H563" s="27"/>
      <c r="J563" s="27"/>
      <c r="L563" s="27"/>
      <c r="M563" s="27"/>
      <c r="N563" s="27"/>
      <c r="O563" s="27"/>
      <c r="P563" s="27"/>
      <c r="Q563" s="27"/>
      <c r="R563" s="27"/>
    </row>
    <row r="564">
      <c r="F564" s="27"/>
      <c r="G564" s="27"/>
      <c r="H564" s="27"/>
      <c r="J564" s="27"/>
      <c r="L564" s="27"/>
      <c r="M564" s="27"/>
      <c r="N564" s="27"/>
      <c r="O564" s="27"/>
      <c r="P564" s="27"/>
      <c r="Q564" s="27"/>
      <c r="R564" s="27"/>
    </row>
    <row r="565">
      <c r="F565" s="27"/>
      <c r="G565" s="27"/>
      <c r="H565" s="27"/>
      <c r="J565" s="27"/>
      <c r="L565" s="27"/>
      <c r="M565" s="27"/>
      <c r="N565" s="27"/>
      <c r="O565" s="27"/>
      <c r="P565" s="27"/>
      <c r="Q565" s="27"/>
      <c r="R565" s="27"/>
    </row>
    <row r="566">
      <c r="F566" s="27"/>
      <c r="G566" s="27"/>
      <c r="H566" s="27"/>
      <c r="J566" s="27"/>
      <c r="L566" s="27"/>
      <c r="M566" s="27"/>
      <c r="N566" s="27"/>
      <c r="O566" s="27"/>
      <c r="P566" s="27"/>
      <c r="Q566" s="27"/>
      <c r="R566" s="27"/>
    </row>
    <row r="567">
      <c r="F567" s="27"/>
      <c r="G567" s="27"/>
      <c r="H567" s="27"/>
      <c r="J567" s="27"/>
      <c r="L567" s="27"/>
      <c r="M567" s="27"/>
      <c r="N567" s="27"/>
      <c r="O567" s="27"/>
      <c r="P567" s="27"/>
      <c r="Q567" s="27"/>
      <c r="R567" s="27"/>
    </row>
    <row r="568">
      <c r="F568" s="27"/>
      <c r="G568" s="27"/>
      <c r="H568" s="27"/>
      <c r="J568" s="27"/>
      <c r="L568" s="27"/>
      <c r="M568" s="27"/>
      <c r="N568" s="27"/>
      <c r="O568" s="27"/>
      <c r="P568" s="27"/>
      <c r="Q568" s="27"/>
      <c r="R568" s="27"/>
    </row>
    <row r="569">
      <c r="F569" s="27"/>
      <c r="G569" s="27"/>
      <c r="H569" s="27"/>
      <c r="J569" s="27"/>
      <c r="L569" s="27"/>
      <c r="M569" s="27"/>
      <c r="N569" s="27"/>
      <c r="O569" s="27"/>
      <c r="P569" s="27"/>
      <c r="Q569" s="27"/>
      <c r="R569" s="27"/>
    </row>
    <row r="570">
      <c r="F570" s="27"/>
      <c r="G570" s="27"/>
      <c r="H570" s="27"/>
      <c r="J570" s="27"/>
      <c r="L570" s="27"/>
      <c r="M570" s="27"/>
      <c r="N570" s="27"/>
      <c r="O570" s="27"/>
      <c r="P570" s="27"/>
      <c r="Q570" s="27"/>
      <c r="R570" s="27"/>
    </row>
    <row r="571">
      <c r="F571" s="27"/>
      <c r="G571" s="27"/>
      <c r="H571" s="27"/>
      <c r="J571" s="27"/>
      <c r="L571" s="27"/>
      <c r="M571" s="27"/>
      <c r="N571" s="27"/>
      <c r="O571" s="27"/>
      <c r="P571" s="27"/>
      <c r="Q571" s="27"/>
      <c r="R571" s="27"/>
    </row>
    <row r="572">
      <c r="F572" s="27"/>
      <c r="G572" s="27"/>
      <c r="H572" s="27"/>
      <c r="J572" s="27"/>
      <c r="L572" s="27"/>
      <c r="M572" s="27"/>
      <c r="N572" s="27"/>
      <c r="O572" s="27"/>
      <c r="P572" s="27"/>
      <c r="Q572" s="27"/>
      <c r="R572" s="27"/>
    </row>
    <row r="573">
      <c r="F573" s="27"/>
      <c r="G573" s="27"/>
      <c r="H573" s="27"/>
      <c r="J573" s="27"/>
      <c r="L573" s="27"/>
      <c r="M573" s="27"/>
      <c r="N573" s="27"/>
      <c r="O573" s="27"/>
      <c r="P573" s="27"/>
      <c r="Q573" s="27"/>
      <c r="R573" s="27"/>
    </row>
    <row r="574">
      <c r="F574" s="27"/>
      <c r="G574" s="27"/>
      <c r="H574" s="27"/>
      <c r="J574" s="27"/>
      <c r="L574" s="27"/>
      <c r="M574" s="27"/>
      <c r="N574" s="27"/>
      <c r="O574" s="27"/>
      <c r="P574" s="27"/>
      <c r="Q574" s="27"/>
      <c r="R574" s="27"/>
    </row>
    <row r="575">
      <c r="F575" s="27"/>
      <c r="G575" s="27"/>
      <c r="H575" s="27"/>
      <c r="J575" s="27"/>
      <c r="L575" s="27"/>
      <c r="M575" s="27"/>
      <c r="N575" s="27"/>
      <c r="O575" s="27"/>
      <c r="P575" s="27"/>
      <c r="Q575" s="27"/>
      <c r="R575" s="27"/>
    </row>
    <row r="576">
      <c r="F576" s="27"/>
      <c r="G576" s="27"/>
      <c r="H576" s="27"/>
      <c r="J576" s="27"/>
      <c r="L576" s="27"/>
      <c r="M576" s="27"/>
      <c r="N576" s="27"/>
      <c r="O576" s="27"/>
      <c r="P576" s="27"/>
      <c r="Q576" s="27"/>
      <c r="R576" s="27"/>
    </row>
    <row r="577">
      <c r="F577" s="27"/>
      <c r="G577" s="27"/>
      <c r="H577" s="27"/>
      <c r="J577" s="27"/>
      <c r="L577" s="27"/>
      <c r="M577" s="27"/>
      <c r="N577" s="27"/>
      <c r="O577" s="27"/>
      <c r="P577" s="27"/>
      <c r="Q577" s="27"/>
      <c r="R577" s="27"/>
    </row>
    <row r="578">
      <c r="F578" s="27"/>
      <c r="G578" s="27"/>
      <c r="H578" s="27"/>
      <c r="J578" s="27"/>
      <c r="L578" s="27"/>
      <c r="M578" s="27"/>
      <c r="N578" s="27"/>
      <c r="O578" s="27"/>
      <c r="P578" s="27"/>
      <c r="Q578" s="27"/>
      <c r="R578" s="27"/>
    </row>
    <row r="579">
      <c r="F579" s="27"/>
      <c r="G579" s="27"/>
      <c r="H579" s="27"/>
      <c r="J579" s="27"/>
      <c r="L579" s="27"/>
      <c r="M579" s="27"/>
      <c r="N579" s="27"/>
      <c r="O579" s="27"/>
      <c r="P579" s="27"/>
      <c r="Q579" s="27"/>
      <c r="R579" s="27"/>
    </row>
    <row r="580">
      <c r="F580" s="27"/>
      <c r="G580" s="27"/>
      <c r="H580" s="27"/>
      <c r="J580" s="27"/>
      <c r="L580" s="27"/>
      <c r="M580" s="27"/>
      <c r="N580" s="27"/>
      <c r="O580" s="27"/>
      <c r="P580" s="27"/>
      <c r="Q580" s="27"/>
      <c r="R580" s="27"/>
    </row>
    <row r="581">
      <c r="F581" s="27"/>
      <c r="G581" s="27"/>
      <c r="H581" s="27"/>
      <c r="J581" s="27"/>
      <c r="L581" s="27"/>
      <c r="M581" s="27"/>
      <c r="N581" s="27"/>
      <c r="O581" s="27"/>
      <c r="P581" s="27"/>
      <c r="Q581" s="27"/>
      <c r="R581" s="27"/>
    </row>
    <row r="582">
      <c r="F582" s="27"/>
      <c r="G582" s="27"/>
      <c r="H582" s="27"/>
      <c r="J582" s="27"/>
      <c r="L582" s="27"/>
      <c r="M582" s="27"/>
      <c r="N582" s="27"/>
      <c r="O582" s="27"/>
      <c r="P582" s="27"/>
      <c r="Q582" s="27"/>
      <c r="R582" s="27"/>
    </row>
    <row r="583">
      <c r="F583" s="27"/>
      <c r="G583" s="27"/>
      <c r="H583" s="27"/>
      <c r="J583" s="27"/>
      <c r="L583" s="27"/>
      <c r="M583" s="27"/>
      <c r="N583" s="27"/>
      <c r="O583" s="27"/>
      <c r="P583" s="27"/>
      <c r="Q583" s="27"/>
      <c r="R583" s="27"/>
    </row>
    <row r="584">
      <c r="F584" s="27"/>
      <c r="G584" s="27"/>
      <c r="H584" s="27"/>
      <c r="J584" s="27"/>
      <c r="L584" s="27"/>
      <c r="M584" s="27"/>
      <c r="N584" s="27"/>
      <c r="O584" s="27"/>
      <c r="P584" s="27"/>
      <c r="Q584" s="27"/>
      <c r="R584" s="27"/>
    </row>
    <row r="585">
      <c r="F585" s="27"/>
      <c r="G585" s="27"/>
      <c r="H585" s="27"/>
      <c r="J585" s="27"/>
      <c r="L585" s="27"/>
      <c r="M585" s="27"/>
      <c r="N585" s="27"/>
      <c r="O585" s="27"/>
      <c r="P585" s="27"/>
      <c r="Q585" s="27"/>
      <c r="R585" s="27"/>
    </row>
    <row r="586">
      <c r="F586" s="27"/>
      <c r="G586" s="27"/>
      <c r="H586" s="27"/>
      <c r="J586" s="27"/>
      <c r="L586" s="27"/>
      <c r="M586" s="27"/>
      <c r="N586" s="27"/>
      <c r="O586" s="27"/>
      <c r="P586" s="27"/>
      <c r="Q586" s="27"/>
      <c r="R586" s="27"/>
    </row>
    <row r="587">
      <c r="F587" s="27"/>
      <c r="G587" s="27"/>
      <c r="H587" s="27"/>
      <c r="J587" s="27"/>
      <c r="L587" s="27"/>
      <c r="M587" s="27"/>
      <c r="N587" s="27"/>
      <c r="O587" s="27"/>
      <c r="P587" s="27"/>
      <c r="Q587" s="27"/>
      <c r="R587" s="27"/>
    </row>
    <row r="588">
      <c r="F588" s="27"/>
      <c r="G588" s="27"/>
      <c r="H588" s="27"/>
      <c r="J588" s="27"/>
      <c r="L588" s="27"/>
      <c r="M588" s="27"/>
      <c r="N588" s="27"/>
      <c r="O588" s="27"/>
      <c r="P588" s="27"/>
      <c r="Q588" s="27"/>
      <c r="R588" s="27"/>
    </row>
    <row r="589">
      <c r="F589" s="27"/>
      <c r="G589" s="27"/>
      <c r="H589" s="27"/>
      <c r="J589" s="27"/>
      <c r="L589" s="27"/>
      <c r="M589" s="27"/>
      <c r="N589" s="27"/>
      <c r="O589" s="27"/>
      <c r="P589" s="27"/>
      <c r="Q589" s="27"/>
      <c r="R589" s="27"/>
    </row>
    <row r="590">
      <c r="F590" s="27"/>
      <c r="G590" s="27"/>
      <c r="H590" s="27"/>
      <c r="J590" s="27"/>
      <c r="L590" s="27"/>
      <c r="M590" s="27"/>
      <c r="N590" s="27"/>
      <c r="O590" s="27"/>
      <c r="P590" s="27"/>
      <c r="Q590" s="27"/>
      <c r="R590" s="27"/>
    </row>
    <row r="591">
      <c r="F591" s="27"/>
      <c r="G591" s="27"/>
      <c r="H591" s="27"/>
      <c r="J591" s="27"/>
      <c r="L591" s="27"/>
      <c r="M591" s="27"/>
      <c r="N591" s="27"/>
      <c r="O591" s="27"/>
      <c r="P591" s="27"/>
      <c r="Q591" s="27"/>
      <c r="R591" s="27"/>
    </row>
    <row r="592">
      <c r="F592" s="27"/>
      <c r="G592" s="27"/>
      <c r="H592" s="27"/>
      <c r="J592" s="27"/>
      <c r="L592" s="27"/>
      <c r="M592" s="27"/>
      <c r="N592" s="27"/>
      <c r="O592" s="27"/>
      <c r="P592" s="27"/>
      <c r="Q592" s="27"/>
      <c r="R592" s="27"/>
    </row>
    <row r="593">
      <c r="F593" s="27"/>
      <c r="G593" s="27"/>
      <c r="H593" s="27"/>
      <c r="J593" s="27"/>
      <c r="L593" s="27"/>
      <c r="M593" s="27"/>
      <c r="N593" s="27"/>
      <c r="O593" s="27"/>
      <c r="P593" s="27"/>
      <c r="Q593" s="27"/>
      <c r="R593" s="27"/>
    </row>
    <row r="594">
      <c r="F594" s="27"/>
      <c r="G594" s="27"/>
      <c r="H594" s="27"/>
      <c r="J594" s="27"/>
      <c r="L594" s="27"/>
      <c r="M594" s="27"/>
      <c r="N594" s="27"/>
      <c r="O594" s="27"/>
      <c r="P594" s="27"/>
      <c r="Q594" s="27"/>
      <c r="R594" s="27"/>
    </row>
    <row r="595">
      <c r="F595" s="27"/>
      <c r="G595" s="27"/>
      <c r="H595" s="27"/>
      <c r="J595" s="27"/>
      <c r="L595" s="27"/>
      <c r="M595" s="27"/>
      <c r="N595" s="27"/>
      <c r="O595" s="27"/>
      <c r="P595" s="27"/>
      <c r="Q595" s="27"/>
      <c r="R595" s="27"/>
    </row>
    <row r="596">
      <c r="F596" s="27"/>
      <c r="G596" s="27"/>
      <c r="H596" s="27"/>
      <c r="J596" s="27"/>
      <c r="L596" s="27"/>
      <c r="M596" s="27"/>
      <c r="N596" s="27"/>
      <c r="O596" s="27"/>
      <c r="P596" s="27"/>
      <c r="Q596" s="27"/>
      <c r="R596" s="27"/>
    </row>
    <row r="597">
      <c r="F597" s="27"/>
      <c r="G597" s="27"/>
      <c r="H597" s="27"/>
      <c r="J597" s="27"/>
      <c r="L597" s="27"/>
      <c r="M597" s="27"/>
      <c r="N597" s="27"/>
      <c r="O597" s="27"/>
      <c r="P597" s="27"/>
      <c r="Q597" s="27"/>
      <c r="R597" s="27"/>
    </row>
    <row r="598">
      <c r="F598" s="27"/>
      <c r="G598" s="27"/>
      <c r="H598" s="27"/>
      <c r="J598" s="27"/>
      <c r="L598" s="27"/>
      <c r="M598" s="27"/>
      <c r="N598" s="27"/>
      <c r="O598" s="27"/>
      <c r="P598" s="27"/>
      <c r="Q598" s="27"/>
      <c r="R598" s="27"/>
    </row>
    <row r="599">
      <c r="F599" s="27"/>
      <c r="G599" s="27"/>
      <c r="H599" s="27"/>
      <c r="J599" s="27"/>
      <c r="L599" s="27"/>
      <c r="M599" s="27"/>
      <c r="N599" s="27"/>
      <c r="O599" s="27"/>
      <c r="P599" s="27"/>
      <c r="Q599" s="27"/>
      <c r="R599" s="27"/>
    </row>
    <row r="600">
      <c r="F600" s="27"/>
      <c r="G600" s="27"/>
      <c r="H600" s="27"/>
      <c r="J600" s="27"/>
      <c r="L600" s="27"/>
      <c r="M600" s="27"/>
      <c r="N600" s="27"/>
      <c r="O600" s="27"/>
      <c r="P600" s="27"/>
      <c r="Q600" s="27"/>
      <c r="R600" s="27"/>
    </row>
    <row r="601">
      <c r="F601" s="27"/>
      <c r="G601" s="27"/>
      <c r="H601" s="27"/>
      <c r="J601" s="27"/>
      <c r="L601" s="27"/>
      <c r="M601" s="27"/>
      <c r="N601" s="27"/>
      <c r="O601" s="27"/>
      <c r="P601" s="27"/>
      <c r="Q601" s="27"/>
      <c r="R601" s="27"/>
    </row>
    <row r="602">
      <c r="F602" s="27"/>
      <c r="G602" s="27"/>
      <c r="H602" s="27"/>
      <c r="J602" s="27"/>
      <c r="L602" s="27"/>
      <c r="M602" s="27"/>
      <c r="N602" s="27"/>
      <c r="O602" s="27"/>
      <c r="P602" s="27"/>
      <c r="Q602" s="27"/>
      <c r="R602" s="27"/>
    </row>
    <row r="603">
      <c r="F603" s="27"/>
      <c r="G603" s="27"/>
      <c r="H603" s="27"/>
      <c r="J603" s="27"/>
      <c r="L603" s="27"/>
      <c r="M603" s="27"/>
      <c r="N603" s="27"/>
      <c r="O603" s="27"/>
      <c r="P603" s="27"/>
      <c r="Q603" s="27"/>
      <c r="R603" s="27"/>
    </row>
    <row r="604">
      <c r="F604" s="27"/>
      <c r="G604" s="27"/>
      <c r="H604" s="27"/>
      <c r="J604" s="27"/>
      <c r="L604" s="27"/>
      <c r="M604" s="27"/>
      <c r="N604" s="27"/>
      <c r="O604" s="27"/>
      <c r="P604" s="27"/>
      <c r="Q604" s="27"/>
      <c r="R604" s="27"/>
    </row>
    <row r="605">
      <c r="F605" s="27"/>
      <c r="G605" s="27"/>
      <c r="H605" s="27"/>
      <c r="J605" s="27"/>
      <c r="L605" s="27"/>
      <c r="M605" s="27"/>
      <c r="N605" s="27"/>
      <c r="O605" s="27"/>
      <c r="P605" s="27"/>
      <c r="Q605" s="27"/>
      <c r="R605" s="27"/>
    </row>
    <row r="606">
      <c r="F606" s="27"/>
      <c r="G606" s="27"/>
      <c r="H606" s="27"/>
      <c r="J606" s="27"/>
      <c r="L606" s="27"/>
      <c r="M606" s="27"/>
      <c r="N606" s="27"/>
      <c r="O606" s="27"/>
      <c r="P606" s="27"/>
      <c r="Q606" s="27"/>
      <c r="R606" s="27"/>
    </row>
    <row r="607">
      <c r="F607" s="27"/>
      <c r="G607" s="27"/>
      <c r="H607" s="27"/>
      <c r="J607" s="27"/>
      <c r="L607" s="27"/>
      <c r="M607" s="27"/>
      <c r="N607" s="27"/>
      <c r="O607" s="27"/>
      <c r="P607" s="27"/>
      <c r="Q607" s="27"/>
      <c r="R607" s="27"/>
    </row>
    <row r="608">
      <c r="F608" s="27"/>
      <c r="G608" s="27"/>
      <c r="H608" s="27"/>
      <c r="J608" s="27"/>
      <c r="L608" s="27"/>
      <c r="M608" s="27"/>
      <c r="N608" s="27"/>
      <c r="O608" s="27"/>
      <c r="P608" s="27"/>
      <c r="Q608" s="27"/>
      <c r="R608" s="27"/>
    </row>
    <row r="609">
      <c r="F609" s="27"/>
      <c r="G609" s="27"/>
      <c r="H609" s="27"/>
      <c r="J609" s="27"/>
      <c r="L609" s="27"/>
      <c r="M609" s="27"/>
      <c r="N609" s="27"/>
      <c r="O609" s="27"/>
      <c r="P609" s="27"/>
      <c r="Q609" s="27"/>
      <c r="R609" s="27"/>
    </row>
    <row r="610">
      <c r="F610" s="27"/>
      <c r="G610" s="27"/>
      <c r="H610" s="27"/>
      <c r="J610" s="27"/>
      <c r="L610" s="27"/>
      <c r="M610" s="27"/>
      <c r="N610" s="27"/>
      <c r="O610" s="27"/>
      <c r="P610" s="27"/>
      <c r="Q610" s="27"/>
      <c r="R610" s="27"/>
    </row>
    <row r="611">
      <c r="F611" s="27"/>
      <c r="G611" s="27"/>
      <c r="H611" s="27"/>
      <c r="J611" s="27"/>
      <c r="L611" s="27"/>
      <c r="M611" s="27"/>
      <c r="N611" s="27"/>
      <c r="O611" s="27"/>
      <c r="P611" s="27"/>
      <c r="Q611" s="27"/>
      <c r="R611" s="27"/>
    </row>
    <row r="612">
      <c r="F612" s="27"/>
      <c r="G612" s="27"/>
      <c r="H612" s="27"/>
      <c r="J612" s="27"/>
      <c r="L612" s="27"/>
      <c r="M612" s="27"/>
      <c r="N612" s="27"/>
      <c r="O612" s="27"/>
      <c r="P612" s="27"/>
      <c r="Q612" s="27"/>
      <c r="R612" s="27"/>
    </row>
    <row r="613">
      <c r="F613" s="27"/>
      <c r="G613" s="27"/>
      <c r="H613" s="27"/>
      <c r="J613" s="27"/>
      <c r="L613" s="27"/>
      <c r="M613" s="27"/>
      <c r="N613" s="27"/>
      <c r="O613" s="27"/>
      <c r="P613" s="27"/>
      <c r="Q613" s="27"/>
      <c r="R613" s="27"/>
    </row>
    <row r="614">
      <c r="F614" s="27"/>
      <c r="G614" s="27"/>
      <c r="H614" s="27"/>
      <c r="J614" s="27"/>
      <c r="L614" s="27"/>
      <c r="M614" s="27"/>
      <c r="N614" s="27"/>
      <c r="O614" s="27"/>
      <c r="P614" s="27"/>
      <c r="Q614" s="27"/>
      <c r="R614" s="27"/>
    </row>
    <row r="615">
      <c r="F615" s="27"/>
      <c r="G615" s="27"/>
      <c r="H615" s="27"/>
      <c r="J615" s="27"/>
      <c r="L615" s="27"/>
      <c r="M615" s="27"/>
      <c r="N615" s="27"/>
      <c r="O615" s="27"/>
      <c r="P615" s="27"/>
      <c r="Q615" s="27"/>
      <c r="R615" s="27"/>
    </row>
    <row r="616">
      <c r="F616" s="27"/>
      <c r="G616" s="27"/>
      <c r="H616" s="27"/>
      <c r="J616" s="27"/>
      <c r="L616" s="27"/>
      <c r="M616" s="27"/>
      <c r="N616" s="27"/>
      <c r="O616" s="27"/>
      <c r="P616" s="27"/>
      <c r="Q616" s="27"/>
      <c r="R616" s="27"/>
    </row>
    <row r="617">
      <c r="F617" s="27"/>
      <c r="G617" s="27"/>
      <c r="H617" s="27"/>
      <c r="J617" s="27"/>
      <c r="L617" s="27"/>
      <c r="M617" s="27"/>
      <c r="N617" s="27"/>
      <c r="O617" s="27"/>
      <c r="P617" s="27"/>
      <c r="Q617" s="27"/>
      <c r="R617" s="27"/>
    </row>
    <row r="618">
      <c r="F618" s="27"/>
      <c r="G618" s="27"/>
      <c r="H618" s="27"/>
      <c r="J618" s="27"/>
      <c r="L618" s="27"/>
      <c r="M618" s="27"/>
      <c r="N618" s="27"/>
      <c r="O618" s="27"/>
      <c r="P618" s="27"/>
      <c r="Q618" s="27"/>
      <c r="R618" s="27"/>
    </row>
    <row r="619">
      <c r="F619" s="27"/>
      <c r="G619" s="27"/>
      <c r="H619" s="27"/>
      <c r="J619" s="27"/>
      <c r="L619" s="27"/>
      <c r="M619" s="27"/>
      <c r="N619" s="27"/>
      <c r="O619" s="27"/>
      <c r="P619" s="27"/>
      <c r="Q619" s="27"/>
      <c r="R619" s="27"/>
    </row>
    <row r="620">
      <c r="F620" s="27"/>
      <c r="G620" s="27"/>
      <c r="H620" s="27"/>
      <c r="J620" s="27"/>
      <c r="L620" s="27"/>
      <c r="M620" s="27"/>
      <c r="N620" s="27"/>
      <c r="O620" s="27"/>
      <c r="P620" s="27"/>
      <c r="Q620" s="27"/>
      <c r="R620" s="27"/>
    </row>
    <row r="621">
      <c r="F621" s="27"/>
      <c r="G621" s="27"/>
      <c r="H621" s="27"/>
      <c r="J621" s="27"/>
      <c r="L621" s="27"/>
      <c r="M621" s="27"/>
      <c r="N621" s="27"/>
      <c r="O621" s="27"/>
      <c r="P621" s="27"/>
      <c r="Q621" s="27"/>
      <c r="R621" s="27"/>
    </row>
    <row r="622">
      <c r="F622" s="27"/>
      <c r="G622" s="27"/>
      <c r="H622" s="27"/>
      <c r="J622" s="27"/>
      <c r="L622" s="27"/>
      <c r="M622" s="27"/>
      <c r="N622" s="27"/>
      <c r="O622" s="27"/>
      <c r="P622" s="27"/>
      <c r="Q622" s="27"/>
      <c r="R622" s="27"/>
    </row>
    <row r="623">
      <c r="F623" s="27"/>
      <c r="G623" s="27"/>
      <c r="H623" s="27"/>
      <c r="J623" s="27"/>
      <c r="L623" s="27"/>
      <c r="M623" s="27"/>
      <c r="N623" s="27"/>
      <c r="O623" s="27"/>
      <c r="P623" s="27"/>
      <c r="Q623" s="27"/>
      <c r="R623" s="27"/>
    </row>
    <row r="624">
      <c r="F624" s="27"/>
      <c r="G624" s="27"/>
      <c r="H624" s="27"/>
      <c r="J624" s="27"/>
      <c r="L624" s="27"/>
      <c r="M624" s="27"/>
      <c r="N624" s="27"/>
      <c r="O624" s="27"/>
      <c r="P624" s="27"/>
      <c r="Q624" s="27"/>
      <c r="R624" s="27"/>
    </row>
    <row r="625">
      <c r="F625" s="27"/>
      <c r="G625" s="27"/>
      <c r="H625" s="27"/>
      <c r="J625" s="27"/>
      <c r="L625" s="27"/>
      <c r="M625" s="27"/>
      <c r="N625" s="27"/>
      <c r="O625" s="27"/>
      <c r="P625" s="27"/>
      <c r="Q625" s="27"/>
      <c r="R625" s="27"/>
    </row>
    <row r="626">
      <c r="F626" s="27"/>
      <c r="G626" s="27"/>
      <c r="H626" s="27"/>
      <c r="J626" s="27"/>
      <c r="L626" s="27"/>
      <c r="M626" s="27"/>
      <c r="N626" s="27"/>
      <c r="O626" s="27"/>
      <c r="P626" s="27"/>
      <c r="Q626" s="27"/>
      <c r="R626" s="27"/>
    </row>
    <row r="627">
      <c r="F627" s="27"/>
      <c r="G627" s="27"/>
      <c r="H627" s="27"/>
      <c r="J627" s="27"/>
      <c r="L627" s="27"/>
      <c r="M627" s="27"/>
      <c r="N627" s="27"/>
      <c r="O627" s="27"/>
      <c r="P627" s="27"/>
      <c r="Q627" s="27"/>
      <c r="R627" s="27"/>
    </row>
    <row r="628">
      <c r="F628" s="27"/>
      <c r="G628" s="27"/>
      <c r="H628" s="27"/>
      <c r="J628" s="27"/>
      <c r="L628" s="27"/>
      <c r="M628" s="27"/>
      <c r="N628" s="27"/>
      <c r="O628" s="27"/>
      <c r="P628" s="27"/>
      <c r="Q628" s="27"/>
      <c r="R628" s="27"/>
    </row>
    <row r="629">
      <c r="F629" s="27"/>
      <c r="G629" s="27"/>
      <c r="H629" s="27"/>
      <c r="J629" s="27"/>
      <c r="L629" s="27"/>
      <c r="M629" s="27"/>
      <c r="N629" s="27"/>
      <c r="O629" s="27"/>
      <c r="P629" s="27"/>
      <c r="Q629" s="27"/>
      <c r="R629" s="27"/>
    </row>
    <row r="630">
      <c r="F630" s="27"/>
      <c r="G630" s="27"/>
      <c r="H630" s="27"/>
      <c r="J630" s="27"/>
      <c r="L630" s="27"/>
      <c r="M630" s="27"/>
      <c r="N630" s="27"/>
      <c r="O630" s="27"/>
      <c r="P630" s="27"/>
      <c r="Q630" s="27"/>
      <c r="R630" s="27"/>
    </row>
    <row r="631">
      <c r="F631" s="27"/>
      <c r="G631" s="27"/>
      <c r="H631" s="27"/>
      <c r="J631" s="27"/>
      <c r="L631" s="27"/>
      <c r="M631" s="27"/>
      <c r="N631" s="27"/>
      <c r="O631" s="27"/>
      <c r="P631" s="27"/>
      <c r="Q631" s="27"/>
      <c r="R631" s="27"/>
    </row>
    <row r="632">
      <c r="F632" s="27"/>
      <c r="G632" s="27"/>
      <c r="H632" s="27"/>
      <c r="J632" s="27"/>
      <c r="L632" s="27"/>
      <c r="M632" s="27"/>
      <c r="N632" s="27"/>
      <c r="O632" s="27"/>
      <c r="P632" s="27"/>
      <c r="Q632" s="27"/>
      <c r="R632" s="27"/>
    </row>
    <row r="633">
      <c r="F633" s="27"/>
      <c r="G633" s="27"/>
      <c r="H633" s="27"/>
      <c r="J633" s="27"/>
      <c r="L633" s="27"/>
      <c r="M633" s="27"/>
      <c r="N633" s="27"/>
      <c r="O633" s="27"/>
      <c r="P633" s="27"/>
      <c r="Q633" s="27"/>
      <c r="R633" s="27"/>
    </row>
    <row r="634">
      <c r="F634" s="27"/>
      <c r="G634" s="27"/>
      <c r="H634" s="27"/>
      <c r="J634" s="27"/>
      <c r="L634" s="27"/>
      <c r="M634" s="27"/>
      <c r="N634" s="27"/>
      <c r="O634" s="27"/>
      <c r="P634" s="27"/>
      <c r="Q634" s="27"/>
      <c r="R634" s="27"/>
    </row>
    <row r="635">
      <c r="F635" s="27"/>
      <c r="G635" s="27"/>
      <c r="H635" s="27"/>
      <c r="J635" s="27"/>
      <c r="L635" s="27"/>
      <c r="M635" s="27"/>
      <c r="N635" s="27"/>
      <c r="O635" s="27"/>
      <c r="P635" s="27"/>
      <c r="Q635" s="27"/>
      <c r="R635" s="27"/>
    </row>
    <row r="636">
      <c r="F636" s="27"/>
      <c r="G636" s="27"/>
      <c r="H636" s="27"/>
      <c r="J636" s="27"/>
      <c r="L636" s="27"/>
      <c r="M636" s="27"/>
      <c r="N636" s="27"/>
      <c r="O636" s="27"/>
      <c r="P636" s="27"/>
      <c r="Q636" s="27"/>
      <c r="R636" s="27"/>
    </row>
    <row r="637">
      <c r="F637" s="27"/>
      <c r="G637" s="27"/>
      <c r="H637" s="27"/>
      <c r="J637" s="27"/>
      <c r="L637" s="27"/>
      <c r="M637" s="27"/>
      <c r="N637" s="27"/>
      <c r="O637" s="27"/>
      <c r="P637" s="27"/>
      <c r="Q637" s="27"/>
      <c r="R637" s="27"/>
    </row>
    <row r="638">
      <c r="F638" s="27"/>
      <c r="G638" s="27"/>
      <c r="H638" s="27"/>
      <c r="J638" s="27"/>
      <c r="L638" s="27"/>
      <c r="M638" s="27"/>
      <c r="N638" s="27"/>
      <c r="O638" s="27"/>
      <c r="P638" s="27"/>
      <c r="Q638" s="27"/>
      <c r="R638" s="27"/>
    </row>
    <row r="639">
      <c r="F639" s="27"/>
      <c r="G639" s="27"/>
      <c r="H639" s="27"/>
      <c r="J639" s="27"/>
      <c r="L639" s="27"/>
      <c r="M639" s="27"/>
      <c r="N639" s="27"/>
      <c r="O639" s="27"/>
      <c r="P639" s="27"/>
      <c r="Q639" s="27"/>
      <c r="R639" s="27"/>
    </row>
    <row r="640">
      <c r="F640" s="27"/>
      <c r="G640" s="27"/>
      <c r="H640" s="27"/>
      <c r="J640" s="27"/>
      <c r="L640" s="27"/>
      <c r="M640" s="27"/>
      <c r="N640" s="27"/>
      <c r="O640" s="27"/>
      <c r="P640" s="27"/>
      <c r="Q640" s="27"/>
      <c r="R640" s="27"/>
    </row>
    <row r="641">
      <c r="F641" s="27"/>
      <c r="G641" s="27"/>
      <c r="H641" s="27"/>
      <c r="J641" s="27"/>
      <c r="L641" s="27"/>
      <c r="M641" s="27"/>
      <c r="N641" s="27"/>
      <c r="O641" s="27"/>
      <c r="P641" s="27"/>
      <c r="Q641" s="27"/>
      <c r="R641" s="27"/>
    </row>
    <row r="642">
      <c r="F642" s="27"/>
      <c r="G642" s="27"/>
      <c r="H642" s="27"/>
      <c r="J642" s="27"/>
      <c r="L642" s="27"/>
      <c r="M642" s="27"/>
      <c r="N642" s="27"/>
      <c r="O642" s="27"/>
      <c r="P642" s="27"/>
      <c r="Q642" s="27"/>
      <c r="R642" s="27"/>
    </row>
    <row r="643">
      <c r="F643" s="27"/>
      <c r="G643" s="27"/>
      <c r="H643" s="27"/>
      <c r="J643" s="27"/>
      <c r="L643" s="27"/>
      <c r="M643" s="27"/>
      <c r="N643" s="27"/>
      <c r="O643" s="27"/>
      <c r="P643" s="27"/>
      <c r="Q643" s="27"/>
      <c r="R643" s="27"/>
    </row>
    <row r="644">
      <c r="F644" s="27"/>
      <c r="G644" s="27"/>
      <c r="H644" s="27"/>
      <c r="J644" s="27"/>
      <c r="L644" s="27"/>
      <c r="M644" s="27"/>
      <c r="N644" s="27"/>
      <c r="O644" s="27"/>
      <c r="P644" s="27"/>
      <c r="Q644" s="27"/>
      <c r="R644" s="27"/>
    </row>
    <row r="645">
      <c r="F645" s="27"/>
      <c r="G645" s="27"/>
      <c r="H645" s="27"/>
      <c r="J645" s="27"/>
      <c r="L645" s="27"/>
      <c r="M645" s="27"/>
      <c r="N645" s="27"/>
      <c r="O645" s="27"/>
      <c r="P645" s="27"/>
      <c r="Q645" s="27"/>
      <c r="R645" s="27"/>
    </row>
    <row r="646">
      <c r="F646" s="27"/>
      <c r="G646" s="27"/>
      <c r="H646" s="27"/>
      <c r="J646" s="27"/>
      <c r="L646" s="27"/>
      <c r="M646" s="27"/>
      <c r="N646" s="27"/>
      <c r="O646" s="27"/>
      <c r="P646" s="27"/>
      <c r="Q646" s="27"/>
      <c r="R646" s="27"/>
    </row>
    <row r="647">
      <c r="F647" s="27"/>
      <c r="G647" s="27"/>
      <c r="H647" s="27"/>
      <c r="J647" s="27"/>
      <c r="L647" s="27"/>
      <c r="M647" s="27"/>
      <c r="N647" s="27"/>
      <c r="O647" s="27"/>
      <c r="P647" s="27"/>
      <c r="Q647" s="27"/>
      <c r="R647" s="27"/>
    </row>
    <row r="648">
      <c r="F648" s="27"/>
      <c r="G648" s="27"/>
      <c r="H648" s="27"/>
      <c r="J648" s="27"/>
      <c r="L648" s="27"/>
      <c r="M648" s="27"/>
      <c r="N648" s="27"/>
      <c r="O648" s="27"/>
      <c r="P648" s="27"/>
      <c r="Q648" s="27"/>
      <c r="R648" s="27"/>
    </row>
    <row r="649">
      <c r="F649" s="27"/>
      <c r="G649" s="27"/>
      <c r="H649" s="27"/>
      <c r="J649" s="27"/>
      <c r="L649" s="27"/>
      <c r="M649" s="27"/>
      <c r="N649" s="27"/>
      <c r="O649" s="27"/>
      <c r="P649" s="27"/>
      <c r="Q649" s="27"/>
      <c r="R649" s="27"/>
    </row>
    <row r="650">
      <c r="F650" s="27"/>
      <c r="G650" s="27"/>
      <c r="H650" s="27"/>
      <c r="J650" s="27"/>
      <c r="L650" s="27"/>
      <c r="M650" s="27"/>
      <c r="N650" s="27"/>
      <c r="O650" s="27"/>
      <c r="P650" s="27"/>
      <c r="Q650" s="27"/>
      <c r="R650" s="27"/>
    </row>
    <row r="651">
      <c r="F651" s="27"/>
      <c r="G651" s="27"/>
      <c r="H651" s="27"/>
      <c r="J651" s="27"/>
      <c r="L651" s="27"/>
      <c r="M651" s="27"/>
      <c r="N651" s="27"/>
      <c r="O651" s="27"/>
      <c r="P651" s="27"/>
      <c r="Q651" s="27"/>
      <c r="R651" s="27"/>
    </row>
    <row r="652">
      <c r="F652" s="27"/>
      <c r="G652" s="27"/>
      <c r="H652" s="27"/>
      <c r="J652" s="27"/>
      <c r="L652" s="27"/>
      <c r="M652" s="27"/>
      <c r="N652" s="27"/>
      <c r="O652" s="27"/>
      <c r="P652" s="27"/>
      <c r="Q652" s="27"/>
      <c r="R652" s="27"/>
    </row>
    <row r="653">
      <c r="F653" s="27"/>
      <c r="G653" s="27"/>
      <c r="H653" s="27"/>
      <c r="J653" s="27"/>
      <c r="L653" s="27"/>
      <c r="M653" s="27"/>
      <c r="N653" s="27"/>
      <c r="O653" s="27"/>
      <c r="P653" s="27"/>
      <c r="Q653" s="27"/>
      <c r="R653" s="27"/>
    </row>
    <row r="654">
      <c r="F654" s="27"/>
      <c r="G654" s="27"/>
      <c r="H654" s="27"/>
      <c r="J654" s="27"/>
      <c r="L654" s="27"/>
      <c r="M654" s="27"/>
      <c r="N654" s="27"/>
      <c r="O654" s="27"/>
      <c r="P654" s="27"/>
      <c r="Q654" s="27"/>
      <c r="R654" s="27"/>
    </row>
    <row r="655">
      <c r="F655" s="27"/>
      <c r="G655" s="27"/>
      <c r="H655" s="27"/>
      <c r="J655" s="27"/>
      <c r="L655" s="27"/>
      <c r="M655" s="27"/>
      <c r="N655" s="27"/>
      <c r="O655" s="27"/>
      <c r="P655" s="27"/>
      <c r="Q655" s="27"/>
      <c r="R655" s="27"/>
    </row>
    <row r="656">
      <c r="F656" s="27"/>
      <c r="G656" s="27"/>
      <c r="H656" s="27"/>
      <c r="J656" s="27"/>
      <c r="L656" s="27"/>
      <c r="M656" s="27"/>
      <c r="N656" s="27"/>
      <c r="O656" s="27"/>
      <c r="P656" s="27"/>
      <c r="Q656" s="27"/>
      <c r="R656" s="27"/>
    </row>
    <row r="657">
      <c r="F657" s="27"/>
      <c r="G657" s="27"/>
      <c r="H657" s="27"/>
      <c r="J657" s="27"/>
      <c r="L657" s="27"/>
      <c r="M657" s="27"/>
      <c r="N657" s="27"/>
      <c r="O657" s="27"/>
      <c r="P657" s="27"/>
      <c r="Q657" s="27"/>
      <c r="R657" s="27"/>
    </row>
    <row r="658">
      <c r="F658" s="27"/>
      <c r="G658" s="27"/>
      <c r="H658" s="27"/>
      <c r="J658" s="27"/>
      <c r="L658" s="27"/>
      <c r="M658" s="27"/>
      <c r="N658" s="27"/>
      <c r="O658" s="27"/>
      <c r="P658" s="27"/>
      <c r="Q658" s="27"/>
      <c r="R658" s="27"/>
    </row>
    <row r="659">
      <c r="F659" s="27"/>
      <c r="G659" s="27"/>
      <c r="H659" s="27"/>
      <c r="J659" s="27"/>
      <c r="L659" s="27"/>
      <c r="M659" s="27"/>
      <c r="N659" s="27"/>
      <c r="O659" s="27"/>
      <c r="P659" s="27"/>
      <c r="Q659" s="27"/>
      <c r="R659" s="27"/>
    </row>
    <row r="660">
      <c r="F660" s="27"/>
      <c r="G660" s="27"/>
      <c r="H660" s="27"/>
      <c r="J660" s="27"/>
      <c r="L660" s="27"/>
      <c r="M660" s="27"/>
      <c r="N660" s="27"/>
      <c r="O660" s="27"/>
      <c r="P660" s="27"/>
      <c r="Q660" s="27"/>
      <c r="R660" s="27"/>
    </row>
    <row r="661">
      <c r="F661" s="27"/>
      <c r="G661" s="27"/>
      <c r="H661" s="27"/>
      <c r="J661" s="27"/>
      <c r="L661" s="27"/>
      <c r="M661" s="27"/>
      <c r="N661" s="27"/>
      <c r="O661" s="27"/>
      <c r="P661" s="27"/>
      <c r="Q661" s="27"/>
      <c r="R661" s="27"/>
    </row>
    <row r="662">
      <c r="F662" s="27"/>
      <c r="G662" s="27"/>
      <c r="H662" s="27"/>
      <c r="J662" s="27"/>
      <c r="L662" s="27"/>
      <c r="M662" s="27"/>
      <c r="N662" s="27"/>
      <c r="O662" s="27"/>
      <c r="P662" s="27"/>
      <c r="Q662" s="27"/>
      <c r="R662" s="27"/>
    </row>
    <row r="663">
      <c r="F663" s="27"/>
      <c r="G663" s="27"/>
      <c r="H663" s="27"/>
      <c r="J663" s="27"/>
      <c r="L663" s="27"/>
      <c r="M663" s="27"/>
      <c r="N663" s="27"/>
      <c r="O663" s="27"/>
      <c r="P663" s="27"/>
      <c r="Q663" s="27"/>
      <c r="R663" s="27"/>
    </row>
    <row r="664">
      <c r="F664" s="27"/>
      <c r="G664" s="27"/>
      <c r="H664" s="27"/>
      <c r="J664" s="27"/>
      <c r="L664" s="27"/>
      <c r="M664" s="27"/>
      <c r="N664" s="27"/>
      <c r="O664" s="27"/>
      <c r="P664" s="27"/>
      <c r="Q664" s="27"/>
      <c r="R664" s="27"/>
    </row>
    <row r="665">
      <c r="F665" s="27"/>
      <c r="G665" s="27"/>
      <c r="H665" s="27"/>
      <c r="J665" s="27"/>
      <c r="L665" s="27"/>
      <c r="M665" s="27"/>
      <c r="N665" s="27"/>
      <c r="O665" s="27"/>
      <c r="P665" s="27"/>
      <c r="Q665" s="27"/>
      <c r="R665" s="27"/>
    </row>
    <row r="666">
      <c r="F666" s="27"/>
      <c r="G666" s="27"/>
      <c r="H666" s="27"/>
      <c r="J666" s="27"/>
      <c r="L666" s="27"/>
      <c r="M666" s="27"/>
      <c r="N666" s="27"/>
      <c r="O666" s="27"/>
      <c r="P666" s="27"/>
      <c r="Q666" s="27"/>
      <c r="R666" s="27"/>
    </row>
    <row r="667">
      <c r="F667" s="27"/>
      <c r="G667" s="27"/>
      <c r="H667" s="27"/>
      <c r="J667" s="27"/>
      <c r="L667" s="27"/>
      <c r="M667" s="27"/>
      <c r="N667" s="27"/>
      <c r="O667" s="27"/>
      <c r="P667" s="27"/>
      <c r="Q667" s="27"/>
      <c r="R667" s="27"/>
    </row>
    <row r="668">
      <c r="F668" s="27"/>
      <c r="G668" s="27"/>
      <c r="H668" s="27"/>
      <c r="J668" s="27"/>
      <c r="L668" s="27"/>
      <c r="M668" s="27"/>
      <c r="N668" s="27"/>
      <c r="O668" s="27"/>
      <c r="P668" s="27"/>
      <c r="Q668" s="27"/>
      <c r="R668" s="27"/>
    </row>
    <row r="669">
      <c r="F669" s="27"/>
      <c r="G669" s="27"/>
      <c r="H669" s="27"/>
      <c r="J669" s="27"/>
      <c r="L669" s="27"/>
      <c r="M669" s="27"/>
      <c r="N669" s="27"/>
      <c r="O669" s="27"/>
      <c r="P669" s="27"/>
      <c r="Q669" s="27"/>
      <c r="R669" s="27"/>
    </row>
    <row r="670">
      <c r="F670" s="27"/>
      <c r="G670" s="27"/>
      <c r="H670" s="27"/>
      <c r="J670" s="27"/>
      <c r="L670" s="27"/>
      <c r="M670" s="27"/>
      <c r="N670" s="27"/>
      <c r="O670" s="27"/>
      <c r="P670" s="27"/>
      <c r="Q670" s="27"/>
      <c r="R670" s="27"/>
    </row>
    <row r="671">
      <c r="F671" s="27"/>
      <c r="G671" s="27"/>
      <c r="H671" s="27"/>
      <c r="J671" s="27"/>
      <c r="L671" s="27"/>
      <c r="M671" s="27"/>
      <c r="N671" s="27"/>
      <c r="O671" s="27"/>
      <c r="P671" s="27"/>
      <c r="Q671" s="27"/>
      <c r="R671" s="27"/>
    </row>
    <row r="672">
      <c r="F672" s="27"/>
      <c r="G672" s="27"/>
      <c r="H672" s="27"/>
      <c r="J672" s="27"/>
      <c r="L672" s="27"/>
      <c r="M672" s="27"/>
      <c r="N672" s="27"/>
      <c r="O672" s="27"/>
      <c r="P672" s="27"/>
      <c r="Q672" s="27"/>
      <c r="R672" s="27"/>
    </row>
    <row r="673">
      <c r="F673" s="27"/>
      <c r="G673" s="27"/>
      <c r="H673" s="27"/>
      <c r="J673" s="27"/>
      <c r="L673" s="27"/>
      <c r="M673" s="27"/>
      <c r="N673" s="27"/>
      <c r="O673" s="27"/>
      <c r="P673" s="27"/>
      <c r="Q673" s="27"/>
      <c r="R673" s="27"/>
    </row>
    <row r="674">
      <c r="F674" s="27"/>
      <c r="G674" s="27"/>
      <c r="H674" s="27"/>
      <c r="J674" s="27"/>
      <c r="L674" s="27"/>
      <c r="M674" s="27"/>
      <c r="N674" s="27"/>
      <c r="O674" s="27"/>
      <c r="P674" s="27"/>
      <c r="Q674" s="27"/>
      <c r="R674" s="27"/>
    </row>
    <row r="675">
      <c r="F675" s="27"/>
      <c r="G675" s="27"/>
      <c r="H675" s="27"/>
      <c r="J675" s="27"/>
      <c r="L675" s="27"/>
      <c r="M675" s="27"/>
      <c r="N675" s="27"/>
      <c r="O675" s="27"/>
      <c r="P675" s="27"/>
      <c r="Q675" s="27"/>
      <c r="R675" s="27"/>
    </row>
    <row r="676">
      <c r="F676" s="27"/>
      <c r="G676" s="27"/>
      <c r="H676" s="27"/>
      <c r="J676" s="27"/>
      <c r="L676" s="27"/>
      <c r="M676" s="27"/>
      <c r="N676" s="27"/>
      <c r="O676" s="27"/>
      <c r="P676" s="27"/>
      <c r="Q676" s="27"/>
      <c r="R676" s="27"/>
    </row>
    <row r="677">
      <c r="F677" s="27"/>
      <c r="G677" s="27"/>
      <c r="H677" s="27"/>
      <c r="J677" s="27"/>
      <c r="L677" s="27"/>
      <c r="M677" s="27"/>
      <c r="N677" s="27"/>
      <c r="O677" s="27"/>
      <c r="P677" s="27"/>
      <c r="Q677" s="27"/>
      <c r="R677" s="27"/>
    </row>
    <row r="678">
      <c r="F678" s="27"/>
      <c r="G678" s="27"/>
      <c r="H678" s="27"/>
      <c r="J678" s="27"/>
      <c r="L678" s="27"/>
      <c r="M678" s="27"/>
      <c r="N678" s="27"/>
      <c r="O678" s="27"/>
      <c r="P678" s="27"/>
      <c r="Q678" s="27"/>
      <c r="R678" s="27"/>
    </row>
    <row r="679">
      <c r="F679" s="27"/>
      <c r="G679" s="27"/>
      <c r="H679" s="27"/>
      <c r="J679" s="27"/>
      <c r="L679" s="27"/>
      <c r="M679" s="27"/>
      <c r="N679" s="27"/>
      <c r="O679" s="27"/>
      <c r="P679" s="27"/>
      <c r="Q679" s="27"/>
      <c r="R679" s="27"/>
    </row>
    <row r="680">
      <c r="F680" s="27"/>
      <c r="G680" s="27"/>
      <c r="H680" s="27"/>
      <c r="J680" s="27"/>
      <c r="L680" s="27"/>
      <c r="M680" s="27"/>
      <c r="N680" s="27"/>
      <c r="O680" s="27"/>
      <c r="P680" s="27"/>
      <c r="Q680" s="27"/>
      <c r="R680" s="27"/>
    </row>
    <row r="681">
      <c r="F681" s="27"/>
      <c r="G681" s="27"/>
      <c r="H681" s="27"/>
      <c r="J681" s="27"/>
      <c r="L681" s="27"/>
      <c r="M681" s="27"/>
      <c r="N681" s="27"/>
      <c r="O681" s="27"/>
      <c r="P681" s="27"/>
      <c r="Q681" s="27"/>
      <c r="R681" s="27"/>
    </row>
    <row r="682">
      <c r="F682" s="27"/>
      <c r="G682" s="27"/>
      <c r="H682" s="27"/>
      <c r="J682" s="27"/>
      <c r="L682" s="27"/>
      <c r="M682" s="27"/>
      <c r="N682" s="27"/>
      <c r="O682" s="27"/>
      <c r="P682" s="27"/>
      <c r="Q682" s="27"/>
      <c r="R682" s="27"/>
    </row>
    <row r="683">
      <c r="F683" s="27"/>
      <c r="G683" s="27"/>
      <c r="H683" s="27"/>
      <c r="J683" s="27"/>
      <c r="L683" s="27"/>
      <c r="M683" s="27"/>
      <c r="N683" s="27"/>
      <c r="O683" s="27"/>
      <c r="P683" s="27"/>
      <c r="Q683" s="27"/>
      <c r="R683" s="27"/>
    </row>
    <row r="684">
      <c r="F684" s="27"/>
      <c r="G684" s="27"/>
      <c r="H684" s="27"/>
      <c r="J684" s="27"/>
      <c r="L684" s="27"/>
      <c r="M684" s="27"/>
      <c r="N684" s="27"/>
      <c r="O684" s="27"/>
      <c r="P684" s="27"/>
      <c r="Q684" s="27"/>
      <c r="R684" s="27"/>
    </row>
    <row r="685">
      <c r="F685" s="27"/>
      <c r="G685" s="27"/>
      <c r="H685" s="27"/>
      <c r="J685" s="27"/>
      <c r="L685" s="27"/>
      <c r="M685" s="27"/>
      <c r="N685" s="27"/>
      <c r="O685" s="27"/>
      <c r="P685" s="27"/>
      <c r="Q685" s="27"/>
      <c r="R685" s="27"/>
    </row>
    <row r="686">
      <c r="F686" s="27"/>
      <c r="G686" s="27"/>
      <c r="H686" s="27"/>
      <c r="J686" s="27"/>
      <c r="L686" s="27"/>
      <c r="M686" s="27"/>
      <c r="N686" s="27"/>
      <c r="O686" s="27"/>
      <c r="P686" s="27"/>
      <c r="Q686" s="27"/>
      <c r="R686" s="27"/>
    </row>
    <row r="687">
      <c r="F687" s="27"/>
      <c r="G687" s="27"/>
      <c r="H687" s="27"/>
      <c r="J687" s="27"/>
      <c r="L687" s="27"/>
      <c r="M687" s="27"/>
      <c r="N687" s="27"/>
      <c r="O687" s="27"/>
      <c r="P687" s="27"/>
      <c r="Q687" s="27"/>
      <c r="R687" s="27"/>
    </row>
    <row r="688">
      <c r="F688" s="27"/>
      <c r="G688" s="27"/>
      <c r="H688" s="27"/>
      <c r="J688" s="27"/>
      <c r="L688" s="27"/>
      <c r="M688" s="27"/>
      <c r="N688" s="27"/>
      <c r="O688" s="27"/>
      <c r="P688" s="27"/>
      <c r="Q688" s="27"/>
      <c r="R688" s="27"/>
    </row>
    <row r="689">
      <c r="F689" s="27"/>
      <c r="G689" s="27"/>
      <c r="H689" s="27"/>
      <c r="J689" s="27"/>
      <c r="L689" s="27"/>
      <c r="M689" s="27"/>
      <c r="N689" s="27"/>
      <c r="O689" s="27"/>
      <c r="P689" s="27"/>
      <c r="Q689" s="27"/>
      <c r="R689" s="27"/>
    </row>
    <row r="690">
      <c r="F690" s="27"/>
      <c r="G690" s="27"/>
      <c r="H690" s="27"/>
      <c r="J690" s="27"/>
      <c r="L690" s="27"/>
      <c r="M690" s="27"/>
      <c r="N690" s="27"/>
      <c r="O690" s="27"/>
      <c r="P690" s="27"/>
      <c r="Q690" s="27"/>
      <c r="R690" s="27"/>
    </row>
    <row r="691">
      <c r="F691" s="27"/>
      <c r="G691" s="27"/>
      <c r="H691" s="27"/>
      <c r="J691" s="27"/>
      <c r="L691" s="27"/>
      <c r="M691" s="27"/>
      <c r="N691" s="27"/>
      <c r="O691" s="27"/>
      <c r="P691" s="27"/>
      <c r="Q691" s="27"/>
      <c r="R691" s="27"/>
    </row>
    <row r="692">
      <c r="F692" s="27"/>
      <c r="G692" s="27"/>
      <c r="H692" s="27"/>
      <c r="J692" s="27"/>
      <c r="L692" s="27"/>
      <c r="M692" s="27"/>
      <c r="N692" s="27"/>
      <c r="O692" s="27"/>
      <c r="P692" s="27"/>
      <c r="Q692" s="27"/>
      <c r="R692" s="27"/>
    </row>
    <row r="693">
      <c r="F693" s="27"/>
      <c r="G693" s="27"/>
      <c r="H693" s="27"/>
      <c r="J693" s="27"/>
      <c r="L693" s="27"/>
      <c r="M693" s="27"/>
      <c r="N693" s="27"/>
      <c r="O693" s="27"/>
      <c r="P693" s="27"/>
      <c r="Q693" s="27"/>
      <c r="R693" s="27"/>
    </row>
    <row r="694">
      <c r="F694" s="27"/>
      <c r="G694" s="27"/>
      <c r="H694" s="27"/>
      <c r="J694" s="27"/>
      <c r="L694" s="27"/>
      <c r="M694" s="27"/>
      <c r="N694" s="27"/>
      <c r="O694" s="27"/>
      <c r="P694" s="27"/>
      <c r="Q694" s="27"/>
      <c r="R694" s="27"/>
    </row>
    <row r="695">
      <c r="F695" s="27"/>
      <c r="G695" s="27"/>
      <c r="H695" s="27"/>
      <c r="J695" s="27"/>
      <c r="L695" s="27"/>
      <c r="M695" s="27"/>
      <c r="N695" s="27"/>
      <c r="O695" s="27"/>
      <c r="P695" s="27"/>
      <c r="Q695" s="27"/>
      <c r="R695" s="27"/>
    </row>
    <row r="696">
      <c r="F696" s="27"/>
      <c r="G696" s="27"/>
      <c r="H696" s="27"/>
      <c r="J696" s="27"/>
      <c r="L696" s="27"/>
      <c r="M696" s="27"/>
      <c r="N696" s="27"/>
      <c r="O696" s="27"/>
      <c r="P696" s="27"/>
      <c r="Q696" s="27"/>
      <c r="R696" s="27"/>
    </row>
    <row r="697">
      <c r="F697" s="27"/>
      <c r="G697" s="27"/>
      <c r="H697" s="27"/>
      <c r="J697" s="27"/>
      <c r="L697" s="27"/>
      <c r="M697" s="27"/>
      <c r="N697" s="27"/>
      <c r="O697" s="27"/>
      <c r="P697" s="27"/>
      <c r="Q697" s="27"/>
      <c r="R697" s="27"/>
    </row>
    <row r="698">
      <c r="F698" s="27"/>
      <c r="G698" s="27"/>
      <c r="H698" s="27"/>
      <c r="J698" s="27"/>
      <c r="L698" s="27"/>
      <c r="M698" s="27"/>
      <c r="N698" s="27"/>
      <c r="O698" s="27"/>
      <c r="P698" s="27"/>
      <c r="Q698" s="27"/>
      <c r="R698" s="27"/>
    </row>
    <row r="699">
      <c r="F699" s="27"/>
      <c r="G699" s="27"/>
      <c r="H699" s="27"/>
      <c r="J699" s="27"/>
      <c r="L699" s="27"/>
      <c r="M699" s="27"/>
      <c r="N699" s="27"/>
      <c r="O699" s="27"/>
      <c r="P699" s="27"/>
      <c r="Q699" s="27"/>
      <c r="R699" s="27"/>
    </row>
    <row r="700">
      <c r="F700" s="27"/>
      <c r="G700" s="27"/>
      <c r="H700" s="27"/>
      <c r="J700" s="27"/>
      <c r="L700" s="27"/>
      <c r="M700" s="27"/>
      <c r="N700" s="27"/>
      <c r="O700" s="27"/>
      <c r="P700" s="27"/>
      <c r="Q700" s="27"/>
      <c r="R700" s="27"/>
    </row>
    <row r="701">
      <c r="F701" s="27"/>
      <c r="G701" s="27"/>
      <c r="H701" s="27"/>
      <c r="J701" s="27"/>
      <c r="L701" s="27"/>
      <c r="M701" s="27"/>
      <c r="N701" s="27"/>
      <c r="O701" s="27"/>
      <c r="P701" s="27"/>
      <c r="Q701" s="27"/>
      <c r="R701" s="27"/>
    </row>
    <row r="702">
      <c r="F702" s="27"/>
      <c r="G702" s="27"/>
      <c r="H702" s="27"/>
      <c r="J702" s="27"/>
      <c r="L702" s="27"/>
      <c r="M702" s="27"/>
      <c r="N702" s="27"/>
      <c r="O702" s="27"/>
      <c r="P702" s="27"/>
      <c r="Q702" s="27"/>
      <c r="R702" s="27"/>
    </row>
    <row r="703">
      <c r="F703" s="27"/>
      <c r="G703" s="27"/>
      <c r="H703" s="27"/>
      <c r="J703" s="27"/>
      <c r="L703" s="27"/>
      <c r="M703" s="27"/>
      <c r="N703" s="27"/>
      <c r="O703" s="27"/>
      <c r="P703" s="27"/>
      <c r="Q703" s="27"/>
      <c r="R703" s="27"/>
    </row>
    <row r="704">
      <c r="F704" s="27"/>
      <c r="G704" s="27"/>
      <c r="H704" s="27"/>
      <c r="J704" s="27"/>
      <c r="L704" s="27"/>
      <c r="M704" s="27"/>
      <c r="N704" s="27"/>
      <c r="O704" s="27"/>
      <c r="P704" s="27"/>
      <c r="Q704" s="27"/>
      <c r="R704" s="27"/>
    </row>
    <row r="705">
      <c r="F705" s="27"/>
      <c r="G705" s="27"/>
      <c r="H705" s="27"/>
      <c r="J705" s="27"/>
      <c r="L705" s="27"/>
      <c r="M705" s="27"/>
      <c r="N705" s="27"/>
      <c r="O705" s="27"/>
      <c r="P705" s="27"/>
      <c r="Q705" s="27"/>
      <c r="R705" s="27"/>
    </row>
    <row r="706">
      <c r="F706" s="27"/>
      <c r="G706" s="27"/>
      <c r="H706" s="27"/>
      <c r="J706" s="27"/>
      <c r="L706" s="27"/>
      <c r="M706" s="27"/>
      <c r="N706" s="27"/>
      <c r="O706" s="27"/>
      <c r="P706" s="27"/>
      <c r="Q706" s="27"/>
      <c r="R706" s="27"/>
    </row>
    <row r="707">
      <c r="F707" s="27"/>
      <c r="G707" s="27"/>
      <c r="H707" s="27"/>
      <c r="J707" s="27"/>
      <c r="L707" s="27"/>
      <c r="M707" s="27"/>
      <c r="N707" s="27"/>
      <c r="O707" s="27"/>
      <c r="P707" s="27"/>
      <c r="Q707" s="27"/>
      <c r="R707" s="27"/>
    </row>
    <row r="708">
      <c r="F708" s="27"/>
      <c r="G708" s="27"/>
      <c r="H708" s="27"/>
      <c r="J708" s="27"/>
      <c r="L708" s="27"/>
      <c r="M708" s="27"/>
      <c r="N708" s="27"/>
      <c r="O708" s="27"/>
      <c r="P708" s="27"/>
      <c r="Q708" s="27"/>
      <c r="R708" s="27"/>
    </row>
    <row r="709">
      <c r="F709" s="27"/>
      <c r="G709" s="27"/>
      <c r="H709" s="27"/>
      <c r="J709" s="27"/>
      <c r="L709" s="27"/>
      <c r="M709" s="27"/>
      <c r="N709" s="27"/>
      <c r="O709" s="27"/>
      <c r="P709" s="27"/>
      <c r="Q709" s="27"/>
      <c r="R709" s="27"/>
    </row>
    <row r="710">
      <c r="F710" s="27"/>
      <c r="G710" s="27"/>
      <c r="H710" s="27"/>
      <c r="J710" s="27"/>
      <c r="L710" s="27"/>
      <c r="M710" s="27"/>
      <c r="N710" s="27"/>
      <c r="O710" s="27"/>
      <c r="P710" s="27"/>
      <c r="Q710" s="27"/>
      <c r="R710" s="27"/>
    </row>
    <row r="711">
      <c r="F711" s="27"/>
      <c r="G711" s="27"/>
      <c r="H711" s="27"/>
      <c r="J711" s="27"/>
      <c r="L711" s="27"/>
      <c r="M711" s="27"/>
      <c r="N711" s="27"/>
      <c r="O711" s="27"/>
      <c r="P711" s="27"/>
      <c r="Q711" s="27"/>
      <c r="R711" s="27"/>
    </row>
    <row r="712">
      <c r="F712" s="27"/>
      <c r="G712" s="27"/>
      <c r="H712" s="27"/>
      <c r="J712" s="27"/>
      <c r="L712" s="27"/>
      <c r="M712" s="27"/>
      <c r="N712" s="27"/>
      <c r="O712" s="27"/>
      <c r="P712" s="27"/>
      <c r="Q712" s="27"/>
      <c r="R712" s="27"/>
    </row>
    <row r="713">
      <c r="F713" s="27"/>
      <c r="G713" s="27"/>
      <c r="H713" s="27"/>
      <c r="J713" s="27"/>
      <c r="L713" s="27"/>
      <c r="M713" s="27"/>
      <c r="N713" s="27"/>
      <c r="O713" s="27"/>
      <c r="P713" s="27"/>
      <c r="Q713" s="27"/>
      <c r="R713" s="27"/>
    </row>
    <row r="714">
      <c r="F714" s="27"/>
      <c r="G714" s="27"/>
      <c r="H714" s="27"/>
      <c r="J714" s="27"/>
      <c r="L714" s="27"/>
      <c r="M714" s="27"/>
      <c r="N714" s="27"/>
      <c r="O714" s="27"/>
      <c r="P714" s="27"/>
      <c r="Q714" s="27"/>
      <c r="R714" s="27"/>
    </row>
    <row r="715">
      <c r="F715" s="27"/>
      <c r="G715" s="27"/>
      <c r="H715" s="27"/>
      <c r="J715" s="27"/>
      <c r="L715" s="27"/>
      <c r="M715" s="27"/>
      <c r="N715" s="27"/>
      <c r="O715" s="27"/>
      <c r="P715" s="27"/>
      <c r="Q715" s="27"/>
      <c r="R715" s="27"/>
    </row>
    <row r="716">
      <c r="F716" s="27"/>
      <c r="G716" s="27"/>
      <c r="H716" s="27"/>
      <c r="J716" s="27"/>
      <c r="L716" s="27"/>
      <c r="M716" s="27"/>
      <c r="N716" s="27"/>
      <c r="O716" s="27"/>
      <c r="P716" s="27"/>
      <c r="Q716" s="27"/>
      <c r="R716" s="27"/>
    </row>
    <row r="717">
      <c r="F717" s="27"/>
      <c r="G717" s="27"/>
      <c r="H717" s="27"/>
      <c r="J717" s="27"/>
      <c r="L717" s="27"/>
      <c r="M717" s="27"/>
      <c r="N717" s="27"/>
      <c r="O717" s="27"/>
      <c r="P717" s="27"/>
      <c r="Q717" s="27"/>
      <c r="R717" s="27"/>
    </row>
    <row r="718">
      <c r="F718" s="27"/>
      <c r="G718" s="27"/>
      <c r="H718" s="27"/>
      <c r="J718" s="27"/>
      <c r="L718" s="27"/>
      <c r="M718" s="27"/>
      <c r="N718" s="27"/>
      <c r="O718" s="27"/>
      <c r="P718" s="27"/>
      <c r="Q718" s="27"/>
      <c r="R718" s="27"/>
    </row>
    <row r="719">
      <c r="F719" s="27"/>
      <c r="G719" s="27"/>
      <c r="H719" s="27"/>
      <c r="J719" s="27"/>
      <c r="L719" s="27"/>
      <c r="M719" s="27"/>
      <c r="N719" s="27"/>
      <c r="O719" s="27"/>
      <c r="P719" s="27"/>
      <c r="Q719" s="27"/>
      <c r="R719" s="27"/>
    </row>
    <row r="720">
      <c r="F720" s="27"/>
      <c r="G720" s="27"/>
      <c r="H720" s="27"/>
      <c r="J720" s="27"/>
      <c r="L720" s="27"/>
      <c r="M720" s="27"/>
      <c r="N720" s="27"/>
      <c r="O720" s="27"/>
      <c r="P720" s="27"/>
      <c r="Q720" s="27"/>
      <c r="R720" s="27"/>
    </row>
    <row r="721">
      <c r="F721" s="27"/>
      <c r="G721" s="27"/>
      <c r="H721" s="27"/>
      <c r="J721" s="27"/>
      <c r="L721" s="27"/>
      <c r="M721" s="27"/>
      <c r="N721" s="27"/>
      <c r="O721" s="27"/>
      <c r="P721" s="27"/>
      <c r="Q721" s="27"/>
      <c r="R721" s="27"/>
    </row>
    <row r="722">
      <c r="F722" s="27"/>
      <c r="G722" s="27"/>
      <c r="H722" s="27"/>
      <c r="J722" s="27"/>
      <c r="L722" s="27"/>
      <c r="M722" s="27"/>
      <c r="N722" s="27"/>
      <c r="O722" s="27"/>
      <c r="P722" s="27"/>
      <c r="Q722" s="27"/>
      <c r="R722" s="27"/>
    </row>
    <row r="723">
      <c r="F723" s="27"/>
      <c r="G723" s="27"/>
      <c r="H723" s="27"/>
      <c r="J723" s="27"/>
      <c r="L723" s="27"/>
      <c r="M723" s="27"/>
      <c r="N723" s="27"/>
      <c r="O723" s="27"/>
      <c r="P723" s="27"/>
      <c r="Q723" s="27"/>
      <c r="R723" s="27"/>
    </row>
    <row r="724">
      <c r="F724" s="27"/>
      <c r="G724" s="27"/>
      <c r="H724" s="27"/>
      <c r="J724" s="27"/>
      <c r="L724" s="27"/>
      <c r="M724" s="27"/>
      <c r="N724" s="27"/>
      <c r="O724" s="27"/>
      <c r="P724" s="27"/>
      <c r="Q724" s="27"/>
      <c r="R724" s="27"/>
    </row>
    <row r="725">
      <c r="F725" s="27"/>
      <c r="G725" s="27"/>
      <c r="H725" s="27"/>
      <c r="J725" s="27"/>
      <c r="L725" s="27"/>
      <c r="M725" s="27"/>
      <c r="N725" s="27"/>
      <c r="O725" s="27"/>
      <c r="P725" s="27"/>
      <c r="Q725" s="27"/>
      <c r="R725" s="27"/>
    </row>
    <row r="726">
      <c r="F726" s="27"/>
      <c r="G726" s="27"/>
      <c r="H726" s="27"/>
      <c r="J726" s="27"/>
      <c r="L726" s="27"/>
      <c r="M726" s="27"/>
      <c r="N726" s="27"/>
      <c r="O726" s="27"/>
      <c r="P726" s="27"/>
      <c r="Q726" s="27"/>
      <c r="R726" s="27"/>
    </row>
    <row r="727">
      <c r="F727" s="27"/>
      <c r="G727" s="27"/>
      <c r="H727" s="27"/>
      <c r="J727" s="27"/>
      <c r="L727" s="27"/>
      <c r="M727" s="27"/>
      <c r="N727" s="27"/>
      <c r="O727" s="27"/>
      <c r="P727" s="27"/>
      <c r="Q727" s="27"/>
      <c r="R727" s="27"/>
    </row>
    <row r="728">
      <c r="F728" s="27"/>
      <c r="G728" s="27"/>
      <c r="H728" s="27"/>
      <c r="J728" s="27"/>
      <c r="L728" s="27"/>
      <c r="M728" s="27"/>
      <c r="N728" s="27"/>
      <c r="O728" s="27"/>
      <c r="P728" s="27"/>
      <c r="Q728" s="27"/>
      <c r="R728" s="27"/>
    </row>
    <row r="729">
      <c r="F729" s="27"/>
      <c r="G729" s="27"/>
      <c r="H729" s="27"/>
      <c r="J729" s="27"/>
      <c r="L729" s="27"/>
      <c r="M729" s="27"/>
      <c r="N729" s="27"/>
      <c r="O729" s="27"/>
      <c r="P729" s="27"/>
      <c r="Q729" s="27"/>
      <c r="R729" s="27"/>
    </row>
    <row r="730">
      <c r="F730" s="27"/>
      <c r="G730" s="27"/>
      <c r="H730" s="27"/>
      <c r="J730" s="27"/>
      <c r="L730" s="27"/>
      <c r="M730" s="27"/>
      <c r="N730" s="27"/>
      <c r="O730" s="27"/>
      <c r="P730" s="27"/>
      <c r="Q730" s="27"/>
      <c r="R730" s="27"/>
    </row>
    <row r="731">
      <c r="F731" s="27"/>
      <c r="G731" s="27"/>
      <c r="H731" s="27"/>
      <c r="J731" s="27"/>
      <c r="L731" s="27"/>
      <c r="M731" s="27"/>
      <c r="N731" s="27"/>
      <c r="O731" s="27"/>
      <c r="P731" s="27"/>
      <c r="Q731" s="27"/>
      <c r="R731" s="27"/>
    </row>
    <row r="732">
      <c r="F732" s="27"/>
      <c r="G732" s="27"/>
      <c r="H732" s="27"/>
      <c r="J732" s="27"/>
      <c r="L732" s="27"/>
      <c r="M732" s="27"/>
      <c r="N732" s="27"/>
      <c r="O732" s="27"/>
      <c r="P732" s="27"/>
      <c r="Q732" s="27"/>
      <c r="R732" s="27"/>
    </row>
    <row r="733">
      <c r="F733" s="27"/>
      <c r="G733" s="27"/>
      <c r="H733" s="27"/>
      <c r="J733" s="27"/>
      <c r="L733" s="27"/>
      <c r="M733" s="27"/>
      <c r="N733" s="27"/>
      <c r="O733" s="27"/>
      <c r="P733" s="27"/>
      <c r="Q733" s="27"/>
      <c r="R733" s="27"/>
    </row>
    <row r="734">
      <c r="F734" s="27"/>
      <c r="G734" s="27"/>
      <c r="H734" s="27"/>
      <c r="J734" s="27"/>
      <c r="L734" s="27"/>
      <c r="M734" s="27"/>
      <c r="N734" s="27"/>
      <c r="O734" s="27"/>
      <c r="P734" s="27"/>
      <c r="Q734" s="27"/>
      <c r="R734" s="27"/>
    </row>
    <row r="735">
      <c r="F735" s="27"/>
      <c r="G735" s="27"/>
      <c r="H735" s="27"/>
      <c r="J735" s="27"/>
      <c r="L735" s="27"/>
      <c r="M735" s="27"/>
      <c r="N735" s="27"/>
      <c r="O735" s="27"/>
      <c r="P735" s="27"/>
      <c r="Q735" s="27"/>
      <c r="R735" s="27"/>
    </row>
    <row r="736">
      <c r="F736" s="27"/>
      <c r="G736" s="27"/>
      <c r="H736" s="27"/>
      <c r="J736" s="27"/>
      <c r="L736" s="27"/>
      <c r="M736" s="27"/>
      <c r="N736" s="27"/>
      <c r="O736" s="27"/>
      <c r="P736" s="27"/>
      <c r="Q736" s="27"/>
      <c r="R736" s="27"/>
    </row>
    <row r="737">
      <c r="F737" s="27"/>
      <c r="G737" s="27"/>
      <c r="H737" s="27"/>
      <c r="J737" s="27"/>
      <c r="L737" s="27"/>
      <c r="M737" s="27"/>
      <c r="N737" s="27"/>
      <c r="O737" s="27"/>
      <c r="P737" s="27"/>
      <c r="Q737" s="27"/>
      <c r="R737" s="27"/>
    </row>
    <row r="738">
      <c r="F738" s="27"/>
      <c r="G738" s="27"/>
      <c r="H738" s="27"/>
      <c r="J738" s="27"/>
      <c r="L738" s="27"/>
      <c r="M738" s="27"/>
      <c r="N738" s="27"/>
      <c r="O738" s="27"/>
      <c r="P738" s="27"/>
      <c r="Q738" s="27"/>
      <c r="R738" s="27"/>
    </row>
    <row r="739">
      <c r="F739" s="27"/>
      <c r="G739" s="27"/>
      <c r="H739" s="27"/>
      <c r="J739" s="27"/>
      <c r="L739" s="27"/>
      <c r="M739" s="27"/>
      <c r="N739" s="27"/>
      <c r="O739" s="27"/>
      <c r="P739" s="27"/>
      <c r="Q739" s="27"/>
      <c r="R739" s="27"/>
    </row>
    <row r="740">
      <c r="F740" s="27"/>
      <c r="G740" s="27"/>
      <c r="H740" s="27"/>
      <c r="J740" s="27"/>
      <c r="L740" s="27"/>
      <c r="M740" s="27"/>
      <c r="N740" s="27"/>
      <c r="O740" s="27"/>
      <c r="P740" s="27"/>
      <c r="Q740" s="27"/>
      <c r="R740" s="27"/>
    </row>
    <row r="741">
      <c r="F741" s="27"/>
      <c r="G741" s="27"/>
      <c r="H741" s="27"/>
      <c r="J741" s="27"/>
      <c r="L741" s="27"/>
      <c r="M741" s="27"/>
      <c r="N741" s="27"/>
      <c r="O741" s="27"/>
      <c r="P741" s="27"/>
      <c r="Q741" s="27"/>
      <c r="R741" s="27"/>
    </row>
    <row r="742">
      <c r="F742" s="27"/>
      <c r="G742" s="27"/>
      <c r="H742" s="27"/>
      <c r="J742" s="27"/>
      <c r="L742" s="27"/>
      <c r="M742" s="27"/>
      <c r="N742" s="27"/>
      <c r="O742" s="27"/>
      <c r="P742" s="27"/>
      <c r="Q742" s="27"/>
      <c r="R742" s="27"/>
    </row>
    <row r="743">
      <c r="F743" s="27"/>
      <c r="G743" s="27"/>
      <c r="H743" s="27"/>
      <c r="J743" s="27"/>
      <c r="L743" s="27"/>
      <c r="M743" s="27"/>
      <c r="N743" s="27"/>
      <c r="O743" s="27"/>
      <c r="P743" s="27"/>
      <c r="Q743" s="27"/>
      <c r="R743" s="27"/>
    </row>
    <row r="744">
      <c r="F744" s="27"/>
      <c r="G744" s="27"/>
      <c r="H744" s="27"/>
      <c r="J744" s="27"/>
      <c r="L744" s="27"/>
      <c r="M744" s="27"/>
      <c r="N744" s="27"/>
      <c r="O744" s="27"/>
      <c r="P744" s="27"/>
      <c r="Q744" s="27"/>
      <c r="R744" s="27"/>
    </row>
    <row r="745">
      <c r="F745" s="27"/>
      <c r="G745" s="27"/>
      <c r="H745" s="27"/>
      <c r="J745" s="27"/>
      <c r="L745" s="27"/>
      <c r="M745" s="27"/>
      <c r="N745" s="27"/>
      <c r="O745" s="27"/>
      <c r="P745" s="27"/>
      <c r="Q745" s="27"/>
      <c r="R745" s="27"/>
    </row>
    <row r="746">
      <c r="F746" s="27"/>
      <c r="G746" s="27"/>
      <c r="H746" s="27"/>
      <c r="J746" s="27"/>
      <c r="L746" s="27"/>
      <c r="M746" s="27"/>
      <c r="N746" s="27"/>
      <c r="O746" s="27"/>
      <c r="P746" s="27"/>
      <c r="Q746" s="27"/>
      <c r="R746" s="27"/>
    </row>
    <row r="747">
      <c r="F747" s="27"/>
      <c r="G747" s="27"/>
      <c r="H747" s="27"/>
      <c r="J747" s="27"/>
      <c r="L747" s="27"/>
      <c r="M747" s="27"/>
      <c r="N747" s="27"/>
      <c r="O747" s="27"/>
      <c r="P747" s="27"/>
      <c r="Q747" s="27"/>
      <c r="R747" s="27"/>
    </row>
    <row r="748">
      <c r="F748" s="27"/>
      <c r="G748" s="27"/>
      <c r="H748" s="27"/>
      <c r="J748" s="27"/>
      <c r="L748" s="27"/>
      <c r="M748" s="27"/>
      <c r="N748" s="27"/>
      <c r="O748" s="27"/>
      <c r="P748" s="27"/>
      <c r="Q748" s="27"/>
      <c r="R748" s="27"/>
    </row>
    <row r="749">
      <c r="F749" s="27"/>
      <c r="G749" s="27"/>
      <c r="H749" s="27"/>
      <c r="J749" s="27"/>
      <c r="L749" s="27"/>
      <c r="M749" s="27"/>
      <c r="N749" s="27"/>
      <c r="O749" s="27"/>
      <c r="P749" s="27"/>
      <c r="Q749" s="27"/>
      <c r="R749" s="27"/>
    </row>
    <row r="750">
      <c r="F750" s="27"/>
      <c r="G750" s="27"/>
      <c r="H750" s="27"/>
      <c r="J750" s="27"/>
      <c r="L750" s="27"/>
      <c r="M750" s="27"/>
      <c r="N750" s="27"/>
      <c r="O750" s="27"/>
      <c r="P750" s="27"/>
      <c r="Q750" s="27"/>
      <c r="R750" s="27"/>
    </row>
    <row r="751">
      <c r="F751" s="27"/>
      <c r="G751" s="27"/>
      <c r="H751" s="27"/>
      <c r="J751" s="27"/>
      <c r="L751" s="27"/>
      <c r="M751" s="27"/>
      <c r="N751" s="27"/>
      <c r="O751" s="27"/>
      <c r="P751" s="27"/>
      <c r="Q751" s="27"/>
      <c r="R751" s="27"/>
    </row>
    <row r="752">
      <c r="F752" s="27"/>
      <c r="G752" s="27"/>
      <c r="H752" s="27"/>
      <c r="J752" s="27"/>
      <c r="L752" s="27"/>
      <c r="M752" s="27"/>
      <c r="N752" s="27"/>
      <c r="O752" s="27"/>
      <c r="P752" s="27"/>
      <c r="Q752" s="27"/>
      <c r="R752" s="27"/>
    </row>
    <row r="753">
      <c r="F753" s="27"/>
      <c r="G753" s="27"/>
      <c r="H753" s="27"/>
      <c r="J753" s="27"/>
      <c r="L753" s="27"/>
      <c r="M753" s="27"/>
      <c r="N753" s="27"/>
      <c r="O753" s="27"/>
      <c r="P753" s="27"/>
      <c r="Q753" s="27"/>
      <c r="R753" s="27"/>
    </row>
    <row r="754">
      <c r="F754" s="27"/>
      <c r="G754" s="27"/>
      <c r="H754" s="27"/>
      <c r="J754" s="27"/>
      <c r="L754" s="27"/>
      <c r="M754" s="27"/>
      <c r="N754" s="27"/>
      <c r="O754" s="27"/>
      <c r="P754" s="27"/>
      <c r="Q754" s="27"/>
      <c r="R754" s="27"/>
    </row>
    <row r="755">
      <c r="F755" s="27"/>
      <c r="G755" s="27"/>
      <c r="H755" s="27"/>
      <c r="J755" s="27"/>
      <c r="L755" s="27"/>
      <c r="M755" s="27"/>
      <c r="N755" s="27"/>
      <c r="O755" s="27"/>
      <c r="P755" s="27"/>
      <c r="Q755" s="27"/>
      <c r="R755" s="27"/>
    </row>
    <row r="756">
      <c r="F756" s="27"/>
      <c r="G756" s="27"/>
      <c r="H756" s="27"/>
      <c r="J756" s="27"/>
      <c r="L756" s="27"/>
      <c r="M756" s="27"/>
      <c r="N756" s="27"/>
      <c r="O756" s="27"/>
      <c r="P756" s="27"/>
      <c r="Q756" s="27"/>
      <c r="R756" s="27"/>
    </row>
    <row r="757">
      <c r="F757" s="27"/>
      <c r="G757" s="27"/>
      <c r="H757" s="27"/>
      <c r="J757" s="27"/>
      <c r="L757" s="27"/>
      <c r="M757" s="27"/>
      <c r="N757" s="27"/>
      <c r="O757" s="27"/>
      <c r="P757" s="27"/>
      <c r="Q757" s="27"/>
      <c r="R757" s="27"/>
    </row>
    <row r="758">
      <c r="F758" s="27"/>
      <c r="G758" s="27"/>
      <c r="H758" s="27"/>
      <c r="J758" s="27"/>
      <c r="L758" s="27"/>
      <c r="M758" s="27"/>
      <c r="N758" s="27"/>
      <c r="O758" s="27"/>
      <c r="P758" s="27"/>
      <c r="Q758" s="27"/>
      <c r="R758" s="27"/>
    </row>
    <row r="759">
      <c r="F759" s="27"/>
      <c r="G759" s="27"/>
      <c r="H759" s="27"/>
      <c r="J759" s="27"/>
      <c r="L759" s="27"/>
      <c r="M759" s="27"/>
      <c r="N759" s="27"/>
      <c r="O759" s="27"/>
      <c r="P759" s="27"/>
      <c r="Q759" s="27"/>
      <c r="R759" s="27"/>
    </row>
    <row r="760">
      <c r="F760" s="27"/>
      <c r="G760" s="27"/>
      <c r="H760" s="27"/>
      <c r="J760" s="27"/>
      <c r="L760" s="27"/>
      <c r="M760" s="27"/>
      <c r="N760" s="27"/>
      <c r="O760" s="27"/>
      <c r="P760" s="27"/>
      <c r="Q760" s="27"/>
      <c r="R760" s="27"/>
    </row>
    <row r="761">
      <c r="F761" s="27"/>
      <c r="G761" s="27"/>
      <c r="H761" s="27"/>
      <c r="J761" s="27"/>
      <c r="L761" s="27"/>
      <c r="M761" s="27"/>
      <c r="N761" s="27"/>
      <c r="O761" s="27"/>
      <c r="P761" s="27"/>
      <c r="Q761" s="27"/>
      <c r="R761" s="27"/>
    </row>
    <row r="762">
      <c r="F762" s="27"/>
      <c r="G762" s="27"/>
      <c r="H762" s="27"/>
      <c r="J762" s="27"/>
      <c r="L762" s="27"/>
      <c r="M762" s="27"/>
      <c r="N762" s="27"/>
      <c r="O762" s="27"/>
      <c r="P762" s="27"/>
      <c r="Q762" s="27"/>
      <c r="R762" s="27"/>
    </row>
    <row r="763">
      <c r="F763" s="27"/>
      <c r="G763" s="27"/>
      <c r="H763" s="27"/>
      <c r="J763" s="27"/>
      <c r="L763" s="27"/>
      <c r="M763" s="27"/>
      <c r="N763" s="27"/>
      <c r="O763" s="27"/>
      <c r="P763" s="27"/>
      <c r="Q763" s="27"/>
      <c r="R763" s="27"/>
    </row>
    <row r="764">
      <c r="F764" s="27"/>
      <c r="G764" s="27"/>
      <c r="H764" s="27"/>
      <c r="J764" s="27"/>
      <c r="L764" s="27"/>
      <c r="M764" s="27"/>
      <c r="N764" s="27"/>
      <c r="O764" s="27"/>
      <c r="P764" s="27"/>
      <c r="Q764" s="27"/>
      <c r="R764" s="27"/>
    </row>
    <row r="765">
      <c r="F765" s="27"/>
      <c r="G765" s="27"/>
      <c r="H765" s="27"/>
      <c r="J765" s="27"/>
      <c r="L765" s="27"/>
      <c r="M765" s="27"/>
      <c r="N765" s="27"/>
      <c r="O765" s="27"/>
      <c r="P765" s="27"/>
      <c r="Q765" s="27"/>
      <c r="R765" s="27"/>
    </row>
    <row r="766">
      <c r="F766" s="27"/>
      <c r="G766" s="27"/>
      <c r="H766" s="27"/>
      <c r="J766" s="27"/>
      <c r="L766" s="27"/>
      <c r="M766" s="27"/>
      <c r="N766" s="27"/>
      <c r="O766" s="27"/>
      <c r="P766" s="27"/>
      <c r="Q766" s="27"/>
      <c r="R766" s="27"/>
    </row>
    <row r="767">
      <c r="F767" s="27"/>
      <c r="G767" s="27"/>
      <c r="H767" s="27"/>
      <c r="J767" s="27"/>
      <c r="L767" s="27"/>
      <c r="M767" s="27"/>
      <c r="N767" s="27"/>
      <c r="O767" s="27"/>
      <c r="P767" s="27"/>
      <c r="Q767" s="27"/>
      <c r="R767" s="27"/>
    </row>
    <row r="768">
      <c r="F768" s="27"/>
      <c r="G768" s="27"/>
      <c r="H768" s="27"/>
      <c r="J768" s="27"/>
      <c r="L768" s="27"/>
      <c r="M768" s="27"/>
      <c r="N768" s="27"/>
      <c r="O768" s="27"/>
      <c r="P768" s="27"/>
      <c r="Q768" s="27"/>
      <c r="R768" s="27"/>
    </row>
    <row r="769">
      <c r="F769" s="27"/>
      <c r="G769" s="27"/>
      <c r="H769" s="27"/>
      <c r="J769" s="27"/>
      <c r="L769" s="27"/>
      <c r="M769" s="27"/>
      <c r="N769" s="27"/>
      <c r="O769" s="27"/>
      <c r="P769" s="27"/>
      <c r="Q769" s="27"/>
      <c r="R769" s="27"/>
    </row>
    <row r="770">
      <c r="F770" s="27"/>
      <c r="G770" s="27"/>
      <c r="H770" s="27"/>
      <c r="J770" s="27"/>
      <c r="L770" s="27"/>
      <c r="M770" s="27"/>
      <c r="N770" s="27"/>
      <c r="O770" s="27"/>
      <c r="P770" s="27"/>
      <c r="Q770" s="27"/>
      <c r="R770" s="27"/>
    </row>
    <row r="771">
      <c r="F771" s="27"/>
      <c r="G771" s="27"/>
      <c r="H771" s="27"/>
      <c r="J771" s="27"/>
      <c r="L771" s="27"/>
      <c r="M771" s="27"/>
      <c r="N771" s="27"/>
      <c r="O771" s="27"/>
      <c r="P771" s="27"/>
      <c r="Q771" s="27"/>
      <c r="R771" s="27"/>
    </row>
    <row r="772">
      <c r="F772" s="27"/>
      <c r="G772" s="27"/>
      <c r="H772" s="27"/>
      <c r="J772" s="27"/>
      <c r="L772" s="27"/>
      <c r="M772" s="27"/>
      <c r="N772" s="27"/>
      <c r="O772" s="27"/>
      <c r="P772" s="27"/>
      <c r="Q772" s="27"/>
      <c r="R772" s="27"/>
    </row>
    <row r="773">
      <c r="F773" s="27"/>
      <c r="G773" s="27"/>
      <c r="H773" s="27"/>
      <c r="J773" s="27"/>
      <c r="L773" s="27"/>
      <c r="M773" s="27"/>
      <c r="N773" s="27"/>
      <c r="O773" s="27"/>
      <c r="P773" s="27"/>
      <c r="Q773" s="27"/>
      <c r="R773" s="27"/>
    </row>
    <row r="774">
      <c r="F774" s="27"/>
      <c r="G774" s="27"/>
      <c r="H774" s="27"/>
      <c r="J774" s="27"/>
      <c r="L774" s="27"/>
      <c r="M774" s="27"/>
      <c r="N774" s="27"/>
      <c r="O774" s="27"/>
      <c r="P774" s="27"/>
      <c r="Q774" s="27"/>
      <c r="R774" s="27"/>
    </row>
    <row r="775">
      <c r="F775" s="27"/>
      <c r="G775" s="27"/>
      <c r="H775" s="27"/>
      <c r="J775" s="27"/>
      <c r="L775" s="27"/>
      <c r="M775" s="27"/>
      <c r="N775" s="27"/>
      <c r="O775" s="27"/>
      <c r="P775" s="27"/>
      <c r="Q775" s="27"/>
      <c r="R775" s="27"/>
    </row>
    <row r="776">
      <c r="F776" s="27"/>
      <c r="G776" s="27"/>
      <c r="H776" s="27"/>
      <c r="J776" s="27"/>
      <c r="L776" s="27"/>
      <c r="M776" s="27"/>
      <c r="N776" s="27"/>
      <c r="O776" s="27"/>
      <c r="P776" s="27"/>
      <c r="Q776" s="27"/>
      <c r="R776" s="27"/>
    </row>
    <row r="777">
      <c r="F777" s="27"/>
      <c r="G777" s="27"/>
      <c r="H777" s="27"/>
      <c r="J777" s="27"/>
      <c r="L777" s="27"/>
      <c r="M777" s="27"/>
      <c r="N777" s="27"/>
      <c r="O777" s="27"/>
      <c r="P777" s="27"/>
      <c r="Q777" s="27"/>
      <c r="R777" s="27"/>
    </row>
    <row r="778">
      <c r="F778" s="27"/>
      <c r="G778" s="27"/>
      <c r="H778" s="27"/>
      <c r="J778" s="27"/>
      <c r="L778" s="27"/>
      <c r="M778" s="27"/>
      <c r="N778" s="27"/>
      <c r="O778" s="27"/>
      <c r="P778" s="27"/>
      <c r="Q778" s="27"/>
      <c r="R778" s="27"/>
    </row>
    <row r="779">
      <c r="F779" s="27"/>
      <c r="G779" s="27"/>
      <c r="H779" s="27"/>
      <c r="J779" s="27"/>
      <c r="L779" s="27"/>
      <c r="M779" s="27"/>
      <c r="N779" s="27"/>
      <c r="O779" s="27"/>
      <c r="P779" s="27"/>
      <c r="Q779" s="27"/>
      <c r="R779" s="27"/>
    </row>
    <row r="780">
      <c r="F780" s="27"/>
      <c r="G780" s="27"/>
      <c r="H780" s="27"/>
      <c r="J780" s="27"/>
      <c r="L780" s="27"/>
      <c r="M780" s="27"/>
      <c r="N780" s="27"/>
      <c r="O780" s="27"/>
      <c r="P780" s="27"/>
      <c r="Q780" s="27"/>
      <c r="R780" s="27"/>
    </row>
    <row r="781">
      <c r="F781" s="27"/>
      <c r="G781" s="27"/>
      <c r="H781" s="27"/>
      <c r="J781" s="27"/>
      <c r="L781" s="27"/>
      <c r="M781" s="27"/>
      <c r="N781" s="27"/>
      <c r="O781" s="27"/>
      <c r="P781" s="27"/>
      <c r="Q781" s="27"/>
      <c r="R781" s="27"/>
    </row>
    <row r="782">
      <c r="F782" s="27"/>
      <c r="G782" s="27"/>
      <c r="H782" s="27"/>
      <c r="J782" s="27"/>
      <c r="L782" s="27"/>
      <c r="M782" s="27"/>
      <c r="N782" s="27"/>
      <c r="O782" s="27"/>
      <c r="P782" s="27"/>
      <c r="Q782" s="27"/>
      <c r="R782" s="27"/>
    </row>
    <row r="783">
      <c r="F783" s="27"/>
      <c r="G783" s="27"/>
      <c r="H783" s="27"/>
      <c r="J783" s="27"/>
      <c r="L783" s="27"/>
      <c r="M783" s="27"/>
      <c r="N783" s="27"/>
      <c r="O783" s="27"/>
      <c r="P783" s="27"/>
      <c r="Q783" s="27"/>
      <c r="R783" s="27"/>
    </row>
    <row r="784">
      <c r="F784" s="27"/>
      <c r="G784" s="27"/>
      <c r="H784" s="27"/>
      <c r="J784" s="27"/>
      <c r="L784" s="27"/>
      <c r="M784" s="27"/>
      <c r="N784" s="27"/>
      <c r="O784" s="27"/>
      <c r="P784" s="27"/>
      <c r="Q784" s="27"/>
      <c r="R784" s="27"/>
    </row>
    <row r="785">
      <c r="F785" s="27"/>
      <c r="G785" s="27"/>
      <c r="H785" s="27"/>
      <c r="J785" s="27"/>
      <c r="L785" s="27"/>
      <c r="M785" s="27"/>
      <c r="N785" s="27"/>
      <c r="O785" s="27"/>
      <c r="P785" s="27"/>
      <c r="Q785" s="27"/>
      <c r="R785" s="27"/>
    </row>
    <row r="786">
      <c r="F786" s="27"/>
      <c r="G786" s="27"/>
      <c r="H786" s="27"/>
      <c r="J786" s="27"/>
      <c r="L786" s="27"/>
      <c r="M786" s="27"/>
      <c r="N786" s="27"/>
      <c r="O786" s="27"/>
      <c r="P786" s="27"/>
      <c r="Q786" s="27"/>
      <c r="R786" s="27"/>
    </row>
    <row r="787">
      <c r="F787" s="27"/>
      <c r="G787" s="27"/>
      <c r="H787" s="27"/>
      <c r="J787" s="27"/>
      <c r="L787" s="27"/>
      <c r="M787" s="27"/>
      <c r="N787" s="27"/>
      <c r="O787" s="27"/>
      <c r="P787" s="27"/>
      <c r="Q787" s="27"/>
      <c r="R787" s="27"/>
    </row>
    <row r="788">
      <c r="F788" s="27"/>
      <c r="G788" s="27"/>
      <c r="H788" s="27"/>
      <c r="J788" s="27"/>
      <c r="L788" s="27"/>
      <c r="M788" s="27"/>
      <c r="N788" s="27"/>
      <c r="O788" s="27"/>
      <c r="P788" s="27"/>
      <c r="Q788" s="27"/>
      <c r="R788" s="27"/>
    </row>
    <row r="789">
      <c r="F789" s="27"/>
      <c r="G789" s="27"/>
      <c r="H789" s="27"/>
      <c r="J789" s="27"/>
      <c r="L789" s="27"/>
      <c r="M789" s="27"/>
      <c r="N789" s="27"/>
      <c r="O789" s="27"/>
      <c r="P789" s="27"/>
      <c r="Q789" s="27"/>
      <c r="R789" s="27"/>
    </row>
    <row r="790">
      <c r="F790" s="27"/>
      <c r="G790" s="27"/>
      <c r="H790" s="27"/>
      <c r="J790" s="27"/>
      <c r="L790" s="27"/>
      <c r="M790" s="27"/>
      <c r="N790" s="27"/>
      <c r="O790" s="27"/>
      <c r="P790" s="27"/>
      <c r="Q790" s="27"/>
      <c r="R790" s="27"/>
    </row>
    <row r="791">
      <c r="F791" s="27"/>
      <c r="G791" s="27"/>
      <c r="H791" s="27"/>
      <c r="J791" s="27"/>
      <c r="L791" s="27"/>
      <c r="M791" s="27"/>
      <c r="N791" s="27"/>
      <c r="O791" s="27"/>
      <c r="P791" s="27"/>
      <c r="Q791" s="27"/>
      <c r="R791" s="27"/>
    </row>
    <row r="792">
      <c r="F792" s="27"/>
      <c r="G792" s="27"/>
      <c r="H792" s="27"/>
      <c r="J792" s="27"/>
      <c r="L792" s="27"/>
      <c r="M792" s="27"/>
      <c r="N792" s="27"/>
      <c r="O792" s="27"/>
      <c r="P792" s="27"/>
      <c r="Q792" s="27"/>
      <c r="R792" s="27"/>
    </row>
    <row r="793">
      <c r="F793" s="27"/>
      <c r="G793" s="27"/>
      <c r="H793" s="27"/>
      <c r="J793" s="27"/>
      <c r="L793" s="27"/>
      <c r="M793" s="27"/>
      <c r="N793" s="27"/>
      <c r="O793" s="27"/>
      <c r="P793" s="27"/>
      <c r="Q793" s="27"/>
      <c r="R793" s="27"/>
    </row>
    <row r="794">
      <c r="F794" s="27"/>
      <c r="G794" s="27"/>
      <c r="H794" s="27"/>
      <c r="J794" s="27"/>
      <c r="L794" s="27"/>
      <c r="M794" s="27"/>
      <c r="N794" s="27"/>
      <c r="O794" s="27"/>
      <c r="P794" s="27"/>
      <c r="Q794" s="27"/>
      <c r="R794" s="27"/>
    </row>
    <row r="795">
      <c r="F795" s="27"/>
      <c r="G795" s="27"/>
      <c r="H795" s="27"/>
      <c r="J795" s="27"/>
      <c r="L795" s="27"/>
      <c r="M795" s="27"/>
      <c r="N795" s="27"/>
      <c r="O795" s="27"/>
      <c r="P795" s="27"/>
      <c r="Q795" s="27"/>
      <c r="R795" s="27"/>
    </row>
    <row r="796">
      <c r="F796" s="27"/>
      <c r="G796" s="27"/>
      <c r="H796" s="27"/>
      <c r="J796" s="27"/>
      <c r="L796" s="27"/>
      <c r="M796" s="27"/>
      <c r="N796" s="27"/>
      <c r="O796" s="27"/>
      <c r="P796" s="27"/>
      <c r="Q796" s="27"/>
      <c r="R796" s="27"/>
    </row>
    <row r="797">
      <c r="F797" s="27"/>
      <c r="G797" s="27"/>
      <c r="H797" s="27"/>
      <c r="J797" s="27"/>
      <c r="L797" s="27"/>
      <c r="M797" s="27"/>
      <c r="N797" s="27"/>
      <c r="O797" s="27"/>
      <c r="P797" s="27"/>
      <c r="Q797" s="27"/>
      <c r="R797" s="27"/>
    </row>
    <row r="798">
      <c r="F798" s="27"/>
      <c r="G798" s="27"/>
      <c r="H798" s="27"/>
      <c r="J798" s="27"/>
      <c r="L798" s="27"/>
      <c r="M798" s="27"/>
      <c r="N798" s="27"/>
      <c r="O798" s="27"/>
      <c r="P798" s="27"/>
      <c r="Q798" s="27"/>
      <c r="R798" s="27"/>
    </row>
    <row r="799">
      <c r="F799" s="27"/>
      <c r="G799" s="27"/>
      <c r="H799" s="27"/>
      <c r="J799" s="27"/>
      <c r="L799" s="27"/>
      <c r="M799" s="27"/>
      <c r="N799" s="27"/>
      <c r="O799" s="27"/>
      <c r="P799" s="27"/>
      <c r="Q799" s="27"/>
      <c r="R799" s="27"/>
    </row>
    <row r="800">
      <c r="F800" s="27"/>
      <c r="G800" s="27"/>
      <c r="H800" s="27"/>
      <c r="J800" s="27"/>
      <c r="L800" s="27"/>
      <c r="M800" s="27"/>
      <c r="N800" s="27"/>
      <c r="O800" s="27"/>
      <c r="P800" s="27"/>
      <c r="Q800" s="27"/>
      <c r="R800" s="27"/>
    </row>
    <row r="801">
      <c r="F801" s="27"/>
      <c r="G801" s="27"/>
      <c r="H801" s="27"/>
      <c r="J801" s="27"/>
      <c r="L801" s="27"/>
      <c r="M801" s="27"/>
      <c r="N801" s="27"/>
      <c r="O801" s="27"/>
      <c r="P801" s="27"/>
      <c r="Q801" s="27"/>
      <c r="R801" s="27"/>
    </row>
    <row r="802">
      <c r="F802" s="27"/>
      <c r="G802" s="27"/>
      <c r="H802" s="27"/>
      <c r="J802" s="27"/>
      <c r="L802" s="27"/>
      <c r="M802" s="27"/>
      <c r="N802" s="27"/>
      <c r="O802" s="27"/>
      <c r="P802" s="27"/>
      <c r="Q802" s="27"/>
      <c r="R802" s="27"/>
    </row>
    <row r="803">
      <c r="F803" s="27"/>
      <c r="G803" s="27"/>
      <c r="H803" s="27"/>
      <c r="J803" s="27"/>
      <c r="L803" s="27"/>
      <c r="M803" s="27"/>
      <c r="N803" s="27"/>
      <c r="O803" s="27"/>
      <c r="P803" s="27"/>
      <c r="Q803" s="27"/>
      <c r="R803" s="27"/>
    </row>
    <row r="804">
      <c r="F804" s="27"/>
      <c r="G804" s="27"/>
      <c r="H804" s="27"/>
      <c r="J804" s="27"/>
      <c r="L804" s="27"/>
      <c r="M804" s="27"/>
      <c r="N804" s="27"/>
      <c r="O804" s="27"/>
      <c r="P804" s="27"/>
      <c r="Q804" s="27"/>
      <c r="R804" s="27"/>
    </row>
    <row r="805">
      <c r="F805" s="27"/>
      <c r="G805" s="27"/>
      <c r="H805" s="27"/>
      <c r="J805" s="27"/>
      <c r="L805" s="27"/>
      <c r="M805" s="27"/>
      <c r="N805" s="27"/>
      <c r="O805" s="27"/>
      <c r="P805" s="27"/>
      <c r="Q805" s="27"/>
      <c r="R805" s="27"/>
    </row>
    <row r="806">
      <c r="F806" s="27"/>
      <c r="G806" s="27"/>
      <c r="H806" s="27"/>
      <c r="J806" s="27"/>
      <c r="L806" s="27"/>
      <c r="M806" s="27"/>
      <c r="N806" s="27"/>
      <c r="O806" s="27"/>
      <c r="P806" s="27"/>
      <c r="Q806" s="27"/>
      <c r="R806" s="27"/>
    </row>
    <row r="807">
      <c r="F807" s="27"/>
      <c r="G807" s="27"/>
      <c r="H807" s="27"/>
      <c r="J807" s="27"/>
      <c r="L807" s="27"/>
      <c r="M807" s="27"/>
      <c r="N807" s="27"/>
      <c r="O807" s="27"/>
      <c r="P807" s="27"/>
      <c r="Q807" s="27"/>
      <c r="R807" s="27"/>
    </row>
    <row r="808">
      <c r="F808" s="27"/>
      <c r="G808" s="27"/>
      <c r="H808" s="27"/>
      <c r="J808" s="27"/>
      <c r="L808" s="27"/>
      <c r="M808" s="27"/>
      <c r="N808" s="27"/>
      <c r="O808" s="27"/>
      <c r="P808" s="27"/>
      <c r="Q808" s="27"/>
      <c r="R808" s="27"/>
    </row>
    <row r="809">
      <c r="F809" s="27"/>
      <c r="G809" s="27"/>
      <c r="H809" s="27"/>
      <c r="J809" s="27"/>
      <c r="L809" s="27"/>
      <c r="M809" s="27"/>
      <c r="N809" s="27"/>
      <c r="O809" s="27"/>
      <c r="P809" s="27"/>
      <c r="Q809" s="27"/>
      <c r="R809" s="27"/>
    </row>
    <row r="810">
      <c r="F810" s="27"/>
      <c r="G810" s="27"/>
      <c r="H810" s="27"/>
      <c r="J810" s="27"/>
      <c r="L810" s="27"/>
      <c r="M810" s="27"/>
      <c r="N810" s="27"/>
      <c r="O810" s="27"/>
      <c r="P810" s="27"/>
      <c r="Q810" s="27"/>
      <c r="R810" s="27"/>
    </row>
    <row r="811">
      <c r="F811" s="27"/>
      <c r="G811" s="27"/>
      <c r="H811" s="27"/>
      <c r="J811" s="27"/>
      <c r="L811" s="27"/>
      <c r="M811" s="27"/>
      <c r="N811" s="27"/>
      <c r="O811" s="27"/>
      <c r="P811" s="27"/>
      <c r="Q811" s="27"/>
      <c r="R811" s="27"/>
    </row>
    <row r="812">
      <c r="F812" s="27"/>
      <c r="G812" s="27"/>
      <c r="H812" s="27"/>
      <c r="J812" s="27"/>
      <c r="L812" s="27"/>
      <c r="M812" s="27"/>
      <c r="N812" s="27"/>
      <c r="O812" s="27"/>
      <c r="P812" s="27"/>
      <c r="Q812" s="27"/>
      <c r="R812" s="27"/>
    </row>
    <row r="813">
      <c r="F813" s="27"/>
      <c r="G813" s="27"/>
      <c r="H813" s="27"/>
      <c r="J813" s="27"/>
      <c r="L813" s="27"/>
      <c r="M813" s="27"/>
      <c r="N813" s="27"/>
      <c r="O813" s="27"/>
      <c r="P813" s="27"/>
      <c r="Q813" s="27"/>
      <c r="R813" s="27"/>
    </row>
    <row r="814">
      <c r="F814" s="27"/>
      <c r="G814" s="27"/>
      <c r="H814" s="27"/>
      <c r="J814" s="27"/>
      <c r="L814" s="27"/>
      <c r="M814" s="27"/>
      <c r="N814" s="27"/>
      <c r="O814" s="27"/>
      <c r="P814" s="27"/>
      <c r="Q814" s="27"/>
      <c r="R814" s="27"/>
    </row>
    <row r="815">
      <c r="F815" s="27"/>
      <c r="G815" s="27"/>
      <c r="H815" s="27"/>
      <c r="J815" s="27"/>
      <c r="L815" s="27"/>
      <c r="M815" s="27"/>
      <c r="N815" s="27"/>
      <c r="O815" s="27"/>
      <c r="P815" s="27"/>
      <c r="Q815" s="27"/>
      <c r="R815" s="27"/>
    </row>
    <row r="816">
      <c r="F816" s="27"/>
      <c r="G816" s="27"/>
      <c r="H816" s="27"/>
      <c r="J816" s="27"/>
      <c r="L816" s="27"/>
      <c r="M816" s="27"/>
      <c r="N816" s="27"/>
      <c r="O816" s="27"/>
      <c r="P816" s="27"/>
      <c r="Q816" s="27"/>
      <c r="R816" s="27"/>
    </row>
    <row r="817">
      <c r="F817" s="27"/>
      <c r="G817" s="27"/>
      <c r="H817" s="27"/>
      <c r="J817" s="27"/>
      <c r="L817" s="27"/>
      <c r="M817" s="27"/>
      <c r="N817" s="27"/>
      <c r="O817" s="27"/>
      <c r="P817" s="27"/>
      <c r="Q817" s="27"/>
      <c r="R817" s="27"/>
    </row>
    <row r="818">
      <c r="F818" s="27"/>
      <c r="G818" s="27"/>
      <c r="H818" s="27"/>
      <c r="J818" s="27"/>
      <c r="L818" s="27"/>
      <c r="M818" s="27"/>
      <c r="N818" s="27"/>
      <c r="O818" s="27"/>
      <c r="P818" s="27"/>
      <c r="Q818" s="27"/>
      <c r="R818" s="27"/>
    </row>
    <row r="819">
      <c r="F819" s="27"/>
      <c r="G819" s="27"/>
      <c r="H819" s="27"/>
      <c r="J819" s="27"/>
      <c r="L819" s="27"/>
      <c r="M819" s="27"/>
      <c r="N819" s="27"/>
      <c r="O819" s="27"/>
      <c r="P819" s="27"/>
      <c r="Q819" s="27"/>
      <c r="R819" s="27"/>
    </row>
    <row r="820">
      <c r="F820" s="27"/>
      <c r="G820" s="27"/>
      <c r="H820" s="27"/>
      <c r="J820" s="27"/>
      <c r="L820" s="27"/>
      <c r="M820" s="27"/>
      <c r="N820" s="27"/>
      <c r="O820" s="27"/>
      <c r="P820" s="27"/>
      <c r="Q820" s="27"/>
      <c r="R820" s="27"/>
    </row>
    <row r="821">
      <c r="F821" s="27"/>
      <c r="G821" s="27"/>
      <c r="H821" s="27"/>
      <c r="J821" s="27"/>
      <c r="L821" s="27"/>
      <c r="M821" s="27"/>
      <c r="N821" s="27"/>
      <c r="O821" s="27"/>
      <c r="P821" s="27"/>
      <c r="Q821" s="27"/>
      <c r="R821" s="27"/>
    </row>
    <row r="822">
      <c r="F822" s="27"/>
      <c r="G822" s="27"/>
      <c r="H822" s="27"/>
      <c r="J822" s="27"/>
      <c r="L822" s="27"/>
      <c r="M822" s="27"/>
      <c r="N822" s="27"/>
      <c r="O822" s="27"/>
      <c r="P822" s="27"/>
      <c r="Q822" s="27"/>
      <c r="R822" s="27"/>
    </row>
    <row r="823">
      <c r="F823" s="27"/>
      <c r="G823" s="27"/>
      <c r="H823" s="27"/>
      <c r="J823" s="27"/>
      <c r="L823" s="27"/>
      <c r="M823" s="27"/>
      <c r="N823" s="27"/>
      <c r="O823" s="27"/>
      <c r="P823" s="27"/>
      <c r="Q823" s="27"/>
      <c r="R823" s="27"/>
    </row>
    <row r="824">
      <c r="F824" s="27"/>
      <c r="G824" s="27"/>
      <c r="H824" s="27"/>
      <c r="J824" s="27"/>
      <c r="L824" s="27"/>
      <c r="M824" s="27"/>
      <c r="N824" s="27"/>
      <c r="O824" s="27"/>
      <c r="P824" s="27"/>
      <c r="Q824" s="27"/>
      <c r="R824" s="27"/>
    </row>
    <row r="825">
      <c r="F825" s="27"/>
      <c r="G825" s="27"/>
      <c r="H825" s="27"/>
      <c r="J825" s="27"/>
      <c r="L825" s="27"/>
      <c r="M825" s="27"/>
      <c r="N825" s="27"/>
      <c r="O825" s="27"/>
      <c r="P825" s="27"/>
      <c r="Q825" s="27"/>
      <c r="R825" s="27"/>
    </row>
    <row r="826">
      <c r="F826" s="27"/>
      <c r="G826" s="27"/>
      <c r="H826" s="27"/>
      <c r="J826" s="27"/>
      <c r="L826" s="27"/>
      <c r="M826" s="27"/>
      <c r="N826" s="27"/>
      <c r="O826" s="27"/>
      <c r="P826" s="27"/>
      <c r="Q826" s="27"/>
      <c r="R826" s="27"/>
    </row>
    <row r="827">
      <c r="F827" s="27"/>
      <c r="G827" s="27"/>
      <c r="H827" s="27"/>
      <c r="J827" s="27"/>
      <c r="L827" s="27"/>
      <c r="M827" s="27"/>
      <c r="N827" s="27"/>
      <c r="O827" s="27"/>
      <c r="P827" s="27"/>
      <c r="Q827" s="27"/>
      <c r="R827" s="27"/>
    </row>
    <row r="828">
      <c r="F828" s="27"/>
      <c r="G828" s="27"/>
      <c r="H828" s="27"/>
      <c r="J828" s="27"/>
      <c r="L828" s="27"/>
      <c r="M828" s="27"/>
      <c r="N828" s="27"/>
      <c r="O828" s="27"/>
      <c r="P828" s="27"/>
      <c r="Q828" s="27"/>
      <c r="R828" s="27"/>
    </row>
    <row r="829">
      <c r="F829" s="27"/>
      <c r="G829" s="27"/>
      <c r="H829" s="27"/>
      <c r="J829" s="27"/>
      <c r="L829" s="27"/>
      <c r="M829" s="27"/>
      <c r="N829" s="27"/>
      <c r="O829" s="27"/>
      <c r="P829" s="27"/>
      <c r="Q829" s="27"/>
      <c r="R829" s="27"/>
    </row>
    <row r="830">
      <c r="F830" s="27"/>
      <c r="G830" s="27"/>
      <c r="H830" s="27"/>
      <c r="J830" s="27"/>
      <c r="L830" s="27"/>
      <c r="M830" s="27"/>
      <c r="N830" s="27"/>
      <c r="O830" s="27"/>
      <c r="P830" s="27"/>
      <c r="Q830" s="27"/>
      <c r="R830" s="27"/>
    </row>
    <row r="831">
      <c r="F831" s="27"/>
      <c r="G831" s="27"/>
      <c r="H831" s="27"/>
      <c r="J831" s="27"/>
      <c r="L831" s="27"/>
      <c r="M831" s="27"/>
      <c r="N831" s="27"/>
      <c r="O831" s="27"/>
      <c r="P831" s="27"/>
      <c r="Q831" s="27"/>
      <c r="R831" s="27"/>
    </row>
    <row r="832">
      <c r="F832" s="27"/>
      <c r="G832" s="27"/>
      <c r="H832" s="27"/>
      <c r="J832" s="27"/>
      <c r="L832" s="27"/>
      <c r="M832" s="27"/>
      <c r="N832" s="27"/>
      <c r="O832" s="27"/>
      <c r="P832" s="27"/>
      <c r="Q832" s="27"/>
      <c r="R832" s="27"/>
    </row>
    <row r="833">
      <c r="F833" s="27"/>
      <c r="G833" s="27"/>
      <c r="H833" s="27"/>
      <c r="J833" s="27"/>
      <c r="L833" s="27"/>
      <c r="M833" s="27"/>
      <c r="N833" s="27"/>
      <c r="O833" s="27"/>
      <c r="P833" s="27"/>
      <c r="Q833" s="27"/>
      <c r="R833" s="27"/>
    </row>
    <row r="834">
      <c r="F834" s="27"/>
      <c r="G834" s="27"/>
      <c r="H834" s="27"/>
      <c r="J834" s="27"/>
      <c r="L834" s="27"/>
      <c r="M834" s="27"/>
      <c r="N834" s="27"/>
      <c r="O834" s="27"/>
      <c r="P834" s="27"/>
      <c r="Q834" s="27"/>
      <c r="R834" s="27"/>
    </row>
    <row r="835">
      <c r="F835" s="27"/>
      <c r="G835" s="27"/>
      <c r="H835" s="27"/>
      <c r="J835" s="27"/>
      <c r="L835" s="27"/>
      <c r="M835" s="27"/>
      <c r="N835" s="27"/>
      <c r="O835" s="27"/>
      <c r="P835" s="27"/>
      <c r="Q835" s="27"/>
      <c r="R835" s="27"/>
    </row>
    <row r="836">
      <c r="F836" s="27"/>
      <c r="G836" s="27"/>
      <c r="H836" s="27"/>
      <c r="J836" s="27"/>
      <c r="L836" s="27"/>
      <c r="M836" s="27"/>
      <c r="N836" s="27"/>
      <c r="O836" s="27"/>
      <c r="P836" s="27"/>
      <c r="Q836" s="27"/>
      <c r="R836" s="27"/>
    </row>
    <row r="837">
      <c r="F837" s="27"/>
      <c r="G837" s="27"/>
      <c r="H837" s="27"/>
      <c r="J837" s="27"/>
      <c r="L837" s="27"/>
      <c r="M837" s="27"/>
      <c r="N837" s="27"/>
      <c r="O837" s="27"/>
      <c r="P837" s="27"/>
      <c r="Q837" s="27"/>
      <c r="R837" s="27"/>
    </row>
    <row r="838">
      <c r="F838" s="27"/>
      <c r="G838" s="27"/>
      <c r="H838" s="27"/>
      <c r="J838" s="27"/>
      <c r="L838" s="27"/>
      <c r="M838" s="27"/>
      <c r="N838" s="27"/>
      <c r="O838" s="27"/>
      <c r="P838" s="27"/>
      <c r="Q838" s="27"/>
      <c r="R838" s="27"/>
    </row>
    <row r="839">
      <c r="F839" s="27"/>
      <c r="G839" s="27"/>
      <c r="H839" s="27"/>
      <c r="J839" s="27"/>
      <c r="L839" s="27"/>
      <c r="M839" s="27"/>
      <c r="N839" s="27"/>
      <c r="O839" s="27"/>
      <c r="P839" s="27"/>
      <c r="Q839" s="27"/>
      <c r="R839" s="27"/>
    </row>
    <row r="840">
      <c r="F840" s="27"/>
      <c r="G840" s="27"/>
      <c r="H840" s="27"/>
      <c r="J840" s="27"/>
      <c r="L840" s="27"/>
      <c r="M840" s="27"/>
      <c r="N840" s="27"/>
      <c r="O840" s="27"/>
      <c r="P840" s="27"/>
      <c r="Q840" s="27"/>
      <c r="R840" s="27"/>
    </row>
    <row r="841">
      <c r="F841" s="27"/>
      <c r="G841" s="27"/>
      <c r="H841" s="27"/>
      <c r="J841" s="27"/>
      <c r="L841" s="27"/>
      <c r="M841" s="27"/>
      <c r="N841" s="27"/>
      <c r="O841" s="27"/>
      <c r="P841" s="27"/>
      <c r="Q841" s="27"/>
      <c r="R841" s="27"/>
    </row>
    <row r="842">
      <c r="F842" s="27"/>
      <c r="G842" s="27"/>
      <c r="H842" s="27"/>
      <c r="J842" s="27"/>
      <c r="L842" s="27"/>
      <c r="M842" s="27"/>
      <c r="N842" s="27"/>
      <c r="O842" s="27"/>
      <c r="P842" s="27"/>
      <c r="Q842" s="27"/>
      <c r="R842" s="27"/>
    </row>
    <row r="843">
      <c r="F843" s="27"/>
      <c r="G843" s="27"/>
      <c r="H843" s="27"/>
      <c r="J843" s="27"/>
      <c r="L843" s="27"/>
      <c r="M843" s="27"/>
      <c r="N843" s="27"/>
      <c r="O843" s="27"/>
      <c r="P843" s="27"/>
      <c r="Q843" s="27"/>
      <c r="R843" s="27"/>
    </row>
    <row r="844">
      <c r="F844" s="27"/>
      <c r="G844" s="27"/>
      <c r="H844" s="27"/>
      <c r="J844" s="27"/>
      <c r="L844" s="27"/>
      <c r="M844" s="27"/>
      <c r="N844" s="27"/>
      <c r="O844" s="27"/>
      <c r="P844" s="27"/>
      <c r="Q844" s="27"/>
      <c r="R844" s="27"/>
    </row>
    <row r="845">
      <c r="F845" s="27"/>
      <c r="G845" s="27"/>
      <c r="H845" s="27"/>
      <c r="J845" s="27"/>
      <c r="L845" s="27"/>
      <c r="M845" s="27"/>
      <c r="N845" s="27"/>
      <c r="O845" s="27"/>
      <c r="P845" s="27"/>
      <c r="Q845" s="27"/>
      <c r="R845" s="27"/>
    </row>
    <row r="846">
      <c r="F846" s="27"/>
      <c r="G846" s="27"/>
      <c r="H846" s="27"/>
      <c r="J846" s="27"/>
      <c r="L846" s="27"/>
      <c r="M846" s="27"/>
      <c r="N846" s="27"/>
      <c r="O846" s="27"/>
      <c r="P846" s="27"/>
      <c r="Q846" s="27"/>
      <c r="R846" s="27"/>
    </row>
    <row r="847">
      <c r="F847" s="27"/>
      <c r="G847" s="27"/>
      <c r="H847" s="27"/>
      <c r="J847" s="27"/>
      <c r="L847" s="27"/>
      <c r="M847" s="27"/>
      <c r="N847" s="27"/>
      <c r="O847" s="27"/>
      <c r="P847" s="27"/>
      <c r="Q847" s="27"/>
      <c r="R847" s="27"/>
    </row>
    <row r="848">
      <c r="F848" s="27"/>
      <c r="G848" s="27"/>
      <c r="H848" s="27"/>
      <c r="J848" s="27"/>
      <c r="L848" s="27"/>
      <c r="M848" s="27"/>
      <c r="N848" s="27"/>
      <c r="O848" s="27"/>
      <c r="P848" s="27"/>
      <c r="Q848" s="27"/>
      <c r="R848" s="27"/>
    </row>
    <row r="849">
      <c r="F849" s="27"/>
      <c r="G849" s="27"/>
      <c r="H849" s="27"/>
      <c r="J849" s="27"/>
      <c r="L849" s="27"/>
      <c r="M849" s="27"/>
      <c r="N849" s="27"/>
      <c r="O849" s="27"/>
      <c r="P849" s="27"/>
      <c r="Q849" s="27"/>
      <c r="R849" s="27"/>
    </row>
    <row r="850">
      <c r="F850" s="27"/>
      <c r="G850" s="27"/>
      <c r="H850" s="27"/>
      <c r="J850" s="27"/>
      <c r="L850" s="27"/>
      <c r="M850" s="27"/>
      <c r="N850" s="27"/>
      <c r="O850" s="27"/>
      <c r="P850" s="27"/>
      <c r="Q850" s="27"/>
      <c r="R850" s="27"/>
    </row>
    <row r="851">
      <c r="F851" s="27"/>
      <c r="G851" s="27"/>
      <c r="H851" s="27"/>
      <c r="J851" s="27"/>
      <c r="L851" s="27"/>
      <c r="M851" s="27"/>
      <c r="N851" s="27"/>
      <c r="O851" s="27"/>
      <c r="P851" s="27"/>
      <c r="Q851" s="27"/>
      <c r="R851" s="27"/>
    </row>
    <row r="852">
      <c r="F852" s="27"/>
      <c r="G852" s="27"/>
      <c r="H852" s="27"/>
      <c r="J852" s="27"/>
      <c r="L852" s="27"/>
      <c r="M852" s="27"/>
      <c r="N852" s="27"/>
      <c r="O852" s="27"/>
      <c r="P852" s="27"/>
      <c r="Q852" s="27"/>
      <c r="R852" s="27"/>
    </row>
    <row r="853">
      <c r="F853" s="27"/>
      <c r="G853" s="27"/>
      <c r="H853" s="27"/>
      <c r="J853" s="27"/>
      <c r="L853" s="27"/>
      <c r="M853" s="27"/>
      <c r="N853" s="27"/>
      <c r="O853" s="27"/>
      <c r="P853" s="27"/>
      <c r="Q853" s="27"/>
      <c r="R853" s="27"/>
    </row>
    <row r="854">
      <c r="F854" s="27"/>
      <c r="G854" s="27"/>
      <c r="H854" s="27"/>
      <c r="J854" s="27"/>
      <c r="L854" s="27"/>
      <c r="M854" s="27"/>
      <c r="N854" s="27"/>
      <c r="O854" s="27"/>
      <c r="P854" s="27"/>
      <c r="Q854" s="27"/>
      <c r="R854" s="27"/>
    </row>
    <row r="855">
      <c r="F855" s="27"/>
      <c r="G855" s="27"/>
      <c r="H855" s="27"/>
      <c r="J855" s="27"/>
      <c r="L855" s="27"/>
      <c r="M855" s="27"/>
      <c r="N855" s="27"/>
      <c r="O855" s="27"/>
      <c r="P855" s="27"/>
      <c r="Q855" s="27"/>
      <c r="R855" s="27"/>
    </row>
    <row r="856">
      <c r="F856" s="27"/>
      <c r="G856" s="27"/>
      <c r="H856" s="27"/>
      <c r="J856" s="27"/>
      <c r="L856" s="27"/>
      <c r="M856" s="27"/>
      <c r="N856" s="27"/>
      <c r="O856" s="27"/>
      <c r="P856" s="27"/>
      <c r="Q856" s="27"/>
      <c r="R856" s="27"/>
    </row>
    <row r="857">
      <c r="F857" s="27"/>
      <c r="G857" s="27"/>
      <c r="H857" s="27"/>
      <c r="J857" s="27"/>
      <c r="L857" s="27"/>
      <c r="M857" s="27"/>
      <c r="N857" s="27"/>
      <c r="O857" s="27"/>
      <c r="P857" s="27"/>
      <c r="Q857" s="27"/>
      <c r="R857" s="27"/>
    </row>
    <row r="858">
      <c r="F858" s="27"/>
      <c r="G858" s="27"/>
      <c r="H858" s="27"/>
      <c r="J858" s="27"/>
      <c r="L858" s="27"/>
      <c r="M858" s="27"/>
      <c r="N858" s="27"/>
      <c r="O858" s="27"/>
      <c r="P858" s="27"/>
      <c r="Q858" s="27"/>
      <c r="R858" s="27"/>
    </row>
    <row r="859">
      <c r="F859" s="27"/>
      <c r="G859" s="27"/>
      <c r="H859" s="27"/>
      <c r="J859" s="27"/>
      <c r="L859" s="27"/>
      <c r="M859" s="27"/>
      <c r="N859" s="27"/>
      <c r="O859" s="27"/>
      <c r="P859" s="27"/>
      <c r="Q859" s="27"/>
      <c r="R859" s="27"/>
    </row>
    <row r="860">
      <c r="F860" s="27"/>
      <c r="G860" s="27"/>
      <c r="H860" s="27"/>
      <c r="J860" s="27"/>
      <c r="L860" s="27"/>
      <c r="M860" s="27"/>
      <c r="N860" s="27"/>
      <c r="O860" s="27"/>
      <c r="P860" s="27"/>
      <c r="Q860" s="27"/>
      <c r="R860" s="27"/>
    </row>
    <row r="861">
      <c r="F861" s="27"/>
      <c r="G861" s="27"/>
      <c r="H861" s="27"/>
      <c r="J861" s="27"/>
      <c r="L861" s="27"/>
      <c r="M861" s="27"/>
      <c r="N861" s="27"/>
      <c r="O861" s="27"/>
      <c r="P861" s="27"/>
      <c r="Q861" s="27"/>
      <c r="R861" s="27"/>
    </row>
    <row r="862">
      <c r="F862" s="27"/>
      <c r="G862" s="27"/>
      <c r="H862" s="27"/>
      <c r="J862" s="27"/>
      <c r="L862" s="27"/>
      <c r="M862" s="27"/>
      <c r="N862" s="27"/>
      <c r="O862" s="27"/>
      <c r="P862" s="27"/>
      <c r="Q862" s="27"/>
      <c r="R862" s="27"/>
    </row>
    <row r="863">
      <c r="F863" s="27"/>
      <c r="G863" s="27"/>
      <c r="H863" s="27"/>
      <c r="J863" s="27"/>
      <c r="L863" s="27"/>
      <c r="M863" s="27"/>
      <c r="N863" s="27"/>
      <c r="O863" s="27"/>
      <c r="P863" s="27"/>
      <c r="Q863" s="27"/>
      <c r="R863" s="27"/>
    </row>
    <row r="864">
      <c r="F864" s="27"/>
      <c r="G864" s="27"/>
      <c r="H864" s="27"/>
      <c r="J864" s="27"/>
      <c r="L864" s="27"/>
      <c r="M864" s="27"/>
      <c r="N864" s="27"/>
      <c r="O864" s="27"/>
      <c r="P864" s="27"/>
      <c r="Q864" s="27"/>
      <c r="R864" s="27"/>
    </row>
    <row r="865">
      <c r="F865" s="27"/>
      <c r="G865" s="27"/>
      <c r="H865" s="27"/>
      <c r="J865" s="27"/>
      <c r="L865" s="27"/>
      <c r="M865" s="27"/>
      <c r="N865" s="27"/>
      <c r="O865" s="27"/>
      <c r="P865" s="27"/>
      <c r="Q865" s="27"/>
      <c r="R865" s="27"/>
    </row>
    <row r="866">
      <c r="F866" s="27"/>
      <c r="G866" s="27"/>
      <c r="H866" s="27"/>
      <c r="J866" s="27"/>
      <c r="L866" s="27"/>
      <c r="M866" s="27"/>
      <c r="N866" s="27"/>
      <c r="O866" s="27"/>
      <c r="P866" s="27"/>
      <c r="Q866" s="27"/>
      <c r="R866" s="27"/>
    </row>
    <row r="867">
      <c r="F867" s="27"/>
      <c r="G867" s="27"/>
      <c r="H867" s="27"/>
      <c r="J867" s="27"/>
      <c r="L867" s="27"/>
      <c r="M867" s="27"/>
      <c r="N867" s="27"/>
      <c r="O867" s="27"/>
      <c r="P867" s="27"/>
      <c r="Q867" s="27"/>
      <c r="R867" s="27"/>
    </row>
    <row r="868">
      <c r="F868" s="27"/>
      <c r="G868" s="27"/>
      <c r="H868" s="27"/>
      <c r="J868" s="27"/>
      <c r="L868" s="27"/>
      <c r="M868" s="27"/>
      <c r="N868" s="27"/>
      <c r="O868" s="27"/>
      <c r="P868" s="27"/>
      <c r="Q868" s="27"/>
      <c r="R868" s="27"/>
    </row>
    <row r="869">
      <c r="F869" s="27"/>
      <c r="G869" s="27"/>
      <c r="H869" s="27"/>
      <c r="J869" s="27"/>
      <c r="L869" s="27"/>
      <c r="M869" s="27"/>
      <c r="N869" s="27"/>
      <c r="O869" s="27"/>
      <c r="P869" s="27"/>
      <c r="Q869" s="27"/>
      <c r="R869" s="27"/>
    </row>
    <row r="870">
      <c r="F870" s="27"/>
      <c r="G870" s="27"/>
      <c r="H870" s="27"/>
      <c r="J870" s="27"/>
      <c r="L870" s="27"/>
      <c r="M870" s="27"/>
      <c r="N870" s="27"/>
      <c r="O870" s="27"/>
      <c r="P870" s="27"/>
      <c r="Q870" s="27"/>
      <c r="R870" s="27"/>
    </row>
    <row r="871">
      <c r="F871" s="27"/>
      <c r="G871" s="27"/>
      <c r="H871" s="27"/>
      <c r="J871" s="27"/>
      <c r="L871" s="27"/>
      <c r="M871" s="27"/>
      <c r="N871" s="27"/>
      <c r="O871" s="27"/>
      <c r="P871" s="27"/>
      <c r="Q871" s="27"/>
      <c r="R871" s="27"/>
    </row>
    <row r="872">
      <c r="F872" s="27"/>
      <c r="G872" s="27"/>
      <c r="H872" s="27"/>
      <c r="J872" s="27"/>
      <c r="L872" s="27"/>
      <c r="M872" s="27"/>
      <c r="N872" s="27"/>
      <c r="O872" s="27"/>
      <c r="P872" s="27"/>
      <c r="Q872" s="27"/>
      <c r="R872" s="27"/>
    </row>
    <row r="873">
      <c r="F873" s="27"/>
      <c r="G873" s="27"/>
      <c r="H873" s="27"/>
      <c r="J873" s="27"/>
      <c r="L873" s="27"/>
      <c r="M873" s="27"/>
      <c r="N873" s="27"/>
      <c r="O873" s="27"/>
      <c r="P873" s="27"/>
      <c r="Q873" s="27"/>
      <c r="R873" s="27"/>
    </row>
    <row r="874">
      <c r="F874" s="27"/>
      <c r="G874" s="27"/>
      <c r="H874" s="27"/>
      <c r="J874" s="27"/>
      <c r="L874" s="27"/>
      <c r="M874" s="27"/>
      <c r="N874" s="27"/>
      <c r="O874" s="27"/>
      <c r="P874" s="27"/>
      <c r="Q874" s="27"/>
      <c r="R874" s="27"/>
    </row>
    <row r="875">
      <c r="F875" s="27"/>
      <c r="G875" s="27"/>
      <c r="H875" s="27"/>
      <c r="J875" s="27"/>
      <c r="L875" s="27"/>
      <c r="M875" s="27"/>
      <c r="N875" s="27"/>
      <c r="O875" s="27"/>
      <c r="P875" s="27"/>
      <c r="Q875" s="27"/>
      <c r="R875" s="27"/>
    </row>
    <row r="876">
      <c r="F876" s="27"/>
      <c r="G876" s="27"/>
      <c r="H876" s="27"/>
      <c r="J876" s="27"/>
      <c r="L876" s="27"/>
      <c r="M876" s="27"/>
      <c r="N876" s="27"/>
      <c r="O876" s="27"/>
      <c r="P876" s="27"/>
      <c r="Q876" s="27"/>
      <c r="R876" s="27"/>
    </row>
    <row r="877">
      <c r="F877" s="27"/>
      <c r="G877" s="27"/>
      <c r="H877" s="27"/>
      <c r="J877" s="27"/>
      <c r="L877" s="27"/>
      <c r="M877" s="27"/>
      <c r="N877" s="27"/>
      <c r="O877" s="27"/>
      <c r="P877" s="27"/>
      <c r="Q877" s="27"/>
      <c r="R877" s="27"/>
    </row>
    <row r="878">
      <c r="F878" s="27"/>
      <c r="G878" s="27"/>
      <c r="H878" s="27"/>
      <c r="J878" s="27"/>
      <c r="L878" s="27"/>
      <c r="M878" s="27"/>
      <c r="N878" s="27"/>
      <c r="O878" s="27"/>
      <c r="P878" s="27"/>
      <c r="Q878" s="27"/>
      <c r="R878" s="27"/>
    </row>
    <row r="879">
      <c r="F879" s="27"/>
      <c r="G879" s="27"/>
      <c r="H879" s="27"/>
      <c r="J879" s="27"/>
      <c r="L879" s="27"/>
      <c r="M879" s="27"/>
      <c r="N879" s="27"/>
      <c r="O879" s="27"/>
      <c r="P879" s="27"/>
      <c r="Q879" s="27"/>
      <c r="R879" s="27"/>
    </row>
    <row r="880">
      <c r="F880" s="27"/>
      <c r="G880" s="27"/>
      <c r="H880" s="27"/>
      <c r="J880" s="27"/>
      <c r="L880" s="27"/>
      <c r="M880" s="27"/>
      <c r="N880" s="27"/>
      <c r="O880" s="27"/>
      <c r="P880" s="27"/>
      <c r="Q880" s="27"/>
      <c r="R880" s="27"/>
    </row>
    <row r="881">
      <c r="F881" s="27"/>
      <c r="G881" s="27"/>
      <c r="H881" s="27"/>
      <c r="J881" s="27"/>
      <c r="L881" s="27"/>
      <c r="M881" s="27"/>
      <c r="N881" s="27"/>
      <c r="O881" s="27"/>
      <c r="P881" s="27"/>
      <c r="Q881" s="27"/>
      <c r="R881" s="27"/>
    </row>
    <row r="882">
      <c r="F882" s="27"/>
      <c r="G882" s="27"/>
      <c r="H882" s="27"/>
      <c r="J882" s="27"/>
      <c r="L882" s="27"/>
      <c r="M882" s="27"/>
      <c r="N882" s="27"/>
      <c r="O882" s="27"/>
      <c r="P882" s="27"/>
      <c r="Q882" s="27"/>
      <c r="R882" s="27"/>
    </row>
    <row r="883">
      <c r="F883" s="27"/>
      <c r="G883" s="27"/>
      <c r="H883" s="27"/>
      <c r="J883" s="27"/>
      <c r="L883" s="27"/>
      <c r="M883" s="27"/>
      <c r="N883" s="27"/>
      <c r="O883" s="27"/>
      <c r="P883" s="27"/>
      <c r="Q883" s="27"/>
      <c r="R883" s="27"/>
    </row>
    <row r="884">
      <c r="F884" s="27"/>
      <c r="G884" s="27"/>
      <c r="H884" s="27"/>
      <c r="J884" s="27"/>
      <c r="L884" s="27"/>
      <c r="M884" s="27"/>
      <c r="N884" s="27"/>
      <c r="O884" s="27"/>
      <c r="P884" s="27"/>
      <c r="Q884" s="27"/>
      <c r="R884" s="27"/>
    </row>
    <row r="885">
      <c r="F885" s="27"/>
      <c r="G885" s="27"/>
      <c r="H885" s="27"/>
      <c r="J885" s="27"/>
      <c r="L885" s="27"/>
      <c r="M885" s="27"/>
      <c r="N885" s="27"/>
      <c r="O885" s="27"/>
      <c r="P885" s="27"/>
      <c r="Q885" s="27"/>
      <c r="R885" s="27"/>
    </row>
    <row r="886">
      <c r="F886" s="27"/>
      <c r="G886" s="27"/>
      <c r="H886" s="27"/>
      <c r="J886" s="27"/>
      <c r="L886" s="27"/>
      <c r="M886" s="27"/>
      <c r="N886" s="27"/>
      <c r="O886" s="27"/>
      <c r="P886" s="27"/>
      <c r="Q886" s="27"/>
      <c r="R886" s="27"/>
    </row>
    <row r="887">
      <c r="F887" s="27"/>
      <c r="G887" s="27"/>
      <c r="H887" s="27"/>
      <c r="J887" s="27"/>
      <c r="L887" s="27"/>
      <c r="M887" s="27"/>
      <c r="N887" s="27"/>
      <c r="O887" s="27"/>
      <c r="P887" s="27"/>
      <c r="Q887" s="27"/>
      <c r="R887" s="27"/>
    </row>
    <row r="888">
      <c r="F888" s="27"/>
      <c r="G888" s="27"/>
      <c r="H888" s="27"/>
      <c r="J888" s="27"/>
      <c r="L888" s="27"/>
      <c r="M888" s="27"/>
      <c r="N888" s="27"/>
      <c r="O888" s="27"/>
      <c r="P888" s="27"/>
      <c r="Q888" s="27"/>
      <c r="R888" s="27"/>
    </row>
    <row r="889">
      <c r="F889" s="27"/>
      <c r="G889" s="27"/>
      <c r="H889" s="27"/>
      <c r="J889" s="27"/>
      <c r="L889" s="27"/>
      <c r="M889" s="27"/>
      <c r="N889" s="27"/>
      <c r="O889" s="27"/>
      <c r="P889" s="27"/>
      <c r="Q889" s="27"/>
      <c r="R889" s="27"/>
    </row>
    <row r="890">
      <c r="F890" s="27"/>
      <c r="G890" s="27"/>
      <c r="H890" s="27"/>
      <c r="J890" s="27"/>
      <c r="L890" s="27"/>
      <c r="M890" s="27"/>
      <c r="N890" s="27"/>
      <c r="O890" s="27"/>
      <c r="P890" s="27"/>
      <c r="Q890" s="27"/>
      <c r="R890" s="27"/>
    </row>
    <row r="891">
      <c r="F891" s="27"/>
      <c r="G891" s="27"/>
      <c r="H891" s="27"/>
      <c r="J891" s="27"/>
      <c r="L891" s="27"/>
      <c r="M891" s="27"/>
      <c r="N891" s="27"/>
      <c r="O891" s="27"/>
      <c r="P891" s="27"/>
      <c r="Q891" s="27"/>
      <c r="R891" s="27"/>
    </row>
    <row r="892">
      <c r="F892" s="27"/>
      <c r="G892" s="27"/>
      <c r="H892" s="27"/>
      <c r="J892" s="27"/>
      <c r="L892" s="27"/>
      <c r="M892" s="27"/>
      <c r="N892" s="27"/>
      <c r="O892" s="27"/>
      <c r="P892" s="27"/>
      <c r="Q892" s="27"/>
      <c r="R892" s="27"/>
    </row>
    <row r="893">
      <c r="F893" s="27"/>
      <c r="G893" s="27"/>
      <c r="H893" s="27"/>
      <c r="J893" s="27"/>
      <c r="L893" s="27"/>
      <c r="M893" s="27"/>
      <c r="N893" s="27"/>
      <c r="O893" s="27"/>
      <c r="P893" s="27"/>
      <c r="Q893" s="27"/>
      <c r="R893" s="27"/>
    </row>
    <row r="894">
      <c r="F894" s="27"/>
      <c r="G894" s="27"/>
      <c r="H894" s="27"/>
      <c r="J894" s="27"/>
      <c r="L894" s="27"/>
      <c r="M894" s="27"/>
      <c r="N894" s="27"/>
      <c r="O894" s="27"/>
      <c r="P894" s="27"/>
      <c r="Q894" s="27"/>
      <c r="R894" s="27"/>
    </row>
    <row r="895">
      <c r="F895" s="27"/>
      <c r="G895" s="27"/>
      <c r="H895" s="27"/>
      <c r="J895" s="27"/>
      <c r="L895" s="27"/>
      <c r="M895" s="27"/>
      <c r="N895" s="27"/>
      <c r="O895" s="27"/>
      <c r="P895" s="27"/>
      <c r="Q895" s="27"/>
      <c r="R895" s="27"/>
    </row>
    <row r="896">
      <c r="F896" s="27"/>
      <c r="G896" s="27"/>
      <c r="H896" s="27"/>
      <c r="J896" s="27"/>
      <c r="L896" s="27"/>
      <c r="M896" s="27"/>
      <c r="N896" s="27"/>
      <c r="O896" s="27"/>
      <c r="P896" s="27"/>
      <c r="Q896" s="27"/>
      <c r="R896" s="27"/>
    </row>
    <row r="897">
      <c r="F897" s="27"/>
      <c r="G897" s="27"/>
      <c r="H897" s="27"/>
      <c r="J897" s="27"/>
      <c r="L897" s="27"/>
      <c r="M897" s="27"/>
      <c r="N897" s="27"/>
      <c r="O897" s="27"/>
      <c r="P897" s="27"/>
      <c r="Q897" s="27"/>
      <c r="R897" s="27"/>
    </row>
    <row r="898">
      <c r="F898" s="27"/>
      <c r="G898" s="27"/>
      <c r="H898" s="27"/>
      <c r="J898" s="27"/>
      <c r="L898" s="27"/>
      <c r="M898" s="27"/>
      <c r="N898" s="27"/>
      <c r="O898" s="27"/>
      <c r="P898" s="27"/>
      <c r="Q898" s="27"/>
      <c r="R898" s="27"/>
    </row>
    <row r="899">
      <c r="F899" s="27"/>
      <c r="G899" s="27"/>
      <c r="H899" s="27"/>
      <c r="J899" s="27"/>
      <c r="L899" s="27"/>
      <c r="M899" s="27"/>
      <c r="N899" s="27"/>
      <c r="O899" s="27"/>
      <c r="P899" s="27"/>
      <c r="Q899" s="27"/>
      <c r="R899" s="27"/>
    </row>
    <row r="900">
      <c r="F900" s="27"/>
      <c r="G900" s="27"/>
      <c r="H900" s="27"/>
      <c r="J900" s="27"/>
      <c r="L900" s="27"/>
      <c r="M900" s="27"/>
      <c r="N900" s="27"/>
      <c r="O900" s="27"/>
      <c r="P900" s="27"/>
      <c r="Q900" s="27"/>
      <c r="R900" s="27"/>
    </row>
    <row r="901">
      <c r="F901" s="27"/>
      <c r="G901" s="27"/>
      <c r="H901" s="27"/>
      <c r="J901" s="27"/>
      <c r="L901" s="27"/>
      <c r="M901" s="27"/>
      <c r="N901" s="27"/>
      <c r="O901" s="27"/>
      <c r="P901" s="27"/>
      <c r="Q901" s="27"/>
      <c r="R901" s="27"/>
    </row>
    <row r="902">
      <c r="F902" s="27"/>
      <c r="G902" s="27"/>
      <c r="H902" s="27"/>
      <c r="J902" s="27"/>
      <c r="L902" s="27"/>
      <c r="M902" s="27"/>
      <c r="N902" s="27"/>
      <c r="O902" s="27"/>
      <c r="P902" s="27"/>
      <c r="Q902" s="27"/>
      <c r="R902" s="27"/>
    </row>
    <row r="903">
      <c r="F903" s="27"/>
      <c r="G903" s="27"/>
      <c r="H903" s="27"/>
      <c r="J903" s="27"/>
      <c r="L903" s="27"/>
      <c r="M903" s="27"/>
      <c r="N903" s="27"/>
      <c r="O903" s="27"/>
      <c r="P903" s="27"/>
      <c r="Q903" s="27"/>
      <c r="R903" s="27"/>
    </row>
    <row r="904">
      <c r="F904" s="27"/>
      <c r="G904" s="27"/>
      <c r="H904" s="27"/>
      <c r="J904" s="27"/>
      <c r="L904" s="27"/>
      <c r="M904" s="27"/>
      <c r="N904" s="27"/>
      <c r="O904" s="27"/>
      <c r="P904" s="27"/>
      <c r="Q904" s="27"/>
      <c r="R904" s="27"/>
    </row>
    <row r="905">
      <c r="F905" s="27"/>
      <c r="G905" s="27"/>
      <c r="H905" s="27"/>
      <c r="J905" s="27"/>
      <c r="L905" s="27"/>
      <c r="M905" s="27"/>
      <c r="N905" s="27"/>
      <c r="O905" s="27"/>
      <c r="P905" s="27"/>
      <c r="Q905" s="27"/>
      <c r="R905" s="27"/>
    </row>
    <row r="906">
      <c r="F906" s="27"/>
      <c r="G906" s="27"/>
      <c r="H906" s="27"/>
      <c r="J906" s="27"/>
      <c r="L906" s="27"/>
      <c r="M906" s="27"/>
      <c r="N906" s="27"/>
      <c r="O906" s="27"/>
      <c r="P906" s="27"/>
      <c r="Q906" s="27"/>
      <c r="R906" s="27"/>
    </row>
    <row r="907">
      <c r="F907" s="27"/>
      <c r="G907" s="27"/>
      <c r="H907" s="27"/>
      <c r="J907" s="27"/>
      <c r="L907" s="27"/>
      <c r="M907" s="27"/>
      <c r="N907" s="27"/>
      <c r="O907" s="27"/>
      <c r="P907" s="27"/>
      <c r="Q907" s="27"/>
      <c r="R907" s="27"/>
    </row>
    <row r="908">
      <c r="F908" s="27"/>
      <c r="G908" s="27"/>
      <c r="H908" s="27"/>
      <c r="J908" s="27"/>
      <c r="L908" s="27"/>
      <c r="M908" s="27"/>
      <c r="N908" s="27"/>
      <c r="O908" s="27"/>
      <c r="P908" s="27"/>
      <c r="Q908" s="27"/>
      <c r="R908" s="27"/>
    </row>
    <row r="909">
      <c r="F909" s="27"/>
      <c r="G909" s="27"/>
      <c r="H909" s="27"/>
      <c r="J909" s="27"/>
      <c r="L909" s="27"/>
      <c r="M909" s="27"/>
      <c r="N909" s="27"/>
      <c r="O909" s="27"/>
      <c r="P909" s="27"/>
      <c r="Q909" s="27"/>
      <c r="R909" s="27"/>
    </row>
    <row r="910">
      <c r="F910" s="27"/>
      <c r="G910" s="27"/>
      <c r="H910" s="27"/>
      <c r="J910" s="27"/>
      <c r="L910" s="27"/>
      <c r="M910" s="27"/>
      <c r="N910" s="27"/>
      <c r="O910" s="27"/>
      <c r="P910" s="27"/>
      <c r="Q910" s="27"/>
      <c r="R910" s="27"/>
    </row>
    <row r="911">
      <c r="F911" s="27"/>
      <c r="G911" s="27"/>
      <c r="H911" s="27"/>
      <c r="J911" s="27"/>
      <c r="L911" s="27"/>
      <c r="M911" s="27"/>
      <c r="N911" s="27"/>
      <c r="O911" s="27"/>
      <c r="P911" s="27"/>
      <c r="Q911" s="27"/>
      <c r="R911" s="27"/>
    </row>
    <row r="912">
      <c r="F912" s="27"/>
      <c r="G912" s="27"/>
      <c r="H912" s="27"/>
      <c r="J912" s="27"/>
      <c r="L912" s="27"/>
      <c r="M912" s="27"/>
      <c r="N912" s="27"/>
      <c r="O912" s="27"/>
      <c r="P912" s="27"/>
      <c r="Q912" s="27"/>
      <c r="R912" s="27"/>
    </row>
    <row r="913">
      <c r="F913" s="27"/>
      <c r="G913" s="27"/>
      <c r="H913" s="27"/>
      <c r="J913" s="27"/>
      <c r="L913" s="27"/>
      <c r="M913" s="27"/>
      <c r="N913" s="27"/>
      <c r="O913" s="27"/>
      <c r="P913" s="27"/>
      <c r="Q913" s="27"/>
      <c r="R913" s="27"/>
    </row>
    <row r="914">
      <c r="F914" s="27"/>
      <c r="G914" s="27"/>
      <c r="H914" s="27"/>
      <c r="J914" s="27"/>
      <c r="L914" s="27"/>
      <c r="M914" s="27"/>
      <c r="N914" s="27"/>
      <c r="O914" s="27"/>
      <c r="P914" s="27"/>
      <c r="Q914" s="27"/>
      <c r="R914" s="27"/>
    </row>
    <row r="915">
      <c r="F915" s="27"/>
      <c r="G915" s="27"/>
      <c r="H915" s="27"/>
      <c r="J915" s="27"/>
      <c r="L915" s="27"/>
      <c r="M915" s="27"/>
      <c r="N915" s="27"/>
      <c r="O915" s="27"/>
      <c r="P915" s="27"/>
      <c r="Q915" s="27"/>
      <c r="R915" s="27"/>
    </row>
    <row r="916">
      <c r="F916" s="27"/>
      <c r="G916" s="27"/>
      <c r="H916" s="27"/>
      <c r="J916" s="27"/>
      <c r="L916" s="27"/>
      <c r="M916" s="27"/>
      <c r="N916" s="27"/>
      <c r="O916" s="27"/>
      <c r="P916" s="27"/>
      <c r="Q916" s="27"/>
      <c r="R916" s="27"/>
    </row>
    <row r="917">
      <c r="F917" s="27"/>
      <c r="G917" s="27"/>
      <c r="H917" s="27"/>
      <c r="J917" s="27"/>
      <c r="L917" s="27"/>
      <c r="M917" s="27"/>
      <c r="N917" s="27"/>
      <c r="O917" s="27"/>
      <c r="P917" s="27"/>
      <c r="Q917" s="27"/>
      <c r="R917" s="27"/>
    </row>
    <row r="918">
      <c r="F918" s="27"/>
      <c r="G918" s="27"/>
      <c r="H918" s="27"/>
      <c r="J918" s="27"/>
      <c r="L918" s="27"/>
      <c r="M918" s="27"/>
      <c r="N918" s="27"/>
      <c r="O918" s="27"/>
      <c r="P918" s="27"/>
      <c r="Q918" s="27"/>
      <c r="R918" s="27"/>
    </row>
    <row r="919">
      <c r="F919" s="27"/>
      <c r="G919" s="27"/>
      <c r="H919" s="27"/>
      <c r="J919" s="27"/>
      <c r="L919" s="27"/>
      <c r="M919" s="27"/>
      <c r="N919" s="27"/>
      <c r="O919" s="27"/>
      <c r="P919" s="27"/>
      <c r="Q919" s="27"/>
      <c r="R919" s="27"/>
    </row>
    <row r="920">
      <c r="F920" s="27"/>
      <c r="G920" s="27"/>
      <c r="H920" s="27"/>
      <c r="J920" s="27"/>
      <c r="L920" s="27"/>
      <c r="M920" s="27"/>
      <c r="N920" s="27"/>
      <c r="O920" s="27"/>
      <c r="P920" s="27"/>
      <c r="Q920" s="27"/>
      <c r="R920" s="27"/>
    </row>
    <row r="921">
      <c r="F921" s="27"/>
      <c r="G921" s="27"/>
      <c r="H921" s="27"/>
      <c r="J921" s="27"/>
      <c r="L921" s="27"/>
      <c r="M921" s="27"/>
      <c r="N921" s="27"/>
      <c r="O921" s="27"/>
      <c r="P921" s="27"/>
      <c r="Q921" s="27"/>
      <c r="R921" s="27"/>
    </row>
    <row r="922">
      <c r="F922" s="27"/>
      <c r="G922" s="27"/>
      <c r="H922" s="27"/>
      <c r="J922" s="27"/>
      <c r="L922" s="27"/>
      <c r="M922" s="27"/>
      <c r="N922" s="27"/>
      <c r="O922" s="27"/>
      <c r="P922" s="27"/>
      <c r="Q922" s="27"/>
      <c r="R922" s="27"/>
    </row>
    <row r="923">
      <c r="F923" s="27"/>
      <c r="G923" s="27"/>
      <c r="H923" s="27"/>
      <c r="J923" s="27"/>
      <c r="L923" s="27"/>
      <c r="M923" s="27"/>
      <c r="N923" s="27"/>
      <c r="O923" s="27"/>
      <c r="P923" s="27"/>
      <c r="Q923" s="27"/>
      <c r="R923" s="27"/>
    </row>
    <row r="924">
      <c r="F924" s="27"/>
      <c r="G924" s="27"/>
      <c r="H924" s="27"/>
      <c r="J924" s="27"/>
      <c r="L924" s="27"/>
      <c r="M924" s="27"/>
      <c r="N924" s="27"/>
      <c r="O924" s="27"/>
      <c r="P924" s="27"/>
      <c r="Q924" s="27"/>
      <c r="R924" s="27"/>
    </row>
    <row r="925">
      <c r="F925" s="27"/>
      <c r="G925" s="27"/>
      <c r="H925" s="27"/>
      <c r="J925" s="27"/>
      <c r="L925" s="27"/>
      <c r="M925" s="27"/>
      <c r="N925" s="27"/>
      <c r="O925" s="27"/>
      <c r="P925" s="27"/>
      <c r="Q925" s="27"/>
      <c r="R925" s="27"/>
    </row>
    <row r="926">
      <c r="F926" s="27"/>
      <c r="G926" s="27"/>
      <c r="H926" s="27"/>
      <c r="J926" s="27"/>
      <c r="L926" s="27"/>
      <c r="M926" s="27"/>
      <c r="N926" s="27"/>
      <c r="O926" s="27"/>
      <c r="P926" s="27"/>
      <c r="Q926" s="27"/>
      <c r="R926" s="27"/>
    </row>
    <row r="927">
      <c r="F927" s="27"/>
      <c r="G927" s="27"/>
      <c r="H927" s="27"/>
      <c r="J927" s="27"/>
      <c r="L927" s="27"/>
      <c r="M927" s="27"/>
      <c r="N927" s="27"/>
      <c r="O927" s="27"/>
      <c r="P927" s="27"/>
      <c r="Q927" s="27"/>
      <c r="R927" s="27"/>
    </row>
    <row r="928">
      <c r="F928" s="27"/>
      <c r="G928" s="27"/>
      <c r="H928" s="27"/>
      <c r="J928" s="27"/>
      <c r="L928" s="27"/>
      <c r="M928" s="27"/>
      <c r="N928" s="27"/>
      <c r="O928" s="27"/>
      <c r="P928" s="27"/>
      <c r="Q928" s="27"/>
      <c r="R928" s="27"/>
    </row>
    <row r="929">
      <c r="F929" s="27"/>
      <c r="G929" s="27"/>
      <c r="H929" s="27"/>
      <c r="J929" s="27"/>
      <c r="L929" s="27"/>
      <c r="M929" s="27"/>
      <c r="N929" s="27"/>
      <c r="O929" s="27"/>
      <c r="P929" s="27"/>
      <c r="Q929" s="27"/>
      <c r="R929" s="27"/>
    </row>
    <row r="930">
      <c r="F930" s="27"/>
      <c r="G930" s="27"/>
      <c r="H930" s="27"/>
      <c r="J930" s="27"/>
      <c r="L930" s="27"/>
      <c r="M930" s="27"/>
      <c r="N930" s="27"/>
      <c r="O930" s="27"/>
      <c r="P930" s="27"/>
      <c r="Q930" s="27"/>
      <c r="R930" s="27"/>
    </row>
    <row r="931">
      <c r="F931" s="27"/>
      <c r="G931" s="27"/>
      <c r="H931" s="27"/>
      <c r="J931" s="27"/>
      <c r="L931" s="27"/>
      <c r="M931" s="27"/>
      <c r="N931" s="27"/>
      <c r="O931" s="27"/>
      <c r="P931" s="27"/>
      <c r="Q931" s="27"/>
      <c r="R931" s="27"/>
    </row>
    <row r="932">
      <c r="F932" s="27"/>
      <c r="G932" s="27"/>
      <c r="H932" s="27"/>
      <c r="J932" s="27"/>
      <c r="L932" s="27"/>
      <c r="M932" s="27"/>
      <c r="N932" s="27"/>
      <c r="O932" s="27"/>
      <c r="P932" s="27"/>
      <c r="Q932" s="27"/>
      <c r="R932" s="27"/>
    </row>
    <row r="933">
      <c r="F933" s="27"/>
      <c r="G933" s="27"/>
      <c r="H933" s="27"/>
      <c r="J933" s="27"/>
      <c r="L933" s="27"/>
      <c r="M933" s="27"/>
      <c r="N933" s="27"/>
      <c r="O933" s="27"/>
      <c r="P933" s="27"/>
      <c r="Q933" s="27"/>
      <c r="R933" s="27"/>
    </row>
    <row r="934">
      <c r="F934" s="27"/>
      <c r="G934" s="27"/>
      <c r="H934" s="27"/>
      <c r="J934" s="27"/>
      <c r="L934" s="27"/>
      <c r="M934" s="27"/>
      <c r="N934" s="27"/>
      <c r="O934" s="27"/>
      <c r="P934" s="27"/>
      <c r="Q934" s="27"/>
      <c r="R934" s="27"/>
    </row>
    <row r="935">
      <c r="F935" s="27"/>
      <c r="G935" s="27"/>
      <c r="H935" s="27"/>
      <c r="J935" s="27"/>
      <c r="L935" s="27"/>
      <c r="M935" s="27"/>
      <c r="N935" s="27"/>
      <c r="O935" s="27"/>
      <c r="P935" s="27"/>
      <c r="Q935" s="27"/>
      <c r="R935" s="27"/>
    </row>
    <row r="936">
      <c r="F936" s="27"/>
      <c r="G936" s="27"/>
      <c r="H936" s="27"/>
      <c r="J936" s="27"/>
      <c r="L936" s="27"/>
      <c r="M936" s="27"/>
      <c r="N936" s="27"/>
      <c r="O936" s="27"/>
      <c r="P936" s="27"/>
      <c r="Q936" s="27"/>
      <c r="R936" s="27"/>
    </row>
    <row r="937">
      <c r="F937" s="27"/>
      <c r="G937" s="27"/>
      <c r="H937" s="27"/>
      <c r="J937" s="27"/>
      <c r="L937" s="27"/>
      <c r="M937" s="27"/>
      <c r="N937" s="27"/>
      <c r="O937" s="27"/>
      <c r="P937" s="27"/>
      <c r="Q937" s="27"/>
      <c r="R937" s="27"/>
    </row>
    <row r="938">
      <c r="F938" s="27"/>
      <c r="G938" s="27"/>
      <c r="H938" s="27"/>
      <c r="J938" s="27"/>
      <c r="L938" s="27"/>
      <c r="M938" s="27"/>
      <c r="N938" s="27"/>
      <c r="O938" s="27"/>
      <c r="P938" s="27"/>
      <c r="Q938" s="27"/>
      <c r="R938" s="27"/>
    </row>
    <row r="939">
      <c r="F939" s="27"/>
      <c r="G939" s="27"/>
      <c r="H939" s="27"/>
      <c r="J939" s="27"/>
      <c r="L939" s="27"/>
      <c r="M939" s="27"/>
      <c r="N939" s="27"/>
      <c r="O939" s="27"/>
      <c r="P939" s="27"/>
      <c r="Q939" s="27"/>
      <c r="R939" s="27"/>
    </row>
    <row r="940">
      <c r="F940" s="27"/>
      <c r="G940" s="27"/>
      <c r="H940" s="27"/>
      <c r="J940" s="27"/>
      <c r="L940" s="27"/>
      <c r="M940" s="27"/>
      <c r="N940" s="27"/>
      <c r="O940" s="27"/>
      <c r="P940" s="27"/>
      <c r="Q940" s="27"/>
      <c r="R940" s="27"/>
    </row>
    <row r="941">
      <c r="F941" s="27"/>
      <c r="G941" s="27"/>
      <c r="H941" s="27"/>
      <c r="J941" s="27"/>
      <c r="L941" s="27"/>
      <c r="M941" s="27"/>
      <c r="N941" s="27"/>
      <c r="O941" s="27"/>
      <c r="P941" s="27"/>
      <c r="Q941" s="27"/>
      <c r="R941" s="27"/>
    </row>
    <row r="942">
      <c r="F942" s="27"/>
      <c r="G942" s="27"/>
      <c r="H942" s="27"/>
      <c r="J942" s="27"/>
      <c r="L942" s="27"/>
      <c r="M942" s="27"/>
      <c r="N942" s="27"/>
      <c r="O942" s="27"/>
      <c r="P942" s="27"/>
      <c r="Q942" s="27"/>
      <c r="R942" s="27"/>
    </row>
    <row r="943">
      <c r="F943" s="27"/>
      <c r="G943" s="27"/>
      <c r="H943" s="27"/>
      <c r="J943" s="27"/>
      <c r="L943" s="27"/>
      <c r="M943" s="27"/>
      <c r="N943" s="27"/>
      <c r="O943" s="27"/>
      <c r="P943" s="27"/>
      <c r="Q943" s="27"/>
      <c r="R943" s="27"/>
    </row>
    <row r="944">
      <c r="F944" s="27"/>
      <c r="G944" s="27"/>
      <c r="H944" s="27"/>
      <c r="J944" s="27"/>
      <c r="L944" s="27"/>
      <c r="M944" s="27"/>
      <c r="N944" s="27"/>
      <c r="O944" s="27"/>
      <c r="P944" s="27"/>
      <c r="Q944" s="27"/>
      <c r="R944" s="27"/>
    </row>
    <row r="945">
      <c r="F945" s="27"/>
      <c r="G945" s="27"/>
      <c r="H945" s="27"/>
      <c r="J945" s="27"/>
      <c r="L945" s="27"/>
      <c r="M945" s="27"/>
      <c r="N945" s="27"/>
      <c r="O945" s="27"/>
      <c r="P945" s="27"/>
      <c r="Q945" s="27"/>
      <c r="R945" s="27"/>
    </row>
    <row r="946">
      <c r="F946" s="27"/>
      <c r="G946" s="27"/>
      <c r="H946" s="27"/>
      <c r="J946" s="27"/>
      <c r="L946" s="27"/>
      <c r="M946" s="27"/>
      <c r="N946" s="27"/>
      <c r="O946" s="27"/>
      <c r="P946" s="27"/>
      <c r="Q946" s="27"/>
      <c r="R946" s="27"/>
    </row>
    <row r="947">
      <c r="F947" s="27"/>
      <c r="G947" s="27"/>
      <c r="H947" s="27"/>
      <c r="J947" s="27"/>
      <c r="L947" s="27"/>
      <c r="M947" s="27"/>
      <c r="N947" s="27"/>
      <c r="O947" s="27"/>
      <c r="P947" s="27"/>
      <c r="Q947" s="27"/>
      <c r="R947" s="27"/>
    </row>
    <row r="948">
      <c r="F948" s="27"/>
      <c r="G948" s="27"/>
      <c r="H948" s="27"/>
      <c r="J948" s="27"/>
      <c r="L948" s="27"/>
      <c r="M948" s="27"/>
      <c r="N948" s="27"/>
      <c r="O948" s="27"/>
      <c r="P948" s="27"/>
      <c r="Q948" s="27"/>
      <c r="R948" s="27"/>
    </row>
    <row r="949">
      <c r="F949" s="27"/>
      <c r="G949" s="27"/>
      <c r="H949" s="27"/>
      <c r="J949" s="27"/>
      <c r="L949" s="27"/>
      <c r="M949" s="27"/>
      <c r="N949" s="27"/>
      <c r="O949" s="27"/>
      <c r="P949" s="27"/>
      <c r="Q949" s="27"/>
      <c r="R949" s="27"/>
    </row>
    <row r="950">
      <c r="F950" s="27"/>
      <c r="G950" s="27"/>
      <c r="H950" s="27"/>
      <c r="J950" s="27"/>
      <c r="L950" s="27"/>
      <c r="M950" s="27"/>
      <c r="N950" s="27"/>
      <c r="O950" s="27"/>
      <c r="P950" s="27"/>
      <c r="Q950" s="27"/>
      <c r="R950" s="27"/>
    </row>
    <row r="951">
      <c r="F951" s="27"/>
      <c r="G951" s="27"/>
      <c r="H951" s="27"/>
      <c r="J951" s="27"/>
      <c r="L951" s="27"/>
      <c r="M951" s="27"/>
      <c r="N951" s="27"/>
      <c r="O951" s="27"/>
      <c r="P951" s="27"/>
      <c r="Q951" s="27"/>
      <c r="R951" s="27"/>
    </row>
    <row r="952">
      <c r="F952" s="27"/>
      <c r="G952" s="27"/>
      <c r="H952" s="27"/>
      <c r="J952" s="27"/>
      <c r="L952" s="27"/>
      <c r="M952" s="27"/>
      <c r="N952" s="27"/>
      <c r="O952" s="27"/>
      <c r="P952" s="27"/>
      <c r="Q952" s="27"/>
      <c r="R952" s="27"/>
    </row>
    <row r="953">
      <c r="F953" s="27"/>
      <c r="G953" s="27"/>
      <c r="H953" s="27"/>
      <c r="J953" s="27"/>
      <c r="L953" s="27"/>
      <c r="M953" s="27"/>
      <c r="N953" s="27"/>
      <c r="O953" s="27"/>
      <c r="P953" s="27"/>
      <c r="Q953" s="27"/>
      <c r="R953" s="27"/>
    </row>
    <row r="954">
      <c r="F954" s="27"/>
      <c r="G954" s="27"/>
      <c r="H954" s="27"/>
      <c r="J954" s="27"/>
      <c r="L954" s="27"/>
      <c r="M954" s="27"/>
      <c r="N954" s="27"/>
      <c r="O954" s="27"/>
      <c r="P954" s="27"/>
      <c r="Q954" s="27"/>
      <c r="R954" s="27"/>
    </row>
    <row r="955">
      <c r="F955" s="27"/>
      <c r="G955" s="27"/>
      <c r="H955" s="27"/>
      <c r="J955" s="27"/>
      <c r="L955" s="27"/>
      <c r="M955" s="27"/>
      <c r="N955" s="27"/>
      <c r="O955" s="27"/>
      <c r="P955" s="27"/>
      <c r="Q955" s="27"/>
      <c r="R955" s="27"/>
    </row>
    <row r="956">
      <c r="F956" s="27"/>
      <c r="G956" s="27"/>
      <c r="H956" s="27"/>
      <c r="J956" s="27"/>
      <c r="L956" s="27"/>
      <c r="M956" s="27"/>
      <c r="N956" s="27"/>
      <c r="O956" s="27"/>
      <c r="P956" s="27"/>
      <c r="Q956" s="27"/>
      <c r="R956" s="27"/>
    </row>
    <row r="957">
      <c r="F957" s="27"/>
      <c r="G957" s="27"/>
      <c r="H957" s="27"/>
      <c r="J957" s="27"/>
      <c r="L957" s="27"/>
      <c r="M957" s="27"/>
      <c r="N957" s="27"/>
      <c r="O957" s="27"/>
      <c r="P957" s="27"/>
      <c r="Q957" s="27"/>
      <c r="R957" s="27"/>
    </row>
    <row r="958">
      <c r="F958" s="27"/>
      <c r="G958" s="27"/>
      <c r="H958" s="27"/>
      <c r="J958" s="27"/>
      <c r="L958" s="27"/>
      <c r="M958" s="27"/>
      <c r="N958" s="27"/>
      <c r="O958" s="27"/>
      <c r="P958" s="27"/>
      <c r="Q958" s="27"/>
      <c r="R958" s="27"/>
    </row>
    <row r="959">
      <c r="F959" s="27"/>
      <c r="G959" s="27"/>
      <c r="H959" s="27"/>
      <c r="J959" s="27"/>
      <c r="L959" s="27"/>
      <c r="M959" s="27"/>
      <c r="N959" s="27"/>
      <c r="O959" s="27"/>
      <c r="P959" s="27"/>
      <c r="Q959" s="27"/>
      <c r="R959" s="27"/>
    </row>
    <row r="960">
      <c r="F960" s="27"/>
      <c r="G960" s="27"/>
      <c r="H960" s="27"/>
      <c r="J960" s="27"/>
      <c r="L960" s="27"/>
      <c r="M960" s="27"/>
      <c r="N960" s="27"/>
      <c r="O960" s="27"/>
      <c r="P960" s="27"/>
      <c r="Q960" s="27"/>
      <c r="R960" s="27"/>
    </row>
    <row r="961">
      <c r="F961" s="27"/>
      <c r="G961" s="27"/>
      <c r="H961" s="27"/>
      <c r="J961" s="27"/>
      <c r="L961" s="27"/>
      <c r="M961" s="27"/>
      <c r="N961" s="27"/>
      <c r="O961" s="27"/>
      <c r="P961" s="27"/>
      <c r="Q961" s="27"/>
      <c r="R961" s="27"/>
    </row>
    <row r="962">
      <c r="F962" s="27"/>
      <c r="G962" s="27"/>
      <c r="H962" s="27"/>
      <c r="J962" s="27"/>
      <c r="L962" s="27"/>
      <c r="M962" s="27"/>
      <c r="N962" s="27"/>
      <c r="O962" s="27"/>
      <c r="P962" s="27"/>
      <c r="Q962" s="27"/>
      <c r="R962" s="27"/>
    </row>
    <row r="963">
      <c r="F963" s="27"/>
      <c r="G963" s="27"/>
      <c r="H963" s="27"/>
      <c r="J963" s="27"/>
      <c r="L963" s="27"/>
      <c r="M963" s="27"/>
      <c r="N963" s="27"/>
      <c r="O963" s="27"/>
      <c r="P963" s="27"/>
      <c r="Q963" s="27"/>
      <c r="R963" s="27"/>
    </row>
    <row r="964">
      <c r="F964" s="27"/>
      <c r="G964" s="27"/>
      <c r="H964" s="27"/>
      <c r="J964" s="27"/>
      <c r="L964" s="27"/>
      <c r="M964" s="27"/>
      <c r="N964" s="27"/>
      <c r="O964" s="27"/>
      <c r="P964" s="27"/>
      <c r="Q964" s="27"/>
      <c r="R964" s="27"/>
    </row>
    <row r="965">
      <c r="F965" s="27"/>
      <c r="G965" s="27"/>
      <c r="H965" s="27"/>
      <c r="J965" s="27"/>
      <c r="L965" s="27"/>
      <c r="M965" s="27"/>
      <c r="N965" s="27"/>
      <c r="O965" s="27"/>
      <c r="P965" s="27"/>
      <c r="Q965" s="27"/>
      <c r="R965" s="27"/>
    </row>
    <row r="966">
      <c r="F966" s="27"/>
      <c r="G966" s="27"/>
      <c r="H966" s="27"/>
      <c r="J966" s="27"/>
      <c r="L966" s="27"/>
      <c r="M966" s="27"/>
      <c r="N966" s="27"/>
      <c r="O966" s="27"/>
      <c r="P966" s="27"/>
      <c r="Q966" s="27"/>
      <c r="R966" s="27"/>
    </row>
    <row r="967">
      <c r="F967" s="27"/>
      <c r="G967" s="27"/>
      <c r="H967" s="27"/>
      <c r="J967" s="27"/>
      <c r="L967" s="27"/>
      <c r="M967" s="27"/>
      <c r="N967" s="27"/>
      <c r="O967" s="27"/>
      <c r="P967" s="27"/>
      <c r="Q967" s="27"/>
      <c r="R967" s="27"/>
    </row>
    <row r="968">
      <c r="F968" s="27"/>
      <c r="G968" s="27"/>
      <c r="H968" s="27"/>
      <c r="J968" s="27"/>
      <c r="L968" s="27"/>
      <c r="M968" s="27"/>
      <c r="N968" s="27"/>
      <c r="O968" s="27"/>
      <c r="P968" s="27"/>
      <c r="Q968" s="27"/>
      <c r="R968" s="27"/>
    </row>
    <row r="969">
      <c r="F969" s="27"/>
      <c r="G969" s="27"/>
      <c r="H969" s="27"/>
      <c r="J969" s="27"/>
      <c r="L969" s="27"/>
      <c r="M969" s="27"/>
      <c r="N969" s="27"/>
      <c r="O969" s="27"/>
      <c r="P969" s="27"/>
      <c r="Q969" s="27"/>
      <c r="R969" s="27"/>
    </row>
    <row r="970">
      <c r="F970" s="27"/>
      <c r="G970" s="27"/>
      <c r="H970" s="27"/>
      <c r="J970" s="27"/>
      <c r="L970" s="27"/>
      <c r="M970" s="27"/>
      <c r="N970" s="27"/>
      <c r="O970" s="27"/>
      <c r="P970" s="27"/>
      <c r="Q970" s="27"/>
      <c r="R970" s="27"/>
    </row>
    <row r="971">
      <c r="F971" s="27"/>
      <c r="G971" s="27"/>
      <c r="H971" s="27"/>
      <c r="J971" s="27"/>
      <c r="L971" s="27"/>
      <c r="M971" s="27"/>
      <c r="N971" s="27"/>
      <c r="O971" s="27"/>
      <c r="P971" s="27"/>
      <c r="Q971" s="27"/>
      <c r="R971" s="27"/>
    </row>
    <row r="972">
      <c r="F972" s="27"/>
      <c r="G972" s="27"/>
      <c r="H972" s="27"/>
      <c r="J972" s="27"/>
      <c r="L972" s="27"/>
      <c r="M972" s="27"/>
      <c r="N972" s="27"/>
      <c r="O972" s="27"/>
      <c r="P972" s="27"/>
      <c r="Q972" s="27"/>
      <c r="R972" s="27"/>
    </row>
    <row r="973">
      <c r="F973" s="27"/>
      <c r="G973" s="27"/>
      <c r="H973" s="27"/>
      <c r="J973" s="27"/>
      <c r="L973" s="27"/>
      <c r="M973" s="27"/>
      <c r="N973" s="27"/>
      <c r="O973" s="27"/>
      <c r="P973" s="27"/>
      <c r="Q973" s="27"/>
      <c r="R973" s="27"/>
    </row>
    <row r="974">
      <c r="F974" s="27"/>
      <c r="G974" s="27"/>
      <c r="H974" s="27"/>
      <c r="J974" s="27"/>
      <c r="L974" s="27"/>
      <c r="M974" s="27"/>
      <c r="N974" s="27"/>
      <c r="O974" s="27"/>
      <c r="P974" s="27"/>
      <c r="Q974" s="27"/>
      <c r="R974" s="27"/>
    </row>
    <row r="975">
      <c r="F975" s="27"/>
      <c r="G975" s="27"/>
      <c r="H975" s="27"/>
      <c r="J975" s="27"/>
      <c r="L975" s="27"/>
      <c r="M975" s="27"/>
      <c r="N975" s="27"/>
      <c r="O975" s="27"/>
      <c r="P975" s="27"/>
      <c r="Q975" s="27"/>
      <c r="R975" s="27"/>
    </row>
    <row r="976">
      <c r="F976" s="27"/>
      <c r="G976" s="27"/>
      <c r="H976" s="27"/>
      <c r="J976" s="27"/>
      <c r="L976" s="27"/>
      <c r="M976" s="27"/>
      <c r="N976" s="27"/>
      <c r="O976" s="27"/>
      <c r="P976" s="27"/>
      <c r="Q976" s="27"/>
      <c r="R976" s="27"/>
    </row>
    <row r="977">
      <c r="F977" s="27"/>
      <c r="G977" s="27"/>
      <c r="H977" s="27"/>
      <c r="J977" s="27"/>
      <c r="L977" s="27"/>
      <c r="M977" s="27"/>
      <c r="N977" s="27"/>
      <c r="O977" s="27"/>
      <c r="P977" s="27"/>
      <c r="Q977" s="27"/>
      <c r="R977" s="27"/>
    </row>
    <row r="978">
      <c r="F978" s="27"/>
      <c r="G978" s="27"/>
      <c r="H978" s="27"/>
      <c r="J978" s="27"/>
      <c r="L978" s="27"/>
      <c r="M978" s="27"/>
      <c r="N978" s="27"/>
      <c r="O978" s="27"/>
      <c r="P978" s="27"/>
      <c r="Q978" s="27"/>
      <c r="R978" s="27"/>
    </row>
    <row r="979">
      <c r="F979" s="27"/>
      <c r="G979" s="27"/>
      <c r="H979" s="27"/>
      <c r="J979" s="27"/>
      <c r="L979" s="27"/>
      <c r="M979" s="27"/>
      <c r="N979" s="27"/>
      <c r="O979" s="27"/>
      <c r="P979" s="27"/>
      <c r="Q979" s="27"/>
      <c r="R979" s="27"/>
    </row>
    <row r="980">
      <c r="F980" s="27"/>
      <c r="G980" s="27"/>
      <c r="H980" s="27"/>
      <c r="J980" s="27"/>
      <c r="L980" s="27"/>
      <c r="M980" s="27"/>
      <c r="N980" s="27"/>
      <c r="O980" s="27"/>
      <c r="P980" s="27"/>
      <c r="Q980" s="27"/>
      <c r="R980" s="27"/>
    </row>
    <row r="981">
      <c r="F981" s="27"/>
      <c r="G981" s="27"/>
      <c r="H981" s="27"/>
      <c r="J981" s="27"/>
      <c r="L981" s="27"/>
      <c r="M981" s="27"/>
      <c r="N981" s="27"/>
      <c r="O981" s="27"/>
      <c r="P981" s="27"/>
      <c r="Q981" s="27"/>
      <c r="R981" s="27"/>
    </row>
    <row r="982">
      <c r="F982" s="27"/>
      <c r="G982" s="27"/>
      <c r="H982" s="27"/>
      <c r="J982" s="27"/>
      <c r="L982" s="27"/>
      <c r="M982" s="27"/>
      <c r="N982" s="27"/>
      <c r="O982" s="27"/>
      <c r="P982" s="27"/>
      <c r="Q982" s="27"/>
      <c r="R982" s="27"/>
    </row>
    <row r="983">
      <c r="F983" s="27"/>
      <c r="G983" s="27"/>
      <c r="H983" s="27"/>
      <c r="J983" s="27"/>
      <c r="L983" s="27"/>
      <c r="M983" s="27"/>
      <c r="N983" s="27"/>
      <c r="O983" s="27"/>
      <c r="P983" s="27"/>
      <c r="Q983" s="27"/>
      <c r="R983" s="27"/>
    </row>
    <row r="984">
      <c r="F984" s="27"/>
      <c r="G984" s="27"/>
      <c r="H984" s="27"/>
      <c r="J984" s="27"/>
      <c r="L984" s="27"/>
      <c r="M984" s="27"/>
      <c r="N984" s="27"/>
      <c r="O984" s="27"/>
      <c r="P984" s="27"/>
      <c r="Q984" s="27"/>
      <c r="R984" s="27"/>
    </row>
    <row r="985">
      <c r="F985" s="27"/>
      <c r="G985" s="27"/>
      <c r="H985" s="27"/>
      <c r="J985" s="27"/>
      <c r="L985" s="27"/>
      <c r="M985" s="27"/>
      <c r="N985" s="27"/>
      <c r="O985" s="27"/>
      <c r="P985" s="27"/>
      <c r="Q985" s="27"/>
      <c r="R985" s="27"/>
    </row>
    <row r="986">
      <c r="F986" s="27"/>
      <c r="G986" s="27"/>
      <c r="H986" s="27"/>
      <c r="J986" s="27"/>
      <c r="L986" s="27"/>
      <c r="M986" s="27"/>
      <c r="N986" s="27"/>
      <c r="O986" s="27"/>
      <c r="P986" s="27"/>
      <c r="Q986" s="27"/>
      <c r="R986" s="27"/>
    </row>
    <row r="987">
      <c r="F987" s="27"/>
      <c r="G987" s="27"/>
      <c r="H987" s="27"/>
      <c r="J987" s="27"/>
      <c r="L987" s="27"/>
      <c r="M987" s="27"/>
      <c r="N987" s="27"/>
      <c r="O987" s="27"/>
      <c r="P987" s="27"/>
      <c r="Q987" s="27"/>
      <c r="R987" s="27"/>
    </row>
    <row r="988">
      <c r="F988" s="27"/>
      <c r="G988" s="27"/>
      <c r="H988" s="27"/>
      <c r="J988" s="27"/>
      <c r="L988" s="27"/>
      <c r="M988" s="27"/>
      <c r="N988" s="27"/>
      <c r="O988" s="27"/>
      <c r="P988" s="27"/>
      <c r="Q988" s="27"/>
      <c r="R988" s="27"/>
    </row>
    <row r="989">
      <c r="F989" s="27"/>
      <c r="G989" s="27"/>
      <c r="H989" s="27"/>
      <c r="J989" s="27"/>
      <c r="L989" s="27"/>
      <c r="M989" s="27"/>
      <c r="N989" s="27"/>
      <c r="O989" s="27"/>
      <c r="P989" s="27"/>
      <c r="Q989" s="27"/>
      <c r="R989" s="27"/>
    </row>
    <row r="990">
      <c r="F990" s="27"/>
      <c r="G990" s="27"/>
      <c r="H990" s="27"/>
      <c r="J990" s="27"/>
      <c r="L990" s="27"/>
      <c r="M990" s="27"/>
      <c r="N990" s="27"/>
      <c r="O990" s="27"/>
      <c r="P990" s="27"/>
      <c r="Q990" s="27"/>
      <c r="R990" s="27"/>
    </row>
    <row r="991">
      <c r="F991" s="27"/>
      <c r="G991" s="27"/>
      <c r="H991" s="27"/>
      <c r="J991" s="27"/>
      <c r="L991" s="27"/>
      <c r="M991" s="27"/>
      <c r="N991" s="27"/>
      <c r="O991" s="27"/>
      <c r="P991" s="27"/>
      <c r="Q991" s="27"/>
      <c r="R991" s="27"/>
    </row>
    <row r="992">
      <c r="F992" s="27"/>
      <c r="G992" s="27"/>
      <c r="H992" s="27"/>
      <c r="J992" s="27"/>
      <c r="L992" s="27"/>
      <c r="M992" s="27"/>
      <c r="N992" s="27"/>
      <c r="O992" s="27"/>
      <c r="P992" s="27"/>
      <c r="Q992" s="27"/>
      <c r="R992" s="27"/>
    </row>
    <row r="993">
      <c r="F993" s="27"/>
      <c r="G993" s="27"/>
      <c r="H993" s="27"/>
      <c r="J993" s="27"/>
      <c r="L993" s="27"/>
      <c r="M993" s="27"/>
      <c r="N993" s="27"/>
      <c r="O993" s="27"/>
      <c r="P993" s="27"/>
      <c r="Q993" s="27"/>
      <c r="R993" s="27"/>
    </row>
    <row r="994">
      <c r="F994" s="27"/>
      <c r="G994" s="27"/>
      <c r="H994" s="27"/>
      <c r="J994" s="27"/>
      <c r="L994" s="27"/>
      <c r="M994" s="27"/>
      <c r="N994" s="27"/>
      <c r="O994" s="27"/>
      <c r="P994" s="27"/>
      <c r="Q994" s="27"/>
      <c r="R994" s="27"/>
    </row>
    <row r="995">
      <c r="F995" s="27"/>
      <c r="G995" s="27"/>
      <c r="H995" s="27"/>
      <c r="J995" s="27"/>
      <c r="L995" s="27"/>
      <c r="M995" s="27"/>
      <c r="N995" s="27"/>
      <c r="O995" s="27"/>
      <c r="P995" s="27"/>
      <c r="Q995" s="27"/>
      <c r="R995" s="27"/>
    </row>
    <row r="996">
      <c r="F996" s="27"/>
      <c r="G996" s="27"/>
      <c r="H996" s="27"/>
      <c r="J996" s="27"/>
      <c r="L996" s="27"/>
      <c r="M996" s="27"/>
      <c r="N996" s="27"/>
      <c r="O996" s="27"/>
      <c r="P996" s="27"/>
      <c r="Q996" s="27"/>
      <c r="R996" s="27"/>
    </row>
    <row r="997">
      <c r="F997" s="27"/>
      <c r="G997" s="27"/>
      <c r="H997" s="27"/>
      <c r="J997" s="27"/>
      <c r="L997" s="27"/>
      <c r="M997" s="27"/>
      <c r="N997" s="27"/>
      <c r="O997" s="27"/>
      <c r="P997" s="27"/>
      <c r="Q997" s="27"/>
      <c r="R997" s="27"/>
    </row>
    <row r="998">
      <c r="F998" s="27"/>
      <c r="G998" s="27"/>
      <c r="H998" s="27"/>
      <c r="J998" s="27"/>
      <c r="L998" s="27"/>
      <c r="M998" s="27"/>
      <c r="N998" s="27"/>
      <c r="O998" s="27"/>
      <c r="P998" s="27"/>
      <c r="Q998" s="27"/>
      <c r="R998" s="27"/>
    </row>
    <row r="999">
      <c r="F999" s="27"/>
      <c r="G999" s="27"/>
      <c r="H999" s="27"/>
      <c r="J999" s="27"/>
      <c r="L999" s="27"/>
      <c r="M999" s="27"/>
      <c r="N999" s="27"/>
      <c r="O999" s="27"/>
      <c r="P999" s="27"/>
      <c r="Q999" s="27"/>
      <c r="R999" s="27"/>
    </row>
    <row r="1000">
      <c r="F1000" s="27"/>
      <c r="G1000" s="27"/>
      <c r="H1000" s="27"/>
      <c r="J1000" s="27"/>
      <c r="L1000" s="27"/>
      <c r="M1000" s="27"/>
      <c r="N1000" s="27"/>
      <c r="O1000" s="27"/>
      <c r="P1000" s="27"/>
      <c r="Q1000" s="27"/>
      <c r="R1000" s="27"/>
    </row>
    <row r="1001">
      <c r="F1001" s="27"/>
      <c r="G1001" s="27"/>
      <c r="H1001" s="27"/>
      <c r="J1001" s="27"/>
      <c r="L1001" s="27"/>
      <c r="M1001" s="27"/>
      <c r="N1001" s="27"/>
      <c r="O1001" s="27"/>
      <c r="P1001" s="27"/>
      <c r="Q1001" s="27"/>
      <c r="R1001" s="27"/>
    </row>
    <row r="1002">
      <c r="F1002" s="27"/>
      <c r="G1002" s="27"/>
      <c r="H1002" s="27"/>
      <c r="J1002" s="27"/>
      <c r="L1002" s="27"/>
      <c r="M1002" s="27"/>
      <c r="N1002" s="27"/>
      <c r="O1002" s="27"/>
      <c r="P1002" s="27"/>
      <c r="Q1002" s="27"/>
      <c r="R1002" s="27"/>
    </row>
  </sheetData>
  <conditionalFormatting sqref="D44:E44 K51 D53:P53 K55">
    <cfRule type="cellIs" dxfId="0" priority="1" operator="lessThan">
      <formula>0</formula>
    </cfRule>
  </conditionalFormatting>
  <conditionalFormatting sqref="D53:E53">
    <cfRule type="cellIs" dxfId="0" priority="2" operator="lessThan">
      <formula>0</formula>
    </cfRule>
  </conditionalFormatting>
  <drawing r:id="rId2"/>
  <legacyDrawing r:id="rId3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20.38"/>
    <col customWidth="1" min="3" max="3" width="9.38"/>
    <col customWidth="1" min="4" max="4" width="13.13"/>
    <col customWidth="1" min="5" max="5" width="20.63"/>
    <col customWidth="1" min="6" max="6" width="17.63"/>
    <col customWidth="1" min="7" max="7" width="10.25"/>
    <col customWidth="1" min="8" max="8" width="9.75"/>
    <col customWidth="1" min="9" max="9" width="23.38"/>
    <col customWidth="1" min="10" max="10" width="11.25"/>
    <col customWidth="1" min="11" max="11" width="9.25"/>
    <col customWidth="1" min="12" max="13" width="9.5"/>
    <col customWidth="1" min="16" max="16" width="9.88"/>
    <col customWidth="1" min="17" max="17" width="8.13"/>
  </cols>
  <sheetData>
    <row r="1">
      <c r="A1" s="18" t="s">
        <v>346</v>
      </c>
      <c r="B1" s="416" t="s">
        <v>296</v>
      </c>
      <c r="C1" s="27"/>
      <c r="D1" s="107" t="s">
        <v>387</v>
      </c>
      <c r="E1" s="107" t="s">
        <v>388</v>
      </c>
      <c r="F1" s="107"/>
      <c r="G1" s="107"/>
      <c r="H1" s="107"/>
      <c r="I1" s="417" t="s">
        <v>325</v>
      </c>
      <c r="J1" s="107"/>
    </row>
    <row r="2">
      <c r="B2" s="18" t="s">
        <v>240</v>
      </c>
      <c r="C2" s="107"/>
      <c r="D2" s="27"/>
      <c r="E2" s="107"/>
      <c r="F2" s="26"/>
      <c r="G2" s="26"/>
      <c r="H2" s="26"/>
      <c r="I2" s="422" t="s">
        <v>119</v>
      </c>
      <c r="J2" s="302" t="s">
        <v>120</v>
      </c>
    </row>
    <row r="3">
      <c r="B3" s="18" t="s">
        <v>241</v>
      </c>
      <c r="C3" s="107">
        <v>70.7</v>
      </c>
      <c r="D3" s="107">
        <v>20.85</v>
      </c>
      <c r="E3" s="489">
        <v>79.8</v>
      </c>
      <c r="F3" s="107"/>
      <c r="G3" s="107"/>
      <c r="H3" s="107"/>
      <c r="I3" s="423" t="s">
        <v>326</v>
      </c>
      <c r="J3" s="7" t="s">
        <v>327</v>
      </c>
    </row>
    <row r="4">
      <c r="B4" s="18" t="s">
        <v>397</v>
      </c>
      <c r="C4" s="107"/>
      <c r="D4" s="107">
        <v>3.82</v>
      </c>
      <c r="E4" s="489">
        <v>42.15</v>
      </c>
      <c r="F4" s="107">
        <v>11500.0</v>
      </c>
      <c r="I4" s="423" t="s">
        <v>328</v>
      </c>
      <c r="J4" s="7" t="s">
        <v>329</v>
      </c>
      <c r="K4" s="107"/>
    </row>
    <row r="5">
      <c r="B5" s="18" t="s">
        <v>285</v>
      </c>
      <c r="C5" s="107">
        <v>42.0</v>
      </c>
      <c r="D5" s="107">
        <v>16.37</v>
      </c>
      <c r="E5" s="489">
        <v>59.66</v>
      </c>
      <c r="F5" s="107">
        <v>7460.0</v>
      </c>
      <c r="I5" s="423"/>
      <c r="J5" s="7" t="s">
        <v>192</v>
      </c>
      <c r="K5" s="107"/>
    </row>
    <row r="6">
      <c r="B6" s="18" t="s">
        <v>324</v>
      </c>
      <c r="C6" s="107">
        <v>6.0</v>
      </c>
      <c r="D6" s="107"/>
      <c r="E6" s="107">
        <v>6.0</v>
      </c>
      <c r="K6" s="107"/>
    </row>
    <row r="7">
      <c r="C7" s="27">
        <f>SUM(C2:C6)</f>
        <v>118.7</v>
      </c>
      <c r="D7" s="490">
        <f>E7-E2</f>
        <v>187.61</v>
      </c>
      <c r="E7" s="490">
        <f>SUM(E2:E6)</f>
        <v>187.61</v>
      </c>
      <c r="K7" s="107"/>
    </row>
    <row r="8">
      <c r="C8" s="27"/>
      <c r="K8" s="107"/>
    </row>
    <row r="9">
      <c r="C9" s="27"/>
      <c r="K9" s="27"/>
    </row>
    <row r="10">
      <c r="C10" s="27"/>
      <c r="D10" s="18" t="s">
        <v>366</v>
      </c>
      <c r="F10" s="18"/>
      <c r="G10" s="18"/>
      <c r="H10" s="18"/>
      <c r="K10" s="107"/>
    </row>
    <row r="11">
      <c r="B11" s="55" t="s">
        <v>122</v>
      </c>
      <c r="C11" s="56"/>
      <c r="D11" s="140" t="s">
        <v>134</v>
      </c>
      <c r="E11" s="57" t="s">
        <v>123</v>
      </c>
      <c r="F11" s="57" t="s">
        <v>124</v>
      </c>
      <c r="K11" s="107"/>
      <c r="M11" s="18"/>
    </row>
    <row r="12">
      <c r="B12" s="59" t="s">
        <v>129</v>
      </c>
      <c r="C12" s="141"/>
      <c r="D12" s="113">
        <v>8661.72</v>
      </c>
      <c r="E12" s="113">
        <v>8588.97</v>
      </c>
      <c r="F12" s="113">
        <v>8692.89</v>
      </c>
      <c r="K12" s="107"/>
      <c r="M12" s="18"/>
    </row>
    <row r="13">
      <c r="B13" s="59" t="s">
        <v>136</v>
      </c>
      <c r="C13" s="141"/>
      <c r="D13" s="114">
        <f>2230+3698.95</f>
        <v>5928.95</v>
      </c>
      <c r="E13" s="114">
        <f>2230+3615.05</f>
        <v>5845.05</v>
      </c>
      <c r="F13" s="114">
        <f>2230+3691.95</f>
        <v>5921.95</v>
      </c>
      <c r="G13" s="407"/>
      <c r="H13" s="407"/>
      <c r="I13" s="303"/>
      <c r="J13" s="107"/>
      <c r="K13" s="27"/>
      <c r="M13" s="18"/>
    </row>
    <row r="14">
      <c r="B14" s="59" t="s">
        <v>137</v>
      </c>
      <c r="C14" s="141"/>
      <c r="D14" s="114"/>
      <c r="E14" s="114"/>
      <c r="F14" s="114"/>
      <c r="G14" s="363"/>
      <c r="H14" s="363"/>
      <c r="I14" s="363"/>
      <c r="J14" s="107"/>
      <c r="K14" s="107"/>
      <c r="M14" s="18"/>
    </row>
    <row r="15">
      <c r="B15" s="59" t="s">
        <v>138</v>
      </c>
      <c r="C15" s="141"/>
      <c r="D15" s="117">
        <f>(F4*1.0675)+(F5*1.0675)</f>
        <v>20239.8</v>
      </c>
      <c r="E15" s="117">
        <v>7666.0</v>
      </c>
      <c r="F15" s="117">
        <v>7666.0</v>
      </c>
      <c r="G15" s="32"/>
      <c r="H15" s="32"/>
      <c r="I15" s="32"/>
      <c r="J15" s="107"/>
      <c r="K15" s="107"/>
      <c r="M15" s="18"/>
    </row>
    <row r="16">
      <c r="B16" s="142" t="s">
        <v>139</v>
      </c>
      <c r="C16" s="143"/>
      <c r="D16" s="144">
        <f t="shared" ref="D16:F16" si="1">SUM(D12:D14)</f>
        <v>14590.67</v>
      </c>
      <c r="E16" s="494">
        <f t="shared" si="1"/>
        <v>14434.02</v>
      </c>
      <c r="F16" s="494">
        <f t="shared" si="1"/>
        <v>14614.84</v>
      </c>
      <c r="G16" s="257"/>
      <c r="H16" s="257"/>
      <c r="I16" s="257"/>
      <c r="L16" s="27"/>
      <c r="M16" s="18"/>
      <c r="O16" s="107"/>
    </row>
    <row r="17">
      <c r="C17" s="27"/>
      <c r="G17" s="32"/>
      <c r="H17" s="32"/>
      <c r="I17" s="32"/>
      <c r="J17" s="107"/>
      <c r="M17" s="18"/>
      <c r="O17" s="27"/>
    </row>
    <row r="18">
      <c r="B18" s="70" t="s">
        <v>140</v>
      </c>
      <c r="C18" s="71"/>
      <c r="D18" s="58" t="s">
        <v>134</v>
      </c>
      <c r="E18" s="58" t="s">
        <v>134</v>
      </c>
      <c r="F18" s="58" t="s">
        <v>134</v>
      </c>
      <c r="G18" s="418"/>
      <c r="H18" s="418"/>
      <c r="I18" s="418" t="s">
        <v>331</v>
      </c>
      <c r="J18" s="192"/>
      <c r="M18" s="18"/>
    </row>
    <row r="19">
      <c r="B19" s="121" t="s">
        <v>141</v>
      </c>
      <c r="C19" s="496"/>
      <c r="D19" s="378">
        <v>450.0</v>
      </c>
      <c r="E19" s="378">
        <v>450.0</v>
      </c>
      <c r="F19" s="123">
        <v>450.0</v>
      </c>
      <c r="G19" s="192"/>
      <c r="H19" s="192"/>
      <c r="I19" s="447"/>
      <c r="J19" s="448" t="s">
        <v>27</v>
      </c>
      <c r="K19" s="448" t="s">
        <v>274</v>
      </c>
      <c r="L19" s="448" t="s">
        <v>351</v>
      </c>
      <c r="M19" s="448" t="s">
        <v>333</v>
      </c>
      <c r="N19" s="449" t="s">
        <v>390</v>
      </c>
      <c r="O19" s="448" t="s">
        <v>48</v>
      </c>
      <c r="P19" s="448" t="s">
        <v>383</v>
      </c>
      <c r="Q19" s="448" t="s">
        <v>386</v>
      </c>
    </row>
    <row r="20">
      <c r="B20" s="121" t="s">
        <v>142</v>
      </c>
      <c r="C20" s="496"/>
      <c r="D20" s="378">
        <v>220.0</v>
      </c>
      <c r="E20" s="378">
        <v>220.0</v>
      </c>
      <c r="F20" s="123">
        <v>220.0</v>
      </c>
      <c r="G20" s="409"/>
      <c r="H20" s="409"/>
      <c r="I20" s="121" t="s">
        <v>141</v>
      </c>
      <c r="K20" s="452"/>
      <c r="L20" s="123">
        <f t="shared" ref="L20:L23" si="2">F19</f>
        <v>450</v>
      </c>
      <c r="M20" s="452"/>
      <c r="N20" s="452"/>
      <c r="O20" s="452"/>
      <c r="P20" s="452"/>
      <c r="Q20" s="452"/>
    </row>
    <row r="21">
      <c r="B21" s="121" t="s">
        <v>143</v>
      </c>
      <c r="C21" s="496"/>
      <c r="D21" s="396">
        <v>147.9</v>
      </c>
      <c r="E21" s="396">
        <v>147.9</v>
      </c>
      <c r="F21" s="397">
        <v>147.9</v>
      </c>
      <c r="G21" s="409"/>
      <c r="H21" s="409"/>
      <c r="I21" s="121" t="s">
        <v>142</v>
      </c>
      <c r="K21" s="452"/>
      <c r="L21" s="123">
        <f t="shared" si="2"/>
        <v>220</v>
      </c>
      <c r="M21" s="452"/>
      <c r="N21" s="452"/>
      <c r="O21" s="452"/>
      <c r="P21" s="452"/>
      <c r="Q21" s="452"/>
    </row>
    <row r="22">
      <c r="B22" s="121" t="s">
        <v>144</v>
      </c>
      <c r="C22" s="496"/>
      <c r="D22" s="378">
        <v>100.0</v>
      </c>
      <c r="E22" s="378">
        <v>100.0</v>
      </c>
      <c r="F22" s="123">
        <f>E22</f>
        <v>100</v>
      </c>
      <c r="G22" s="409"/>
      <c r="H22" s="409"/>
      <c r="I22" s="121" t="s">
        <v>143</v>
      </c>
      <c r="K22" s="452"/>
      <c r="L22" s="123">
        <f t="shared" si="2"/>
        <v>147.9</v>
      </c>
      <c r="M22" s="452"/>
      <c r="N22" s="452"/>
      <c r="O22" s="452"/>
      <c r="P22" s="452"/>
      <c r="Q22" s="452"/>
    </row>
    <row r="23">
      <c r="B23" s="121" t="s">
        <v>145</v>
      </c>
      <c r="C23" s="496"/>
      <c r="D23" s="378">
        <v>3004.8</v>
      </c>
      <c r="E23" s="378">
        <v>3004.8</v>
      </c>
      <c r="F23" s="123">
        <v>3004.8</v>
      </c>
      <c r="G23" s="409"/>
      <c r="H23" s="409"/>
      <c r="I23" s="121" t="s">
        <v>144</v>
      </c>
      <c r="K23" s="452"/>
      <c r="L23" s="123">
        <f t="shared" si="2"/>
        <v>100</v>
      </c>
      <c r="M23" s="452"/>
      <c r="N23" s="452"/>
      <c r="O23" s="452"/>
      <c r="P23" s="452"/>
      <c r="Q23" s="452"/>
    </row>
    <row r="24">
      <c r="B24" s="121" t="s">
        <v>146</v>
      </c>
      <c r="C24" s="497"/>
      <c r="D24" s="378"/>
      <c r="E24" s="378"/>
      <c r="F24" s="123"/>
      <c r="G24" s="409"/>
      <c r="H24" s="409"/>
      <c r="I24" s="121" t="s">
        <v>145</v>
      </c>
      <c r="J24" s="378">
        <f t="shared" ref="J24:J25" si="3">F23</f>
        <v>3004.8</v>
      </c>
      <c r="K24" s="456"/>
      <c r="M24" s="452"/>
      <c r="N24" s="452"/>
      <c r="O24" s="452"/>
      <c r="P24" s="452"/>
      <c r="Q24" s="452"/>
    </row>
    <row r="25">
      <c r="B25" s="121" t="s">
        <v>180</v>
      </c>
      <c r="C25" s="496"/>
      <c r="D25" s="378">
        <v>400.0</v>
      </c>
      <c r="E25" s="378">
        <v>400.0</v>
      </c>
      <c r="F25" s="123">
        <v>400.0</v>
      </c>
      <c r="G25" s="409"/>
      <c r="H25" s="409"/>
      <c r="I25" s="121" t="s">
        <v>146</v>
      </c>
      <c r="J25" s="123" t="str">
        <f t="shared" si="3"/>
        <v/>
      </c>
      <c r="K25" s="457"/>
      <c r="L25" s="452"/>
      <c r="M25" s="452"/>
      <c r="N25" s="452"/>
      <c r="O25" s="452"/>
      <c r="P25" s="452"/>
      <c r="Q25" s="452"/>
    </row>
    <row r="26">
      <c r="B26" s="121" t="s">
        <v>148</v>
      </c>
      <c r="C26" s="496"/>
      <c r="D26" s="378">
        <v>600.0</v>
      </c>
      <c r="E26" s="378">
        <v>600.0</v>
      </c>
      <c r="F26" s="123">
        <v>600.0</v>
      </c>
      <c r="G26" s="409"/>
      <c r="H26" s="409"/>
      <c r="I26" s="121" t="s">
        <v>180</v>
      </c>
      <c r="K26" s="456"/>
      <c r="L26" s="452"/>
      <c r="M26" s="452"/>
      <c r="N26" s="452"/>
      <c r="O26" s="452"/>
      <c r="P26" s="452"/>
      <c r="Q26" s="498">
        <f>F25</f>
        <v>400</v>
      </c>
    </row>
    <row r="27">
      <c r="B27" s="121" t="s">
        <v>149</v>
      </c>
      <c r="C27" s="496"/>
      <c r="D27" s="378">
        <v>500.0</v>
      </c>
      <c r="E27" s="378">
        <v>500.0</v>
      </c>
      <c r="F27" s="123">
        <f>E27</f>
        <v>500</v>
      </c>
      <c r="G27" s="409"/>
      <c r="H27" s="409"/>
      <c r="I27" s="121" t="s">
        <v>148</v>
      </c>
      <c r="K27" s="478"/>
      <c r="L27" s="123">
        <f t="shared" ref="L27:L28" si="4">F26</f>
        <v>600</v>
      </c>
      <c r="M27" s="452"/>
      <c r="N27" s="452"/>
      <c r="O27" s="452"/>
      <c r="P27" s="452"/>
      <c r="Q27" s="452"/>
    </row>
    <row r="28">
      <c r="B28" s="121" t="s">
        <v>181</v>
      </c>
      <c r="C28" s="496"/>
      <c r="D28" s="378">
        <v>150.0</v>
      </c>
      <c r="E28" s="378">
        <v>150.0</v>
      </c>
      <c r="F28" s="123">
        <v>110.0</v>
      </c>
      <c r="G28" s="409"/>
      <c r="H28" s="409"/>
      <c r="I28" s="121" t="s">
        <v>149</v>
      </c>
      <c r="K28" s="456"/>
      <c r="L28" s="123">
        <f t="shared" si="4"/>
        <v>500</v>
      </c>
      <c r="M28" s="452"/>
      <c r="N28" s="452"/>
      <c r="O28" s="452"/>
      <c r="P28" s="452"/>
      <c r="Q28" s="452"/>
      <c r="S28" s="18">
        <v>103.92</v>
      </c>
    </row>
    <row r="29">
      <c r="B29" s="121" t="s">
        <v>150</v>
      </c>
      <c r="C29" s="496"/>
      <c r="D29" s="378">
        <v>400.0</v>
      </c>
      <c r="E29" s="378">
        <v>400.0</v>
      </c>
      <c r="F29" s="123">
        <f>E29</f>
        <v>400</v>
      </c>
      <c r="G29" s="409"/>
      <c r="H29" s="409"/>
      <c r="I29" s="121" t="s">
        <v>181</v>
      </c>
      <c r="K29" s="478"/>
      <c r="L29" s="478"/>
      <c r="M29" s="378">
        <f>F28</f>
        <v>110</v>
      </c>
      <c r="N29" s="452"/>
      <c r="O29" s="452"/>
      <c r="P29" s="452"/>
      <c r="Q29" s="452"/>
      <c r="S29" s="12">
        <f>73.05+60.87</f>
        <v>133.92</v>
      </c>
    </row>
    <row r="30">
      <c r="B30" s="121" t="s">
        <v>182</v>
      </c>
      <c r="C30" s="496"/>
      <c r="D30" s="378">
        <v>80.0</v>
      </c>
      <c r="E30" s="378">
        <v>80.0</v>
      </c>
      <c r="F30" s="123">
        <v>100.0</v>
      </c>
      <c r="G30" s="409"/>
      <c r="H30" s="409"/>
      <c r="I30" s="121" t="s">
        <v>150</v>
      </c>
      <c r="K30" s="123">
        <f>F29</f>
        <v>400</v>
      </c>
      <c r="L30" s="452"/>
      <c r="M30" s="452"/>
      <c r="N30" s="452"/>
      <c r="O30" s="452"/>
      <c r="P30" s="452"/>
      <c r="Q30" s="452"/>
      <c r="S30" s="12">
        <f>S29-S28</f>
        <v>30</v>
      </c>
    </row>
    <row r="31">
      <c r="B31" s="121" t="s">
        <v>392</v>
      </c>
      <c r="C31" s="496"/>
      <c r="D31" s="378">
        <v>1400.0</v>
      </c>
      <c r="E31" s="378">
        <v>1400.0</v>
      </c>
      <c r="F31" s="123">
        <v>1400.0</v>
      </c>
      <c r="G31" s="409"/>
      <c r="H31" s="409"/>
      <c r="I31" s="121" t="s">
        <v>182</v>
      </c>
      <c r="K31" s="456"/>
      <c r="L31" s="452"/>
      <c r="M31" s="452"/>
      <c r="N31" s="498">
        <f>F30</f>
        <v>100</v>
      </c>
      <c r="O31" s="452"/>
      <c r="P31" s="452"/>
      <c r="Q31" s="452"/>
    </row>
    <row r="32">
      <c r="B32" s="121" t="s">
        <v>152</v>
      </c>
      <c r="C32" s="496"/>
      <c r="D32" s="378"/>
      <c r="E32" s="378"/>
      <c r="F32" s="123"/>
      <c r="G32" s="409"/>
      <c r="H32" s="409"/>
      <c r="I32" s="121" t="s">
        <v>392</v>
      </c>
      <c r="K32" s="460"/>
      <c r="L32" s="452"/>
      <c r="M32" s="452"/>
      <c r="N32" s="479"/>
      <c r="O32" s="378">
        <f>F31</f>
        <v>1400</v>
      </c>
      <c r="P32" s="452"/>
      <c r="Q32" s="452"/>
    </row>
    <row r="33">
      <c r="B33" s="121" t="s">
        <v>154</v>
      </c>
      <c r="C33" s="496"/>
      <c r="D33" s="378">
        <v>138.45</v>
      </c>
      <c r="E33" s="378">
        <v>168.45</v>
      </c>
      <c r="F33" s="123">
        <v>187.61</v>
      </c>
      <c r="G33" s="409"/>
      <c r="H33" s="409"/>
      <c r="I33" s="121" t="s">
        <v>152</v>
      </c>
      <c r="J33" s="123" t="str">
        <f>F32</f>
        <v/>
      </c>
      <c r="K33" s="456"/>
      <c r="L33" s="452"/>
      <c r="M33" s="452"/>
      <c r="N33" s="481"/>
      <c r="O33" s="452"/>
      <c r="P33" s="452"/>
      <c r="Q33" s="452"/>
    </row>
    <row r="34">
      <c r="B34" s="121" t="s">
        <v>395</v>
      </c>
      <c r="C34" s="496"/>
      <c r="D34" s="378">
        <v>234.53</v>
      </c>
      <c r="E34" s="378">
        <v>234.53</v>
      </c>
      <c r="F34" s="123">
        <f>E34</f>
        <v>234.53</v>
      </c>
      <c r="G34" s="409"/>
      <c r="H34" s="409"/>
      <c r="I34" s="121" t="s">
        <v>154</v>
      </c>
      <c r="K34" s="457"/>
      <c r="L34" s="452"/>
      <c r="M34" s="452"/>
      <c r="N34" s="498">
        <f>F33</f>
        <v>187.61</v>
      </c>
      <c r="O34" s="456"/>
      <c r="P34" s="452"/>
      <c r="Q34" s="452"/>
    </row>
    <row r="35">
      <c r="B35" s="121" t="s">
        <v>156</v>
      </c>
      <c r="C35" s="496"/>
      <c r="D35" s="378">
        <v>200.0</v>
      </c>
      <c r="E35" s="378">
        <v>100.0</v>
      </c>
      <c r="F35" s="123">
        <v>100.0</v>
      </c>
      <c r="G35" s="409"/>
      <c r="H35" s="409"/>
      <c r="I35" s="121" t="s">
        <v>395</v>
      </c>
      <c r="K35" s="456"/>
      <c r="L35" s="452"/>
      <c r="M35" s="378">
        <f>F34</f>
        <v>234.53</v>
      </c>
      <c r="N35" s="481"/>
      <c r="O35" s="452"/>
      <c r="P35" s="452"/>
      <c r="Q35" s="452"/>
    </row>
    <row r="36">
      <c r="B36" s="121" t="s">
        <v>157</v>
      </c>
      <c r="C36" s="496"/>
      <c r="D36" s="378">
        <v>50.0</v>
      </c>
      <c r="E36" s="378">
        <f t="shared" ref="E36:F36" si="5">D36</f>
        <v>50</v>
      </c>
      <c r="F36" s="123">
        <f t="shared" si="5"/>
        <v>50</v>
      </c>
      <c r="G36" s="409"/>
      <c r="H36" s="409"/>
      <c r="I36" s="121" t="s">
        <v>156</v>
      </c>
      <c r="K36" s="458"/>
      <c r="L36" s="452"/>
      <c r="M36" s="452"/>
      <c r="N36" s="498">
        <f>F35</f>
        <v>100</v>
      </c>
      <c r="O36" s="452"/>
      <c r="P36" s="452"/>
      <c r="Q36" s="452"/>
      <c r="R36" s="18"/>
    </row>
    <row r="37">
      <c r="B37" s="121" t="s">
        <v>393</v>
      </c>
      <c r="C37" s="496"/>
      <c r="D37" s="378">
        <v>200.0</v>
      </c>
      <c r="E37" s="378">
        <f t="shared" ref="E37:F37" si="6">D37</f>
        <v>200</v>
      </c>
      <c r="F37" s="123">
        <f t="shared" si="6"/>
        <v>200</v>
      </c>
      <c r="G37" s="409"/>
      <c r="H37" s="409"/>
      <c r="I37" s="121" t="s">
        <v>157</v>
      </c>
      <c r="K37" s="456"/>
      <c r="L37" s="452"/>
      <c r="M37" s="452"/>
      <c r="N37" s="481"/>
      <c r="O37" s="452"/>
      <c r="P37" s="498">
        <f>F36</f>
        <v>50</v>
      </c>
      <c r="Q37" s="456"/>
      <c r="R37" s="18"/>
    </row>
    <row r="38">
      <c r="B38" s="121" t="s">
        <v>159</v>
      </c>
      <c r="C38" s="496"/>
      <c r="D38" s="378">
        <v>800.0</v>
      </c>
      <c r="E38" s="378">
        <v>800.0</v>
      </c>
      <c r="F38" s="123">
        <v>800.0</v>
      </c>
      <c r="G38" s="409"/>
      <c r="H38" s="409"/>
      <c r="I38" s="121" t="s">
        <v>393</v>
      </c>
      <c r="K38" s="456"/>
      <c r="L38" s="452"/>
      <c r="M38" s="378">
        <f>F37</f>
        <v>200</v>
      </c>
      <c r="N38" s="452"/>
      <c r="O38" s="452"/>
      <c r="P38" s="452"/>
      <c r="Q38" s="452"/>
    </row>
    <row r="39">
      <c r="B39" s="121" t="s">
        <v>160</v>
      </c>
      <c r="C39" s="496"/>
      <c r="D39" s="378">
        <v>3000.0</v>
      </c>
      <c r="E39" s="378">
        <f t="shared" ref="E39:F39" si="7">D39</f>
        <v>3000</v>
      </c>
      <c r="F39" s="123">
        <f t="shared" si="7"/>
        <v>3000</v>
      </c>
      <c r="G39" s="409"/>
      <c r="H39" s="409"/>
      <c r="I39" s="121" t="s">
        <v>159</v>
      </c>
      <c r="J39" s="123">
        <v>400.0</v>
      </c>
      <c r="K39" s="123">
        <v>400.0</v>
      </c>
      <c r="L39" s="452"/>
      <c r="M39" s="452"/>
      <c r="N39" s="452"/>
      <c r="O39" s="452"/>
      <c r="P39" s="452"/>
      <c r="Q39" s="452"/>
    </row>
    <row r="40">
      <c r="B40" s="121" t="s">
        <v>184</v>
      </c>
      <c r="C40" s="496"/>
      <c r="D40" s="378">
        <v>1000.0</v>
      </c>
      <c r="E40" s="378">
        <v>1000.0</v>
      </c>
      <c r="F40" s="123">
        <v>1000.0</v>
      </c>
      <c r="G40" s="409"/>
      <c r="H40" s="409"/>
      <c r="I40" s="121" t="s">
        <v>160</v>
      </c>
      <c r="J40" s="123">
        <v>1500.0</v>
      </c>
      <c r="K40" s="123">
        <v>1500.0</v>
      </c>
      <c r="L40" s="452"/>
      <c r="M40" s="481"/>
      <c r="N40" s="452"/>
      <c r="O40" s="452"/>
      <c r="P40" s="452"/>
      <c r="Q40" s="452"/>
    </row>
    <row r="41">
      <c r="B41" s="121" t="s">
        <v>3</v>
      </c>
      <c r="C41" s="496"/>
      <c r="D41" s="378">
        <v>500.0</v>
      </c>
      <c r="E41" s="378">
        <v>500.0</v>
      </c>
      <c r="F41" s="123">
        <v>500.0</v>
      </c>
      <c r="G41" s="409"/>
      <c r="H41" s="409"/>
      <c r="I41" s="121" t="s">
        <v>184</v>
      </c>
      <c r="K41" s="456"/>
      <c r="M41" s="378">
        <f t="shared" ref="M41:M42" si="9">F40</f>
        <v>1000</v>
      </c>
      <c r="N41" s="452"/>
      <c r="O41" s="452"/>
      <c r="P41" s="452"/>
      <c r="Q41" s="452"/>
    </row>
    <row r="42">
      <c r="B42" s="152" t="s">
        <v>161</v>
      </c>
      <c r="C42" s="153"/>
      <c r="D42" s="154">
        <f t="shared" ref="D42:F42" si="8">SUM(D19:D41)*-1</f>
        <v>-13575.68</v>
      </c>
      <c r="E42" s="154">
        <f t="shared" si="8"/>
        <v>-13505.68</v>
      </c>
      <c r="F42" s="154">
        <f t="shared" si="8"/>
        <v>-13504.84</v>
      </c>
      <c r="G42" s="409"/>
      <c r="H42" s="409"/>
      <c r="I42" s="121" t="s">
        <v>3</v>
      </c>
      <c r="K42" s="452"/>
      <c r="L42" s="452"/>
      <c r="M42" s="378">
        <f t="shared" si="9"/>
        <v>500</v>
      </c>
      <c r="N42" s="452"/>
      <c r="O42" s="452"/>
      <c r="P42" s="452"/>
      <c r="Q42" s="452"/>
    </row>
    <row r="43">
      <c r="C43" s="27"/>
      <c r="G43" s="409"/>
      <c r="H43" s="409"/>
      <c r="I43" s="499"/>
      <c r="J43" s="456"/>
      <c r="K43" s="451"/>
      <c r="L43" s="451"/>
      <c r="M43" s="456"/>
      <c r="N43" s="451"/>
      <c r="O43" s="451"/>
      <c r="P43" s="451"/>
      <c r="Q43" s="451"/>
    </row>
    <row r="44">
      <c r="B44" s="156" t="s">
        <v>162</v>
      </c>
      <c r="C44" s="157"/>
      <c r="D44" s="158">
        <f t="shared" ref="D44:F44" si="10">D16+D42</f>
        <v>1014.99</v>
      </c>
      <c r="E44" s="469">
        <f t="shared" si="10"/>
        <v>928.34</v>
      </c>
      <c r="F44" s="469">
        <f t="shared" si="10"/>
        <v>1110</v>
      </c>
      <c r="G44" s="18"/>
      <c r="H44" s="18"/>
      <c r="I44" s="18" t="s">
        <v>391</v>
      </c>
      <c r="J44" s="455"/>
      <c r="K44" s="457"/>
      <c r="L44" s="452"/>
      <c r="M44" s="479">
        <v>724.25</v>
      </c>
      <c r="N44" s="452"/>
      <c r="O44" s="451"/>
      <c r="P44" s="452"/>
      <c r="Q44" s="452"/>
    </row>
    <row r="45">
      <c r="B45" s="83"/>
      <c r="C45" s="159"/>
      <c r="D45" s="84"/>
      <c r="E45" s="84"/>
      <c r="F45" s="84"/>
      <c r="G45" s="18"/>
      <c r="H45" s="18"/>
      <c r="I45" s="462" t="s">
        <v>382</v>
      </c>
      <c r="J45" s="462"/>
      <c r="K45" s="452"/>
      <c r="L45" s="452"/>
      <c r="M45" s="479">
        <f>F56</f>
        <v>385.75</v>
      </c>
      <c r="N45" s="452"/>
      <c r="O45" s="458"/>
      <c r="P45" s="452"/>
      <c r="Q45" s="452"/>
    </row>
    <row r="46">
      <c r="B46" s="85" t="s">
        <v>163</v>
      </c>
      <c r="C46" s="160"/>
      <c r="D46" s="161" t="s">
        <v>134</v>
      </c>
      <c r="E46" s="161" t="s">
        <v>134</v>
      </c>
      <c r="F46" s="161" t="s">
        <v>134</v>
      </c>
      <c r="G46" s="107"/>
      <c r="H46" s="107"/>
      <c r="I46" s="463" t="s">
        <v>26</v>
      </c>
      <c r="J46" s="464">
        <f t="shared" ref="J46:Q46" si="11">SUM(J20:J45)</f>
        <v>4904.8</v>
      </c>
      <c r="K46" s="465">
        <f t="shared" si="11"/>
        <v>2300</v>
      </c>
      <c r="L46" s="465">
        <f t="shared" si="11"/>
        <v>2017.9</v>
      </c>
      <c r="M46" s="465">
        <f t="shared" si="11"/>
        <v>3154.53</v>
      </c>
      <c r="N46" s="465">
        <f t="shared" si="11"/>
        <v>387.61</v>
      </c>
      <c r="O46" s="465">
        <f t="shared" si="11"/>
        <v>1400</v>
      </c>
      <c r="P46" s="465">
        <f t="shared" si="11"/>
        <v>50</v>
      </c>
      <c r="Q46" s="465">
        <f t="shared" si="11"/>
        <v>400</v>
      </c>
      <c r="R46" s="27">
        <f>SUM(J46:Q46)</f>
        <v>14614.84</v>
      </c>
    </row>
    <row r="47">
      <c r="B47" s="162"/>
      <c r="C47" s="163"/>
      <c r="D47" s="165"/>
      <c r="E47" s="165"/>
      <c r="F47" s="165"/>
      <c r="G47" s="107"/>
      <c r="H47" s="107"/>
      <c r="I47" s="107" t="s">
        <v>389</v>
      </c>
      <c r="J47" s="486">
        <f>F12-J46</f>
        <v>3788.09</v>
      </c>
      <c r="K47" s="472">
        <v>1391.95</v>
      </c>
      <c r="L47" s="287"/>
    </row>
    <row r="48">
      <c r="A48" s="298"/>
      <c r="B48" s="162" t="s">
        <v>58</v>
      </c>
      <c r="C48" s="163"/>
      <c r="D48" s="167">
        <v>724.25</v>
      </c>
      <c r="E48" s="167">
        <v>724.25</v>
      </c>
      <c r="F48" s="167">
        <v>724.25</v>
      </c>
      <c r="G48" s="248"/>
      <c r="H48" s="248"/>
      <c r="I48" s="325" t="s">
        <v>353</v>
      </c>
      <c r="M48" s="393">
        <v>924.53</v>
      </c>
      <c r="O48" s="18">
        <v>60.87</v>
      </c>
    </row>
    <row r="49">
      <c r="B49" s="162"/>
      <c r="C49" s="163"/>
      <c r="D49" s="166"/>
      <c r="E49" s="166"/>
      <c r="F49" s="166"/>
      <c r="G49" s="107"/>
      <c r="H49" s="107"/>
      <c r="I49" s="107"/>
      <c r="M49" s="387"/>
      <c r="O49" s="387"/>
    </row>
    <row r="50">
      <c r="B50" s="168"/>
      <c r="C50" s="169"/>
      <c r="D50" s="170"/>
      <c r="E50" s="170"/>
      <c r="F50" s="170"/>
      <c r="G50" s="107"/>
      <c r="H50" s="107"/>
      <c r="I50" s="107"/>
      <c r="M50" s="18">
        <v>1328.5</v>
      </c>
      <c r="O50" s="393">
        <v>-73.05</v>
      </c>
    </row>
    <row r="51">
      <c r="B51" s="152" t="s">
        <v>167</v>
      </c>
      <c r="C51" s="171"/>
      <c r="D51" s="172">
        <f t="shared" ref="D51:F51" si="12">SUM(D47:D50)*-1</f>
        <v>-724.25</v>
      </c>
      <c r="E51" s="154">
        <f t="shared" si="12"/>
        <v>-724.25</v>
      </c>
      <c r="F51" s="154">
        <f t="shared" si="12"/>
        <v>-724.25</v>
      </c>
      <c r="G51" s="18"/>
      <c r="H51" s="18"/>
      <c r="O51" s="393">
        <f>L46+O48</f>
        <v>2078.77</v>
      </c>
    </row>
    <row r="52">
      <c r="B52" s="83"/>
      <c r="C52" s="159"/>
      <c r="D52" s="96"/>
      <c r="E52" s="96"/>
      <c r="F52" s="96"/>
      <c r="G52" s="107"/>
      <c r="H52" s="107"/>
      <c r="I52" s="107"/>
    </row>
    <row r="53">
      <c r="B53" s="173" t="s">
        <v>168</v>
      </c>
      <c r="C53" s="174"/>
      <c r="D53" s="488">
        <f t="shared" ref="D53:F53" si="13">D44+D51</f>
        <v>290.74</v>
      </c>
      <c r="E53" s="488">
        <f t="shared" si="13"/>
        <v>204.09</v>
      </c>
      <c r="F53" s="488">
        <f t="shared" si="13"/>
        <v>385.75</v>
      </c>
      <c r="G53" s="107"/>
      <c r="H53" s="107"/>
      <c r="I53" s="107"/>
      <c r="J53" s="107"/>
      <c r="M53" s="393">
        <f>M50-M48</f>
        <v>403.97</v>
      </c>
    </row>
    <row r="54">
      <c r="B54" s="83"/>
      <c r="C54" s="159"/>
      <c r="D54" s="96"/>
      <c r="E54" s="107"/>
      <c r="F54" s="107"/>
      <c r="G54" s="107"/>
      <c r="H54" s="107"/>
      <c r="I54" s="107"/>
      <c r="J54" s="18"/>
    </row>
    <row r="55">
      <c r="B55" s="100" t="s">
        <v>169</v>
      </c>
      <c r="C55" s="176"/>
      <c r="D55" s="177" t="s">
        <v>134</v>
      </c>
      <c r="E55" s="57" t="s">
        <v>396</v>
      </c>
      <c r="F55" s="57" t="s">
        <v>396</v>
      </c>
      <c r="G55" s="107"/>
      <c r="H55" s="107"/>
      <c r="I55" s="107"/>
      <c r="J55" s="18"/>
    </row>
    <row r="56">
      <c r="B56" s="152" t="s">
        <v>171</v>
      </c>
      <c r="C56" s="153"/>
      <c r="D56" s="171">
        <f t="shared" ref="D56:F56" si="14">+D53</f>
        <v>290.74</v>
      </c>
      <c r="E56" s="495">
        <f t="shared" si="14"/>
        <v>204.09</v>
      </c>
      <c r="F56" s="495">
        <f t="shared" si="14"/>
        <v>385.75</v>
      </c>
      <c r="G56" s="27"/>
      <c r="H56" s="27"/>
      <c r="I56" s="27"/>
    </row>
    <row r="57">
      <c r="C57" s="27"/>
      <c r="D57" s="27"/>
      <c r="E57" s="27"/>
      <c r="F57" s="27"/>
      <c r="G57" s="27"/>
      <c r="H57" s="27"/>
      <c r="I57" s="27"/>
    </row>
    <row r="58">
      <c r="C58" s="27"/>
      <c r="D58" s="27"/>
      <c r="E58" s="27"/>
      <c r="F58" s="27"/>
      <c r="G58" s="27"/>
      <c r="H58" s="27"/>
      <c r="I58" s="27"/>
    </row>
    <row r="59">
      <c r="C59" s="27"/>
      <c r="D59" s="27"/>
      <c r="E59" s="27"/>
      <c r="F59" s="27"/>
      <c r="G59" s="27"/>
      <c r="H59" s="27"/>
      <c r="I59" s="27"/>
    </row>
    <row r="60">
      <c r="C60" s="27"/>
      <c r="D60" s="27"/>
      <c r="E60" s="27"/>
      <c r="F60" s="27"/>
      <c r="G60" s="27"/>
      <c r="H60" s="27"/>
      <c r="I60" s="27"/>
    </row>
    <row r="61">
      <c r="C61" s="27"/>
      <c r="D61" s="27"/>
      <c r="E61" s="27"/>
      <c r="F61" s="27"/>
      <c r="G61" s="27"/>
      <c r="H61" s="27"/>
      <c r="I61" s="27"/>
    </row>
    <row r="62">
      <c r="C62" s="27"/>
      <c r="D62" s="27"/>
      <c r="E62" s="27"/>
      <c r="F62" s="27"/>
      <c r="G62" s="27"/>
      <c r="H62" s="27"/>
      <c r="I62" s="27"/>
    </row>
    <row r="63">
      <c r="C63" s="27"/>
      <c r="D63" s="27"/>
      <c r="E63" s="27"/>
      <c r="F63" s="27"/>
      <c r="G63" s="27"/>
      <c r="H63" s="27"/>
      <c r="I63" s="27"/>
    </row>
    <row r="64">
      <c r="C64" s="27"/>
      <c r="D64" s="27"/>
      <c r="E64" s="27"/>
      <c r="F64" s="27"/>
      <c r="G64" s="27"/>
      <c r="H64" s="27"/>
      <c r="I64" s="27"/>
    </row>
    <row r="65">
      <c r="C65" s="27"/>
      <c r="D65" s="27"/>
      <c r="E65" s="27"/>
      <c r="F65" s="27"/>
      <c r="G65" s="27"/>
      <c r="H65" s="27"/>
      <c r="I65" s="27"/>
    </row>
    <row r="66">
      <c r="C66" s="27"/>
      <c r="D66" s="27"/>
      <c r="E66" s="27"/>
      <c r="F66" s="27"/>
      <c r="G66" s="27"/>
      <c r="H66" s="27"/>
      <c r="I66" s="27"/>
    </row>
    <row r="67">
      <c r="C67" s="27"/>
      <c r="D67" s="27"/>
      <c r="E67" s="27"/>
      <c r="F67" s="27"/>
      <c r="G67" s="27"/>
      <c r="H67" s="27"/>
      <c r="I67" s="27"/>
    </row>
    <row r="68">
      <c r="C68" s="27"/>
      <c r="D68" s="27"/>
      <c r="E68" s="27"/>
      <c r="F68" s="27"/>
      <c r="G68" s="27"/>
      <c r="H68" s="27"/>
      <c r="I68" s="27"/>
    </row>
    <row r="69">
      <c r="C69" s="27"/>
      <c r="D69" s="27"/>
      <c r="E69" s="27"/>
      <c r="F69" s="27"/>
      <c r="G69" s="27"/>
      <c r="H69" s="27"/>
      <c r="I69" s="27"/>
    </row>
    <row r="70">
      <c r="C70" s="27"/>
      <c r="D70" s="27"/>
      <c r="E70" s="27"/>
      <c r="F70" s="27"/>
      <c r="G70" s="27"/>
      <c r="H70" s="27"/>
      <c r="I70" s="27"/>
    </row>
    <row r="71">
      <c r="C71" s="27"/>
      <c r="D71" s="27"/>
      <c r="E71" s="27"/>
      <c r="F71" s="27"/>
      <c r="G71" s="27"/>
      <c r="H71" s="27"/>
      <c r="I71" s="27"/>
    </row>
    <row r="72">
      <c r="C72" s="27"/>
      <c r="D72" s="27"/>
      <c r="E72" s="27"/>
      <c r="F72" s="27"/>
      <c r="G72" s="27"/>
      <c r="H72" s="27"/>
      <c r="I72" s="27"/>
    </row>
    <row r="73">
      <c r="C73" s="27"/>
      <c r="D73" s="27"/>
      <c r="E73" s="27"/>
      <c r="F73" s="27"/>
      <c r="G73" s="27"/>
      <c r="H73" s="27"/>
      <c r="I73" s="27"/>
    </row>
    <row r="74">
      <c r="C74" s="27"/>
      <c r="D74" s="27"/>
      <c r="E74" s="27"/>
      <c r="F74" s="27"/>
      <c r="G74" s="27"/>
      <c r="H74" s="27"/>
      <c r="I74" s="27"/>
    </row>
    <row r="75">
      <c r="C75" s="27"/>
      <c r="D75" s="27"/>
      <c r="E75" s="27"/>
      <c r="F75" s="27"/>
      <c r="G75" s="27"/>
      <c r="H75" s="27"/>
      <c r="I75" s="27"/>
    </row>
    <row r="76">
      <c r="C76" s="27"/>
      <c r="D76" s="27"/>
      <c r="E76" s="27"/>
      <c r="F76" s="27"/>
      <c r="G76" s="27"/>
      <c r="H76" s="27"/>
      <c r="I76" s="27"/>
    </row>
    <row r="77">
      <c r="C77" s="27"/>
      <c r="D77" s="27"/>
      <c r="E77" s="27"/>
      <c r="F77" s="27"/>
      <c r="G77" s="27"/>
      <c r="H77" s="27"/>
      <c r="I77" s="27"/>
    </row>
    <row r="78">
      <c r="C78" s="27"/>
      <c r="D78" s="27"/>
      <c r="E78" s="27"/>
      <c r="F78" s="27"/>
      <c r="G78" s="27"/>
      <c r="H78" s="27"/>
      <c r="I78" s="27"/>
    </row>
    <row r="79">
      <c r="C79" s="27"/>
      <c r="D79" s="27"/>
      <c r="E79" s="27"/>
      <c r="F79" s="27"/>
      <c r="G79" s="27"/>
      <c r="H79" s="27"/>
      <c r="I79" s="27"/>
    </row>
    <row r="80">
      <c r="C80" s="27"/>
      <c r="D80" s="27"/>
      <c r="E80" s="27"/>
      <c r="F80" s="27"/>
      <c r="G80" s="27"/>
      <c r="H80" s="27"/>
      <c r="I80" s="27"/>
    </row>
    <row r="81">
      <c r="C81" s="27"/>
      <c r="D81" s="27"/>
      <c r="E81" s="27"/>
      <c r="F81" s="27"/>
      <c r="G81" s="27"/>
      <c r="H81" s="27"/>
      <c r="I81" s="27"/>
    </row>
    <row r="82">
      <c r="C82" s="27"/>
      <c r="D82" s="27"/>
      <c r="E82" s="27"/>
      <c r="F82" s="27"/>
      <c r="G82" s="27"/>
      <c r="H82" s="27"/>
      <c r="I82" s="27"/>
    </row>
    <row r="83">
      <c r="C83" s="27"/>
      <c r="D83" s="27"/>
      <c r="E83" s="27"/>
      <c r="F83" s="27"/>
      <c r="G83" s="27"/>
      <c r="H83" s="27"/>
      <c r="I83" s="27"/>
    </row>
    <row r="84">
      <c r="C84" s="27"/>
      <c r="D84" s="27"/>
      <c r="E84" s="27"/>
      <c r="F84" s="27"/>
      <c r="G84" s="27"/>
      <c r="H84" s="27"/>
      <c r="I84" s="27"/>
    </row>
    <row r="85">
      <c r="C85" s="27"/>
      <c r="D85" s="27"/>
      <c r="E85" s="27"/>
      <c r="F85" s="27"/>
      <c r="G85" s="27"/>
      <c r="H85" s="27"/>
      <c r="I85" s="27"/>
    </row>
    <row r="86">
      <c r="C86" s="27"/>
      <c r="D86" s="27"/>
      <c r="E86" s="27"/>
      <c r="F86" s="27"/>
      <c r="G86" s="27"/>
      <c r="H86" s="27"/>
      <c r="I86" s="27"/>
    </row>
    <row r="87">
      <c r="C87" s="27"/>
      <c r="D87" s="27"/>
      <c r="E87" s="27"/>
      <c r="F87" s="27"/>
      <c r="G87" s="27"/>
      <c r="H87" s="27"/>
      <c r="I87" s="27"/>
    </row>
    <row r="88">
      <c r="C88" s="27"/>
      <c r="D88" s="27"/>
      <c r="E88" s="27"/>
      <c r="F88" s="27"/>
      <c r="G88" s="27"/>
      <c r="H88" s="27"/>
      <c r="I88" s="27"/>
    </row>
    <row r="89">
      <c r="C89" s="27"/>
      <c r="D89" s="27"/>
      <c r="E89" s="27"/>
      <c r="F89" s="27"/>
      <c r="G89" s="27"/>
      <c r="H89" s="27"/>
      <c r="I89" s="27"/>
    </row>
    <row r="90">
      <c r="C90" s="27"/>
      <c r="D90" s="27"/>
      <c r="E90" s="27"/>
      <c r="F90" s="27"/>
      <c r="G90" s="27"/>
      <c r="H90" s="27"/>
      <c r="I90" s="27"/>
    </row>
    <row r="91">
      <c r="C91" s="27"/>
      <c r="D91" s="27"/>
      <c r="E91" s="27"/>
      <c r="F91" s="27"/>
      <c r="G91" s="27"/>
      <c r="H91" s="27"/>
      <c r="I91" s="27"/>
    </row>
    <row r="92">
      <c r="C92" s="27"/>
      <c r="D92" s="27"/>
      <c r="E92" s="27"/>
      <c r="F92" s="27"/>
      <c r="G92" s="27"/>
      <c r="H92" s="27"/>
      <c r="I92" s="27"/>
    </row>
    <row r="93">
      <c r="C93" s="27"/>
      <c r="D93" s="27"/>
      <c r="E93" s="27"/>
      <c r="F93" s="27"/>
      <c r="G93" s="27"/>
      <c r="H93" s="27"/>
      <c r="I93" s="27"/>
    </row>
    <row r="94">
      <c r="C94" s="27"/>
      <c r="D94" s="27"/>
      <c r="E94" s="27"/>
      <c r="F94" s="27"/>
      <c r="G94" s="27"/>
      <c r="H94" s="27"/>
      <c r="I94" s="27"/>
    </row>
    <row r="95">
      <c r="C95" s="27"/>
      <c r="D95" s="27"/>
      <c r="E95" s="27"/>
      <c r="F95" s="27"/>
      <c r="G95" s="27"/>
      <c r="H95" s="27"/>
      <c r="I95" s="27"/>
    </row>
    <row r="96">
      <c r="C96" s="27"/>
      <c r="D96" s="27"/>
      <c r="E96" s="27"/>
      <c r="F96" s="27"/>
      <c r="G96" s="27"/>
      <c r="H96" s="27"/>
      <c r="I96" s="27"/>
    </row>
    <row r="97">
      <c r="C97" s="27"/>
      <c r="D97" s="27"/>
      <c r="E97" s="27"/>
      <c r="F97" s="27"/>
      <c r="G97" s="27"/>
      <c r="H97" s="27"/>
      <c r="I97" s="27"/>
    </row>
    <row r="98">
      <c r="C98" s="27"/>
      <c r="D98" s="27"/>
      <c r="E98" s="27"/>
      <c r="F98" s="27"/>
      <c r="G98" s="27"/>
      <c r="H98" s="27"/>
      <c r="I98" s="27"/>
    </row>
    <row r="99">
      <c r="C99" s="27"/>
      <c r="D99" s="27"/>
      <c r="E99" s="27"/>
      <c r="F99" s="27"/>
      <c r="G99" s="27"/>
      <c r="H99" s="27"/>
      <c r="I99" s="27"/>
    </row>
    <row r="100">
      <c r="C100" s="27"/>
      <c r="D100" s="27"/>
      <c r="E100" s="27"/>
      <c r="F100" s="27"/>
      <c r="G100" s="27"/>
      <c r="H100" s="27"/>
      <c r="I100" s="27"/>
    </row>
    <row r="101">
      <c r="C101" s="27"/>
      <c r="D101" s="27"/>
      <c r="E101" s="27"/>
      <c r="F101" s="27"/>
      <c r="G101" s="27"/>
      <c r="H101" s="27"/>
      <c r="I101" s="27"/>
    </row>
    <row r="102">
      <c r="C102" s="27"/>
      <c r="D102" s="27"/>
      <c r="E102" s="27"/>
      <c r="F102" s="27"/>
      <c r="G102" s="27"/>
      <c r="H102" s="27"/>
      <c r="I102" s="27"/>
    </row>
    <row r="103">
      <c r="C103" s="27"/>
      <c r="D103" s="27"/>
      <c r="E103" s="27"/>
      <c r="F103" s="27"/>
      <c r="G103" s="27"/>
      <c r="H103" s="27"/>
      <c r="I103" s="27"/>
    </row>
    <row r="104">
      <c r="C104" s="27"/>
      <c r="D104" s="27"/>
      <c r="E104" s="27"/>
      <c r="F104" s="27"/>
      <c r="G104" s="27"/>
      <c r="H104" s="27"/>
      <c r="I104" s="27"/>
    </row>
    <row r="105">
      <c r="C105" s="27"/>
      <c r="D105" s="27"/>
      <c r="E105" s="27"/>
      <c r="F105" s="27"/>
      <c r="G105" s="27"/>
      <c r="H105" s="27"/>
      <c r="I105" s="27"/>
    </row>
    <row r="106">
      <c r="C106" s="27"/>
      <c r="D106" s="27"/>
      <c r="E106" s="27"/>
      <c r="F106" s="27"/>
      <c r="G106" s="27"/>
      <c r="H106" s="27"/>
      <c r="I106" s="27"/>
    </row>
    <row r="107">
      <c r="C107" s="27"/>
      <c r="D107" s="27"/>
      <c r="E107" s="27"/>
      <c r="F107" s="27"/>
      <c r="G107" s="27"/>
      <c r="H107" s="27"/>
      <c r="I107" s="27"/>
    </row>
    <row r="108">
      <c r="C108" s="27"/>
      <c r="D108" s="27"/>
      <c r="E108" s="27"/>
      <c r="F108" s="27"/>
      <c r="G108" s="27"/>
      <c r="H108" s="27"/>
      <c r="I108" s="27"/>
    </row>
    <row r="109">
      <c r="C109" s="27"/>
      <c r="D109" s="27"/>
      <c r="E109" s="27"/>
      <c r="F109" s="27"/>
      <c r="G109" s="27"/>
      <c r="H109" s="27"/>
      <c r="I109" s="27"/>
    </row>
    <row r="110">
      <c r="C110" s="27"/>
      <c r="D110" s="27"/>
      <c r="E110" s="27"/>
      <c r="F110" s="27"/>
      <c r="G110" s="27"/>
      <c r="H110" s="27"/>
      <c r="I110" s="27"/>
    </row>
    <row r="111">
      <c r="C111" s="27"/>
      <c r="D111" s="27"/>
      <c r="E111" s="27"/>
      <c r="F111" s="27"/>
      <c r="G111" s="27"/>
      <c r="H111" s="27"/>
      <c r="I111" s="27"/>
    </row>
    <row r="112">
      <c r="C112" s="27"/>
      <c r="D112" s="27"/>
      <c r="E112" s="27"/>
      <c r="F112" s="27"/>
      <c r="G112" s="27"/>
      <c r="H112" s="27"/>
      <c r="I112" s="27"/>
    </row>
    <row r="113">
      <c r="C113" s="27"/>
      <c r="D113" s="27"/>
      <c r="E113" s="27"/>
      <c r="F113" s="27"/>
      <c r="G113" s="27"/>
      <c r="H113" s="27"/>
      <c r="I113" s="27"/>
    </row>
    <row r="114">
      <c r="C114" s="27"/>
      <c r="D114" s="27"/>
      <c r="E114" s="27"/>
      <c r="F114" s="27"/>
      <c r="G114" s="27"/>
      <c r="H114" s="27"/>
      <c r="I114" s="27"/>
    </row>
    <row r="115">
      <c r="C115" s="27"/>
      <c r="D115" s="27"/>
      <c r="E115" s="27"/>
      <c r="F115" s="27"/>
      <c r="G115" s="27"/>
      <c r="H115" s="27"/>
      <c r="I115" s="27"/>
    </row>
    <row r="116">
      <c r="C116" s="27"/>
      <c r="D116" s="27"/>
      <c r="E116" s="27"/>
      <c r="F116" s="27"/>
      <c r="G116" s="27"/>
      <c r="H116" s="27"/>
      <c r="I116" s="27"/>
    </row>
    <row r="117">
      <c r="C117" s="27"/>
      <c r="D117" s="27"/>
      <c r="E117" s="27"/>
      <c r="F117" s="27"/>
      <c r="G117" s="27"/>
      <c r="H117" s="27"/>
      <c r="I117" s="27"/>
    </row>
    <row r="118">
      <c r="C118" s="27"/>
      <c r="D118" s="27"/>
      <c r="E118" s="27"/>
      <c r="F118" s="27"/>
      <c r="G118" s="27"/>
      <c r="H118" s="27"/>
      <c r="I118" s="27"/>
    </row>
    <row r="119">
      <c r="C119" s="27"/>
      <c r="D119" s="27"/>
      <c r="E119" s="27"/>
      <c r="F119" s="27"/>
      <c r="G119" s="27"/>
      <c r="H119" s="27"/>
      <c r="I119" s="27"/>
    </row>
    <row r="120">
      <c r="C120" s="27"/>
      <c r="D120" s="27"/>
      <c r="E120" s="27"/>
      <c r="F120" s="27"/>
      <c r="G120" s="27"/>
      <c r="H120" s="27"/>
      <c r="I120" s="27"/>
    </row>
    <row r="121">
      <c r="C121" s="27"/>
      <c r="D121" s="27"/>
      <c r="E121" s="27"/>
      <c r="F121" s="27"/>
      <c r="G121" s="27"/>
      <c r="H121" s="27"/>
      <c r="I121" s="27"/>
    </row>
    <row r="122">
      <c r="C122" s="27"/>
      <c r="D122" s="27"/>
      <c r="E122" s="27"/>
      <c r="F122" s="27"/>
      <c r="G122" s="27"/>
      <c r="H122" s="27"/>
      <c r="I122" s="27"/>
    </row>
    <row r="123">
      <c r="C123" s="27"/>
      <c r="D123" s="27"/>
      <c r="E123" s="27"/>
      <c r="F123" s="27"/>
      <c r="G123" s="27"/>
      <c r="H123" s="27"/>
      <c r="I123" s="27"/>
    </row>
    <row r="124">
      <c r="C124" s="27"/>
      <c r="D124" s="27"/>
      <c r="E124" s="27"/>
      <c r="F124" s="27"/>
      <c r="G124" s="27"/>
      <c r="H124" s="27"/>
      <c r="I124" s="27"/>
    </row>
    <row r="125">
      <c r="C125" s="27"/>
      <c r="D125" s="27"/>
      <c r="E125" s="27"/>
      <c r="F125" s="27"/>
      <c r="G125" s="27"/>
      <c r="H125" s="27"/>
      <c r="I125" s="27"/>
    </row>
    <row r="126">
      <c r="C126" s="27"/>
      <c r="D126" s="27"/>
      <c r="E126" s="27"/>
      <c r="F126" s="27"/>
      <c r="G126" s="27"/>
      <c r="H126" s="27"/>
      <c r="I126" s="27"/>
    </row>
    <row r="127">
      <c r="C127" s="27"/>
      <c r="D127" s="27"/>
      <c r="E127" s="27"/>
      <c r="F127" s="27"/>
      <c r="G127" s="27"/>
      <c r="H127" s="27"/>
      <c r="I127" s="27"/>
    </row>
    <row r="128">
      <c r="C128" s="27"/>
      <c r="D128" s="27"/>
      <c r="E128" s="27"/>
      <c r="F128" s="27"/>
      <c r="G128" s="27"/>
      <c r="H128" s="27"/>
      <c r="I128" s="27"/>
    </row>
    <row r="129">
      <c r="C129" s="27"/>
      <c r="D129" s="27"/>
      <c r="E129" s="27"/>
      <c r="F129" s="27"/>
      <c r="G129" s="27"/>
      <c r="H129" s="27"/>
      <c r="I129" s="27"/>
    </row>
    <row r="130">
      <c r="C130" s="27"/>
      <c r="D130" s="27"/>
      <c r="E130" s="27"/>
      <c r="F130" s="27"/>
      <c r="G130" s="27"/>
      <c r="H130" s="27"/>
      <c r="I130" s="27"/>
    </row>
    <row r="131">
      <c r="C131" s="27"/>
      <c r="D131" s="27"/>
      <c r="E131" s="27"/>
      <c r="F131" s="27"/>
      <c r="G131" s="27"/>
      <c r="H131" s="27"/>
      <c r="I131" s="27"/>
    </row>
    <row r="132">
      <c r="C132" s="27"/>
      <c r="D132" s="27"/>
      <c r="E132" s="27"/>
      <c r="F132" s="27"/>
      <c r="G132" s="27"/>
      <c r="H132" s="27"/>
      <c r="I132" s="27"/>
    </row>
    <row r="133">
      <c r="C133" s="27"/>
      <c r="D133" s="27"/>
      <c r="E133" s="27"/>
      <c r="F133" s="27"/>
      <c r="G133" s="27"/>
      <c r="H133" s="27"/>
      <c r="I133" s="27"/>
    </row>
    <row r="134">
      <c r="C134" s="27"/>
      <c r="D134" s="27"/>
      <c r="E134" s="27"/>
      <c r="F134" s="27"/>
      <c r="G134" s="27"/>
      <c r="H134" s="27"/>
      <c r="I134" s="27"/>
    </row>
    <row r="135">
      <c r="C135" s="27"/>
      <c r="D135" s="27"/>
      <c r="E135" s="27"/>
      <c r="F135" s="27"/>
      <c r="G135" s="27"/>
      <c r="H135" s="27"/>
      <c r="I135" s="27"/>
    </row>
    <row r="136">
      <c r="C136" s="27"/>
      <c r="D136" s="27"/>
      <c r="E136" s="27"/>
      <c r="F136" s="27"/>
      <c r="G136" s="27"/>
      <c r="H136" s="27"/>
      <c r="I136" s="27"/>
    </row>
    <row r="137">
      <c r="C137" s="27"/>
      <c r="D137" s="27"/>
      <c r="E137" s="27"/>
      <c r="F137" s="27"/>
      <c r="G137" s="27"/>
      <c r="H137" s="27"/>
      <c r="I137" s="27"/>
    </row>
    <row r="138">
      <c r="C138" s="27"/>
      <c r="D138" s="27"/>
      <c r="E138" s="27"/>
      <c r="F138" s="27"/>
      <c r="G138" s="27"/>
      <c r="H138" s="27"/>
      <c r="I138" s="27"/>
    </row>
    <row r="139">
      <c r="C139" s="27"/>
      <c r="D139" s="27"/>
      <c r="E139" s="27"/>
      <c r="F139" s="27"/>
      <c r="G139" s="27"/>
      <c r="H139" s="27"/>
      <c r="I139" s="27"/>
    </row>
    <row r="140">
      <c r="C140" s="27"/>
      <c r="D140" s="27"/>
      <c r="E140" s="27"/>
      <c r="F140" s="27"/>
      <c r="G140" s="27"/>
      <c r="H140" s="27"/>
      <c r="I140" s="27"/>
    </row>
    <row r="141">
      <c r="C141" s="27"/>
      <c r="D141" s="27"/>
      <c r="E141" s="27"/>
      <c r="F141" s="27"/>
      <c r="G141" s="27"/>
      <c r="H141" s="27"/>
      <c r="I141" s="27"/>
    </row>
    <row r="142">
      <c r="C142" s="27"/>
      <c r="D142" s="27"/>
      <c r="E142" s="27"/>
      <c r="F142" s="27"/>
      <c r="G142" s="27"/>
      <c r="H142" s="27"/>
      <c r="I142" s="27"/>
    </row>
    <row r="143">
      <c r="C143" s="27"/>
      <c r="D143" s="27"/>
      <c r="E143" s="27"/>
      <c r="F143" s="27"/>
      <c r="G143" s="27"/>
      <c r="H143" s="27"/>
      <c r="I143" s="27"/>
    </row>
    <row r="144">
      <c r="C144" s="27"/>
      <c r="D144" s="27"/>
      <c r="E144" s="27"/>
      <c r="F144" s="27"/>
      <c r="G144" s="27"/>
      <c r="H144" s="27"/>
      <c r="I144" s="27"/>
    </row>
    <row r="145">
      <c r="C145" s="27"/>
      <c r="D145" s="27"/>
      <c r="E145" s="27"/>
      <c r="F145" s="27"/>
      <c r="G145" s="27"/>
      <c r="H145" s="27"/>
      <c r="I145" s="27"/>
    </row>
    <row r="146">
      <c r="C146" s="27"/>
      <c r="D146" s="27"/>
      <c r="E146" s="27"/>
      <c r="F146" s="27"/>
      <c r="G146" s="27"/>
      <c r="H146" s="27"/>
      <c r="I146" s="27"/>
    </row>
    <row r="147">
      <c r="C147" s="27"/>
      <c r="D147" s="27"/>
      <c r="E147" s="27"/>
      <c r="F147" s="27"/>
      <c r="G147" s="27"/>
      <c r="H147" s="27"/>
      <c r="I147" s="27"/>
    </row>
    <row r="148">
      <c r="C148" s="27"/>
      <c r="D148" s="27"/>
      <c r="E148" s="27"/>
      <c r="F148" s="27"/>
      <c r="G148" s="27"/>
      <c r="H148" s="27"/>
      <c r="I148" s="27"/>
    </row>
    <row r="149">
      <c r="C149" s="27"/>
      <c r="D149" s="27"/>
      <c r="E149" s="27"/>
      <c r="F149" s="27"/>
      <c r="G149" s="27"/>
      <c r="H149" s="27"/>
      <c r="I149" s="27"/>
    </row>
    <row r="150">
      <c r="C150" s="27"/>
      <c r="D150" s="27"/>
      <c r="E150" s="27"/>
      <c r="F150" s="27"/>
      <c r="G150" s="27"/>
      <c r="H150" s="27"/>
      <c r="I150" s="27"/>
    </row>
    <row r="151">
      <c r="C151" s="27"/>
      <c r="D151" s="27"/>
      <c r="E151" s="27"/>
      <c r="F151" s="27"/>
      <c r="G151" s="27"/>
      <c r="H151" s="27"/>
      <c r="I151" s="27"/>
    </row>
    <row r="152">
      <c r="C152" s="27"/>
      <c r="D152" s="27"/>
      <c r="E152" s="27"/>
      <c r="F152" s="27"/>
      <c r="G152" s="27"/>
      <c r="H152" s="27"/>
      <c r="I152" s="27"/>
    </row>
    <row r="153">
      <c r="C153" s="27"/>
      <c r="D153" s="27"/>
      <c r="E153" s="27"/>
      <c r="F153" s="27"/>
      <c r="G153" s="27"/>
      <c r="H153" s="27"/>
      <c r="I153" s="27"/>
    </row>
    <row r="154">
      <c r="C154" s="27"/>
      <c r="D154" s="27"/>
      <c r="E154" s="27"/>
      <c r="F154" s="27"/>
      <c r="G154" s="27"/>
      <c r="H154" s="27"/>
      <c r="I154" s="27"/>
    </row>
    <row r="155">
      <c r="C155" s="27"/>
      <c r="D155" s="27"/>
      <c r="E155" s="27"/>
      <c r="F155" s="27"/>
      <c r="G155" s="27"/>
      <c r="H155" s="27"/>
      <c r="I155" s="27"/>
    </row>
    <row r="156">
      <c r="C156" s="27"/>
      <c r="D156" s="27"/>
      <c r="E156" s="27"/>
      <c r="F156" s="27"/>
      <c r="G156" s="27"/>
      <c r="H156" s="27"/>
      <c r="I156" s="27"/>
    </row>
    <row r="157">
      <c r="C157" s="27"/>
      <c r="D157" s="27"/>
      <c r="E157" s="27"/>
      <c r="F157" s="27"/>
      <c r="G157" s="27"/>
      <c r="H157" s="27"/>
      <c r="I157" s="27"/>
    </row>
    <row r="158">
      <c r="C158" s="27"/>
      <c r="D158" s="27"/>
      <c r="E158" s="27"/>
      <c r="F158" s="27"/>
      <c r="G158" s="27"/>
      <c r="H158" s="27"/>
      <c r="I158" s="27"/>
    </row>
    <row r="159">
      <c r="C159" s="27"/>
      <c r="D159" s="27"/>
      <c r="E159" s="27"/>
      <c r="F159" s="27"/>
      <c r="G159" s="27"/>
      <c r="H159" s="27"/>
      <c r="I159" s="27"/>
    </row>
    <row r="160">
      <c r="C160" s="27"/>
      <c r="D160" s="27"/>
      <c r="E160" s="27"/>
      <c r="F160" s="27"/>
      <c r="G160" s="27"/>
      <c r="H160" s="27"/>
      <c r="I160" s="27"/>
    </row>
    <row r="161">
      <c r="C161" s="27"/>
      <c r="D161" s="27"/>
      <c r="E161" s="27"/>
      <c r="F161" s="27"/>
      <c r="G161" s="27"/>
      <c r="H161" s="27"/>
      <c r="I161" s="27"/>
    </row>
    <row r="162">
      <c r="C162" s="27"/>
      <c r="D162" s="27"/>
      <c r="E162" s="27"/>
      <c r="F162" s="27"/>
      <c r="G162" s="27"/>
      <c r="H162" s="27"/>
      <c r="I162" s="27"/>
    </row>
    <row r="163">
      <c r="C163" s="27"/>
      <c r="D163" s="27"/>
      <c r="E163" s="27"/>
      <c r="F163" s="27"/>
      <c r="G163" s="27"/>
      <c r="H163" s="27"/>
      <c r="I163" s="27"/>
    </row>
    <row r="164">
      <c r="C164" s="27"/>
      <c r="D164" s="27"/>
      <c r="E164" s="27"/>
      <c r="F164" s="27"/>
      <c r="G164" s="27"/>
      <c r="H164" s="27"/>
      <c r="I164" s="27"/>
    </row>
    <row r="165">
      <c r="C165" s="27"/>
      <c r="D165" s="27"/>
      <c r="E165" s="27"/>
      <c r="F165" s="27"/>
      <c r="G165" s="27"/>
      <c r="H165" s="27"/>
      <c r="I165" s="27"/>
    </row>
    <row r="166">
      <c r="C166" s="27"/>
      <c r="D166" s="27"/>
      <c r="E166" s="27"/>
      <c r="F166" s="27"/>
      <c r="G166" s="27"/>
      <c r="H166" s="27"/>
      <c r="I166" s="27"/>
    </row>
    <row r="167">
      <c r="C167" s="27"/>
      <c r="D167" s="27"/>
      <c r="E167" s="27"/>
      <c r="F167" s="27"/>
      <c r="G167" s="27"/>
      <c r="H167" s="27"/>
      <c r="I167" s="27"/>
    </row>
    <row r="168">
      <c r="C168" s="27"/>
      <c r="D168" s="27"/>
      <c r="E168" s="27"/>
      <c r="F168" s="27"/>
      <c r="G168" s="27"/>
      <c r="H168" s="27"/>
      <c r="I168" s="27"/>
    </row>
    <row r="169">
      <c r="C169" s="27"/>
      <c r="D169" s="27"/>
      <c r="E169" s="27"/>
      <c r="F169" s="27"/>
      <c r="G169" s="27"/>
      <c r="H169" s="27"/>
      <c r="I169" s="27"/>
    </row>
    <row r="170">
      <c r="C170" s="27"/>
      <c r="D170" s="27"/>
      <c r="E170" s="27"/>
      <c r="F170" s="27"/>
      <c r="G170" s="27"/>
      <c r="H170" s="27"/>
      <c r="I170" s="27"/>
    </row>
    <row r="171">
      <c r="C171" s="27"/>
      <c r="D171" s="27"/>
      <c r="E171" s="27"/>
      <c r="F171" s="27"/>
      <c r="G171" s="27"/>
      <c r="H171" s="27"/>
      <c r="I171" s="27"/>
    </row>
    <row r="172">
      <c r="C172" s="27"/>
      <c r="D172" s="27"/>
      <c r="E172" s="27"/>
      <c r="F172" s="27"/>
      <c r="G172" s="27"/>
      <c r="H172" s="27"/>
      <c r="I172" s="27"/>
    </row>
    <row r="173">
      <c r="C173" s="27"/>
      <c r="D173" s="27"/>
      <c r="E173" s="27"/>
      <c r="F173" s="27"/>
      <c r="G173" s="27"/>
      <c r="H173" s="27"/>
      <c r="I173" s="27"/>
    </row>
    <row r="174">
      <c r="C174" s="27"/>
      <c r="D174" s="27"/>
      <c r="E174" s="27"/>
      <c r="F174" s="27"/>
      <c r="G174" s="27"/>
      <c r="H174" s="27"/>
      <c r="I174" s="27"/>
    </row>
    <row r="175">
      <c r="C175" s="27"/>
      <c r="D175" s="27"/>
      <c r="E175" s="27"/>
      <c r="F175" s="27"/>
      <c r="G175" s="27"/>
      <c r="H175" s="27"/>
      <c r="I175" s="27"/>
    </row>
    <row r="176">
      <c r="C176" s="27"/>
      <c r="D176" s="27"/>
      <c r="E176" s="27"/>
      <c r="F176" s="27"/>
      <c r="G176" s="27"/>
      <c r="H176" s="27"/>
      <c r="I176" s="27"/>
    </row>
    <row r="177">
      <c r="C177" s="27"/>
      <c r="D177" s="27"/>
      <c r="E177" s="27"/>
      <c r="F177" s="27"/>
      <c r="G177" s="27"/>
      <c r="H177" s="27"/>
      <c r="I177" s="27"/>
    </row>
    <row r="178">
      <c r="C178" s="27"/>
      <c r="D178" s="27"/>
      <c r="E178" s="27"/>
      <c r="F178" s="27"/>
      <c r="G178" s="27"/>
      <c r="H178" s="27"/>
      <c r="I178" s="27"/>
    </row>
    <row r="179">
      <c r="C179" s="27"/>
      <c r="D179" s="27"/>
      <c r="E179" s="27"/>
      <c r="F179" s="27"/>
      <c r="G179" s="27"/>
      <c r="H179" s="27"/>
      <c r="I179" s="27"/>
    </row>
    <row r="180">
      <c r="C180" s="27"/>
      <c r="D180" s="27"/>
      <c r="E180" s="27"/>
      <c r="F180" s="27"/>
      <c r="G180" s="27"/>
      <c r="H180" s="27"/>
      <c r="I180" s="27"/>
    </row>
    <row r="181">
      <c r="C181" s="27"/>
      <c r="D181" s="27"/>
      <c r="E181" s="27"/>
      <c r="F181" s="27"/>
      <c r="G181" s="27"/>
      <c r="H181" s="27"/>
      <c r="I181" s="27"/>
    </row>
    <row r="182">
      <c r="C182" s="27"/>
      <c r="D182" s="27"/>
      <c r="E182" s="27"/>
      <c r="F182" s="27"/>
      <c r="G182" s="27"/>
      <c r="H182" s="27"/>
      <c r="I182" s="27"/>
    </row>
    <row r="183">
      <c r="C183" s="27"/>
      <c r="D183" s="27"/>
      <c r="E183" s="27"/>
      <c r="F183" s="27"/>
      <c r="G183" s="27"/>
      <c r="H183" s="27"/>
      <c r="I183" s="27"/>
    </row>
    <row r="184">
      <c r="C184" s="27"/>
      <c r="D184" s="27"/>
      <c r="E184" s="27"/>
      <c r="F184" s="27"/>
      <c r="G184" s="27"/>
      <c r="H184" s="27"/>
      <c r="I184" s="27"/>
    </row>
    <row r="185">
      <c r="C185" s="27"/>
      <c r="D185" s="27"/>
      <c r="E185" s="27"/>
      <c r="F185" s="27"/>
      <c r="G185" s="27"/>
      <c r="H185" s="27"/>
      <c r="I185" s="27"/>
    </row>
    <row r="186">
      <c r="C186" s="27"/>
      <c r="D186" s="27"/>
      <c r="E186" s="27"/>
      <c r="F186" s="27"/>
      <c r="G186" s="27"/>
      <c r="H186" s="27"/>
      <c r="I186" s="27"/>
    </row>
    <row r="187">
      <c r="C187" s="27"/>
      <c r="D187" s="27"/>
      <c r="E187" s="27"/>
      <c r="F187" s="27"/>
      <c r="G187" s="27"/>
      <c r="H187" s="27"/>
      <c r="I187" s="27"/>
    </row>
    <row r="188">
      <c r="C188" s="27"/>
      <c r="D188" s="27"/>
      <c r="E188" s="27"/>
      <c r="F188" s="27"/>
      <c r="G188" s="27"/>
      <c r="H188" s="27"/>
      <c r="I188" s="27"/>
    </row>
    <row r="189">
      <c r="C189" s="27"/>
      <c r="D189" s="27"/>
      <c r="E189" s="27"/>
      <c r="F189" s="27"/>
      <c r="G189" s="27"/>
      <c r="H189" s="27"/>
      <c r="I189" s="27"/>
    </row>
    <row r="190">
      <c r="C190" s="27"/>
      <c r="D190" s="27"/>
      <c r="E190" s="27"/>
      <c r="F190" s="27"/>
      <c r="G190" s="27"/>
      <c r="H190" s="27"/>
      <c r="I190" s="27"/>
    </row>
    <row r="191">
      <c r="C191" s="27"/>
      <c r="D191" s="27"/>
      <c r="E191" s="27"/>
      <c r="F191" s="27"/>
      <c r="G191" s="27"/>
      <c r="H191" s="27"/>
      <c r="I191" s="27"/>
    </row>
    <row r="192">
      <c r="C192" s="27"/>
      <c r="D192" s="27"/>
      <c r="E192" s="27"/>
      <c r="F192" s="27"/>
      <c r="G192" s="27"/>
      <c r="H192" s="27"/>
      <c r="I192" s="27"/>
    </row>
    <row r="193">
      <c r="C193" s="27"/>
      <c r="D193" s="27"/>
      <c r="E193" s="27"/>
      <c r="F193" s="27"/>
      <c r="G193" s="27"/>
      <c r="H193" s="27"/>
      <c r="I193" s="27"/>
    </row>
    <row r="194">
      <c r="C194" s="27"/>
      <c r="D194" s="27"/>
      <c r="E194" s="27"/>
      <c r="F194" s="27"/>
      <c r="G194" s="27"/>
      <c r="H194" s="27"/>
      <c r="I194" s="27"/>
    </row>
    <row r="195">
      <c r="C195" s="27"/>
      <c r="D195" s="27"/>
      <c r="E195" s="27"/>
      <c r="F195" s="27"/>
      <c r="G195" s="27"/>
      <c r="H195" s="27"/>
      <c r="I195" s="27"/>
    </row>
    <row r="196">
      <c r="C196" s="27"/>
      <c r="D196" s="27"/>
      <c r="E196" s="27"/>
      <c r="F196" s="27"/>
      <c r="G196" s="27"/>
      <c r="H196" s="27"/>
      <c r="I196" s="27"/>
    </row>
    <row r="197">
      <c r="C197" s="27"/>
      <c r="D197" s="27"/>
      <c r="E197" s="27"/>
      <c r="F197" s="27"/>
      <c r="G197" s="27"/>
      <c r="H197" s="27"/>
      <c r="I197" s="27"/>
    </row>
    <row r="198">
      <c r="C198" s="27"/>
      <c r="D198" s="27"/>
      <c r="E198" s="27"/>
      <c r="F198" s="27"/>
      <c r="G198" s="27"/>
      <c r="H198" s="27"/>
      <c r="I198" s="27"/>
    </row>
    <row r="199">
      <c r="C199" s="27"/>
      <c r="D199" s="27"/>
      <c r="E199" s="27"/>
      <c r="F199" s="27"/>
      <c r="G199" s="27"/>
      <c r="H199" s="27"/>
      <c r="I199" s="27"/>
    </row>
    <row r="200">
      <c r="C200" s="27"/>
      <c r="D200" s="27"/>
      <c r="E200" s="27"/>
      <c r="F200" s="27"/>
      <c r="G200" s="27"/>
      <c r="H200" s="27"/>
      <c r="I200" s="27"/>
    </row>
    <row r="201">
      <c r="C201" s="27"/>
      <c r="D201" s="27"/>
      <c r="E201" s="27"/>
      <c r="F201" s="27"/>
      <c r="G201" s="27"/>
      <c r="H201" s="27"/>
      <c r="I201" s="27"/>
    </row>
    <row r="202">
      <c r="C202" s="27"/>
      <c r="D202" s="27"/>
      <c r="E202" s="27"/>
      <c r="F202" s="27"/>
      <c r="G202" s="27"/>
      <c r="H202" s="27"/>
      <c r="I202" s="27"/>
    </row>
    <row r="203">
      <c r="C203" s="27"/>
      <c r="D203" s="27"/>
      <c r="E203" s="27"/>
      <c r="F203" s="27"/>
      <c r="G203" s="27"/>
      <c r="H203" s="27"/>
      <c r="I203" s="27"/>
    </row>
    <row r="204">
      <c r="C204" s="27"/>
      <c r="D204" s="27"/>
      <c r="E204" s="27"/>
      <c r="F204" s="27"/>
      <c r="G204" s="27"/>
      <c r="H204" s="27"/>
      <c r="I204" s="27"/>
    </row>
    <row r="205">
      <c r="C205" s="27"/>
      <c r="D205" s="27"/>
      <c r="E205" s="27"/>
      <c r="F205" s="27"/>
      <c r="G205" s="27"/>
      <c r="H205" s="27"/>
      <c r="I205" s="27"/>
    </row>
    <row r="206">
      <c r="C206" s="27"/>
      <c r="D206" s="27"/>
      <c r="E206" s="27"/>
      <c r="F206" s="27"/>
      <c r="G206" s="27"/>
      <c r="H206" s="27"/>
      <c r="I206" s="27"/>
    </row>
    <row r="207">
      <c r="C207" s="27"/>
      <c r="D207" s="27"/>
      <c r="E207" s="27"/>
      <c r="F207" s="27"/>
      <c r="G207" s="27"/>
      <c r="H207" s="27"/>
      <c r="I207" s="27"/>
    </row>
    <row r="208">
      <c r="C208" s="27"/>
      <c r="D208" s="27"/>
      <c r="E208" s="27"/>
      <c r="F208" s="27"/>
      <c r="G208" s="27"/>
      <c r="H208" s="27"/>
      <c r="I208" s="27"/>
    </row>
    <row r="209">
      <c r="C209" s="27"/>
      <c r="D209" s="27"/>
      <c r="E209" s="27"/>
      <c r="F209" s="27"/>
      <c r="G209" s="27"/>
      <c r="H209" s="27"/>
      <c r="I209" s="27"/>
    </row>
    <row r="210">
      <c r="C210" s="27"/>
      <c r="D210" s="27"/>
      <c r="E210" s="27"/>
      <c r="F210" s="27"/>
      <c r="G210" s="27"/>
      <c r="H210" s="27"/>
      <c r="I210" s="27"/>
    </row>
    <row r="211">
      <c r="C211" s="27"/>
      <c r="D211" s="27"/>
      <c r="E211" s="27"/>
      <c r="F211" s="27"/>
      <c r="G211" s="27"/>
      <c r="H211" s="27"/>
      <c r="I211" s="27"/>
    </row>
    <row r="212">
      <c r="C212" s="27"/>
      <c r="D212" s="27"/>
      <c r="E212" s="27"/>
      <c r="F212" s="27"/>
      <c r="G212" s="27"/>
      <c r="H212" s="27"/>
      <c r="I212" s="27"/>
    </row>
    <row r="213">
      <c r="C213" s="27"/>
      <c r="D213" s="27"/>
      <c r="E213" s="27"/>
      <c r="F213" s="27"/>
      <c r="G213" s="27"/>
      <c r="H213" s="27"/>
      <c r="I213" s="27"/>
    </row>
    <row r="214">
      <c r="C214" s="27"/>
      <c r="D214" s="27"/>
      <c r="E214" s="27"/>
      <c r="F214" s="27"/>
      <c r="G214" s="27"/>
      <c r="H214" s="27"/>
      <c r="I214" s="27"/>
    </row>
    <row r="215">
      <c r="C215" s="27"/>
      <c r="D215" s="27"/>
      <c r="E215" s="27"/>
      <c r="F215" s="27"/>
      <c r="G215" s="27"/>
      <c r="H215" s="27"/>
      <c r="I215" s="27"/>
    </row>
    <row r="216">
      <c r="C216" s="27"/>
      <c r="D216" s="27"/>
      <c r="E216" s="27"/>
      <c r="F216" s="27"/>
      <c r="G216" s="27"/>
      <c r="H216" s="27"/>
      <c r="I216" s="27"/>
    </row>
    <row r="217">
      <c r="C217" s="27"/>
      <c r="D217" s="27"/>
      <c r="E217" s="27"/>
      <c r="F217" s="27"/>
      <c r="G217" s="27"/>
      <c r="H217" s="27"/>
      <c r="I217" s="27"/>
    </row>
    <row r="218">
      <c r="C218" s="27"/>
      <c r="D218" s="27"/>
      <c r="E218" s="27"/>
      <c r="F218" s="27"/>
      <c r="G218" s="27"/>
      <c r="H218" s="27"/>
      <c r="I218" s="27"/>
    </row>
    <row r="219">
      <c r="C219" s="27"/>
      <c r="D219" s="27"/>
      <c r="E219" s="27"/>
      <c r="F219" s="27"/>
      <c r="G219" s="27"/>
      <c r="H219" s="27"/>
      <c r="I219" s="27"/>
    </row>
    <row r="220">
      <c r="C220" s="27"/>
      <c r="D220" s="27"/>
      <c r="E220" s="27"/>
      <c r="F220" s="27"/>
      <c r="G220" s="27"/>
      <c r="H220" s="27"/>
      <c r="I220" s="27"/>
    </row>
    <row r="221">
      <c r="C221" s="27"/>
      <c r="D221" s="27"/>
      <c r="E221" s="27"/>
      <c r="F221" s="27"/>
      <c r="G221" s="27"/>
      <c r="H221" s="27"/>
      <c r="I221" s="27"/>
    </row>
    <row r="222">
      <c r="C222" s="27"/>
      <c r="D222" s="27"/>
      <c r="E222" s="27"/>
      <c r="F222" s="27"/>
      <c r="G222" s="27"/>
      <c r="H222" s="27"/>
      <c r="I222" s="27"/>
    </row>
    <row r="223">
      <c r="C223" s="27"/>
      <c r="D223" s="27"/>
      <c r="E223" s="27"/>
      <c r="F223" s="27"/>
      <c r="G223" s="27"/>
      <c r="H223" s="27"/>
      <c r="I223" s="27"/>
    </row>
    <row r="224">
      <c r="C224" s="27"/>
      <c r="D224" s="27"/>
      <c r="E224" s="27"/>
      <c r="F224" s="27"/>
      <c r="G224" s="27"/>
      <c r="H224" s="27"/>
      <c r="I224" s="27"/>
    </row>
    <row r="225">
      <c r="C225" s="27"/>
      <c r="D225" s="27"/>
      <c r="E225" s="27"/>
      <c r="F225" s="27"/>
      <c r="G225" s="27"/>
      <c r="H225" s="27"/>
      <c r="I225" s="27"/>
    </row>
    <row r="226">
      <c r="C226" s="27"/>
      <c r="D226" s="27"/>
      <c r="E226" s="27"/>
      <c r="F226" s="27"/>
      <c r="G226" s="27"/>
      <c r="H226" s="27"/>
      <c r="I226" s="27"/>
    </row>
    <row r="227">
      <c r="C227" s="27"/>
      <c r="D227" s="27"/>
      <c r="E227" s="27"/>
      <c r="F227" s="27"/>
      <c r="G227" s="27"/>
      <c r="H227" s="27"/>
      <c r="I227" s="27"/>
    </row>
    <row r="228">
      <c r="C228" s="27"/>
      <c r="D228" s="27"/>
      <c r="E228" s="27"/>
      <c r="F228" s="27"/>
      <c r="G228" s="27"/>
      <c r="H228" s="27"/>
      <c r="I228" s="27"/>
    </row>
    <row r="229">
      <c r="C229" s="27"/>
      <c r="D229" s="27"/>
      <c r="E229" s="27"/>
      <c r="F229" s="27"/>
      <c r="G229" s="27"/>
      <c r="H229" s="27"/>
      <c r="I229" s="27"/>
    </row>
    <row r="230">
      <c r="C230" s="27"/>
      <c r="D230" s="27"/>
      <c r="E230" s="27"/>
      <c r="F230" s="27"/>
      <c r="G230" s="27"/>
      <c r="H230" s="27"/>
      <c r="I230" s="27"/>
    </row>
    <row r="231">
      <c r="C231" s="27"/>
      <c r="D231" s="27"/>
      <c r="E231" s="27"/>
      <c r="F231" s="27"/>
      <c r="G231" s="27"/>
      <c r="H231" s="27"/>
      <c r="I231" s="27"/>
    </row>
    <row r="232">
      <c r="C232" s="27"/>
      <c r="D232" s="27"/>
      <c r="E232" s="27"/>
      <c r="F232" s="27"/>
      <c r="G232" s="27"/>
      <c r="H232" s="27"/>
      <c r="I232" s="27"/>
    </row>
    <row r="233">
      <c r="C233" s="27"/>
      <c r="D233" s="27"/>
      <c r="E233" s="27"/>
      <c r="F233" s="27"/>
      <c r="G233" s="27"/>
      <c r="H233" s="27"/>
      <c r="I233" s="27"/>
    </row>
    <row r="234">
      <c r="C234" s="27"/>
      <c r="D234" s="27"/>
      <c r="E234" s="27"/>
      <c r="F234" s="27"/>
      <c r="G234" s="27"/>
      <c r="H234" s="27"/>
      <c r="I234" s="27"/>
    </row>
    <row r="235">
      <c r="C235" s="27"/>
      <c r="D235" s="27"/>
      <c r="E235" s="27"/>
      <c r="F235" s="27"/>
      <c r="G235" s="27"/>
      <c r="H235" s="27"/>
      <c r="I235" s="27"/>
    </row>
    <row r="236">
      <c r="C236" s="27"/>
      <c r="D236" s="27"/>
      <c r="E236" s="27"/>
      <c r="F236" s="27"/>
      <c r="G236" s="27"/>
      <c r="H236" s="27"/>
      <c r="I236" s="27"/>
    </row>
    <row r="237">
      <c r="C237" s="27"/>
      <c r="D237" s="27"/>
      <c r="E237" s="27"/>
      <c r="F237" s="27"/>
      <c r="G237" s="27"/>
      <c r="H237" s="27"/>
      <c r="I237" s="27"/>
    </row>
    <row r="238">
      <c r="C238" s="27"/>
      <c r="D238" s="27"/>
      <c r="E238" s="27"/>
      <c r="F238" s="27"/>
      <c r="G238" s="27"/>
      <c r="H238" s="27"/>
      <c r="I238" s="27"/>
    </row>
    <row r="239">
      <c r="C239" s="27"/>
      <c r="D239" s="27"/>
      <c r="E239" s="27"/>
      <c r="F239" s="27"/>
      <c r="G239" s="27"/>
      <c r="H239" s="27"/>
      <c r="I239" s="27"/>
    </row>
    <row r="240">
      <c r="C240" s="27"/>
      <c r="D240" s="27"/>
      <c r="E240" s="27"/>
      <c r="F240" s="27"/>
      <c r="G240" s="27"/>
      <c r="H240" s="27"/>
      <c r="I240" s="27"/>
    </row>
    <row r="241">
      <c r="C241" s="27"/>
      <c r="D241" s="27"/>
      <c r="E241" s="27"/>
      <c r="F241" s="27"/>
      <c r="G241" s="27"/>
      <c r="H241" s="27"/>
      <c r="I241" s="27"/>
    </row>
    <row r="242">
      <c r="C242" s="27"/>
      <c r="D242" s="27"/>
      <c r="E242" s="27"/>
      <c r="F242" s="27"/>
      <c r="G242" s="27"/>
      <c r="H242" s="27"/>
      <c r="I242" s="27"/>
    </row>
    <row r="243">
      <c r="C243" s="27"/>
      <c r="D243" s="27"/>
      <c r="E243" s="27"/>
      <c r="F243" s="27"/>
      <c r="G243" s="27"/>
      <c r="H243" s="27"/>
      <c r="I243" s="27"/>
    </row>
    <row r="244">
      <c r="C244" s="27"/>
      <c r="D244" s="27"/>
      <c r="E244" s="27"/>
      <c r="F244" s="27"/>
      <c r="G244" s="27"/>
      <c r="H244" s="27"/>
      <c r="I244" s="27"/>
    </row>
    <row r="245">
      <c r="C245" s="27"/>
      <c r="D245" s="27"/>
      <c r="E245" s="27"/>
      <c r="F245" s="27"/>
      <c r="G245" s="27"/>
      <c r="H245" s="27"/>
      <c r="I245" s="27"/>
    </row>
    <row r="246">
      <c r="C246" s="27"/>
      <c r="D246" s="27"/>
      <c r="E246" s="27"/>
      <c r="F246" s="27"/>
      <c r="G246" s="27"/>
      <c r="H246" s="27"/>
      <c r="I246" s="27"/>
    </row>
    <row r="247">
      <c r="C247" s="27"/>
      <c r="D247" s="27"/>
      <c r="E247" s="27"/>
      <c r="F247" s="27"/>
      <c r="G247" s="27"/>
      <c r="H247" s="27"/>
      <c r="I247" s="27"/>
    </row>
    <row r="248">
      <c r="C248" s="27"/>
      <c r="D248" s="27"/>
      <c r="E248" s="27"/>
      <c r="F248" s="27"/>
      <c r="G248" s="27"/>
      <c r="H248" s="27"/>
      <c r="I248" s="27"/>
    </row>
    <row r="249">
      <c r="C249" s="27"/>
      <c r="D249" s="27"/>
      <c r="E249" s="27"/>
      <c r="F249" s="27"/>
      <c r="G249" s="27"/>
      <c r="H249" s="27"/>
      <c r="I249" s="27"/>
    </row>
    <row r="250">
      <c r="C250" s="27"/>
      <c r="D250" s="27"/>
      <c r="E250" s="27"/>
      <c r="F250" s="27"/>
      <c r="G250" s="27"/>
      <c r="H250" s="27"/>
      <c r="I250" s="27"/>
    </row>
    <row r="251">
      <c r="C251" s="27"/>
      <c r="D251" s="27"/>
      <c r="E251" s="27"/>
      <c r="F251" s="27"/>
      <c r="G251" s="27"/>
      <c r="H251" s="27"/>
      <c r="I251" s="27"/>
    </row>
    <row r="252">
      <c r="C252" s="27"/>
      <c r="D252" s="27"/>
      <c r="E252" s="27"/>
      <c r="F252" s="27"/>
      <c r="G252" s="27"/>
      <c r="H252" s="27"/>
      <c r="I252" s="27"/>
    </row>
    <row r="253">
      <c r="C253" s="27"/>
      <c r="D253" s="27"/>
      <c r="E253" s="27"/>
      <c r="F253" s="27"/>
      <c r="G253" s="27"/>
      <c r="H253" s="27"/>
      <c r="I253" s="27"/>
    </row>
    <row r="254">
      <c r="C254" s="27"/>
      <c r="D254" s="27"/>
      <c r="E254" s="27"/>
      <c r="F254" s="27"/>
      <c r="G254" s="27"/>
      <c r="H254" s="27"/>
      <c r="I254" s="27"/>
    </row>
    <row r="255">
      <c r="C255" s="27"/>
      <c r="D255" s="27"/>
      <c r="E255" s="27"/>
      <c r="F255" s="27"/>
      <c r="G255" s="27"/>
      <c r="H255" s="27"/>
      <c r="I255" s="27"/>
    </row>
    <row r="256">
      <c r="C256" s="27"/>
      <c r="D256" s="27"/>
      <c r="E256" s="27"/>
      <c r="F256" s="27"/>
      <c r="G256" s="27"/>
      <c r="H256" s="27"/>
      <c r="I256" s="27"/>
    </row>
    <row r="257">
      <c r="C257" s="27"/>
      <c r="D257" s="27"/>
      <c r="E257" s="27"/>
      <c r="F257" s="27"/>
      <c r="G257" s="27"/>
      <c r="H257" s="27"/>
      <c r="I257" s="27"/>
    </row>
    <row r="258">
      <c r="C258" s="27"/>
      <c r="D258" s="27"/>
      <c r="E258" s="27"/>
      <c r="F258" s="27"/>
      <c r="G258" s="27"/>
      <c r="H258" s="27"/>
      <c r="I258" s="27"/>
    </row>
    <row r="259">
      <c r="C259" s="27"/>
      <c r="D259" s="27"/>
      <c r="E259" s="27"/>
      <c r="F259" s="27"/>
      <c r="G259" s="27"/>
      <c r="H259" s="27"/>
      <c r="I259" s="27"/>
    </row>
    <row r="260">
      <c r="C260" s="27"/>
      <c r="D260" s="27"/>
      <c r="E260" s="27"/>
      <c r="F260" s="27"/>
      <c r="G260" s="27"/>
      <c r="H260" s="27"/>
      <c r="I260" s="27"/>
    </row>
    <row r="261">
      <c r="C261" s="27"/>
      <c r="D261" s="27"/>
      <c r="E261" s="27"/>
      <c r="F261" s="27"/>
      <c r="G261" s="27"/>
      <c r="H261" s="27"/>
      <c r="I261" s="27"/>
    </row>
    <row r="262">
      <c r="C262" s="27"/>
      <c r="D262" s="27"/>
      <c r="E262" s="27"/>
      <c r="F262" s="27"/>
      <c r="G262" s="27"/>
      <c r="H262" s="27"/>
      <c r="I262" s="27"/>
    </row>
    <row r="263">
      <c r="C263" s="27"/>
      <c r="D263" s="27"/>
      <c r="E263" s="27"/>
      <c r="F263" s="27"/>
      <c r="G263" s="27"/>
      <c r="H263" s="27"/>
      <c r="I263" s="27"/>
    </row>
    <row r="264">
      <c r="C264" s="27"/>
      <c r="D264" s="27"/>
      <c r="E264" s="27"/>
      <c r="F264" s="27"/>
      <c r="G264" s="27"/>
      <c r="H264" s="27"/>
      <c r="I264" s="27"/>
    </row>
    <row r="265">
      <c r="C265" s="27"/>
      <c r="D265" s="27"/>
      <c r="E265" s="27"/>
      <c r="F265" s="27"/>
      <c r="G265" s="27"/>
      <c r="H265" s="27"/>
      <c r="I265" s="27"/>
    </row>
    <row r="266">
      <c r="C266" s="27"/>
      <c r="D266" s="27"/>
      <c r="E266" s="27"/>
      <c r="F266" s="27"/>
      <c r="G266" s="27"/>
      <c r="H266" s="27"/>
      <c r="I266" s="27"/>
    </row>
    <row r="267">
      <c r="C267" s="27"/>
      <c r="D267" s="27"/>
      <c r="E267" s="27"/>
      <c r="F267" s="27"/>
      <c r="G267" s="27"/>
      <c r="H267" s="27"/>
      <c r="I267" s="27"/>
    </row>
    <row r="268">
      <c r="C268" s="27"/>
      <c r="D268" s="27"/>
      <c r="E268" s="27"/>
      <c r="F268" s="27"/>
      <c r="G268" s="27"/>
      <c r="H268" s="27"/>
      <c r="I268" s="27"/>
    </row>
    <row r="269">
      <c r="C269" s="27"/>
      <c r="D269" s="27"/>
      <c r="E269" s="27"/>
      <c r="F269" s="27"/>
      <c r="G269" s="27"/>
      <c r="H269" s="27"/>
      <c r="I269" s="27"/>
    </row>
    <row r="270">
      <c r="C270" s="27"/>
      <c r="D270" s="27"/>
      <c r="E270" s="27"/>
      <c r="F270" s="27"/>
      <c r="G270" s="27"/>
      <c r="H270" s="27"/>
      <c r="I270" s="27"/>
    </row>
    <row r="271">
      <c r="C271" s="27"/>
      <c r="D271" s="27"/>
      <c r="E271" s="27"/>
      <c r="F271" s="27"/>
      <c r="G271" s="27"/>
      <c r="H271" s="27"/>
      <c r="I271" s="27"/>
    </row>
    <row r="272">
      <c r="C272" s="27"/>
      <c r="D272" s="27"/>
      <c r="E272" s="27"/>
      <c r="F272" s="27"/>
      <c r="G272" s="27"/>
      <c r="H272" s="27"/>
      <c r="I272" s="27"/>
    </row>
    <row r="273">
      <c r="C273" s="27"/>
      <c r="D273" s="27"/>
      <c r="E273" s="27"/>
      <c r="F273" s="27"/>
      <c r="G273" s="27"/>
      <c r="H273" s="27"/>
      <c r="I273" s="27"/>
    </row>
    <row r="274">
      <c r="C274" s="27"/>
      <c r="D274" s="27"/>
      <c r="E274" s="27"/>
      <c r="F274" s="27"/>
      <c r="G274" s="27"/>
      <c r="H274" s="27"/>
      <c r="I274" s="27"/>
    </row>
    <row r="275">
      <c r="C275" s="27"/>
      <c r="D275" s="27"/>
      <c r="E275" s="27"/>
      <c r="F275" s="27"/>
      <c r="G275" s="27"/>
      <c r="H275" s="27"/>
      <c r="I275" s="27"/>
    </row>
    <row r="276">
      <c r="C276" s="27"/>
      <c r="D276" s="27"/>
      <c r="E276" s="27"/>
      <c r="F276" s="27"/>
      <c r="G276" s="27"/>
      <c r="H276" s="27"/>
      <c r="I276" s="27"/>
    </row>
    <row r="277">
      <c r="C277" s="27"/>
      <c r="D277" s="27"/>
      <c r="E277" s="27"/>
      <c r="F277" s="27"/>
      <c r="G277" s="27"/>
      <c r="H277" s="27"/>
      <c r="I277" s="27"/>
    </row>
    <row r="278">
      <c r="C278" s="27"/>
      <c r="D278" s="27"/>
      <c r="E278" s="27"/>
      <c r="F278" s="27"/>
      <c r="G278" s="27"/>
      <c r="H278" s="27"/>
      <c r="I278" s="27"/>
    </row>
    <row r="279">
      <c r="C279" s="27"/>
      <c r="D279" s="27"/>
      <c r="E279" s="27"/>
      <c r="F279" s="27"/>
      <c r="G279" s="27"/>
      <c r="H279" s="27"/>
      <c r="I279" s="27"/>
    </row>
    <row r="280">
      <c r="C280" s="27"/>
      <c r="D280" s="27"/>
      <c r="E280" s="27"/>
      <c r="F280" s="27"/>
      <c r="G280" s="27"/>
      <c r="H280" s="27"/>
      <c r="I280" s="27"/>
    </row>
    <row r="281">
      <c r="C281" s="27"/>
      <c r="D281" s="27"/>
      <c r="E281" s="27"/>
      <c r="F281" s="27"/>
      <c r="G281" s="27"/>
      <c r="H281" s="27"/>
      <c r="I281" s="27"/>
    </row>
    <row r="282">
      <c r="C282" s="27"/>
      <c r="D282" s="27"/>
      <c r="E282" s="27"/>
      <c r="F282" s="27"/>
      <c r="G282" s="27"/>
      <c r="H282" s="27"/>
      <c r="I282" s="27"/>
    </row>
    <row r="283">
      <c r="C283" s="27"/>
      <c r="D283" s="27"/>
      <c r="E283" s="27"/>
      <c r="F283" s="27"/>
      <c r="G283" s="27"/>
      <c r="H283" s="27"/>
      <c r="I283" s="27"/>
    </row>
    <row r="284">
      <c r="C284" s="27"/>
      <c r="D284" s="27"/>
      <c r="E284" s="27"/>
      <c r="F284" s="27"/>
      <c r="G284" s="27"/>
      <c r="H284" s="27"/>
      <c r="I284" s="27"/>
    </row>
    <row r="285">
      <c r="C285" s="27"/>
      <c r="D285" s="27"/>
      <c r="E285" s="27"/>
      <c r="F285" s="27"/>
      <c r="G285" s="27"/>
      <c r="H285" s="27"/>
      <c r="I285" s="27"/>
    </row>
    <row r="286">
      <c r="C286" s="27"/>
      <c r="D286" s="27"/>
      <c r="E286" s="27"/>
      <c r="F286" s="27"/>
      <c r="G286" s="27"/>
      <c r="H286" s="27"/>
      <c r="I286" s="27"/>
    </row>
    <row r="287">
      <c r="C287" s="27"/>
      <c r="D287" s="27"/>
      <c r="E287" s="27"/>
      <c r="F287" s="27"/>
      <c r="G287" s="27"/>
      <c r="H287" s="27"/>
      <c r="I287" s="27"/>
    </row>
    <row r="288">
      <c r="C288" s="27"/>
      <c r="D288" s="27"/>
      <c r="E288" s="27"/>
      <c r="F288" s="27"/>
      <c r="G288" s="27"/>
      <c r="H288" s="27"/>
      <c r="I288" s="27"/>
    </row>
    <row r="289">
      <c r="C289" s="27"/>
      <c r="D289" s="27"/>
      <c r="E289" s="27"/>
      <c r="F289" s="27"/>
      <c r="G289" s="27"/>
      <c r="H289" s="27"/>
      <c r="I289" s="27"/>
    </row>
    <row r="290">
      <c r="C290" s="27"/>
      <c r="D290" s="27"/>
      <c r="E290" s="27"/>
      <c r="F290" s="27"/>
      <c r="G290" s="27"/>
      <c r="H290" s="27"/>
      <c r="I290" s="27"/>
    </row>
    <row r="291">
      <c r="C291" s="27"/>
      <c r="D291" s="27"/>
      <c r="E291" s="27"/>
      <c r="F291" s="27"/>
      <c r="G291" s="27"/>
      <c r="H291" s="27"/>
      <c r="I291" s="27"/>
    </row>
    <row r="292">
      <c r="C292" s="27"/>
      <c r="D292" s="27"/>
      <c r="E292" s="27"/>
      <c r="F292" s="27"/>
      <c r="G292" s="27"/>
      <c r="H292" s="27"/>
      <c r="I292" s="27"/>
    </row>
    <row r="293">
      <c r="C293" s="27"/>
      <c r="D293" s="27"/>
      <c r="E293" s="27"/>
      <c r="F293" s="27"/>
      <c r="G293" s="27"/>
      <c r="H293" s="27"/>
      <c r="I293" s="27"/>
    </row>
    <row r="294">
      <c r="C294" s="27"/>
      <c r="D294" s="27"/>
      <c r="E294" s="27"/>
      <c r="F294" s="27"/>
      <c r="G294" s="27"/>
      <c r="H294" s="27"/>
      <c r="I294" s="27"/>
    </row>
    <row r="295">
      <c r="C295" s="27"/>
      <c r="D295" s="27"/>
      <c r="E295" s="27"/>
      <c r="F295" s="27"/>
      <c r="G295" s="27"/>
      <c r="H295" s="27"/>
      <c r="I295" s="27"/>
    </row>
    <row r="296">
      <c r="C296" s="27"/>
      <c r="D296" s="27"/>
      <c r="E296" s="27"/>
      <c r="F296" s="27"/>
      <c r="G296" s="27"/>
      <c r="H296" s="27"/>
      <c r="I296" s="27"/>
    </row>
    <row r="297">
      <c r="C297" s="27"/>
      <c r="D297" s="27"/>
      <c r="E297" s="27"/>
      <c r="F297" s="27"/>
      <c r="G297" s="27"/>
      <c r="H297" s="27"/>
      <c r="I297" s="27"/>
    </row>
    <row r="298">
      <c r="C298" s="27"/>
      <c r="D298" s="27"/>
      <c r="E298" s="27"/>
      <c r="F298" s="27"/>
      <c r="G298" s="27"/>
      <c r="H298" s="27"/>
      <c r="I298" s="27"/>
    </row>
    <row r="299">
      <c r="C299" s="27"/>
      <c r="D299" s="27"/>
      <c r="E299" s="27"/>
      <c r="F299" s="27"/>
      <c r="G299" s="27"/>
      <c r="H299" s="27"/>
      <c r="I299" s="27"/>
    </row>
    <row r="300">
      <c r="C300" s="27"/>
      <c r="D300" s="27"/>
      <c r="E300" s="27"/>
      <c r="F300" s="27"/>
      <c r="G300" s="27"/>
      <c r="H300" s="27"/>
      <c r="I300" s="27"/>
    </row>
    <row r="301">
      <c r="C301" s="27"/>
      <c r="D301" s="27"/>
      <c r="E301" s="27"/>
      <c r="F301" s="27"/>
      <c r="G301" s="27"/>
      <c r="H301" s="27"/>
      <c r="I301" s="27"/>
    </row>
    <row r="302">
      <c r="C302" s="27"/>
      <c r="D302" s="27"/>
      <c r="E302" s="27"/>
      <c r="F302" s="27"/>
      <c r="G302" s="27"/>
      <c r="H302" s="27"/>
      <c r="I302" s="27"/>
    </row>
    <row r="303">
      <c r="C303" s="27"/>
      <c r="D303" s="27"/>
      <c r="E303" s="27"/>
      <c r="F303" s="27"/>
      <c r="G303" s="27"/>
      <c r="H303" s="27"/>
      <c r="I303" s="27"/>
    </row>
    <row r="304">
      <c r="C304" s="27"/>
      <c r="D304" s="27"/>
      <c r="E304" s="27"/>
      <c r="F304" s="27"/>
      <c r="G304" s="27"/>
      <c r="H304" s="27"/>
      <c r="I304" s="27"/>
    </row>
    <row r="305">
      <c r="C305" s="27"/>
      <c r="D305" s="27"/>
      <c r="E305" s="27"/>
      <c r="F305" s="27"/>
      <c r="G305" s="27"/>
      <c r="H305" s="27"/>
      <c r="I305" s="27"/>
    </row>
    <row r="306">
      <c r="C306" s="27"/>
      <c r="D306" s="27"/>
      <c r="E306" s="27"/>
      <c r="F306" s="27"/>
      <c r="G306" s="27"/>
      <c r="H306" s="27"/>
      <c r="I306" s="27"/>
    </row>
    <row r="307">
      <c r="C307" s="27"/>
      <c r="D307" s="27"/>
      <c r="E307" s="27"/>
      <c r="F307" s="27"/>
      <c r="G307" s="27"/>
      <c r="H307" s="27"/>
      <c r="I307" s="27"/>
    </row>
    <row r="308">
      <c r="C308" s="27"/>
      <c r="D308" s="27"/>
      <c r="E308" s="27"/>
      <c r="F308" s="27"/>
      <c r="G308" s="27"/>
      <c r="H308" s="27"/>
      <c r="I308" s="27"/>
    </row>
    <row r="309">
      <c r="C309" s="27"/>
      <c r="D309" s="27"/>
      <c r="E309" s="27"/>
      <c r="F309" s="27"/>
      <c r="G309" s="27"/>
      <c r="H309" s="27"/>
      <c r="I309" s="27"/>
    </row>
    <row r="310">
      <c r="C310" s="27"/>
      <c r="D310" s="27"/>
      <c r="E310" s="27"/>
      <c r="F310" s="27"/>
      <c r="G310" s="27"/>
      <c r="H310" s="27"/>
      <c r="I310" s="27"/>
    </row>
    <row r="311">
      <c r="C311" s="27"/>
      <c r="D311" s="27"/>
      <c r="E311" s="27"/>
      <c r="F311" s="27"/>
      <c r="G311" s="27"/>
      <c r="H311" s="27"/>
      <c r="I311" s="27"/>
    </row>
    <row r="312">
      <c r="C312" s="27"/>
      <c r="D312" s="27"/>
      <c r="E312" s="27"/>
      <c r="F312" s="27"/>
      <c r="G312" s="27"/>
      <c r="H312" s="27"/>
      <c r="I312" s="27"/>
    </row>
    <row r="313">
      <c r="C313" s="27"/>
      <c r="D313" s="27"/>
      <c r="E313" s="27"/>
      <c r="F313" s="27"/>
      <c r="G313" s="27"/>
      <c r="H313" s="27"/>
      <c r="I313" s="27"/>
    </row>
    <row r="314">
      <c r="C314" s="27"/>
      <c r="D314" s="27"/>
      <c r="E314" s="27"/>
      <c r="F314" s="27"/>
      <c r="G314" s="27"/>
      <c r="H314" s="27"/>
      <c r="I314" s="27"/>
    </row>
    <row r="315">
      <c r="C315" s="27"/>
      <c r="D315" s="27"/>
      <c r="E315" s="27"/>
      <c r="F315" s="27"/>
      <c r="G315" s="27"/>
      <c r="H315" s="27"/>
      <c r="I315" s="27"/>
    </row>
    <row r="316">
      <c r="C316" s="27"/>
      <c r="D316" s="27"/>
      <c r="E316" s="27"/>
      <c r="F316" s="27"/>
      <c r="G316" s="27"/>
      <c r="H316" s="27"/>
      <c r="I316" s="27"/>
    </row>
    <row r="317">
      <c r="C317" s="27"/>
      <c r="D317" s="27"/>
      <c r="E317" s="27"/>
      <c r="F317" s="27"/>
      <c r="G317" s="27"/>
      <c r="H317" s="27"/>
      <c r="I317" s="27"/>
    </row>
    <row r="318">
      <c r="C318" s="27"/>
      <c r="D318" s="27"/>
      <c r="E318" s="27"/>
      <c r="F318" s="27"/>
      <c r="G318" s="27"/>
      <c r="H318" s="27"/>
      <c r="I318" s="27"/>
    </row>
    <row r="319">
      <c r="C319" s="27"/>
      <c r="D319" s="27"/>
      <c r="E319" s="27"/>
      <c r="F319" s="27"/>
      <c r="G319" s="27"/>
      <c r="H319" s="27"/>
      <c r="I319" s="27"/>
    </row>
    <row r="320">
      <c r="C320" s="27"/>
      <c r="D320" s="27"/>
      <c r="E320" s="27"/>
      <c r="F320" s="27"/>
      <c r="G320" s="27"/>
      <c r="H320" s="27"/>
      <c r="I320" s="27"/>
    </row>
    <row r="321">
      <c r="C321" s="27"/>
      <c r="D321" s="27"/>
      <c r="E321" s="27"/>
      <c r="F321" s="27"/>
      <c r="G321" s="27"/>
      <c r="H321" s="27"/>
      <c r="I321" s="27"/>
    </row>
    <row r="322">
      <c r="C322" s="27"/>
      <c r="D322" s="27"/>
      <c r="E322" s="27"/>
      <c r="F322" s="27"/>
      <c r="G322" s="27"/>
      <c r="H322" s="27"/>
      <c r="I322" s="27"/>
    </row>
    <row r="323">
      <c r="C323" s="27"/>
      <c r="D323" s="27"/>
      <c r="E323" s="27"/>
      <c r="F323" s="27"/>
      <c r="G323" s="27"/>
      <c r="H323" s="27"/>
      <c r="I323" s="27"/>
    </row>
    <row r="324">
      <c r="C324" s="27"/>
      <c r="D324" s="27"/>
      <c r="E324" s="27"/>
      <c r="F324" s="27"/>
      <c r="G324" s="27"/>
      <c r="H324" s="27"/>
      <c r="I324" s="27"/>
    </row>
    <row r="325">
      <c r="C325" s="27"/>
      <c r="D325" s="27"/>
      <c r="E325" s="27"/>
      <c r="F325" s="27"/>
      <c r="G325" s="27"/>
      <c r="H325" s="27"/>
      <c r="I325" s="27"/>
    </row>
    <row r="326">
      <c r="C326" s="27"/>
      <c r="D326" s="27"/>
      <c r="E326" s="27"/>
      <c r="F326" s="27"/>
      <c r="G326" s="27"/>
      <c r="H326" s="27"/>
      <c r="I326" s="27"/>
    </row>
    <row r="327">
      <c r="C327" s="27"/>
      <c r="D327" s="27"/>
      <c r="E327" s="27"/>
      <c r="F327" s="27"/>
      <c r="G327" s="27"/>
      <c r="H327" s="27"/>
      <c r="I327" s="27"/>
    </row>
    <row r="328">
      <c r="C328" s="27"/>
      <c r="D328" s="27"/>
      <c r="E328" s="27"/>
      <c r="F328" s="27"/>
      <c r="G328" s="27"/>
      <c r="H328" s="27"/>
      <c r="I328" s="27"/>
    </row>
    <row r="329">
      <c r="C329" s="27"/>
      <c r="D329" s="27"/>
      <c r="E329" s="27"/>
      <c r="F329" s="27"/>
      <c r="G329" s="27"/>
      <c r="H329" s="27"/>
      <c r="I329" s="27"/>
    </row>
    <row r="330">
      <c r="C330" s="27"/>
      <c r="D330" s="27"/>
      <c r="E330" s="27"/>
      <c r="F330" s="27"/>
      <c r="G330" s="27"/>
      <c r="H330" s="27"/>
      <c r="I330" s="27"/>
    </row>
    <row r="331">
      <c r="C331" s="27"/>
      <c r="D331" s="27"/>
      <c r="E331" s="27"/>
      <c r="F331" s="27"/>
      <c r="G331" s="27"/>
      <c r="H331" s="27"/>
      <c r="I331" s="27"/>
    </row>
    <row r="332">
      <c r="C332" s="27"/>
      <c r="D332" s="27"/>
      <c r="E332" s="27"/>
      <c r="F332" s="27"/>
      <c r="G332" s="27"/>
      <c r="H332" s="27"/>
      <c r="I332" s="27"/>
    </row>
    <row r="333">
      <c r="C333" s="27"/>
      <c r="D333" s="27"/>
      <c r="E333" s="27"/>
      <c r="F333" s="27"/>
      <c r="G333" s="27"/>
      <c r="H333" s="27"/>
      <c r="I333" s="27"/>
    </row>
    <row r="334">
      <c r="C334" s="27"/>
      <c r="D334" s="27"/>
      <c r="E334" s="27"/>
      <c r="F334" s="27"/>
      <c r="G334" s="27"/>
      <c r="H334" s="27"/>
      <c r="I334" s="27"/>
    </row>
    <row r="335">
      <c r="C335" s="27"/>
      <c r="D335" s="27"/>
      <c r="E335" s="27"/>
      <c r="F335" s="27"/>
      <c r="G335" s="27"/>
      <c r="H335" s="27"/>
      <c r="I335" s="27"/>
    </row>
    <row r="336">
      <c r="C336" s="27"/>
      <c r="D336" s="27"/>
      <c r="E336" s="27"/>
      <c r="F336" s="27"/>
      <c r="G336" s="27"/>
      <c r="H336" s="27"/>
      <c r="I336" s="27"/>
    </row>
    <row r="337">
      <c r="C337" s="27"/>
      <c r="D337" s="27"/>
      <c r="E337" s="27"/>
      <c r="F337" s="27"/>
      <c r="G337" s="27"/>
      <c r="H337" s="27"/>
      <c r="I337" s="27"/>
    </row>
    <row r="338">
      <c r="C338" s="27"/>
      <c r="D338" s="27"/>
      <c r="E338" s="27"/>
      <c r="F338" s="27"/>
      <c r="G338" s="27"/>
      <c r="H338" s="27"/>
      <c r="I338" s="27"/>
    </row>
    <row r="339">
      <c r="C339" s="27"/>
      <c r="D339" s="27"/>
      <c r="E339" s="27"/>
      <c r="F339" s="27"/>
      <c r="G339" s="27"/>
      <c r="H339" s="27"/>
      <c r="I339" s="27"/>
    </row>
    <row r="340">
      <c r="C340" s="27"/>
      <c r="D340" s="27"/>
      <c r="E340" s="27"/>
      <c r="F340" s="27"/>
      <c r="G340" s="27"/>
      <c r="H340" s="27"/>
      <c r="I340" s="27"/>
    </row>
    <row r="341">
      <c r="C341" s="27"/>
      <c r="D341" s="27"/>
      <c r="E341" s="27"/>
      <c r="F341" s="27"/>
      <c r="G341" s="27"/>
      <c r="H341" s="27"/>
      <c r="I341" s="27"/>
    </row>
    <row r="342">
      <c r="C342" s="27"/>
      <c r="D342" s="27"/>
      <c r="E342" s="27"/>
      <c r="F342" s="27"/>
      <c r="G342" s="27"/>
      <c r="H342" s="27"/>
      <c r="I342" s="27"/>
    </row>
    <row r="343">
      <c r="C343" s="27"/>
      <c r="D343" s="27"/>
      <c r="E343" s="27"/>
      <c r="F343" s="27"/>
      <c r="G343" s="27"/>
      <c r="H343" s="27"/>
      <c r="I343" s="27"/>
    </row>
    <row r="344">
      <c r="C344" s="27"/>
      <c r="D344" s="27"/>
      <c r="E344" s="27"/>
      <c r="F344" s="27"/>
      <c r="G344" s="27"/>
      <c r="H344" s="27"/>
      <c r="I344" s="27"/>
    </row>
    <row r="345">
      <c r="C345" s="27"/>
      <c r="D345" s="27"/>
      <c r="E345" s="27"/>
      <c r="F345" s="27"/>
      <c r="G345" s="27"/>
      <c r="H345" s="27"/>
      <c r="I345" s="27"/>
    </row>
    <row r="346">
      <c r="C346" s="27"/>
      <c r="D346" s="27"/>
      <c r="E346" s="27"/>
      <c r="F346" s="27"/>
      <c r="G346" s="27"/>
      <c r="H346" s="27"/>
      <c r="I346" s="27"/>
    </row>
    <row r="347">
      <c r="C347" s="27"/>
      <c r="D347" s="27"/>
      <c r="E347" s="27"/>
      <c r="F347" s="27"/>
      <c r="G347" s="27"/>
      <c r="H347" s="27"/>
      <c r="I347" s="27"/>
    </row>
    <row r="348">
      <c r="C348" s="27"/>
      <c r="D348" s="27"/>
      <c r="E348" s="27"/>
      <c r="F348" s="27"/>
      <c r="G348" s="27"/>
      <c r="H348" s="27"/>
      <c r="I348" s="27"/>
    </row>
    <row r="349">
      <c r="C349" s="27"/>
      <c r="D349" s="27"/>
      <c r="E349" s="27"/>
      <c r="F349" s="27"/>
      <c r="G349" s="27"/>
      <c r="H349" s="27"/>
      <c r="I349" s="27"/>
    </row>
    <row r="350">
      <c r="C350" s="27"/>
      <c r="D350" s="27"/>
      <c r="E350" s="27"/>
      <c r="F350" s="27"/>
      <c r="G350" s="27"/>
      <c r="H350" s="27"/>
      <c r="I350" s="27"/>
    </row>
    <row r="351">
      <c r="C351" s="27"/>
      <c r="D351" s="27"/>
      <c r="E351" s="27"/>
      <c r="F351" s="27"/>
      <c r="G351" s="27"/>
      <c r="H351" s="27"/>
      <c r="I351" s="27"/>
    </row>
    <row r="352">
      <c r="C352" s="27"/>
      <c r="D352" s="27"/>
      <c r="E352" s="27"/>
      <c r="F352" s="27"/>
      <c r="G352" s="27"/>
      <c r="H352" s="27"/>
      <c r="I352" s="27"/>
    </row>
    <row r="353">
      <c r="C353" s="27"/>
      <c r="D353" s="27"/>
      <c r="E353" s="27"/>
      <c r="F353" s="27"/>
      <c r="G353" s="27"/>
      <c r="H353" s="27"/>
      <c r="I353" s="27"/>
    </row>
    <row r="354">
      <c r="C354" s="27"/>
      <c r="D354" s="27"/>
      <c r="E354" s="27"/>
      <c r="F354" s="27"/>
      <c r="G354" s="27"/>
      <c r="H354" s="27"/>
      <c r="I354" s="27"/>
    </row>
    <row r="355">
      <c r="C355" s="27"/>
      <c r="D355" s="27"/>
      <c r="E355" s="27"/>
      <c r="F355" s="27"/>
      <c r="G355" s="27"/>
      <c r="H355" s="27"/>
      <c r="I355" s="27"/>
    </row>
    <row r="356">
      <c r="C356" s="27"/>
      <c r="D356" s="27"/>
      <c r="E356" s="27"/>
      <c r="F356" s="27"/>
      <c r="G356" s="27"/>
      <c r="H356" s="27"/>
      <c r="I356" s="27"/>
    </row>
    <row r="357">
      <c r="C357" s="27"/>
      <c r="D357" s="27"/>
      <c r="E357" s="27"/>
      <c r="F357" s="27"/>
      <c r="G357" s="27"/>
      <c r="H357" s="27"/>
      <c r="I357" s="27"/>
    </row>
    <row r="358">
      <c r="C358" s="27"/>
      <c r="D358" s="27"/>
      <c r="E358" s="27"/>
      <c r="F358" s="27"/>
      <c r="G358" s="27"/>
      <c r="H358" s="27"/>
      <c r="I358" s="27"/>
    </row>
    <row r="359">
      <c r="C359" s="27"/>
      <c r="D359" s="27"/>
      <c r="E359" s="27"/>
      <c r="F359" s="27"/>
      <c r="G359" s="27"/>
      <c r="H359" s="27"/>
      <c r="I359" s="27"/>
    </row>
    <row r="360">
      <c r="C360" s="27"/>
      <c r="D360" s="27"/>
      <c r="E360" s="27"/>
      <c r="F360" s="27"/>
      <c r="G360" s="27"/>
      <c r="H360" s="27"/>
      <c r="I360" s="27"/>
    </row>
    <row r="361">
      <c r="C361" s="27"/>
      <c r="D361" s="27"/>
      <c r="E361" s="27"/>
      <c r="F361" s="27"/>
      <c r="G361" s="27"/>
      <c r="H361" s="27"/>
      <c r="I361" s="27"/>
    </row>
    <row r="362">
      <c r="C362" s="27"/>
      <c r="D362" s="27"/>
      <c r="E362" s="27"/>
      <c r="F362" s="27"/>
      <c r="G362" s="27"/>
      <c r="H362" s="27"/>
      <c r="I362" s="27"/>
    </row>
    <row r="363">
      <c r="C363" s="27"/>
      <c r="D363" s="27"/>
      <c r="E363" s="27"/>
      <c r="F363" s="27"/>
      <c r="G363" s="27"/>
      <c r="H363" s="27"/>
      <c r="I363" s="27"/>
    </row>
    <row r="364">
      <c r="C364" s="27"/>
      <c r="D364" s="27"/>
      <c r="E364" s="27"/>
      <c r="F364" s="27"/>
      <c r="G364" s="27"/>
      <c r="H364" s="27"/>
      <c r="I364" s="27"/>
    </row>
    <row r="365">
      <c r="C365" s="27"/>
      <c r="D365" s="27"/>
      <c r="E365" s="27"/>
      <c r="F365" s="27"/>
      <c r="G365" s="27"/>
      <c r="H365" s="27"/>
      <c r="I365" s="27"/>
    </row>
    <row r="366">
      <c r="C366" s="27"/>
      <c r="D366" s="27"/>
      <c r="E366" s="27"/>
      <c r="F366" s="27"/>
      <c r="G366" s="27"/>
      <c r="H366" s="27"/>
      <c r="I366" s="27"/>
    </row>
    <row r="367">
      <c r="C367" s="27"/>
      <c r="D367" s="27"/>
      <c r="E367" s="27"/>
      <c r="F367" s="27"/>
      <c r="G367" s="27"/>
      <c r="H367" s="27"/>
      <c r="I367" s="27"/>
    </row>
    <row r="368">
      <c r="C368" s="27"/>
      <c r="D368" s="27"/>
      <c r="E368" s="27"/>
      <c r="F368" s="27"/>
      <c r="G368" s="27"/>
      <c r="H368" s="27"/>
      <c r="I368" s="27"/>
    </row>
    <row r="369">
      <c r="C369" s="27"/>
      <c r="D369" s="27"/>
      <c r="E369" s="27"/>
      <c r="F369" s="27"/>
      <c r="G369" s="27"/>
      <c r="H369" s="27"/>
      <c r="I369" s="27"/>
    </row>
    <row r="370">
      <c r="C370" s="27"/>
      <c r="D370" s="27"/>
      <c r="E370" s="27"/>
      <c r="F370" s="27"/>
      <c r="G370" s="27"/>
      <c r="H370" s="27"/>
      <c r="I370" s="27"/>
    </row>
    <row r="371">
      <c r="C371" s="27"/>
      <c r="D371" s="27"/>
      <c r="E371" s="27"/>
      <c r="F371" s="27"/>
      <c r="G371" s="27"/>
      <c r="H371" s="27"/>
      <c r="I371" s="27"/>
    </row>
    <row r="372">
      <c r="C372" s="27"/>
      <c r="D372" s="27"/>
      <c r="E372" s="27"/>
      <c r="F372" s="27"/>
      <c r="G372" s="27"/>
      <c r="H372" s="27"/>
      <c r="I372" s="27"/>
    </row>
    <row r="373">
      <c r="C373" s="27"/>
      <c r="D373" s="27"/>
      <c r="E373" s="27"/>
      <c r="F373" s="27"/>
      <c r="G373" s="27"/>
      <c r="H373" s="27"/>
      <c r="I373" s="27"/>
    </row>
    <row r="374">
      <c r="C374" s="27"/>
      <c r="D374" s="27"/>
      <c r="E374" s="27"/>
      <c r="F374" s="27"/>
      <c r="G374" s="27"/>
      <c r="H374" s="27"/>
      <c r="I374" s="27"/>
    </row>
    <row r="375">
      <c r="C375" s="27"/>
      <c r="D375" s="27"/>
      <c r="E375" s="27"/>
      <c r="F375" s="27"/>
      <c r="G375" s="27"/>
      <c r="H375" s="27"/>
      <c r="I375" s="27"/>
    </row>
    <row r="376">
      <c r="C376" s="27"/>
      <c r="D376" s="27"/>
      <c r="E376" s="27"/>
      <c r="F376" s="27"/>
      <c r="G376" s="27"/>
      <c r="H376" s="27"/>
      <c r="I376" s="27"/>
    </row>
    <row r="377">
      <c r="C377" s="27"/>
      <c r="D377" s="27"/>
      <c r="E377" s="27"/>
      <c r="F377" s="27"/>
      <c r="G377" s="27"/>
      <c r="H377" s="27"/>
      <c r="I377" s="27"/>
    </row>
    <row r="378">
      <c r="C378" s="27"/>
      <c r="D378" s="27"/>
      <c r="E378" s="27"/>
      <c r="F378" s="27"/>
      <c r="G378" s="27"/>
      <c r="H378" s="27"/>
      <c r="I378" s="27"/>
    </row>
    <row r="379">
      <c r="C379" s="27"/>
      <c r="D379" s="27"/>
      <c r="E379" s="27"/>
      <c r="F379" s="27"/>
      <c r="G379" s="27"/>
      <c r="H379" s="27"/>
      <c r="I379" s="27"/>
    </row>
    <row r="380">
      <c r="C380" s="27"/>
      <c r="D380" s="27"/>
      <c r="E380" s="27"/>
      <c r="F380" s="27"/>
      <c r="G380" s="27"/>
      <c r="H380" s="27"/>
      <c r="I380" s="27"/>
    </row>
    <row r="381">
      <c r="C381" s="27"/>
      <c r="D381" s="27"/>
      <c r="E381" s="27"/>
      <c r="F381" s="27"/>
      <c r="G381" s="27"/>
      <c r="H381" s="27"/>
      <c r="I381" s="27"/>
    </row>
    <row r="382">
      <c r="C382" s="27"/>
      <c r="D382" s="27"/>
      <c r="E382" s="27"/>
      <c r="F382" s="27"/>
      <c r="G382" s="27"/>
      <c r="H382" s="27"/>
      <c r="I382" s="27"/>
    </row>
    <row r="383">
      <c r="C383" s="27"/>
      <c r="D383" s="27"/>
      <c r="E383" s="27"/>
      <c r="F383" s="27"/>
      <c r="G383" s="27"/>
      <c r="H383" s="27"/>
      <c r="I383" s="27"/>
    </row>
    <row r="384">
      <c r="C384" s="27"/>
      <c r="D384" s="27"/>
      <c r="E384" s="27"/>
      <c r="F384" s="27"/>
      <c r="G384" s="27"/>
      <c r="H384" s="27"/>
      <c r="I384" s="27"/>
    </row>
    <row r="385">
      <c r="C385" s="27"/>
      <c r="D385" s="27"/>
      <c r="E385" s="27"/>
      <c r="F385" s="27"/>
      <c r="G385" s="27"/>
      <c r="H385" s="27"/>
      <c r="I385" s="27"/>
    </row>
    <row r="386">
      <c r="C386" s="27"/>
      <c r="D386" s="27"/>
      <c r="E386" s="27"/>
      <c r="F386" s="27"/>
      <c r="G386" s="27"/>
      <c r="H386" s="27"/>
      <c r="I386" s="27"/>
    </row>
    <row r="387">
      <c r="C387" s="27"/>
      <c r="D387" s="27"/>
      <c r="E387" s="27"/>
      <c r="F387" s="27"/>
      <c r="G387" s="27"/>
      <c r="H387" s="27"/>
      <c r="I387" s="27"/>
    </row>
    <row r="388">
      <c r="C388" s="27"/>
      <c r="D388" s="27"/>
      <c r="E388" s="27"/>
      <c r="F388" s="27"/>
      <c r="G388" s="27"/>
      <c r="H388" s="27"/>
      <c r="I388" s="27"/>
    </row>
    <row r="389">
      <c r="C389" s="27"/>
      <c r="D389" s="27"/>
      <c r="E389" s="27"/>
      <c r="F389" s="27"/>
      <c r="G389" s="27"/>
      <c r="H389" s="27"/>
      <c r="I389" s="27"/>
    </row>
    <row r="390">
      <c r="C390" s="27"/>
      <c r="D390" s="27"/>
      <c r="E390" s="27"/>
      <c r="F390" s="27"/>
      <c r="G390" s="27"/>
      <c r="H390" s="27"/>
      <c r="I390" s="27"/>
    </row>
    <row r="391">
      <c r="C391" s="27"/>
      <c r="D391" s="27"/>
      <c r="E391" s="27"/>
      <c r="F391" s="27"/>
      <c r="G391" s="27"/>
      <c r="H391" s="27"/>
      <c r="I391" s="27"/>
    </row>
    <row r="392">
      <c r="C392" s="27"/>
      <c r="D392" s="27"/>
      <c r="E392" s="27"/>
      <c r="F392" s="27"/>
      <c r="G392" s="27"/>
      <c r="H392" s="27"/>
      <c r="I392" s="27"/>
    </row>
    <row r="393">
      <c r="C393" s="27"/>
      <c r="D393" s="27"/>
      <c r="E393" s="27"/>
      <c r="F393" s="27"/>
      <c r="G393" s="27"/>
      <c r="H393" s="27"/>
      <c r="I393" s="27"/>
    </row>
    <row r="394">
      <c r="C394" s="27"/>
      <c r="D394" s="27"/>
      <c r="E394" s="27"/>
      <c r="F394" s="27"/>
      <c r="G394" s="27"/>
      <c r="H394" s="27"/>
      <c r="I394" s="27"/>
    </row>
    <row r="395">
      <c r="C395" s="27"/>
      <c r="D395" s="27"/>
      <c r="E395" s="27"/>
      <c r="F395" s="27"/>
      <c r="G395" s="27"/>
      <c r="H395" s="27"/>
      <c r="I395" s="27"/>
    </row>
    <row r="396">
      <c r="C396" s="27"/>
      <c r="D396" s="27"/>
      <c r="E396" s="27"/>
      <c r="F396" s="27"/>
      <c r="G396" s="27"/>
      <c r="H396" s="27"/>
      <c r="I396" s="27"/>
    </row>
    <row r="397">
      <c r="C397" s="27"/>
      <c r="D397" s="27"/>
      <c r="E397" s="27"/>
      <c r="F397" s="27"/>
      <c r="G397" s="27"/>
      <c r="H397" s="27"/>
      <c r="I397" s="27"/>
    </row>
    <row r="398">
      <c r="C398" s="27"/>
      <c r="D398" s="27"/>
      <c r="E398" s="27"/>
      <c r="F398" s="27"/>
      <c r="G398" s="27"/>
      <c r="H398" s="27"/>
      <c r="I398" s="27"/>
    </row>
    <row r="399">
      <c r="C399" s="27"/>
      <c r="D399" s="27"/>
      <c r="E399" s="27"/>
      <c r="F399" s="27"/>
      <c r="G399" s="27"/>
      <c r="H399" s="27"/>
      <c r="I399" s="27"/>
    </row>
    <row r="400">
      <c r="C400" s="27"/>
      <c r="D400" s="27"/>
      <c r="E400" s="27"/>
      <c r="F400" s="27"/>
      <c r="G400" s="27"/>
      <c r="H400" s="27"/>
      <c r="I400" s="27"/>
    </row>
    <row r="401">
      <c r="C401" s="27"/>
      <c r="D401" s="27"/>
      <c r="E401" s="27"/>
      <c r="F401" s="27"/>
      <c r="G401" s="27"/>
      <c r="H401" s="27"/>
      <c r="I401" s="27"/>
    </row>
    <row r="402">
      <c r="C402" s="27"/>
      <c r="D402" s="27"/>
      <c r="E402" s="27"/>
      <c r="F402" s="27"/>
      <c r="G402" s="27"/>
      <c r="H402" s="27"/>
      <c r="I402" s="27"/>
    </row>
    <row r="403">
      <c r="C403" s="27"/>
      <c r="D403" s="27"/>
      <c r="E403" s="27"/>
      <c r="F403" s="27"/>
      <c r="G403" s="27"/>
      <c r="H403" s="27"/>
      <c r="I403" s="27"/>
    </row>
    <row r="404">
      <c r="C404" s="27"/>
      <c r="D404" s="27"/>
      <c r="E404" s="27"/>
      <c r="F404" s="27"/>
      <c r="G404" s="27"/>
      <c r="H404" s="27"/>
      <c r="I404" s="27"/>
    </row>
    <row r="405">
      <c r="C405" s="27"/>
      <c r="D405" s="27"/>
      <c r="E405" s="27"/>
      <c r="F405" s="27"/>
      <c r="G405" s="27"/>
      <c r="H405" s="27"/>
      <c r="I405" s="27"/>
    </row>
    <row r="406">
      <c r="C406" s="27"/>
      <c r="D406" s="27"/>
      <c r="E406" s="27"/>
      <c r="F406" s="27"/>
      <c r="G406" s="27"/>
      <c r="H406" s="27"/>
      <c r="I406" s="27"/>
    </row>
    <row r="407">
      <c r="C407" s="27"/>
      <c r="D407" s="27"/>
      <c r="E407" s="27"/>
      <c r="F407" s="27"/>
      <c r="G407" s="27"/>
      <c r="H407" s="27"/>
      <c r="I407" s="27"/>
    </row>
    <row r="408">
      <c r="C408" s="27"/>
      <c r="D408" s="27"/>
      <c r="E408" s="27"/>
      <c r="F408" s="27"/>
      <c r="G408" s="27"/>
      <c r="H408" s="27"/>
      <c r="I408" s="27"/>
    </row>
    <row r="409">
      <c r="C409" s="27"/>
      <c r="D409" s="27"/>
      <c r="E409" s="27"/>
      <c r="F409" s="27"/>
      <c r="G409" s="27"/>
      <c r="H409" s="27"/>
      <c r="I409" s="27"/>
    </row>
    <row r="410">
      <c r="C410" s="27"/>
      <c r="D410" s="27"/>
      <c r="E410" s="27"/>
      <c r="F410" s="27"/>
      <c r="G410" s="27"/>
      <c r="H410" s="27"/>
      <c r="I410" s="27"/>
    </row>
    <row r="411">
      <c r="C411" s="27"/>
      <c r="D411" s="27"/>
      <c r="E411" s="27"/>
      <c r="F411" s="27"/>
      <c r="G411" s="27"/>
      <c r="H411" s="27"/>
      <c r="I411" s="27"/>
    </row>
    <row r="412">
      <c r="C412" s="27"/>
      <c r="D412" s="27"/>
      <c r="E412" s="27"/>
      <c r="F412" s="27"/>
      <c r="G412" s="27"/>
      <c r="H412" s="27"/>
      <c r="I412" s="27"/>
    </row>
    <row r="413">
      <c r="C413" s="27"/>
      <c r="D413" s="27"/>
      <c r="E413" s="27"/>
      <c r="F413" s="27"/>
      <c r="G413" s="27"/>
      <c r="H413" s="27"/>
      <c r="I413" s="27"/>
    </row>
    <row r="414">
      <c r="C414" s="27"/>
      <c r="D414" s="27"/>
      <c r="E414" s="27"/>
      <c r="F414" s="27"/>
      <c r="G414" s="27"/>
      <c r="H414" s="27"/>
      <c r="I414" s="27"/>
    </row>
    <row r="415">
      <c r="C415" s="27"/>
      <c r="D415" s="27"/>
      <c r="E415" s="27"/>
      <c r="F415" s="27"/>
      <c r="G415" s="27"/>
      <c r="H415" s="27"/>
      <c r="I415" s="27"/>
    </row>
    <row r="416">
      <c r="C416" s="27"/>
      <c r="D416" s="27"/>
      <c r="E416" s="27"/>
      <c r="F416" s="27"/>
      <c r="G416" s="27"/>
      <c r="H416" s="27"/>
      <c r="I416" s="27"/>
    </row>
    <row r="417">
      <c r="C417" s="27"/>
      <c r="D417" s="27"/>
      <c r="E417" s="27"/>
      <c r="F417" s="27"/>
      <c r="G417" s="27"/>
      <c r="H417" s="27"/>
      <c r="I417" s="27"/>
    </row>
    <row r="418">
      <c r="C418" s="27"/>
      <c r="D418" s="27"/>
      <c r="E418" s="27"/>
      <c r="F418" s="27"/>
      <c r="G418" s="27"/>
      <c r="H418" s="27"/>
      <c r="I418" s="27"/>
    </row>
    <row r="419">
      <c r="C419" s="27"/>
      <c r="D419" s="27"/>
      <c r="E419" s="27"/>
      <c r="F419" s="27"/>
      <c r="G419" s="27"/>
      <c r="H419" s="27"/>
      <c r="I419" s="27"/>
    </row>
    <row r="420">
      <c r="C420" s="27"/>
      <c r="D420" s="27"/>
      <c r="E420" s="27"/>
      <c r="F420" s="27"/>
      <c r="G420" s="27"/>
      <c r="H420" s="27"/>
      <c r="I420" s="27"/>
    </row>
    <row r="421">
      <c r="C421" s="27"/>
      <c r="D421" s="27"/>
      <c r="E421" s="27"/>
      <c r="F421" s="27"/>
      <c r="G421" s="27"/>
      <c r="H421" s="27"/>
      <c r="I421" s="27"/>
    </row>
    <row r="422">
      <c r="C422" s="27"/>
      <c r="D422" s="27"/>
      <c r="E422" s="27"/>
      <c r="F422" s="27"/>
      <c r="G422" s="27"/>
      <c r="H422" s="27"/>
      <c r="I422" s="27"/>
    </row>
    <row r="423">
      <c r="C423" s="27"/>
      <c r="D423" s="27"/>
      <c r="E423" s="27"/>
      <c r="F423" s="27"/>
      <c r="G423" s="27"/>
      <c r="H423" s="27"/>
      <c r="I423" s="27"/>
    </row>
    <row r="424">
      <c r="C424" s="27"/>
      <c r="D424" s="27"/>
      <c r="E424" s="27"/>
      <c r="F424" s="27"/>
      <c r="G424" s="27"/>
      <c r="H424" s="27"/>
      <c r="I424" s="27"/>
    </row>
    <row r="425">
      <c r="C425" s="27"/>
      <c r="D425" s="27"/>
      <c r="E425" s="27"/>
      <c r="F425" s="27"/>
      <c r="G425" s="27"/>
      <c r="H425" s="27"/>
      <c r="I425" s="27"/>
    </row>
    <row r="426">
      <c r="C426" s="27"/>
      <c r="D426" s="27"/>
      <c r="E426" s="27"/>
      <c r="F426" s="27"/>
      <c r="G426" s="27"/>
      <c r="H426" s="27"/>
      <c r="I426" s="27"/>
    </row>
    <row r="427">
      <c r="C427" s="27"/>
      <c r="D427" s="27"/>
      <c r="E427" s="27"/>
      <c r="F427" s="27"/>
      <c r="G427" s="27"/>
      <c r="H427" s="27"/>
      <c r="I427" s="27"/>
    </row>
    <row r="428">
      <c r="C428" s="27"/>
      <c r="D428" s="27"/>
      <c r="E428" s="27"/>
      <c r="F428" s="27"/>
      <c r="G428" s="27"/>
      <c r="H428" s="27"/>
      <c r="I428" s="27"/>
    </row>
    <row r="429">
      <c r="C429" s="27"/>
      <c r="D429" s="27"/>
      <c r="E429" s="27"/>
      <c r="F429" s="27"/>
      <c r="G429" s="27"/>
      <c r="H429" s="27"/>
      <c r="I429" s="27"/>
    </row>
    <row r="430">
      <c r="C430" s="27"/>
      <c r="D430" s="27"/>
      <c r="E430" s="27"/>
      <c r="F430" s="27"/>
      <c r="G430" s="27"/>
      <c r="H430" s="27"/>
      <c r="I430" s="27"/>
    </row>
    <row r="431">
      <c r="C431" s="27"/>
      <c r="D431" s="27"/>
      <c r="E431" s="27"/>
      <c r="F431" s="27"/>
      <c r="G431" s="27"/>
      <c r="H431" s="27"/>
      <c r="I431" s="27"/>
    </row>
    <row r="432">
      <c r="C432" s="27"/>
      <c r="D432" s="27"/>
      <c r="E432" s="27"/>
      <c r="F432" s="27"/>
      <c r="G432" s="27"/>
      <c r="H432" s="27"/>
      <c r="I432" s="27"/>
    </row>
    <row r="433">
      <c r="C433" s="27"/>
      <c r="D433" s="27"/>
      <c r="E433" s="27"/>
      <c r="F433" s="27"/>
      <c r="G433" s="27"/>
      <c r="H433" s="27"/>
      <c r="I433" s="27"/>
    </row>
    <row r="434">
      <c r="C434" s="27"/>
      <c r="D434" s="27"/>
      <c r="E434" s="27"/>
      <c r="F434" s="27"/>
      <c r="G434" s="27"/>
      <c r="H434" s="27"/>
      <c r="I434" s="27"/>
    </row>
    <row r="435">
      <c r="C435" s="27"/>
      <c r="D435" s="27"/>
      <c r="E435" s="27"/>
      <c r="F435" s="27"/>
      <c r="G435" s="27"/>
      <c r="H435" s="27"/>
      <c r="I435" s="27"/>
    </row>
    <row r="436">
      <c r="C436" s="27"/>
      <c r="D436" s="27"/>
      <c r="E436" s="27"/>
      <c r="F436" s="27"/>
      <c r="G436" s="27"/>
      <c r="H436" s="27"/>
      <c r="I436" s="27"/>
    </row>
    <row r="437">
      <c r="C437" s="27"/>
      <c r="D437" s="27"/>
      <c r="E437" s="27"/>
      <c r="F437" s="27"/>
      <c r="G437" s="27"/>
      <c r="H437" s="27"/>
      <c r="I437" s="27"/>
    </row>
    <row r="438">
      <c r="C438" s="27"/>
      <c r="D438" s="27"/>
      <c r="E438" s="27"/>
      <c r="F438" s="27"/>
      <c r="G438" s="27"/>
      <c r="H438" s="27"/>
      <c r="I438" s="27"/>
    </row>
    <row r="439">
      <c r="C439" s="27"/>
      <c r="D439" s="27"/>
      <c r="E439" s="27"/>
      <c r="F439" s="27"/>
      <c r="G439" s="27"/>
      <c r="H439" s="27"/>
      <c r="I439" s="27"/>
    </row>
    <row r="440">
      <c r="C440" s="27"/>
      <c r="D440" s="27"/>
      <c r="E440" s="27"/>
      <c r="F440" s="27"/>
      <c r="G440" s="27"/>
      <c r="H440" s="27"/>
      <c r="I440" s="27"/>
    </row>
    <row r="441">
      <c r="C441" s="27"/>
      <c r="D441" s="27"/>
      <c r="E441" s="27"/>
      <c r="F441" s="27"/>
      <c r="G441" s="27"/>
      <c r="H441" s="27"/>
      <c r="I441" s="27"/>
    </row>
    <row r="442">
      <c r="C442" s="27"/>
      <c r="D442" s="27"/>
      <c r="E442" s="27"/>
      <c r="F442" s="27"/>
      <c r="G442" s="27"/>
      <c r="H442" s="27"/>
      <c r="I442" s="27"/>
    </row>
    <row r="443">
      <c r="C443" s="27"/>
      <c r="D443" s="27"/>
      <c r="E443" s="27"/>
      <c r="F443" s="27"/>
      <c r="G443" s="27"/>
      <c r="H443" s="27"/>
      <c r="I443" s="27"/>
    </row>
    <row r="444">
      <c r="C444" s="27"/>
      <c r="D444" s="27"/>
      <c r="E444" s="27"/>
      <c r="F444" s="27"/>
      <c r="G444" s="27"/>
      <c r="H444" s="27"/>
      <c r="I444" s="27"/>
    </row>
    <row r="445">
      <c r="C445" s="27"/>
      <c r="D445" s="27"/>
      <c r="E445" s="27"/>
      <c r="F445" s="27"/>
      <c r="G445" s="27"/>
      <c r="H445" s="27"/>
      <c r="I445" s="27"/>
    </row>
    <row r="446">
      <c r="C446" s="27"/>
      <c r="D446" s="27"/>
      <c r="E446" s="27"/>
      <c r="F446" s="27"/>
      <c r="G446" s="27"/>
      <c r="H446" s="27"/>
      <c r="I446" s="27"/>
    </row>
    <row r="447">
      <c r="C447" s="27"/>
      <c r="D447" s="27"/>
      <c r="E447" s="27"/>
      <c r="F447" s="27"/>
      <c r="G447" s="27"/>
      <c r="H447" s="27"/>
      <c r="I447" s="27"/>
    </row>
    <row r="448">
      <c r="C448" s="27"/>
      <c r="D448" s="27"/>
      <c r="E448" s="27"/>
      <c r="F448" s="27"/>
      <c r="G448" s="27"/>
      <c r="H448" s="27"/>
      <c r="I448" s="27"/>
    </row>
    <row r="449">
      <c r="C449" s="27"/>
      <c r="D449" s="27"/>
      <c r="E449" s="27"/>
      <c r="F449" s="27"/>
      <c r="G449" s="27"/>
      <c r="H449" s="27"/>
      <c r="I449" s="27"/>
    </row>
    <row r="450">
      <c r="C450" s="27"/>
      <c r="D450" s="27"/>
      <c r="E450" s="27"/>
      <c r="F450" s="27"/>
      <c r="G450" s="27"/>
      <c r="H450" s="27"/>
      <c r="I450" s="27"/>
    </row>
    <row r="451">
      <c r="C451" s="27"/>
      <c r="D451" s="27"/>
      <c r="E451" s="27"/>
      <c r="F451" s="27"/>
      <c r="G451" s="27"/>
      <c r="H451" s="27"/>
      <c r="I451" s="27"/>
    </row>
    <row r="452">
      <c r="C452" s="27"/>
      <c r="D452" s="27"/>
      <c r="E452" s="27"/>
      <c r="F452" s="27"/>
      <c r="G452" s="27"/>
      <c r="H452" s="27"/>
      <c r="I452" s="27"/>
    </row>
    <row r="453">
      <c r="C453" s="27"/>
      <c r="D453" s="27"/>
      <c r="E453" s="27"/>
      <c r="F453" s="27"/>
      <c r="G453" s="27"/>
      <c r="H453" s="27"/>
      <c r="I453" s="27"/>
    </row>
    <row r="454">
      <c r="C454" s="27"/>
      <c r="D454" s="27"/>
      <c r="E454" s="27"/>
      <c r="F454" s="27"/>
      <c r="G454" s="27"/>
      <c r="H454" s="27"/>
      <c r="I454" s="27"/>
    </row>
    <row r="455">
      <c r="C455" s="27"/>
      <c r="D455" s="27"/>
      <c r="E455" s="27"/>
      <c r="F455" s="27"/>
      <c r="G455" s="27"/>
      <c r="H455" s="27"/>
      <c r="I455" s="27"/>
    </row>
    <row r="456">
      <c r="C456" s="27"/>
      <c r="D456" s="27"/>
      <c r="E456" s="27"/>
      <c r="F456" s="27"/>
      <c r="G456" s="27"/>
      <c r="H456" s="27"/>
      <c r="I456" s="27"/>
    </row>
    <row r="457">
      <c r="C457" s="27"/>
      <c r="D457" s="27"/>
      <c r="E457" s="27"/>
      <c r="F457" s="27"/>
      <c r="G457" s="27"/>
      <c r="H457" s="27"/>
      <c r="I457" s="27"/>
    </row>
    <row r="458">
      <c r="C458" s="27"/>
      <c r="D458" s="27"/>
      <c r="E458" s="27"/>
      <c r="F458" s="27"/>
      <c r="G458" s="27"/>
      <c r="H458" s="27"/>
      <c r="I458" s="27"/>
    </row>
    <row r="459">
      <c r="C459" s="27"/>
      <c r="D459" s="27"/>
      <c r="E459" s="27"/>
      <c r="F459" s="27"/>
      <c r="G459" s="27"/>
      <c r="H459" s="27"/>
      <c r="I459" s="27"/>
    </row>
    <row r="460">
      <c r="C460" s="27"/>
      <c r="D460" s="27"/>
      <c r="E460" s="27"/>
      <c r="F460" s="27"/>
      <c r="G460" s="27"/>
      <c r="H460" s="27"/>
      <c r="I460" s="27"/>
    </row>
    <row r="461">
      <c r="C461" s="27"/>
      <c r="D461" s="27"/>
      <c r="E461" s="27"/>
      <c r="F461" s="27"/>
      <c r="G461" s="27"/>
      <c r="H461" s="27"/>
      <c r="I461" s="27"/>
    </row>
    <row r="462">
      <c r="C462" s="27"/>
      <c r="D462" s="27"/>
      <c r="E462" s="27"/>
      <c r="F462" s="27"/>
      <c r="G462" s="27"/>
      <c r="H462" s="27"/>
      <c r="I462" s="27"/>
    </row>
    <row r="463">
      <c r="C463" s="27"/>
      <c r="D463" s="27"/>
      <c r="E463" s="27"/>
      <c r="F463" s="27"/>
      <c r="G463" s="27"/>
      <c r="H463" s="27"/>
      <c r="I463" s="27"/>
    </row>
    <row r="464">
      <c r="C464" s="27"/>
      <c r="D464" s="27"/>
      <c r="E464" s="27"/>
      <c r="F464" s="27"/>
      <c r="G464" s="27"/>
      <c r="H464" s="27"/>
      <c r="I464" s="27"/>
    </row>
    <row r="465">
      <c r="C465" s="27"/>
      <c r="D465" s="27"/>
      <c r="E465" s="27"/>
      <c r="F465" s="27"/>
      <c r="G465" s="27"/>
      <c r="H465" s="27"/>
      <c r="I465" s="27"/>
    </row>
    <row r="466">
      <c r="C466" s="27"/>
      <c r="D466" s="27"/>
      <c r="E466" s="27"/>
      <c r="F466" s="27"/>
      <c r="G466" s="27"/>
      <c r="H466" s="27"/>
      <c r="I466" s="27"/>
    </row>
    <row r="467">
      <c r="C467" s="27"/>
      <c r="D467" s="27"/>
      <c r="E467" s="27"/>
      <c r="F467" s="27"/>
      <c r="G467" s="27"/>
      <c r="H467" s="27"/>
      <c r="I467" s="27"/>
    </row>
    <row r="468">
      <c r="C468" s="27"/>
      <c r="D468" s="27"/>
      <c r="E468" s="27"/>
      <c r="F468" s="27"/>
      <c r="G468" s="27"/>
      <c r="H468" s="27"/>
      <c r="I468" s="27"/>
    </row>
    <row r="469">
      <c r="C469" s="27"/>
      <c r="D469" s="27"/>
      <c r="E469" s="27"/>
      <c r="F469" s="27"/>
      <c r="G469" s="27"/>
      <c r="H469" s="27"/>
      <c r="I469" s="27"/>
    </row>
    <row r="470">
      <c r="C470" s="27"/>
      <c r="D470" s="27"/>
      <c r="E470" s="27"/>
      <c r="F470" s="27"/>
      <c r="G470" s="27"/>
      <c r="H470" s="27"/>
      <c r="I470" s="27"/>
    </row>
    <row r="471">
      <c r="C471" s="27"/>
      <c r="D471" s="27"/>
      <c r="E471" s="27"/>
      <c r="F471" s="27"/>
      <c r="G471" s="27"/>
      <c r="H471" s="27"/>
      <c r="I471" s="27"/>
    </row>
    <row r="472">
      <c r="C472" s="27"/>
      <c r="D472" s="27"/>
      <c r="E472" s="27"/>
      <c r="F472" s="27"/>
      <c r="G472" s="27"/>
      <c r="H472" s="27"/>
      <c r="I472" s="27"/>
    </row>
    <row r="473">
      <c r="C473" s="27"/>
      <c r="D473" s="27"/>
      <c r="E473" s="27"/>
      <c r="F473" s="27"/>
      <c r="G473" s="27"/>
      <c r="H473" s="27"/>
      <c r="I473" s="27"/>
    </row>
    <row r="474">
      <c r="C474" s="27"/>
      <c r="D474" s="27"/>
      <c r="E474" s="27"/>
      <c r="F474" s="27"/>
      <c r="G474" s="27"/>
      <c r="H474" s="27"/>
      <c r="I474" s="27"/>
    </row>
    <row r="475">
      <c r="C475" s="27"/>
      <c r="D475" s="27"/>
      <c r="E475" s="27"/>
      <c r="F475" s="27"/>
      <c r="G475" s="27"/>
      <c r="H475" s="27"/>
      <c r="I475" s="27"/>
    </row>
    <row r="476">
      <c r="C476" s="27"/>
      <c r="D476" s="27"/>
      <c r="E476" s="27"/>
      <c r="F476" s="27"/>
      <c r="G476" s="27"/>
      <c r="H476" s="27"/>
      <c r="I476" s="27"/>
    </row>
    <row r="477">
      <c r="C477" s="27"/>
      <c r="D477" s="27"/>
      <c r="E477" s="27"/>
      <c r="F477" s="27"/>
      <c r="G477" s="27"/>
      <c r="H477" s="27"/>
      <c r="I477" s="27"/>
    </row>
    <row r="478">
      <c r="C478" s="27"/>
      <c r="D478" s="27"/>
      <c r="E478" s="27"/>
      <c r="F478" s="27"/>
      <c r="G478" s="27"/>
      <c r="H478" s="27"/>
      <c r="I478" s="27"/>
    </row>
    <row r="479">
      <c r="C479" s="27"/>
      <c r="D479" s="27"/>
      <c r="E479" s="27"/>
      <c r="F479" s="27"/>
      <c r="G479" s="27"/>
      <c r="H479" s="27"/>
      <c r="I479" s="27"/>
    </row>
    <row r="480">
      <c r="C480" s="27"/>
      <c r="D480" s="27"/>
      <c r="E480" s="27"/>
      <c r="F480" s="27"/>
      <c r="G480" s="27"/>
      <c r="H480" s="27"/>
      <c r="I480" s="27"/>
    </row>
    <row r="481">
      <c r="C481" s="27"/>
      <c r="D481" s="27"/>
      <c r="E481" s="27"/>
      <c r="F481" s="27"/>
      <c r="G481" s="27"/>
      <c r="H481" s="27"/>
      <c r="I481" s="27"/>
    </row>
    <row r="482">
      <c r="C482" s="27"/>
      <c r="D482" s="27"/>
      <c r="E482" s="27"/>
      <c r="F482" s="27"/>
      <c r="G482" s="27"/>
      <c r="H482" s="27"/>
      <c r="I482" s="27"/>
    </row>
    <row r="483">
      <c r="C483" s="27"/>
      <c r="D483" s="27"/>
      <c r="E483" s="27"/>
      <c r="F483" s="27"/>
      <c r="G483" s="27"/>
      <c r="H483" s="27"/>
      <c r="I483" s="27"/>
    </row>
    <row r="484">
      <c r="C484" s="27"/>
      <c r="D484" s="27"/>
      <c r="E484" s="27"/>
      <c r="F484" s="27"/>
      <c r="G484" s="27"/>
      <c r="H484" s="27"/>
      <c r="I484" s="27"/>
    </row>
    <row r="485">
      <c r="C485" s="27"/>
      <c r="D485" s="27"/>
      <c r="E485" s="27"/>
      <c r="F485" s="27"/>
      <c r="G485" s="27"/>
      <c r="H485" s="27"/>
      <c r="I485" s="27"/>
    </row>
    <row r="486">
      <c r="C486" s="27"/>
      <c r="D486" s="27"/>
      <c r="E486" s="27"/>
      <c r="F486" s="27"/>
      <c r="G486" s="27"/>
      <c r="H486" s="27"/>
      <c r="I486" s="27"/>
    </row>
    <row r="487">
      <c r="C487" s="27"/>
      <c r="D487" s="27"/>
      <c r="E487" s="27"/>
      <c r="F487" s="27"/>
      <c r="G487" s="27"/>
      <c r="H487" s="27"/>
      <c r="I487" s="27"/>
    </row>
    <row r="488">
      <c r="C488" s="27"/>
      <c r="D488" s="27"/>
      <c r="E488" s="27"/>
      <c r="F488" s="27"/>
      <c r="G488" s="27"/>
      <c r="H488" s="27"/>
      <c r="I488" s="27"/>
    </row>
    <row r="489">
      <c r="C489" s="27"/>
      <c r="D489" s="27"/>
      <c r="E489" s="27"/>
      <c r="F489" s="27"/>
      <c r="G489" s="27"/>
      <c r="H489" s="27"/>
      <c r="I489" s="27"/>
    </row>
    <row r="490">
      <c r="C490" s="27"/>
      <c r="D490" s="27"/>
      <c r="E490" s="27"/>
      <c r="F490" s="27"/>
      <c r="G490" s="27"/>
      <c r="H490" s="27"/>
      <c r="I490" s="27"/>
    </row>
    <row r="491">
      <c r="C491" s="27"/>
      <c r="D491" s="27"/>
      <c r="E491" s="27"/>
      <c r="F491" s="27"/>
      <c r="G491" s="27"/>
      <c r="H491" s="27"/>
      <c r="I491" s="27"/>
    </row>
    <row r="492">
      <c r="C492" s="27"/>
      <c r="D492" s="27"/>
      <c r="E492" s="27"/>
      <c r="F492" s="27"/>
      <c r="G492" s="27"/>
      <c r="H492" s="27"/>
      <c r="I492" s="27"/>
    </row>
    <row r="493">
      <c r="C493" s="27"/>
      <c r="D493" s="27"/>
      <c r="E493" s="27"/>
      <c r="F493" s="27"/>
      <c r="G493" s="27"/>
      <c r="H493" s="27"/>
      <c r="I493" s="27"/>
    </row>
    <row r="494">
      <c r="C494" s="27"/>
      <c r="D494" s="27"/>
      <c r="E494" s="27"/>
      <c r="F494" s="27"/>
      <c r="G494" s="27"/>
      <c r="H494" s="27"/>
      <c r="I494" s="27"/>
    </row>
    <row r="495">
      <c r="C495" s="27"/>
      <c r="D495" s="27"/>
      <c r="E495" s="27"/>
      <c r="F495" s="27"/>
      <c r="G495" s="27"/>
      <c r="H495" s="27"/>
      <c r="I495" s="27"/>
    </row>
    <row r="496">
      <c r="C496" s="27"/>
      <c r="D496" s="27"/>
      <c r="E496" s="27"/>
      <c r="F496" s="27"/>
      <c r="G496" s="27"/>
      <c r="H496" s="27"/>
      <c r="I496" s="27"/>
    </row>
    <row r="497">
      <c r="C497" s="27"/>
      <c r="D497" s="27"/>
      <c r="E497" s="27"/>
      <c r="F497" s="27"/>
      <c r="G497" s="27"/>
      <c r="H497" s="27"/>
      <c r="I497" s="27"/>
    </row>
    <row r="498">
      <c r="C498" s="27"/>
      <c r="D498" s="27"/>
      <c r="E498" s="27"/>
      <c r="F498" s="27"/>
      <c r="G498" s="27"/>
      <c r="H498" s="27"/>
      <c r="I498" s="27"/>
    </row>
    <row r="499">
      <c r="C499" s="27"/>
      <c r="D499" s="27"/>
      <c r="E499" s="27"/>
      <c r="F499" s="27"/>
      <c r="G499" s="27"/>
      <c r="H499" s="27"/>
      <c r="I499" s="27"/>
    </row>
    <row r="500">
      <c r="C500" s="27"/>
      <c r="D500" s="27"/>
      <c r="E500" s="27"/>
      <c r="F500" s="27"/>
      <c r="G500" s="27"/>
      <c r="H500" s="27"/>
      <c r="I500" s="27"/>
    </row>
    <row r="501">
      <c r="C501" s="27"/>
      <c r="D501" s="27"/>
      <c r="E501" s="27"/>
      <c r="F501" s="27"/>
      <c r="G501" s="27"/>
      <c r="H501" s="27"/>
      <c r="I501" s="27"/>
    </row>
    <row r="502">
      <c r="C502" s="27"/>
      <c r="D502" s="27"/>
      <c r="E502" s="27"/>
      <c r="F502" s="27"/>
      <c r="G502" s="27"/>
      <c r="H502" s="27"/>
      <c r="I502" s="27"/>
    </row>
    <row r="503">
      <c r="C503" s="27"/>
      <c r="D503" s="27"/>
      <c r="E503" s="27"/>
      <c r="F503" s="27"/>
      <c r="G503" s="27"/>
      <c r="H503" s="27"/>
      <c r="I503" s="27"/>
    </row>
    <row r="504">
      <c r="C504" s="27"/>
      <c r="D504" s="27"/>
      <c r="E504" s="27"/>
      <c r="F504" s="27"/>
      <c r="G504" s="27"/>
      <c r="H504" s="27"/>
      <c r="I504" s="27"/>
    </row>
    <row r="505">
      <c r="C505" s="27"/>
      <c r="D505" s="27"/>
      <c r="E505" s="27"/>
      <c r="F505" s="27"/>
      <c r="G505" s="27"/>
      <c r="H505" s="27"/>
      <c r="I505" s="27"/>
    </row>
    <row r="506">
      <c r="C506" s="27"/>
      <c r="D506" s="27"/>
      <c r="E506" s="27"/>
      <c r="F506" s="27"/>
      <c r="G506" s="27"/>
      <c r="H506" s="27"/>
      <c r="I506" s="27"/>
    </row>
    <row r="507">
      <c r="C507" s="27"/>
      <c r="D507" s="27"/>
      <c r="E507" s="27"/>
      <c r="F507" s="27"/>
      <c r="G507" s="27"/>
      <c r="H507" s="27"/>
      <c r="I507" s="27"/>
    </row>
    <row r="508">
      <c r="C508" s="27"/>
      <c r="D508" s="27"/>
      <c r="E508" s="27"/>
      <c r="F508" s="27"/>
      <c r="G508" s="27"/>
      <c r="H508" s="27"/>
      <c r="I508" s="27"/>
    </row>
    <row r="509">
      <c r="C509" s="27"/>
      <c r="D509" s="27"/>
      <c r="E509" s="27"/>
      <c r="F509" s="27"/>
      <c r="G509" s="27"/>
      <c r="H509" s="27"/>
      <c r="I509" s="27"/>
    </row>
    <row r="510">
      <c r="C510" s="27"/>
      <c r="D510" s="27"/>
      <c r="E510" s="27"/>
      <c r="F510" s="27"/>
      <c r="G510" s="27"/>
      <c r="H510" s="27"/>
      <c r="I510" s="27"/>
    </row>
    <row r="511">
      <c r="C511" s="27"/>
      <c r="D511" s="27"/>
      <c r="E511" s="27"/>
      <c r="F511" s="27"/>
      <c r="G511" s="27"/>
      <c r="H511" s="27"/>
      <c r="I511" s="27"/>
    </row>
    <row r="512">
      <c r="C512" s="27"/>
      <c r="D512" s="27"/>
      <c r="E512" s="27"/>
      <c r="F512" s="27"/>
      <c r="G512" s="27"/>
      <c r="H512" s="27"/>
      <c r="I512" s="27"/>
    </row>
    <row r="513">
      <c r="C513" s="27"/>
      <c r="D513" s="27"/>
      <c r="E513" s="27"/>
      <c r="F513" s="27"/>
      <c r="G513" s="27"/>
      <c r="H513" s="27"/>
      <c r="I513" s="27"/>
    </row>
    <row r="514">
      <c r="C514" s="27"/>
      <c r="D514" s="27"/>
      <c r="E514" s="27"/>
      <c r="F514" s="27"/>
      <c r="G514" s="27"/>
      <c r="H514" s="27"/>
      <c r="I514" s="27"/>
    </row>
    <row r="515">
      <c r="C515" s="27"/>
      <c r="D515" s="27"/>
      <c r="E515" s="27"/>
      <c r="F515" s="27"/>
      <c r="G515" s="27"/>
      <c r="H515" s="27"/>
      <c r="I515" s="27"/>
    </row>
    <row r="516">
      <c r="C516" s="27"/>
      <c r="D516" s="27"/>
      <c r="E516" s="27"/>
      <c r="F516" s="27"/>
      <c r="G516" s="27"/>
      <c r="H516" s="27"/>
      <c r="I516" s="27"/>
    </row>
    <row r="517">
      <c r="C517" s="27"/>
      <c r="D517" s="27"/>
      <c r="E517" s="27"/>
      <c r="F517" s="27"/>
      <c r="G517" s="27"/>
      <c r="H517" s="27"/>
      <c r="I517" s="27"/>
    </row>
    <row r="518">
      <c r="C518" s="27"/>
      <c r="D518" s="27"/>
      <c r="E518" s="27"/>
      <c r="F518" s="27"/>
      <c r="G518" s="27"/>
      <c r="H518" s="27"/>
      <c r="I518" s="27"/>
    </row>
    <row r="519">
      <c r="C519" s="27"/>
      <c r="D519" s="27"/>
      <c r="E519" s="27"/>
      <c r="F519" s="27"/>
      <c r="G519" s="27"/>
      <c r="H519" s="27"/>
      <c r="I519" s="27"/>
    </row>
    <row r="520">
      <c r="C520" s="27"/>
      <c r="D520" s="27"/>
      <c r="E520" s="27"/>
      <c r="F520" s="27"/>
      <c r="G520" s="27"/>
      <c r="H520" s="27"/>
      <c r="I520" s="27"/>
    </row>
    <row r="521">
      <c r="C521" s="27"/>
      <c r="D521" s="27"/>
      <c r="E521" s="27"/>
      <c r="F521" s="27"/>
      <c r="G521" s="27"/>
      <c r="H521" s="27"/>
      <c r="I521" s="27"/>
    </row>
    <row r="522">
      <c r="C522" s="27"/>
      <c r="D522" s="27"/>
      <c r="E522" s="27"/>
      <c r="F522" s="27"/>
      <c r="G522" s="27"/>
      <c r="H522" s="27"/>
      <c r="I522" s="27"/>
    </row>
    <row r="523">
      <c r="C523" s="27"/>
      <c r="D523" s="27"/>
      <c r="E523" s="27"/>
      <c r="F523" s="27"/>
      <c r="G523" s="27"/>
      <c r="H523" s="27"/>
      <c r="I523" s="27"/>
    </row>
    <row r="524">
      <c r="C524" s="27"/>
      <c r="D524" s="27"/>
      <c r="E524" s="27"/>
      <c r="F524" s="27"/>
      <c r="G524" s="27"/>
      <c r="H524" s="27"/>
      <c r="I524" s="27"/>
    </row>
    <row r="525">
      <c r="C525" s="27"/>
      <c r="D525" s="27"/>
      <c r="E525" s="27"/>
      <c r="F525" s="27"/>
      <c r="G525" s="27"/>
      <c r="H525" s="27"/>
      <c r="I525" s="27"/>
    </row>
    <row r="526">
      <c r="C526" s="27"/>
      <c r="D526" s="27"/>
      <c r="E526" s="27"/>
      <c r="F526" s="27"/>
      <c r="G526" s="27"/>
      <c r="H526" s="27"/>
      <c r="I526" s="27"/>
    </row>
    <row r="527">
      <c r="C527" s="27"/>
      <c r="D527" s="27"/>
      <c r="E527" s="27"/>
      <c r="F527" s="27"/>
      <c r="G527" s="27"/>
      <c r="H527" s="27"/>
      <c r="I527" s="27"/>
    </row>
    <row r="528">
      <c r="C528" s="27"/>
      <c r="D528" s="27"/>
      <c r="E528" s="27"/>
      <c r="F528" s="27"/>
      <c r="G528" s="27"/>
      <c r="H528" s="27"/>
      <c r="I528" s="27"/>
    </row>
    <row r="529">
      <c r="C529" s="27"/>
      <c r="D529" s="27"/>
      <c r="E529" s="27"/>
      <c r="F529" s="27"/>
      <c r="G529" s="27"/>
      <c r="H529" s="27"/>
      <c r="I529" s="27"/>
    </row>
    <row r="530">
      <c r="C530" s="27"/>
      <c r="D530" s="27"/>
      <c r="E530" s="27"/>
      <c r="F530" s="27"/>
      <c r="G530" s="27"/>
      <c r="H530" s="27"/>
      <c r="I530" s="27"/>
    </row>
    <row r="531">
      <c r="C531" s="27"/>
      <c r="D531" s="27"/>
      <c r="E531" s="27"/>
      <c r="F531" s="27"/>
      <c r="G531" s="27"/>
      <c r="H531" s="27"/>
      <c r="I531" s="27"/>
    </row>
    <row r="532">
      <c r="C532" s="27"/>
      <c r="D532" s="27"/>
      <c r="E532" s="27"/>
      <c r="F532" s="27"/>
      <c r="G532" s="27"/>
      <c r="H532" s="27"/>
      <c r="I532" s="27"/>
    </row>
    <row r="533">
      <c r="C533" s="27"/>
      <c r="D533" s="27"/>
      <c r="E533" s="27"/>
      <c r="F533" s="27"/>
      <c r="G533" s="27"/>
      <c r="H533" s="27"/>
      <c r="I533" s="27"/>
    </row>
    <row r="534">
      <c r="C534" s="27"/>
      <c r="D534" s="27"/>
      <c r="E534" s="27"/>
      <c r="F534" s="27"/>
      <c r="G534" s="27"/>
      <c r="H534" s="27"/>
      <c r="I534" s="27"/>
    </row>
    <row r="535">
      <c r="C535" s="27"/>
      <c r="D535" s="27"/>
      <c r="E535" s="27"/>
      <c r="F535" s="27"/>
      <c r="G535" s="27"/>
      <c r="H535" s="27"/>
      <c r="I535" s="27"/>
    </row>
    <row r="536">
      <c r="C536" s="27"/>
      <c r="D536" s="27"/>
      <c r="E536" s="27"/>
      <c r="F536" s="27"/>
      <c r="G536" s="27"/>
      <c r="H536" s="27"/>
      <c r="I536" s="27"/>
    </row>
    <row r="537">
      <c r="C537" s="27"/>
      <c r="D537" s="27"/>
      <c r="E537" s="27"/>
      <c r="F537" s="27"/>
      <c r="G537" s="27"/>
      <c r="H537" s="27"/>
      <c r="I537" s="27"/>
    </row>
    <row r="538">
      <c r="C538" s="27"/>
      <c r="D538" s="27"/>
      <c r="E538" s="27"/>
      <c r="F538" s="27"/>
      <c r="G538" s="27"/>
      <c r="H538" s="27"/>
      <c r="I538" s="27"/>
    </row>
    <row r="539">
      <c r="C539" s="27"/>
      <c r="D539" s="27"/>
      <c r="E539" s="27"/>
      <c r="F539" s="27"/>
      <c r="G539" s="27"/>
      <c r="H539" s="27"/>
      <c r="I539" s="27"/>
    </row>
    <row r="540">
      <c r="C540" s="27"/>
      <c r="D540" s="27"/>
      <c r="E540" s="27"/>
      <c r="F540" s="27"/>
      <c r="G540" s="27"/>
      <c r="H540" s="27"/>
      <c r="I540" s="27"/>
    </row>
    <row r="541">
      <c r="C541" s="27"/>
      <c r="D541" s="27"/>
      <c r="E541" s="27"/>
      <c r="F541" s="27"/>
      <c r="G541" s="27"/>
      <c r="H541" s="27"/>
      <c r="I541" s="27"/>
    </row>
    <row r="542">
      <c r="C542" s="27"/>
      <c r="D542" s="27"/>
      <c r="E542" s="27"/>
      <c r="F542" s="27"/>
      <c r="G542" s="27"/>
      <c r="H542" s="27"/>
      <c r="I542" s="27"/>
    </row>
    <row r="543">
      <c r="C543" s="27"/>
      <c r="D543" s="27"/>
      <c r="E543" s="27"/>
      <c r="F543" s="27"/>
      <c r="G543" s="27"/>
      <c r="H543" s="27"/>
      <c r="I543" s="27"/>
    </row>
    <row r="544">
      <c r="C544" s="27"/>
      <c r="D544" s="27"/>
      <c r="E544" s="27"/>
      <c r="F544" s="27"/>
      <c r="G544" s="27"/>
      <c r="H544" s="27"/>
      <c r="I544" s="27"/>
    </row>
    <row r="545">
      <c r="C545" s="27"/>
      <c r="D545" s="27"/>
      <c r="E545" s="27"/>
      <c r="F545" s="27"/>
      <c r="G545" s="27"/>
      <c r="H545" s="27"/>
      <c r="I545" s="27"/>
    </row>
    <row r="546">
      <c r="C546" s="27"/>
      <c r="D546" s="27"/>
      <c r="E546" s="27"/>
      <c r="F546" s="27"/>
      <c r="G546" s="27"/>
      <c r="H546" s="27"/>
      <c r="I546" s="27"/>
    </row>
    <row r="547">
      <c r="C547" s="27"/>
      <c r="D547" s="27"/>
      <c r="E547" s="27"/>
      <c r="F547" s="27"/>
      <c r="G547" s="27"/>
      <c r="H547" s="27"/>
      <c r="I547" s="27"/>
    </row>
    <row r="548">
      <c r="C548" s="27"/>
      <c r="D548" s="27"/>
      <c r="E548" s="27"/>
      <c r="F548" s="27"/>
      <c r="G548" s="27"/>
      <c r="H548" s="27"/>
      <c r="I548" s="27"/>
    </row>
    <row r="549">
      <c r="C549" s="27"/>
      <c r="D549" s="27"/>
      <c r="E549" s="27"/>
      <c r="F549" s="27"/>
      <c r="G549" s="27"/>
      <c r="H549" s="27"/>
      <c r="I549" s="27"/>
    </row>
    <row r="550">
      <c r="C550" s="27"/>
      <c r="D550" s="27"/>
      <c r="E550" s="27"/>
      <c r="F550" s="27"/>
      <c r="G550" s="27"/>
      <c r="H550" s="27"/>
      <c r="I550" s="27"/>
    </row>
    <row r="551">
      <c r="C551" s="27"/>
      <c r="D551" s="27"/>
      <c r="E551" s="27"/>
      <c r="F551" s="27"/>
      <c r="G551" s="27"/>
      <c r="H551" s="27"/>
      <c r="I551" s="27"/>
    </row>
    <row r="552">
      <c r="C552" s="27"/>
      <c r="D552" s="27"/>
      <c r="E552" s="27"/>
      <c r="F552" s="27"/>
      <c r="G552" s="27"/>
      <c r="H552" s="27"/>
      <c r="I552" s="27"/>
    </row>
    <row r="553">
      <c r="C553" s="27"/>
      <c r="D553" s="27"/>
      <c r="E553" s="27"/>
      <c r="F553" s="27"/>
      <c r="G553" s="27"/>
      <c r="H553" s="27"/>
      <c r="I553" s="27"/>
    </row>
    <row r="554">
      <c r="C554" s="27"/>
      <c r="D554" s="27"/>
      <c r="E554" s="27"/>
      <c r="F554" s="27"/>
      <c r="G554" s="27"/>
      <c r="H554" s="27"/>
      <c r="I554" s="27"/>
    </row>
    <row r="555">
      <c r="C555" s="27"/>
      <c r="D555" s="27"/>
      <c r="E555" s="27"/>
      <c r="F555" s="27"/>
      <c r="G555" s="27"/>
      <c r="H555" s="27"/>
      <c r="I555" s="27"/>
    </row>
    <row r="556">
      <c r="C556" s="27"/>
      <c r="D556" s="27"/>
      <c r="E556" s="27"/>
      <c r="F556" s="27"/>
      <c r="G556" s="27"/>
      <c r="H556" s="27"/>
      <c r="I556" s="27"/>
    </row>
    <row r="557">
      <c r="C557" s="27"/>
      <c r="D557" s="27"/>
      <c r="E557" s="27"/>
      <c r="F557" s="27"/>
      <c r="G557" s="27"/>
      <c r="H557" s="27"/>
      <c r="I557" s="27"/>
    </row>
    <row r="558">
      <c r="C558" s="27"/>
      <c r="D558" s="27"/>
      <c r="E558" s="27"/>
      <c r="F558" s="27"/>
      <c r="G558" s="27"/>
      <c r="H558" s="27"/>
      <c r="I558" s="27"/>
    </row>
    <row r="559">
      <c r="C559" s="27"/>
      <c r="D559" s="27"/>
      <c r="E559" s="27"/>
      <c r="F559" s="27"/>
      <c r="G559" s="27"/>
      <c r="H559" s="27"/>
      <c r="I559" s="27"/>
    </row>
    <row r="560">
      <c r="C560" s="27"/>
      <c r="D560" s="27"/>
      <c r="E560" s="27"/>
      <c r="F560" s="27"/>
      <c r="G560" s="27"/>
      <c r="H560" s="27"/>
      <c r="I560" s="27"/>
    </row>
    <row r="561">
      <c r="C561" s="27"/>
      <c r="D561" s="27"/>
      <c r="E561" s="27"/>
      <c r="F561" s="27"/>
      <c r="G561" s="27"/>
      <c r="H561" s="27"/>
      <c r="I561" s="27"/>
    </row>
    <row r="562">
      <c r="C562" s="27"/>
      <c r="D562" s="27"/>
      <c r="E562" s="27"/>
      <c r="F562" s="27"/>
      <c r="G562" s="27"/>
      <c r="H562" s="27"/>
      <c r="I562" s="27"/>
    </row>
    <row r="563">
      <c r="C563" s="27"/>
      <c r="D563" s="27"/>
      <c r="E563" s="27"/>
      <c r="F563" s="27"/>
      <c r="G563" s="27"/>
      <c r="H563" s="27"/>
      <c r="I563" s="27"/>
    </row>
    <row r="564">
      <c r="C564" s="27"/>
      <c r="D564" s="27"/>
      <c r="E564" s="27"/>
      <c r="F564" s="27"/>
      <c r="G564" s="27"/>
      <c r="H564" s="27"/>
      <c r="I564" s="27"/>
    </row>
    <row r="565">
      <c r="C565" s="27"/>
      <c r="D565" s="27"/>
      <c r="E565" s="27"/>
      <c r="F565" s="27"/>
      <c r="G565" s="27"/>
      <c r="H565" s="27"/>
      <c r="I565" s="27"/>
    </row>
    <row r="566">
      <c r="C566" s="27"/>
      <c r="D566" s="27"/>
      <c r="E566" s="27"/>
      <c r="F566" s="27"/>
      <c r="G566" s="27"/>
      <c r="H566" s="27"/>
      <c r="I566" s="27"/>
    </row>
    <row r="567">
      <c r="C567" s="27"/>
      <c r="D567" s="27"/>
      <c r="E567" s="27"/>
      <c r="F567" s="27"/>
      <c r="G567" s="27"/>
      <c r="H567" s="27"/>
      <c r="I567" s="27"/>
    </row>
    <row r="568">
      <c r="C568" s="27"/>
      <c r="D568" s="27"/>
      <c r="E568" s="27"/>
      <c r="F568" s="27"/>
      <c r="G568" s="27"/>
      <c r="H568" s="27"/>
      <c r="I568" s="27"/>
    </row>
    <row r="569">
      <c r="C569" s="27"/>
      <c r="D569" s="27"/>
      <c r="E569" s="27"/>
      <c r="F569" s="27"/>
      <c r="G569" s="27"/>
      <c r="H569" s="27"/>
      <c r="I569" s="27"/>
    </row>
    <row r="570">
      <c r="C570" s="27"/>
      <c r="D570" s="27"/>
      <c r="E570" s="27"/>
      <c r="F570" s="27"/>
      <c r="G570" s="27"/>
      <c r="H570" s="27"/>
      <c r="I570" s="27"/>
    </row>
    <row r="571">
      <c r="C571" s="27"/>
      <c r="D571" s="27"/>
      <c r="E571" s="27"/>
      <c r="F571" s="27"/>
      <c r="G571" s="27"/>
      <c r="H571" s="27"/>
      <c r="I571" s="27"/>
    </row>
    <row r="572">
      <c r="C572" s="27"/>
      <c r="D572" s="27"/>
      <c r="E572" s="27"/>
      <c r="F572" s="27"/>
      <c r="G572" s="27"/>
      <c r="H572" s="27"/>
      <c r="I572" s="27"/>
    </row>
    <row r="573">
      <c r="C573" s="27"/>
      <c r="D573" s="27"/>
      <c r="E573" s="27"/>
      <c r="F573" s="27"/>
      <c r="G573" s="27"/>
      <c r="H573" s="27"/>
      <c r="I573" s="27"/>
    </row>
    <row r="574">
      <c r="C574" s="27"/>
      <c r="D574" s="27"/>
      <c r="E574" s="27"/>
      <c r="F574" s="27"/>
      <c r="G574" s="27"/>
      <c r="H574" s="27"/>
      <c r="I574" s="27"/>
    </row>
    <row r="575">
      <c r="C575" s="27"/>
      <c r="D575" s="27"/>
      <c r="E575" s="27"/>
      <c r="F575" s="27"/>
      <c r="G575" s="27"/>
      <c r="H575" s="27"/>
      <c r="I575" s="27"/>
    </row>
    <row r="576">
      <c r="C576" s="27"/>
      <c r="D576" s="27"/>
      <c r="E576" s="27"/>
      <c r="F576" s="27"/>
      <c r="G576" s="27"/>
      <c r="H576" s="27"/>
      <c r="I576" s="27"/>
    </row>
    <row r="577">
      <c r="C577" s="27"/>
      <c r="D577" s="27"/>
      <c r="E577" s="27"/>
      <c r="F577" s="27"/>
      <c r="G577" s="27"/>
      <c r="H577" s="27"/>
      <c r="I577" s="27"/>
    </row>
    <row r="578">
      <c r="C578" s="27"/>
      <c r="D578" s="27"/>
      <c r="E578" s="27"/>
      <c r="F578" s="27"/>
      <c r="G578" s="27"/>
      <c r="H578" s="27"/>
      <c r="I578" s="27"/>
    </row>
    <row r="579">
      <c r="C579" s="27"/>
      <c r="D579" s="27"/>
      <c r="E579" s="27"/>
      <c r="F579" s="27"/>
      <c r="G579" s="27"/>
      <c r="H579" s="27"/>
      <c r="I579" s="27"/>
    </row>
    <row r="580">
      <c r="C580" s="27"/>
      <c r="D580" s="27"/>
      <c r="E580" s="27"/>
      <c r="F580" s="27"/>
      <c r="G580" s="27"/>
      <c r="H580" s="27"/>
      <c r="I580" s="27"/>
    </row>
    <row r="581">
      <c r="C581" s="27"/>
      <c r="D581" s="27"/>
      <c r="E581" s="27"/>
      <c r="F581" s="27"/>
      <c r="G581" s="27"/>
      <c r="H581" s="27"/>
      <c r="I581" s="27"/>
    </row>
    <row r="582">
      <c r="C582" s="27"/>
      <c r="D582" s="27"/>
      <c r="E582" s="27"/>
      <c r="F582" s="27"/>
      <c r="G582" s="27"/>
      <c r="H582" s="27"/>
      <c r="I582" s="27"/>
    </row>
    <row r="583">
      <c r="C583" s="27"/>
      <c r="D583" s="27"/>
      <c r="E583" s="27"/>
      <c r="F583" s="27"/>
      <c r="G583" s="27"/>
      <c r="H583" s="27"/>
      <c r="I583" s="27"/>
    </row>
    <row r="584">
      <c r="C584" s="27"/>
      <c r="D584" s="27"/>
      <c r="E584" s="27"/>
      <c r="F584" s="27"/>
      <c r="G584" s="27"/>
      <c r="H584" s="27"/>
      <c r="I584" s="27"/>
    </row>
    <row r="585">
      <c r="C585" s="27"/>
      <c r="D585" s="27"/>
      <c r="E585" s="27"/>
      <c r="F585" s="27"/>
      <c r="G585" s="27"/>
      <c r="H585" s="27"/>
      <c r="I585" s="27"/>
    </row>
    <row r="586">
      <c r="C586" s="27"/>
      <c r="D586" s="27"/>
      <c r="E586" s="27"/>
      <c r="F586" s="27"/>
      <c r="G586" s="27"/>
      <c r="H586" s="27"/>
      <c r="I586" s="27"/>
    </row>
    <row r="587">
      <c r="C587" s="27"/>
      <c r="D587" s="27"/>
      <c r="E587" s="27"/>
      <c r="F587" s="27"/>
      <c r="G587" s="27"/>
      <c r="H587" s="27"/>
      <c r="I587" s="27"/>
    </row>
    <row r="588">
      <c r="C588" s="27"/>
      <c r="D588" s="27"/>
      <c r="E588" s="27"/>
      <c r="F588" s="27"/>
      <c r="G588" s="27"/>
      <c r="H588" s="27"/>
      <c r="I588" s="27"/>
    </row>
    <row r="589">
      <c r="C589" s="27"/>
      <c r="D589" s="27"/>
      <c r="E589" s="27"/>
      <c r="F589" s="27"/>
      <c r="G589" s="27"/>
      <c r="H589" s="27"/>
      <c r="I589" s="27"/>
    </row>
    <row r="590">
      <c r="C590" s="27"/>
      <c r="D590" s="27"/>
      <c r="E590" s="27"/>
      <c r="F590" s="27"/>
      <c r="G590" s="27"/>
      <c r="H590" s="27"/>
      <c r="I590" s="27"/>
    </row>
    <row r="591">
      <c r="C591" s="27"/>
      <c r="D591" s="27"/>
      <c r="E591" s="27"/>
      <c r="F591" s="27"/>
      <c r="G591" s="27"/>
      <c r="H591" s="27"/>
      <c r="I591" s="27"/>
    </row>
    <row r="592">
      <c r="C592" s="27"/>
      <c r="D592" s="27"/>
      <c r="E592" s="27"/>
      <c r="F592" s="27"/>
      <c r="G592" s="27"/>
      <c r="H592" s="27"/>
      <c r="I592" s="27"/>
    </row>
    <row r="593">
      <c r="C593" s="27"/>
      <c r="D593" s="27"/>
      <c r="E593" s="27"/>
      <c r="F593" s="27"/>
      <c r="G593" s="27"/>
      <c r="H593" s="27"/>
      <c r="I593" s="27"/>
    </row>
    <row r="594">
      <c r="C594" s="27"/>
      <c r="D594" s="27"/>
      <c r="E594" s="27"/>
      <c r="F594" s="27"/>
      <c r="G594" s="27"/>
      <c r="H594" s="27"/>
      <c r="I594" s="27"/>
    </row>
    <row r="595">
      <c r="C595" s="27"/>
      <c r="D595" s="27"/>
      <c r="E595" s="27"/>
      <c r="F595" s="27"/>
      <c r="G595" s="27"/>
      <c r="H595" s="27"/>
      <c r="I595" s="27"/>
    </row>
    <row r="596">
      <c r="C596" s="27"/>
      <c r="D596" s="27"/>
      <c r="E596" s="27"/>
      <c r="F596" s="27"/>
      <c r="G596" s="27"/>
      <c r="H596" s="27"/>
      <c r="I596" s="27"/>
    </row>
    <row r="597">
      <c r="C597" s="27"/>
      <c r="D597" s="27"/>
      <c r="E597" s="27"/>
      <c r="F597" s="27"/>
      <c r="G597" s="27"/>
      <c r="H597" s="27"/>
      <c r="I597" s="27"/>
    </row>
    <row r="598">
      <c r="C598" s="27"/>
      <c r="D598" s="27"/>
      <c r="E598" s="27"/>
      <c r="F598" s="27"/>
      <c r="G598" s="27"/>
      <c r="H598" s="27"/>
      <c r="I598" s="27"/>
    </row>
    <row r="599">
      <c r="C599" s="27"/>
      <c r="D599" s="27"/>
      <c r="E599" s="27"/>
      <c r="F599" s="27"/>
      <c r="G599" s="27"/>
      <c r="H599" s="27"/>
      <c r="I599" s="27"/>
    </row>
    <row r="600">
      <c r="C600" s="27"/>
      <c r="D600" s="27"/>
      <c r="E600" s="27"/>
      <c r="F600" s="27"/>
      <c r="G600" s="27"/>
      <c r="H600" s="27"/>
      <c r="I600" s="27"/>
    </row>
    <row r="601">
      <c r="C601" s="27"/>
      <c r="D601" s="27"/>
      <c r="E601" s="27"/>
      <c r="F601" s="27"/>
      <c r="G601" s="27"/>
      <c r="H601" s="27"/>
      <c r="I601" s="27"/>
    </row>
    <row r="602">
      <c r="C602" s="27"/>
      <c r="D602" s="27"/>
      <c r="E602" s="27"/>
      <c r="F602" s="27"/>
      <c r="G602" s="27"/>
      <c r="H602" s="27"/>
      <c r="I602" s="27"/>
    </row>
    <row r="603">
      <c r="C603" s="27"/>
      <c r="D603" s="27"/>
      <c r="E603" s="27"/>
      <c r="F603" s="27"/>
      <c r="G603" s="27"/>
      <c r="H603" s="27"/>
      <c r="I603" s="27"/>
    </row>
    <row r="604">
      <c r="C604" s="27"/>
      <c r="D604" s="27"/>
      <c r="E604" s="27"/>
      <c r="F604" s="27"/>
      <c r="G604" s="27"/>
      <c r="H604" s="27"/>
      <c r="I604" s="27"/>
    </row>
    <row r="605">
      <c r="C605" s="27"/>
      <c r="D605" s="27"/>
      <c r="E605" s="27"/>
      <c r="F605" s="27"/>
      <c r="G605" s="27"/>
      <c r="H605" s="27"/>
      <c r="I605" s="27"/>
    </row>
    <row r="606">
      <c r="C606" s="27"/>
      <c r="D606" s="27"/>
      <c r="E606" s="27"/>
      <c r="F606" s="27"/>
      <c r="G606" s="27"/>
      <c r="H606" s="27"/>
      <c r="I606" s="27"/>
    </row>
    <row r="607">
      <c r="C607" s="27"/>
      <c r="D607" s="27"/>
      <c r="E607" s="27"/>
      <c r="F607" s="27"/>
      <c r="G607" s="27"/>
      <c r="H607" s="27"/>
      <c r="I607" s="27"/>
    </row>
    <row r="608">
      <c r="C608" s="27"/>
      <c r="D608" s="27"/>
      <c r="E608" s="27"/>
      <c r="F608" s="27"/>
      <c r="G608" s="27"/>
      <c r="H608" s="27"/>
      <c r="I608" s="27"/>
    </row>
    <row r="609">
      <c r="C609" s="27"/>
      <c r="D609" s="27"/>
      <c r="E609" s="27"/>
      <c r="F609" s="27"/>
      <c r="G609" s="27"/>
      <c r="H609" s="27"/>
      <c r="I609" s="27"/>
    </row>
    <row r="610">
      <c r="C610" s="27"/>
      <c r="D610" s="27"/>
      <c r="E610" s="27"/>
      <c r="F610" s="27"/>
      <c r="G610" s="27"/>
      <c r="H610" s="27"/>
      <c r="I610" s="27"/>
    </row>
    <row r="611">
      <c r="C611" s="27"/>
      <c r="D611" s="27"/>
      <c r="E611" s="27"/>
      <c r="F611" s="27"/>
      <c r="G611" s="27"/>
      <c r="H611" s="27"/>
      <c r="I611" s="27"/>
    </row>
    <row r="612">
      <c r="C612" s="27"/>
      <c r="D612" s="27"/>
      <c r="E612" s="27"/>
      <c r="F612" s="27"/>
      <c r="G612" s="27"/>
      <c r="H612" s="27"/>
      <c r="I612" s="27"/>
    </row>
    <row r="613">
      <c r="C613" s="27"/>
      <c r="D613" s="27"/>
      <c r="E613" s="27"/>
      <c r="F613" s="27"/>
      <c r="G613" s="27"/>
      <c r="H613" s="27"/>
      <c r="I613" s="27"/>
    </row>
    <row r="614">
      <c r="C614" s="27"/>
      <c r="D614" s="27"/>
      <c r="E614" s="27"/>
      <c r="F614" s="27"/>
      <c r="G614" s="27"/>
      <c r="H614" s="27"/>
      <c r="I614" s="27"/>
    </row>
    <row r="615">
      <c r="C615" s="27"/>
      <c r="D615" s="27"/>
      <c r="E615" s="27"/>
      <c r="F615" s="27"/>
      <c r="G615" s="27"/>
      <c r="H615" s="27"/>
      <c r="I615" s="27"/>
    </row>
    <row r="616">
      <c r="C616" s="27"/>
      <c r="D616" s="27"/>
      <c r="E616" s="27"/>
      <c r="F616" s="27"/>
      <c r="G616" s="27"/>
      <c r="H616" s="27"/>
      <c r="I616" s="27"/>
    </row>
    <row r="617">
      <c r="C617" s="27"/>
      <c r="D617" s="27"/>
      <c r="E617" s="27"/>
      <c r="F617" s="27"/>
      <c r="G617" s="27"/>
      <c r="H617" s="27"/>
      <c r="I617" s="27"/>
    </row>
    <row r="618">
      <c r="C618" s="27"/>
      <c r="D618" s="27"/>
      <c r="E618" s="27"/>
      <c r="F618" s="27"/>
      <c r="G618" s="27"/>
      <c r="H618" s="27"/>
      <c r="I618" s="27"/>
    </row>
    <row r="619">
      <c r="C619" s="27"/>
      <c r="D619" s="27"/>
      <c r="E619" s="27"/>
      <c r="F619" s="27"/>
      <c r="G619" s="27"/>
      <c r="H619" s="27"/>
      <c r="I619" s="27"/>
    </row>
    <row r="620">
      <c r="C620" s="27"/>
      <c r="D620" s="27"/>
      <c r="E620" s="27"/>
      <c r="F620" s="27"/>
      <c r="G620" s="27"/>
      <c r="H620" s="27"/>
      <c r="I620" s="27"/>
    </row>
    <row r="621">
      <c r="C621" s="27"/>
      <c r="D621" s="27"/>
      <c r="E621" s="27"/>
      <c r="F621" s="27"/>
      <c r="G621" s="27"/>
      <c r="H621" s="27"/>
      <c r="I621" s="27"/>
    </row>
    <row r="622">
      <c r="C622" s="27"/>
      <c r="D622" s="27"/>
      <c r="E622" s="27"/>
      <c r="F622" s="27"/>
      <c r="G622" s="27"/>
      <c r="H622" s="27"/>
      <c r="I622" s="27"/>
    </row>
    <row r="623">
      <c r="C623" s="27"/>
      <c r="D623" s="27"/>
      <c r="E623" s="27"/>
      <c r="F623" s="27"/>
      <c r="G623" s="27"/>
      <c r="H623" s="27"/>
      <c r="I623" s="27"/>
    </row>
    <row r="624">
      <c r="C624" s="27"/>
      <c r="D624" s="27"/>
      <c r="E624" s="27"/>
      <c r="F624" s="27"/>
      <c r="G624" s="27"/>
      <c r="H624" s="27"/>
      <c r="I624" s="27"/>
    </row>
    <row r="625">
      <c r="C625" s="27"/>
      <c r="D625" s="27"/>
      <c r="E625" s="27"/>
      <c r="F625" s="27"/>
      <c r="G625" s="27"/>
      <c r="H625" s="27"/>
      <c r="I625" s="27"/>
    </row>
    <row r="626">
      <c r="C626" s="27"/>
      <c r="D626" s="27"/>
      <c r="E626" s="27"/>
      <c r="F626" s="27"/>
      <c r="G626" s="27"/>
      <c r="H626" s="27"/>
      <c r="I626" s="27"/>
    </row>
    <row r="627">
      <c r="C627" s="27"/>
      <c r="D627" s="27"/>
      <c r="E627" s="27"/>
      <c r="F627" s="27"/>
      <c r="G627" s="27"/>
      <c r="H627" s="27"/>
      <c r="I627" s="27"/>
    </row>
    <row r="628">
      <c r="C628" s="27"/>
      <c r="D628" s="27"/>
      <c r="E628" s="27"/>
      <c r="F628" s="27"/>
      <c r="G628" s="27"/>
      <c r="H628" s="27"/>
      <c r="I628" s="27"/>
    </row>
    <row r="629">
      <c r="C629" s="27"/>
      <c r="D629" s="27"/>
      <c r="E629" s="27"/>
      <c r="F629" s="27"/>
      <c r="G629" s="27"/>
      <c r="H629" s="27"/>
      <c r="I629" s="27"/>
    </row>
    <row r="630">
      <c r="C630" s="27"/>
      <c r="D630" s="27"/>
      <c r="E630" s="27"/>
      <c r="F630" s="27"/>
      <c r="G630" s="27"/>
      <c r="H630" s="27"/>
      <c r="I630" s="27"/>
    </row>
    <row r="631">
      <c r="C631" s="27"/>
      <c r="D631" s="27"/>
      <c r="E631" s="27"/>
      <c r="F631" s="27"/>
      <c r="G631" s="27"/>
      <c r="H631" s="27"/>
      <c r="I631" s="27"/>
    </row>
    <row r="632">
      <c r="C632" s="27"/>
      <c r="D632" s="27"/>
      <c r="E632" s="27"/>
      <c r="F632" s="27"/>
      <c r="G632" s="27"/>
      <c r="H632" s="27"/>
      <c r="I632" s="27"/>
    </row>
    <row r="633">
      <c r="C633" s="27"/>
      <c r="D633" s="27"/>
      <c r="E633" s="27"/>
      <c r="F633" s="27"/>
      <c r="G633" s="27"/>
      <c r="H633" s="27"/>
      <c r="I633" s="27"/>
    </row>
    <row r="634">
      <c r="C634" s="27"/>
      <c r="D634" s="27"/>
      <c r="E634" s="27"/>
      <c r="F634" s="27"/>
      <c r="G634" s="27"/>
      <c r="H634" s="27"/>
      <c r="I634" s="27"/>
    </row>
    <row r="635">
      <c r="C635" s="27"/>
      <c r="D635" s="27"/>
      <c r="E635" s="27"/>
      <c r="F635" s="27"/>
      <c r="G635" s="27"/>
      <c r="H635" s="27"/>
      <c r="I635" s="27"/>
    </row>
    <row r="636">
      <c r="C636" s="27"/>
      <c r="D636" s="27"/>
      <c r="E636" s="27"/>
      <c r="F636" s="27"/>
      <c r="G636" s="27"/>
      <c r="H636" s="27"/>
      <c r="I636" s="27"/>
    </row>
    <row r="637">
      <c r="C637" s="27"/>
      <c r="D637" s="27"/>
      <c r="E637" s="27"/>
      <c r="F637" s="27"/>
      <c r="G637" s="27"/>
      <c r="H637" s="27"/>
      <c r="I637" s="27"/>
    </row>
    <row r="638">
      <c r="C638" s="27"/>
      <c r="D638" s="27"/>
      <c r="E638" s="27"/>
      <c r="F638" s="27"/>
      <c r="G638" s="27"/>
      <c r="H638" s="27"/>
      <c r="I638" s="27"/>
    </row>
    <row r="639">
      <c r="C639" s="27"/>
      <c r="D639" s="27"/>
      <c r="E639" s="27"/>
      <c r="F639" s="27"/>
      <c r="G639" s="27"/>
      <c r="H639" s="27"/>
      <c r="I639" s="27"/>
    </row>
    <row r="640">
      <c r="C640" s="27"/>
      <c r="D640" s="27"/>
      <c r="E640" s="27"/>
      <c r="F640" s="27"/>
      <c r="G640" s="27"/>
      <c r="H640" s="27"/>
      <c r="I640" s="27"/>
    </row>
    <row r="641">
      <c r="C641" s="27"/>
      <c r="D641" s="27"/>
      <c r="E641" s="27"/>
      <c r="F641" s="27"/>
      <c r="G641" s="27"/>
      <c r="H641" s="27"/>
      <c r="I641" s="27"/>
    </row>
    <row r="642">
      <c r="C642" s="27"/>
      <c r="D642" s="27"/>
      <c r="E642" s="27"/>
      <c r="F642" s="27"/>
      <c r="G642" s="27"/>
      <c r="H642" s="27"/>
      <c r="I642" s="27"/>
    </row>
    <row r="643">
      <c r="C643" s="27"/>
      <c r="D643" s="27"/>
      <c r="E643" s="27"/>
      <c r="F643" s="27"/>
      <c r="G643" s="27"/>
      <c r="H643" s="27"/>
      <c r="I643" s="27"/>
    </row>
    <row r="644">
      <c r="C644" s="27"/>
      <c r="D644" s="27"/>
      <c r="E644" s="27"/>
      <c r="F644" s="27"/>
      <c r="G644" s="27"/>
      <c r="H644" s="27"/>
      <c r="I644" s="27"/>
    </row>
    <row r="645">
      <c r="C645" s="27"/>
      <c r="D645" s="27"/>
      <c r="E645" s="27"/>
      <c r="F645" s="27"/>
      <c r="G645" s="27"/>
      <c r="H645" s="27"/>
      <c r="I645" s="27"/>
    </row>
    <row r="646">
      <c r="C646" s="27"/>
      <c r="D646" s="27"/>
      <c r="E646" s="27"/>
      <c r="F646" s="27"/>
      <c r="G646" s="27"/>
      <c r="H646" s="27"/>
      <c r="I646" s="27"/>
    </row>
    <row r="647">
      <c r="C647" s="27"/>
      <c r="D647" s="27"/>
      <c r="E647" s="27"/>
      <c r="F647" s="27"/>
      <c r="G647" s="27"/>
      <c r="H647" s="27"/>
      <c r="I647" s="27"/>
    </row>
    <row r="648">
      <c r="C648" s="27"/>
      <c r="D648" s="27"/>
      <c r="E648" s="27"/>
      <c r="F648" s="27"/>
      <c r="G648" s="27"/>
      <c r="H648" s="27"/>
      <c r="I648" s="27"/>
    </row>
    <row r="649">
      <c r="C649" s="27"/>
      <c r="D649" s="27"/>
      <c r="E649" s="27"/>
      <c r="F649" s="27"/>
      <c r="G649" s="27"/>
      <c r="H649" s="27"/>
      <c r="I649" s="27"/>
    </row>
    <row r="650">
      <c r="C650" s="27"/>
      <c r="D650" s="27"/>
      <c r="E650" s="27"/>
      <c r="F650" s="27"/>
      <c r="G650" s="27"/>
      <c r="H650" s="27"/>
      <c r="I650" s="27"/>
    </row>
    <row r="651">
      <c r="C651" s="27"/>
      <c r="D651" s="27"/>
      <c r="E651" s="27"/>
      <c r="F651" s="27"/>
      <c r="G651" s="27"/>
      <c r="H651" s="27"/>
      <c r="I651" s="27"/>
    </row>
    <row r="652">
      <c r="C652" s="27"/>
      <c r="D652" s="27"/>
      <c r="E652" s="27"/>
      <c r="F652" s="27"/>
      <c r="G652" s="27"/>
      <c r="H652" s="27"/>
      <c r="I652" s="27"/>
    </row>
    <row r="653">
      <c r="C653" s="27"/>
      <c r="D653" s="27"/>
      <c r="E653" s="27"/>
      <c r="F653" s="27"/>
      <c r="G653" s="27"/>
      <c r="H653" s="27"/>
      <c r="I653" s="27"/>
    </row>
    <row r="654">
      <c r="C654" s="27"/>
      <c r="D654" s="27"/>
      <c r="E654" s="27"/>
      <c r="F654" s="27"/>
      <c r="G654" s="27"/>
      <c r="H654" s="27"/>
      <c r="I654" s="27"/>
    </row>
    <row r="655">
      <c r="C655" s="27"/>
      <c r="D655" s="27"/>
      <c r="E655" s="27"/>
      <c r="F655" s="27"/>
      <c r="G655" s="27"/>
      <c r="H655" s="27"/>
      <c r="I655" s="27"/>
    </row>
    <row r="656">
      <c r="C656" s="27"/>
      <c r="D656" s="27"/>
      <c r="E656" s="27"/>
      <c r="F656" s="27"/>
      <c r="G656" s="27"/>
      <c r="H656" s="27"/>
      <c r="I656" s="27"/>
    </row>
    <row r="657">
      <c r="C657" s="27"/>
      <c r="D657" s="27"/>
      <c r="E657" s="27"/>
      <c r="F657" s="27"/>
      <c r="G657" s="27"/>
      <c r="H657" s="27"/>
      <c r="I657" s="27"/>
    </row>
    <row r="658">
      <c r="C658" s="27"/>
      <c r="D658" s="27"/>
      <c r="E658" s="27"/>
      <c r="F658" s="27"/>
      <c r="G658" s="27"/>
      <c r="H658" s="27"/>
      <c r="I658" s="27"/>
    </row>
    <row r="659">
      <c r="C659" s="27"/>
      <c r="D659" s="27"/>
      <c r="E659" s="27"/>
      <c r="F659" s="27"/>
      <c r="G659" s="27"/>
      <c r="H659" s="27"/>
      <c r="I659" s="27"/>
    </row>
    <row r="660">
      <c r="C660" s="27"/>
      <c r="D660" s="27"/>
      <c r="E660" s="27"/>
      <c r="F660" s="27"/>
      <c r="G660" s="27"/>
      <c r="H660" s="27"/>
      <c r="I660" s="27"/>
    </row>
    <row r="661">
      <c r="C661" s="27"/>
      <c r="D661" s="27"/>
      <c r="E661" s="27"/>
      <c r="F661" s="27"/>
      <c r="G661" s="27"/>
      <c r="H661" s="27"/>
      <c r="I661" s="27"/>
    </row>
    <row r="662">
      <c r="C662" s="27"/>
      <c r="D662" s="27"/>
      <c r="E662" s="27"/>
      <c r="F662" s="27"/>
      <c r="G662" s="27"/>
      <c r="H662" s="27"/>
      <c r="I662" s="27"/>
    </row>
    <row r="663">
      <c r="C663" s="27"/>
      <c r="D663" s="27"/>
      <c r="E663" s="27"/>
      <c r="F663" s="27"/>
      <c r="G663" s="27"/>
      <c r="H663" s="27"/>
      <c r="I663" s="27"/>
    </row>
    <row r="664">
      <c r="C664" s="27"/>
      <c r="D664" s="27"/>
      <c r="E664" s="27"/>
      <c r="F664" s="27"/>
      <c r="G664" s="27"/>
      <c r="H664" s="27"/>
      <c r="I664" s="27"/>
    </row>
    <row r="665">
      <c r="C665" s="27"/>
      <c r="D665" s="27"/>
      <c r="E665" s="27"/>
      <c r="F665" s="27"/>
      <c r="G665" s="27"/>
      <c r="H665" s="27"/>
      <c r="I665" s="27"/>
    </row>
    <row r="666">
      <c r="C666" s="27"/>
      <c r="D666" s="27"/>
      <c r="E666" s="27"/>
      <c r="F666" s="27"/>
      <c r="G666" s="27"/>
      <c r="H666" s="27"/>
      <c r="I666" s="27"/>
    </row>
    <row r="667">
      <c r="C667" s="27"/>
      <c r="D667" s="27"/>
      <c r="E667" s="27"/>
      <c r="F667" s="27"/>
      <c r="G667" s="27"/>
      <c r="H667" s="27"/>
      <c r="I667" s="27"/>
    </row>
    <row r="668">
      <c r="C668" s="27"/>
      <c r="D668" s="27"/>
      <c r="E668" s="27"/>
      <c r="F668" s="27"/>
      <c r="G668" s="27"/>
      <c r="H668" s="27"/>
      <c r="I668" s="27"/>
    </row>
    <row r="669">
      <c r="C669" s="27"/>
      <c r="D669" s="27"/>
      <c r="E669" s="27"/>
      <c r="F669" s="27"/>
      <c r="G669" s="27"/>
      <c r="H669" s="27"/>
      <c r="I669" s="27"/>
    </row>
    <row r="670">
      <c r="C670" s="27"/>
      <c r="D670" s="27"/>
      <c r="E670" s="27"/>
      <c r="F670" s="27"/>
      <c r="G670" s="27"/>
      <c r="H670" s="27"/>
      <c r="I670" s="27"/>
    </row>
    <row r="671">
      <c r="C671" s="27"/>
      <c r="D671" s="27"/>
      <c r="E671" s="27"/>
      <c r="F671" s="27"/>
      <c r="G671" s="27"/>
      <c r="H671" s="27"/>
      <c r="I671" s="27"/>
    </row>
    <row r="672">
      <c r="C672" s="27"/>
      <c r="D672" s="27"/>
      <c r="E672" s="27"/>
      <c r="F672" s="27"/>
      <c r="G672" s="27"/>
      <c r="H672" s="27"/>
      <c r="I672" s="27"/>
    </row>
    <row r="673">
      <c r="C673" s="27"/>
      <c r="D673" s="27"/>
      <c r="E673" s="27"/>
      <c r="F673" s="27"/>
      <c r="G673" s="27"/>
      <c r="H673" s="27"/>
      <c r="I673" s="27"/>
    </row>
    <row r="674">
      <c r="C674" s="27"/>
      <c r="D674" s="27"/>
      <c r="E674" s="27"/>
      <c r="F674" s="27"/>
      <c r="G674" s="27"/>
      <c r="H674" s="27"/>
      <c r="I674" s="27"/>
    </row>
    <row r="675">
      <c r="C675" s="27"/>
      <c r="D675" s="27"/>
      <c r="E675" s="27"/>
      <c r="F675" s="27"/>
      <c r="G675" s="27"/>
      <c r="H675" s="27"/>
      <c r="I675" s="27"/>
    </row>
    <row r="676">
      <c r="C676" s="27"/>
      <c r="D676" s="27"/>
      <c r="E676" s="27"/>
      <c r="F676" s="27"/>
      <c r="G676" s="27"/>
      <c r="H676" s="27"/>
      <c r="I676" s="27"/>
    </row>
    <row r="677">
      <c r="C677" s="27"/>
      <c r="D677" s="27"/>
      <c r="E677" s="27"/>
      <c r="F677" s="27"/>
      <c r="G677" s="27"/>
      <c r="H677" s="27"/>
      <c r="I677" s="27"/>
    </row>
    <row r="678">
      <c r="C678" s="27"/>
      <c r="D678" s="27"/>
      <c r="E678" s="27"/>
      <c r="F678" s="27"/>
      <c r="G678" s="27"/>
      <c r="H678" s="27"/>
      <c r="I678" s="27"/>
    </row>
    <row r="679">
      <c r="C679" s="27"/>
      <c r="D679" s="27"/>
      <c r="E679" s="27"/>
      <c r="F679" s="27"/>
      <c r="G679" s="27"/>
      <c r="H679" s="27"/>
      <c r="I679" s="27"/>
    </row>
    <row r="680">
      <c r="C680" s="27"/>
      <c r="D680" s="27"/>
      <c r="E680" s="27"/>
      <c r="F680" s="27"/>
      <c r="G680" s="27"/>
      <c r="H680" s="27"/>
      <c r="I680" s="27"/>
    </row>
    <row r="681">
      <c r="C681" s="27"/>
      <c r="D681" s="27"/>
      <c r="E681" s="27"/>
      <c r="F681" s="27"/>
      <c r="G681" s="27"/>
      <c r="H681" s="27"/>
      <c r="I681" s="27"/>
    </row>
    <row r="682">
      <c r="C682" s="27"/>
      <c r="D682" s="27"/>
      <c r="E682" s="27"/>
      <c r="F682" s="27"/>
      <c r="G682" s="27"/>
      <c r="H682" s="27"/>
      <c r="I682" s="27"/>
    </row>
    <row r="683">
      <c r="C683" s="27"/>
      <c r="D683" s="27"/>
      <c r="E683" s="27"/>
      <c r="F683" s="27"/>
      <c r="G683" s="27"/>
      <c r="H683" s="27"/>
      <c r="I683" s="27"/>
    </row>
    <row r="684">
      <c r="C684" s="27"/>
      <c r="D684" s="27"/>
      <c r="E684" s="27"/>
      <c r="F684" s="27"/>
      <c r="G684" s="27"/>
      <c r="H684" s="27"/>
      <c r="I684" s="27"/>
    </row>
    <row r="685">
      <c r="C685" s="27"/>
      <c r="D685" s="27"/>
      <c r="E685" s="27"/>
      <c r="F685" s="27"/>
      <c r="G685" s="27"/>
      <c r="H685" s="27"/>
      <c r="I685" s="27"/>
    </row>
    <row r="686">
      <c r="C686" s="27"/>
      <c r="D686" s="27"/>
      <c r="E686" s="27"/>
      <c r="F686" s="27"/>
      <c r="G686" s="27"/>
      <c r="H686" s="27"/>
      <c r="I686" s="27"/>
    </row>
    <row r="687">
      <c r="C687" s="27"/>
      <c r="D687" s="27"/>
      <c r="E687" s="27"/>
      <c r="F687" s="27"/>
      <c r="G687" s="27"/>
      <c r="H687" s="27"/>
      <c r="I687" s="27"/>
    </row>
    <row r="688">
      <c r="C688" s="27"/>
      <c r="D688" s="27"/>
      <c r="E688" s="27"/>
      <c r="F688" s="27"/>
      <c r="G688" s="27"/>
      <c r="H688" s="27"/>
      <c r="I688" s="27"/>
    </row>
    <row r="689">
      <c r="C689" s="27"/>
      <c r="D689" s="27"/>
      <c r="E689" s="27"/>
      <c r="F689" s="27"/>
      <c r="G689" s="27"/>
      <c r="H689" s="27"/>
      <c r="I689" s="27"/>
    </row>
    <row r="690">
      <c r="C690" s="27"/>
      <c r="D690" s="27"/>
      <c r="E690" s="27"/>
      <c r="F690" s="27"/>
      <c r="G690" s="27"/>
      <c r="H690" s="27"/>
      <c r="I690" s="27"/>
    </row>
    <row r="691">
      <c r="C691" s="27"/>
      <c r="D691" s="27"/>
      <c r="E691" s="27"/>
      <c r="F691" s="27"/>
      <c r="G691" s="27"/>
      <c r="H691" s="27"/>
      <c r="I691" s="27"/>
    </row>
    <row r="692">
      <c r="C692" s="27"/>
      <c r="D692" s="27"/>
      <c r="E692" s="27"/>
      <c r="F692" s="27"/>
      <c r="G692" s="27"/>
      <c r="H692" s="27"/>
      <c r="I692" s="27"/>
    </row>
    <row r="693">
      <c r="C693" s="27"/>
      <c r="D693" s="27"/>
      <c r="E693" s="27"/>
      <c r="F693" s="27"/>
      <c r="G693" s="27"/>
      <c r="H693" s="27"/>
      <c r="I693" s="27"/>
    </row>
    <row r="694">
      <c r="C694" s="27"/>
      <c r="D694" s="27"/>
      <c r="E694" s="27"/>
      <c r="F694" s="27"/>
      <c r="G694" s="27"/>
      <c r="H694" s="27"/>
      <c r="I694" s="27"/>
    </row>
    <row r="695">
      <c r="C695" s="27"/>
      <c r="D695" s="27"/>
      <c r="E695" s="27"/>
      <c r="F695" s="27"/>
      <c r="G695" s="27"/>
      <c r="H695" s="27"/>
      <c r="I695" s="27"/>
    </row>
    <row r="696">
      <c r="C696" s="27"/>
      <c r="D696" s="27"/>
      <c r="E696" s="27"/>
      <c r="F696" s="27"/>
      <c r="G696" s="27"/>
      <c r="H696" s="27"/>
      <c r="I696" s="27"/>
    </row>
    <row r="697">
      <c r="C697" s="27"/>
      <c r="D697" s="27"/>
      <c r="E697" s="27"/>
      <c r="F697" s="27"/>
      <c r="G697" s="27"/>
      <c r="H697" s="27"/>
      <c r="I697" s="27"/>
    </row>
    <row r="698">
      <c r="C698" s="27"/>
      <c r="D698" s="27"/>
      <c r="E698" s="27"/>
      <c r="F698" s="27"/>
      <c r="G698" s="27"/>
      <c r="H698" s="27"/>
      <c r="I698" s="27"/>
    </row>
    <row r="699">
      <c r="C699" s="27"/>
      <c r="D699" s="27"/>
      <c r="E699" s="27"/>
      <c r="F699" s="27"/>
      <c r="G699" s="27"/>
      <c r="H699" s="27"/>
      <c r="I699" s="27"/>
    </row>
    <row r="700">
      <c r="C700" s="27"/>
      <c r="D700" s="27"/>
      <c r="E700" s="27"/>
      <c r="F700" s="27"/>
      <c r="G700" s="27"/>
      <c r="H700" s="27"/>
      <c r="I700" s="27"/>
    </row>
    <row r="701">
      <c r="C701" s="27"/>
      <c r="D701" s="27"/>
      <c r="E701" s="27"/>
      <c r="F701" s="27"/>
      <c r="G701" s="27"/>
      <c r="H701" s="27"/>
      <c r="I701" s="27"/>
    </row>
    <row r="702">
      <c r="C702" s="27"/>
      <c r="D702" s="27"/>
      <c r="E702" s="27"/>
      <c r="F702" s="27"/>
      <c r="G702" s="27"/>
      <c r="H702" s="27"/>
      <c r="I702" s="27"/>
    </row>
    <row r="703">
      <c r="C703" s="27"/>
      <c r="D703" s="27"/>
      <c r="E703" s="27"/>
      <c r="F703" s="27"/>
      <c r="G703" s="27"/>
      <c r="H703" s="27"/>
      <c r="I703" s="27"/>
    </row>
    <row r="704">
      <c r="C704" s="27"/>
      <c r="D704" s="27"/>
      <c r="E704" s="27"/>
      <c r="F704" s="27"/>
      <c r="G704" s="27"/>
      <c r="H704" s="27"/>
      <c r="I704" s="27"/>
    </row>
    <row r="705">
      <c r="C705" s="27"/>
      <c r="D705" s="27"/>
      <c r="E705" s="27"/>
      <c r="F705" s="27"/>
      <c r="G705" s="27"/>
      <c r="H705" s="27"/>
      <c r="I705" s="27"/>
    </row>
    <row r="706">
      <c r="C706" s="27"/>
      <c r="D706" s="27"/>
      <c r="E706" s="27"/>
      <c r="F706" s="27"/>
      <c r="G706" s="27"/>
      <c r="H706" s="27"/>
      <c r="I706" s="27"/>
    </row>
    <row r="707">
      <c r="C707" s="27"/>
      <c r="D707" s="27"/>
      <c r="E707" s="27"/>
      <c r="F707" s="27"/>
      <c r="G707" s="27"/>
      <c r="H707" s="27"/>
      <c r="I707" s="27"/>
    </row>
    <row r="708">
      <c r="C708" s="27"/>
      <c r="D708" s="27"/>
      <c r="E708" s="27"/>
      <c r="F708" s="27"/>
      <c r="G708" s="27"/>
      <c r="H708" s="27"/>
      <c r="I708" s="27"/>
    </row>
    <row r="709">
      <c r="C709" s="27"/>
      <c r="D709" s="27"/>
      <c r="E709" s="27"/>
      <c r="F709" s="27"/>
      <c r="G709" s="27"/>
      <c r="H709" s="27"/>
      <c r="I709" s="27"/>
    </row>
    <row r="710">
      <c r="C710" s="27"/>
      <c r="D710" s="27"/>
      <c r="E710" s="27"/>
      <c r="F710" s="27"/>
      <c r="G710" s="27"/>
      <c r="H710" s="27"/>
      <c r="I710" s="27"/>
    </row>
    <row r="711">
      <c r="C711" s="27"/>
      <c r="D711" s="27"/>
      <c r="E711" s="27"/>
      <c r="F711" s="27"/>
      <c r="G711" s="27"/>
      <c r="H711" s="27"/>
      <c r="I711" s="27"/>
    </row>
    <row r="712">
      <c r="C712" s="27"/>
      <c r="D712" s="27"/>
      <c r="E712" s="27"/>
      <c r="F712" s="27"/>
      <c r="G712" s="27"/>
      <c r="H712" s="27"/>
      <c r="I712" s="27"/>
    </row>
    <row r="713">
      <c r="C713" s="27"/>
      <c r="D713" s="27"/>
      <c r="E713" s="27"/>
      <c r="F713" s="27"/>
      <c r="G713" s="27"/>
      <c r="H713" s="27"/>
      <c r="I713" s="27"/>
    </row>
    <row r="714">
      <c r="C714" s="27"/>
      <c r="D714" s="27"/>
      <c r="E714" s="27"/>
      <c r="F714" s="27"/>
      <c r="G714" s="27"/>
      <c r="H714" s="27"/>
      <c r="I714" s="27"/>
    </row>
    <row r="715">
      <c r="C715" s="27"/>
      <c r="D715" s="27"/>
      <c r="E715" s="27"/>
      <c r="F715" s="27"/>
      <c r="G715" s="27"/>
      <c r="H715" s="27"/>
      <c r="I715" s="27"/>
    </row>
    <row r="716">
      <c r="C716" s="27"/>
      <c r="D716" s="27"/>
      <c r="E716" s="27"/>
      <c r="F716" s="27"/>
      <c r="G716" s="27"/>
      <c r="H716" s="27"/>
      <c r="I716" s="27"/>
    </row>
    <row r="717">
      <c r="C717" s="27"/>
      <c r="D717" s="27"/>
      <c r="E717" s="27"/>
      <c r="F717" s="27"/>
      <c r="G717" s="27"/>
      <c r="H717" s="27"/>
      <c r="I717" s="27"/>
    </row>
    <row r="718">
      <c r="C718" s="27"/>
      <c r="D718" s="27"/>
      <c r="E718" s="27"/>
      <c r="F718" s="27"/>
      <c r="G718" s="27"/>
      <c r="H718" s="27"/>
      <c r="I718" s="27"/>
    </row>
    <row r="719">
      <c r="C719" s="27"/>
      <c r="D719" s="27"/>
      <c r="E719" s="27"/>
      <c r="F719" s="27"/>
      <c r="G719" s="27"/>
      <c r="H719" s="27"/>
      <c r="I719" s="27"/>
    </row>
    <row r="720">
      <c r="C720" s="27"/>
      <c r="D720" s="27"/>
      <c r="E720" s="27"/>
      <c r="F720" s="27"/>
      <c r="G720" s="27"/>
      <c r="H720" s="27"/>
      <c r="I720" s="27"/>
    </row>
    <row r="721">
      <c r="C721" s="27"/>
      <c r="D721" s="27"/>
      <c r="E721" s="27"/>
      <c r="F721" s="27"/>
      <c r="G721" s="27"/>
      <c r="H721" s="27"/>
      <c r="I721" s="27"/>
    </row>
    <row r="722">
      <c r="C722" s="27"/>
      <c r="D722" s="27"/>
      <c r="E722" s="27"/>
      <c r="F722" s="27"/>
      <c r="G722" s="27"/>
      <c r="H722" s="27"/>
      <c r="I722" s="27"/>
    </row>
    <row r="723">
      <c r="C723" s="27"/>
      <c r="D723" s="27"/>
      <c r="E723" s="27"/>
      <c r="F723" s="27"/>
      <c r="G723" s="27"/>
      <c r="H723" s="27"/>
      <c r="I723" s="27"/>
    </row>
    <row r="724">
      <c r="C724" s="27"/>
      <c r="D724" s="27"/>
      <c r="E724" s="27"/>
      <c r="F724" s="27"/>
      <c r="G724" s="27"/>
      <c r="H724" s="27"/>
      <c r="I724" s="27"/>
    </row>
    <row r="725">
      <c r="C725" s="27"/>
      <c r="D725" s="27"/>
      <c r="E725" s="27"/>
      <c r="F725" s="27"/>
      <c r="G725" s="27"/>
      <c r="H725" s="27"/>
      <c r="I725" s="27"/>
    </row>
    <row r="726">
      <c r="C726" s="27"/>
      <c r="D726" s="27"/>
      <c r="E726" s="27"/>
      <c r="F726" s="27"/>
      <c r="G726" s="27"/>
      <c r="H726" s="27"/>
      <c r="I726" s="27"/>
    </row>
    <row r="727">
      <c r="C727" s="27"/>
      <c r="D727" s="27"/>
      <c r="E727" s="27"/>
      <c r="F727" s="27"/>
      <c r="G727" s="27"/>
      <c r="H727" s="27"/>
      <c r="I727" s="27"/>
    </row>
    <row r="728">
      <c r="C728" s="27"/>
      <c r="D728" s="27"/>
      <c r="E728" s="27"/>
      <c r="F728" s="27"/>
      <c r="G728" s="27"/>
      <c r="H728" s="27"/>
      <c r="I728" s="27"/>
    </row>
    <row r="729">
      <c r="C729" s="27"/>
      <c r="D729" s="27"/>
      <c r="E729" s="27"/>
      <c r="F729" s="27"/>
      <c r="G729" s="27"/>
      <c r="H729" s="27"/>
      <c r="I729" s="27"/>
    </row>
    <row r="730">
      <c r="C730" s="27"/>
      <c r="D730" s="27"/>
      <c r="E730" s="27"/>
      <c r="F730" s="27"/>
      <c r="G730" s="27"/>
      <c r="H730" s="27"/>
      <c r="I730" s="27"/>
    </row>
    <row r="731">
      <c r="C731" s="27"/>
      <c r="D731" s="27"/>
      <c r="E731" s="27"/>
      <c r="F731" s="27"/>
      <c r="G731" s="27"/>
      <c r="H731" s="27"/>
      <c r="I731" s="27"/>
    </row>
    <row r="732">
      <c r="C732" s="27"/>
      <c r="D732" s="27"/>
      <c r="E732" s="27"/>
      <c r="F732" s="27"/>
      <c r="G732" s="27"/>
      <c r="H732" s="27"/>
      <c r="I732" s="27"/>
    </row>
    <row r="733">
      <c r="C733" s="27"/>
      <c r="D733" s="27"/>
      <c r="E733" s="27"/>
      <c r="F733" s="27"/>
      <c r="G733" s="27"/>
      <c r="H733" s="27"/>
      <c r="I733" s="27"/>
    </row>
    <row r="734">
      <c r="C734" s="27"/>
      <c r="D734" s="27"/>
      <c r="E734" s="27"/>
      <c r="F734" s="27"/>
      <c r="G734" s="27"/>
      <c r="H734" s="27"/>
      <c r="I734" s="27"/>
    </row>
    <row r="735">
      <c r="C735" s="27"/>
      <c r="D735" s="27"/>
      <c r="E735" s="27"/>
      <c r="F735" s="27"/>
      <c r="G735" s="27"/>
      <c r="H735" s="27"/>
      <c r="I735" s="27"/>
    </row>
    <row r="736">
      <c r="C736" s="27"/>
      <c r="D736" s="27"/>
      <c r="E736" s="27"/>
      <c r="F736" s="27"/>
      <c r="G736" s="27"/>
      <c r="H736" s="27"/>
      <c r="I736" s="27"/>
    </row>
    <row r="737">
      <c r="C737" s="27"/>
      <c r="D737" s="27"/>
      <c r="E737" s="27"/>
      <c r="F737" s="27"/>
      <c r="G737" s="27"/>
      <c r="H737" s="27"/>
      <c r="I737" s="27"/>
    </row>
    <row r="738">
      <c r="C738" s="27"/>
      <c r="D738" s="27"/>
      <c r="E738" s="27"/>
      <c r="F738" s="27"/>
      <c r="G738" s="27"/>
      <c r="H738" s="27"/>
      <c r="I738" s="27"/>
    </row>
    <row r="739">
      <c r="C739" s="27"/>
      <c r="D739" s="27"/>
      <c r="E739" s="27"/>
      <c r="F739" s="27"/>
      <c r="G739" s="27"/>
      <c r="H739" s="27"/>
      <c r="I739" s="27"/>
    </row>
    <row r="740">
      <c r="C740" s="27"/>
      <c r="D740" s="27"/>
      <c r="E740" s="27"/>
      <c r="F740" s="27"/>
      <c r="G740" s="27"/>
      <c r="H740" s="27"/>
      <c r="I740" s="27"/>
    </row>
    <row r="741">
      <c r="C741" s="27"/>
      <c r="D741" s="27"/>
      <c r="E741" s="27"/>
      <c r="F741" s="27"/>
      <c r="G741" s="27"/>
      <c r="H741" s="27"/>
      <c r="I741" s="27"/>
    </row>
    <row r="742">
      <c r="C742" s="27"/>
      <c r="D742" s="27"/>
      <c r="E742" s="27"/>
      <c r="F742" s="27"/>
      <c r="G742" s="27"/>
      <c r="H742" s="27"/>
      <c r="I742" s="27"/>
    </row>
    <row r="743">
      <c r="C743" s="27"/>
      <c r="D743" s="27"/>
      <c r="E743" s="27"/>
      <c r="F743" s="27"/>
      <c r="G743" s="27"/>
      <c r="H743" s="27"/>
      <c r="I743" s="27"/>
    </row>
    <row r="744">
      <c r="C744" s="27"/>
      <c r="D744" s="27"/>
      <c r="E744" s="27"/>
      <c r="F744" s="27"/>
      <c r="G744" s="27"/>
      <c r="H744" s="27"/>
      <c r="I744" s="27"/>
    </row>
    <row r="745">
      <c r="C745" s="27"/>
      <c r="D745" s="27"/>
      <c r="E745" s="27"/>
      <c r="F745" s="27"/>
      <c r="G745" s="27"/>
      <c r="H745" s="27"/>
      <c r="I745" s="27"/>
    </row>
    <row r="746">
      <c r="C746" s="27"/>
      <c r="D746" s="27"/>
      <c r="E746" s="27"/>
      <c r="F746" s="27"/>
      <c r="G746" s="27"/>
      <c r="H746" s="27"/>
      <c r="I746" s="27"/>
    </row>
    <row r="747">
      <c r="C747" s="27"/>
      <c r="D747" s="27"/>
      <c r="E747" s="27"/>
      <c r="F747" s="27"/>
      <c r="G747" s="27"/>
      <c r="H747" s="27"/>
      <c r="I747" s="27"/>
    </row>
    <row r="748">
      <c r="C748" s="27"/>
      <c r="D748" s="27"/>
      <c r="E748" s="27"/>
      <c r="F748" s="27"/>
      <c r="G748" s="27"/>
      <c r="H748" s="27"/>
      <c r="I748" s="27"/>
    </row>
    <row r="749">
      <c r="C749" s="27"/>
      <c r="D749" s="27"/>
      <c r="E749" s="27"/>
      <c r="F749" s="27"/>
      <c r="G749" s="27"/>
      <c r="H749" s="27"/>
      <c r="I749" s="27"/>
    </row>
    <row r="750">
      <c r="C750" s="27"/>
      <c r="D750" s="27"/>
      <c r="E750" s="27"/>
      <c r="F750" s="27"/>
      <c r="G750" s="27"/>
      <c r="H750" s="27"/>
      <c r="I750" s="27"/>
    </row>
    <row r="751">
      <c r="C751" s="27"/>
      <c r="D751" s="27"/>
      <c r="E751" s="27"/>
      <c r="F751" s="27"/>
      <c r="G751" s="27"/>
      <c r="H751" s="27"/>
      <c r="I751" s="27"/>
    </row>
    <row r="752">
      <c r="C752" s="27"/>
      <c r="D752" s="27"/>
      <c r="E752" s="27"/>
      <c r="F752" s="27"/>
      <c r="G752" s="27"/>
      <c r="H752" s="27"/>
      <c r="I752" s="27"/>
    </row>
    <row r="753">
      <c r="C753" s="27"/>
      <c r="D753" s="27"/>
      <c r="E753" s="27"/>
      <c r="F753" s="27"/>
      <c r="G753" s="27"/>
      <c r="H753" s="27"/>
      <c r="I753" s="27"/>
    </row>
    <row r="754">
      <c r="C754" s="27"/>
      <c r="D754" s="27"/>
      <c r="E754" s="27"/>
      <c r="F754" s="27"/>
      <c r="G754" s="27"/>
      <c r="H754" s="27"/>
      <c r="I754" s="27"/>
    </row>
    <row r="755">
      <c r="C755" s="27"/>
      <c r="D755" s="27"/>
      <c r="E755" s="27"/>
      <c r="F755" s="27"/>
      <c r="G755" s="27"/>
      <c r="H755" s="27"/>
      <c r="I755" s="27"/>
    </row>
    <row r="756">
      <c r="C756" s="27"/>
      <c r="D756" s="27"/>
      <c r="E756" s="27"/>
      <c r="F756" s="27"/>
      <c r="G756" s="27"/>
      <c r="H756" s="27"/>
      <c r="I756" s="27"/>
    </row>
    <row r="757">
      <c r="C757" s="27"/>
      <c r="D757" s="27"/>
      <c r="E757" s="27"/>
      <c r="F757" s="27"/>
      <c r="G757" s="27"/>
      <c r="H757" s="27"/>
      <c r="I757" s="27"/>
    </row>
    <row r="758">
      <c r="C758" s="27"/>
      <c r="D758" s="27"/>
      <c r="E758" s="27"/>
      <c r="F758" s="27"/>
      <c r="G758" s="27"/>
      <c r="H758" s="27"/>
      <c r="I758" s="27"/>
    </row>
    <row r="759">
      <c r="C759" s="27"/>
      <c r="D759" s="27"/>
      <c r="E759" s="27"/>
      <c r="F759" s="27"/>
      <c r="G759" s="27"/>
      <c r="H759" s="27"/>
      <c r="I759" s="27"/>
    </row>
    <row r="760">
      <c r="C760" s="27"/>
      <c r="D760" s="27"/>
      <c r="E760" s="27"/>
      <c r="F760" s="27"/>
      <c r="G760" s="27"/>
      <c r="H760" s="27"/>
      <c r="I760" s="27"/>
    </row>
    <row r="761">
      <c r="C761" s="27"/>
      <c r="D761" s="27"/>
      <c r="E761" s="27"/>
      <c r="F761" s="27"/>
      <c r="G761" s="27"/>
      <c r="H761" s="27"/>
      <c r="I761" s="27"/>
    </row>
    <row r="762">
      <c r="C762" s="27"/>
      <c r="D762" s="27"/>
      <c r="E762" s="27"/>
      <c r="F762" s="27"/>
      <c r="G762" s="27"/>
      <c r="H762" s="27"/>
      <c r="I762" s="27"/>
    </row>
    <row r="763">
      <c r="C763" s="27"/>
      <c r="D763" s="27"/>
      <c r="E763" s="27"/>
      <c r="F763" s="27"/>
      <c r="G763" s="27"/>
      <c r="H763" s="27"/>
      <c r="I763" s="27"/>
    </row>
    <row r="764">
      <c r="C764" s="27"/>
      <c r="D764" s="27"/>
      <c r="E764" s="27"/>
      <c r="F764" s="27"/>
      <c r="G764" s="27"/>
      <c r="H764" s="27"/>
      <c r="I764" s="27"/>
    </row>
    <row r="765">
      <c r="C765" s="27"/>
      <c r="D765" s="27"/>
      <c r="E765" s="27"/>
      <c r="F765" s="27"/>
      <c r="G765" s="27"/>
      <c r="H765" s="27"/>
      <c r="I765" s="27"/>
    </row>
    <row r="766">
      <c r="C766" s="27"/>
      <c r="D766" s="27"/>
      <c r="E766" s="27"/>
      <c r="F766" s="27"/>
      <c r="G766" s="27"/>
      <c r="H766" s="27"/>
      <c r="I766" s="27"/>
    </row>
    <row r="767">
      <c r="C767" s="27"/>
      <c r="D767" s="27"/>
      <c r="E767" s="27"/>
      <c r="F767" s="27"/>
      <c r="G767" s="27"/>
      <c r="H767" s="27"/>
      <c r="I767" s="27"/>
    </row>
    <row r="768">
      <c r="C768" s="27"/>
      <c r="D768" s="27"/>
      <c r="E768" s="27"/>
      <c r="F768" s="27"/>
      <c r="G768" s="27"/>
      <c r="H768" s="27"/>
      <c r="I768" s="27"/>
    </row>
    <row r="769">
      <c r="C769" s="27"/>
      <c r="D769" s="27"/>
      <c r="E769" s="27"/>
      <c r="F769" s="27"/>
      <c r="G769" s="27"/>
      <c r="H769" s="27"/>
      <c r="I769" s="27"/>
    </row>
    <row r="770">
      <c r="C770" s="27"/>
      <c r="D770" s="27"/>
      <c r="E770" s="27"/>
      <c r="F770" s="27"/>
      <c r="G770" s="27"/>
      <c r="H770" s="27"/>
      <c r="I770" s="27"/>
    </row>
    <row r="771">
      <c r="C771" s="27"/>
      <c r="D771" s="27"/>
      <c r="E771" s="27"/>
      <c r="F771" s="27"/>
      <c r="G771" s="27"/>
      <c r="H771" s="27"/>
      <c r="I771" s="27"/>
    </row>
    <row r="772">
      <c r="C772" s="27"/>
      <c r="D772" s="27"/>
      <c r="E772" s="27"/>
      <c r="F772" s="27"/>
      <c r="G772" s="27"/>
      <c r="H772" s="27"/>
      <c r="I772" s="27"/>
    </row>
    <row r="773">
      <c r="C773" s="27"/>
      <c r="D773" s="27"/>
      <c r="E773" s="27"/>
      <c r="F773" s="27"/>
      <c r="G773" s="27"/>
      <c r="H773" s="27"/>
      <c r="I773" s="27"/>
    </row>
    <row r="774">
      <c r="C774" s="27"/>
      <c r="D774" s="27"/>
      <c r="E774" s="27"/>
      <c r="F774" s="27"/>
      <c r="G774" s="27"/>
      <c r="H774" s="27"/>
      <c r="I774" s="27"/>
    </row>
    <row r="775">
      <c r="C775" s="27"/>
      <c r="D775" s="27"/>
      <c r="E775" s="27"/>
      <c r="F775" s="27"/>
      <c r="G775" s="27"/>
      <c r="H775" s="27"/>
      <c r="I775" s="27"/>
    </row>
    <row r="776">
      <c r="C776" s="27"/>
      <c r="D776" s="27"/>
      <c r="E776" s="27"/>
      <c r="F776" s="27"/>
      <c r="G776" s="27"/>
      <c r="H776" s="27"/>
      <c r="I776" s="27"/>
    </row>
    <row r="777">
      <c r="C777" s="27"/>
      <c r="D777" s="27"/>
      <c r="E777" s="27"/>
      <c r="F777" s="27"/>
      <c r="G777" s="27"/>
      <c r="H777" s="27"/>
      <c r="I777" s="27"/>
    </row>
    <row r="778">
      <c r="C778" s="27"/>
      <c r="D778" s="27"/>
      <c r="E778" s="27"/>
      <c r="F778" s="27"/>
      <c r="G778" s="27"/>
      <c r="H778" s="27"/>
      <c r="I778" s="27"/>
    </row>
    <row r="779">
      <c r="C779" s="27"/>
      <c r="D779" s="27"/>
      <c r="E779" s="27"/>
      <c r="F779" s="27"/>
      <c r="G779" s="27"/>
      <c r="H779" s="27"/>
      <c r="I779" s="27"/>
    </row>
    <row r="780">
      <c r="C780" s="27"/>
      <c r="D780" s="27"/>
      <c r="E780" s="27"/>
      <c r="F780" s="27"/>
      <c r="G780" s="27"/>
      <c r="H780" s="27"/>
      <c r="I780" s="27"/>
    </row>
    <row r="781">
      <c r="C781" s="27"/>
      <c r="D781" s="27"/>
      <c r="E781" s="27"/>
      <c r="F781" s="27"/>
      <c r="G781" s="27"/>
      <c r="H781" s="27"/>
      <c r="I781" s="27"/>
    </row>
    <row r="782">
      <c r="C782" s="27"/>
      <c r="D782" s="27"/>
      <c r="E782" s="27"/>
      <c r="F782" s="27"/>
      <c r="G782" s="27"/>
      <c r="H782" s="27"/>
      <c r="I782" s="27"/>
    </row>
    <row r="783">
      <c r="C783" s="27"/>
      <c r="D783" s="27"/>
      <c r="E783" s="27"/>
      <c r="F783" s="27"/>
      <c r="G783" s="27"/>
      <c r="H783" s="27"/>
      <c r="I783" s="27"/>
    </row>
    <row r="784">
      <c r="C784" s="27"/>
      <c r="D784" s="27"/>
      <c r="E784" s="27"/>
      <c r="F784" s="27"/>
      <c r="G784" s="27"/>
      <c r="H784" s="27"/>
      <c r="I784" s="27"/>
    </row>
    <row r="785">
      <c r="C785" s="27"/>
      <c r="D785" s="27"/>
      <c r="E785" s="27"/>
      <c r="F785" s="27"/>
      <c r="G785" s="27"/>
      <c r="H785" s="27"/>
      <c r="I785" s="27"/>
    </row>
    <row r="786">
      <c r="C786" s="27"/>
      <c r="D786" s="27"/>
      <c r="E786" s="27"/>
      <c r="F786" s="27"/>
      <c r="G786" s="27"/>
      <c r="H786" s="27"/>
      <c r="I786" s="27"/>
    </row>
    <row r="787">
      <c r="C787" s="27"/>
      <c r="D787" s="27"/>
      <c r="E787" s="27"/>
      <c r="F787" s="27"/>
      <c r="G787" s="27"/>
      <c r="H787" s="27"/>
      <c r="I787" s="27"/>
    </row>
    <row r="788">
      <c r="C788" s="27"/>
      <c r="D788" s="27"/>
      <c r="E788" s="27"/>
      <c r="F788" s="27"/>
      <c r="G788" s="27"/>
      <c r="H788" s="27"/>
      <c r="I788" s="27"/>
    </row>
    <row r="789">
      <c r="C789" s="27"/>
      <c r="D789" s="27"/>
      <c r="E789" s="27"/>
      <c r="F789" s="27"/>
      <c r="G789" s="27"/>
      <c r="H789" s="27"/>
      <c r="I789" s="27"/>
    </row>
    <row r="790">
      <c r="C790" s="27"/>
      <c r="D790" s="27"/>
      <c r="E790" s="27"/>
      <c r="F790" s="27"/>
      <c r="G790" s="27"/>
      <c r="H790" s="27"/>
      <c r="I790" s="27"/>
    </row>
    <row r="791">
      <c r="C791" s="27"/>
      <c r="D791" s="27"/>
      <c r="E791" s="27"/>
      <c r="F791" s="27"/>
      <c r="G791" s="27"/>
      <c r="H791" s="27"/>
      <c r="I791" s="27"/>
    </row>
    <row r="792">
      <c r="C792" s="27"/>
      <c r="D792" s="27"/>
      <c r="E792" s="27"/>
      <c r="F792" s="27"/>
      <c r="G792" s="27"/>
      <c r="H792" s="27"/>
      <c r="I792" s="27"/>
    </row>
    <row r="793">
      <c r="C793" s="27"/>
      <c r="D793" s="27"/>
      <c r="E793" s="27"/>
      <c r="F793" s="27"/>
      <c r="G793" s="27"/>
      <c r="H793" s="27"/>
      <c r="I793" s="27"/>
    </row>
    <row r="794">
      <c r="C794" s="27"/>
      <c r="D794" s="27"/>
      <c r="E794" s="27"/>
      <c r="F794" s="27"/>
      <c r="G794" s="27"/>
      <c r="H794" s="27"/>
      <c r="I794" s="27"/>
    </row>
    <row r="795">
      <c r="C795" s="27"/>
      <c r="D795" s="27"/>
      <c r="E795" s="27"/>
      <c r="F795" s="27"/>
      <c r="G795" s="27"/>
      <c r="H795" s="27"/>
      <c r="I795" s="27"/>
    </row>
    <row r="796">
      <c r="C796" s="27"/>
      <c r="D796" s="27"/>
      <c r="E796" s="27"/>
      <c r="F796" s="27"/>
      <c r="G796" s="27"/>
      <c r="H796" s="27"/>
      <c r="I796" s="27"/>
    </row>
    <row r="797">
      <c r="C797" s="27"/>
      <c r="D797" s="27"/>
      <c r="E797" s="27"/>
      <c r="F797" s="27"/>
      <c r="G797" s="27"/>
      <c r="H797" s="27"/>
      <c r="I797" s="27"/>
    </row>
    <row r="798">
      <c r="C798" s="27"/>
      <c r="D798" s="27"/>
      <c r="E798" s="27"/>
      <c r="F798" s="27"/>
      <c r="G798" s="27"/>
      <c r="H798" s="27"/>
      <c r="I798" s="27"/>
    </row>
    <row r="799">
      <c r="C799" s="27"/>
      <c r="D799" s="27"/>
      <c r="E799" s="27"/>
      <c r="F799" s="27"/>
      <c r="G799" s="27"/>
      <c r="H799" s="27"/>
      <c r="I799" s="27"/>
    </row>
    <row r="800">
      <c r="C800" s="27"/>
      <c r="D800" s="27"/>
      <c r="E800" s="27"/>
      <c r="F800" s="27"/>
      <c r="G800" s="27"/>
      <c r="H800" s="27"/>
      <c r="I800" s="27"/>
    </row>
    <row r="801">
      <c r="C801" s="27"/>
      <c r="D801" s="27"/>
      <c r="E801" s="27"/>
      <c r="F801" s="27"/>
      <c r="G801" s="27"/>
      <c r="H801" s="27"/>
      <c r="I801" s="27"/>
    </row>
    <row r="802">
      <c r="C802" s="27"/>
      <c r="D802" s="27"/>
      <c r="E802" s="27"/>
      <c r="F802" s="27"/>
      <c r="G802" s="27"/>
      <c r="H802" s="27"/>
      <c r="I802" s="27"/>
    </row>
    <row r="803">
      <c r="C803" s="27"/>
      <c r="D803" s="27"/>
      <c r="E803" s="27"/>
      <c r="F803" s="27"/>
      <c r="G803" s="27"/>
      <c r="H803" s="27"/>
      <c r="I803" s="27"/>
    </row>
    <row r="804">
      <c r="C804" s="27"/>
      <c r="D804" s="27"/>
      <c r="E804" s="27"/>
      <c r="F804" s="27"/>
      <c r="G804" s="27"/>
      <c r="H804" s="27"/>
      <c r="I804" s="27"/>
    </row>
    <row r="805">
      <c r="C805" s="27"/>
      <c r="D805" s="27"/>
      <c r="E805" s="27"/>
      <c r="F805" s="27"/>
      <c r="G805" s="27"/>
      <c r="H805" s="27"/>
      <c r="I805" s="27"/>
    </row>
    <row r="806">
      <c r="C806" s="27"/>
      <c r="D806" s="27"/>
      <c r="E806" s="27"/>
      <c r="F806" s="27"/>
      <c r="G806" s="27"/>
      <c r="H806" s="27"/>
      <c r="I806" s="27"/>
    </row>
    <row r="807">
      <c r="C807" s="27"/>
      <c r="D807" s="27"/>
      <c r="E807" s="27"/>
      <c r="F807" s="27"/>
      <c r="G807" s="27"/>
      <c r="H807" s="27"/>
      <c r="I807" s="27"/>
    </row>
    <row r="808">
      <c r="C808" s="27"/>
      <c r="D808" s="27"/>
      <c r="E808" s="27"/>
      <c r="F808" s="27"/>
      <c r="G808" s="27"/>
      <c r="H808" s="27"/>
      <c r="I808" s="27"/>
    </row>
    <row r="809">
      <c r="C809" s="27"/>
      <c r="D809" s="27"/>
      <c r="E809" s="27"/>
      <c r="F809" s="27"/>
      <c r="G809" s="27"/>
      <c r="H809" s="27"/>
      <c r="I809" s="27"/>
    </row>
    <row r="810">
      <c r="C810" s="27"/>
      <c r="D810" s="27"/>
      <c r="E810" s="27"/>
      <c r="F810" s="27"/>
      <c r="G810" s="27"/>
      <c r="H810" s="27"/>
      <c r="I810" s="27"/>
    </row>
    <row r="811">
      <c r="C811" s="27"/>
      <c r="D811" s="27"/>
      <c r="E811" s="27"/>
      <c r="F811" s="27"/>
      <c r="G811" s="27"/>
      <c r="H811" s="27"/>
      <c r="I811" s="27"/>
    </row>
    <row r="812">
      <c r="C812" s="27"/>
      <c r="D812" s="27"/>
      <c r="E812" s="27"/>
      <c r="F812" s="27"/>
      <c r="G812" s="27"/>
      <c r="H812" s="27"/>
      <c r="I812" s="27"/>
    </row>
    <row r="813">
      <c r="C813" s="27"/>
      <c r="D813" s="27"/>
      <c r="E813" s="27"/>
      <c r="F813" s="27"/>
      <c r="G813" s="27"/>
      <c r="H813" s="27"/>
      <c r="I813" s="27"/>
    </row>
    <row r="814">
      <c r="C814" s="27"/>
      <c r="D814" s="27"/>
      <c r="E814" s="27"/>
      <c r="F814" s="27"/>
      <c r="G814" s="27"/>
      <c r="H814" s="27"/>
      <c r="I814" s="27"/>
    </row>
    <row r="815">
      <c r="C815" s="27"/>
      <c r="D815" s="27"/>
      <c r="E815" s="27"/>
      <c r="F815" s="27"/>
      <c r="G815" s="27"/>
      <c r="H815" s="27"/>
      <c r="I815" s="27"/>
    </row>
    <row r="816">
      <c r="C816" s="27"/>
      <c r="D816" s="27"/>
      <c r="E816" s="27"/>
      <c r="F816" s="27"/>
      <c r="G816" s="27"/>
      <c r="H816" s="27"/>
      <c r="I816" s="27"/>
    </row>
    <row r="817">
      <c r="C817" s="27"/>
      <c r="D817" s="27"/>
      <c r="E817" s="27"/>
      <c r="F817" s="27"/>
      <c r="G817" s="27"/>
      <c r="H817" s="27"/>
      <c r="I817" s="27"/>
    </row>
    <row r="818">
      <c r="C818" s="27"/>
      <c r="D818" s="27"/>
      <c r="E818" s="27"/>
      <c r="F818" s="27"/>
      <c r="G818" s="27"/>
      <c r="H818" s="27"/>
      <c r="I818" s="27"/>
    </row>
    <row r="819">
      <c r="C819" s="27"/>
      <c r="D819" s="27"/>
      <c r="E819" s="27"/>
      <c r="F819" s="27"/>
      <c r="G819" s="27"/>
      <c r="H819" s="27"/>
      <c r="I819" s="27"/>
    </row>
    <row r="820">
      <c r="C820" s="27"/>
      <c r="D820" s="27"/>
      <c r="E820" s="27"/>
      <c r="F820" s="27"/>
      <c r="G820" s="27"/>
      <c r="H820" s="27"/>
      <c r="I820" s="27"/>
    </row>
    <row r="821">
      <c r="C821" s="27"/>
      <c r="D821" s="27"/>
      <c r="E821" s="27"/>
      <c r="F821" s="27"/>
      <c r="G821" s="27"/>
      <c r="H821" s="27"/>
      <c r="I821" s="27"/>
    </row>
    <row r="822">
      <c r="C822" s="27"/>
      <c r="D822" s="27"/>
      <c r="E822" s="27"/>
      <c r="F822" s="27"/>
      <c r="G822" s="27"/>
      <c r="H822" s="27"/>
      <c r="I822" s="27"/>
    </row>
    <row r="823">
      <c r="C823" s="27"/>
      <c r="D823" s="27"/>
      <c r="E823" s="27"/>
      <c r="F823" s="27"/>
      <c r="G823" s="27"/>
      <c r="H823" s="27"/>
      <c r="I823" s="27"/>
    </row>
    <row r="824">
      <c r="C824" s="27"/>
      <c r="D824" s="27"/>
      <c r="E824" s="27"/>
      <c r="F824" s="27"/>
      <c r="G824" s="27"/>
      <c r="H824" s="27"/>
      <c r="I824" s="27"/>
    </row>
    <row r="825">
      <c r="C825" s="27"/>
      <c r="D825" s="27"/>
      <c r="E825" s="27"/>
      <c r="F825" s="27"/>
      <c r="G825" s="27"/>
      <c r="H825" s="27"/>
      <c r="I825" s="27"/>
    </row>
    <row r="826">
      <c r="C826" s="27"/>
      <c r="D826" s="27"/>
      <c r="E826" s="27"/>
      <c r="F826" s="27"/>
      <c r="G826" s="27"/>
      <c r="H826" s="27"/>
      <c r="I826" s="27"/>
    </row>
    <row r="827">
      <c r="C827" s="27"/>
      <c r="D827" s="27"/>
      <c r="E827" s="27"/>
      <c r="F827" s="27"/>
      <c r="G827" s="27"/>
      <c r="H827" s="27"/>
      <c r="I827" s="27"/>
    </row>
    <row r="828">
      <c r="C828" s="27"/>
      <c r="D828" s="27"/>
      <c r="E828" s="27"/>
      <c r="F828" s="27"/>
      <c r="G828" s="27"/>
      <c r="H828" s="27"/>
      <c r="I828" s="27"/>
    </row>
    <row r="829">
      <c r="C829" s="27"/>
      <c r="D829" s="27"/>
      <c r="E829" s="27"/>
      <c r="F829" s="27"/>
      <c r="G829" s="27"/>
      <c r="H829" s="27"/>
      <c r="I829" s="27"/>
    </row>
    <row r="830">
      <c r="C830" s="27"/>
      <c r="D830" s="27"/>
      <c r="E830" s="27"/>
      <c r="F830" s="27"/>
      <c r="G830" s="27"/>
      <c r="H830" s="27"/>
      <c r="I830" s="27"/>
    </row>
    <row r="831">
      <c r="C831" s="27"/>
      <c r="D831" s="27"/>
      <c r="E831" s="27"/>
      <c r="F831" s="27"/>
      <c r="G831" s="27"/>
      <c r="H831" s="27"/>
      <c r="I831" s="27"/>
    </row>
    <row r="832">
      <c r="C832" s="27"/>
      <c r="D832" s="27"/>
      <c r="E832" s="27"/>
      <c r="F832" s="27"/>
      <c r="G832" s="27"/>
      <c r="H832" s="27"/>
      <c r="I832" s="27"/>
    </row>
    <row r="833">
      <c r="C833" s="27"/>
      <c r="D833" s="27"/>
      <c r="E833" s="27"/>
      <c r="F833" s="27"/>
      <c r="G833" s="27"/>
      <c r="H833" s="27"/>
      <c r="I833" s="27"/>
    </row>
    <row r="834">
      <c r="C834" s="27"/>
      <c r="D834" s="27"/>
      <c r="E834" s="27"/>
      <c r="F834" s="27"/>
      <c r="G834" s="27"/>
      <c r="H834" s="27"/>
      <c r="I834" s="27"/>
    </row>
    <row r="835">
      <c r="C835" s="27"/>
      <c r="D835" s="27"/>
      <c r="E835" s="27"/>
      <c r="F835" s="27"/>
      <c r="G835" s="27"/>
      <c r="H835" s="27"/>
      <c r="I835" s="27"/>
    </row>
    <row r="836">
      <c r="C836" s="27"/>
      <c r="D836" s="27"/>
      <c r="E836" s="27"/>
      <c r="F836" s="27"/>
      <c r="G836" s="27"/>
      <c r="H836" s="27"/>
      <c r="I836" s="27"/>
    </row>
    <row r="837">
      <c r="C837" s="27"/>
      <c r="D837" s="27"/>
      <c r="E837" s="27"/>
      <c r="F837" s="27"/>
      <c r="G837" s="27"/>
      <c r="H837" s="27"/>
      <c r="I837" s="27"/>
    </row>
    <row r="838">
      <c r="C838" s="27"/>
      <c r="D838" s="27"/>
      <c r="E838" s="27"/>
      <c r="F838" s="27"/>
      <c r="G838" s="27"/>
      <c r="H838" s="27"/>
      <c r="I838" s="27"/>
    </row>
    <row r="839">
      <c r="C839" s="27"/>
      <c r="D839" s="27"/>
      <c r="E839" s="27"/>
      <c r="F839" s="27"/>
      <c r="G839" s="27"/>
      <c r="H839" s="27"/>
      <c r="I839" s="27"/>
    </row>
    <row r="840">
      <c r="C840" s="27"/>
      <c r="D840" s="27"/>
      <c r="E840" s="27"/>
      <c r="F840" s="27"/>
      <c r="G840" s="27"/>
      <c r="H840" s="27"/>
      <c r="I840" s="27"/>
    </row>
    <row r="841">
      <c r="C841" s="27"/>
      <c r="D841" s="27"/>
      <c r="E841" s="27"/>
      <c r="F841" s="27"/>
      <c r="G841" s="27"/>
      <c r="H841" s="27"/>
      <c r="I841" s="27"/>
    </row>
    <row r="842">
      <c r="C842" s="27"/>
      <c r="D842" s="27"/>
      <c r="E842" s="27"/>
      <c r="F842" s="27"/>
      <c r="G842" s="27"/>
      <c r="H842" s="27"/>
      <c r="I842" s="27"/>
    </row>
    <row r="843">
      <c r="C843" s="27"/>
      <c r="D843" s="27"/>
      <c r="E843" s="27"/>
      <c r="F843" s="27"/>
      <c r="G843" s="27"/>
      <c r="H843" s="27"/>
      <c r="I843" s="27"/>
    </row>
    <row r="844">
      <c r="C844" s="27"/>
      <c r="D844" s="27"/>
      <c r="E844" s="27"/>
      <c r="F844" s="27"/>
      <c r="G844" s="27"/>
      <c r="H844" s="27"/>
      <c r="I844" s="27"/>
    </row>
    <row r="845">
      <c r="C845" s="27"/>
      <c r="D845" s="27"/>
      <c r="E845" s="27"/>
      <c r="F845" s="27"/>
      <c r="G845" s="27"/>
      <c r="H845" s="27"/>
      <c r="I845" s="27"/>
    </row>
    <row r="846">
      <c r="C846" s="27"/>
      <c r="D846" s="27"/>
      <c r="E846" s="27"/>
      <c r="F846" s="27"/>
      <c r="G846" s="27"/>
      <c r="H846" s="27"/>
      <c r="I846" s="27"/>
    </row>
    <row r="847">
      <c r="C847" s="27"/>
      <c r="D847" s="27"/>
      <c r="E847" s="27"/>
      <c r="F847" s="27"/>
      <c r="G847" s="27"/>
      <c r="H847" s="27"/>
      <c r="I847" s="27"/>
    </row>
    <row r="848">
      <c r="C848" s="27"/>
      <c r="D848" s="27"/>
      <c r="E848" s="27"/>
      <c r="F848" s="27"/>
      <c r="G848" s="27"/>
      <c r="H848" s="27"/>
      <c r="I848" s="27"/>
    </row>
    <row r="849">
      <c r="C849" s="27"/>
      <c r="D849" s="27"/>
      <c r="E849" s="27"/>
      <c r="F849" s="27"/>
      <c r="G849" s="27"/>
      <c r="H849" s="27"/>
      <c r="I849" s="27"/>
    </row>
    <row r="850">
      <c r="C850" s="27"/>
      <c r="D850" s="27"/>
      <c r="E850" s="27"/>
      <c r="F850" s="27"/>
      <c r="G850" s="27"/>
      <c r="H850" s="27"/>
      <c r="I850" s="27"/>
    </row>
    <row r="851">
      <c r="C851" s="27"/>
      <c r="D851" s="27"/>
      <c r="E851" s="27"/>
      <c r="F851" s="27"/>
      <c r="G851" s="27"/>
      <c r="H851" s="27"/>
      <c r="I851" s="27"/>
    </row>
    <row r="852">
      <c r="C852" s="27"/>
      <c r="D852" s="27"/>
      <c r="E852" s="27"/>
      <c r="F852" s="27"/>
      <c r="G852" s="27"/>
      <c r="H852" s="27"/>
      <c r="I852" s="27"/>
    </row>
    <row r="853">
      <c r="C853" s="27"/>
      <c r="D853" s="27"/>
      <c r="E853" s="27"/>
      <c r="F853" s="27"/>
      <c r="G853" s="27"/>
      <c r="H853" s="27"/>
      <c r="I853" s="27"/>
    </row>
    <row r="854">
      <c r="C854" s="27"/>
      <c r="D854" s="27"/>
      <c r="E854" s="27"/>
      <c r="F854" s="27"/>
      <c r="G854" s="27"/>
      <c r="H854" s="27"/>
      <c r="I854" s="27"/>
    </row>
    <row r="855">
      <c r="C855" s="27"/>
      <c r="D855" s="27"/>
      <c r="E855" s="27"/>
      <c r="F855" s="27"/>
      <c r="G855" s="27"/>
      <c r="H855" s="27"/>
      <c r="I855" s="27"/>
    </row>
    <row r="856">
      <c r="C856" s="27"/>
      <c r="D856" s="27"/>
      <c r="E856" s="27"/>
      <c r="F856" s="27"/>
      <c r="G856" s="27"/>
      <c r="H856" s="27"/>
      <c r="I856" s="27"/>
    </row>
    <row r="857">
      <c r="C857" s="27"/>
      <c r="D857" s="27"/>
      <c r="E857" s="27"/>
      <c r="F857" s="27"/>
      <c r="G857" s="27"/>
      <c r="H857" s="27"/>
      <c r="I857" s="27"/>
    </row>
    <row r="858">
      <c r="C858" s="27"/>
      <c r="D858" s="27"/>
      <c r="E858" s="27"/>
      <c r="F858" s="27"/>
      <c r="G858" s="27"/>
      <c r="H858" s="27"/>
      <c r="I858" s="27"/>
    </row>
    <row r="859">
      <c r="C859" s="27"/>
      <c r="D859" s="27"/>
      <c r="E859" s="27"/>
      <c r="F859" s="27"/>
      <c r="G859" s="27"/>
      <c r="H859" s="27"/>
      <c r="I859" s="27"/>
    </row>
    <row r="860">
      <c r="C860" s="27"/>
      <c r="D860" s="27"/>
      <c r="E860" s="27"/>
      <c r="F860" s="27"/>
      <c r="G860" s="27"/>
      <c r="H860" s="27"/>
      <c r="I860" s="27"/>
    </row>
    <row r="861">
      <c r="C861" s="27"/>
      <c r="D861" s="27"/>
      <c r="E861" s="27"/>
      <c r="F861" s="27"/>
      <c r="G861" s="27"/>
      <c r="H861" s="27"/>
      <c r="I861" s="27"/>
    </row>
    <row r="862">
      <c r="C862" s="27"/>
      <c r="D862" s="27"/>
      <c r="E862" s="27"/>
      <c r="F862" s="27"/>
      <c r="G862" s="27"/>
      <c r="H862" s="27"/>
      <c r="I862" s="27"/>
    </row>
    <row r="863">
      <c r="C863" s="27"/>
      <c r="D863" s="27"/>
      <c r="E863" s="27"/>
      <c r="F863" s="27"/>
      <c r="G863" s="27"/>
      <c r="H863" s="27"/>
      <c r="I863" s="27"/>
    </row>
    <row r="864">
      <c r="C864" s="27"/>
      <c r="D864" s="27"/>
      <c r="E864" s="27"/>
      <c r="F864" s="27"/>
      <c r="G864" s="27"/>
      <c r="H864" s="27"/>
      <c r="I864" s="27"/>
    </row>
    <row r="865">
      <c r="C865" s="27"/>
      <c r="D865" s="27"/>
      <c r="E865" s="27"/>
      <c r="F865" s="27"/>
      <c r="G865" s="27"/>
      <c r="H865" s="27"/>
      <c r="I865" s="27"/>
    </row>
    <row r="866">
      <c r="C866" s="27"/>
      <c r="D866" s="27"/>
      <c r="E866" s="27"/>
      <c r="F866" s="27"/>
      <c r="G866" s="27"/>
      <c r="H866" s="27"/>
      <c r="I866" s="27"/>
    </row>
    <row r="867">
      <c r="C867" s="27"/>
      <c r="D867" s="27"/>
      <c r="E867" s="27"/>
      <c r="F867" s="27"/>
      <c r="G867" s="27"/>
      <c r="H867" s="27"/>
      <c r="I867" s="27"/>
    </row>
    <row r="868">
      <c r="C868" s="27"/>
      <c r="D868" s="27"/>
      <c r="E868" s="27"/>
      <c r="F868" s="27"/>
      <c r="G868" s="27"/>
      <c r="H868" s="27"/>
      <c r="I868" s="27"/>
    </row>
    <row r="869">
      <c r="C869" s="27"/>
      <c r="D869" s="27"/>
      <c r="E869" s="27"/>
      <c r="F869" s="27"/>
      <c r="G869" s="27"/>
      <c r="H869" s="27"/>
      <c r="I869" s="27"/>
    </row>
    <row r="870">
      <c r="C870" s="27"/>
      <c r="D870" s="27"/>
      <c r="E870" s="27"/>
      <c r="F870" s="27"/>
      <c r="G870" s="27"/>
      <c r="H870" s="27"/>
      <c r="I870" s="27"/>
    </row>
    <row r="871">
      <c r="C871" s="27"/>
      <c r="D871" s="27"/>
      <c r="E871" s="27"/>
      <c r="F871" s="27"/>
      <c r="G871" s="27"/>
      <c r="H871" s="27"/>
      <c r="I871" s="27"/>
    </row>
    <row r="872">
      <c r="C872" s="27"/>
      <c r="D872" s="27"/>
      <c r="E872" s="27"/>
      <c r="F872" s="27"/>
      <c r="G872" s="27"/>
      <c r="H872" s="27"/>
      <c r="I872" s="27"/>
    </row>
    <row r="873">
      <c r="C873" s="27"/>
      <c r="D873" s="27"/>
      <c r="E873" s="27"/>
      <c r="F873" s="27"/>
      <c r="G873" s="27"/>
      <c r="H873" s="27"/>
      <c r="I873" s="27"/>
    </row>
    <row r="874">
      <c r="C874" s="27"/>
      <c r="D874" s="27"/>
      <c r="E874" s="27"/>
      <c r="F874" s="27"/>
      <c r="G874" s="27"/>
      <c r="H874" s="27"/>
      <c r="I874" s="27"/>
    </row>
    <row r="875">
      <c r="C875" s="27"/>
      <c r="D875" s="27"/>
      <c r="E875" s="27"/>
      <c r="F875" s="27"/>
      <c r="G875" s="27"/>
      <c r="H875" s="27"/>
      <c r="I875" s="27"/>
    </row>
    <row r="876">
      <c r="C876" s="27"/>
      <c r="D876" s="27"/>
      <c r="E876" s="27"/>
      <c r="F876" s="27"/>
      <c r="G876" s="27"/>
      <c r="H876" s="27"/>
      <c r="I876" s="27"/>
    </row>
    <row r="877">
      <c r="C877" s="27"/>
      <c r="D877" s="27"/>
      <c r="E877" s="27"/>
      <c r="F877" s="27"/>
      <c r="G877" s="27"/>
      <c r="H877" s="27"/>
      <c r="I877" s="27"/>
    </row>
    <row r="878">
      <c r="C878" s="27"/>
      <c r="D878" s="27"/>
      <c r="E878" s="27"/>
      <c r="F878" s="27"/>
      <c r="G878" s="27"/>
      <c r="H878" s="27"/>
      <c r="I878" s="27"/>
    </row>
    <row r="879">
      <c r="C879" s="27"/>
      <c r="D879" s="27"/>
      <c r="E879" s="27"/>
      <c r="F879" s="27"/>
      <c r="G879" s="27"/>
      <c r="H879" s="27"/>
      <c r="I879" s="27"/>
    </row>
    <row r="880">
      <c r="C880" s="27"/>
      <c r="D880" s="27"/>
      <c r="E880" s="27"/>
      <c r="F880" s="27"/>
      <c r="G880" s="27"/>
      <c r="H880" s="27"/>
      <c r="I880" s="27"/>
    </row>
    <row r="881">
      <c r="C881" s="27"/>
      <c r="D881" s="27"/>
      <c r="E881" s="27"/>
      <c r="F881" s="27"/>
      <c r="G881" s="27"/>
      <c r="H881" s="27"/>
      <c r="I881" s="27"/>
    </row>
    <row r="882">
      <c r="C882" s="27"/>
      <c r="D882" s="27"/>
      <c r="E882" s="27"/>
      <c r="F882" s="27"/>
      <c r="G882" s="27"/>
      <c r="H882" s="27"/>
      <c r="I882" s="27"/>
    </row>
    <row r="883">
      <c r="C883" s="27"/>
      <c r="D883" s="27"/>
      <c r="E883" s="27"/>
      <c r="F883" s="27"/>
      <c r="G883" s="27"/>
      <c r="H883" s="27"/>
      <c r="I883" s="27"/>
    </row>
    <row r="884">
      <c r="C884" s="27"/>
      <c r="D884" s="27"/>
      <c r="E884" s="27"/>
      <c r="F884" s="27"/>
      <c r="G884" s="27"/>
      <c r="H884" s="27"/>
      <c r="I884" s="27"/>
    </row>
    <row r="885">
      <c r="C885" s="27"/>
      <c r="D885" s="27"/>
      <c r="E885" s="27"/>
      <c r="F885" s="27"/>
      <c r="G885" s="27"/>
      <c r="H885" s="27"/>
      <c r="I885" s="27"/>
    </row>
    <row r="886">
      <c r="C886" s="27"/>
      <c r="D886" s="27"/>
      <c r="E886" s="27"/>
      <c r="F886" s="27"/>
      <c r="G886" s="27"/>
      <c r="H886" s="27"/>
      <c r="I886" s="27"/>
    </row>
    <row r="887">
      <c r="C887" s="27"/>
      <c r="D887" s="27"/>
      <c r="E887" s="27"/>
      <c r="F887" s="27"/>
      <c r="G887" s="27"/>
      <c r="H887" s="27"/>
      <c r="I887" s="27"/>
    </row>
    <row r="888">
      <c r="C888" s="27"/>
      <c r="D888" s="27"/>
      <c r="E888" s="27"/>
      <c r="F888" s="27"/>
      <c r="G888" s="27"/>
      <c r="H888" s="27"/>
      <c r="I888" s="27"/>
    </row>
    <row r="889">
      <c r="C889" s="27"/>
      <c r="D889" s="27"/>
      <c r="E889" s="27"/>
      <c r="F889" s="27"/>
      <c r="G889" s="27"/>
      <c r="H889" s="27"/>
      <c r="I889" s="27"/>
    </row>
    <row r="890">
      <c r="C890" s="27"/>
      <c r="D890" s="27"/>
      <c r="E890" s="27"/>
      <c r="F890" s="27"/>
      <c r="G890" s="27"/>
      <c r="H890" s="27"/>
      <c r="I890" s="27"/>
    </row>
    <row r="891">
      <c r="C891" s="27"/>
      <c r="D891" s="27"/>
      <c r="E891" s="27"/>
      <c r="F891" s="27"/>
      <c r="G891" s="27"/>
      <c r="H891" s="27"/>
      <c r="I891" s="27"/>
    </row>
    <row r="892">
      <c r="C892" s="27"/>
      <c r="D892" s="27"/>
      <c r="E892" s="27"/>
      <c r="F892" s="27"/>
      <c r="G892" s="27"/>
      <c r="H892" s="27"/>
      <c r="I892" s="27"/>
    </row>
    <row r="893">
      <c r="C893" s="27"/>
      <c r="D893" s="27"/>
      <c r="E893" s="27"/>
      <c r="F893" s="27"/>
      <c r="G893" s="27"/>
      <c r="H893" s="27"/>
      <c r="I893" s="27"/>
    </row>
    <row r="894">
      <c r="C894" s="27"/>
      <c r="D894" s="27"/>
      <c r="E894" s="27"/>
      <c r="F894" s="27"/>
      <c r="G894" s="27"/>
      <c r="H894" s="27"/>
      <c r="I894" s="27"/>
    </row>
    <row r="895">
      <c r="C895" s="27"/>
      <c r="D895" s="27"/>
      <c r="E895" s="27"/>
      <c r="F895" s="27"/>
      <c r="G895" s="27"/>
      <c r="H895" s="27"/>
      <c r="I895" s="27"/>
    </row>
    <row r="896">
      <c r="C896" s="27"/>
      <c r="D896" s="27"/>
      <c r="E896" s="27"/>
      <c r="F896" s="27"/>
      <c r="G896" s="27"/>
      <c r="H896" s="27"/>
      <c r="I896" s="27"/>
    </row>
    <row r="897">
      <c r="C897" s="27"/>
      <c r="D897" s="27"/>
      <c r="E897" s="27"/>
      <c r="F897" s="27"/>
      <c r="G897" s="27"/>
      <c r="H897" s="27"/>
      <c r="I897" s="27"/>
    </row>
    <row r="898">
      <c r="C898" s="27"/>
      <c r="D898" s="27"/>
      <c r="E898" s="27"/>
      <c r="F898" s="27"/>
      <c r="G898" s="27"/>
      <c r="H898" s="27"/>
      <c r="I898" s="27"/>
    </row>
    <row r="899">
      <c r="C899" s="27"/>
      <c r="D899" s="27"/>
      <c r="E899" s="27"/>
      <c r="F899" s="27"/>
      <c r="G899" s="27"/>
      <c r="H899" s="27"/>
      <c r="I899" s="27"/>
    </row>
    <row r="900">
      <c r="C900" s="27"/>
      <c r="D900" s="27"/>
      <c r="E900" s="27"/>
      <c r="F900" s="27"/>
      <c r="G900" s="27"/>
      <c r="H900" s="27"/>
      <c r="I900" s="27"/>
    </row>
    <row r="901">
      <c r="C901" s="27"/>
      <c r="D901" s="27"/>
      <c r="E901" s="27"/>
      <c r="F901" s="27"/>
      <c r="G901" s="27"/>
      <c r="H901" s="27"/>
      <c r="I901" s="27"/>
    </row>
    <row r="902">
      <c r="C902" s="27"/>
      <c r="D902" s="27"/>
      <c r="E902" s="27"/>
      <c r="F902" s="27"/>
      <c r="G902" s="27"/>
      <c r="H902" s="27"/>
      <c r="I902" s="27"/>
    </row>
    <row r="903">
      <c r="C903" s="27"/>
      <c r="D903" s="27"/>
      <c r="E903" s="27"/>
      <c r="F903" s="27"/>
      <c r="G903" s="27"/>
      <c r="H903" s="27"/>
      <c r="I903" s="27"/>
    </row>
    <row r="904">
      <c r="C904" s="27"/>
      <c r="D904" s="27"/>
      <c r="E904" s="27"/>
      <c r="F904" s="27"/>
      <c r="G904" s="27"/>
      <c r="H904" s="27"/>
      <c r="I904" s="27"/>
    </row>
    <row r="905">
      <c r="C905" s="27"/>
      <c r="D905" s="27"/>
      <c r="E905" s="27"/>
      <c r="F905" s="27"/>
      <c r="G905" s="27"/>
      <c r="H905" s="27"/>
      <c r="I905" s="27"/>
    </row>
    <row r="906">
      <c r="C906" s="27"/>
      <c r="D906" s="27"/>
      <c r="E906" s="27"/>
      <c r="F906" s="27"/>
      <c r="G906" s="27"/>
      <c r="H906" s="27"/>
      <c r="I906" s="27"/>
    </row>
    <row r="907">
      <c r="C907" s="27"/>
      <c r="D907" s="27"/>
      <c r="E907" s="27"/>
      <c r="F907" s="27"/>
      <c r="G907" s="27"/>
      <c r="H907" s="27"/>
      <c r="I907" s="27"/>
    </row>
    <row r="908">
      <c r="C908" s="27"/>
      <c r="D908" s="27"/>
      <c r="E908" s="27"/>
      <c r="F908" s="27"/>
      <c r="G908" s="27"/>
      <c r="H908" s="27"/>
      <c r="I908" s="27"/>
    </row>
    <row r="909">
      <c r="C909" s="27"/>
      <c r="D909" s="27"/>
      <c r="E909" s="27"/>
      <c r="F909" s="27"/>
      <c r="G909" s="27"/>
      <c r="H909" s="27"/>
      <c r="I909" s="27"/>
    </row>
    <row r="910">
      <c r="C910" s="27"/>
      <c r="D910" s="27"/>
      <c r="E910" s="27"/>
      <c r="F910" s="27"/>
      <c r="G910" s="27"/>
      <c r="H910" s="27"/>
      <c r="I910" s="27"/>
    </row>
    <row r="911">
      <c r="C911" s="27"/>
      <c r="D911" s="27"/>
      <c r="E911" s="27"/>
      <c r="F911" s="27"/>
      <c r="G911" s="27"/>
      <c r="H911" s="27"/>
      <c r="I911" s="27"/>
    </row>
    <row r="912">
      <c r="C912" s="27"/>
      <c r="D912" s="27"/>
      <c r="E912" s="27"/>
      <c r="F912" s="27"/>
      <c r="G912" s="27"/>
      <c r="H912" s="27"/>
      <c r="I912" s="27"/>
    </row>
    <row r="913">
      <c r="C913" s="27"/>
      <c r="D913" s="27"/>
      <c r="E913" s="27"/>
      <c r="F913" s="27"/>
      <c r="G913" s="27"/>
      <c r="H913" s="27"/>
      <c r="I913" s="27"/>
    </row>
    <row r="914">
      <c r="C914" s="27"/>
      <c r="D914" s="27"/>
      <c r="E914" s="27"/>
      <c r="F914" s="27"/>
      <c r="G914" s="27"/>
      <c r="H914" s="27"/>
      <c r="I914" s="27"/>
    </row>
    <row r="915">
      <c r="C915" s="27"/>
      <c r="D915" s="27"/>
      <c r="E915" s="27"/>
      <c r="F915" s="27"/>
      <c r="G915" s="27"/>
      <c r="H915" s="27"/>
      <c r="I915" s="27"/>
    </row>
    <row r="916">
      <c r="C916" s="27"/>
      <c r="D916" s="27"/>
      <c r="E916" s="27"/>
      <c r="F916" s="27"/>
      <c r="G916" s="27"/>
      <c r="H916" s="27"/>
      <c r="I916" s="27"/>
    </row>
    <row r="917">
      <c r="C917" s="27"/>
      <c r="D917" s="27"/>
      <c r="E917" s="27"/>
      <c r="F917" s="27"/>
      <c r="G917" s="27"/>
      <c r="H917" s="27"/>
      <c r="I917" s="27"/>
    </row>
    <row r="918">
      <c r="C918" s="27"/>
      <c r="D918" s="27"/>
      <c r="E918" s="27"/>
      <c r="F918" s="27"/>
      <c r="G918" s="27"/>
      <c r="H918" s="27"/>
      <c r="I918" s="27"/>
    </row>
    <row r="919">
      <c r="C919" s="27"/>
      <c r="D919" s="27"/>
      <c r="E919" s="27"/>
      <c r="F919" s="27"/>
      <c r="G919" s="27"/>
      <c r="H919" s="27"/>
      <c r="I919" s="27"/>
    </row>
    <row r="920">
      <c r="C920" s="27"/>
      <c r="D920" s="27"/>
      <c r="E920" s="27"/>
      <c r="F920" s="27"/>
      <c r="G920" s="27"/>
      <c r="H920" s="27"/>
      <c r="I920" s="27"/>
    </row>
    <row r="921">
      <c r="C921" s="27"/>
      <c r="D921" s="27"/>
      <c r="E921" s="27"/>
      <c r="F921" s="27"/>
      <c r="G921" s="27"/>
      <c r="H921" s="27"/>
      <c r="I921" s="27"/>
    </row>
    <row r="922">
      <c r="C922" s="27"/>
      <c r="D922" s="27"/>
      <c r="E922" s="27"/>
      <c r="F922" s="27"/>
      <c r="G922" s="27"/>
      <c r="H922" s="27"/>
      <c r="I922" s="27"/>
    </row>
    <row r="923">
      <c r="C923" s="27"/>
      <c r="D923" s="27"/>
      <c r="E923" s="27"/>
      <c r="F923" s="27"/>
      <c r="G923" s="27"/>
      <c r="H923" s="27"/>
      <c r="I923" s="27"/>
    </row>
    <row r="924">
      <c r="C924" s="27"/>
      <c r="D924" s="27"/>
      <c r="E924" s="27"/>
      <c r="F924" s="27"/>
      <c r="G924" s="27"/>
      <c r="H924" s="27"/>
      <c r="I924" s="27"/>
    </row>
    <row r="925">
      <c r="C925" s="27"/>
      <c r="D925" s="27"/>
      <c r="E925" s="27"/>
      <c r="F925" s="27"/>
      <c r="G925" s="27"/>
      <c r="H925" s="27"/>
      <c r="I925" s="27"/>
    </row>
    <row r="926">
      <c r="C926" s="27"/>
      <c r="D926" s="27"/>
      <c r="E926" s="27"/>
      <c r="F926" s="27"/>
      <c r="G926" s="27"/>
      <c r="H926" s="27"/>
      <c r="I926" s="27"/>
    </row>
    <row r="927">
      <c r="C927" s="27"/>
      <c r="D927" s="27"/>
      <c r="E927" s="27"/>
      <c r="F927" s="27"/>
      <c r="G927" s="27"/>
      <c r="H927" s="27"/>
      <c r="I927" s="27"/>
    </row>
    <row r="928">
      <c r="C928" s="27"/>
      <c r="D928" s="27"/>
      <c r="E928" s="27"/>
      <c r="F928" s="27"/>
      <c r="G928" s="27"/>
      <c r="H928" s="27"/>
      <c r="I928" s="27"/>
    </row>
    <row r="929">
      <c r="C929" s="27"/>
      <c r="D929" s="27"/>
      <c r="E929" s="27"/>
      <c r="F929" s="27"/>
      <c r="G929" s="27"/>
      <c r="H929" s="27"/>
      <c r="I929" s="27"/>
    </row>
    <row r="930">
      <c r="C930" s="27"/>
      <c r="D930" s="27"/>
      <c r="E930" s="27"/>
      <c r="F930" s="27"/>
      <c r="G930" s="27"/>
      <c r="H930" s="27"/>
      <c r="I930" s="27"/>
    </row>
    <row r="931">
      <c r="C931" s="27"/>
      <c r="D931" s="27"/>
      <c r="E931" s="27"/>
      <c r="F931" s="27"/>
      <c r="G931" s="27"/>
      <c r="H931" s="27"/>
      <c r="I931" s="27"/>
    </row>
    <row r="932">
      <c r="C932" s="27"/>
      <c r="D932" s="27"/>
      <c r="E932" s="27"/>
      <c r="F932" s="27"/>
      <c r="G932" s="27"/>
      <c r="H932" s="27"/>
      <c r="I932" s="27"/>
    </row>
    <row r="933">
      <c r="C933" s="27"/>
      <c r="D933" s="27"/>
      <c r="E933" s="27"/>
      <c r="F933" s="27"/>
      <c r="G933" s="27"/>
      <c r="H933" s="27"/>
      <c r="I933" s="27"/>
    </row>
    <row r="934">
      <c r="C934" s="27"/>
      <c r="D934" s="27"/>
      <c r="E934" s="27"/>
      <c r="F934" s="27"/>
      <c r="G934" s="27"/>
      <c r="H934" s="27"/>
      <c r="I934" s="27"/>
    </row>
    <row r="935">
      <c r="C935" s="27"/>
      <c r="D935" s="27"/>
      <c r="E935" s="27"/>
      <c r="F935" s="27"/>
      <c r="G935" s="27"/>
      <c r="H935" s="27"/>
      <c r="I935" s="27"/>
    </row>
    <row r="936">
      <c r="C936" s="27"/>
      <c r="D936" s="27"/>
      <c r="E936" s="27"/>
      <c r="F936" s="27"/>
      <c r="G936" s="27"/>
      <c r="H936" s="27"/>
      <c r="I936" s="27"/>
    </row>
    <row r="937">
      <c r="C937" s="27"/>
      <c r="D937" s="27"/>
      <c r="E937" s="27"/>
      <c r="F937" s="27"/>
      <c r="G937" s="27"/>
      <c r="H937" s="27"/>
      <c r="I937" s="27"/>
    </row>
    <row r="938">
      <c r="C938" s="27"/>
      <c r="D938" s="27"/>
      <c r="E938" s="27"/>
      <c r="F938" s="27"/>
      <c r="G938" s="27"/>
      <c r="H938" s="27"/>
      <c r="I938" s="27"/>
    </row>
    <row r="939">
      <c r="C939" s="27"/>
      <c r="D939" s="27"/>
      <c r="E939" s="27"/>
      <c r="F939" s="27"/>
      <c r="G939" s="27"/>
      <c r="H939" s="27"/>
      <c r="I939" s="27"/>
    </row>
    <row r="940">
      <c r="C940" s="27"/>
      <c r="D940" s="27"/>
      <c r="E940" s="27"/>
      <c r="F940" s="27"/>
      <c r="G940" s="27"/>
      <c r="H940" s="27"/>
      <c r="I940" s="27"/>
    </row>
    <row r="941">
      <c r="C941" s="27"/>
      <c r="D941" s="27"/>
      <c r="E941" s="27"/>
      <c r="F941" s="27"/>
      <c r="G941" s="27"/>
      <c r="H941" s="27"/>
      <c r="I941" s="27"/>
    </row>
    <row r="942">
      <c r="C942" s="27"/>
      <c r="D942" s="27"/>
      <c r="E942" s="27"/>
      <c r="F942" s="27"/>
      <c r="G942" s="27"/>
      <c r="H942" s="27"/>
      <c r="I942" s="27"/>
    </row>
    <row r="943">
      <c r="C943" s="27"/>
      <c r="D943" s="27"/>
      <c r="E943" s="27"/>
      <c r="F943" s="27"/>
      <c r="G943" s="27"/>
      <c r="H943" s="27"/>
      <c r="I943" s="27"/>
    </row>
    <row r="944">
      <c r="C944" s="27"/>
      <c r="D944" s="27"/>
      <c r="E944" s="27"/>
      <c r="F944" s="27"/>
      <c r="G944" s="27"/>
      <c r="H944" s="27"/>
      <c r="I944" s="27"/>
    </row>
    <row r="945">
      <c r="C945" s="27"/>
      <c r="D945" s="27"/>
      <c r="E945" s="27"/>
      <c r="F945" s="27"/>
      <c r="G945" s="27"/>
      <c r="H945" s="27"/>
      <c r="I945" s="27"/>
    </row>
    <row r="946">
      <c r="C946" s="27"/>
      <c r="D946" s="27"/>
      <c r="E946" s="27"/>
      <c r="F946" s="27"/>
      <c r="G946" s="27"/>
      <c r="H946" s="27"/>
      <c r="I946" s="27"/>
    </row>
    <row r="947">
      <c r="C947" s="27"/>
      <c r="D947" s="27"/>
      <c r="E947" s="27"/>
      <c r="F947" s="27"/>
      <c r="G947" s="27"/>
      <c r="H947" s="27"/>
      <c r="I947" s="27"/>
    </row>
    <row r="948">
      <c r="C948" s="27"/>
      <c r="D948" s="27"/>
      <c r="E948" s="27"/>
      <c r="F948" s="27"/>
      <c r="G948" s="27"/>
      <c r="H948" s="27"/>
      <c r="I948" s="27"/>
    </row>
    <row r="949">
      <c r="C949" s="27"/>
      <c r="D949" s="27"/>
      <c r="E949" s="27"/>
      <c r="F949" s="27"/>
      <c r="G949" s="27"/>
      <c r="H949" s="27"/>
      <c r="I949" s="27"/>
    </row>
    <row r="950">
      <c r="C950" s="27"/>
      <c r="D950" s="27"/>
      <c r="E950" s="27"/>
      <c r="F950" s="27"/>
      <c r="G950" s="27"/>
      <c r="H950" s="27"/>
      <c r="I950" s="27"/>
    </row>
    <row r="951">
      <c r="C951" s="27"/>
      <c r="D951" s="27"/>
      <c r="E951" s="27"/>
      <c r="F951" s="27"/>
      <c r="G951" s="27"/>
      <c r="H951" s="27"/>
      <c r="I951" s="27"/>
    </row>
    <row r="952">
      <c r="C952" s="27"/>
      <c r="D952" s="27"/>
      <c r="E952" s="27"/>
      <c r="F952" s="27"/>
      <c r="G952" s="27"/>
      <c r="H952" s="27"/>
      <c r="I952" s="27"/>
    </row>
    <row r="953">
      <c r="C953" s="27"/>
      <c r="D953" s="27"/>
      <c r="E953" s="27"/>
      <c r="F953" s="27"/>
      <c r="G953" s="27"/>
      <c r="H953" s="27"/>
      <c r="I953" s="27"/>
    </row>
    <row r="954">
      <c r="C954" s="27"/>
      <c r="D954" s="27"/>
      <c r="E954" s="27"/>
      <c r="F954" s="27"/>
      <c r="G954" s="27"/>
      <c r="H954" s="27"/>
      <c r="I954" s="27"/>
    </row>
    <row r="955">
      <c r="C955" s="27"/>
      <c r="D955" s="27"/>
      <c r="E955" s="27"/>
      <c r="F955" s="27"/>
      <c r="G955" s="27"/>
      <c r="H955" s="27"/>
      <c r="I955" s="27"/>
    </row>
    <row r="956">
      <c r="C956" s="27"/>
      <c r="D956" s="27"/>
      <c r="E956" s="27"/>
      <c r="F956" s="27"/>
      <c r="G956" s="27"/>
      <c r="H956" s="27"/>
      <c r="I956" s="27"/>
    </row>
    <row r="957">
      <c r="C957" s="27"/>
      <c r="D957" s="27"/>
      <c r="E957" s="27"/>
      <c r="F957" s="27"/>
      <c r="G957" s="27"/>
      <c r="H957" s="27"/>
      <c r="I957" s="27"/>
    </row>
    <row r="958">
      <c r="C958" s="27"/>
      <c r="D958" s="27"/>
      <c r="E958" s="27"/>
      <c r="F958" s="27"/>
      <c r="G958" s="27"/>
      <c r="H958" s="27"/>
      <c r="I958" s="27"/>
    </row>
    <row r="959">
      <c r="C959" s="27"/>
      <c r="D959" s="27"/>
      <c r="E959" s="27"/>
      <c r="F959" s="27"/>
      <c r="G959" s="27"/>
      <c r="H959" s="27"/>
      <c r="I959" s="27"/>
    </row>
    <row r="960">
      <c r="C960" s="27"/>
      <c r="D960" s="27"/>
      <c r="E960" s="27"/>
      <c r="F960" s="27"/>
      <c r="G960" s="27"/>
      <c r="H960" s="27"/>
      <c r="I960" s="27"/>
    </row>
    <row r="961">
      <c r="C961" s="27"/>
      <c r="D961" s="27"/>
      <c r="E961" s="27"/>
      <c r="F961" s="27"/>
      <c r="G961" s="27"/>
      <c r="H961" s="27"/>
      <c r="I961" s="27"/>
    </row>
    <row r="962">
      <c r="C962" s="27"/>
      <c r="D962" s="27"/>
      <c r="E962" s="27"/>
      <c r="F962" s="27"/>
      <c r="G962" s="27"/>
      <c r="H962" s="27"/>
      <c r="I962" s="27"/>
    </row>
    <row r="963">
      <c r="C963" s="27"/>
      <c r="D963" s="27"/>
      <c r="E963" s="27"/>
      <c r="F963" s="27"/>
      <c r="G963" s="27"/>
      <c r="H963" s="27"/>
      <c r="I963" s="27"/>
    </row>
    <row r="964">
      <c r="C964" s="27"/>
      <c r="D964" s="27"/>
      <c r="E964" s="27"/>
      <c r="F964" s="27"/>
      <c r="G964" s="27"/>
      <c r="H964" s="27"/>
      <c r="I964" s="27"/>
    </row>
    <row r="965">
      <c r="C965" s="27"/>
      <c r="D965" s="27"/>
      <c r="E965" s="27"/>
      <c r="F965" s="27"/>
      <c r="G965" s="27"/>
      <c r="H965" s="27"/>
      <c r="I965" s="27"/>
    </row>
    <row r="966">
      <c r="C966" s="27"/>
      <c r="D966" s="27"/>
      <c r="E966" s="27"/>
      <c r="F966" s="27"/>
      <c r="G966" s="27"/>
      <c r="H966" s="27"/>
      <c r="I966" s="27"/>
    </row>
    <row r="967">
      <c r="C967" s="27"/>
      <c r="D967" s="27"/>
      <c r="E967" s="27"/>
      <c r="F967" s="27"/>
      <c r="G967" s="27"/>
      <c r="H967" s="27"/>
      <c r="I967" s="27"/>
    </row>
    <row r="968">
      <c r="C968" s="27"/>
      <c r="D968" s="27"/>
      <c r="E968" s="27"/>
      <c r="F968" s="27"/>
      <c r="G968" s="27"/>
      <c r="H968" s="27"/>
      <c r="I968" s="27"/>
    </row>
    <row r="969">
      <c r="C969" s="27"/>
      <c r="D969" s="27"/>
      <c r="E969" s="27"/>
      <c r="F969" s="27"/>
      <c r="G969" s="27"/>
      <c r="H969" s="27"/>
      <c r="I969" s="27"/>
    </row>
    <row r="970">
      <c r="C970" s="27"/>
      <c r="D970" s="27"/>
      <c r="E970" s="27"/>
      <c r="F970" s="27"/>
      <c r="G970" s="27"/>
      <c r="H970" s="27"/>
      <c r="I970" s="27"/>
    </row>
    <row r="971">
      <c r="C971" s="27"/>
      <c r="D971" s="27"/>
      <c r="E971" s="27"/>
      <c r="F971" s="27"/>
      <c r="G971" s="27"/>
      <c r="H971" s="27"/>
      <c r="I971" s="27"/>
    </row>
    <row r="972">
      <c r="C972" s="27"/>
      <c r="D972" s="27"/>
      <c r="E972" s="27"/>
      <c r="F972" s="27"/>
      <c r="G972" s="27"/>
      <c r="H972" s="27"/>
      <c r="I972" s="27"/>
    </row>
    <row r="973">
      <c r="C973" s="27"/>
      <c r="D973" s="27"/>
      <c r="E973" s="27"/>
      <c r="F973" s="27"/>
      <c r="G973" s="27"/>
      <c r="H973" s="27"/>
      <c r="I973" s="27"/>
    </row>
    <row r="974">
      <c r="C974" s="27"/>
      <c r="D974" s="27"/>
      <c r="E974" s="27"/>
      <c r="F974" s="27"/>
      <c r="G974" s="27"/>
      <c r="H974" s="27"/>
      <c r="I974" s="27"/>
    </row>
    <row r="975">
      <c r="C975" s="27"/>
      <c r="D975" s="27"/>
      <c r="E975" s="27"/>
      <c r="F975" s="27"/>
      <c r="G975" s="27"/>
      <c r="H975" s="27"/>
      <c r="I975" s="27"/>
    </row>
    <row r="976">
      <c r="C976" s="27"/>
      <c r="D976" s="27"/>
      <c r="E976" s="27"/>
      <c r="F976" s="27"/>
      <c r="G976" s="27"/>
      <c r="H976" s="27"/>
      <c r="I976" s="27"/>
    </row>
    <row r="977">
      <c r="C977" s="27"/>
      <c r="D977" s="27"/>
      <c r="E977" s="27"/>
      <c r="F977" s="27"/>
      <c r="G977" s="27"/>
      <c r="H977" s="27"/>
      <c r="I977" s="27"/>
    </row>
    <row r="978">
      <c r="C978" s="27"/>
      <c r="D978" s="27"/>
      <c r="E978" s="27"/>
      <c r="F978" s="27"/>
      <c r="G978" s="27"/>
      <c r="H978" s="27"/>
      <c r="I978" s="27"/>
    </row>
    <row r="979">
      <c r="C979" s="27"/>
      <c r="D979" s="27"/>
      <c r="E979" s="27"/>
      <c r="F979" s="27"/>
      <c r="G979" s="27"/>
      <c r="H979" s="27"/>
      <c r="I979" s="27"/>
    </row>
    <row r="980">
      <c r="C980" s="27"/>
      <c r="D980" s="27"/>
      <c r="E980" s="27"/>
      <c r="F980" s="27"/>
      <c r="G980" s="27"/>
      <c r="H980" s="27"/>
      <c r="I980" s="27"/>
    </row>
    <row r="981">
      <c r="C981" s="27"/>
      <c r="D981" s="27"/>
      <c r="E981" s="27"/>
      <c r="F981" s="27"/>
      <c r="G981" s="27"/>
      <c r="H981" s="27"/>
      <c r="I981" s="27"/>
    </row>
    <row r="982">
      <c r="C982" s="27"/>
      <c r="D982" s="27"/>
      <c r="E982" s="27"/>
      <c r="F982" s="27"/>
      <c r="G982" s="27"/>
      <c r="H982" s="27"/>
      <c r="I982" s="27"/>
    </row>
    <row r="983">
      <c r="C983" s="27"/>
      <c r="D983" s="27"/>
      <c r="E983" s="27"/>
      <c r="F983" s="27"/>
      <c r="G983" s="27"/>
      <c r="H983" s="27"/>
      <c r="I983" s="27"/>
    </row>
    <row r="984">
      <c r="C984" s="27"/>
      <c r="D984" s="27"/>
      <c r="E984" s="27"/>
      <c r="F984" s="27"/>
      <c r="G984" s="27"/>
      <c r="H984" s="27"/>
      <c r="I984" s="27"/>
    </row>
    <row r="985">
      <c r="C985" s="27"/>
      <c r="D985" s="27"/>
      <c r="E985" s="27"/>
      <c r="F985" s="27"/>
      <c r="G985" s="27"/>
      <c r="H985" s="27"/>
      <c r="I985" s="27"/>
    </row>
    <row r="986">
      <c r="C986" s="27"/>
      <c r="D986" s="27"/>
      <c r="E986" s="27"/>
      <c r="F986" s="27"/>
      <c r="G986" s="27"/>
      <c r="H986" s="27"/>
      <c r="I986" s="27"/>
    </row>
    <row r="987">
      <c r="C987" s="27"/>
      <c r="D987" s="27"/>
      <c r="E987" s="27"/>
      <c r="F987" s="27"/>
      <c r="G987" s="27"/>
      <c r="H987" s="27"/>
      <c r="I987" s="27"/>
    </row>
    <row r="988">
      <c r="C988" s="27"/>
      <c r="D988" s="27"/>
      <c r="E988" s="27"/>
      <c r="F988" s="27"/>
      <c r="G988" s="27"/>
      <c r="H988" s="27"/>
      <c r="I988" s="27"/>
    </row>
    <row r="989">
      <c r="C989" s="27"/>
      <c r="D989" s="27"/>
      <c r="E989" s="27"/>
      <c r="F989" s="27"/>
      <c r="G989" s="27"/>
      <c r="H989" s="27"/>
      <c r="I989" s="27"/>
    </row>
    <row r="990">
      <c r="C990" s="27"/>
      <c r="D990" s="27"/>
      <c r="E990" s="27"/>
      <c r="F990" s="27"/>
      <c r="G990" s="27"/>
      <c r="H990" s="27"/>
      <c r="I990" s="27"/>
    </row>
    <row r="991">
      <c r="C991" s="27"/>
      <c r="D991" s="27"/>
      <c r="E991" s="27"/>
      <c r="F991" s="27"/>
      <c r="G991" s="27"/>
      <c r="H991" s="27"/>
      <c r="I991" s="27"/>
    </row>
    <row r="992">
      <c r="C992" s="27"/>
      <c r="D992" s="27"/>
      <c r="E992" s="27"/>
      <c r="F992" s="27"/>
      <c r="G992" s="27"/>
      <c r="H992" s="27"/>
      <c r="I992" s="27"/>
    </row>
    <row r="993">
      <c r="C993" s="27"/>
      <c r="D993" s="27"/>
      <c r="E993" s="27"/>
      <c r="F993" s="27"/>
      <c r="G993" s="27"/>
      <c r="H993" s="27"/>
      <c r="I993" s="27"/>
    </row>
    <row r="994">
      <c r="C994" s="27"/>
      <c r="D994" s="27"/>
      <c r="E994" s="27"/>
      <c r="F994" s="27"/>
      <c r="G994" s="27"/>
      <c r="H994" s="27"/>
      <c r="I994" s="27"/>
    </row>
    <row r="995">
      <c r="C995" s="27"/>
      <c r="D995" s="27"/>
      <c r="E995" s="27"/>
      <c r="F995" s="27"/>
      <c r="G995" s="27"/>
      <c r="H995" s="27"/>
      <c r="I995" s="27"/>
    </row>
    <row r="996">
      <c r="C996" s="27"/>
      <c r="D996" s="27"/>
      <c r="E996" s="27"/>
      <c r="F996" s="27"/>
      <c r="G996" s="27"/>
      <c r="H996" s="27"/>
      <c r="I996" s="27"/>
    </row>
    <row r="997">
      <c r="C997" s="27"/>
      <c r="D997" s="27"/>
      <c r="E997" s="27"/>
      <c r="F997" s="27"/>
      <c r="G997" s="27"/>
      <c r="H997" s="27"/>
      <c r="I997" s="27"/>
    </row>
    <row r="998">
      <c r="C998" s="27"/>
      <c r="D998" s="27"/>
      <c r="E998" s="27"/>
      <c r="F998" s="27"/>
      <c r="G998" s="27"/>
      <c r="H998" s="27"/>
      <c r="I998" s="27"/>
    </row>
    <row r="999">
      <c r="C999" s="27"/>
      <c r="D999" s="27"/>
      <c r="E999" s="27"/>
      <c r="F999" s="27"/>
      <c r="G999" s="27"/>
      <c r="H999" s="27"/>
      <c r="I999" s="27"/>
    </row>
    <row r="1000">
      <c r="C1000" s="27"/>
      <c r="D1000" s="27"/>
      <c r="E1000" s="27"/>
      <c r="F1000" s="27"/>
      <c r="G1000" s="27"/>
      <c r="H1000" s="27"/>
      <c r="I1000" s="27"/>
    </row>
    <row r="1001">
      <c r="C1001" s="27"/>
      <c r="D1001" s="27"/>
      <c r="E1001" s="27"/>
      <c r="F1001" s="27"/>
      <c r="G1001" s="27"/>
      <c r="H1001" s="27"/>
      <c r="I1001" s="27"/>
    </row>
    <row r="1002">
      <c r="C1002" s="27"/>
      <c r="D1002" s="27"/>
      <c r="E1002" s="27"/>
      <c r="F1002" s="27"/>
      <c r="G1002" s="27"/>
      <c r="H1002" s="27"/>
      <c r="I1002" s="27"/>
    </row>
  </sheetData>
  <conditionalFormatting sqref="D53:F53">
    <cfRule type="cellIs" dxfId="0" priority="1" operator="lessThan">
      <formula>0</formula>
    </cfRule>
  </conditionalFormatting>
  <drawing r:id="rId2"/>
  <legacyDrawing r:id="rId3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20.38"/>
    <col customWidth="1" min="3" max="3" width="9.38"/>
    <col customWidth="1" min="4" max="4" width="13.13"/>
    <col customWidth="1" min="5" max="5" width="20.63"/>
    <col customWidth="1" min="6" max="6" width="17.63"/>
    <col customWidth="1" min="7" max="7" width="14.63"/>
    <col customWidth="1" min="8" max="9" width="9.75"/>
    <col customWidth="1" min="10" max="10" width="23.38"/>
    <col customWidth="1" min="11" max="11" width="11.25"/>
    <col customWidth="1" min="12" max="12" width="9.25"/>
    <col customWidth="1" min="13" max="14" width="9.5"/>
    <col customWidth="1" min="17" max="17" width="9.88"/>
    <col customWidth="1" min="18" max="18" width="8.13"/>
  </cols>
  <sheetData>
    <row r="1">
      <c r="B1" s="416" t="s">
        <v>296</v>
      </c>
      <c r="C1" s="27"/>
      <c r="D1" s="107" t="s">
        <v>387</v>
      </c>
      <c r="E1" s="107" t="s">
        <v>388</v>
      </c>
      <c r="F1" s="107"/>
      <c r="G1" s="107"/>
      <c r="H1" s="107"/>
      <c r="I1" s="107"/>
      <c r="J1" s="417" t="s">
        <v>325</v>
      </c>
      <c r="K1" s="107"/>
    </row>
    <row r="2">
      <c r="B2" s="18" t="s">
        <v>240</v>
      </c>
      <c r="C2" s="107"/>
      <c r="D2" s="27"/>
      <c r="E2" s="107"/>
      <c r="F2" s="26"/>
      <c r="G2" s="26"/>
      <c r="H2" s="26"/>
      <c r="I2" s="26"/>
      <c r="J2" s="422" t="s">
        <v>119</v>
      </c>
      <c r="K2" s="302" t="s">
        <v>120</v>
      </c>
    </row>
    <row r="3">
      <c r="B3" s="18" t="s">
        <v>241</v>
      </c>
      <c r="C3" s="107">
        <v>70.7</v>
      </c>
      <c r="D3" s="107">
        <v>20.85</v>
      </c>
      <c r="E3" s="489">
        <v>79.8</v>
      </c>
      <c r="F3" s="107"/>
      <c r="G3" s="107"/>
      <c r="H3" s="107"/>
      <c r="I3" s="107"/>
      <c r="J3" s="423" t="s">
        <v>326</v>
      </c>
      <c r="K3" s="7" t="s">
        <v>327</v>
      </c>
    </row>
    <row r="4">
      <c r="B4" s="18" t="s">
        <v>397</v>
      </c>
      <c r="C4" s="107"/>
      <c r="D4" s="107">
        <v>3.82</v>
      </c>
      <c r="E4" s="489">
        <v>42.15</v>
      </c>
      <c r="F4" s="107">
        <v>11500.0</v>
      </c>
      <c r="J4" s="423" t="s">
        <v>328</v>
      </c>
      <c r="K4" s="7" t="s">
        <v>329</v>
      </c>
      <c r="L4" s="107"/>
    </row>
    <row r="5">
      <c r="B5" s="18" t="s">
        <v>285</v>
      </c>
      <c r="C5" s="107">
        <v>42.0</v>
      </c>
      <c r="D5" s="107">
        <v>16.37</v>
      </c>
      <c r="E5" s="489">
        <v>59.66</v>
      </c>
      <c r="F5" s="107">
        <v>7460.0</v>
      </c>
      <c r="J5" s="423"/>
      <c r="K5" s="7" t="s">
        <v>192</v>
      </c>
      <c r="L5" s="107"/>
    </row>
    <row r="6">
      <c r="B6" s="18" t="s">
        <v>324</v>
      </c>
      <c r="C6" s="107">
        <v>6.0</v>
      </c>
      <c r="D6" s="107"/>
      <c r="E6" s="107">
        <v>6.0</v>
      </c>
      <c r="L6" s="107"/>
    </row>
    <row r="7">
      <c r="C7" s="27">
        <f>SUM(C2:C6)</f>
        <v>118.7</v>
      </c>
      <c r="D7" s="490">
        <f>E7-E2</f>
        <v>187.61</v>
      </c>
      <c r="E7" s="490">
        <f>SUM(E2:E6)</f>
        <v>187.61</v>
      </c>
      <c r="L7" s="107"/>
    </row>
    <row r="8">
      <c r="C8" s="27"/>
      <c r="L8" s="107"/>
    </row>
    <row r="9">
      <c r="C9" s="27"/>
      <c r="L9" s="27"/>
    </row>
    <row r="10">
      <c r="C10" s="27"/>
      <c r="D10" s="18" t="s">
        <v>366</v>
      </c>
      <c r="F10" s="18"/>
      <c r="G10" s="18"/>
      <c r="H10" s="18"/>
      <c r="I10" s="18"/>
      <c r="L10" s="107"/>
    </row>
    <row r="11">
      <c r="B11" s="55" t="s">
        <v>122</v>
      </c>
      <c r="C11" s="56"/>
      <c r="D11" s="140" t="s">
        <v>134</v>
      </c>
      <c r="E11" s="57" t="s">
        <v>123</v>
      </c>
      <c r="F11" s="57" t="s">
        <v>124</v>
      </c>
      <c r="G11" s="57" t="s">
        <v>125</v>
      </c>
      <c r="L11" s="107"/>
      <c r="N11" s="18"/>
    </row>
    <row r="12">
      <c r="B12" s="59" t="s">
        <v>129</v>
      </c>
      <c r="C12" s="141"/>
      <c r="D12" s="113">
        <v>8661.72</v>
      </c>
      <c r="E12" s="113">
        <v>8588.97</v>
      </c>
      <c r="F12" s="113">
        <v>8692.89</v>
      </c>
      <c r="G12" s="113">
        <v>8692.89</v>
      </c>
      <c r="L12" s="107"/>
      <c r="N12" s="18"/>
    </row>
    <row r="13">
      <c r="B13" s="59" t="s">
        <v>136</v>
      </c>
      <c r="C13" s="141"/>
      <c r="D13" s="114">
        <f>2230+3698.95</f>
        <v>5928.95</v>
      </c>
      <c r="E13" s="114">
        <f>2230+3615.05</f>
        <v>5845.05</v>
      </c>
      <c r="F13" s="114">
        <f>2230+3691.95</f>
        <v>5921.95</v>
      </c>
      <c r="G13" s="114">
        <f>2230+3990.05</f>
        <v>6220.05</v>
      </c>
      <c r="H13" s="407"/>
      <c r="I13" s="407"/>
      <c r="J13" s="303"/>
      <c r="K13" s="107"/>
      <c r="L13" s="27"/>
      <c r="N13" s="18"/>
    </row>
    <row r="14">
      <c r="B14" s="59" t="s">
        <v>137</v>
      </c>
      <c r="C14" s="141"/>
      <c r="D14" s="114"/>
      <c r="E14" s="114"/>
      <c r="F14" s="114"/>
      <c r="G14" s="114"/>
      <c r="H14" s="363"/>
      <c r="I14" s="363"/>
      <c r="J14" s="363"/>
      <c r="K14" s="107"/>
      <c r="L14" s="107"/>
      <c r="N14" s="18"/>
    </row>
    <row r="15">
      <c r="B15" s="59" t="s">
        <v>138</v>
      </c>
      <c r="C15" s="141"/>
      <c r="D15" s="117">
        <f>(F4*1.0675)+(F5*1.0675)</f>
        <v>20239.8</v>
      </c>
      <c r="E15" s="117">
        <v>7666.0</v>
      </c>
      <c r="F15" s="117"/>
      <c r="G15" s="117">
        <v>10040.03</v>
      </c>
      <c r="H15" s="32"/>
      <c r="I15" s="32"/>
      <c r="J15" s="32"/>
      <c r="K15" s="107"/>
      <c r="L15" s="107"/>
      <c r="N15" s="18"/>
    </row>
    <row r="16">
      <c r="B16" s="142" t="s">
        <v>139</v>
      </c>
      <c r="C16" s="143"/>
      <c r="D16" s="144">
        <f t="shared" ref="D16:G16" si="1">SUM(D12:D14)</f>
        <v>14590.67</v>
      </c>
      <c r="E16" s="494">
        <f t="shared" si="1"/>
        <v>14434.02</v>
      </c>
      <c r="F16" s="494">
        <f t="shared" si="1"/>
        <v>14614.84</v>
      </c>
      <c r="G16" s="494">
        <f t="shared" si="1"/>
        <v>14912.94</v>
      </c>
      <c r="H16" s="257"/>
      <c r="I16" s="257"/>
      <c r="J16" s="257"/>
      <c r="M16" s="27"/>
      <c r="N16" s="18"/>
      <c r="P16" s="107"/>
    </row>
    <row r="17">
      <c r="C17" s="27"/>
      <c r="H17" s="32"/>
      <c r="I17" s="32"/>
      <c r="J17" s="32"/>
      <c r="K17" s="107"/>
      <c r="N17" s="18"/>
      <c r="P17" s="27"/>
    </row>
    <row r="18">
      <c r="B18" s="70" t="s">
        <v>140</v>
      </c>
      <c r="C18" s="71"/>
      <c r="D18" s="58" t="s">
        <v>134</v>
      </c>
      <c r="E18" s="58" t="s">
        <v>123</v>
      </c>
      <c r="F18" s="58" t="s">
        <v>124</v>
      </c>
      <c r="G18" s="58" t="s">
        <v>125</v>
      </c>
      <c r="H18" s="418"/>
      <c r="I18" s="418"/>
      <c r="J18" s="418" t="s">
        <v>331</v>
      </c>
      <c r="K18" s="192"/>
      <c r="N18" s="18"/>
    </row>
    <row r="19">
      <c r="B19" s="121" t="s">
        <v>141</v>
      </c>
      <c r="C19" s="496"/>
      <c r="D19" s="378">
        <v>450.0</v>
      </c>
      <c r="E19" s="378">
        <v>450.0</v>
      </c>
      <c r="F19" s="378">
        <v>450.0</v>
      </c>
      <c r="G19" s="123">
        <v>450.0</v>
      </c>
      <c r="H19" s="192"/>
      <c r="I19" s="192"/>
      <c r="J19" s="447"/>
      <c r="K19" s="448" t="s">
        <v>27</v>
      </c>
      <c r="L19" s="448" t="s">
        <v>274</v>
      </c>
      <c r="M19" s="448" t="s">
        <v>351</v>
      </c>
      <c r="N19" s="448" t="s">
        <v>333</v>
      </c>
      <c r="O19" s="449" t="s">
        <v>390</v>
      </c>
      <c r="P19" s="448" t="s">
        <v>48</v>
      </c>
      <c r="Q19" s="448" t="s">
        <v>383</v>
      </c>
      <c r="R19" s="448" t="s">
        <v>386</v>
      </c>
    </row>
    <row r="20">
      <c r="B20" s="121" t="s">
        <v>142</v>
      </c>
      <c r="C20" s="496"/>
      <c r="D20" s="378">
        <v>220.0</v>
      </c>
      <c r="E20" s="378">
        <v>220.0</v>
      </c>
      <c r="F20" s="378">
        <v>220.0</v>
      </c>
      <c r="G20" s="123">
        <v>220.0</v>
      </c>
      <c r="H20" s="409"/>
      <c r="I20" s="409"/>
      <c r="J20" s="121" t="s">
        <v>141</v>
      </c>
      <c r="L20" s="452"/>
      <c r="M20" s="123">
        <f t="shared" ref="M20:M23" si="2">F19</f>
        <v>450</v>
      </c>
      <c r="N20" s="452"/>
      <c r="O20" s="452"/>
      <c r="P20" s="452"/>
      <c r="Q20" s="452"/>
      <c r="R20" s="452"/>
    </row>
    <row r="21">
      <c r="B21" s="121" t="s">
        <v>143</v>
      </c>
      <c r="C21" s="496"/>
      <c r="D21" s="396">
        <v>147.9</v>
      </c>
      <c r="E21" s="396">
        <v>147.9</v>
      </c>
      <c r="F21" s="396">
        <v>147.9</v>
      </c>
      <c r="G21" s="397">
        <v>147.9</v>
      </c>
      <c r="H21" s="409"/>
      <c r="I21" s="409"/>
      <c r="J21" s="121" t="s">
        <v>142</v>
      </c>
      <c r="L21" s="452"/>
      <c r="M21" s="123">
        <f t="shared" si="2"/>
        <v>220</v>
      </c>
      <c r="N21" s="452"/>
      <c r="O21" s="452"/>
      <c r="P21" s="452"/>
      <c r="Q21" s="452"/>
      <c r="R21" s="452"/>
    </row>
    <row r="22">
      <c r="B22" s="121" t="s">
        <v>144</v>
      </c>
      <c r="C22" s="496"/>
      <c r="D22" s="378">
        <v>100.0</v>
      </c>
      <c r="E22" s="378">
        <v>100.0</v>
      </c>
      <c r="F22" s="378">
        <f t="shared" ref="F22:G22" si="3">E22</f>
        <v>100</v>
      </c>
      <c r="G22" s="123">
        <f t="shared" si="3"/>
        <v>100</v>
      </c>
      <c r="H22" s="409"/>
      <c r="I22" s="409"/>
      <c r="J22" s="121" t="s">
        <v>143</v>
      </c>
      <c r="L22" s="452"/>
      <c r="M22" s="123">
        <f t="shared" si="2"/>
        <v>147.9</v>
      </c>
      <c r="N22" s="452"/>
      <c r="O22" s="452"/>
      <c r="P22" s="452"/>
      <c r="Q22" s="452"/>
      <c r="R22" s="452"/>
    </row>
    <row r="23">
      <c r="B23" s="121" t="s">
        <v>145</v>
      </c>
      <c r="C23" s="496"/>
      <c r="D23" s="378">
        <v>3004.8</v>
      </c>
      <c r="E23" s="378">
        <v>3004.8</v>
      </c>
      <c r="F23" s="378">
        <v>3004.8</v>
      </c>
      <c r="G23" s="123">
        <v>3004.8</v>
      </c>
      <c r="H23" s="409"/>
      <c r="I23" s="409"/>
      <c r="J23" s="121" t="s">
        <v>144</v>
      </c>
      <c r="L23" s="452"/>
      <c r="M23" s="123">
        <f t="shared" si="2"/>
        <v>100</v>
      </c>
      <c r="N23" s="452"/>
      <c r="O23" s="452"/>
      <c r="P23" s="452"/>
      <c r="Q23" s="452"/>
      <c r="R23" s="452"/>
    </row>
    <row r="24">
      <c r="B24" s="121" t="s">
        <v>146</v>
      </c>
      <c r="C24" s="497"/>
      <c r="D24" s="378"/>
      <c r="E24" s="378"/>
      <c r="F24" s="378"/>
      <c r="G24" s="123"/>
      <c r="H24" s="409"/>
      <c r="I24" s="409"/>
      <c r="J24" s="121" t="s">
        <v>145</v>
      </c>
      <c r="K24" s="123">
        <f t="shared" ref="K24:K25" si="4">F23</f>
        <v>3004.8</v>
      </c>
      <c r="L24" s="456"/>
      <c r="N24" s="452"/>
      <c r="O24" s="452"/>
      <c r="P24" s="452"/>
      <c r="Q24" s="452"/>
      <c r="R24" s="452"/>
    </row>
    <row r="25">
      <c r="B25" s="121" t="s">
        <v>180</v>
      </c>
      <c r="C25" s="496"/>
      <c r="D25" s="378">
        <v>400.0</v>
      </c>
      <c r="E25" s="378">
        <v>400.0</v>
      </c>
      <c r="F25" s="378">
        <v>400.0</v>
      </c>
      <c r="G25" s="123">
        <v>400.0</v>
      </c>
      <c r="H25" s="409"/>
      <c r="I25" s="409"/>
      <c r="J25" s="121" t="s">
        <v>146</v>
      </c>
      <c r="K25" s="123" t="str">
        <f t="shared" si="4"/>
        <v/>
      </c>
      <c r="L25" s="457"/>
      <c r="M25" s="452"/>
      <c r="N25" s="452"/>
      <c r="O25" s="452"/>
      <c r="P25" s="452"/>
      <c r="Q25" s="452"/>
      <c r="R25" s="452"/>
    </row>
    <row r="26">
      <c r="B26" s="121" t="s">
        <v>148</v>
      </c>
      <c r="C26" s="496"/>
      <c r="D26" s="378">
        <v>600.0</v>
      </c>
      <c r="E26" s="378">
        <v>600.0</v>
      </c>
      <c r="F26" s="378">
        <v>600.0</v>
      </c>
      <c r="G26" s="123">
        <v>600.0</v>
      </c>
      <c r="H26" s="409"/>
      <c r="I26" s="409"/>
      <c r="J26" s="121" t="s">
        <v>180</v>
      </c>
      <c r="L26" s="456"/>
      <c r="M26" s="452"/>
      <c r="N26" s="452"/>
      <c r="O26" s="452"/>
      <c r="P26" s="452"/>
      <c r="Q26" s="452"/>
      <c r="R26" s="378">
        <f>F25</f>
        <v>400</v>
      </c>
    </row>
    <row r="27">
      <c r="B27" s="121" t="s">
        <v>149</v>
      </c>
      <c r="C27" s="496"/>
      <c r="D27" s="378">
        <v>500.0</v>
      </c>
      <c r="E27" s="378">
        <v>500.0</v>
      </c>
      <c r="F27" s="378">
        <f t="shared" ref="F27:G27" si="5">E27</f>
        <v>500</v>
      </c>
      <c r="G27" s="123">
        <f t="shared" si="5"/>
        <v>500</v>
      </c>
      <c r="H27" s="409"/>
      <c r="I27" s="409"/>
      <c r="J27" s="121" t="s">
        <v>148</v>
      </c>
      <c r="L27" s="478"/>
      <c r="M27" s="123">
        <f t="shared" ref="M27:M28" si="6">F26</f>
        <v>600</v>
      </c>
      <c r="N27" s="452"/>
      <c r="O27" s="452"/>
      <c r="P27" s="452"/>
      <c r="Q27" s="452"/>
      <c r="R27" s="452"/>
    </row>
    <row r="28">
      <c r="B28" s="121" t="s">
        <v>181</v>
      </c>
      <c r="C28" s="496"/>
      <c r="D28" s="378">
        <v>150.0</v>
      </c>
      <c r="E28" s="378">
        <v>150.0</v>
      </c>
      <c r="F28" s="378">
        <v>110.0</v>
      </c>
      <c r="G28" s="123">
        <v>110.0</v>
      </c>
      <c r="H28" s="409"/>
      <c r="I28" s="409"/>
      <c r="J28" s="121" t="s">
        <v>149</v>
      </c>
      <c r="L28" s="456"/>
      <c r="M28" s="123">
        <f t="shared" si="6"/>
        <v>500</v>
      </c>
      <c r="N28" s="452"/>
      <c r="O28" s="452"/>
      <c r="P28" s="452"/>
      <c r="Q28" s="452"/>
      <c r="R28" s="452"/>
      <c r="T28" s="18">
        <v>103.92</v>
      </c>
    </row>
    <row r="29">
      <c r="B29" s="121" t="s">
        <v>150</v>
      </c>
      <c r="C29" s="496"/>
      <c r="D29" s="378">
        <v>400.0</v>
      </c>
      <c r="E29" s="378">
        <v>400.0</v>
      </c>
      <c r="F29" s="378">
        <f t="shared" ref="F29:G29" si="7">E29</f>
        <v>400</v>
      </c>
      <c r="G29" s="123">
        <f t="shared" si="7"/>
        <v>400</v>
      </c>
      <c r="H29" s="409"/>
      <c r="I29" s="409"/>
      <c r="J29" s="121" t="s">
        <v>181</v>
      </c>
      <c r="L29" s="478"/>
      <c r="M29" s="478"/>
      <c r="N29" s="378">
        <f>F28</f>
        <v>110</v>
      </c>
      <c r="O29" s="452"/>
      <c r="P29" s="452"/>
      <c r="Q29" s="452"/>
      <c r="R29" s="452"/>
      <c r="T29" s="12">
        <f>73.05+60.87</f>
        <v>133.92</v>
      </c>
    </row>
    <row r="30">
      <c r="B30" s="121" t="s">
        <v>182</v>
      </c>
      <c r="C30" s="496"/>
      <c r="D30" s="378">
        <v>80.0</v>
      </c>
      <c r="E30" s="378">
        <v>80.0</v>
      </c>
      <c r="F30" s="378">
        <v>100.0</v>
      </c>
      <c r="G30" s="123">
        <v>100.0</v>
      </c>
      <c r="H30" s="409"/>
      <c r="I30" s="409"/>
      <c r="J30" s="121" t="s">
        <v>150</v>
      </c>
      <c r="L30" s="378">
        <f>F29</f>
        <v>400</v>
      </c>
      <c r="M30" s="452"/>
      <c r="N30" s="500"/>
      <c r="O30" s="452"/>
      <c r="P30" s="452"/>
      <c r="Q30" s="452"/>
      <c r="R30" s="452"/>
      <c r="T30" s="12">
        <f>T29-T28</f>
        <v>30</v>
      </c>
    </row>
    <row r="31">
      <c r="B31" s="121" t="s">
        <v>392</v>
      </c>
      <c r="C31" s="496"/>
      <c r="D31" s="378">
        <v>1400.0</v>
      </c>
      <c r="E31" s="378">
        <v>1400.0</v>
      </c>
      <c r="F31" s="378">
        <v>1400.0</v>
      </c>
      <c r="G31" s="123">
        <v>1400.0</v>
      </c>
      <c r="H31" s="409"/>
      <c r="I31" s="409"/>
      <c r="J31" s="121" t="s">
        <v>182</v>
      </c>
      <c r="L31" s="456"/>
      <c r="M31" s="452"/>
      <c r="N31" s="500"/>
      <c r="O31" s="378">
        <f>F30</f>
        <v>100</v>
      </c>
      <c r="P31" s="452"/>
      <c r="Q31" s="452"/>
      <c r="R31" s="452"/>
    </row>
    <row r="32">
      <c r="B32" s="121" t="s">
        <v>152</v>
      </c>
      <c r="C32" s="496"/>
      <c r="D32" s="378"/>
      <c r="E32" s="378"/>
      <c r="F32" s="378"/>
      <c r="G32" s="123"/>
      <c r="H32" s="409"/>
      <c r="I32" s="409"/>
      <c r="J32" s="121" t="s">
        <v>392</v>
      </c>
      <c r="L32" s="460"/>
      <c r="M32" s="452"/>
      <c r="N32" s="500"/>
      <c r="O32" s="479"/>
      <c r="P32" s="378">
        <f>F31</f>
        <v>1400</v>
      </c>
      <c r="Q32" s="452"/>
      <c r="R32" s="452"/>
    </row>
    <row r="33">
      <c r="B33" s="121" t="s">
        <v>154</v>
      </c>
      <c r="C33" s="496"/>
      <c r="D33" s="378">
        <v>138.45</v>
      </c>
      <c r="E33" s="378">
        <v>168.45</v>
      </c>
      <c r="F33" s="378">
        <v>187.61</v>
      </c>
      <c r="G33" s="123">
        <v>200.0</v>
      </c>
      <c r="H33" s="409"/>
      <c r="I33" s="409"/>
      <c r="J33" s="121" t="s">
        <v>152</v>
      </c>
      <c r="K33" s="123" t="str">
        <f>F32</f>
        <v/>
      </c>
      <c r="L33" s="456"/>
      <c r="M33" s="452"/>
      <c r="N33" s="500"/>
      <c r="O33" s="481"/>
      <c r="P33" s="452"/>
      <c r="Q33" s="452"/>
      <c r="R33" s="452"/>
    </row>
    <row r="34">
      <c r="B34" s="121" t="s">
        <v>395</v>
      </c>
      <c r="C34" s="496"/>
      <c r="D34" s="378">
        <v>234.53</v>
      </c>
      <c r="E34" s="378">
        <v>234.53</v>
      </c>
      <c r="F34" s="378">
        <f t="shared" ref="F34:G34" si="8">E34</f>
        <v>234.53</v>
      </c>
      <c r="G34" s="123">
        <f t="shared" si="8"/>
        <v>234.53</v>
      </c>
      <c r="H34" s="409"/>
      <c r="I34" s="409"/>
      <c r="J34" s="121" t="s">
        <v>154</v>
      </c>
      <c r="L34" s="457"/>
      <c r="M34" s="452"/>
      <c r="N34" s="500"/>
      <c r="O34" s="378">
        <v>200.0</v>
      </c>
      <c r="P34" s="456"/>
      <c r="Q34" s="452"/>
      <c r="R34" s="452"/>
    </row>
    <row r="35">
      <c r="B35" s="121" t="s">
        <v>156</v>
      </c>
      <c r="C35" s="496"/>
      <c r="D35" s="378">
        <v>200.0</v>
      </c>
      <c r="E35" s="378">
        <v>100.0</v>
      </c>
      <c r="F35" s="378">
        <v>100.0</v>
      </c>
      <c r="G35" s="123"/>
      <c r="H35" s="409"/>
      <c r="I35" s="409"/>
      <c r="J35" s="121" t="s">
        <v>395</v>
      </c>
      <c r="L35" s="456"/>
      <c r="M35" s="452"/>
      <c r="N35" s="378">
        <f>F34</f>
        <v>234.53</v>
      </c>
      <c r="O35" s="481"/>
      <c r="P35" s="452"/>
      <c r="Q35" s="452"/>
      <c r="R35" s="452"/>
    </row>
    <row r="36">
      <c r="B36" s="121" t="s">
        <v>157</v>
      </c>
      <c r="C36" s="496"/>
      <c r="D36" s="378">
        <v>50.0</v>
      </c>
      <c r="E36" s="378">
        <f t="shared" ref="E36:G36" si="9">D36</f>
        <v>50</v>
      </c>
      <c r="F36" s="378">
        <f t="shared" si="9"/>
        <v>50</v>
      </c>
      <c r="G36" s="123">
        <f t="shared" si="9"/>
        <v>50</v>
      </c>
      <c r="H36" s="409"/>
      <c r="I36" s="409"/>
      <c r="J36" s="121" t="s">
        <v>156</v>
      </c>
      <c r="L36" s="458"/>
      <c r="M36" s="452"/>
      <c r="N36" s="500"/>
      <c r="O36" s="498"/>
      <c r="P36" s="452"/>
      <c r="Q36" s="452"/>
      <c r="R36" s="452"/>
      <c r="S36" s="18"/>
    </row>
    <row r="37">
      <c r="B37" s="121" t="s">
        <v>393</v>
      </c>
      <c r="C37" s="496"/>
      <c r="D37" s="378">
        <v>200.0</v>
      </c>
      <c r="E37" s="378">
        <f t="shared" ref="E37:G37" si="10">D37</f>
        <v>200</v>
      </c>
      <c r="F37" s="378">
        <f t="shared" si="10"/>
        <v>200</v>
      </c>
      <c r="G37" s="123">
        <f t="shared" si="10"/>
        <v>200</v>
      </c>
      <c r="H37" s="409"/>
      <c r="I37" s="409"/>
      <c r="J37" s="121" t="s">
        <v>157</v>
      </c>
      <c r="L37" s="456"/>
      <c r="M37" s="452"/>
      <c r="N37" s="500"/>
      <c r="O37" s="481"/>
      <c r="P37" s="452"/>
      <c r="Q37" s="378">
        <f>F36</f>
        <v>50</v>
      </c>
      <c r="R37" s="456"/>
      <c r="S37" s="18"/>
    </row>
    <row r="38">
      <c r="B38" s="121" t="s">
        <v>159</v>
      </c>
      <c r="C38" s="496"/>
      <c r="D38" s="378">
        <v>800.0</v>
      </c>
      <c r="E38" s="378">
        <v>800.0</v>
      </c>
      <c r="F38" s="378">
        <v>800.0</v>
      </c>
      <c r="G38" s="123">
        <v>800.0</v>
      </c>
      <c r="H38" s="409"/>
      <c r="I38" s="409"/>
      <c r="J38" s="121" t="s">
        <v>393</v>
      </c>
      <c r="L38" s="456"/>
      <c r="M38" s="452"/>
      <c r="N38" s="378">
        <f>F37</f>
        <v>200</v>
      </c>
      <c r="O38" s="452"/>
      <c r="P38" s="452"/>
      <c r="Q38" s="452"/>
      <c r="R38" s="452"/>
    </row>
    <row r="39">
      <c r="B39" s="121" t="s">
        <v>160</v>
      </c>
      <c r="C39" s="496"/>
      <c r="D39" s="378">
        <v>3000.0</v>
      </c>
      <c r="E39" s="378">
        <f t="shared" ref="E39:G39" si="11">D39</f>
        <v>3000</v>
      </c>
      <c r="F39" s="378">
        <f t="shared" si="11"/>
        <v>3000</v>
      </c>
      <c r="G39" s="123">
        <f t="shared" si="11"/>
        <v>3000</v>
      </c>
      <c r="H39" s="409"/>
      <c r="I39" s="409"/>
      <c r="J39" s="121" t="s">
        <v>159</v>
      </c>
      <c r="K39" s="123">
        <v>400.0</v>
      </c>
      <c r="L39" s="378">
        <v>400.0</v>
      </c>
      <c r="M39" s="452"/>
      <c r="N39" s="500"/>
      <c r="O39" s="452"/>
      <c r="P39" s="452"/>
      <c r="Q39" s="452"/>
      <c r="R39" s="452"/>
    </row>
    <row r="40">
      <c r="B40" s="121" t="s">
        <v>184</v>
      </c>
      <c r="C40" s="496"/>
      <c r="D40" s="378">
        <v>1000.0</v>
      </c>
      <c r="E40" s="378">
        <v>1000.0</v>
      </c>
      <c r="F40" s="378">
        <v>1000.0</v>
      </c>
      <c r="G40" s="123">
        <v>1000.0</v>
      </c>
      <c r="H40" s="409"/>
      <c r="I40" s="409"/>
      <c r="J40" s="121" t="s">
        <v>160</v>
      </c>
      <c r="K40" s="123">
        <v>1500.0</v>
      </c>
      <c r="L40" s="123">
        <v>1500.0</v>
      </c>
      <c r="M40" s="452"/>
      <c r="N40" s="501"/>
      <c r="O40" s="452"/>
      <c r="P40" s="452"/>
      <c r="Q40" s="452"/>
      <c r="R40" s="452"/>
    </row>
    <row r="41">
      <c r="B41" s="121" t="s">
        <v>3</v>
      </c>
      <c r="C41" s="496"/>
      <c r="D41" s="378">
        <v>500.0</v>
      </c>
      <c r="E41" s="378">
        <v>500.0</v>
      </c>
      <c r="F41" s="378">
        <v>500.0</v>
      </c>
      <c r="G41" s="123">
        <v>500.0</v>
      </c>
      <c r="H41" s="409"/>
      <c r="I41" s="409"/>
      <c r="J41" s="121" t="s">
        <v>184</v>
      </c>
      <c r="L41" s="456"/>
      <c r="N41" s="378">
        <f t="shared" ref="N41:N42" si="13">F40</f>
        <v>1000</v>
      </c>
      <c r="O41" s="452"/>
      <c r="P41" s="452"/>
      <c r="Q41" s="452"/>
      <c r="R41" s="452"/>
    </row>
    <row r="42">
      <c r="B42" s="152" t="s">
        <v>161</v>
      </c>
      <c r="C42" s="153"/>
      <c r="D42" s="154">
        <f t="shared" ref="D42:G42" si="12">SUM(D19:D41)*-1</f>
        <v>-13575.68</v>
      </c>
      <c r="E42" s="154">
        <f t="shared" si="12"/>
        <v>-13505.68</v>
      </c>
      <c r="F42" s="154">
        <f t="shared" si="12"/>
        <v>-13504.84</v>
      </c>
      <c r="G42" s="154">
        <f t="shared" si="12"/>
        <v>-13417.23</v>
      </c>
      <c r="H42" s="409"/>
      <c r="I42" s="409"/>
      <c r="J42" s="121" t="s">
        <v>3</v>
      </c>
      <c r="L42" s="452"/>
      <c r="M42" s="452"/>
      <c r="N42" s="378">
        <f t="shared" si="13"/>
        <v>500</v>
      </c>
      <c r="O42" s="452"/>
      <c r="P42" s="452"/>
      <c r="Q42" s="452"/>
      <c r="R42" s="452"/>
    </row>
    <row r="43">
      <c r="C43" s="27"/>
      <c r="H43" s="409"/>
      <c r="I43" s="409"/>
      <c r="J43" s="499"/>
      <c r="K43" s="456"/>
      <c r="L43" s="451"/>
      <c r="M43" s="451"/>
      <c r="N43" s="502"/>
      <c r="O43" s="451"/>
      <c r="P43" s="451"/>
      <c r="Q43" s="451"/>
      <c r="R43" s="451"/>
    </row>
    <row r="44">
      <c r="B44" s="156" t="s">
        <v>162</v>
      </c>
      <c r="C44" s="157"/>
      <c r="D44" s="158">
        <f t="shared" ref="D44:G44" si="14">D16+D42</f>
        <v>1014.99</v>
      </c>
      <c r="E44" s="469">
        <f t="shared" si="14"/>
        <v>928.34</v>
      </c>
      <c r="F44" s="469">
        <f t="shared" si="14"/>
        <v>1110</v>
      </c>
      <c r="G44" s="469">
        <f t="shared" si="14"/>
        <v>1495.71</v>
      </c>
      <c r="H44" s="18"/>
      <c r="I44" s="18"/>
      <c r="J44" s="18" t="s">
        <v>391</v>
      </c>
      <c r="K44" s="455"/>
      <c r="L44" s="457"/>
      <c r="M44" s="452"/>
      <c r="N44" s="503"/>
      <c r="O44" s="452"/>
      <c r="P44" s="451"/>
      <c r="Q44" s="452"/>
      <c r="R44" s="452"/>
    </row>
    <row r="45">
      <c r="B45" s="83"/>
      <c r="C45" s="159"/>
      <c r="D45" s="84"/>
      <c r="E45" s="84"/>
      <c r="F45" s="84"/>
      <c r="G45" s="84"/>
      <c r="H45" s="18"/>
      <c r="I45" s="18"/>
      <c r="J45" s="462" t="s">
        <v>382</v>
      </c>
      <c r="K45" s="462"/>
      <c r="L45" s="452"/>
      <c r="M45" s="452"/>
      <c r="N45" s="479">
        <f>G48+G56</f>
        <v>1495.71</v>
      </c>
      <c r="O45" s="452"/>
      <c r="P45" s="458"/>
      <c r="Q45" s="452"/>
      <c r="R45" s="452"/>
    </row>
    <row r="46">
      <c r="B46" s="85" t="s">
        <v>163</v>
      </c>
      <c r="C46" s="160"/>
      <c r="D46" s="161" t="s">
        <v>134</v>
      </c>
      <c r="E46" s="161" t="s">
        <v>134</v>
      </c>
      <c r="F46" s="161" t="s">
        <v>134</v>
      </c>
      <c r="G46" s="161" t="s">
        <v>134</v>
      </c>
      <c r="H46" s="107"/>
      <c r="I46" s="107"/>
      <c r="J46" s="463" t="s">
        <v>26</v>
      </c>
      <c r="K46" s="464">
        <f t="shared" ref="K46:R46" si="15">SUM(K20:K45)</f>
        <v>4904.8</v>
      </c>
      <c r="L46" s="465">
        <f t="shared" si="15"/>
        <v>2300</v>
      </c>
      <c r="M46" s="465">
        <f t="shared" si="15"/>
        <v>2017.9</v>
      </c>
      <c r="N46" s="465">
        <f t="shared" si="15"/>
        <v>3540.24</v>
      </c>
      <c r="O46" s="465">
        <f t="shared" si="15"/>
        <v>300</v>
      </c>
      <c r="P46" s="465">
        <f t="shared" si="15"/>
        <v>1400</v>
      </c>
      <c r="Q46" s="465">
        <f t="shared" si="15"/>
        <v>50</v>
      </c>
      <c r="R46" s="465">
        <f t="shared" si="15"/>
        <v>400</v>
      </c>
      <c r="S46" s="27">
        <f>SUM(K46:R46)</f>
        <v>14912.94</v>
      </c>
    </row>
    <row r="47">
      <c r="B47" s="162"/>
      <c r="C47" s="163"/>
      <c r="D47" s="165"/>
      <c r="E47" s="165"/>
      <c r="F47" s="165"/>
      <c r="G47" s="165"/>
      <c r="H47" s="107"/>
      <c r="I47" s="107"/>
      <c r="J47" s="107" t="s">
        <v>389</v>
      </c>
      <c r="K47" s="486">
        <f>G12-K46</f>
        <v>3788.09</v>
      </c>
      <c r="L47" s="472">
        <v>1690.05</v>
      </c>
      <c r="M47" s="287"/>
    </row>
    <row r="48">
      <c r="A48" s="298"/>
      <c r="B48" s="162" t="s">
        <v>58</v>
      </c>
      <c r="C48" s="163"/>
      <c r="D48" s="167">
        <v>724.25</v>
      </c>
      <c r="E48" s="167">
        <v>724.25</v>
      </c>
      <c r="F48" s="167">
        <v>724.25</v>
      </c>
      <c r="G48" s="167">
        <v>724.25</v>
      </c>
      <c r="H48" s="248"/>
      <c r="I48" s="248"/>
      <c r="J48" s="325" t="s">
        <v>353</v>
      </c>
      <c r="N48" s="393">
        <v>2034.49</v>
      </c>
      <c r="P48" s="18">
        <v>60.87</v>
      </c>
    </row>
    <row r="49">
      <c r="B49" s="162"/>
      <c r="C49" s="163"/>
      <c r="D49" s="166"/>
      <c r="E49" s="166"/>
      <c r="F49" s="166"/>
      <c r="G49" s="166"/>
      <c r="H49" s="107"/>
      <c r="I49" s="107"/>
      <c r="J49" s="107"/>
      <c r="N49" s="387"/>
      <c r="P49" s="387"/>
    </row>
    <row r="50">
      <c r="B50" s="168"/>
      <c r="C50" s="169"/>
      <c r="D50" s="170"/>
      <c r="E50" s="170"/>
      <c r="F50" s="170"/>
      <c r="G50" s="170"/>
      <c r="H50" s="107"/>
      <c r="I50" s="107"/>
      <c r="J50" s="107"/>
      <c r="N50" s="18">
        <v>1328.5</v>
      </c>
      <c r="P50" s="393">
        <v>-73.05</v>
      </c>
    </row>
    <row r="51">
      <c r="B51" s="152" t="s">
        <v>167</v>
      </c>
      <c r="C51" s="171"/>
      <c r="D51" s="172">
        <f t="shared" ref="D51:G51" si="16">SUM(D47:D50)*-1</f>
        <v>-724.25</v>
      </c>
      <c r="E51" s="154">
        <f t="shared" si="16"/>
        <v>-724.25</v>
      </c>
      <c r="F51" s="154">
        <f t="shared" si="16"/>
        <v>-724.25</v>
      </c>
      <c r="G51" s="154">
        <f t="shared" si="16"/>
        <v>-724.25</v>
      </c>
      <c r="H51" s="18"/>
      <c r="I51" s="18"/>
      <c r="P51" s="393">
        <f>M46+P48</f>
        <v>2078.77</v>
      </c>
    </row>
    <row r="52">
      <c r="B52" s="83"/>
      <c r="C52" s="159"/>
      <c r="D52" s="96"/>
      <c r="E52" s="96"/>
      <c r="F52" s="96"/>
      <c r="G52" s="96"/>
      <c r="H52" s="107"/>
      <c r="I52" s="107"/>
      <c r="J52" s="107"/>
    </row>
    <row r="53">
      <c r="B53" s="173" t="s">
        <v>168</v>
      </c>
      <c r="C53" s="174"/>
      <c r="D53" s="488">
        <f t="shared" ref="D53:G53" si="17">D44+D51</f>
        <v>290.74</v>
      </c>
      <c r="E53" s="488">
        <f t="shared" si="17"/>
        <v>204.09</v>
      </c>
      <c r="F53" s="488">
        <f t="shared" si="17"/>
        <v>385.75</v>
      </c>
      <c r="G53" s="488">
        <f t="shared" si="17"/>
        <v>771.46</v>
      </c>
      <c r="H53" s="107"/>
      <c r="I53" s="107"/>
      <c r="J53" s="107"/>
      <c r="K53" s="107"/>
      <c r="N53" s="393">
        <f>N50-N48</f>
        <v>-705.99</v>
      </c>
    </row>
    <row r="54">
      <c r="B54" s="83"/>
      <c r="C54" s="159"/>
      <c r="D54" s="96"/>
      <c r="E54" s="107"/>
      <c r="F54" s="107"/>
      <c r="G54" s="107"/>
      <c r="H54" s="107"/>
      <c r="I54" s="107"/>
      <c r="J54" s="107"/>
      <c r="K54" s="18"/>
    </row>
    <row r="55">
      <c r="B55" s="100" t="s">
        <v>169</v>
      </c>
      <c r="C55" s="176"/>
      <c r="D55" s="177" t="s">
        <v>134</v>
      </c>
      <c r="E55" s="57" t="s">
        <v>396</v>
      </c>
      <c r="F55" s="57" t="s">
        <v>396</v>
      </c>
      <c r="G55" s="57" t="s">
        <v>396</v>
      </c>
      <c r="H55" s="107"/>
      <c r="I55" s="107"/>
      <c r="J55" s="107"/>
      <c r="K55" s="18"/>
    </row>
    <row r="56">
      <c r="B56" s="152" t="s">
        <v>171</v>
      </c>
      <c r="C56" s="153"/>
      <c r="D56" s="171">
        <f t="shared" ref="D56:G56" si="18">+D53</f>
        <v>290.74</v>
      </c>
      <c r="E56" s="495">
        <f t="shared" si="18"/>
        <v>204.09</v>
      </c>
      <c r="F56" s="495">
        <f t="shared" si="18"/>
        <v>385.75</v>
      </c>
      <c r="G56" s="495">
        <f t="shared" si="18"/>
        <v>771.46</v>
      </c>
      <c r="H56" s="27"/>
      <c r="I56" s="27"/>
      <c r="J56" s="27"/>
    </row>
    <row r="57">
      <c r="C57" s="27"/>
      <c r="D57" s="27"/>
      <c r="E57" s="27"/>
      <c r="F57" s="27"/>
      <c r="G57" s="27"/>
      <c r="H57" s="27"/>
      <c r="I57" s="27"/>
      <c r="J57" s="27"/>
    </row>
    <row r="58">
      <c r="C58" s="27"/>
      <c r="D58" s="27"/>
      <c r="E58" s="27"/>
      <c r="F58" s="27"/>
      <c r="G58" s="27"/>
      <c r="H58" s="27"/>
      <c r="I58" s="27"/>
      <c r="J58" s="27"/>
    </row>
    <row r="59">
      <c r="C59" s="27"/>
      <c r="D59" s="27"/>
      <c r="E59" s="27"/>
      <c r="F59" s="27"/>
      <c r="G59" s="27"/>
      <c r="H59" s="27"/>
      <c r="I59" s="27"/>
      <c r="J59" s="27"/>
    </row>
    <row r="60">
      <c r="C60" s="27"/>
      <c r="D60" s="27"/>
      <c r="E60" s="27"/>
      <c r="F60" s="27"/>
      <c r="G60" s="27"/>
      <c r="H60" s="27"/>
      <c r="I60" s="27"/>
      <c r="J60" s="27"/>
    </row>
    <row r="61">
      <c r="C61" s="27"/>
      <c r="D61" s="27"/>
      <c r="E61" s="27"/>
      <c r="F61" s="27"/>
      <c r="G61" s="27"/>
      <c r="H61" s="27"/>
      <c r="I61" s="27"/>
      <c r="J61" s="27"/>
    </row>
    <row r="62">
      <c r="C62" s="27"/>
      <c r="D62" s="27"/>
      <c r="E62" s="27"/>
      <c r="F62" s="27"/>
      <c r="G62" s="27"/>
      <c r="H62" s="27"/>
      <c r="I62" s="27"/>
      <c r="J62" s="27"/>
    </row>
    <row r="63">
      <c r="C63" s="27"/>
      <c r="D63" s="27"/>
      <c r="E63" s="27"/>
      <c r="F63" s="27"/>
      <c r="G63" s="27"/>
      <c r="H63" s="27"/>
      <c r="I63" s="27"/>
      <c r="J63" s="27"/>
    </row>
    <row r="64">
      <c r="C64" s="27"/>
      <c r="D64" s="27"/>
      <c r="E64" s="27"/>
      <c r="F64" s="27"/>
      <c r="G64" s="27"/>
      <c r="H64" s="27"/>
      <c r="I64" s="27"/>
      <c r="J64" s="27"/>
    </row>
    <row r="65">
      <c r="C65" s="27"/>
      <c r="D65" s="27"/>
      <c r="E65" s="27"/>
      <c r="F65" s="27"/>
      <c r="G65" s="27"/>
      <c r="H65" s="27"/>
      <c r="I65" s="27"/>
      <c r="J65" s="27"/>
    </row>
    <row r="66">
      <c r="C66" s="27"/>
      <c r="D66" s="27"/>
      <c r="E66" s="27"/>
      <c r="F66" s="27"/>
      <c r="G66" s="27"/>
      <c r="H66" s="27"/>
      <c r="I66" s="27"/>
      <c r="J66" s="27"/>
    </row>
    <row r="67">
      <c r="C67" s="27"/>
      <c r="D67" s="27"/>
      <c r="E67" s="27"/>
      <c r="F67" s="27"/>
      <c r="G67" s="27"/>
      <c r="H67" s="27"/>
      <c r="I67" s="27"/>
      <c r="J67" s="27"/>
    </row>
    <row r="68">
      <c r="C68" s="27"/>
      <c r="D68" s="27"/>
      <c r="E68" s="27"/>
      <c r="F68" s="27"/>
      <c r="G68" s="27"/>
      <c r="H68" s="27"/>
      <c r="I68" s="27"/>
      <c r="J68" s="27"/>
    </row>
    <row r="69">
      <c r="C69" s="27"/>
      <c r="D69" s="27"/>
      <c r="E69" s="27"/>
      <c r="F69" s="27"/>
      <c r="G69" s="27"/>
      <c r="H69" s="27"/>
      <c r="I69" s="27"/>
      <c r="J69" s="27"/>
    </row>
    <row r="70">
      <c r="C70" s="27"/>
      <c r="D70" s="27"/>
      <c r="E70" s="27"/>
      <c r="F70" s="27"/>
      <c r="G70" s="27"/>
      <c r="H70" s="27"/>
      <c r="I70" s="27"/>
      <c r="J70" s="27"/>
    </row>
    <row r="71">
      <c r="C71" s="27"/>
      <c r="D71" s="27"/>
      <c r="E71" s="27"/>
      <c r="F71" s="27"/>
      <c r="G71" s="27"/>
      <c r="H71" s="27"/>
      <c r="I71" s="27"/>
      <c r="J71" s="27"/>
    </row>
    <row r="72">
      <c r="C72" s="27"/>
      <c r="D72" s="27"/>
      <c r="E72" s="27"/>
      <c r="F72" s="27"/>
      <c r="G72" s="27"/>
      <c r="H72" s="27"/>
      <c r="I72" s="27"/>
      <c r="J72" s="27"/>
    </row>
    <row r="73">
      <c r="C73" s="27"/>
      <c r="D73" s="27"/>
      <c r="E73" s="27"/>
      <c r="F73" s="27"/>
      <c r="G73" s="27"/>
      <c r="H73" s="27"/>
      <c r="I73" s="27"/>
      <c r="J73" s="27"/>
    </row>
    <row r="74">
      <c r="C74" s="27"/>
      <c r="D74" s="27"/>
      <c r="E74" s="27"/>
      <c r="F74" s="27"/>
      <c r="G74" s="27"/>
      <c r="H74" s="27"/>
      <c r="I74" s="27"/>
      <c r="J74" s="27"/>
    </row>
    <row r="75">
      <c r="C75" s="27"/>
      <c r="D75" s="27"/>
      <c r="E75" s="27"/>
      <c r="F75" s="27"/>
      <c r="G75" s="27"/>
      <c r="H75" s="27"/>
      <c r="I75" s="27"/>
      <c r="J75" s="27"/>
    </row>
    <row r="76">
      <c r="C76" s="27"/>
      <c r="D76" s="27"/>
      <c r="E76" s="27"/>
      <c r="F76" s="27"/>
      <c r="G76" s="27"/>
      <c r="H76" s="27"/>
      <c r="I76" s="27"/>
      <c r="J76" s="27"/>
    </row>
    <row r="77">
      <c r="C77" s="27"/>
      <c r="D77" s="27"/>
      <c r="E77" s="27"/>
      <c r="F77" s="27"/>
      <c r="G77" s="27"/>
      <c r="H77" s="27"/>
      <c r="I77" s="27"/>
      <c r="J77" s="27"/>
    </row>
    <row r="78">
      <c r="C78" s="27"/>
      <c r="D78" s="27"/>
      <c r="E78" s="27"/>
      <c r="F78" s="27"/>
      <c r="G78" s="27"/>
      <c r="H78" s="27"/>
      <c r="I78" s="27"/>
      <c r="J78" s="27"/>
    </row>
    <row r="79">
      <c r="C79" s="27"/>
      <c r="D79" s="27"/>
      <c r="E79" s="27"/>
      <c r="F79" s="27"/>
      <c r="G79" s="27"/>
      <c r="H79" s="27"/>
      <c r="I79" s="27"/>
      <c r="J79" s="27"/>
    </row>
    <row r="80">
      <c r="C80" s="27"/>
      <c r="D80" s="27"/>
      <c r="E80" s="27"/>
      <c r="F80" s="27"/>
      <c r="G80" s="27"/>
      <c r="H80" s="27"/>
      <c r="I80" s="27"/>
      <c r="J80" s="27"/>
    </row>
    <row r="81">
      <c r="C81" s="27"/>
      <c r="D81" s="27"/>
      <c r="E81" s="27"/>
      <c r="F81" s="27"/>
      <c r="G81" s="27"/>
      <c r="H81" s="27"/>
      <c r="I81" s="27"/>
      <c r="J81" s="27"/>
    </row>
    <row r="82">
      <c r="C82" s="27"/>
      <c r="D82" s="27"/>
      <c r="E82" s="27"/>
      <c r="F82" s="27"/>
      <c r="G82" s="27"/>
      <c r="H82" s="27"/>
      <c r="I82" s="27"/>
      <c r="J82" s="27"/>
    </row>
    <row r="83">
      <c r="C83" s="27"/>
      <c r="D83" s="27"/>
      <c r="E83" s="27"/>
      <c r="F83" s="27"/>
      <c r="G83" s="27"/>
      <c r="H83" s="27"/>
      <c r="I83" s="27"/>
      <c r="J83" s="27"/>
    </row>
    <row r="84">
      <c r="C84" s="27"/>
      <c r="D84" s="27"/>
      <c r="E84" s="27"/>
      <c r="F84" s="27"/>
      <c r="G84" s="27"/>
      <c r="H84" s="27"/>
      <c r="I84" s="27"/>
      <c r="J84" s="27"/>
    </row>
    <row r="85">
      <c r="C85" s="27"/>
      <c r="D85" s="27"/>
      <c r="E85" s="27"/>
      <c r="F85" s="27"/>
      <c r="G85" s="27"/>
      <c r="H85" s="27"/>
      <c r="I85" s="27"/>
      <c r="J85" s="27"/>
    </row>
    <row r="86">
      <c r="C86" s="27"/>
      <c r="D86" s="27"/>
      <c r="E86" s="27"/>
      <c r="F86" s="27"/>
      <c r="G86" s="27"/>
      <c r="H86" s="27"/>
      <c r="I86" s="27"/>
      <c r="J86" s="27"/>
    </row>
    <row r="87">
      <c r="C87" s="27"/>
      <c r="D87" s="27"/>
      <c r="E87" s="27"/>
      <c r="F87" s="27"/>
      <c r="G87" s="27"/>
      <c r="H87" s="27"/>
      <c r="I87" s="27"/>
      <c r="J87" s="27"/>
    </row>
    <row r="88">
      <c r="C88" s="27"/>
      <c r="D88" s="27"/>
      <c r="E88" s="27"/>
      <c r="F88" s="27"/>
      <c r="G88" s="27"/>
      <c r="H88" s="27"/>
      <c r="I88" s="27"/>
      <c r="J88" s="27"/>
    </row>
    <row r="89">
      <c r="C89" s="27"/>
      <c r="D89" s="27"/>
      <c r="E89" s="27"/>
      <c r="F89" s="27"/>
      <c r="G89" s="27"/>
      <c r="H89" s="27"/>
      <c r="I89" s="27"/>
      <c r="J89" s="27"/>
    </row>
    <row r="90">
      <c r="C90" s="27"/>
      <c r="D90" s="27"/>
      <c r="E90" s="27"/>
      <c r="F90" s="27"/>
      <c r="G90" s="27"/>
      <c r="H90" s="27"/>
      <c r="I90" s="27"/>
      <c r="J90" s="27"/>
    </row>
    <row r="91">
      <c r="C91" s="27"/>
      <c r="D91" s="27"/>
      <c r="E91" s="27"/>
      <c r="F91" s="27"/>
      <c r="G91" s="27"/>
      <c r="H91" s="27"/>
      <c r="I91" s="27"/>
      <c r="J91" s="27"/>
    </row>
    <row r="92">
      <c r="C92" s="27"/>
      <c r="D92" s="27"/>
      <c r="E92" s="27"/>
      <c r="F92" s="27"/>
      <c r="G92" s="27"/>
      <c r="H92" s="27"/>
      <c r="I92" s="27"/>
      <c r="J92" s="27"/>
    </row>
    <row r="93">
      <c r="C93" s="27"/>
      <c r="D93" s="27"/>
      <c r="E93" s="27"/>
      <c r="F93" s="27"/>
      <c r="G93" s="27"/>
      <c r="H93" s="27"/>
      <c r="I93" s="27"/>
      <c r="J93" s="27"/>
    </row>
    <row r="94">
      <c r="C94" s="27"/>
      <c r="D94" s="27"/>
      <c r="E94" s="27"/>
      <c r="F94" s="27"/>
      <c r="G94" s="27"/>
      <c r="H94" s="27"/>
      <c r="I94" s="27"/>
      <c r="J94" s="27"/>
    </row>
    <row r="95">
      <c r="C95" s="27"/>
      <c r="D95" s="27"/>
      <c r="E95" s="27"/>
      <c r="F95" s="27"/>
      <c r="G95" s="27"/>
      <c r="H95" s="27"/>
      <c r="I95" s="27"/>
      <c r="J95" s="27"/>
    </row>
    <row r="96">
      <c r="C96" s="27"/>
      <c r="D96" s="27"/>
      <c r="E96" s="27"/>
      <c r="F96" s="27"/>
      <c r="G96" s="27"/>
      <c r="H96" s="27"/>
      <c r="I96" s="27"/>
      <c r="J96" s="27"/>
    </row>
    <row r="97">
      <c r="C97" s="27"/>
      <c r="D97" s="27"/>
      <c r="E97" s="27"/>
      <c r="F97" s="27"/>
      <c r="G97" s="27"/>
      <c r="H97" s="27"/>
      <c r="I97" s="27"/>
      <c r="J97" s="27"/>
    </row>
    <row r="98">
      <c r="C98" s="27"/>
      <c r="D98" s="27"/>
      <c r="E98" s="27"/>
      <c r="F98" s="27"/>
      <c r="G98" s="27"/>
      <c r="H98" s="27"/>
      <c r="I98" s="27"/>
      <c r="J98" s="27"/>
    </row>
    <row r="99">
      <c r="C99" s="27"/>
      <c r="D99" s="27"/>
      <c r="E99" s="27"/>
      <c r="F99" s="27"/>
      <c r="G99" s="27"/>
      <c r="H99" s="27"/>
      <c r="I99" s="27"/>
      <c r="J99" s="27"/>
    </row>
    <row r="100">
      <c r="C100" s="27"/>
      <c r="D100" s="27"/>
      <c r="E100" s="27"/>
      <c r="F100" s="27"/>
      <c r="G100" s="27"/>
      <c r="H100" s="27"/>
      <c r="I100" s="27"/>
      <c r="J100" s="27"/>
    </row>
    <row r="101">
      <c r="C101" s="27"/>
      <c r="D101" s="27"/>
      <c r="E101" s="27"/>
      <c r="F101" s="27"/>
      <c r="G101" s="27"/>
      <c r="H101" s="27"/>
      <c r="I101" s="27"/>
      <c r="J101" s="27"/>
    </row>
    <row r="102">
      <c r="C102" s="27"/>
      <c r="D102" s="27"/>
      <c r="E102" s="27"/>
      <c r="F102" s="27"/>
      <c r="G102" s="27"/>
      <c r="H102" s="27"/>
      <c r="I102" s="27"/>
      <c r="J102" s="27"/>
    </row>
    <row r="103">
      <c r="C103" s="27"/>
      <c r="D103" s="27"/>
      <c r="E103" s="27"/>
      <c r="F103" s="27"/>
      <c r="G103" s="27"/>
      <c r="H103" s="27"/>
      <c r="I103" s="27"/>
      <c r="J103" s="27"/>
    </row>
    <row r="104">
      <c r="C104" s="27"/>
      <c r="D104" s="27"/>
      <c r="E104" s="27"/>
      <c r="F104" s="27"/>
      <c r="G104" s="27"/>
      <c r="H104" s="27"/>
      <c r="I104" s="27"/>
      <c r="J104" s="27"/>
    </row>
    <row r="105">
      <c r="C105" s="27"/>
      <c r="D105" s="27"/>
      <c r="E105" s="27"/>
      <c r="F105" s="27"/>
      <c r="G105" s="27"/>
      <c r="H105" s="27"/>
      <c r="I105" s="27"/>
      <c r="J105" s="27"/>
    </row>
    <row r="106">
      <c r="C106" s="27"/>
      <c r="D106" s="27"/>
      <c r="E106" s="27"/>
      <c r="F106" s="27"/>
      <c r="G106" s="27"/>
      <c r="H106" s="27"/>
      <c r="I106" s="27"/>
      <c r="J106" s="27"/>
    </row>
    <row r="107">
      <c r="C107" s="27"/>
      <c r="D107" s="27"/>
      <c r="E107" s="27"/>
      <c r="F107" s="27"/>
      <c r="G107" s="27"/>
      <c r="H107" s="27"/>
      <c r="I107" s="27"/>
      <c r="J107" s="27"/>
    </row>
    <row r="108">
      <c r="C108" s="27"/>
      <c r="D108" s="27"/>
      <c r="E108" s="27"/>
      <c r="F108" s="27"/>
      <c r="G108" s="27"/>
      <c r="H108" s="27"/>
      <c r="I108" s="27"/>
      <c r="J108" s="27"/>
    </row>
    <row r="109">
      <c r="C109" s="27"/>
      <c r="D109" s="27"/>
      <c r="E109" s="27"/>
      <c r="F109" s="27"/>
      <c r="G109" s="27"/>
      <c r="H109" s="27"/>
      <c r="I109" s="27"/>
      <c r="J109" s="27"/>
    </row>
    <row r="110">
      <c r="C110" s="27"/>
      <c r="D110" s="27"/>
      <c r="E110" s="27"/>
      <c r="F110" s="27"/>
      <c r="G110" s="27"/>
      <c r="H110" s="27"/>
      <c r="I110" s="27"/>
      <c r="J110" s="27"/>
    </row>
    <row r="111">
      <c r="C111" s="27"/>
      <c r="D111" s="27"/>
      <c r="E111" s="27"/>
      <c r="F111" s="27"/>
      <c r="G111" s="27"/>
      <c r="H111" s="27"/>
      <c r="I111" s="27"/>
      <c r="J111" s="27"/>
    </row>
    <row r="112">
      <c r="C112" s="27"/>
      <c r="D112" s="27"/>
      <c r="E112" s="27"/>
      <c r="F112" s="27"/>
      <c r="G112" s="27"/>
      <c r="H112" s="27"/>
      <c r="I112" s="27"/>
      <c r="J112" s="27"/>
    </row>
    <row r="113">
      <c r="C113" s="27"/>
      <c r="D113" s="27"/>
      <c r="E113" s="27"/>
      <c r="F113" s="27"/>
      <c r="G113" s="27"/>
      <c r="H113" s="27"/>
      <c r="I113" s="27"/>
      <c r="J113" s="27"/>
    </row>
    <row r="114">
      <c r="C114" s="27"/>
      <c r="D114" s="27"/>
      <c r="E114" s="27"/>
      <c r="F114" s="27"/>
      <c r="G114" s="27"/>
      <c r="H114" s="27"/>
      <c r="I114" s="27"/>
      <c r="J114" s="27"/>
    </row>
    <row r="115">
      <c r="C115" s="27"/>
      <c r="D115" s="27"/>
      <c r="E115" s="27"/>
      <c r="F115" s="27"/>
      <c r="G115" s="27"/>
      <c r="H115" s="27"/>
      <c r="I115" s="27"/>
      <c r="J115" s="27"/>
    </row>
    <row r="116">
      <c r="C116" s="27"/>
      <c r="D116" s="27"/>
      <c r="E116" s="27"/>
      <c r="F116" s="27"/>
      <c r="G116" s="27"/>
      <c r="H116" s="27"/>
      <c r="I116" s="27"/>
      <c r="J116" s="27"/>
    </row>
    <row r="117">
      <c r="C117" s="27"/>
      <c r="D117" s="27"/>
      <c r="E117" s="27"/>
      <c r="F117" s="27"/>
      <c r="G117" s="27"/>
      <c r="H117" s="27"/>
      <c r="I117" s="27"/>
      <c r="J117" s="27"/>
    </row>
    <row r="118">
      <c r="C118" s="27"/>
      <c r="D118" s="27"/>
      <c r="E118" s="27"/>
      <c r="F118" s="27"/>
      <c r="G118" s="27"/>
      <c r="H118" s="27"/>
      <c r="I118" s="27"/>
      <c r="J118" s="27"/>
    </row>
    <row r="119">
      <c r="C119" s="27"/>
      <c r="D119" s="27"/>
      <c r="E119" s="27"/>
      <c r="F119" s="27"/>
      <c r="G119" s="27"/>
      <c r="H119" s="27"/>
      <c r="I119" s="27"/>
      <c r="J119" s="27"/>
    </row>
    <row r="120">
      <c r="C120" s="27"/>
      <c r="D120" s="27"/>
      <c r="E120" s="27"/>
      <c r="F120" s="27"/>
      <c r="G120" s="27"/>
      <c r="H120" s="27"/>
      <c r="I120" s="27"/>
      <c r="J120" s="27"/>
    </row>
    <row r="121">
      <c r="C121" s="27"/>
      <c r="D121" s="27"/>
      <c r="E121" s="27"/>
      <c r="F121" s="27"/>
      <c r="G121" s="27"/>
      <c r="H121" s="27"/>
      <c r="I121" s="27"/>
      <c r="J121" s="27"/>
    </row>
    <row r="122">
      <c r="C122" s="27"/>
      <c r="D122" s="27"/>
      <c r="E122" s="27"/>
      <c r="F122" s="27"/>
      <c r="G122" s="27"/>
      <c r="H122" s="27"/>
      <c r="I122" s="27"/>
      <c r="J122" s="27"/>
    </row>
    <row r="123">
      <c r="C123" s="27"/>
      <c r="D123" s="27"/>
      <c r="E123" s="27"/>
      <c r="F123" s="27"/>
      <c r="G123" s="27"/>
      <c r="H123" s="27"/>
      <c r="I123" s="27"/>
      <c r="J123" s="27"/>
    </row>
    <row r="124">
      <c r="C124" s="27"/>
      <c r="D124" s="27"/>
      <c r="E124" s="27"/>
      <c r="F124" s="27"/>
      <c r="G124" s="27"/>
      <c r="H124" s="27"/>
      <c r="I124" s="27"/>
      <c r="J124" s="27"/>
    </row>
    <row r="125">
      <c r="C125" s="27"/>
      <c r="D125" s="27"/>
      <c r="E125" s="27"/>
      <c r="F125" s="27"/>
      <c r="G125" s="27"/>
      <c r="H125" s="27"/>
      <c r="I125" s="27"/>
      <c r="J125" s="27"/>
    </row>
    <row r="126">
      <c r="C126" s="27"/>
      <c r="D126" s="27"/>
      <c r="E126" s="27"/>
      <c r="F126" s="27"/>
      <c r="G126" s="27"/>
      <c r="H126" s="27"/>
      <c r="I126" s="27"/>
      <c r="J126" s="27"/>
    </row>
    <row r="127">
      <c r="C127" s="27"/>
      <c r="D127" s="27"/>
      <c r="E127" s="27"/>
      <c r="F127" s="27"/>
      <c r="G127" s="27"/>
      <c r="H127" s="27"/>
      <c r="I127" s="27"/>
      <c r="J127" s="27"/>
    </row>
    <row r="128">
      <c r="C128" s="27"/>
      <c r="D128" s="27"/>
      <c r="E128" s="27"/>
      <c r="F128" s="27"/>
      <c r="G128" s="27"/>
      <c r="H128" s="27"/>
      <c r="I128" s="27"/>
      <c r="J128" s="27"/>
    </row>
    <row r="129">
      <c r="C129" s="27"/>
      <c r="D129" s="27"/>
      <c r="E129" s="27"/>
      <c r="F129" s="27"/>
      <c r="G129" s="27"/>
      <c r="H129" s="27"/>
      <c r="I129" s="27"/>
      <c r="J129" s="27"/>
    </row>
    <row r="130">
      <c r="C130" s="27"/>
      <c r="D130" s="27"/>
      <c r="E130" s="27"/>
      <c r="F130" s="27"/>
      <c r="G130" s="27"/>
      <c r="H130" s="27"/>
      <c r="I130" s="27"/>
      <c r="J130" s="27"/>
    </row>
    <row r="131">
      <c r="C131" s="27"/>
      <c r="D131" s="27"/>
      <c r="E131" s="27"/>
      <c r="F131" s="27"/>
      <c r="G131" s="27"/>
      <c r="H131" s="27"/>
      <c r="I131" s="27"/>
      <c r="J131" s="27"/>
    </row>
    <row r="132">
      <c r="C132" s="27"/>
      <c r="D132" s="27"/>
      <c r="E132" s="27"/>
      <c r="F132" s="27"/>
      <c r="G132" s="27"/>
      <c r="H132" s="27"/>
      <c r="I132" s="27"/>
      <c r="J132" s="27"/>
    </row>
    <row r="133">
      <c r="C133" s="27"/>
      <c r="D133" s="27"/>
      <c r="E133" s="27"/>
      <c r="F133" s="27"/>
      <c r="G133" s="27"/>
      <c r="H133" s="27"/>
      <c r="I133" s="27"/>
      <c r="J133" s="27"/>
    </row>
    <row r="134">
      <c r="C134" s="27"/>
      <c r="D134" s="27"/>
      <c r="E134" s="27"/>
      <c r="F134" s="27"/>
      <c r="G134" s="27"/>
      <c r="H134" s="27"/>
      <c r="I134" s="27"/>
      <c r="J134" s="27"/>
    </row>
    <row r="135">
      <c r="C135" s="27"/>
      <c r="D135" s="27"/>
      <c r="E135" s="27"/>
      <c r="F135" s="27"/>
      <c r="G135" s="27"/>
      <c r="H135" s="27"/>
      <c r="I135" s="27"/>
      <c r="J135" s="27"/>
    </row>
    <row r="136">
      <c r="C136" s="27"/>
      <c r="D136" s="27"/>
      <c r="E136" s="27"/>
      <c r="F136" s="27"/>
      <c r="G136" s="27"/>
      <c r="H136" s="27"/>
      <c r="I136" s="27"/>
      <c r="J136" s="27"/>
    </row>
    <row r="137">
      <c r="C137" s="27"/>
      <c r="D137" s="27"/>
      <c r="E137" s="27"/>
      <c r="F137" s="27"/>
      <c r="G137" s="27"/>
      <c r="H137" s="27"/>
      <c r="I137" s="27"/>
      <c r="J137" s="27"/>
    </row>
    <row r="138">
      <c r="C138" s="27"/>
      <c r="D138" s="27"/>
      <c r="E138" s="27"/>
      <c r="F138" s="27"/>
      <c r="G138" s="27"/>
      <c r="H138" s="27"/>
      <c r="I138" s="27"/>
      <c r="J138" s="27"/>
    </row>
    <row r="139">
      <c r="C139" s="27"/>
      <c r="D139" s="27"/>
      <c r="E139" s="27"/>
      <c r="F139" s="27"/>
      <c r="G139" s="27"/>
      <c r="H139" s="27"/>
      <c r="I139" s="27"/>
      <c r="J139" s="27"/>
    </row>
    <row r="140">
      <c r="C140" s="27"/>
      <c r="D140" s="27"/>
      <c r="E140" s="27"/>
      <c r="F140" s="27"/>
      <c r="G140" s="27"/>
      <c r="H140" s="27"/>
      <c r="I140" s="27"/>
      <c r="J140" s="27"/>
    </row>
    <row r="141">
      <c r="C141" s="27"/>
      <c r="D141" s="27"/>
      <c r="E141" s="27"/>
      <c r="F141" s="27"/>
      <c r="G141" s="27"/>
      <c r="H141" s="27"/>
      <c r="I141" s="27"/>
      <c r="J141" s="27"/>
    </row>
    <row r="142">
      <c r="C142" s="27"/>
      <c r="D142" s="27"/>
      <c r="E142" s="27"/>
      <c r="F142" s="27"/>
      <c r="G142" s="27"/>
      <c r="H142" s="27"/>
      <c r="I142" s="27"/>
      <c r="J142" s="27"/>
    </row>
    <row r="143">
      <c r="C143" s="27"/>
      <c r="D143" s="27"/>
      <c r="E143" s="27"/>
      <c r="F143" s="27"/>
      <c r="G143" s="27"/>
      <c r="H143" s="27"/>
      <c r="I143" s="27"/>
      <c r="J143" s="27"/>
    </row>
    <row r="144">
      <c r="C144" s="27"/>
      <c r="D144" s="27"/>
      <c r="E144" s="27"/>
      <c r="F144" s="27"/>
      <c r="G144" s="27"/>
      <c r="H144" s="27"/>
      <c r="I144" s="27"/>
      <c r="J144" s="27"/>
    </row>
    <row r="145">
      <c r="C145" s="27"/>
      <c r="D145" s="27"/>
      <c r="E145" s="27"/>
      <c r="F145" s="27"/>
      <c r="G145" s="27"/>
      <c r="H145" s="27"/>
      <c r="I145" s="27"/>
      <c r="J145" s="27"/>
    </row>
    <row r="146">
      <c r="C146" s="27"/>
      <c r="D146" s="27"/>
      <c r="E146" s="27"/>
      <c r="F146" s="27"/>
      <c r="G146" s="27"/>
      <c r="H146" s="27"/>
      <c r="I146" s="27"/>
      <c r="J146" s="27"/>
    </row>
    <row r="147">
      <c r="C147" s="27"/>
      <c r="D147" s="27"/>
      <c r="E147" s="27"/>
      <c r="F147" s="27"/>
      <c r="G147" s="27"/>
      <c r="H147" s="27"/>
      <c r="I147" s="27"/>
      <c r="J147" s="27"/>
    </row>
    <row r="148">
      <c r="C148" s="27"/>
      <c r="D148" s="27"/>
      <c r="E148" s="27"/>
      <c r="F148" s="27"/>
      <c r="G148" s="27"/>
      <c r="H148" s="27"/>
      <c r="I148" s="27"/>
      <c r="J148" s="27"/>
    </row>
    <row r="149">
      <c r="C149" s="27"/>
      <c r="D149" s="27"/>
      <c r="E149" s="27"/>
      <c r="F149" s="27"/>
      <c r="G149" s="27"/>
      <c r="H149" s="27"/>
      <c r="I149" s="27"/>
      <c r="J149" s="27"/>
    </row>
    <row r="150">
      <c r="C150" s="27"/>
      <c r="D150" s="27"/>
      <c r="E150" s="27"/>
      <c r="F150" s="27"/>
      <c r="G150" s="27"/>
      <c r="H150" s="27"/>
      <c r="I150" s="27"/>
      <c r="J150" s="27"/>
    </row>
    <row r="151">
      <c r="C151" s="27"/>
      <c r="D151" s="27"/>
      <c r="E151" s="27"/>
      <c r="F151" s="27"/>
      <c r="G151" s="27"/>
      <c r="H151" s="27"/>
      <c r="I151" s="27"/>
      <c r="J151" s="27"/>
    </row>
    <row r="152">
      <c r="C152" s="27"/>
      <c r="D152" s="27"/>
      <c r="E152" s="27"/>
      <c r="F152" s="27"/>
      <c r="G152" s="27"/>
      <c r="H152" s="27"/>
      <c r="I152" s="27"/>
      <c r="J152" s="27"/>
    </row>
    <row r="153">
      <c r="C153" s="27"/>
      <c r="D153" s="27"/>
      <c r="E153" s="27"/>
      <c r="F153" s="27"/>
      <c r="G153" s="27"/>
      <c r="H153" s="27"/>
      <c r="I153" s="27"/>
      <c r="J153" s="27"/>
    </row>
    <row r="154">
      <c r="C154" s="27"/>
      <c r="D154" s="27"/>
      <c r="E154" s="27"/>
      <c r="F154" s="27"/>
      <c r="G154" s="27"/>
      <c r="H154" s="27"/>
      <c r="I154" s="27"/>
      <c r="J154" s="27"/>
    </row>
    <row r="155">
      <c r="C155" s="27"/>
      <c r="D155" s="27"/>
      <c r="E155" s="27"/>
      <c r="F155" s="27"/>
      <c r="G155" s="27"/>
      <c r="H155" s="27"/>
      <c r="I155" s="27"/>
      <c r="J155" s="27"/>
    </row>
    <row r="156">
      <c r="C156" s="27"/>
      <c r="D156" s="27"/>
      <c r="E156" s="27"/>
      <c r="F156" s="27"/>
      <c r="G156" s="27"/>
      <c r="H156" s="27"/>
      <c r="I156" s="27"/>
      <c r="J156" s="27"/>
    </row>
    <row r="157">
      <c r="C157" s="27"/>
      <c r="D157" s="27"/>
      <c r="E157" s="27"/>
      <c r="F157" s="27"/>
      <c r="G157" s="27"/>
      <c r="H157" s="27"/>
      <c r="I157" s="27"/>
      <c r="J157" s="27"/>
    </row>
    <row r="158">
      <c r="C158" s="27"/>
      <c r="D158" s="27"/>
      <c r="E158" s="27"/>
      <c r="F158" s="27"/>
      <c r="G158" s="27"/>
      <c r="H158" s="27"/>
      <c r="I158" s="27"/>
      <c r="J158" s="27"/>
    </row>
    <row r="159">
      <c r="C159" s="27"/>
      <c r="D159" s="27"/>
      <c r="E159" s="27"/>
      <c r="F159" s="27"/>
      <c r="G159" s="27"/>
      <c r="H159" s="27"/>
      <c r="I159" s="27"/>
      <c r="J159" s="27"/>
    </row>
    <row r="160">
      <c r="C160" s="27"/>
      <c r="D160" s="27"/>
      <c r="E160" s="27"/>
      <c r="F160" s="27"/>
      <c r="G160" s="27"/>
      <c r="H160" s="27"/>
      <c r="I160" s="27"/>
      <c r="J160" s="27"/>
    </row>
    <row r="161">
      <c r="C161" s="27"/>
      <c r="D161" s="27"/>
      <c r="E161" s="27"/>
      <c r="F161" s="27"/>
      <c r="G161" s="27"/>
      <c r="H161" s="27"/>
      <c r="I161" s="27"/>
      <c r="J161" s="27"/>
    </row>
    <row r="162">
      <c r="C162" s="27"/>
      <c r="D162" s="27"/>
      <c r="E162" s="27"/>
      <c r="F162" s="27"/>
      <c r="G162" s="27"/>
      <c r="H162" s="27"/>
      <c r="I162" s="27"/>
      <c r="J162" s="27"/>
    </row>
    <row r="163">
      <c r="C163" s="27"/>
      <c r="D163" s="27"/>
      <c r="E163" s="27"/>
      <c r="F163" s="27"/>
      <c r="G163" s="27"/>
      <c r="H163" s="27"/>
      <c r="I163" s="27"/>
      <c r="J163" s="27"/>
    </row>
    <row r="164">
      <c r="C164" s="27"/>
      <c r="D164" s="27"/>
      <c r="E164" s="27"/>
      <c r="F164" s="27"/>
      <c r="G164" s="27"/>
      <c r="H164" s="27"/>
      <c r="I164" s="27"/>
      <c r="J164" s="27"/>
    </row>
    <row r="165">
      <c r="C165" s="27"/>
      <c r="D165" s="27"/>
      <c r="E165" s="27"/>
      <c r="F165" s="27"/>
      <c r="G165" s="27"/>
      <c r="H165" s="27"/>
      <c r="I165" s="27"/>
      <c r="J165" s="27"/>
    </row>
    <row r="166">
      <c r="C166" s="27"/>
      <c r="D166" s="27"/>
      <c r="E166" s="27"/>
      <c r="F166" s="27"/>
      <c r="G166" s="27"/>
      <c r="H166" s="27"/>
      <c r="I166" s="27"/>
      <c r="J166" s="27"/>
    </row>
    <row r="167">
      <c r="C167" s="27"/>
      <c r="D167" s="27"/>
      <c r="E167" s="27"/>
      <c r="F167" s="27"/>
      <c r="G167" s="27"/>
      <c r="H167" s="27"/>
      <c r="I167" s="27"/>
      <c r="J167" s="27"/>
    </row>
    <row r="168">
      <c r="C168" s="27"/>
      <c r="D168" s="27"/>
      <c r="E168" s="27"/>
      <c r="F168" s="27"/>
      <c r="G168" s="27"/>
      <c r="H168" s="27"/>
      <c r="I168" s="27"/>
      <c r="J168" s="27"/>
    </row>
    <row r="169">
      <c r="C169" s="27"/>
      <c r="D169" s="27"/>
      <c r="E169" s="27"/>
      <c r="F169" s="27"/>
      <c r="G169" s="27"/>
      <c r="H169" s="27"/>
      <c r="I169" s="27"/>
      <c r="J169" s="27"/>
    </row>
    <row r="170">
      <c r="C170" s="27"/>
      <c r="D170" s="27"/>
      <c r="E170" s="27"/>
      <c r="F170" s="27"/>
      <c r="G170" s="27"/>
      <c r="H170" s="27"/>
      <c r="I170" s="27"/>
      <c r="J170" s="27"/>
    </row>
    <row r="171">
      <c r="C171" s="27"/>
      <c r="D171" s="27"/>
      <c r="E171" s="27"/>
      <c r="F171" s="27"/>
      <c r="G171" s="27"/>
      <c r="H171" s="27"/>
      <c r="I171" s="27"/>
      <c r="J171" s="27"/>
    </row>
    <row r="172">
      <c r="C172" s="27"/>
      <c r="D172" s="27"/>
      <c r="E172" s="27"/>
      <c r="F172" s="27"/>
      <c r="G172" s="27"/>
      <c r="H172" s="27"/>
      <c r="I172" s="27"/>
      <c r="J172" s="27"/>
    </row>
    <row r="173">
      <c r="C173" s="27"/>
      <c r="D173" s="27"/>
      <c r="E173" s="27"/>
      <c r="F173" s="27"/>
      <c r="G173" s="27"/>
      <c r="H173" s="27"/>
      <c r="I173" s="27"/>
      <c r="J173" s="27"/>
    </row>
    <row r="174">
      <c r="C174" s="27"/>
      <c r="D174" s="27"/>
      <c r="E174" s="27"/>
      <c r="F174" s="27"/>
      <c r="G174" s="27"/>
      <c r="H174" s="27"/>
      <c r="I174" s="27"/>
      <c r="J174" s="27"/>
    </row>
    <row r="175">
      <c r="C175" s="27"/>
      <c r="D175" s="27"/>
      <c r="E175" s="27"/>
      <c r="F175" s="27"/>
      <c r="G175" s="27"/>
      <c r="H175" s="27"/>
      <c r="I175" s="27"/>
      <c r="J175" s="27"/>
    </row>
    <row r="176">
      <c r="C176" s="27"/>
      <c r="D176" s="27"/>
      <c r="E176" s="27"/>
      <c r="F176" s="27"/>
      <c r="G176" s="27"/>
      <c r="H176" s="27"/>
      <c r="I176" s="27"/>
      <c r="J176" s="27"/>
    </row>
    <row r="177">
      <c r="C177" s="27"/>
      <c r="D177" s="27"/>
      <c r="E177" s="27"/>
      <c r="F177" s="27"/>
      <c r="G177" s="27"/>
      <c r="H177" s="27"/>
      <c r="I177" s="27"/>
      <c r="J177" s="27"/>
    </row>
    <row r="178">
      <c r="C178" s="27"/>
      <c r="D178" s="27"/>
      <c r="E178" s="27"/>
      <c r="F178" s="27"/>
      <c r="G178" s="27"/>
      <c r="H178" s="27"/>
      <c r="I178" s="27"/>
      <c r="J178" s="27"/>
    </row>
    <row r="179">
      <c r="C179" s="27"/>
      <c r="D179" s="27"/>
      <c r="E179" s="27"/>
      <c r="F179" s="27"/>
      <c r="G179" s="27"/>
      <c r="H179" s="27"/>
      <c r="I179" s="27"/>
      <c r="J179" s="27"/>
    </row>
    <row r="180">
      <c r="C180" s="27"/>
      <c r="D180" s="27"/>
      <c r="E180" s="27"/>
      <c r="F180" s="27"/>
      <c r="G180" s="27"/>
      <c r="H180" s="27"/>
      <c r="I180" s="27"/>
      <c r="J180" s="27"/>
    </row>
    <row r="181">
      <c r="C181" s="27"/>
      <c r="D181" s="27"/>
      <c r="E181" s="27"/>
      <c r="F181" s="27"/>
      <c r="G181" s="27"/>
      <c r="H181" s="27"/>
      <c r="I181" s="27"/>
      <c r="J181" s="27"/>
    </row>
    <row r="182">
      <c r="C182" s="27"/>
      <c r="D182" s="27"/>
      <c r="E182" s="27"/>
      <c r="F182" s="27"/>
      <c r="G182" s="27"/>
      <c r="H182" s="27"/>
      <c r="I182" s="27"/>
      <c r="J182" s="27"/>
    </row>
    <row r="183">
      <c r="C183" s="27"/>
      <c r="D183" s="27"/>
      <c r="E183" s="27"/>
      <c r="F183" s="27"/>
      <c r="G183" s="27"/>
      <c r="H183" s="27"/>
      <c r="I183" s="27"/>
      <c r="J183" s="27"/>
    </row>
    <row r="184">
      <c r="C184" s="27"/>
      <c r="D184" s="27"/>
      <c r="E184" s="27"/>
      <c r="F184" s="27"/>
      <c r="G184" s="27"/>
      <c r="H184" s="27"/>
      <c r="I184" s="27"/>
      <c r="J184" s="27"/>
    </row>
    <row r="185">
      <c r="C185" s="27"/>
      <c r="D185" s="27"/>
      <c r="E185" s="27"/>
      <c r="F185" s="27"/>
      <c r="G185" s="27"/>
      <c r="H185" s="27"/>
      <c r="I185" s="27"/>
      <c r="J185" s="27"/>
    </row>
    <row r="186">
      <c r="C186" s="27"/>
      <c r="D186" s="27"/>
      <c r="E186" s="27"/>
      <c r="F186" s="27"/>
      <c r="G186" s="27"/>
      <c r="H186" s="27"/>
      <c r="I186" s="27"/>
      <c r="J186" s="27"/>
    </row>
    <row r="187">
      <c r="C187" s="27"/>
      <c r="D187" s="27"/>
      <c r="E187" s="27"/>
      <c r="F187" s="27"/>
      <c r="G187" s="27"/>
      <c r="H187" s="27"/>
      <c r="I187" s="27"/>
      <c r="J187" s="27"/>
    </row>
    <row r="188">
      <c r="C188" s="27"/>
      <c r="D188" s="27"/>
      <c r="E188" s="27"/>
      <c r="F188" s="27"/>
      <c r="G188" s="27"/>
      <c r="H188" s="27"/>
      <c r="I188" s="27"/>
      <c r="J188" s="27"/>
    </row>
    <row r="189">
      <c r="C189" s="27"/>
      <c r="D189" s="27"/>
      <c r="E189" s="27"/>
      <c r="F189" s="27"/>
      <c r="G189" s="27"/>
      <c r="H189" s="27"/>
      <c r="I189" s="27"/>
      <c r="J189" s="27"/>
    </row>
    <row r="190">
      <c r="C190" s="27"/>
      <c r="D190" s="27"/>
      <c r="E190" s="27"/>
      <c r="F190" s="27"/>
      <c r="G190" s="27"/>
      <c r="H190" s="27"/>
      <c r="I190" s="27"/>
      <c r="J190" s="27"/>
    </row>
    <row r="191">
      <c r="C191" s="27"/>
      <c r="D191" s="27"/>
      <c r="E191" s="27"/>
      <c r="F191" s="27"/>
      <c r="G191" s="27"/>
      <c r="H191" s="27"/>
      <c r="I191" s="27"/>
      <c r="J191" s="27"/>
    </row>
    <row r="192">
      <c r="C192" s="27"/>
      <c r="D192" s="27"/>
      <c r="E192" s="27"/>
      <c r="F192" s="27"/>
      <c r="G192" s="27"/>
      <c r="H192" s="27"/>
      <c r="I192" s="27"/>
      <c r="J192" s="27"/>
    </row>
    <row r="193">
      <c r="C193" s="27"/>
      <c r="D193" s="27"/>
      <c r="E193" s="27"/>
      <c r="F193" s="27"/>
      <c r="G193" s="27"/>
      <c r="H193" s="27"/>
      <c r="I193" s="27"/>
      <c r="J193" s="27"/>
    </row>
    <row r="194">
      <c r="C194" s="27"/>
      <c r="D194" s="27"/>
      <c r="E194" s="27"/>
      <c r="F194" s="27"/>
      <c r="G194" s="27"/>
      <c r="H194" s="27"/>
      <c r="I194" s="27"/>
      <c r="J194" s="27"/>
    </row>
    <row r="195">
      <c r="C195" s="27"/>
      <c r="D195" s="27"/>
      <c r="E195" s="27"/>
      <c r="F195" s="27"/>
      <c r="G195" s="27"/>
      <c r="H195" s="27"/>
      <c r="I195" s="27"/>
      <c r="J195" s="27"/>
    </row>
    <row r="196">
      <c r="C196" s="27"/>
      <c r="D196" s="27"/>
      <c r="E196" s="27"/>
      <c r="F196" s="27"/>
      <c r="G196" s="27"/>
      <c r="H196" s="27"/>
      <c r="I196" s="27"/>
      <c r="J196" s="27"/>
    </row>
    <row r="197">
      <c r="C197" s="27"/>
      <c r="D197" s="27"/>
      <c r="E197" s="27"/>
      <c r="F197" s="27"/>
      <c r="G197" s="27"/>
      <c r="H197" s="27"/>
      <c r="I197" s="27"/>
      <c r="J197" s="27"/>
    </row>
    <row r="198">
      <c r="C198" s="27"/>
      <c r="D198" s="27"/>
      <c r="E198" s="27"/>
      <c r="F198" s="27"/>
      <c r="G198" s="27"/>
      <c r="H198" s="27"/>
      <c r="I198" s="27"/>
      <c r="J198" s="27"/>
    </row>
    <row r="199">
      <c r="C199" s="27"/>
      <c r="D199" s="27"/>
      <c r="E199" s="27"/>
      <c r="F199" s="27"/>
      <c r="G199" s="27"/>
      <c r="H199" s="27"/>
      <c r="I199" s="27"/>
      <c r="J199" s="27"/>
    </row>
    <row r="200">
      <c r="C200" s="27"/>
      <c r="D200" s="27"/>
      <c r="E200" s="27"/>
      <c r="F200" s="27"/>
      <c r="G200" s="27"/>
      <c r="H200" s="27"/>
      <c r="I200" s="27"/>
      <c r="J200" s="27"/>
    </row>
    <row r="201">
      <c r="C201" s="27"/>
      <c r="D201" s="27"/>
      <c r="E201" s="27"/>
      <c r="F201" s="27"/>
      <c r="G201" s="27"/>
      <c r="H201" s="27"/>
      <c r="I201" s="27"/>
      <c r="J201" s="27"/>
    </row>
    <row r="202">
      <c r="C202" s="27"/>
      <c r="D202" s="27"/>
      <c r="E202" s="27"/>
      <c r="F202" s="27"/>
      <c r="G202" s="27"/>
      <c r="H202" s="27"/>
      <c r="I202" s="27"/>
      <c r="J202" s="27"/>
    </row>
    <row r="203">
      <c r="C203" s="27"/>
      <c r="D203" s="27"/>
      <c r="E203" s="27"/>
      <c r="F203" s="27"/>
      <c r="G203" s="27"/>
      <c r="H203" s="27"/>
      <c r="I203" s="27"/>
      <c r="J203" s="27"/>
    </row>
    <row r="204">
      <c r="C204" s="27"/>
      <c r="D204" s="27"/>
      <c r="E204" s="27"/>
      <c r="F204" s="27"/>
      <c r="G204" s="27"/>
      <c r="H204" s="27"/>
      <c r="I204" s="27"/>
      <c r="J204" s="27"/>
    </row>
    <row r="205">
      <c r="C205" s="27"/>
      <c r="D205" s="27"/>
      <c r="E205" s="27"/>
      <c r="F205" s="27"/>
      <c r="G205" s="27"/>
      <c r="H205" s="27"/>
      <c r="I205" s="27"/>
      <c r="J205" s="27"/>
    </row>
    <row r="206">
      <c r="C206" s="27"/>
      <c r="D206" s="27"/>
      <c r="E206" s="27"/>
      <c r="F206" s="27"/>
      <c r="G206" s="27"/>
      <c r="H206" s="27"/>
      <c r="I206" s="27"/>
      <c r="J206" s="27"/>
    </row>
    <row r="207">
      <c r="C207" s="27"/>
      <c r="D207" s="27"/>
      <c r="E207" s="27"/>
      <c r="F207" s="27"/>
      <c r="G207" s="27"/>
      <c r="H207" s="27"/>
      <c r="I207" s="27"/>
      <c r="J207" s="27"/>
    </row>
    <row r="208">
      <c r="C208" s="27"/>
      <c r="D208" s="27"/>
      <c r="E208" s="27"/>
      <c r="F208" s="27"/>
      <c r="G208" s="27"/>
      <c r="H208" s="27"/>
      <c r="I208" s="27"/>
      <c r="J208" s="27"/>
    </row>
    <row r="209">
      <c r="C209" s="27"/>
      <c r="D209" s="27"/>
      <c r="E209" s="27"/>
      <c r="F209" s="27"/>
      <c r="G209" s="27"/>
      <c r="H209" s="27"/>
      <c r="I209" s="27"/>
      <c r="J209" s="27"/>
    </row>
    <row r="210">
      <c r="C210" s="27"/>
      <c r="D210" s="27"/>
      <c r="E210" s="27"/>
      <c r="F210" s="27"/>
      <c r="G210" s="27"/>
      <c r="H210" s="27"/>
      <c r="I210" s="27"/>
      <c r="J210" s="27"/>
    </row>
    <row r="211">
      <c r="C211" s="27"/>
      <c r="D211" s="27"/>
      <c r="E211" s="27"/>
      <c r="F211" s="27"/>
      <c r="G211" s="27"/>
      <c r="H211" s="27"/>
      <c r="I211" s="27"/>
      <c r="J211" s="27"/>
    </row>
    <row r="212">
      <c r="C212" s="27"/>
      <c r="D212" s="27"/>
      <c r="E212" s="27"/>
      <c r="F212" s="27"/>
      <c r="G212" s="27"/>
      <c r="H212" s="27"/>
      <c r="I212" s="27"/>
      <c r="J212" s="27"/>
    </row>
    <row r="213">
      <c r="C213" s="27"/>
      <c r="D213" s="27"/>
      <c r="E213" s="27"/>
      <c r="F213" s="27"/>
      <c r="G213" s="27"/>
      <c r="H213" s="27"/>
      <c r="I213" s="27"/>
      <c r="J213" s="27"/>
    </row>
    <row r="214">
      <c r="C214" s="27"/>
      <c r="D214" s="27"/>
      <c r="E214" s="27"/>
      <c r="F214" s="27"/>
      <c r="G214" s="27"/>
      <c r="H214" s="27"/>
      <c r="I214" s="27"/>
      <c r="J214" s="27"/>
    </row>
    <row r="215">
      <c r="C215" s="27"/>
      <c r="D215" s="27"/>
      <c r="E215" s="27"/>
      <c r="F215" s="27"/>
      <c r="G215" s="27"/>
      <c r="H215" s="27"/>
      <c r="I215" s="27"/>
      <c r="J215" s="27"/>
    </row>
    <row r="216">
      <c r="C216" s="27"/>
      <c r="D216" s="27"/>
      <c r="E216" s="27"/>
      <c r="F216" s="27"/>
      <c r="G216" s="27"/>
      <c r="H216" s="27"/>
      <c r="I216" s="27"/>
      <c r="J216" s="27"/>
    </row>
    <row r="217">
      <c r="C217" s="27"/>
      <c r="D217" s="27"/>
      <c r="E217" s="27"/>
      <c r="F217" s="27"/>
      <c r="G217" s="27"/>
      <c r="H217" s="27"/>
      <c r="I217" s="27"/>
      <c r="J217" s="27"/>
    </row>
    <row r="218">
      <c r="C218" s="27"/>
      <c r="D218" s="27"/>
      <c r="E218" s="27"/>
      <c r="F218" s="27"/>
      <c r="G218" s="27"/>
      <c r="H218" s="27"/>
      <c r="I218" s="27"/>
      <c r="J218" s="27"/>
    </row>
    <row r="219">
      <c r="C219" s="27"/>
      <c r="D219" s="27"/>
      <c r="E219" s="27"/>
      <c r="F219" s="27"/>
      <c r="G219" s="27"/>
      <c r="H219" s="27"/>
      <c r="I219" s="27"/>
      <c r="J219" s="27"/>
    </row>
    <row r="220">
      <c r="C220" s="27"/>
      <c r="D220" s="27"/>
      <c r="E220" s="27"/>
      <c r="F220" s="27"/>
      <c r="G220" s="27"/>
      <c r="H220" s="27"/>
      <c r="I220" s="27"/>
      <c r="J220" s="27"/>
    </row>
    <row r="221">
      <c r="C221" s="27"/>
      <c r="D221" s="27"/>
      <c r="E221" s="27"/>
      <c r="F221" s="27"/>
      <c r="G221" s="27"/>
      <c r="H221" s="27"/>
      <c r="I221" s="27"/>
      <c r="J221" s="27"/>
    </row>
    <row r="222">
      <c r="C222" s="27"/>
      <c r="D222" s="27"/>
      <c r="E222" s="27"/>
      <c r="F222" s="27"/>
      <c r="G222" s="27"/>
      <c r="H222" s="27"/>
      <c r="I222" s="27"/>
      <c r="J222" s="27"/>
    </row>
    <row r="223">
      <c r="C223" s="27"/>
      <c r="D223" s="27"/>
      <c r="E223" s="27"/>
      <c r="F223" s="27"/>
      <c r="G223" s="27"/>
      <c r="H223" s="27"/>
      <c r="I223" s="27"/>
      <c r="J223" s="27"/>
    </row>
    <row r="224">
      <c r="C224" s="27"/>
      <c r="D224" s="27"/>
      <c r="E224" s="27"/>
      <c r="F224" s="27"/>
      <c r="G224" s="27"/>
      <c r="H224" s="27"/>
      <c r="I224" s="27"/>
      <c r="J224" s="27"/>
    </row>
    <row r="225">
      <c r="C225" s="27"/>
      <c r="D225" s="27"/>
      <c r="E225" s="27"/>
      <c r="F225" s="27"/>
      <c r="G225" s="27"/>
      <c r="H225" s="27"/>
      <c r="I225" s="27"/>
      <c r="J225" s="27"/>
    </row>
    <row r="226">
      <c r="C226" s="27"/>
      <c r="D226" s="27"/>
      <c r="E226" s="27"/>
      <c r="F226" s="27"/>
      <c r="G226" s="27"/>
      <c r="H226" s="27"/>
      <c r="I226" s="27"/>
      <c r="J226" s="27"/>
    </row>
    <row r="227">
      <c r="C227" s="27"/>
      <c r="D227" s="27"/>
      <c r="E227" s="27"/>
      <c r="F227" s="27"/>
      <c r="G227" s="27"/>
      <c r="H227" s="27"/>
      <c r="I227" s="27"/>
      <c r="J227" s="27"/>
    </row>
    <row r="228">
      <c r="C228" s="27"/>
      <c r="D228" s="27"/>
      <c r="E228" s="27"/>
      <c r="F228" s="27"/>
      <c r="G228" s="27"/>
      <c r="H228" s="27"/>
      <c r="I228" s="27"/>
      <c r="J228" s="27"/>
    </row>
    <row r="229">
      <c r="C229" s="27"/>
      <c r="D229" s="27"/>
      <c r="E229" s="27"/>
      <c r="F229" s="27"/>
      <c r="G229" s="27"/>
      <c r="H229" s="27"/>
      <c r="I229" s="27"/>
      <c r="J229" s="27"/>
    </row>
    <row r="230">
      <c r="C230" s="27"/>
      <c r="D230" s="27"/>
      <c r="E230" s="27"/>
      <c r="F230" s="27"/>
      <c r="G230" s="27"/>
      <c r="H230" s="27"/>
      <c r="I230" s="27"/>
      <c r="J230" s="27"/>
    </row>
    <row r="231">
      <c r="C231" s="27"/>
      <c r="D231" s="27"/>
      <c r="E231" s="27"/>
      <c r="F231" s="27"/>
      <c r="G231" s="27"/>
      <c r="H231" s="27"/>
      <c r="I231" s="27"/>
      <c r="J231" s="27"/>
    </row>
    <row r="232">
      <c r="C232" s="27"/>
      <c r="D232" s="27"/>
      <c r="E232" s="27"/>
      <c r="F232" s="27"/>
      <c r="G232" s="27"/>
      <c r="H232" s="27"/>
      <c r="I232" s="27"/>
      <c r="J232" s="27"/>
    </row>
    <row r="233">
      <c r="C233" s="27"/>
      <c r="D233" s="27"/>
      <c r="E233" s="27"/>
      <c r="F233" s="27"/>
      <c r="G233" s="27"/>
      <c r="H233" s="27"/>
      <c r="I233" s="27"/>
      <c r="J233" s="27"/>
    </row>
    <row r="234">
      <c r="C234" s="27"/>
      <c r="D234" s="27"/>
      <c r="E234" s="27"/>
      <c r="F234" s="27"/>
      <c r="G234" s="27"/>
      <c r="H234" s="27"/>
      <c r="I234" s="27"/>
      <c r="J234" s="27"/>
    </row>
    <row r="235">
      <c r="C235" s="27"/>
      <c r="D235" s="27"/>
      <c r="E235" s="27"/>
      <c r="F235" s="27"/>
      <c r="G235" s="27"/>
      <c r="H235" s="27"/>
      <c r="I235" s="27"/>
      <c r="J235" s="27"/>
    </row>
    <row r="236">
      <c r="C236" s="27"/>
      <c r="D236" s="27"/>
      <c r="E236" s="27"/>
      <c r="F236" s="27"/>
      <c r="G236" s="27"/>
      <c r="H236" s="27"/>
      <c r="I236" s="27"/>
      <c r="J236" s="27"/>
    </row>
    <row r="237">
      <c r="C237" s="27"/>
      <c r="D237" s="27"/>
      <c r="E237" s="27"/>
      <c r="F237" s="27"/>
      <c r="G237" s="27"/>
      <c r="H237" s="27"/>
      <c r="I237" s="27"/>
      <c r="J237" s="27"/>
    </row>
    <row r="238">
      <c r="C238" s="27"/>
      <c r="D238" s="27"/>
      <c r="E238" s="27"/>
      <c r="F238" s="27"/>
      <c r="G238" s="27"/>
      <c r="H238" s="27"/>
      <c r="I238" s="27"/>
      <c r="J238" s="27"/>
    </row>
    <row r="239">
      <c r="C239" s="27"/>
      <c r="D239" s="27"/>
      <c r="E239" s="27"/>
      <c r="F239" s="27"/>
      <c r="G239" s="27"/>
      <c r="H239" s="27"/>
      <c r="I239" s="27"/>
      <c r="J239" s="27"/>
    </row>
    <row r="240">
      <c r="C240" s="27"/>
      <c r="D240" s="27"/>
      <c r="E240" s="27"/>
      <c r="F240" s="27"/>
      <c r="G240" s="27"/>
      <c r="H240" s="27"/>
      <c r="I240" s="27"/>
      <c r="J240" s="27"/>
    </row>
    <row r="241">
      <c r="C241" s="27"/>
      <c r="D241" s="27"/>
      <c r="E241" s="27"/>
      <c r="F241" s="27"/>
      <c r="G241" s="27"/>
      <c r="H241" s="27"/>
      <c r="I241" s="27"/>
      <c r="J241" s="27"/>
    </row>
    <row r="242">
      <c r="C242" s="27"/>
      <c r="D242" s="27"/>
      <c r="E242" s="27"/>
      <c r="F242" s="27"/>
      <c r="G242" s="27"/>
      <c r="H242" s="27"/>
      <c r="I242" s="27"/>
      <c r="J242" s="27"/>
    </row>
    <row r="243">
      <c r="C243" s="27"/>
      <c r="D243" s="27"/>
      <c r="E243" s="27"/>
      <c r="F243" s="27"/>
      <c r="G243" s="27"/>
      <c r="H243" s="27"/>
      <c r="I243" s="27"/>
      <c r="J243" s="27"/>
    </row>
    <row r="244">
      <c r="C244" s="27"/>
      <c r="D244" s="27"/>
      <c r="E244" s="27"/>
      <c r="F244" s="27"/>
      <c r="G244" s="27"/>
      <c r="H244" s="27"/>
      <c r="I244" s="27"/>
      <c r="J244" s="27"/>
    </row>
    <row r="245">
      <c r="C245" s="27"/>
      <c r="D245" s="27"/>
      <c r="E245" s="27"/>
      <c r="F245" s="27"/>
      <c r="G245" s="27"/>
      <c r="H245" s="27"/>
      <c r="I245" s="27"/>
      <c r="J245" s="27"/>
    </row>
    <row r="246">
      <c r="C246" s="27"/>
      <c r="D246" s="27"/>
      <c r="E246" s="27"/>
      <c r="F246" s="27"/>
      <c r="G246" s="27"/>
      <c r="H246" s="27"/>
      <c r="I246" s="27"/>
      <c r="J246" s="27"/>
    </row>
    <row r="247">
      <c r="C247" s="27"/>
      <c r="D247" s="27"/>
      <c r="E247" s="27"/>
      <c r="F247" s="27"/>
      <c r="G247" s="27"/>
      <c r="H247" s="27"/>
      <c r="I247" s="27"/>
      <c r="J247" s="27"/>
    </row>
    <row r="248">
      <c r="C248" s="27"/>
      <c r="D248" s="27"/>
      <c r="E248" s="27"/>
      <c r="F248" s="27"/>
      <c r="G248" s="27"/>
      <c r="H248" s="27"/>
      <c r="I248" s="27"/>
      <c r="J248" s="27"/>
    </row>
    <row r="249">
      <c r="C249" s="27"/>
      <c r="D249" s="27"/>
      <c r="E249" s="27"/>
      <c r="F249" s="27"/>
      <c r="G249" s="27"/>
      <c r="H249" s="27"/>
      <c r="I249" s="27"/>
      <c r="J249" s="27"/>
    </row>
    <row r="250">
      <c r="C250" s="27"/>
      <c r="D250" s="27"/>
      <c r="E250" s="27"/>
      <c r="F250" s="27"/>
      <c r="G250" s="27"/>
      <c r="H250" s="27"/>
      <c r="I250" s="27"/>
      <c r="J250" s="27"/>
    </row>
    <row r="251">
      <c r="C251" s="27"/>
      <c r="D251" s="27"/>
      <c r="E251" s="27"/>
      <c r="F251" s="27"/>
      <c r="G251" s="27"/>
      <c r="H251" s="27"/>
      <c r="I251" s="27"/>
      <c r="J251" s="27"/>
    </row>
    <row r="252">
      <c r="C252" s="27"/>
      <c r="D252" s="27"/>
      <c r="E252" s="27"/>
      <c r="F252" s="27"/>
      <c r="G252" s="27"/>
      <c r="H252" s="27"/>
      <c r="I252" s="27"/>
      <c r="J252" s="27"/>
    </row>
    <row r="253">
      <c r="C253" s="27"/>
      <c r="D253" s="27"/>
      <c r="E253" s="27"/>
      <c r="F253" s="27"/>
      <c r="G253" s="27"/>
      <c r="H253" s="27"/>
      <c r="I253" s="27"/>
      <c r="J253" s="27"/>
    </row>
    <row r="254">
      <c r="C254" s="27"/>
      <c r="D254" s="27"/>
      <c r="E254" s="27"/>
      <c r="F254" s="27"/>
      <c r="G254" s="27"/>
      <c r="H254" s="27"/>
      <c r="I254" s="27"/>
      <c r="J254" s="27"/>
    </row>
    <row r="255">
      <c r="C255" s="27"/>
      <c r="D255" s="27"/>
      <c r="E255" s="27"/>
      <c r="F255" s="27"/>
      <c r="G255" s="27"/>
      <c r="H255" s="27"/>
      <c r="I255" s="27"/>
      <c r="J255" s="27"/>
    </row>
    <row r="256">
      <c r="C256" s="27"/>
      <c r="D256" s="27"/>
      <c r="E256" s="27"/>
      <c r="F256" s="27"/>
      <c r="G256" s="27"/>
      <c r="H256" s="27"/>
      <c r="I256" s="27"/>
      <c r="J256" s="27"/>
    </row>
    <row r="257">
      <c r="C257" s="27"/>
      <c r="D257" s="27"/>
      <c r="E257" s="27"/>
      <c r="F257" s="27"/>
      <c r="G257" s="27"/>
      <c r="H257" s="27"/>
      <c r="I257" s="27"/>
      <c r="J257" s="27"/>
    </row>
    <row r="258">
      <c r="C258" s="27"/>
      <c r="D258" s="27"/>
      <c r="E258" s="27"/>
      <c r="F258" s="27"/>
      <c r="G258" s="27"/>
      <c r="H258" s="27"/>
      <c r="I258" s="27"/>
      <c r="J258" s="27"/>
    </row>
    <row r="259">
      <c r="C259" s="27"/>
      <c r="D259" s="27"/>
      <c r="E259" s="27"/>
      <c r="F259" s="27"/>
      <c r="G259" s="27"/>
      <c r="H259" s="27"/>
      <c r="I259" s="27"/>
      <c r="J259" s="27"/>
    </row>
    <row r="260">
      <c r="C260" s="27"/>
      <c r="D260" s="27"/>
      <c r="E260" s="27"/>
      <c r="F260" s="27"/>
      <c r="G260" s="27"/>
      <c r="H260" s="27"/>
      <c r="I260" s="27"/>
      <c r="J260" s="27"/>
    </row>
    <row r="261">
      <c r="C261" s="27"/>
      <c r="D261" s="27"/>
      <c r="E261" s="27"/>
      <c r="F261" s="27"/>
      <c r="G261" s="27"/>
      <c r="H261" s="27"/>
      <c r="I261" s="27"/>
      <c r="J261" s="27"/>
    </row>
    <row r="262">
      <c r="C262" s="27"/>
      <c r="D262" s="27"/>
      <c r="E262" s="27"/>
      <c r="F262" s="27"/>
      <c r="G262" s="27"/>
      <c r="H262" s="27"/>
      <c r="I262" s="27"/>
      <c r="J262" s="27"/>
    </row>
    <row r="263">
      <c r="C263" s="27"/>
      <c r="D263" s="27"/>
      <c r="E263" s="27"/>
      <c r="F263" s="27"/>
      <c r="G263" s="27"/>
      <c r="H263" s="27"/>
      <c r="I263" s="27"/>
      <c r="J263" s="27"/>
    </row>
    <row r="264">
      <c r="C264" s="27"/>
      <c r="D264" s="27"/>
      <c r="E264" s="27"/>
      <c r="F264" s="27"/>
      <c r="G264" s="27"/>
      <c r="H264" s="27"/>
      <c r="I264" s="27"/>
      <c r="J264" s="27"/>
    </row>
    <row r="265">
      <c r="C265" s="27"/>
      <c r="D265" s="27"/>
      <c r="E265" s="27"/>
      <c r="F265" s="27"/>
      <c r="G265" s="27"/>
      <c r="H265" s="27"/>
      <c r="I265" s="27"/>
      <c r="J265" s="27"/>
    </row>
    <row r="266">
      <c r="C266" s="27"/>
      <c r="D266" s="27"/>
      <c r="E266" s="27"/>
      <c r="F266" s="27"/>
      <c r="G266" s="27"/>
      <c r="H266" s="27"/>
      <c r="I266" s="27"/>
      <c r="J266" s="27"/>
    </row>
    <row r="267">
      <c r="C267" s="27"/>
      <c r="D267" s="27"/>
      <c r="E267" s="27"/>
      <c r="F267" s="27"/>
      <c r="G267" s="27"/>
      <c r="H267" s="27"/>
      <c r="I267" s="27"/>
      <c r="J267" s="27"/>
    </row>
    <row r="268">
      <c r="C268" s="27"/>
      <c r="D268" s="27"/>
      <c r="E268" s="27"/>
      <c r="F268" s="27"/>
      <c r="G268" s="27"/>
      <c r="H268" s="27"/>
      <c r="I268" s="27"/>
      <c r="J268" s="27"/>
    </row>
    <row r="269">
      <c r="C269" s="27"/>
      <c r="D269" s="27"/>
      <c r="E269" s="27"/>
      <c r="F269" s="27"/>
      <c r="G269" s="27"/>
      <c r="H269" s="27"/>
      <c r="I269" s="27"/>
      <c r="J269" s="27"/>
    </row>
    <row r="270">
      <c r="C270" s="27"/>
      <c r="D270" s="27"/>
      <c r="E270" s="27"/>
      <c r="F270" s="27"/>
      <c r="G270" s="27"/>
      <c r="H270" s="27"/>
      <c r="I270" s="27"/>
      <c r="J270" s="27"/>
    </row>
    <row r="271">
      <c r="C271" s="27"/>
      <c r="D271" s="27"/>
      <c r="E271" s="27"/>
      <c r="F271" s="27"/>
      <c r="G271" s="27"/>
      <c r="H271" s="27"/>
      <c r="I271" s="27"/>
      <c r="J271" s="27"/>
    </row>
    <row r="272">
      <c r="C272" s="27"/>
      <c r="D272" s="27"/>
      <c r="E272" s="27"/>
      <c r="F272" s="27"/>
      <c r="G272" s="27"/>
      <c r="H272" s="27"/>
      <c r="I272" s="27"/>
      <c r="J272" s="27"/>
    </row>
    <row r="273">
      <c r="C273" s="27"/>
      <c r="D273" s="27"/>
      <c r="E273" s="27"/>
      <c r="F273" s="27"/>
      <c r="G273" s="27"/>
      <c r="H273" s="27"/>
      <c r="I273" s="27"/>
      <c r="J273" s="27"/>
    </row>
    <row r="274">
      <c r="C274" s="27"/>
      <c r="D274" s="27"/>
      <c r="E274" s="27"/>
      <c r="F274" s="27"/>
      <c r="G274" s="27"/>
      <c r="H274" s="27"/>
      <c r="I274" s="27"/>
      <c r="J274" s="27"/>
    </row>
    <row r="275">
      <c r="C275" s="27"/>
      <c r="D275" s="27"/>
      <c r="E275" s="27"/>
      <c r="F275" s="27"/>
      <c r="G275" s="27"/>
      <c r="H275" s="27"/>
      <c r="I275" s="27"/>
      <c r="J275" s="27"/>
    </row>
    <row r="276">
      <c r="C276" s="27"/>
      <c r="D276" s="27"/>
      <c r="E276" s="27"/>
      <c r="F276" s="27"/>
      <c r="G276" s="27"/>
      <c r="H276" s="27"/>
      <c r="I276" s="27"/>
      <c r="J276" s="27"/>
    </row>
    <row r="277">
      <c r="C277" s="27"/>
      <c r="D277" s="27"/>
      <c r="E277" s="27"/>
      <c r="F277" s="27"/>
      <c r="G277" s="27"/>
      <c r="H277" s="27"/>
      <c r="I277" s="27"/>
      <c r="J277" s="27"/>
    </row>
    <row r="278">
      <c r="C278" s="27"/>
      <c r="D278" s="27"/>
      <c r="E278" s="27"/>
      <c r="F278" s="27"/>
      <c r="G278" s="27"/>
      <c r="H278" s="27"/>
      <c r="I278" s="27"/>
      <c r="J278" s="27"/>
    </row>
    <row r="279">
      <c r="C279" s="27"/>
      <c r="D279" s="27"/>
      <c r="E279" s="27"/>
      <c r="F279" s="27"/>
      <c r="G279" s="27"/>
      <c r="H279" s="27"/>
      <c r="I279" s="27"/>
      <c r="J279" s="27"/>
    </row>
    <row r="280">
      <c r="C280" s="27"/>
      <c r="D280" s="27"/>
      <c r="E280" s="27"/>
      <c r="F280" s="27"/>
      <c r="G280" s="27"/>
      <c r="H280" s="27"/>
      <c r="I280" s="27"/>
      <c r="J280" s="27"/>
    </row>
    <row r="281">
      <c r="C281" s="27"/>
      <c r="D281" s="27"/>
      <c r="E281" s="27"/>
      <c r="F281" s="27"/>
      <c r="G281" s="27"/>
      <c r="H281" s="27"/>
      <c r="I281" s="27"/>
      <c r="J281" s="27"/>
    </row>
    <row r="282">
      <c r="C282" s="27"/>
      <c r="D282" s="27"/>
      <c r="E282" s="27"/>
      <c r="F282" s="27"/>
      <c r="G282" s="27"/>
      <c r="H282" s="27"/>
      <c r="I282" s="27"/>
      <c r="J282" s="27"/>
    </row>
    <row r="283">
      <c r="C283" s="27"/>
      <c r="D283" s="27"/>
      <c r="E283" s="27"/>
      <c r="F283" s="27"/>
      <c r="G283" s="27"/>
      <c r="H283" s="27"/>
      <c r="I283" s="27"/>
      <c r="J283" s="27"/>
    </row>
    <row r="284">
      <c r="C284" s="27"/>
      <c r="D284" s="27"/>
      <c r="E284" s="27"/>
      <c r="F284" s="27"/>
      <c r="G284" s="27"/>
      <c r="H284" s="27"/>
      <c r="I284" s="27"/>
      <c r="J284" s="27"/>
    </row>
    <row r="285">
      <c r="C285" s="27"/>
      <c r="D285" s="27"/>
      <c r="E285" s="27"/>
      <c r="F285" s="27"/>
      <c r="G285" s="27"/>
      <c r="H285" s="27"/>
      <c r="I285" s="27"/>
      <c r="J285" s="27"/>
    </row>
    <row r="286">
      <c r="C286" s="27"/>
      <c r="D286" s="27"/>
      <c r="E286" s="27"/>
      <c r="F286" s="27"/>
      <c r="G286" s="27"/>
      <c r="H286" s="27"/>
      <c r="I286" s="27"/>
      <c r="J286" s="27"/>
    </row>
    <row r="287">
      <c r="C287" s="27"/>
      <c r="D287" s="27"/>
      <c r="E287" s="27"/>
      <c r="F287" s="27"/>
      <c r="G287" s="27"/>
      <c r="H287" s="27"/>
      <c r="I287" s="27"/>
      <c r="J287" s="27"/>
    </row>
    <row r="288">
      <c r="C288" s="27"/>
      <c r="D288" s="27"/>
      <c r="E288" s="27"/>
      <c r="F288" s="27"/>
      <c r="G288" s="27"/>
      <c r="H288" s="27"/>
      <c r="I288" s="27"/>
      <c r="J288" s="27"/>
    </row>
    <row r="289">
      <c r="C289" s="27"/>
      <c r="D289" s="27"/>
      <c r="E289" s="27"/>
      <c r="F289" s="27"/>
      <c r="G289" s="27"/>
      <c r="H289" s="27"/>
      <c r="I289" s="27"/>
      <c r="J289" s="27"/>
    </row>
    <row r="290">
      <c r="C290" s="27"/>
      <c r="D290" s="27"/>
      <c r="E290" s="27"/>
      <c r="F290" s="27"/>
      <c r="G290" s="27"/>
      <c r="H290" s="27"/>
      <c r="I290" s="27"/>
      <c r="J290" s="27"/>
    </row>
    <row r="291">
      <c r="C291" s="27"/>
      <c r="D291" s="27"/>
      <c r="E291" s="27"/>
      <c r="F291" s="27"/>
      <c r="G291" s="27"/>
      <c r="H291" s="27"/>
      <c r="I291" s="27"/>
      <c r="J291" s="27"/>
    </row>
    <row r="292">
      <c r="C292" s="27"/>
      <c r="D292" s="27"/>
      <c r="E292" s="27"/>
      <c r="F292" s="27"/>
      <c r="G292" s="27"/>
      <c r="H292" s="27"/>
      <c r="I292" s="27"/>
      <c r="J292" s="27"/>
    </row>
    <row r="293">
      <c r="C293" s="27"/>
      <c r="D293" s="27"/>
      <c r="E293" s="27"/>
      <c r="F293" s="27"/>
      <c r="G293" s="27"/>
      <c r="H293" s="27"/>
      <c r="I293" s="27"/>
      <c r="J293" s="27"/>
    </row>
    <row r="294">
      <c r="C294" s="27"/>
      <c r="D294" s="27"/>
      <c r="E294" s="27"/>
      <c r="F294" s="27"/>
      <c r="G294" s="27"/>
      <c r="H294" s="27"/>
      <c r="I294" s="27"/>
      <c r="J294" s="27"/>
    </row>
    <row r="295">
      <c r="C295" s="27"/>
      <c r="D295" s="27"/>
      <c r="E295" s="27"/>
      <c r="F295" s="27"/>
      <c r="G295" s="27"/>
      <c r="H295" s="27"/>
      <c r="I295" s="27"/>
      <c r="J295" s="27"/>
    </row>
    <row r="296">
      <c r="C296" s="27"/>
      <c r="D296" s="27"/>
      <c r="E296" s="27"/>
      <c r="F296" s="27"/>
      <c r="G296" s="27"/>
      <c r="H296" s="27"/>
      <c r="I296" s="27"/>
      <c r="J296" s="27"/>
    </row>
    <row r="297">
      <c r="C297" s="27"/>
      <c r="D297" s="27"/>
      <c r="E297" s="27"/>
      <c r="F297" s="27"/>
      <c r="G297" s="27"/>
      <c r="H297" s="27"/>
      <c r="I297" s="27"/>
      <c r="J297" s="27"/>
    </row>
    <row r="298">
      <c r="C298" s="27"/>
      <c r="D298" s="27"/>
      <c r="E298" s="27"/>
      <c r="F298" s="27"/>
      <c r="G298" s="27"/>
      <c r="H298" s="27"/>
      <c r="I298" s="27"/>
      <c r="J298" s="27"/>
    </row>
    <row r="299">
      <c r="C299" s="27"/>
      <c r="D299" s="27"/>
      <c r="E299" s="27"/>
      <c r="F299" s="27"/>
      <c r="G299" s="27"/>
      <c r="H299" s="27"/>
      <c r="I299" s="27"/>
      <c r="J299" s="27"/>
    </row>
    <row r="300">
      <c r="C300" s="27"/>
      <c r="D300" s="27"/>
      <c r="E300" s="27"/>
      <c r="F300" s="27"/>
      <c r="G300" s="27"/>
      <c r="H300" s="27"/>
      <c r="I300" s="27"/>
      <c r="J300" s="27"/>
    </row>
    <row r="301">
      <c r="C301" s="27"/>
      <c r="D301" s="27"/>
      <c r="E301" s="27"/>
      <c r="F301" s="27"/>
      <c r="G301" s="27"/>
      <c r="H301" s="27"/>
      <c r="I301" s="27"/>
      <c r="J301" s="27"/>
    </row>
    <row r="302">
      <c r="C302" s="27"/>
      <c r="D302" s="27"/>
      <c r="E302" s="27"/>
      <c r="F302" s="27"/>
      <c r="G302" s="27"/>
      <c r="H302" s="27"/>
      <c r="I302" s="27"/>
      <c r="J302" s="27"/>
    </row>
    <row r="303">
      <c r="C303" s="27"/>
      <c r="D303" s="27"/>
      <c r="E303" s="27"/>
      <c r="F303" s="27"/>
      <c r="G303" s="27"/>
      <c r="H303" s="27"/>
      <c r="I303" s="27"/>
      <c r="J303" s="27"/>
    </row>
    <row r="304">
      <c r="C304" s="27"/>
      <c r="D304" s="27"/>
      <c r="E304" s="27"/>
      <c r="F304" s="27"/>
      <c r="G304" s="27"/>
      <c r="H304" s="27"/>
      <c r="I304" s="27"/>
      <c r="J304" s="27"/>
    </row>
    <row r="305">
      <c r="C305" s="27"/>
      <c r="D305" s="27"/>
      <c r="E305" s="27"/>
      <c r="F305" s="27"/>
      <c r="G305" s="27"/>
      <c r="H305" s="27"/>
      <c r="I305" s="27"/>
      <c r="J305" s="27"/>
    </row>
    <row r="306">
      <c r="C306" s="27"/>
      <c r="D306" s="27"/>
      <c r="E306" s="27"/>
      <c r="F306" s="27"/>
      <c r="G306" s="27"/>
      <c r="H306" s="27"/>
      <c r="I306" s="27"/>
      <c r="J306" s="27"/>
    </row>
    <row r="307">
      <c r="C307" s="27"/>
      <c r="D307" s="27"/>
      <c r="E307" s="27"/>
      <c r="F307" s="27"/>
      <c r="G307" s="27"/>
      <c r="H307" s="27"/>
      <c r="I307" s="27"/>
      <c r="J307" s="27"/>
    </row>
    <row r="308">
      <c r="C308" s="27"/>
      <c r="D308" s="27"/>
      <c r="E308" s="27"/>
      <c r="F308" s="27"/>
      <c r="G308" s="27"/>
      <c r="H308" s="27"/>
      <c r="I308" s="27"/>
      <c r="J308" s="27"/>
    </row>
    <row r="309">
      <c r="C309" s="27"/>
      <c r="D309" s="27"/>
      <c r="E309" s="27"/>
      <c r="F309" s="27"/>
      <c r="G309" s="27"/>
      <c r="H309" s="27"/>
      <c r="I309" s="27"/>
      <c r="J309" s="27"/>
    </row>
    <row r="310">
      <c r="C310" s="27"/>
      <c r="D310" s="27"/>
      <c r="E310" s="27"/>
      <c r="F310" s="27"/>
      <c r="G310" s="27"/>
      <c r="H310" s="27"/>
      <c r="I310" s="27"/>
      <c r="J310" s="27"/>
    </row>
    <row r="311">
      <c r="C311" s="27"/>
      <c r="D311" s="27"/>
      <c r="E311" s="27"/>
      <c r="F311" s="27"/>
      <c r="G311" s="27"/>
      <c r="H311" s="27"/>
      <c r="I311" s="27"/>
      <c r="J311" s="27"/>
    </row>
    <row r="312">
      <c r="C312" s="27"/>
      <c r="D312" s="27"/>
      <c r="E312" s="27"/>
      <c r="F312" s="27"/>
      <c r="G312" s="27"/>
      <c r="H312" s="27"/>
      <c r="I312" s="27"/>
      <c r="J312" s="27"/>
    </row>
    <row r="313">
      <c r="C313" s="27"/>
      <c r="D313" s="27"/>
      <c r="E313" s="27"/>
      <c r="F313" s="27"/>
      <c r="G313" s="27"/>
      <c r="H313" s="27"/>
      <c r="I313" s="27"/>
      <c r="J313" s="27"/>
    </row>
    <row r="314">
      <c r="C314" s="27"/>
      <c r="D314" s="27"/>
      <c r="E314" s="27"/>
      <c r="F314" s="27"/>
      <c r="G314" s="27"/>
      <c r="H314" s="27"/>
      <c r="I314" s="27"/>
      <c r="J314" s="27"/>
    </row>
    <row r="315">
      <c r="C315" s="27"/>
      <c r="D315" s="27"/>
      <c r="E315" s="27"/>
      <c r="F315" s="27"/>
      <c r="G315" s="27"/>
      <c r="H315" s="27"/>
      <c r="I315" s="27"/>
      <c r="J315" s="27"/>
    </row>
    <row r="316">
      <c r="C316" s="27"/>
      <c r="D316" s="27"/>
      <c r="E316" s="27"/>
      <c r="F316" s="27"/>
      <c r="G316" s="27"/>
      <c r="H316" s="27"/>
      <c r="I316" s="27"/>
      <c r="J316" s="27"/>
    </row>
    <row r="317">
      <c r="C317" s="27"/>
      <c r="D317" s="27"/>
      <c r="E317" s="27"/>
      <c r="F317" s="27"/>
      <c r="G317" s="27"/>
      <c r="H317" s="27"/>
      <c r="I317" s="27"/>
      <c r="J317" s="27"/>
    </row>
    <row r="318">
      <c r="C318" s="27"/>
      <c r="D318" s="27"/>
      <c r="E318" s="27"/>
      <c r="F318" s="27"/>
      <c r="G318" s="27"/>
      <c r="H318" s="27"/>
      <c r="I318" s="27"/>
      <c r="J318" s="27"/>
    </row>
    <row r="319">
      <c r="C319" s="27"/>
      <c r="D319" s="27"/>
      <c r="E319" s="27"/>
      <c r="F319" s="27"/>
      <c r="G319" s="27"/>
      <c r="H319" s="27"/>
      <c r="I319" s="27"/>
      <c r="J319" s="27"/>
    </row>
    <row r="320">
      <c r="C320" s="27"/>
      <c r="D320" s="27"/>
      <c r="E320" s="27"/>
      <c r="F320" s="27"/>
      <c r="G320" s="27"/>
      <c r="H320" s="27"/>
      <c r="I320" s="27"/>
      <c r="J320" s="27"/>
    </row>
    <row r="321">
      <c r="C321" s="27"/>
      <c r="D321" s="27"/>
      <c r="E321" s="27"/>
      <c r="F321" s="27"/>
      <c r="G321" s="27"/>
      <c r="H321" s="27"/>
      <c r="I321" s="27"/>
      <c r="J321" s="27"/>
    </row>
    <row r="322">
      <c r="C322" s="27"/>
      <c r="D322" s="27"/>
      <c r="E322" s="27"/>
      <c r="F322" s="27"/>
      <c r="G322" s="27"/>
      <c r="H322" s="27"/>
      <c r="I322" s="27"/>
      <c r="J322" s="27"/>
    </row>
    <row r="323">
      <c r="C323" s="27"/>
      <c r="D323" s="27"/>
      <c r="E323" s="27"/>
      <c r="F323" s="27"/>
      <c r="G323" s="27"/>
      <c r="H323" s="27"/>
      <c r="I323" s="27"/>
      <c r="J323" s="27"/>
    </row>
    <row r="324">
      <c r="C324" s="27"/>
      <c r="D324" s="27"/>
      <c r="E324" s="27"/>
      <c r="F324" s="27"/>
      <c r="G324" s="27"/>
      <c r="H324" s="27"/>
      <c r="I324" s="27"/>
      <c r="J324" s="27"/>
    </row>
    <row r="325">
      <c r="C325" s="27"/>
      <c r="D325" s="27"/>
      <c r="E325" s="27"/>
      <c r="F325" s="27"/>
      <c r="G325" s="27"/>
      <c r="H325" s="27"/>
      <c r="I325" s="27"/>
      <c r="J325" s="27"/>
    </row>
    <row r="326">
      <c r="C326" s="27"/>
      <c r="D326" s="27"/>
      <c r="E326" s="27"/>
      <c r="F326" s="27"/>
      <c r="G326" s="27"/>
      <c r="H326" s="27"/>
      <c r="I326" s="27"/>
      <c r="J326" s="27"/>
    </row>
    <row r="327">
      <c r="C327" s="27"/>
      <c r="D327" s="27"/>
      <c r="E327" s="27"/>
      <c r="F327" s="27"/>
      <c r="G327" s="27"/>
      <c r="H327" s="27"/>
      <c r="I327" s="27"/>
      <c r="J327" s="27"/>
    </row>
    <row r="328">
      <c r="C328" s="27"/>
      <c r="D328" s="27"/>
      <c r="E328" s="27"/>
      <c r="F328" s="27"/>
      <c r="G328" s="27"/>
      <c r="H328" s="27"/>
      <c r="I328" s="27"/>
      <c r="J328" s="27"/>
    </row>
    <row r="329">
      <c r="C329" s="27"/>
      <c r="D329" s="27"/>
      <c r="E329" s="27"/>
      <c r="F329" s="27"/>
      <c r="G329" s="27"/>
      <c r="H329" s="27"/>
      <c r="I329" s="27"/>
      <c r="J329" s="27"/>
    </row>
    <row r="330">
      <c r="C330" s="27"/>
      <c r="D330" s="27"/>
      <c r="E330" s="27"/>
      <c r="F330" s="27"/>
      <c r="G330" s="27"/>
      <c r="H330" s="27"/>
      <c r="I330" s="27"/>
      <c r="J330" s="27"/>
    </row>
    <row r="331">
      <c r="C331" s="27"/>
      <c r="D331" s="27"/>
      <c r="E331" s="27"/>
      <c r="F331" s="27"/>
      <c r="G331" s="27"/>
      <c r="H331" s="27"/>
      <c r="I331" s="27"/>
      <c r="J331" s="27"/>
    </row>
    <row r="332">
      <c r="C332" s="27"/>
      <c r="D332" s="27"/>
      <c r="E332" s="27"/>
      <c r="F332" s="27"/>
      <c r="G332" s="27"/>
      <c r="H332" s="27"/>
      <c r="I332" s="27"/>
      <c r="J332" s="27"/>
    </row>
    <row r="333">
      <c r="C333" s="27"/>
      <c r="D333" s="27"/>
      <c r="E333" s="27"/>
      <c r="F333" s="27"/>
      <c r="G333" s="27"/>
      <c r="H333" s="27"/>
      <c r="I333" s="27"/>
      <c r="J333" s="27"/>
    </row>
    <row r="334">
      <c r="C334" s="27"/>
      <c r="D334" s="27"/>
      <c r="E334" s="27"/>
      <c r="F334" s="27"/>
      <c r="G334" s="27"/>
      <c r="H334" s="27"/>
      <c r="I334" s="27"/>
      <c r="J334" s="27"/>
    </row>
    <row r="335">
      <c r="C335" s="27"/>
      <c r="D335" s="27"/>
      <c r="E335" s="27"/>
      <c r="F335" s="27"/>
      <c r="G335" s="27"/>
      <c r="H335" s="27"/>
      <c r="I335" s="27"/>
      <c r="J335" s="27"/>
    </row>
    <row r="336">
      <c r="C336" s="27"/>
      <c r="D336" s="27"/>
      <c r="E336" s="27"/>
      <c r="F336" s="27"/>
      <c r="G336" s="27"/>
      <c r="H336" s="27"/>
      <c r="I336" s="27"/>
      <c r="J336" s="27"/>
    </row>
    <row r="337">
      <c r="C337" s="27"/>
      <c r="D337" s="27"/>
      <c r="E337" s="27"/>
      <c r="F337" s="27"/>
      <c r="G337" s="27"/>
      <c r="H337" s="27"/>
      <c r="I337" s="27"/>
      <c r="J337" s="27"/>
    </row>
    <row r="338">
      <c r="C338" s="27"/>
      <c r="D338" s="27"/>
      <c r="E338" s="27"/>
      <c r="F338" s="27"/>
      <c r="G338" s="27"/>
      <c r="H338" s="27"/>
      <c r="I338" s="27"/>
      <c r="J338" s="27"/>
    </row>
    <row r="339">
      <c r="C339" s="27"/>
      <c r="D339" s="27"/>
      <c r="E339" s="27"/>
      <c r="F339" s="27"/>
      <c r="G339" s="27"/>
      <c r="H339" s="27"/>
      <c r="I339" s="27"/>
      <c r="J339" s="27"/>
    </row>
    <row r="340">
      <c r="C340" s="27"/>
      <c r="D340" s="27"/>
      <c r="E340" s="27"/>
      <c r="F340" s="27"/>
      <c r="G340" s="27"/>
      <c r="H340" s="27"/>
      <c r="I340" s="27"/>
      <c r="J340" s="27"/>
    </row>
    <row r="341">
      <c r="C341" s="27"/>
      <c r="D341" s="27"/>
      <c r="E341" s="27"/>
      <c r="F341" s="27"/>
      <c r="G341" s="27"/>
      <c r="H341" s="27"/>
      <c r="I341" s="27"/>
      <c r="J341" s="27"/>
    </row>
    <row r="342">
      <c r="C342" s="27"/>
      <c r="D342" s="27"/>
      <c r="E342" s="27"/>
      <c r="F342" s="27"/>
      <c r="G342" s="27"/>
      <c r="H342" s="27"/>
      <c r="I342" s="27"/>
      <c r="J342" s="27"/>
    </row>
    <row r="343">
      <c r="C343" s="27"/>
      <c r="D343" s="27"/>
      <c r="E343" s="27"/>
      <c r="F343" s="27"/>
      <c r="G343" s="27"/>
      <c r="H343" s="27"/>
      <c r="I343" s="27"/>
      <c r="J343" s="27"/>
    </row>
    <row r="344">
      <c r="C344" s="27"/>
      <c r="D344" s="27"/>
      <c r="E344" s="27"/>
      <c r="F344" s="27"/>
      <c r="G344" s="27"/>
      <c r="H344" s="27"/>
      <c r="I344" s="27"/>
      <c r="J344" s="27"/>
    </row>
    <row r="345">
      <c r="C345" s="27"/>
      <c r="D345" s="27"/>
      <c r="E345" s="27"/>
      <c r="F345" s="27"/>
      <c r="G345" s="27"/>
      <c r="H345" s="27"/>
      <c r="I345" s="27"/>
      <c r="J345" s="27"/>
    </row>
    <row r="346">
      <c r="C346" s="27"/>
      <c r="D346" s="27"/>
      <c r="E346" s="27"/>
      <c r="F346" s="27"/>
      <c r="G346" s="27"/>
      <c r="H346" s="27"/>
      <c r="I346" s="27"/>
      <c r="J346" s="27"/>
    </row>
    <row r="347">
      <c r="C347" s="27"/>
      <c r="D347" s="27"/>
      <c r="E347" s="27"/>
      <c r="F347" s="27"/>
      <c r="G347" s="27"/>
      <c r="H347" s="27"/>
      <c r="I347" s="27"/>
      <c r="J347" s="27"/>
    </row>
    <row r="348">
      <c r="C348" s="27"/>
      <c r="D348" s="27"/>
      <c r="E348" s="27"/>
      <c r="F348" s="27"/>
      <c r="G348" s="27"/>
      <c r="H348" s="27"/>
      <c r="I348" s="27"/>
      <c r="J348" s="27"/>
    </row>
    <row r="349">
      <c r="C349" s="27"/>
      <c r="D349" s="27"/>
      <c r="E349" s="27"/>
      <c r="F349" s="27"/>
      <c r="G349" s="27"/>
      <c r="H349" s="27"/>
      <c r="I349" s="27"/>
      <c r="J349" s="27"/>
    </row>
    <row r="350">
      <c r="C350" s="27"/>
      <c r="D350" s="27"/>
      <c r="E350" s="27"/>
      <c r="F350" s="27"/>
      <c r="G350" s="27"/>
      <c r="H350" s="27"/>
      <c r="I350" s="27"/>
      <c r="J350" s="27"/>
    </row>
    <row r="351">
      <c r="C351" s="27"/>
      <c r="D351" s="27"/>
      <c r="E351" s="27"/>
      <c r="F351" s="27"/>
      <c r="G351" s="27"/>
      <c r="H351" s="27"/>
      <c r="I351" s="27"/>
      <c r="J351" s="27"/>
    </row>
    <row r="352">
      <c r="C352" s="27"/>
      <c r="D352" s="27"/>
      <c r="E352" s="27"/>
      <c r="F352" s="27"/>
      <c r="G352" s="27"/>
      <c r="H352" s="27"/>
      <c r="I352" s="27"/>
      <c r="J352" s="27"/>
    </row>
    <row r="353">
      <c r="C353" s="27"/>
      <c r="D353" s="27"/>
      <c r="E353" s="27"/>
      <c r="F353" s="27"/>
      <c r="G353" s="27"/>
      <c r="H353" s="27"/>
      <c r="I353" s="27"/>
      <c r="J353" s="27"/>
    </row>
    <row r="354">
      <c r="C354" s="27"/>
      <c r="D354" s="27"/>
      <c r="E354" s="27"/>
      <c r="F354" s="27"/>
      <c r="G354" s="27"/>
      <c r="H354" s="27"/>
      <c r="I354" s="27"/>
      <c r="J354" s="27"/>
    </row>
    <row r="355">
      <c r="C355" s="27"/>
      <c r="D355" s="27"/>
      <c r="E355" s="27"/>
      <c r="F355" s="27"/>
      <c r="G355" s="27"/>
      <c r="H355" s="27"/>
      <c r="I355" s="27"/>
      <c r="J355" s="27"/>
    </row>
    <row r="356">
      <c r="C356" s="27"/>
      <c r="D356" s="27"/>
      <c r="E356" s="27"/>
      <c r="F356" s="27"/>
      <c r="G356" s="27"/>
      <c r="H356" s="27"/>
      <c r="I356" s="27"/>
      <c r="J356" s="27"/>
    </row>
    <row r="357">
      <c r="C357" s="27"/>
      <c r="D357" s="27"/>
      <c r="E357" s="27"/>
      <c r="F357" s="27"/>
      <c r="G357" s="27"/>
      <c r="H357" s="27"/>
      <c r="I357" s="27"/>
      <c r="J357" s="27"/>
    </row>
    <row r="358">
      <c r="C358" s="27"/>
      <c r="D358" s="27"/>
      <c r="E358" s="27"/>
      <c r="F358" s="27"/>
      <c r="G358" s="27"/>
      <c r="H358" s="27"/>
      <c r="I358" s="27"/>
      <c r="J358" s="27"/>
    </row>
    <row r="359">
      <c r="C359" s="27"/>
      <c r="D359" s="27"/>
      <c r="E359" s="27"/>
      <c r="F359" s="27"/>
      <c r="G359" s="27"/>
      <c r="H359" s="27"/>
      <c r="I359" s="27"/>
      <c r="J359" s="27"/>
    </row>
    <row r="360">
      <c r="C360" s="27"/>
      <c r="D360" s="27"/>
      <c r="E360" s="27"/>
      <c r="F360" s="27"/>
      <c r="G360" s="27"/>
      <c r="H360" s="27"/>
      <c r="I360" s="27"/>
      <c r="J360" s="27"/>
    </row>
    <row r="361">
      <c r="C361" s="27"/>
      <c r="D361" s="27"/>
      <c r="E361" s="27"/>
      <c r="F361" s="27"/>
      <c r="G361" s="27"/>
      <c r="H361" s="27"/>
      <c r="I361" s="27"/>
      <c r="J361" s="27"/>
    </row>
    <row r="362">
      <c r="C362" s="27"/>
      <c r="D362" s="27"/>
      <c r="E362" s="27"/>
      <c r="F362" s="27"/>
      <c r="G362" s="27"/>
      <c r="H362" s="27"/>
      <c r="I362" s="27"/>
      <c r="J362" s="27"/>
    </row>
    <row r="363">
      <c r="C363" s="27"/>
      <c r="D363" s="27"/>
      <c r="E363" s="27"/>
      <c r="F363" s="27"/>
      <c r="G363" s="27"/>
      <c r="H363" s="27"/>
      <c r="I363" s="27"/>
      <c r="J363" s="27"/>
    </row>
    <row r="364">
      <c r="C364" s="27"/>
      <c r="D364" s="27"/>
      <c r="E364" s="27"/>
      <c r="F364" s="27"/>
      <c r="G364" s="27"/>
      <c r="H364" s="27"/>
      <c r="I364" s="27"/>
      <c r="J364" s="27"/>
    </row>
    <row r="365">
      <c r="C365" s="27"/>
      <c r="D365" s="27"/>
      <c r="E365" s="27"/>
      <c r="F365" s="27"/>
      <c r="G365" s="27"/>
      <c r="H365" s="27"/>
      <c r="I365" s="27"/>
      <c r="J365" s="27"/>
    </row>
    <row r="366">
      <c r="C366" s="27"/>
      <c r="D366" s="27"/>
      <c r="E366" s="27"/>
      <c r="F366" s="27"/>
      <c r="G366" s="27"/>
      <c r="H366" s="27"/>
      <c r="I366" s="27"/>
      <c r="J366" s="27"/>
    </row>
    <row r="367">
      <c r="C367" s="27"/>
      <c r="D367" s="27"/>
      <c r="E367" s="27"/>
      <c r="F367" s="27"/>
      <c r="G367" s="27"/>
      <c r="H367" s="27"/>
      <c r="I367" s="27"/>
      <c r="J367" s="27"/>
    </row>
    <row r="368">
      <c r="C368" s="27"/>
      <c r="D368" s="27"/>
      <c r="E368" s="27"/>
      <c r="F368" s="27"/>
      <c r="G368" s="27"/>
      <c r="H368" s="27"/>
      <c r="I368" s="27"/>
      <c r="J368" s="27"/>
    </row>
    <row r="369">
      <c r="C369" s="27"/>
      <c r="D369" s="27"/>
      <c r="E369" s="27"/>
      <c r="F369" s="27"/>
      <c r="G369" s="27"/>
      <c r="H369" s="27"/>
      <c r="I369" s="27"/>
      <c r="J369" s="27"/>
    </row>
    <row r="370">
      <c r="C370" s="27"/>
      <c r="D370" s="27"/>
      <c r="E370" s="27"/>
      <c r="F370" s="27"/>
      <c r="G370" s="27"/>
      <c r="H370" s="27"/>
      <c r="I370" s="27"/>
      <c r="J370" s="27"/>
    </row>
    <row r="371">
      <c r="C371" s="27"/>
      <c r="D371" s="27"/>
      <c r="E371" s="27"/>
      <c r="F371" s="27"/>
      <c r="G371" s="27"/>
      <c r="H371" s="27"/>
      <c r="I371" s="27"/>
      <c r="J371" s="27"/>
    </row>
    <row r="372">
      <c r="C372" s="27"/>
      <c r="D372" s="27"/>
      <c r="E372" s="27"/>
      <c r="F372" s="27"/>
      <c r="G372" s="27"/>
      <c r="H372" s="27"/>
      <c r="I372" s="27"/>
      <c r="J372" s="27"/>
    </row>
    <row r="373">
      <c r="C373" s="27"/>
      <c r="D373" s="27"/>
      <c r="E373" s="27"/>
      <c r="F373" s="27"/>
      <c r="G373" s="27"/>
      <c r="H373" s="27"/>
      <c r="I373" s="27"/>
      <c r="J373" s="27"/>
    </row>
    <row r="374">
      <c r="C374" s="27"/>
      <c r="D374" s="27"/>
      <c r="E374" s="27"/>
      <c r="F374" s="27"/>
      <c r="G374" s="27"/>
      <c r="H374" s="27"/>
      <c r="I374" s="27"/>
      <c r="J374" s="27"/>
    </row>
    <row r="375">
      <c r="C375" s="27"/>
      <c r="D375" s="27"/>
      <c r="E375" s="27"/>
      <c r="F375" s="27"/>
      <c r="G375" s="27"/>
      <c r="H375" s="27"/>
      <c r="I375" s="27"/>
      <c r="J375" s="27"/>
    </row>
    <row r="376">
      <c r="C376" s="27"/>
      <c r="D376" s="27"/>
      <c r="E376" s="27"/>
      <c r="F376" s="27"/>
      <c r="G376" s="27"/>
      <c r="H376" s="27"/>
      <c r="I376" s="27"/>
      <c r="J376" s="27"/>
    </row>
    <row r="377">
      <c r="C377" s="27"/>
      <c r="D377" s="27"/>
      <c r="E377" s="27"/>
      <c r="F377" s="27"/>
      <c r="G377" s="27"/>
      <c r="H377" s="27"/>
      <c r="I377" s="27"/>
      <c r="J377" s="27"/>
    </row>
    <row r="378">
      <c r="C378" s="27"/>
      <c r="D378" s="27"/>
      <c r="E378" s="27"/>
      <c r="F378" s="27"/>
      <c r="G378" s="27"/>
      <c r="H378" s="27"/>
      <c r="I378" s="27"/>
      <c r="J378" s="27"/>
    </row>
    <row r="379">
      <c r="C379" s="27"/>
      <c r="D379" s="27"/>
      <c r="E379" s="27"/>
      <c r="F379" s="27"/>
      <c r="G379" s="27"/>
      <c r="H379" s="27"/>
      <c r="I379" s="27"/>
      <c r="J379" s="27"/>
    </row>
    <row r="380">
      <c r="C380" s="27"/>
      <c r="D380" s="27"/>
      <c r="E380" s="27"/>
      <c r="F380" s="27"/>
      <c r="G380" s="27"/>
      <c r="H380" s="27"/>
      <c r="I380" s="27"/>
      <c r="J380" s="27"/>
    </row>
    <row r="381">
      <c r="C381" s="27"/>
      <c r="D381" s="27"/>
      <c r="E381" s="27"/>
      <c r="F381" s="27"/>
      <c r="G381" s="27"/>
      <c r="H381" s="27"/>
      <c r="I381" s="27"/>
      <c r="J381" s="27"/>
    </row>
    <row r="382">
      <c r="C382" s="27"/>
      <c r="D382" s="27"/>
      <c r="E382" s="27"/>
      <c r="F382" s="27"/>
      <c r="G382" s="27"/>
      <c r="H382" s="27"/>
      <c r="I382" s="27"/>
      <c r="J382" s="27"/>
    </row>
    <row r="383">
      <c r="C383" s="27"/>
      <c r="D383" s="27"/>
      <c r="E383" s="27"/>
      <c r="F383" s="27"/>
      <c r="G383" s="27"/>
      <c r="H383" s="27"/>
      <c r="I383" s="27"/>
      <c r="J383" s="27"/>
    </row>
    <row r="384">
      <c r="C384" s="27"/>
      <c r="D384" s="27"/>
      <c r="E384" s="27"/>
      <c r="F384" s="27"/>
      <c r="G384" s="27"/>
      <c r="H384" s="27"/>
      <c r="I384" s="27"/>
      <c r="J384" s="27"/>
    </row>
    <row r="385">
      <c r="C385" s="27"/>
      <c r="D385" s="27"/>
      <c r="E385" s="27"/>
      <c r="F385" s="27"/>
      <c r="G385" s="27"/>
      <c r="H385" s="27"/>
      <c r="I385" s="27"/>
      <c r="J385" s="27"/>
    </row>
    <row r="386">
      <c r="C386" s="27"/>
      <c r="D386" s="27"/>
      <c r="E386" s="27"/>
      <c r="F386" s="27"/>
      <c r="G386" s="27"/>
      <c r="H386" s="27"/>
      <c r="I386" s="27"/>
      <c r="J386" s="27"/>
    </row>
    <row r="387">
      <c r="C387" s="27"/>
      <c r="D387" s="27"/>
      <c r="E387" s="27"/>
      <c r="F387" s="27"/>
      <c r="G387" s="27"/>
      <c r="H387" s="27"/>
      <c r="I387" s="27"/>
      <c r="J387" s="27"/>
    </row>
    <row r="388">
      <c r="C388" s="27"/>
      <c r="D388" s="27"/>
      <c r="E388" s="27"/>
      <c r="F388" s="27"/>
      <c r="G388" s="27"/>
      <c r="H388" s="27"/>
      <c r="I388" s="27"/>
      <c r="J388" s="27"/>
    </row>
    <row r="389">
      <c r="C389" s="27"/>
      <c r="D389" s="27"/>
      <c r="E389" s="27"/>
      <c r="F389" s="27"/>
      <c r="G389" s="27"/>
      <c r="H389" s="27"/>
      <c r="I389" s="27"/>
      <c r="J389" s="27"/>
    </row>
    <row r="390">
      <c r="C390" s="27"/>
      <c r="D390" s="27"/>
      <c r="E390" s="27"/>
      <c r="F390" s="27"/>
      <c r="G390" s="27"/>
      <c r="H390" s="27"/>
      <c r="I390" s="27"/>
      <c r="J390" s="27"/>
    </row>
    <row r="391">
      <c r="C391" s="27"/>
      <c r="D391" s="27"/>
      <c r="E391" s="27"/>
      <c r="F391" s="27"/>
      <c r="G391" s="27"/>
      <c r="H391" s="27"/>
      <c r="I391" s="27"/>
      <c r="J391" s="27"/>
    </row>
    <row r="392">
      <c r="C392" s="27"/>
      <c r="D392" s="27"/>
      <c r="E392" s="27"/>
      <c r="F392" s="27"/>
      <c r="G392" s="27"/>
      <c r="H392" s="27"/>
      <c r="I392" s="27"/>
      <c r="J392" s="27"/>
    </row>
    <row r="393">
      <c r="C393" s="27"/>
      <c r="D393" s="27"/>
      <c r="E393" s="27"/>
      <c r="F393" s="27"/>
      <c r="G393" s="27"/>
      <c r="H393" s="27"/>
      <c r="I393" s="27"/>
      <c r="J393" s="27"/>
    </row>
    <row r="394">
      <c r="C394" s="27"/>
      <c r="D394" s="27"/>
      <c r="E394" s="27"/>
      <c r="F394" s="27"/>
      <c r="G394" s="27"/>
      <c r="H394" s="27"/>
      <c r="I394" s="27"/>
      <c r="J394" s="27"/>
    </row>
    <row r="395">
      <c r="C395" s="27"/>
      <c r="D395" s="27"/>
      <c r="E395" s="27"/>
      <c r="F395" s="27"/>
      <c r="G395" s="27"/>
      <c r="H395" s="27"/>
      <c r="I395" s="27"/>
      <c r="J395" s="27"/>
    </row>
    <row r="396">
      <c r="C396" s="27"/>
      <c r="D396" s="27"/>
      <c r="E396" s="27"/>
      <c r="F396" s="27"/>
      <c r="G396" s="27"/>
      <c r="H396" s="27"/>
      <c r="I396" s="27"/>
      <c r="J396" s="27"/>
    </row>
    <row r="397">
      <c r="C397" s="27"/>
      <c r="D397" s="27"/>
      <c r="E397" s="27"/>
      <c r="F397" s="27"/>
      <c r="G397" s="27"/>
      <c r="H397" s="27"/>
      <c r="I397" s="27"/>
      <c r="J397" s="27"/>
    </row>
    <row r="398">
      <c r="C398" s="27"/>
      <c r="D398" s="27"/>
      <c r="E398" s="27"/>
      <c r="F398" s="27"/>
      <c r="G398" s="27"/>
      <c r="H398" s="27"/>
      <c r="I398" s="27"/>
      <c r="J398" s="27"/>
    </row>
    <row r="399">
      <c r="C399" s="27"/>
      <c r="D399" s="27"/>
      <c r="E399" s="27"/>
      <c r="F399" s="27"/>
      <c r="G399" s="27"/>
      <c r="H399" s="27"/>
      <c r="I399" s="27"/>
      <c r="J399" s="27"/>
    </row>
    <row r="400">
      <c r="C400" s="27"/>
      <c r="D400" s="27"/>
      <c r="E400" s="27"/>
      <c r="F400" s="27"/>
      <c r="G400" s="27"/>
      <c r="H400" s="27"/>
      <c r="I400" s="27"/>
      <c r="J400" s="27"/>
    </row>
    <row r="401">
      <c r="C401" s="27"/>
      <c r="D401" s="27"/>
      <c r="E401" s="27"/>
      <c r="F401" s="27"/>
      <c r="G401" s="27"/>
      <c r="H401" s="27"/>
      <c r="I401" s="27"/>
      <c r="J401" s="27"/>
    </row>
    <row r="402">
      <c r="C402" s="27"/>
      <c r="D402" s="27"/>
      <c r="E402" s="27"/>
      <c r="F402" s="27"/>
      <c r="G402" s="27"/>
      <c r="H402" s="27"/>
      <c r="I402" s="27"/>
      <c r="J402" s="27"/>
    </row>
    <row r="403">
      <c r="C403" s="27"/>
      <c r="D403" s="27"/>
      <c r="E403" s="27"/>
      <c r="F403" s="27"/>
      <c r="G403" s="27"/>
      <c r="H403" s="27"/>
      <c r="I403" s="27"/>
      <c r="J403" s="27"/>
    </row>
    <row r="404">
      <c r="C404" s="27"/>
      <c r="D404" s="27"/>
      <c r="E404" s="27"/>
      <c r="F404" s="27"/>
      <c r="G404" s="27"/>
      <c r="H404" s="27"/>
      <c r="I404" s="27"/>
      <c r="J404" s="27"/>
    </row>
    <row r="405">
      <c r="C405" s="27"/>
      <c r="D405" s="27"/>
      <c r="E405" s="27"/>
      <c r="F405" s="27"/>
      <c r="G405" s="27"/>
      <c r="H405" s="27"/>
      <c r="I405" s="27"/>
      <c r="J405" s="27"/>
    </row>
    <row r="406">
      <c r="C406" s="27"/>
      <c r="D406" s="27"/>
      <c r="E406" s="27"/>
      <c r="F406" s="27"/>
      <c r="G406" s="27"/>
      <c r="H406" s="27"/>
      <c r="I406" s="27"/>
      <c r="J406" s="27"/>
    </row>
    <row r="407">
      <c r="C407" s="27"/>
      <c r="D407" s="27"/>
      <c r="E407" s="27"/>
      <c r="F407" s="27"/>
      <c r="G407" s="27"/>
      <c r="H407" s="27"/>
      <c r="I407" s="27"/>
      <c r="J407" s="27"/>
    </row>
    <row r="408">
      <c r="C408" s="27"/>
      <c r="D408" s="27"/>
      <c r="E408" s="27"/>
      <c r="F408" s="27"/>
      <c r="G408" s="27"/>
      <c r="H408" s="27"/>
      <c r="I408" s="27"/>
      <c r="J408" s="27"/>
    </row>
    <row r="409">
      <c r="C409" s="27"/>
      <c r="D409" s="27"/>
      <c r="E409" s="27"/>
      <c r="F409" s="27"/>
      <c r="G409" s="27"/>
      <c r="H409" s="27"/>
      <c r="I409" s="27"/>
      <c r="J409" s="27"/>
    </row>
    <row r="410">
      <c r="C410" s="27"/>
      <c r="D410" s="27"/>
      <c r="E410" s="27"/>
      <c r="F410" s="27"/>
      <c r="G410" s="27"/>
      <c r="H410" s="27"/>
      <c r="I410" s="27"/>
      <c r="J410" s="27"/>
    </row>
    <row r="411">
      <c r="C411" s="27"/>
      <c r="D411" s="27"/>
      <c r="E411" s="27"/>
      <c r="F411" s="27"/>
      <c r="G411" s="27"/>
      <c r="H411" s="27"/>
      <c r="I411" s="27"/>
      <c r="J411" s="27"/>
    </row>
    <row r="412">
      <c r="C412" s="27"/>
      <c r="D412" s="27"/>
      <c r="E412" s="27"/>
      <c r="F412" s="27"/>
      <c r="G412" s="27"/>
      <c r="H412" s="27"/>
      <c r="I412" s="27"/>
      <c r="J412" s="27"/>
    </row>
    <row r="413">
      <c r="C413" s="27"/>
      <c r="D413" s="27"/>
      <c r="E413" s="27"/>
      <c r="F413" s="27"/>
      <c r="G413" s="27"/>
      <c r="H413" s="27"/>
      <c r="I413" s="27"/>
      <c r="J413" s="27"/>
    </row>
    <row r="414">
      <c r="C414" s="27"/>
      <c r="D414" s="27"/>
      <c r="E414" s="27"/>
      <c r="F414" s="27"/>
      <c r="G414" s="27"/>
      <c r="H414" s="27"/>
      <c r="I414" s="27"/>
      <c r="J414" s="27"/>
    </row>
    <row r="415">
      <c r="C415" s="27"/>
      <c r="D415" s="27"/>
      <c r="E415" s="27"/>
      <c r="F415" s="27"/>
      <c r="G415" s="27"/>
      <c r="H415" s="27"/>
      <c r="I415" s="27"/>
      <c r="J415" s="27"/>
    </row>
    <row r="416">
      <c r="C416" s="27"/>
      <c r="D416" s="27"/>
      <c r="E416" s="27"/>
      <c r="F416" s="27"/>
      <c r="G416" s="27"/>
      <c r="H416" s="27"/>
      <c r="I416" s="27"/>
      <c r="J416" s="27"/>
    </row>
    <row r="417">
      <c r="C417" s="27"/>
      <c r="D417" s="27"/>
      <c r="E417" s="27"/>
      <c r="F417" s="27"/>
      <c r="G417" s="27"/>
      <c r="H417" s="27"/>
      <c r="I417" s="27"/>
      <c r="J417" s="27"/>
    </row>
    <row r="418">
      <c r="C418" s="27"/>
      <c r="D418" s="27"/>
      <c r="E418" s="27"/>
      <c r="F418" s="27"/>
      <c r="G418" s="27"/>
      <c r="H418" s="27"/>
      <c r="I418" s="27"/>
      <c r="J418" s="27"/>
    </row>
    <row r="419">
      <c r="C419" s="27"/>
      <c r="D419" s="27"/>
      <c r="E419" s="27"/>
      <c r="F419" s="27"/>
      <c r="G419" s="27"/>
      <c r="H419" s="27"/>
      <c r="I419" s="27"/>
      <c r="J419" s="27"/>
    </row>
    <row r="420">
      <c r="C420" s="27"/>
      <c r="D420" s="27"/>
      <c r="E420" s="27"/>
      <c r="F420" s="27"/>
      <c r="G420" s="27"/>
      <c r="H420" s="27"/>
      <c r="I420" s="27"/>
      <c r="J420" s="27"/>
    </row>
    <row r="421">
      <c r="C421" s="27"/>
      <c r="D421" s="27"/>
      <c r="E421" s="27"/>
      <c r="F421" s="27"/>
      <c r="G421" s="27"/>
      <c r="H421" s="27"/>
      <c r="I421" s="27"/>
      <c r="J421" s="27"/>
    </row>
    <row r="422">
      <c r="C422" s="27"/>
      <c r="D422" s="27"/>
      <c r="E422" s="27"/>
      <c r="F422" s="27"/>
      <c r="G422" s="27"/>
      <c r="H422" s="27"/>
      <c r="I422" s="27"/>
      <c r="J422" s="27"/>
    </row>
    <row r="423">
      <c r="C423" s="27"/>
      <c r="D423" s="27"/>
      <c r="E423" s="27"/>
      <c r="F423" s="27"/>
      <c r="G423" s="27"/>
      <c r="H423" s="27"/>
      <c r="I423" s="27"/>
      <c r="J423" s="27"/>
    </row>
    <row r="424">
      <c r="C424" s="27"/>
      <c r="D424" s="27"/>
      <c r="E424" s="27"/>
      <c r="F424" s="27"/>
      <c r="G424" s="27"/>
      <c r="H424" s="27"/>
      <c r="I424" s="27"/>
      <c r="J424" s="27"/>
    </row>
    <row r="425">
      <c r="C425" s="27"/>
      <c r="D425" s="27"/>
      <c r="E425" s="27"/>
      <c r="F425" s="27"/>
      <c r="G425" s="27"/>
      <c r="H425" s="27"/>
      <c r="I425" s="27"/>
      <c r="J425" s="27"/>
    </row>
    <row r="426">
      <c r="C426" s="27"/>
      <c r="D426" s="27"/>
      <c r="E426" s="27"/>
      <c r="F426" s="27"/>
      <c r="G426" s="27"/>
      <c r="H426" s="27"/>
      <c r="I426" s="27"/>
      <c r="J426" s="27"/>
    </row>
    <row r="427">
      <c r="C427" s="27"/>
      <c r="D427" s="27"/>
      <c r="E427" s="27"/>
      <c r="F427" s="27"/>
      <c r="G427" s="27"/>
      <c r="H427" s="27"/>
      <c r="I427" s="27"/>
      <c r="J427" s="27"/>
    </row>
    <row r="428">
      <c r="C428" s="27"/>
      <c r="D428" s="27"/>
      <c r="E428" s="27"/>
      <c r="F428" s="27"/>
      <c r="G428" s="27"/>
      <c r="H428" s="27"/>
      <c r="I428" s="27"/>
      <c r="J428" s="27"/>
    </row>
    <row r="429">
      <c r="C429" s="27"/>
      <c r="D429" s="27"/>
      <c r="E429" s="27"/>
      <c r="F429" s="27"/>
      <c r="G429" s="27"/>
      <c r="H429" s="27"/>
      <c r="I429" s="27"/>
      <c r="J429" s="27"/>
    </row>
    <row r="430">
      <c r="C430" s="27"/>
      <c r="D430" s="27"/>
      <c r="E430" s="27"/>
      <c r="F430" s="27"/>
      <c r="G430" s="27"/>
      <c r="H430" s="27"/>
      <c r="I430" s="27"/>
      <c r="J430" s="27"/>
    </row>
    <row r="431">
      <c r="C431" s="27"/>
      <c r="D431" s="27"/>
      <c r="E431" s="27"/>
      <c r="F431" s="27"/>
      <c r="G431" s="27"/>
      <c r="H431" s="27"/>
      <c r="I431" s="27"/>
      <c r="J431" s="27"/>
    </row>
    <row r="432">
      <c r="C432" s="27"/>
      <c r="D432" s="27"/>
      <c r="E432" s="27"/>
      <c r="F432" s="27"/>
      <c r="G432" s="27"/>
      <c r="H432" s="27"/>
      <c r="I432" s="27"/>
      <c r="J432" s="27"/>
    </row>
    <row r="433">
      <c r="C433" s="27"/>
      <c r="D433" s="27"/>
      <c r="E433" s="27"/>
      <c r="F433" s="27"/>
      <c r="G433" s="27"/>
      <c r="H433" s="27"/>
      <c r="I433" s="27"/>
      <c r="J433" s="27"/>
    </row>
    <row r="434">
      <c r="C434" s="27"/>
      <c r="D434" s="27"/>
      <c r="E434" s="27"/>
      <c r="F434" s="27"/>
      <c r="G434" s="27"/>
      <c r="H434" s="27"/>
      <c r="I434" s="27"/>
      <c r="J434" s="27"/>
    </row>
    <row r="435">
      <c r="C435" s="27"/>
      <c r="D435" s="27"/>
      <c r="E435" s="27"/>
      <c r="F435" s="27"/>
      <c r="G435" s="27"/>
      <c r="H435" s="27"/>
      <c r="I435" s="27"/>
      <c r="J435" s="27"/>
    </row>
    <row r="436">
      <c r="C436" s="27"/>
      <c r="D436" s="27"/>
      <c r="E436" s="27"/>
      <c r="F436" s="27"/>
      <c r="G436" s="27"/>
      <c r="H436" s="27"/>
      <c r="I436" s="27"/>
      <c r="J436" s="27"/>
    </row>
    <row r="437">
      <c r="C437" s="27"/>
      <c r="D437" s="27"/>
      <c r="E437" s="27"/>
      <c r="F437" s="27"/>
      <c r="G437" s="27"/>
      <c r="H437" s="27"/>
      <c r="I437" s="27"/>
      <c r="J437" s="27"/>
    </row>
    <row r="438">
      <c r="C438" s="27"/>
      <c r="D438" s="27"/>
      <c r="E438" s="27"/>
      <c r="F438" s="27"/>
      <c r="G438" s="27"/>
      <c r="H438" s="27"/>
      <c r="I438" s="27"/>
      <c r="J438" s="27"/>
    </row>
    <row r="439">
      <c r="C439" s="27"/>
      <c r="D439" s="27"/>
      <c r="E439" s="27"/>
      <c r="F439" s="27"/>
      <c r="G439" s="27"/>
      <c r="H439" s="27"/>
      <c r="I439" s="27"/>
      <c r="J439" s="27"/>
    </row>
    <row r="440">
      <c r="C440" s="27"/>
      <c r="D440" s="27"/>
      <c r="E440" s="27"/>
      <c r="F440" s="27"/>
      <c r="G440" s="27"/>
      <c r="H440" s="27"/>
      <c r="I440" s="27"/>
      <c r="J440" s="27"/>
    </row>
    <row r="441">
      <c r="C441" s="27"/>
      <c r="D441" s="27"/>
      <c r="E441" s="27"/>
      <c r="F441" s="27"/>
      <c r="G441" s="27"/>
      <c r="H441" s="27"/>
      <c r="I441" s="27"/>
      <c r="J441" s="27"/>
    </row>
    <row r="442">
      <c r="C442" s="27"/>
      <c r="D442" s="27"/>
      <c r="E442" s="27"/>
      <c r="F442" s="27"/>
      <c r="G442" s="27"/>
      <c r="H442" s="27"/>
      <c r="I442" s="27"/>
      <c r="J442" s="27"/>
    </row>
    <row r="443">
      <c r="C443" s="27"/>
      <c r="D443" s="27"/>
      <c r="E443" s="27"/>
      <c r="F443" s="27"/>
      <c r="G443" s="27"/>
      <c r="H443" s="27"/>
      <c r="I443" s="27"/>
      <c r="J443" s="27"/>
    </row>
    <row r="444">
      <c r="C444" s="27"/>
      <c r="D444" s="27"/>
      <c r="E444" s="27"/>
      <c r="F444" s="27"/>
      <c r="G444" s="27"/>
      <c r="H444" s="27"/>
      <c r="I444" s="27"/>
      <c r="J444" s="27"/>
    </row>
    <row r="445">
      <c r="C445" s="27"/>
      <c r="D445" s="27"/>
      <c r="E445" s="27"/>
      <c r="F445" s="27"/>
      <c r="G445" s="27"/>
      <c r="H445" s="27"/>
      <c r="I445" s="27"/>
      <c r="J445" s="27"/>
    </row>
    <row r="446">
      <c r="C446" s="27"/>
      <c r="D446" s="27"/>
      <c r="E446" s="27"/>
      <c r="F446" s="27"/>
      <c r="G446" s="27"/>
      <c r="H446" s="27"/>
      <c r="I446" s="27"/>
      <c r="J446" s="27"/>
    </row>
    <row r="447">
      <c r="C447" s="27"/>
      <c r="D447" s="27"/>
      <c r="E447" s="27"/>
      <c r="F447" s="27"/>
      <c r="G447" s="27"/>
      <c r="H447" s="27"/>
      <c r="I447" s="27"/>
      <c r="J447" s="27"/>
    </row>
    <row r="448">
      <c r="C448" s="27"/>
      <c r="D448" s="27"/>
      <c r="E448" s="27"/>
      <c r="F448" s="27"/>
      <c r="G448" s="27"/>
      <c r="H448" s="27"/>
      <c r="I448" s="27"/>
      <c r="J448" s="27"/>
    </row>
    <row r="449">
      <c r="C449" s="27"/>
      <c r="D449" s="27"/>
      <c r="E449" s="27"/>
      <c r="F449" s="27"/>
      <c r="G449" s="27"/>
      <c r="H449" s="27"/>
      <c r="I449" s="27"/>
      <c r="J449" s="27"/>
    </row>
    <row r="450">
      <c r="C450" s="27"/>
      <c r="D450" s="27"/>
      <c r="E450" s="27"/>
      <c r="F450" s="27"/>
      <c r="G450" s="27"/>
      <c r="H450" s="27"/>
      <c r="I450" s="27"/>
      <c r="J450" s="27"/>
    </row>
    <row r="451">
      <c r="C451" s="27"/>
      <c r="D451" s="27"/>
      <c r="E451" s="27"/>
      <c r="F451" s="27"/>
      <c r="G451" s="27"/>
      <c r="H451" s="27"/>
      <c r="I451" s="27"/>
      <c r="J451" s="27"/>
    </row>
    <row r="452">
      <c r="C452" s="27"/>
      <c r="D452" s="27"/>
      <c r="E452" s="27"/>
      <c r="F452" s="27"/>
      <c r="G452" s="27"/>
      <c r="H452" s="27"/>
      <c r="I452" s="27"/>
      <c r="J452" s="27"/>
    </row>
    <row r="453">
      <c r="C453" s="27"/>
      <c r="D453" s="27"/>
      <c r="E453" s="27"/>
      <c r="F453" s="27"/>
      <c r="G453" s="27"/>
      <c r="H453" s="27"/>
      <c r="I453" s="27"/>
      <c r="J453" s="27"/>
    </row>
    <row r="454">
      <c r="C454" s="27"/>
      <c r="D454" s="27"/>
      <c r="E454" s="27"/>
      <c r="F454" s="27"/>
      <c r="G454" s="27"/>
      <c r="H454" s="27"/>
      <c r="I454" s="27"/>
      <c r="J454" s="27"/>
    </row>
    <row r="455">
      <c r="C455" s="27"/>
      <c r="D455" s="27"/>
      <c r="E455" s="27"/>
      <c r="F455" s="27"/>
      <c r="G455" s="27"/>
      <c r="H455" s="27"/>
      <c r="I455" s="27"/>
      <c r="J455" s="27"/>
    </row>
    <row r="456">
      <c r="C456" s="27"/>
      <c r="D456" s="27"/>
      <c r="E456" s="27"/>
      <c r="F456" s="27"/>
      <c r="G456" s="27"/>
      <c r="H456" s="27"/>
      <c r="I456" s="27"/>
      <c r="J456" s="27"/>
    </row>
    <row r="457">
      <c r="C457" s="27"/>
      <c r="D457" s="27"/>
      <c r="E457" s="27"/>
      <c r="F457" s="27"/>
      <c r="G457" s="27"/>
      <c r="H457" s="27"/>
      <c r="I457" s="27"/>
      <c r="J457" s="27"/>
    </row>
    <row r="458">
      <c r="C458" s="27"/>
      <c r="D458" s="27"/>
      <c r="E458" s="27"/>
      <c r="F458" s="27"/>
      <c r="G458" s="27"/>
      <c r="H458" s="27"/>
      <c r="I458" s="27"/>
      <c r="J458" s="27"/>
    </row>
    <row r="459">
      <c r="C459" s="27"/>
      <c r="D459" s="27"/>
      <c r="E459" s="27"/>
      <c r="F459" s="27"/>
      <c r="G459" s="27"/>
      <c r="H459" s="27"/>
      <c r="I459" s="27"/>
      <c r="J459" s="27"/>
    </row>
    <row r="460">
      <c r="C460" s="27"/>
      <c r="D460" s="27"/>
      <c r="E460" s="27"/>
      <c r="F460" s="27"/>
      <c r="G460" s="27"/>
      <c r="H460" s="27"/>
      <c r="I460" s="27"/>
      <c r="J460" s="27"/>
    </row>
    <row r="461">
      <c r="C461" s="27"/>
      <c r="D461" s="27"/>
      <c r="E461" s="27"/>
      <c r="F461" s="27"/>
      <c r="G461" s="27"/>
      <c r="H461" s="27"/>
      <c r="I461" s="27"/>
      <c r="J461" s="27"/>
    </row>
    <row r="462">
      <c r="C462" s="27"/>
      <c r="D462" s="27"/>
      <c r="E462" s="27"/>
      <c r="F462" s="27"/>
      <c r="G462" s="27"/>
      <c r="H462" s="27"/>
      <c r="I462" s="27"/>
      <c r="J462" s="27"/>
    </row>
    <row r="463">
      <c r="C463" s="27"/>
      <c r="D463" s="27"/>
      <c r="E463" s="27"/>
      <c r="F463" s="27"/>
      <c r="G463" s="27"/>
      <c r="H463" s="27"/>
      <c r="I463" s="27"/>
      <c r="J463" s="27"/>
    </row>
    <row r="464">
      <c r="C464" s="27"/>
      <c r="D464" s="27"/>
      <c r="E464" s="27"/>
      <c r="F464" s="27"/>
      <c r="G464" s="27"/>
      <c r="H464" s="27"/>
      <c r="I464" s="27"/>
      <c r="J464" s="27"/>
    </row>
    <row r="465">
      <c r="C465" s="27"/>
      <c r="D465" s="27"/>
      <c r="E465" s="27"/>
      <c r="F465" s="27"/>
      <c r="G465" s="27"/>
      <c r="H465" s="27"/>
      <c r="I465" s="27"/>
      <c r="J465" s="27"/>
    </row>
    <row r="466">
      <c r="C466" s="27"/>
      <c r="D466" s="27"/>
      <c r="E466" s="27"/>
      <c r="F466" s="27"/>
      <c r="G466" s="27"/>
      <c r="H466" s="27"/>
      <c r="I466" s="27"/>
      <c r="J466" s="27"/>
    </row>
    <row r="467">
      <c r="C467" s="27"/>
      <c r="D467" s="27"/>
      <c r="E467" s="27"/>
      <c r="F467" s="27"/>
      <c r="G467" s="27"/>
      <c r="H467" s="27"/>
      <c r="I467" s="27"/>
      <c r="J467" s="27"/>
    </row>
    <row r="468">
      <c r="C468" s="27"/>
      <c r="D468" s="27"/>
      <c r="E468" s="27"/>
      <c r="F468" s="27"/>
      <c r="G468" s="27"/>
      <c r="H468" s="27"/>
      <c r="I468" s="27"/>
      <c r="J468" s="27"/>
    </row>
    <row r="469">
      <c r="C469" s="27"/>
      <c r="D469" s="27"/>
      <c r="E469" s="27"/>
      <c r="F469" s="27"/>
      <c r="G469" s="27"/>
      <c r="H469" s="27"/>
      <c r="I469" s="27"/>
      <c r="J469" s="27"/>
    </row>
    <row r="470">
      <c r="C470" s="27"/>
      <c r="D470" s="27"/>
      <c r="E470" s="27"/>
      <c r="F470" s="27"/>
      <c r="G470" s="27"/>
      <c r="H470" s="27"/>
      <c r="I470" s="27"/>
      <c r="J470" s="27"/>
    </row>
    <row r="471">
      <c r="C471" s="27"/>
      <c r="D471" s="27"/>
      <c r="E471" s="27"/>
      <c r="F471" s="27"/>
      <c r="G471" s="27"/>
      <c r="H471" s="27"/>
      <c r="I471" s="27"/>
      <c r="J471" s="27"/>
    </row>
    <row r="472">
      <c r="C472" s="27"/>
      <c r="D472" s="27"/>
      <c r="E472" s="27"/>
      <c r="F472" s="27"/>
      <c r="G472" s="27"/>
      <c r="H472" s="27"/>
      <c r="I472" s="27"/>
      <c r="J472" s="27"/>
    </row>
    <row r="473">
      <c r="C473" s="27"/>
      <c r="D473" s="27"/>
      <c r="E473" s="27"/>
      <c r="F473" s="27"/>
      <c r="G473" s="27"/>
      <c r="H473" s="27"/>
      <c r="I473" s="27"/>
      <c r="J473" s="27"/>
    </row>
    <row r="474">
      <c r="C474" s="27"/>
      <c r="D474" s="27"/>
      <c r="E474" s="27"/>
      <c r="F474" s="27"/>
      <c r="G474" s="27"/>
      <c r="H474" s="27"/>
      <c r="I474" s="27"/>
      <c r="J474" s="27"/>
    </row>
    <row r="475">
      <c r="C475" s="27"/>
      <c r="D475" s="27"/>
      <c r="E475" s="27"/>
      <c r="F475" s="27"/>
      <c r="G475" s="27"/>
      <c r="H475" s="27"/>
      <c r="I475" s="27"/>
      <c r="J475" s="27"/>
    </row>
    <row r="476">
      <c r="C476" s="27"/>
      <c r="D476" s="27"/>
      <c r="E476" s="27"/>
      <c r="F476" s="27"/>
      <c r="G476" s="27"/>
      <c r="H476" s="27"/>
      <c r="I476" s="27"/>
      <c r="J476" s="27"/>
    </row>
    <row r="477">
      <c r="C477" s="27"/>
      <c r="D477" s="27"/>
      <c r="E477" s="27"/>
      <c r="F477" s="27"/>
      <c r="G477" s="27"/>
      <c r="H477" s="27"/>
      <c r="I477" s="27"/>
      <c r="J477" s="27"/>
    </row>
    <row r="478">
      <c r="C478" s="27"/>
      <c r="D478" s="27"/>
      <c r="E478" s="27"/>
      <c r="F478" s="27"/>
      <c r="G478" s="27"/>
      <c r="H478" s="27"/>
      <c r="I478" s="27"/>
      <c r="J478" s="27"/>
    </row>
    <row r="479">
      <c r="C479" s="27"/>
      <c r="D479" s="27"/>
      <c r="E479" s="27"/>
      <c r="F479" s="27"/>
      <c r="G479" s="27"/>
      <c r="H479" s="27"/>
      <c r="I479" s="27"/>
      <c r="J479" s="27"/>
    </row>
    <row r="480">
      <c r="C480" s="27"/>
      <c r="D480" s="27"/>
      <c r="E480" s="27"/>
      <c r="F480" s="27"/>
      <c r="G480" s="27"/>
      <c r="H480" s="27"/>
      <c r="I480" s="27"/>
      <c r="J480" s="27"/>
    </row>
    <row r="481">
      <c r="C481" s="27"/>
      <c r="D481" s="27"/>
      <c r="E481" s="27"/>
      <c r="F481" s="27"/>
      <c r="G481" s="27"/>
      <c r="H481" s="27"/>
      <c r="I481" s="27"/>
      <c r="J481" s="27"/>
    </row>
    <row r="482">
      <c r="C482" s="27"/>
      <c r="D482" s="27"/>
      <c r="E482" s="27"/>
      <c r="F482" s="27"/>
      <c r="G482" s="27"/>
      <c r="H482" s="27"/>
      <c r="I482" s="27"/>
      <c r="J482" s="27"/>
    </row>
    <row r="483">
      <c r="C483" s="27"/>
      <c r="D483" s="27"/>
      <c r="E483" s="27"/>
      <c r="F483" s="27"/>
      <c r="G483" s="27"/>
      <c r="H483" s="27"/>
      <c r="I483" s="27"/>
      <c r="J483" s="27"/>
    </row>
    <row r="484">
      <c r="C484" s="27"/>
      <c r="D484" s="27"/>
      <c r="E484" s="27"/>
      <c r="F484" s="27"/>
      <c r="G484" s="27"/>
      <c r="H484" s="27"/>
      <c r="I484" s="27"/>
      <c r="J484" s="27"/>
    </row>
    <row r="485">
      <c r="C485" s="27"/>
      <c r="D485" s="27"/>
      <c r="E485" s="27"/>
      <c r="F485" s="27"/>
      <c r="G485" s="27"/>
      <c r="H485" s="27"/>
      <c r="I485" s="27"/>
      <c r="J485" s="27"/>
    </row>
    <row r="486">
      <c r="C486" s="27"/>
      <c r="D486" s="27"/>
      <c r="E486" s="27"/>
      <c r="F486" s="27"/>
      <c r="G486" s="27"/>
      <c r="H486" s="27"/>
      <c r="I486" s="27"/>
      <c r="J486" s="27"/>
    </row>
    <row r="487">
      <c r="C487" s="27"/>
      <c r="D487" s="27"/>
      <c r="E487" s="27"/>
      <c r="F487" s="27"/>
      <c r="G487" s="27"/>
      <c r="H487" s="27"/>
      <c r="I487" s="27"/>
      <c r="J487" s="27"/>
    </row>
    <row r="488">
      <c r="C488" s="27"/>
      <c r="D488" s="27"/>
      <c r="E488" s="27"/>
      <c r="F488" s="27"/>
      <c r="G488" s="27"/>
      <c r="H488" s="27"/>
      <c r="I488" s="27"/>
      <c r="J488" s="27"/>
    </row>
    <row r="489">
      <c r="C489" s="27"/>
      <c r="D489" s="27"/>
      <c r="E489" s="27"/>
      <c r="F489" s="27"/>
      <c r="G489" s="27"/>
      <c r="H489" s="27"/>
      <c r="I489" s="27"/>
      <c r="J489" s="27"/>
    </row>
    <row r="490">
      <c r="C490" s="27"/>
      <c r="D490" s="27"/>
      <c r="E490" s="27"/>
      <c r="F490" s="27"/>
      <c r="G490" s="27"/>
      <c r="H490" s="27"/>
      <c r="I490" s="27"/>
      <c r="J490" s="27"/>
    </row>
    <row r="491">
      <c r="C491" s="27"/>
      <c r="D491" s="27"/>
      <c r="E491" s="27"/>
      <c r="F491" s="27"/>
      <c r="G491" s="27"/>
      <c r="H491" s="27"/>
      <c r="I491" s="27"/>
      <c r="J491" s="27"/>
    </row>
    <row r="492">
      <c r="C492" s="27"/>
      <c r="D492" s="27"/>
      <c r="E492" s="27"/>
      <c r="F492" s="27"/>
      <c r="G492" s="27"/>
      <c r="H492" s="27"/>
      <c r="I492" s="27"/>
      <c r="J492" s="27"/>
    </row>
    <row r="493">
      <c r="C493" s="27"/>
      <c r="D493" s="27"/>
      <c r="E493" s="27"/>
      <c r="F493" s="27"/>
      <c r="G493" s="27"/>
      <c r="H493" s="27"/>
      <c r="I493" s="27"/>
      <c r="J493" s="27"/>
    </row>
    <row r="494">
      <c r="C494" s="27"/>
      <c r="D494" s="27"/>
      <c r="E494" s="27"/>
      <c r="F494" s="27"/>
      <c r="G494" s="27"/>
      <c r="H494" s="27"/>
      <c r="I494" s="27"/>
      <c r="J494" s="27"/>
    </row>
    <row r="495">
      <c r="C495" s="27"/>
      <c r="D495" s="27"/>
      <c r="E495" s="27"/>
      <c r="F495" s="27"/>
      <c r="G495" s="27"/>
      <c r="H495" s="27"/>
      <c r="I495" s="27"/>
      <c r="J495" s="27"/>
    </row>
    <row r="496">
      <c r="C496" s="27"/>
      <c r="D496" s="27"/>
      <c r="E496" s="27"/>
      <c r="F496" s="27"/>
      <c r="G496" s="27"/>
      <c r="H496" s="27"/>
      <c r="I496" s="27"/>
      <c r="J496" s="27"/>
    </row>
    <row r="497">
      <c r="C497" s="27"/>
      <c r="D497" s="27"/>
      <c r="E497" s="27"/>
      <c r="F497" s="27"/>
      <c r="G497" s="27"/>
      <c r="H497" s="27"/>
      <c r="I497" s="27"/>
      <c r="J497" s="27"/>
    </row>
    <row r="498">
      <c r="C498" s="27"/>
      <c r="D498" s="27"/>
      <c r="E498" s="27"/>
      <c r="F498" s="27"/>
      <c r="G498" s="27"/>
      <c r="H498" s="27"/>
      <c r="I498" s="27"/>
      <c r="J498" s="27"/>
    </row>
    <row r="499">
      <c r="C499" s="27"/>
      <c r="D499" s="27"/>
      <c r="E499" s="27"/>
      <c r="F499" s="27"/>
      <c r="G499" s="27"/>
      <c r="H499" s="27"/>
      <c r="I499" s="27"/>
      <c r="J499" s="27"/>
    </row>
    <row r="500">
      <c r="C500" s="27"/>
      <c r="D500" s="27"/>
      <c r="E500" s="27"/>
      <c r="F500" s="27"/>
      <c r="G500" s="27"/>
      <c r="H500" s="27"/>
      <c r="I500" s="27"/>
      <c r="J500" s="27"/>
    </row>
    <row r="501">
      <c r="C501" s="27"/>
      <c r="D501" s="27"/>
      <c r="E501" s="27"/>
      <c r="F501" s="27"/>
      <c r="G501" s="27"/>
      <c r="H501" s="27"/>
      <c r="I501" s="27"/>
      <c r="J501" s="27"/>
    </row>
    <row r="502">
      <c r="C502" s="27"/>
      <c r="D502" s="27"/>
      <c r="E502" s="27"/>
      <c r="F502" s="27"/>
      <c r="G502" s="27"/>
      <c r="H502" s="27"/>
      <c r="I502" s="27"/>
      <c r="J502" s="27"/>
    </row>
    <row r="503">
      <c r="C503" s="27"/>
      <c r="D503" s="27"/>
      <c r="E503" s="27"/>
      <c r="F503" s="27"/>
      <c r="G503" s="27"/>
      <c r="H503" s="27"/>
      <c r="I503" s="27"/>
      <c r="J503" s="27"/>
    </row>
    <row r="504">
      <c r="C504" s="27"/>
      <c r="D504" s="27"/>
      <c r="E504" s="27"/>
      <c r="F504" s="27"/>
      <c r="G504" s="27"/>
      <c r="H504" s="27"/>
      <c r="I504" s="27"/>
      <c r="J504" s="27"/>
    </row>
    <row r="505">
      <c r="C505" s="27"/>
      <c r="D505" s="27"/>
      <c r="E505" s="27"/>
      <c r="F505" s="27"/>
      <c r="G505" s="27"/>
      <c r="H505" s="27"/>
      <c r="I505" s="27"/>
      <c r="J505" s="27"/>
    </row>
    <row r="506">
      <c r="C506" s="27"/>
      <c r="D506" s="27"/>
      <c r="E506" s="27"/>
      <c r="F506" s="27"/>
      <c r="G506" s="27"/>
      <c r="H506" s="27"/>
      <c r="I506" s="27"/>
      <c r="J506" s="27"/>
    </row>
    <row r="507">
      <c r="C507" s="27"/>
      <c r="D507" s="27"/>
      <c r="E507" s="27"/>
      <c r="F507" s="27"/>
      <c r="G507" s="27"/>
      <c r="H507" s="27"/>
      <c r="I507" s="27"/>
      <c r="J507" s="27"/>
    </row>
    <row r="508">
      <c r="C508" s="27"/>
      <c r="D508" s="27"/>
      <c r="E508" s="27"/>
      <c r="F508" s="27"/>
      <c r="G508" s="27"/>
      <c r="H508" s="27"/>
      <c r="I508" s="27"/>
      <c r="J508" s="27"/>
    </row>
    <row r="509">
      <c r="C509" s="27"/>
      <c r="D509" s="27"/>
      <c r="E509" s="27"/>
      <c r="F509" s="27"/>
      <c r="G509" s="27"/>
      <c r="H509" s="27"/>
      <c r="I509" s="27"/>
      <c r="J509" s="27"/>
    </row>
    <row r="510">
      <c r="C510" s="27"/>
      <c r="D510" s="27"/>
      <c r="E510" s="27"/>
      <c r="F510" s="27"/>
      <c r="G510" s="27"/>
      <c r="H510" s="27"/>
      <c r="I510" s="27"/>
      <c r="J510" s="27"/>
    </row>
    <row r="511">
      <c r="C511" s="27"/>
      <c r="D511" s="27"/>
      <c r="E511" s="27"/>
      <c r="F511" s="27"/>
      <c r="G511" s="27"/>
      <c r="H511" s="27"/>
      <c r="I511" s="27"/>
      <c r="J511" s="27"/>
    </row>
    <row r="512">
      <c r="C512" s="27"/>
      <c r="D512" s="27"/>
      <c r="E512" s="27"/>
      <c r="F512" s="27"/>
      <c r="G512" s="27"/>
      <c r="H512" s="27"/>
      <c r="I512" s="27"/>
      <c r="J512" s="27"/>
    </row>
    <row r="513">
      <c r="C513" s="27"/>
      <c r="D513" s="27"/>
      <c r="E513" s="27"/>
      <c r="F513" s="27"/>
      <c r="G513" s="27"/>
      <c r="H513" s="27"/>
      <c r="I513" s="27"/>
      <c r="J513" s="27"/>
    </row>
    <row r="514">
      <c r="C514" s="27"/>
      <c r="D514" s="27"/>
      <c r="E514" s="27"/>
      <c r="F514" s="27"/>
      <c r="G514" s="27"/>
      <c r="H514" s="27"/>
      <c r="I514" s="27"/>
      <c r="J514" s="27"/>
    </row>
    <row r="515">
      <c r="C515" s="27"/>
      <c r="D515" s="27"/>
      <c r="E515" s="27"/>
      <c r="F515" s="27"/>
      <c r="G515" s="27"/>
      <c r="H515" s="27"/>
      <c r="I515" s="27"/>
      <c r="J515" s="27"/>
    </row>
    <row r="516">
      <c r="C516" s="27"/>
      <c r="D516" s="27"/>
      <c r="E516" s="27"/>
      <c r="F516" s="27"/>
      <c r="G516" s="27"/>
      <c r="H516" s="27"/>
      <c r="I516" s="27"/>
      <c r="J516" s="27"/>
    </row>
    <row r="517">
      <c r="C517" s="27"/>
      <c r="D517" s="27"/>
      <c r="E517" s="27"/>
      <c r="F517" s="27"/>
      <c r="G517" s="27"/>
      <c r="H517" s="27"/>
      <c r="I517" s="27"/>
      <c r="J517" s="27"/>
    </row>
    <row r="518">
      <c r="C518" s="27"/>
      <c r="D518" s="27"/>
      <c r="E518" s="27"/>
      <c r="F518" s="27"/>
      <c r="G518" s="27"/>
      <c r="H518" s="27"/>
      <c r="I518" s="27"/>
      <c r="J518" s="27"/>
    </row>
    <row r="519">
      <c r="C519" s="27"/>
      <c r="D519" s="27"/>
      <c r="E519" s="27"/>
      <c r="F519" s="27"/>
      <c r="G519" s="27"/>
      <c r="H519" s="27"/>
      <c r="I519" s="27"/>
      <c r="J519" s="27"/>
    </row>
    <row r="520">
      <c r="C520" s="27"/>
      <c r="D520" s="27"/>
      <c r="E520" s="27"/>
      <c r="F520" s="27"/>
      <c r="G520" s="27"/>
      <c r="H520" s="27"/>
      <c r="I520" s="27"/>
      <c r="J520" s="27"/>
    </row>
    <row r="521">
      <c r="C521" s="27"/>
      <c r="D521" s="27"/>
      <c r="E521" s="27"/>
      <c r="F521" s="27"/>
      <c r="G521" s="27"/>
      <c r="H521" s="27"/>
      <c r="I521" s="27"/>
      <c r="J521" s="27"/>
    </row>
    <row r="522">
      <c r="C522" s="27"/>
      <c r="D522" s="27"/>
      <c r="E522" s="27"/>
      <c r="F522" s="27"/>
      <c r="G522" s="27"/>
      <c r="H522" s="27"/>
      <c r="I522" s="27"/>
      <c r="J522" s="27"/>
    </row>
    <row r="523">
      <c r="C523" s="27"/>
      <c r="D523" s="27"/>
      <c r="E523" s="27"/>
      <c r="F523" s="27"/>
      <c r="G523" s="27"/>
      <c r="H523" s="27"/>
      <c r="I523" s="27"/>
      <c r="J523" s="27"/>
    </row>
    <row r="524">
      <c r="C524" s="27"/>
      <c r="D524" s="27"/>
      <c r="E524" s="27"/>
      <c r="F524" s="27"/>
      <c r="G524" s="27"/>
      <c r="H524" s="27"/>
      <c r="I524" s="27"/>
      <c r="J524" s="27"/>
    </row>
    <row r="525">
      <c r="C525" s="27"/>
      <c r="D525" s="27"/>
      <c r="E525" s="27"/>
      <c r="F525" s="27"/>
      <c r="G525" s="27"/>
      <c r="H525" s="27"/>
      <c r="I525" s="27"/>
      <c r="J525" s="27"/>
    </row>
    <row r="526">
      <c r="C526" s="27"/>
      <c r="D526" s="27"/>
      <c r="E526" s="27"/>
      <c r="F526" s="27"/>
      <c r="G526" s="27"/>
      <c r="H526" s="27"/>
      <c r="I526" s="27"/>
      <c r="J526" s="27"/>
    </row>
    <row r="527">
      <c r="C527" s="27"/>
      <c r="D527" s="27"/>
      <c r="E527" s="27"/>
      <c r="F527" s="27"/>
      <c r="G527" s="27"/>
      <c r="H527" s="27"/>
      <c r="I527" s="27"/>
      <c r="J527" s="27"/>
    </row>
    <row r="528">
      <c r="C528" s="27"/>
      <c r="D528" s="27"/>
      <c r="E528" s="27"/>
      <c r="F528" s="27"/>
      <c r="G528" s="27"/>
      <c r="H528" s="27"/>
      <c r="I528" s="27"/>
      <c r="J528" s="27"/>
    </row>
    <row r="529">
      <c r="C529" s="27"/>
      <c r="D529" s="27"/>
      <c r="E529" s="27"/>
      <c r="F529" s="27"/>
      <c r="G529" s="27"/>
      <c r="H529" s="27"/>
      <c r="I529" s="27"/>
      <c r="J529" s="27"/>
    </row>
    <row r="530">
      <c r="C530" s="27"/>
      <c r="D530" s="27"/>
      <c r="E530" s="27"/>
      <c r="F530" s="27"/>
      <c r="G530" s="27"/>
      <c r="H530" s="27"/>
      <c r="I530" s="27"/>
      <c r="J530" s="27"/>
    </row>
    <row r="531">
      <c r="C531" s="27"/>
      <c r="D531" s="27"/>
      <c r="E531" s="27"/>
      <c r="F531" s="27"/>
      <c r="G531" s="27"/>
      <c r="H531" s="27"/>
      <c r="I531" s="27"/>
      <c r="J531" s="27"/>
    </row>
    <row r="532">
      <c r="C532" s="27"/>
      <c r="D532" s="27"/>
      <c r="E532" s="27"/>
      <c r="F532" s="27"/>
      <c r="G532" s="27"/>
      <c r="H532" s="27"/>
      <c r="I532" s="27"/>
      <c r="J532" s="27"/>
    </row>
    <row r="533">
      <c r="C533" s="27"/>
      <c r="D533" s="27"/>
      <c r="E533" s="27"/>
      <c r="F533" s="27"/>
      <c r="G533" s="27"/>
      <c r="H533" s="27"/>
      <c r="I533" s="27"/>
      <c r="J533" s="27"/>
    </row>
    <row r="534">
      <c r="C534" s="27"/>
      <c r="D534" s="27"/>
      <c r="E534" s="27"/>
      <c r="F534" s="27"/>
      <c r="G534" s="27"/>
      <c r="H534" s="27"/>
      <c r="I534" s="27"/>
      <c r="J534" s="27"/>
    </row>
    <row r="535">
      <c r="C535" s="27"/>
      <c r="D535" s="27"/>
      <c r="E535" s="27"/>
      <c r="F535" s="27"/>
      <c r="G535" s="27"/>
      <c r="H535" s="27"/>
      <c r="I535" s="27"/>
      <c r="J535" s="27"/>
    </row>
    <row r="536">
      <c r="C536" s="27"/>
      <c r="D536" s="27"/>
      <c r="E536" s="27"/>
      <c r="F536" s="27"/>
      <c r="G536" s="27"/>
      <c r="H536" s="27"/>
      <c r="I536" s="27"/>
      <c r="J536" s="27"/>
    </row>
    <row r="537">
      <c r="C537" s="27"/>
      <c r="D537" s="27"/>
      <c r="E537" s="27"/>
      <c r="F537" s="27"/>
      <c r="G537" s="27"/>
      <c r="H537" s="27"/>
      <c r="I537" s="27"/>
      <c r="J537" s="27"/>
    </row>
    <row r="538">
      <c r="C538" s="27"/>
      <c r="D538" s="27"/>
      <c r="E538" s="27"/>
      <c r="F538" s="27"/>
      <c r="G538" s="27"/>
      <c r="H538" s="27"/>
      <c r="I538" s="27"/>
      <c r="J538" s="27"/>
    </row>
    <row r="539">
      <c r="C539" s="27"/>
      <c r="D539" s="27"/>
      <c r="E539" s="27"/>
      <c r="F539" s="27"/>
      <c r="G539" s="27"/>
      <c r="H539" s="27"/>
      <c r="I539" s="27"/>
      <c r="J539" s="27"/>
    </row>
    <row r="540">
      <c r="C540" s="27"/>
      <c r="D540" s="27"/>
      <c r="E540" s="27"/>
      <c r="F540" s="27"/>
      <c r="G540" s="27"/>
      <c r="H540" s="27"/>
      <c r="I540" s="27"/>
      <c r="J540" s="27"/>
    </row>
    <row r="541">
      <c r="C541" s="27"/>
      <c r="D541" s="27"/>
      <c r="E541" s="27"/>
      <c r="F541" s="27"/>
      <c r="G541" s="27"/>
      <c r="H541" s="27"/>
      <c r="I541" s="27"/>
      <c r="J541" s="27"/>
    </row>
    <row r="542">
      <c r="C542" s="27"/>
      <c r="D542" s="27"/>
      <c r="E542" s="27"/>
      <c r="F542" s="27"/>
      <c r="G542" s="27"/>
      <c r="H542" s="27"/>
      <c r="I542" s="27"/>
      <c r="J542" s="27"/>
    </row>
    <row r="543">
      <c r="C543" s="27"/>
      <c r="D543" s="27"/>
      <c r="E543" s="27"/>
      <c r="F543" s="27"/>
      <c r="G543" s="27"/>
      <c r="H543" s="27"/>
      <c r="I543" s="27"/>
      <c r="J543" s="27"/>
    </row>
    <row r="544">
      <c r="C544" s="27"/>
      <c r="D544" s="27"/>
      <c r="E544" s="27"/>
      <c r="F544" s="27"/>
      <c r="G544" s="27"/>
      <c r="H544" s="27"/>
      <c r="I544" s="27"/>
      <c r="J544" s="27"/>
    </row>
    <row r="545">
      <c r="C545" s="27"/>
      <c r="D545" s="27"/>
      <c r="E545" s="27"/>
      <c r="F545" s="27"/>
      <c r="G545" s="27"/>
      <c r="H545" s="27"/>
      <c r="I545" s="27"/>
      <c r="J545" s="27"/>
    </row>
    <row r="546">
      <c r="C546" s="27"/>
      <c r="D546" s="27"/>
      <c r="E546" s="27"/>
      <c r="F546" s="27"/>
      <c r="G546" s="27"/>
      <c r="H546" s="27"/>
      <c r="I546" s="27"/>
      <c r="J546" s="27"/>
    </row>
    <row r="547">
      <c r="C547" s="27"/>
      <c r="D547" s="27"/>
      <c r="E547" s="27"/>
      <c r="F547" s="27"/>
      <c r="G547" s="27"/>
      <c r="H547" s="27"/>
      <c r="I547" s="27"/>
      <c r="J547" s="27"/>
    </row>
    <row r="548">
      <c r="C548" s="27"/>
      <c r="D548" s="27"/>
      <c r="E548" s="27"/>
      <c r="F548" s="27"/>
      <c r="G548" s="27"/>
      <c r="H548" s="27"/>
      <c r="I548" s="27"/>
      <c r="J548" s="27"/>
    </row>
    <row r="549">
      <c r="C549" s="27"/>
      <c r="D549" s="27"/>
      <c r="E549" s="27"/>
      <c r="F549" s="27"/>
      <c r="G549" s="27"/>
      <c r="H549" s="27"/>
      <c r="I549" s="27"/>
      <c r="J549" s="27"/>
    </row>
    <row r="550">
      <c r="C550" s="27"/>
      <c r="D550" s="27"/>
      <c r="E550" s="27"/>
      <c r="F550" s="27"/>
      <c r="G550" s="27"/>
      <c r="H550" s="27"/>
      <c r="I550" s="27"/>
      <c r="J550" s="27"/>
    </row>
    <row r="551">
      <c r="C551" s="27"/>
      <c r="D551" s="27"/>
      <c r="E551" s="27"/>
      <c r="F551" s="27"/>
      <c r="G551" s="27"/>
      <c r="H551" s="27"/>
      <c r="I551" s="27"/>
      <c r="J551" s="27"/>
    </row>
    <row r="552">
      <c r="C552" s="27"/>
      <c r="D552" s="27"/>
      <c r="E552" s="27"/>
      <c r="F552" s="27"/>
      <c r="G552" s="27"/>
      <c r="H552" s="27"/>
      <c r="I552" s="27"/>
      <c r="J552" s="27"/>
    </row>
    <row r="553">
      <c r="C553" s="27"/>
      <c r="D553" s="27"/>
      <c r="E553" s="27"/>
      <c r="F553" s="27"/>
      <c r="G553" s="27"/>
      <c r="H553" s="27"/>
      <c r="I553" s="27"/>
      <c r="J553" s="27"/>
    </row>
    <row r="554">
      <c r="C554" s="27"/>
      <c r="D554" s="27"/>
      <c r="E554" s="27"/>
      <c r="F554" s="27"/>
      <c r="G554" s="27"/>
      <c r="H554" s="27"/>
      <c r="I554" s="27"/>
      <c r="J554" s="27"/>
    </row>
    <row r="555">
      <c r="C555" s="27"/>
      <c r="D555" s="27"/>
      <c r="E555" s="27"/>
      <c r="F555" s="27"/>
      <c r="G555" s="27"/>
      <c r="H555" s="27"/>
      <c r="I555" s="27"/>
      <c r="J555" s="27"/>
    </row>
    <row r="556">
      <c r="C556" s="27"/>
      <c r="D556" s="27"/>
      <c r="E556" s="27"/>
      <c r="F556" s="27"/>
      <c r="G556" s="27"/>
      <c r="H556" s="27"/>
      <c r="I556" s="27"/>
      <c r="J556" s="27"/>
    </row>
    <row r="557">
      <c r="C557" s="27"/>
      <c r="D557" s="27"/>
      <c r="E557" s="27"/>
      <c r="F557" s="27"/>
      <c r="G557" s="27"/>
      <c r="H557" s="27"/>
      <c r="I557" s="27"/>
      <c r="J557" s="27"/>
    </row>
    <row r="558">
      <c r="C558" s="27"/>
      <c r="D558" s="27"/>
      <c r="E558" s="27"/>
      <c r="F558" s="27"/>
      <c r="G558" s="27"/>
      <c r="H558" s="27"/>
      <c r="I558" s="27"/>
      <c r="J558" s="27"/>
    </row>
    <row r="559">
      <c r="C559" s="27"/>
      <c r="D559" s="27"/>
      <c r="E559" s="27"/>
      <c r="F559" s="27"/>
      <c r="G559" s="27"/>
      <c r="H559" s="27"/>
      <c r="I559" s="27"/>
      <c r="J559" s="27"/>
    </row>
    <row r="560">
      <c r="C560" s="27"/>
      <c r="D560" s="27"/>
      <c r="E560" s="27"/>
      <c r="F560" s="27"/>
      <c r="G560" s="27"/>
      <c r="H560" s="27"/>
      <c r="I560" s="27"/>
      <c r="J560" s="27"/>
    </row>
    <row r="561">
      <c r="C561" s="27"/>
      <c r="D561" s="27"/>
      <c r="E561" s="27"/>
      <c r="F561" s="27"/>
      <c r="G561" s="27"/>
      <c r="H561" s="27"/>
      <c r="I561" s="27"/>
      <c r="J561" s="27"/>
    </row>
    <row r="562">
      <c r="C562" s="27"/>
      <c r="D562" s="27"/>
      <c r="E562" s="27"/>
      <c r="F562" s="27"/>
      <c r="G562" s="27"/>
      <c r="H562" s="27"/>
      <c r="I562" s="27"/>
      <c r="J562" s="27"/>
    </row>
    <row r="563">
      <c r="C563" s="27"/>
      <c r="D563" s="27"/>
      <c r="E563" s="27"/>
      <c r="F563" s="27"/>
      <c r="G563" s="27"/>
      <c r="H563" s="27"/>
      <c r="I563" s="27"/>
      <c r="J563" s="27"/>
    </row>
    <row r="564">
      <c r="C564" s="27"/>
      <c r="D564" s="27"/>
      <c r="E564" s="27"/>
      <c r="F564" s="27"/>
      <c r="G564" s="27"/>
      <c r="H564" s="27"/>
      <c r="I564" s="27"/>
      <c r="J564" s="27"/>
    </row>
    <row r="565">
      <c r="C565" s="27"/>
      <c r="D565" s="27"/>
      <c r="E565" s="27"/>
      <c r="F565" s="27"/>
      <c r="G565" s="27"/>
      <c r="H565" s="27"/>
      <c r="I565" s="27"/>
      <c r="J565" s="27"/>
    </row>
    <row r="566">
      <c r="C566" s="27"/>
      <c r="D566" s="27"/>
      <c r="E566" s="27"/>
      <c r="F566" s="27"/>
      <c r="G566" s="27"/>
      <c r="H566" s="27"/>
      <c r="I566" s="27"/>
      <c r="J566" s="27"/>
    </row>
    <row r="567">
      <c r="C567" s="27"/>
      <c r="D567" s="27"/>
      <c r="E567" s="27"/>
      <c r="F567" s="27"/>
      <c r="G567" s="27"/>
      <c r="H567" s="27"/>
      <c r="I567" s="27"/>
      <c r="J567" s="27"/>
    </row>
    <row r="568">
      <c r="C568" s="27"/>
      <c r="D568" s="27"/>
      <c r="E568" s="27"/>
      <c r="F568" s="27"/>
      <c r="G568" s="27"/>
      <c r="H568" s="27"/>
      <c r="I568" s="27"/>
      <c r="J568" s="27"/>
    </row>
    <row r="569">
      <c r="C569" s="27"/>
      <c r="D569" s="27"/>
      <c r="E569" s="27"/>
      <c r="F569" s="27"/>
      <c r="G569" s="27"/>
      <c r="H569" s="27"/>
      <c r="I569" s="27"/>
      <c r="J569" s="27"/>
    </row>
    <row r="570">
      <c r="C570" s="27"/>
      <c r="D570" s="27"/>
      <c r="E570" s="27"/>
      <c r="F570" s="27"/>
      <c r="G570" s="27"/>
      <c r="H570" s="27"/>
      <c r="I570" s="27"/>
      <c r="J570" s="27"/>
    </row>
    <row r="571">
      <c r="C571" s="27"/>
      <c r="D571" s="27"/>
      <c r="E571" s="27"/>
      <c r="F571" s="27"/>
      <c r="G571" s="27"/>
      <c r="H571" s="27"/>
      <c r="I571" s="27"/>
      <c r="J571" s="27"/>
    </row>
    <row r="572">
      <c r="C572" s="27"/>
      <c r="D572" s="27"/>
      <c r="E572" s="27"/>
      <c r="F572" s="27"/>
      <c r="G572" s="27"/>
      <c r="H572" s="27"/>
      <c r="I572" s="27"/>
      <c r="J572" s="27"/>
    </row>
    <row r="573">
      <c r="C573" s="27"/>
      <c r="D573" s="27"/>
      <c r="E573" s="27"/>
      <c r="F573" s="27"/>
      <c r="G573" s="27"/>
      <c r="H573" s="27"/>
      <c r="I573" s="27"/>
      <c r="J573" s="27"/>
    </row>
    <row r="574">
      <c r="C574" s="27"/>
      <c r="D574" s="27"/>
      <c r="E574" s="27"/>
      <c r="F574" s="27"/>
      <c r="G574" s="27"/>
      <c r="H574" s="27"/>
      <c r="I574" s="27"/>
      <c r="J574" s="27"/>
    </row>
    <row r="575">
      <c r="C575" s="27"/>
      <c r="D575" s="27"/>
      <c r="E575" s="27"/>
      <c r="F575" s="27"/>
      <c r="G575" s="27"/>
      <c r="H575" s="27"/>
      <c r="I575" s="27"/>
      <c r="J575" s="27"/>
    </row>
    <row r="576">
      <c r="C576" s="27"/>
      <c r="D576" s="27"/>
      <c r="E576" s="27"/>
      <c r="F576" s="27"/>
      <c r="G576" s="27"/>
      <c r="H576" s="27"/>
      <c r="I576" s="27"/>
      <c r="J576" s="27"/>
    </row>
    <row r="577">
      <c r="C577" s="27"/>
      <c r="D577" s="27"/>
      <c r="E577" s="27"/>
      <c r="F577" s="27"/>
      <c r="G577" s="27"/>
      <c r="H577" s="27"/>
      <c r="I577" s="27"/>
      <c r="J577" s="27"/>
    </row>
    <row r="578">
      <c r="C578" s="27"/>
      <c r="D578" s="27"/>
      <c r="E578" s="27"/>
      <c r="F578" s="27"/>
      <c r="G578" s="27"/>
      <c r="H578" s="27"/>
      <c r="I578" s="27"/>
      <c r="J578" s="27"/>
    </row>
    <row r="579">
      <c r="C579" s="27"/>
      <c r="D579" s="27"/>
      <c r="E579" s="27"/>
      <c r="F579" s="27"/>
      <c r="G579" s="27"/>
      <c r="H579" s="27"/>
      <c r="I579" s="27"/>
      <c r="J579" s="27"/>
    </row>
    <row r="580">
      <c r="C580" s="27"/>
      <c r="D580" s="27"/>
      <c r="E580" s="27"/>
      <c r="F580" s="27"/>
      <c r="G580" s="27"/>
      <c r="H580" s="27"/>
      <c r="I580" s="27"/>
      <c r="J580" s="27"/>
    </row>
    <row r="581">
      <c r="C581" s="27"/>
      <c r="D581" s="27"/>
      <c r="E581" s="27"/>
      <c r="F581" s="27"/>
      <c r="G581" s="27"/>
      <c r="H581" s="27"/>
      <c r="I581" s="27"/>
      <c r="J581" s="27"/>
    </row>
    <row r="582">
      <c r="C582" s="27"/>
      <c r="D582" s="27"/>
      <c r="E582" s="27"/>
      <c r="F582" s="27"/>
      <c r="G582" s="27"/>
      <c r="H582" s="27"/>
      <c r="I582" s="27"/>
      <c r="J582" s="27"/>
    </row>
    <row r="583">
      <c r="C583" s="27"/>
      <c r="D583" s="27"/>
      <c r="E583" s="27"/>
      <c r="F583" s="27"/>
      <c r="G583" s="27"/>
      <c r="H583" s="27"/>
      <c r="I583" s="27"/>
      <c r="J583" s="27"/>
    </row>
    <row r="584">
      <c r="C584" s="27"/>
      <c r="D584" s="27"/>
      <c r="E584" s="27"/>
      <c r="F584" s="27"/>
      <c r="G584" s="27"/>
      <c r="H584" s="27"/>
      <c r="I584" s="27"/>
      <c r="J584" s="27"/>
    </row>
    <row r="585">
      <c r="C585" s="27"/>
      <c r="D585" s="27"/>
      <c r="E585" s="27"/>
      <c r="F585" s="27"/>
      <c r="G585" s="27"/>
      <c r="H585" s="27"/>
      <c r="I585" s="27"/>
      <c r="J585" s="27"/>
    </row>
    <row r="586">
      <c r="C586" s="27"/>
      <c r="D586" s="27"/>
      <c r="E586" s="27"/>
      <c r="F586" s="27"/>
      <c r="G586" s="27"/>
      <c r="H586" s="27"/>
      <c r="I586" s="27"/>
      <c r="J586" s="27"/>
    </row>
    <row r="587">
      <c r="C587" s="27"/>
      <c r="D587" s="27"/>
      <c r="E587" s="27"/>
      <c r="F587" s="27"/>
      <c r="G587" s="27"/>
      <c r="H587" s="27"/>
      <c r="I587" s="27"/>
      <c r="J587" s="27"/>
    </row>
    <row r="588">
      <c r="C588" s="27"/>
      <c r="D588" s="27"/>
      <c r="E588" s="27"/>
      <c r="F588" s="27"/>
      <c r="G588" s="27"/>
      <c r="H588" s="27"/>
      <c r="I588" s="27"/>
      <c r="J588" s="27"/>
    </row>
    <row r="589">
      <c r="C589" s="27"/>
      <c r="D589" s="27"/>
      <c r="E589" s="27"/>
      <c r="F589" s="27"/>
      <c r="G589" s="27"/>
      <c r="H589" s="27"/>
      <c r="I589" s="27"/>
      <c r="J589" s="27"/>
    </row>
    <row r="590">
      <c r="C590" s="27"/>
      <c r="D590" s="27"/>
      <c r="E590" s="27"/>
      <c r="F590" s="27"/>
      <c r="G590" s="27"/>
      <c r="H590" s="27"/>
      <c r="I590" s="27"/>
      <c r="J590" s="27"/>
    </row>
    <row r="591">
      <c r="C591" s="27"/>
      <c r="D591" s="27"/>
      <c r="E591" s="27"/>
      <c r="F591" s="27"/>
      <c r="G591" s="27"/>
      <c r="H591" s="27"/>
      <c r="I591" s="27"/>
      <c r="J591" s="27"/>
    </row>
    <row r="592">
      <c r="C592" s="27"/>
      <c r="D592" s="27"/>
      <c r="E592" s="27"/>
      <c r="F592" s="27"/>
      <c r="G592" s="27"/>
      <c r="H592" s="27"/>
      <c r="I592" s="27"/>
      <c r="J592" s="27"/>
    </row>
    <row r="593">
      <c r="C593" s="27"/>
      <c r="D593" s="27"/>
      <c r="E593" s="27"/>
      <c r="F593" s="27"/>
      <c r="G593" s="27"/>
      <c r="H593" s="27"/>
      <c r="I593" s="27"/>
      <c r="J593" s="27"/>
    </row>
    <row r="594">
      <c r="C594" s="27"/>
      <c r="D594" s="27"/>
      <c r="E594" s="27"/>
      <c r="F594" s="27"/>
      <c r="G594" s="27"/>
      <c r="H594" s="27"/>
      <c r="I594" s="27"/>
      <c r="J594" s="27"/>
    </row>
    <row r="595">
      <c r="C595" s="27"/>
      <c r="D595" s="27"/>
      <c r="E595" s="27"/>
      <c r="F595" s="27"/>
      <c r="G595" s="27"/>
      <c r="H595" s="27"/>
      <c r="I595" s="27"/>
      <c r="J595" s="27"/>
    </row>
    <row r="596">
      <c r="C596" s="27"/>
      <c r="D596" s="27"/>
      <c r="E596" s="27"/>
      <c r="F596" s="27"/>
      <c r="G596" s="27"/>
      <c r="H596" s="27"/>
      <c r="I596" s="27"/>
      <c r="J596" s="27"/>
    </row>
    <row r="597">
      <c r="C597" s="27"/>
      <c r="D597" s="27"/>
      <c r="E597" s="27"/>
      <c r="F597" s="27"/>
      <c r="G597" s="27"/>
      <c r="H597" s="27"/>
      <c r="I597" s="27"/>
      <c r="J597" s="27"/>
    </row>
    <row r="598">
      <c r="C598" s="27"/>
      <c r="D598" s="27"/>
      <c r="E598" s="27"/>
      <c r="F598" s="27"/>
      <c r="G598" s="27"/>
      <c r="H598" s="27"/>
      <c r="I598" s="27"/>
      <c r="J598" s="27"/>
    </row>
    <row r="599">
      <c r="C599" s="27"/>
      <c r="D599" s="27"/>
      <c r="E599" s="27"/>
      <c r="F599" s="27"/>
      <c r="G599" s="27"/>
      <c r="H599" s="27"/>
      <c r="I599" s="27"/>
      <c r="J599" s="27"/>
    </row>
    <row r="600">
      <c r="C600" s="27"/>
      <c r="D600" s="27"/>
      <c r="E600" s="27"/>
      <c r="F600" s="27"/>
      <c r="G600" s="27"/>
      <c r="H600" s="27"/>
      <c r="I600" s="27"/>
      <c r="J600" s="27"/>
    </row>
    <row r="601">
      <c r="C601" s="27"/>
      <c r="D601" s="27"/>
      <c r="E601" s="27"/>
      <c r="F601" s="27"/>
      <c r="G601" s="27"/>
      <c r="H601" s="27"/>
      <c r="I601" s="27"/>
      <c r="J601" s="27"/>
    </row>
    <row r="602">
      <c r="C602" s="27"/>
      <c r="D602" s="27"/>
      <c r="E602" s="27"/>
      <c r="F602" s="27"/>
      <c r="G602" s="27"/>
      <c r="H602" s="27"/>
      <c r="I602" s="27"/>
      <c r="J602" s="27"/>
    </row>
    <row r="603">
      <c r="C603" s="27"/>
      <c r="D603" s="27"/>
      <c r="E603" s="27"/>
      <c r="F603" s="27"/>
      <c r="G603" s="27"/>
      <c r="H603" s="27"/>
      <c r="I603" s="27"/>
      <c r="J603" s="27"/>
    </row>
    <row r="604">
      <c r="C604" s="27"/>
      <c r="D604" s="27"/>
      <c r="E604" s="27"/>
      <c r="F604" s="27"/>
      <c r="G604" s="27"/>
      <c r="H604" s="27"/>
      <c r="I604" s="27"/>
      <c r="J604" s="27"/>
    </row>
    <row r="605">
      <c r="C605" s="27"/>
      <c r="D605" s="27"/>
      <c r="E605" s="27"/>
      <c r="F605" s="27"/>
      <c r="G605" s="27"/>
      <c r="H605" s="27"/>
      <c r="I605" s="27"/>
      <c r="J605" s="27"/>
    </row>
    <row r="606">
      <c r="C606" s="27"/>
      <c r="D606" s="27"/>
      <c r="E606" s="27"/>
      <c r="F606" s="27"/>
      <c r="G606" s="27"/>
      <c r="H606" s="27"/>
      <c r="I606" s="27"/>
      <c r="J606" s="27"/>
    </row>
    <row r="607">
      <c r="C607" s="27"/>
      <c r="D607" s="27"/>
      <c r="E607" s="27"/>
      <c r="F607" s="27"/>
      <c r="G607" s="27"/>
      <c r="H607" s="27"/>
      <c r="I607" s="27"/>
      <c r="J607" s="27"/>
    </row>
    <row r="608">
      <c r="C608" s="27"/>
      <c r="D608" s="27"/>
      <c r="E608" s="27"/>
      <c r="F608" s="27"/>
      <c r="G608" s="27"/>
      <c r="H608" s="27"/>
      <c r="I608" s="27"/>
      <c r="J608" s="27"/>
    </row>
    <row r="609">
      <c r="C609" s="27"/>
      <c r="D609" s="27"/>
      <c r="E609" s="27"/>
      <c r="F609" s="27"/>
      <c r="G609" s="27"/>
      <c r="H609" s="27"/>
      <c r="I609" s="27"/>
      <c r="J609" s="27"/>
    </row>
    <row r="610">
      <c r="C610" s="27"/>
      <c r="D610" s="27"/>
      <c r="E610" s="27"/>
      <c r="F610" s="27"/>
      <c r="G610" s="27"/>
      <c r="H610" s="27"/>
      <c r="I610" s="27"/>
      <c r="J610" s="27"/>
    </row>
    <row r="611">
      <c r="C611" s="27"/>
      <c r="D611" s="27"/>
      <c r="E611" s="27"/>
      <c r="F611" s="27"/>
      <c r="G611" s="27"/>
      <c r="H611" s="27"/>
      <c r="I611" s="27"/>
      <c r="J611" s="27"/>
    </row>
    <row r="612">
      <c r="C612" s="27"/>
      <c r="D612" s="27"/>
      <c r="E612" s="27"/>
      <c r="F612" s="27"/>
      <c r="G612" s="27"/>
      <c r="H612" s="27"/>
      <c r="I612" s="27"/>
      <c r="J612" s="27"/>
    </row>
    <row r="613">
      <c r="C613" s="27"/>
      <c r="D613" s="27"/>
      <c r="E613" s="27"/>
      <c r="F613" s="27"/>
      <c r="G613" s="27"/>
      <c r="H613" s="27"/>
      <c r="I613" s="27"/>
      <c r="J613" s="27"/>
    </row>
    <row r="614">
      <c r="C614" s="27"/>
      <c r="D614" s="27"/>
      <c r="E614" s="27"/>
      <c r="F614" s="27"/>
      <c r="G614" s="27"/>
      <c r="H614" s="27"/>
      <c r="I614" s="27"/>
      <c r="J614" s="27"/>
    </row>
    <row r="615">
      <c r="C615" s="27"/>
      <c r="D615" s="27"/>
      <c r="E615" s="27"/>
      <c r="F615" s="27"/>
      <c r="G615" s="27"/>
      <c r="H615" s="27"/>
      <c r="I615" s="27"/>
      <c r="J615" s="27"/>
    </row>
    <row r="616">
      <c r="C616" s="27"/>
      <c r="D616" s="27"/>
      <c r="E616" s="27"/>
      <c r="F616" s="27"/>
      <c r="G616" s="27"/>
      <c r="H616" s="27"/>
      <c r="I616" s="27"/>
      <c r="J616" s="27"/>
    </row>
    <row r="617">
      <c r="C617" s="27"/>
      <c r="D617" s="27"/>
      <c r="E617" s="27"/>
      <c r="F617" s="27"/>
      <c r="G617" s="27"/>
      <c r="H617" s="27"/>
      <c r="I617" s="27"/>
      <c r="J617" s="27"/>
    </row>
    <row r="618">
      <c r="C618" s="27"/>
      <c r="D618" s="27"/>
      <c r="E618" s="27"/>
      <c r="F618" s="27"/>
      <c r="G618" s="27"/>
      <c r="H618" s="27"/>
      <c r="I618" s="27"/>
      <c r="J618" s="27"/>
    </row>
    <row r="619">
      <c r="C619" s="27"/>
      <c r="D619" s="27"/>
      <c r="E619" s="27"/>
      <c r="F619" s="27"/>
      <c r="G619" s="27"/>
      <c r="H619" s="27"/>
      <c r="I619" s="27"/>
      <c r="J619" s="27"/>
    </row>
    <row r="620">
      <c r="C620" s="27"/>
      <c r="D620" s="27"/>
      <c r="E620" s="27"/>
      <c r="F620" s="27"/>
      <c r="G620" s="27"/>
      <c r="H620" s="27"/>
      <c r="I620" s="27"/>
      <c r="J620" s="27"/>
    </row>
    <row r="621">
      <c r="C621" s="27"/>
      <c r="D621" s="27"/>
      <c r="E621" s="27"/>
      <c r="F621" s="27"/>
      <c r="G621" s="27"/>
      <c r="H621" s="27"/>
      <c r="I621" s="27"/>
      <c r="J621" s="27"/>
    </row>
    <row r="622">
      <c r="C622" s="27"/>
      <c r="D622" s="27"/>
      <c r="E622" s="27"/>
      <c r="F622" s="27"/>
      <c r="G622" s="27"/>
      <c r="H622" s="27"/>
      <c r="I622" s="27"/>
      <c r="J622" s="27"/>
    </row>
    <row r="623">
      <c r="C623" s="27"/>
      <c r="D623" s="27"/>
      <c r="E623" s="27"/>
      <c r="F623" s="27"/>
      <c r="G623" s="27"/>
      <c r="H623" s="27"/>
      <c r="I623" s="27"/>
      <c r="J623" s="27"/>
    </row>
    <row r="624">
      <c r="C624" s="27"/>
      <c r="D624" s="27"/>
      <c r="E624" s="27"/>
      <c r="F624" s="27"/>
      <c r="G624" s="27"/>
      <c r="H624" s="27"/>
      <c r="I624" s="27"/>
      <c r="J624" s="27"/>
    </row>
    <row r="625">
      <c r="C625" s="27"/>
      <c r="D625" s="27"/>
      <c r="E625" s="27"/>
      <c r="F625" s="27"/>
      <c r="G625" s="27"/>
      <c r="H625" s="27"/>
      <c r="I625" s="27"/>
      <c r="J625" s="27"/>
    </row>
    <row r="626">
      <c r="C626" s="27"/>
      <c r="D626" s="27"/>
      <c r="E626" s="27"/>
      <c r="F626" s="27"/>
      <c r="G626" s="27"/>
      <c r="H626" s="27"/>
      <c r="I626" s="27"/>
      <c r="J626" s="27"/>
    </row>
    <row r="627">
      <c r="C627" s="27"/>
      <c r="D627" s="27"/>
      <c r="E627" s="27"/>
      <c r="F627" s="27"/>
      <c r="G627" s="27"/>
      <c r="H627" s="27"/>
      <c r="I627" s="27"/>
      <c r="J627" s="27"/>
    </row>
    <row r="628">
      <c r="C628" s="27"/>
      <c r="D628" s="27"/>
      <c r="E628" s="27"/>
      <c r="F628" s="27"/>
      <c r="G628" s="27"/>
      <c r="H628" s="27"/>
      <c r="I628" s="27"/>
      <c r="J628" s="27"/>
    </row>
    <row r="629">
      <c r="C629" s="27"/>
      <c r="D629" s="27"/>
      <c r="E629" s="27"/>
      <c r="F629" s="27"/>
      <c r="G629" s="27"/>
      <c r="H629" s="27"/>
      <c r="I629" s="27"/>
      <c r="J629" s="27"/>
    </row>
    <row r="630">
      <c r="C630" s="27"/>
      <c r="D630" s="27"/>
      <c r="E630" s="27"/>
      <c r="F630" s="27"/>
      <c r="G630" s="27"/>
      <c r="H630" s="27"/>
      <c r="I630" s="27"/>
      <c r="J630" s="27"/>
    </row>
    <row r="631">
      <c r="C631" s="27"/>
      <c r="D631" s="27"/>
      <c r="E631" s="27"/>
      <c r="F631" s="27"/>
      <c r="G631" s="27"/>
      <c r="H631" s="27"/>
      <c r="I631" s="27"/>
      <c r="J631" s="27"/>
    </row>
    <row r="632">
      <c r="C632" s="27"/>
      <c r="D632" s="27"/>
      <c r="E632" s="27"/>
      <c r="F632" s="27"/>
      <c r="G632" s="27"/>
      <c r="H632" s="27"/>
      <c r="I632" s="27"/>
      <c r="J632" s="27"/>
    </row>
    <row r="633">
      <c r="C633" s="27"/>
      <c r="D633" s="27"/>
      <c r="E633" s="27"/>
      <c r="F633" s="27"/>
      <c r="G633" s="27"/>
      <c r="H633" s="27"/>
      <c r="I633" s="27"/>
      <c r="J633" s="27"/>
    </row>
    <row r="634">
      <c r="C634" s="27"/>
      <c r="D634" s="27"/>
      <c r="E634" s="27"/>
      <c r="F634" s="27"/>
      <c r="G634" s="27"/>
      <c r="H634" s="27"/>
      <c r="I634" s="27"/>
      <c r="J634" s="27"/>
    </row>
    <row r="635">
      <c r="C635" s="27"/>
      <c r="D635" s="27"/>
      <c r="E635" s="27"/>
      <c r="F635" s="27"/>
      <c r="G635" s="27"/>
      <c r="H635" s="27"/>
      <c r="I635" s="27"/>
      <c r="J635" s="27"/>
    </row>
    <row r="636">
      <c r="C636" s="27"/>
      <c r="D636" s="27"/>
      <c r="E636" s="27"/>
      <c r="F636" s="27"/>
      <c r="G636" s="27"/>
      <c r="H636" s="27"/>
      <c r="I636" s="27"/>
      <c r="J636" s="27"/>
    </row>
    <row r="637">
      <c r="C637" s="27"/>
      <c r="D637" s="27"/>
      <c r="E637" s="27"/>
      <c r="F637" s="27"/>
      <c r="G637" s="27"/>
      <c r="H637" s="27"/>
      <c r="I637" s="27"/>
      <c r="J637" s="27"/>
    </row>
    <row r="638">
      <c r="C638" s="27"/>
      <c r="D638" s="27"/>
      <c r="E638" s="27"/>
      <c r="F638" s="27"/>
      <c r="G638" s="27"/>
      <c r="H638" s="27"/>
      <c r="I638" s="27"/>
      <c r="J638" s="27"/>
    </row>
    <row r="639">
      <c r="C639" s="27"/>
      <c r="D639" s="27"/>
      <c r="E639" s="27"/>
      <c r="F639" s="27"/>
      <c r="G639" s="27"/>
      <c r="H639" s="27"/>
      <c r="I639" s="27"/>
      <c r="J639" s="27"/>
    </row>
    <row r="640">
      <c r="C640" s="27"/>
      <c r="D640" s="27"/>
      <c r="E640" s="27"/>
      <c r="F640" s="27"/>
      <c r="G640" s="27"/>
      <c r="H640" s="27"/>
      <c r="I640" s="27"/>
      <c r="J640" s="27"/>
    </row>
    <row r="641">
      <c r="C641" s="27"/>
      <c r="D641" s="27"/>
      <c r="E641" s="27"/>
      <c r="F641" s="27"/>
      <c r="G641" s="27"/>
      <c r="H641" s="27"/>
      <c r="I641" s="27"/>
      <c r="J641" s="27"/>
    </row>
    <row r="642">
      <c r="C642" s="27"/>
      <c r="D642" s="27"/>
      <c r="E642" s="27"/>
      <c r="F642" s="27"/>
      <c r="G642" s="27"/>
      <c r="H642" s="27"/>
      <c r="I642" s="27"/>
      <c r="J642" s="27"/>
    </row>
    <row r="643">
      <c r="C643" s="27"/>
      <c r="D643" s="27"/>
      <c r="E643" s="27"/>
      <c r="F643" s="27"/>
      <c r="G643" s="27"/>
      <c r="H643" s="27"/>
      <c r="I643" s="27"/>
      <c r="J643" s="27"/>
    </row>
    <row r="644">
      <c r="C644" s="27"/>
      <c r="D644" s="27"/>
      <c r="E644" s="27"/>
      <c r="F644" s="27"/>
      <c r="G644" s="27"/>
      <c r="H644" s="27"/>
      <c r="I644" s="27"/>
      <c r="J644" s="27"/>
    </row>
    <row r="645">
      <c r="C645" s="27"/>
      <c r="D645" s="27"/>
      <c r="E645" s="27"/>
      <c r="F645" s="27"/>
      <c r="G645" s="27"/>
      <c r="H645" s="27"/>
      <c r="I645" s="27"/>
      <c r="J645" s="27"/>
    </row>
    <row r="646">
      <c r="C646" s="27"/>
      <c r="D646" s="27"/>
      <c r="E646" s="27"/>
      <c r="F646" s="27"/>
      <c r="G646" s="27"/>
      <c r="H646" s="27"/>
      <c r="I646" s="27"/>
      <c r="J646" s="27"/>
    </row>
    <row r="647">
      <c r="C647" s="27"/>
      <c r="D647" s="27"/>
      <c r="E647" s="27"/>
      <c r="F647" s="27"/>
      <c r="G647" s="27"/>
      <c r="H647" s="27"/>
      <c r="I647" s="27"/>
      <c r="J647" s="27"/>
    </row>
    <row r="648">
      <c r="C648" s="27"/>
      <c r="D648" s="27"/>
      <c r="E648" s="27"/>
      <c r="F648" s="27"/>
      <c r="G648" s="27"/>
      <c r="H648" s="27"/>
      <c r="I648" s="27"/>
      <c r="J648" s="27"/>
    </row>
    <row r="649">
      <c r="C649" s="27"/>
      <c r="D649" s="27"/>
      <c r="E649" s="27"/>
      <c r="F649" s="27"/>
      <c r="G649" s="27"/>
      <c r="H649" s="27"/>
      <c r="I649" s="27"/>
      <c r="J649" s="27"/>
    </row>
    <row r="650">
      <c r="C650" s="27"/>
      <c r="D650" s="27"/>
      <c r="E650" s="27"/>
      <c r="F650" s="27"/>
      <c r="G650" s="27"/>
      <c r="H650" s="27"/>
      <c r="I650" s="27"/>
      <c r="J650" s="27"/>
    </row>
    <row r="651">
      <c r="C651" s="27"/>
      <c r="D651" s="27"/>
      <c r="E651" s="27"/>
      <c r="F651" s="27"/>
      <c r="G651" s="27"/>
      <c r="H651" s="27"/>
      <c r="I651" s="27"/>
      <c r="J651" s="27"/>
    </row>
    <row r="652">
      <c r="C652" s="27"/>
      <c r="D652" s="27"/>
      <c r="E652" s="27"/>
      <c r="F652" s="27"/>
      <c r="G652" s="27"/>
      <c r="H652" s="27"/>
      <c r="I652" s="27"/>
      <c r="J652" s="27"/>
    </row>
    <row r="653">
      <c r="C653" s="27"/>
      <c r="D653" s="27"/>
      <c r="E653" s="27"/>
      <c r="F653" s="27"/>
      <c r="G653" s="27"/>
      <c r="H653" s="27"/>
      <c r="I653" s="27"/>
      <c r="J653" s="27"/>
    </row>
    <row r="654">
      <c r="C654" s="27"/>
      <c r="D654" s="27"/>
      <c r="E654" s="27"/>
      <c r="F654" s="27"/>
      <c r="G654" s="27"/>
      <c r="H654" s="27"/>
      <c r="I654" s="27"/>
      <c r="J654" s="27"/>
    </row>
    <row r="655">
      <c r="C655" s="27"/>
      <c r="D655" s="27"/>
      <c r="E655" s="27"/>
      <c r="F655" s="27"/>
      <c r="G655" s="27"/>
      <c r="H655" s="27"/>
      <c r="I655" s="27"/>
      <c r="J655" s="27"/>
    </row>
    <row r="656">
      <c r="C656" s="27"/>
      <c r="D656" s="27"/>
      <c r="E656" s="27"/>
      <c r="F656" s="27"/>
      <c r="G656" s="27"/>
      <c r="H656" s="27"/>
      <c r="I656" s="27"/>
      <c r="J656" s="27"/>
    </row>
    <row r="657">
      <c r="C657" s="27"/>
      <c r="D657" s="27"/>
      <c r="E657" s="27"/>
      <c r="F657" s="27"/>
      <c r="G657" s="27"/>
      <c r="H657" s="27"/>
      <c r="I657" s="27"/>
      <c r="J657" s="27"/>
    </row>
    <row r="658">
      <c r="C658" s="27"/>
      <c r="D658" s="27"/>
      <c r="E658" s="27"/>
      <c r="F658" s="27"/>
      <c r="G658" s="27"/>
      <c r="H658" s="27"/>
      <c r="I658" s="27"/>
      <c r="J658" s="27"/>
    </row>
    <row r="659">
      <c r="C659" s="27"/>
      <c r="D659" s="27"/>
      <c r="E659" s="27"/>
      <c r="F659" s="27"/>
      <c r="G659" s="27"/>
      <c r="H659" s="27"/>
      <c r="I659" s="27"/>
      <c r="J659" s="27"/>
    </row>
    <row r="660">
      <c r="C660" s="27"/>
      <c r="D660" s="27"/>
      <c r="E660" s="27"/>
      <c r="F660" s="27"/>
      <c r="G660" s="27"/>
      <c r="H660" s="27"/>
      <c r="I660" s="27"/>
      <c r="J660" s="27"/>
    </row>
    <row r="661">
      <c r="C661" s="27"/>
      <c r="D661" s="27"/>
      <c r="E661" s="27"/>
      <c r="F661" s="27"/>
      <c r="G661" s="27"/>
      <c r="H661" s="27"/>
      <c r="I661" s="27"/>
      <c r="J661" s="27"/>
    </row>
    <row r="662">
      <c r="C662" s="27"/>
      <c r="D662" s="27"/>
      <c r="E662" s="27"/>
      <c r="F662" s="27"/>
      <c r="G662" s="27"/>
      <c r="H662" s="27"/>
      <c r="I662" s="27"/>
      <c r="J662" s="27"/>
    </row>
    <row r="663">
      <c r="C663" s="27"/>
      <c r="D663" s="27"/>
      <c r="E663" s="27"/>
      <c r="F663" s="27"/>
      <c r="G663" s="27"/>
      <c r="H663" s="27"/>
      <c r="I663" s="27"/>
      <c r="J663" s="27"/>
    </row>
    <row r="664">
      <c r="C664" s="27"/>
      <c r="D664" s="27"/>
      <c r="E664" s="27"/>
      <c r="F664" s="27"/>
      <c r="G664" s="27"/>
      <c r="H664" s="27"/>
      <c r="I664" s="27"/>
      <c r="J664" s="27"/>
    </row>
    <row r="665">
      <c r="C665" s="27"/>
      <c r="D665" s="27"/>
      <c r="E665" s="27"/>
      <c r="F665" s="27"/>
      <c r="G665" s="27"/>
      <c r="H665" s="27"/>
      <c r="I665" s="27"/>
      <c r="J665" s="27"/>
    </row>
    <row r="666">
      <c r="C666" s="27"/>
      <c r="D666" s="27"/>
      <c r="E666" s="27"/>
      <c r="F666" s="27"/>
      <c r="G666" s="27"/>
      <c r="H666" s="27"/>
      <c r="I666" s="27"/>
      <c r="J666" s="27"/>
    </row>
    <row r="667">
      <c r="C667" s="27"/>
      <c r="D667" s="27"/>
      <c r="E667" s="27"/>
      <c r="F667" s="27"/>
      <c r="G667" s="27"/>
      <c r="H667" s="27"/>
      <c r="I667" s="27"/>
      <c r="J667" s="27"/>
    </row>
    <row r="668">
      <c r="C668" s="27"/>
      <c r="D668" s="27"/>
      <c r="E668" s="27"/>
      <c r="F668" s="27"/>
      <c r="G668" s="27"/>
      <c r="H668" s="27"/>
      <c r="I668" s="27"/>
      <c r="J668" s="27"/>
    </row>
    <row r="669">
      <c r="C669" s="27"/>
      <c r="D669" s="27"/>
      <c r="E669" s="27"/>
      <c r="F669" s="27"/>
      <c r="G669" s="27"/>
      <c r="H669" s="27"/>
      <c r="I669" s="27"/>
      <c r="J669" s="27"/>
    </row>
    <row r="670">
      <c r="C670" s="27"/>
      <c r="D670" s="27"/>
      <c r="E670" s="27"/>
      <c r="F670" s="27"/>
      <c r="G670" s="27"/>
      <c r="H670" s="27"/>
      <c r="I670" s="27"/>
      <c r="J670" s="27"/>
    </row>
    <row r="671">
      <c r="C671" s="27"/>
      <c r="D671" s="27"/>
      <c r="E671" s="27"/>
      <c r="F671" s="27"/>
      <c r="G671" s="27"/>
      <c r="H671" s="27"/>
      <c r="I671" s="27"/>
      <c r="J671" s="27"/>
    </row>
    <row r="672">
      <c r="C672" s="27"/>
      <c r="D672" s="27"/>
      <c r="E672" s="27"/>
      <c r="F672" s="27"/>
      <c r="G672" s="27"/>
      <c r="H672" s="27"/>
      <c r="I672" s="27"/>
      <c r="J672" s="27"/>
    </row>
    <row r="673">
      <c r="C673" s="27"/>
      <c r="D673" s="27"/>
      <c r="E673" s="27"/>
      <c r="F673" s="27"/>
      <c r="G673" s="27"/>
      <c r="H673" s="27"/>
      <c r="I673" s="27"/>
      <c r="J673" s="27"/>
    </row>
    <row r="674">
      <c r="C674" s="27"/>
      <c r="D674" s="27"/>
      <c r="E674" s="27"/>
      <c r="F674" s="27"/>
      <c r="G674" s="27"/>
      <c r="H674" s="27"/>
      <c r="I674" s="27"/>
      <c r="J674" s="27"/>
    </row>
    <row r="675">
      <c r="C675" s="27"/>
      <c r="D675" s="27"/>
      <c r="E675" s="27"/>
      <c r="F675" s="27"/>
      <c r="G675" s="27"/>
      <c r="H675" s="27"/>
      <c r="I675" s="27"/>
      <c r="J675" s="27"/>
    </row>
    <row r="676">
      <c r="C676" s="27"/>
      <c r="D676" s="27"/>
      <c r="E676" s="27"/>
      <c r="F676" s="27"/>
      <c r="G676" s="27"/>
      <c r="H676" s="27"/>
      <c r="I676" s="27"/>
      <c r="J676" s="27"/>
    </row>
    <row r="677">
      <c r="C677" s="27"/>
      <c r="D677" s="27"/>
      <c r="E677" s="27"/>
      <c r="F677" s="27"/>
      <c r="G677" s="27"/>
      <c r="H677" s="27"/>
      <c r="I677" s="27"/>
      <c r="J677" s="27"/>
    </row>
    <row r="678">
      <c r="C678" s="27"/>
      <c r="D678" s="27"/>
      <c r="E678" s="27"/>
      <c r="F678" s="27"/>
      <c r="G678" s="27"/>
      <c r="H678" s="27"/>
      <c r="I678" s="27"/>
      <c r="J678" s="27"/>
    </row>
    <row r="679">
      <c r="C679" s="27"/>
      <c r="D679" s="27"/>
      <c r="E679" s="27"/>
      <c r="F679" s="27"/>
      <c r="G679" s="27"/>
      <c r="H679" s="27"/>
      <c r="I679" s="27"/>
      <c r="J679" s="27"/>
    </row>
    <row r="680">
      <c r="C680" s="27"/>
      <c r="D680" s="27"/>
      <c r="E680" s="27"/>
      <c r="F680" s="27"/>
      <c r="G680" s="27"/>
      <c r="H680" s="27"/>
      <c r="I680" s="27"/>
      <c r="J680" s="27"/>
    </row>
    <row r="681">
      <c r="C681" s="27"/>
      <c r="D681" s="27"/>
      <c r="E681" s="27"/>
      <c r="F681" s="27"/>
      <c r="G681" s="27"/>
      <c r="H681" s="27"/>
      <c r="I681" s="27"/>
      <c r="J681" s="27"/>
    </row>
    <row r="682">
      <c r="C682" s="27"/>
      <c r="D682" s="27"/>
      <c r="E682" s="27"/>
      <c r="F682" s="27"/>
      <c r="G682" s="27"/>
      <c r="H682" s="27"/>
      <c r="I682" s="27"/>
      <c r="J682" s="27"/>
    </row>
    <row r="683">
      <c r="C683" s="27"/>
      <c r="D683" s="27"/>
      <c r="E683" s="27"/>
      <c r="F683" s="27"/>
      <c r="G683" s="27"/>
      <c r="H683" s="27"/>
      <c r="I683" s="27"/>
      <c r="J683" s="27"/>
    </row>
    <row r="684">
      <c r="C684" s="27"/>
      <c r="D684" s="27"/>
      <c r="E684" s="27"/>
      <c r="F684" s="27"/>
      <c r="G684" s="27"/>
      <c r="H684" s="27"/>
      <c r="I684" s="27"/>
      <c r="J684" s="27"/>
    </row>
    <row r="685">
      <c r="C685" s="27"/>
      <c r="D685" s="27"/>
      <c r="E685" s="27"/>
      <c r="F685" s="27"/>
      <c r="G685" s="27"/>
      <c r="H685" s="27"/>
      <c r="I685" s="27"/>
      <c r="J685" s="27"/>
    </row>
    <row r="686">
      <c r="C686" s="27"/>
      <c r="D686" s="27"/>
      <c r="E686" s="27"/>
      <c r="F686" s="27"/>
      <c r="G686" s="27"/>
      <c r="H686" s="27"/>
      <c r="I686" s="27"/>
      <c r="J686" s="27"/>
    </row>
    <row r="687">
      <c r="C687" s="27"/>
      <c r="D687" s="27"/>
      <c r="E687" s="27"/>
      <c r="F687" s="27"/>
      <c r="G687" s="27"/>
      <c r="H687" s="27"/>
      <c r="I687" s="27"/>
      <c r="J687" s="27"/>
    </row>
    <row r="688">
      <c r="C688" s="27"/>
      <c r="D688" s="27"/>
      <c r="E688" s="27"/>
      <c r="F688" s="27"/>
      <c r="G688" s="27"/>
      <c r="H688" s="27"/>
      <c r="I688" s="27"/>
      <c r="J688" s="27"/>
    </row>
    <row r="689">
      <c r="C689" s="27"/>
      <c r="D689" s="27"/>
      <c r="E689" s="27"/>
      <c r="F689" s="27"/>
      <c r="G689" s="27"/>
      <c r="H689" s="27"/>
      <c r="I689" s="27"/>
      <c r="J689" s="27"/>
    </row>
    <row r="690">
      <c r="C690" s="27"/>
      <c r="D690" s="27"/>
      <c r="E690" s="27"/>
      <c r="F690" s="27"/>
      <c r="G690" s="27"/>
      <c r="H690" s="27"/>
      <c r="I690" s="27"/>
      <c r="J690" s="27"/>
    </row>
    <row r="691">
      <c r="C691" s="27"/>
      <c r="D691" s="27"/>
      <c r="E691" s="27"/>
      <c r="F691" s="27"/>
      <c r="G691" s="27"/>
      <c r="H691" s="27"/>
      <c r="I691" s="27"/>
      <c r="J691" s="27"/>
    </row>
    <row r="692">
      <c r="C692" s="27"/>
      <c r="D692" s="27"/>
      <c r="E692" s="27"/>
      <c r="F692" s="27"/>
      <c r="G692" s="27"/>
      <c r="H692" s="27"/>
      <c r="I692" s="27"/>
      <c r="J692" s="27"/>
    </row>
    <row r="693">
      <c r="C693" s="27"/>
      <c r="D693" s="27"/>
      <c r="E693" s="27"/>
      <c r="F693" s="27"/>
      <c r="G693" s="27"/>
      <c r="H693" s="27"/>
      <c r="I693" s="27"/>
      <c r="J693" s="27"/>
    </row>
    <row r="694">
      <c r="C694" s="27"/>
      <c r="D694" s="27"/>
      <c r="E694" s="27"/>
      <c r="F694" s="27"/>
      <c r="G694" s="27"/>
      <c r="H694" s="27"/>
      <c r="I694" s="27"/>
      <c r="J694" s="27"/>
    </row>
    <row r="695">
      <c r="C695" s="27"/>
      <c r="D695" s="27"/>
      <c r="E695" s="27"/>
      <c r="F695" s="27"/>
      <c r="G695" s="27"/>
      <c r="H695" s="27"/>
      <c r="I695" s="27"/>
      <c r="J695" s="27"/>
    </row>
    <row r="696">
      <c r="C696" s="27"/>
      <c r="D696" s="27"/>
      <c r="E696" s="27"/>
      <c r="F696" s="27"/>
      <c r="G696" s="27"/>
      <c r="H696" s="27"/>
      <c r="I696" s="27"/>
      <c r="J696" s="27"/>
    </row>
    <row r="697">
      <c r="C697" s="27"/>
      <c r="D697" s="27"/>
      <c r="E697" s="27"/>
      <c r="F697" s="27"/>
      <c r="G697" s="27"/>
      <c r="H697" s="27"/>
      <c r="I697" s="27"/>
      <c r="J697" s="27"/>
    </row>
    <row r="698">
      <c r="C698" s="27"/>
      <c r="D698" s="27"/>
      <c r="E698" s="27"/>
      <c r="F698" s="27"/>
      <c r="G698" s="27"/>
      <c r="H698" s="27"/>
      <c r="I698" s="27"/>
      <c r="J698" s="27"/>
    </row>
    <row r="699">
      <c r="C699" s="27"/>
      <c r="D699" s="27"/>
      <c r="E699" s="27"/>
      <c r="F699" s="27"/>
      <c r="G699" s="27"/>
      <c r="H699" s="27"/>
      <c r="I699" s="27"/>
      <c r="J699" s="27"/>
    </row>
    <row r="700">
      <c r="C700" s="27"/>
      <c r="D700" s="27"/>
      <c r="E700" s="27"/>
      <c r="F700" s="27"/>
      <c r="G700" s="27"/>
      <c r="H700" s="27"/>
      <c r="I700" s="27"/>
      <c r="J700" s="27"/>
    </row>
    <row r="701">
      <c r="C701" s="27"/>
      <c r="D701" s="27"/>
      <c r="E701" s="27"/>
      <c r="F701" s="27"/>
      <c r="G701" s="27"/>
      <c r="H701" s="27"/>
      <c r="I701" s="27"/>
      <c r="J701" s="27"/>
    </row>
    <row r="702">
      <c r="C702" s="27"/>
      <c r="D702" s="27"/>
      <c r="E702" s="27"/>
      <c r="F702" s="27"/>
      <c r="G702" s="27"/>
      <c r="H702" s="27"/>
      <c r="I702" s="27"/>
      <c r="J702" s="27"/>
    </row>
    <row r="703">
      <c r="C703" s="27"/>
      <c r="D703" s="27"/>
      <c r="E703" s="27"/>
      <c r="F703" s="27"/>
      <c r="G703" s="27"/>
      <c r="H703" s="27"/>
      <c r="I703" s="27"/>
      <c r="J703" s="27"/>
    </row>
    <row r="704">
      <c r="C704" s="27"/>
      <c r="D704" s="27"/>
      <c r="E704" s="27"/>
      <c r="F704" s="27"/>
      <c r="G704" s="27"/>
      <c r="H704" s="27"/>
      <c r="I704" s="27"/>
      <c r="J704" s="27"/>
    </row>
    <row r="705">
      <c r="C705" s="27"/>
      <c r="D705" s="27"/>
      <c r="E705" s="27"/>
      <c r="F705" s="27"/>
      <c r="G705" s="27"/>
      <c r="H705" s="27"/>
      <c r="I705" s="27"/>
      <c r="J705" s="27"/>
    </row>
    <row r="706">
      <c r="C706" s="27"/>
      <c r="D706" s="27"/>
      <c r="E706" s="27"/>
      <c r="F706" s="27"/>
      <c r="G706" s="27"/>
      <c r="H706" s="27"/>
      <c r="I706" s="27"/>
      <c r="J706" s="27"/>
    </row>
    <row r="707">
      <c r="C707" s="27"/>
      <c r="D707" s="27"/>
      <c r="E707" s="27"/>
      <c r="F707" s="27"/>
      <c r="G707" s="27"/>
      <c r="H707" s="27"/>
      <c r="I707" s="27"/>
      <c r="J707" s="27"/>
    </row>
    <row r="708">
      <c r="C708" s="27"/>
      <c r="D708" s="27"/>
      <c r="E708" s="27"/>
      <c r="F708" s="27"/>
      <c r="G708" s="27"/>
      <c r="H708" s="27"/>
      <c r="I708" s="27"/>
      <c r="J708" s="27"/>
    </row>
    <row r="709">
      <c r="C709" s="27"/>
      <c r="D709" s="27"/>
      <c r="E709" s="27"/>
      <c r="F709" s="27"/>
      <c r="G709" s="27"/>
      <c r="H709" s="27"/>
      <c r="I709" s="27"/>
      <c r="J709" s="27"/>
    </row>
    <row r="710">
      <c r="C710" s="27"/>
      <c r="D710" s="27"/>
      <c r="E710" s="27"/>
      <c r="F710" s="27"/>
      <c r="G710" s="27"/>
      <c r="H710" s="27"/>
      <c r="I710" s="27"/>
      <c r="J710" s="27"/>
    </row>
    <row r="711">
      <c r="C711" s="27"/>
      <c r="D711" s="27"/>
      <c r="E711" s="27"/>
      <c r="F711" s="27"/>
      <c r="G711" s="27"/>
      <c r="H711" s="27"/>
      <c r="I711" s="27"/>
      <c r="J711" s="27"/>
    </row>
    <row r="712">
      <c r="C712" s="27"/>
      <c r="D712" s="27"/>
      <c r="E712" s="27"/>
      <c r="F712" s="27"/>
      <c r="G712" s="27"/>
      <c r="H712" s="27"/>
      <c r="I712" s="27"/>
      <c r="J712" s="27"/>
    </row>
    <row r="713">
      <c r="C713" s="27"/>
      <c r="D713" s="27"/>
      <c r="E713" s="27"/>
      <c r="F713" s="27"/>
      <c r="G713" s="27"/>
      <c r="H713" s="27"/>
      <c r="I713" s="27"/>
      <c r="J713" s="27"/>
    </row>
    <row r="714">
      <c r="C714" s="27"/>
      <c r="D714" s="27"/>
      <c r="E714" s="27"/>
      <c r="F714" s="27"/>
      <c r="G714" s="27"/>
      <c r="H714" s="27"/>
      <c r="I714" s="27"/>
      <c r="J714" s="27"/>
    </row>
    <row r="715">
      <c r="C715" s="27"/>
      <c r="D715" s="27"/>
      <c r="E715" s="27"/>
      <c r="F715" s="27"/>
      <c r="G715" s="27"/>
      <c r="H715" s="27"/>
      <c r="I715" s="27"/>
      <c r="J715" s="27"/>
    </row>
    <row r="716">
      <c r="C716" s="27"/>
      <c r="D716" s="27"/>
      <c r="E716" s="27"/>
      <c r="F716" s="27"/>
      <c r="G716" s="27"/>
      <c r="H716" s="27"/>
      <c r="I716" s="27"/>
      <c r="J716" s="27"/>
    </row>
    <row r="717">
      <c r="C717" s="27"/>
      <c r="D717" s="27"/>
      <c r="E717" s="27"/>
      <c r="F717" s="27"/>
      <c r="G717" s="27"/>
      <c r="H717" s="27"/>
      <c r="I717" s="27"/>
      <c r="J717" s="27"/>
    </row>
    <row r="718">
      <c r="C718" s="27"/>
      <c r="D718" s="27"/>
      <c r="E718" s="27"/>
      <c r="F718" s="27"/>
      <c r="G718" s="27"/>
      <c r="H718" s="27"/>
      <c r="I718" s="27"/>
      <c r="J718" s="27"/>
    </row>
    <row r="719">
      <c r="C719" s="27"/>
      <c r="D719" s="27"/>
      <c r="E719" s="27"/>
      <c r="F719" s="27"/>
      <c r="G719" s="27"/>
      <c r="H719" s="27"/>
      <c r="I719" s="27"/>
      <c r="J719" s="27"/>
    </row>
    <row r="720">
      <c r="C720" s="27"/>
      <c r="D720" s="27"/>
      <c r="E720" s="27"/>
      <c r="F720" s="27"/>
      <c r="G720" s="27"/>
      <c r="H720" s="27"/>
      <c r="I720" s="27"/>
      <c r="J720" s="27"/>
    </row>
    <row r="721">
      <c r="C721" s="27"/>
      <c r="D721" s="27"/>
      <c r="E721" s="27"/>
      <c r="F721" s="27"/>
      <c r="G721" s="27"/>
      <c r="H721" s="27"/>
      <c r="I721" s="27"/>
      <c r="J721" s="27"/>
    </row>
    <row r="722">
      <c r="C722" s="27"/>
      <c r="D722" s="27"/>
      <c r="E722" s="27"/>
      <c r="F722" s="27"/>
      <c r="G722" s="27"/>
      <c r="H722" s="27"/>
      <c r="I722" s="27"/>
      <c r="J722" s="27"/>
    </row>
    <row r="723">
      <c r="C723" s="27"/>
      <c r="D723" s="27"/>
      <c r="E723" s="27"/>
      <c r="F723" s="27"/>
      <c r="G723" s="27"/>
      <c r="H723" s="27"/>
      <c r="I723" s="27"/>
      <c r="J723" s="27"/>
    </row>
    <row r="724">
      <c r="C724" s="27"/>
      <c r="D724" s="27"/>
      <c r="E724" s="27"/>
      <c r="F724" s="27"/>
      <c r="G724" s="27"/>
      <c r="H724" s="27"/>
      <c r="I724" s="27"/>
      <c r="J724" s="27"/>
    </row>
    <row r="725">
      <c r="C725" s="27"/>
      <c r="D725" s="27"/>
      <c r="E725" s="27"/>
      <c r="F725" s="27"/>
      <c r="G725" s="27"/>
      <c r="H725" s="27"/>
      <c r="I725" s="27"/>
      <c r="J725" s="27"/>
    </row>
    <row r="726">
      <c r="C726" s="27"/>
      <c r="D726" s="27"/>
      <c r="E726" s="27"/>
      <c r="F726" s="27"/>
      <c r="G726" s="27"/>
      <c r="H726" s="27"/>
      <c r="I726" s="27"/>
      <c r="J726" s="27"/>
    </row>
    <row r="727">
      <c r="C727" s="27"/>
      <c r="D727" s="27"/>
      <c r="E727" s="27"/>
      <c r="F727" s="27"/>
      <c r="G727" s="27"/>
      <c r="H727" s="27"/>
      <c r="I727" s="27"/>
      <c r="J727" s="27"/>
    </row>
    <row r="728">
      <c r="C728" s="27"/>
      <c r="D728" s="27"/>
      <c r="E728" s="27"/>
      <c r="F728" s="27"/>
      <c r="G728" s="27"/>
      <c r="H728" s="27"/>
      <c r="I728" s="27"/>
      <c r="J728" s="27"/>
    </row>
    <row r="729">
      <c r="C729" s="27"/>
      <c r="D729" s="27"/>
      <c r="E729" s="27"/>
      <c r="F729" s="27"/>
      <c r="G729" s="27"/>
      <c r="H729" s="27"/>
      <c r="I729" s="27"/>
      <c r="J729" s="27"/>
    </row>
    <row r="730">
      <c r="C730" s="27"/>
      <c r="D730" s="27"/>
      <c r="E730" s="27"/>
      <c r="F730" s="27"/>
      <c r="G730" s="27"/>
      <c r="H730" s="27"/>
      <c r="I730" s="27"/>
      <c r="J730" s="27"/>
    </row>
    <row r="731">
      <c r="C731" s="27"/>
      <c r="D731" s="27"/>
      <c r="E731" s="27"/>
      <c r="F731" s="27"/>
      <c r="G731" s="27"/>
      <c r="H731" s="27"/>
      <c r="I731" s="27"/>
      <c r="J731" s="27"/>
    </row>
    <row r="732">
      <c r="C732" s="27"/>
      <c r="D732" s="27"/>
      <c r="E732" s="27"/>
      <c r="F732" s="27"/>
      <c r="G732" s="27"/>
      <c r="H732" s="27"/>
      <c r="I732" s="27"/>
      <c r="J732" s="27"/>
    </row>
    <row r="733">
      <c r="C733" s="27"/>
      <c r="D733" s="27"/>
      <c r="E733" s="27"/>
      <c r="F733" s="27"/>
      <c r="G733" s="27"/>
      <c r="H733" s="27"/>
      <c r="I733" s="27"/>
      <c r="J733" s="27"/>
    </row>
    <row r="734">
      <c r="C734" s="27"/>
      <c r="D734" s="27"/>
      <c r="E734" s="27"/>
      <c r="F734" s="27"/>
      <c r="G734" s="27"/>
      <c r="H734" s="27"/>
      <c r="I734" s="27"/>
      <c r="J734" s="27"/>
    </row>
    <row r="735">
      <c r="C735" s="27"/>
      <c r="D735" s="27"/>
      <c r="E735" s="27"/>
      <c r="F735" s="27"/>
      <c r="G735" s="27"/>
      <c r="H735" s="27"/>
      <c r="I735" s="27"/>
      <c r="J735" s="27"/>
    </row>
    <row r="736">
      <c r="C736" s="27"/>
      <c r="D736" s="27"/>
      <c r="E736" s="27"/>
      <c r="F736" s="27"/>
      <c r="G736" s="27"/>
      <c r="H736" s="27"/>
      <c r="I736" s="27"/>
      <c r="J736" s="27"/>
    </row>
    <row r="737">
      <c r="C737" s="27"/>
      <c r="D737" s="27"/>
      <c r="E737" s="27"/>
      <c r="F737" s="27"/>
      <c r="G737" s="27"/>
      <c r="H737" s="27"/>
      <c r="I737" s="27"/>
      <c r="J737" s="27"/>
    </row>
    <row r="738">
      <c r="C738" s="27"/>
      <c r="D738" s="27"/>
      <c r="E738" s="27"/>
      <c r="F738" s="27"/>
      <c r="G738" s="27"/>
      <c r="H738" s="27"/>
      <c r="I738" s="27"/>
      <c r="J738" s="27"/>
    </row>
    <row r="739">
      <c r="C739" s="27"/>
      <c r="D739" s="27"/>
      <c r="E739" s="27"/>
      <c r="F739" s="27"/>
      <c r="G739" s="27"/>
      <c r="H739" s="27"/>
      <c r="I739" s="27"/>
      <c r="J739" s="27"/>
    </row>
    <row r="740">
      <c r="C740" s="27"/>
      <c r="D740" s="27"/>
      <c r="E740" s="27"/>
      <c r="F740" s="27"/>
      <c r="G740" s="27"/>
      <c r="H740" s="27"/>
      <c r="I740" s="27"/>
      <c r="J740" s="27"/>
    </row>
    <row r="741">
      <c r="C741" s="27"/>
      <c r="D741" s="27"/>
      <c r="E741" s="27"/>
      <c r="F741" s="27"/>
      <c r="G741" s="27"/>
      <c r="H741" s="27"/>
      <c r="I741" s="27"/>
      <c r="J741" s="27"/>
    </row>
    <row r="742">
      <c r="C742" s="27"/>
      <c r="D742" s="27"/>
      <c r="E742" s="27"/>
      <c r="F742" s="27"/>
      <c r="G742" s="27"/>
      <c r="H742" s="27"/>
      <c r="I742" s="27"/>
      <c r="J742" s="27"/>
    </row>
    <row r="743">
      <c r="C743" s="27"/>
      <c r="D743" s="27"/>
      <c r="E743" s="27"/>
      <c r="F743" s="27"/>
      <c r="G743" s="27"/>
      <c r="H743" s="27"/>
      <c r="I743" s="27"/>
      <c r="J743" s="27"/>
    </row>
    <row r="744">
      <c r="C744" s="27"/>
      <c r="D744" s="27"/>
      <c r="E744" s="27"/>
      <c r="F744" s="27"/>
      <c r="G744" s="27"/>
      <c r="H744" s="27"/>
      <c r="I744" s="27"/>
      <c r="J744" s="27"/>
    </row>
    <row r="745">
      <c r="C745" s="27"/>
      <c r="D745" s="27"/>
      <c r="E745" s="27"/>
      <c r="F745" s="27"/>
      <c r="G745" s="27"/>
      <c r="H745" s="27"/>
      <c r="I745" s="27"/>
      <c r="J745" s="27"/>
    </row>
    <row r="746">
      <c r="C746" s="27"/>
      <c r="D746" s="27"/>
      <c r="E746" s="27"/>
      <c r="F746" s="27"/>
      <c r="G746" s="27"/>
      <c r="H746" s="27"/>
      <c r="I746" s="27"/>
      <c r="J746" s="27"/>
    </row>
    <row r="747">
      <c r="C747" s="27"/>
      <c r="D747" s="27"/>
      <c r="E747" s="27"/>
      <c r="F747" s="27"/>
      <c r="G747" s="27"/>
      <c r="H747" s="27"/>
      <c r="I747" s="27"/>
      <c r="J747" s="27"/>
    </row>
    <row r="748">
      <c r="C748" s="27"/>
      <c r="D748" s="27"/>
      <c r="E748" s="27"/>
      <c r="F748" s="27"/>
      <c r="G748" s="27"/>
      <c r="H748" s="27"/>
      <c r="I748" s="27"/>
      <c r="J748" s="27"/>
    </row>
    <row r="749">
      <c r="C749" s="27"/>
      <c r="D749" s="27"/>
      <c r="E749" s="27"/>
      <c r="F749" s="27"/>
      <c r="G749" s="27"/>
      <c r="H749" s="27"/>
      <c r="I749" s="27"/>
      <c r="J749" s="27"/>
    </row>
    <row r="750">
      <c r="C750" s="27"/>
      <c r="D750" s="27"/>
      <c r="E750" s="27"/>
      <c r="F750" s="27"/>
      <c r="G750" s="27"/>
      <c r="H750" s="27"/>
      <c r="I750" s="27"/>
      <c r="J750" s="27"/>
    </row>
    <row r="751">
      <c r="C751" s="27"/>
      <c r="D751" s="27"/>
      <c r="E751" s="27"/>
      <c r="F751" s="27"/>
      <c r="G751" s="27"/>
      <c r="H751" s="27"/>
      <c r="I751" s="27"/>
      <c r="J751" s="27"/>
    </row>
    <row r="752">
      <c r="C752" s="27"/>
      <c r="D752" s="27"/>
      <c r="E752" s="27"/>
      <c r="F752" s="27"/>
      <c r="G752" s="27"/>
      <c r="H752" s="27"/>
      <c r="I752" s="27"/>
      <c r="J752" s="27"/>
    </row>
    <row r="753">
      <c r="C753" s="27"/>
      <c r="D753" s="27"/>
      <c r="E753" s="27"/>
      <c r="F753" s="27"/>
      <c r="G753" s="27"/>
      <c r="H753" s="27"/>
      <c r="I753" s="27"/>
      <c r="J753" s="27"/>
    </row>
    <row r="754">
      <c r="C754" s="27"/>
      <c r="D754" s="27"/>
      <c r="E754" s="27"/>
      <c r="F754" s="27"/>
      <c r="G754" s="27"/>
      <c r="H754" s="27"/>
      <c r="I754" s="27"/>
      <c r="J754" s="27"/>
    </row>
    <row r="755">
      <c r="C755" s="27"/>
      <c r="D755" s="27"/>
      <c r="E755" s="27"/>
      <c r="F755" s="27"/>
      <c r="G755" s="27"/>
      <c r="H755" s="27"/>
      <c r="I755" s="27"/>
      <c r="J755" s="27"/>
    </row>
    <row r="756">
      <c r="C756" s="27"/>
      <c r="D756" s="27"/>
      <c r="E756" s="27"/>
      <c r="F756" s="27"/>
      <c r="G756" s="27"/>
      <c r="H756" s="27"/>
      <c r="I756" s="27"/>
      <c r="J756" s="27"/>
    </row>
    <row r="757">
      <c r="C757" s="27"/>
      <c r="D757" s="27"/>
      <c r="E757" s="27"/>
      <c r="F757" s="27"/>
      <c r="G757" s="27"/>
      <c r="H757" s="27"/>
      <c r="I757" s="27"/>
      <c r="J757" s="27"/>
    </row>
    <row r="758">
      <c r="C758" s="27"/>
      <c r="D758" s="27"/>
      <c r="E758" s="27"/>
      <c r="F758" s="27"/>
      <c r="G758" s="27"/>
      <c r="H758" s="27"/>
      <c r="I758" s="27"/>
      <c r="J758" s="27"/>
    </row>
    <row r="759">
      <c r="C759" s="27"/>
      <c r="D759" s="27"/>
      <c r="E759" s="27"/>
      <c r="F759" s="27"/>
      <c r="G759" s="27"/>
      <c r="H759" s="27"/>
      <c r="I759" s="27"/>
      <c r="J759" s="27"/>
    </row>
    <row r="760">
      <c r="C760" s="27"/>
      <c r="D760" s="27"/>
      <c r="E760" s="27"/>
      <c r="F760" s="27"/>
      <c r="G760" s="27"/>
      <c r="H760" s="27"/>
      <c r="I760" s="27"/>
      <c r="J760" s="27"/>
    </row>
    <row r="761">
      <c r="C761" s="27"/>
      <c r="D761" s="27"/>
      <c r="E761" s="27"/>
      <c r="F761" s="27"/>
      <c r="G761" s="27"/>
      <c r="H761" s="27"/>
      <c r="I761" s="27"/>
      <c r="J761" s="27"/>
    </row>
    <row r="762">
      <c r="C762" s="27"/>
      <c r="D762" s="27"/>
      <c r="E762" s="27"/>
      <c r="F762" s="27"/>
      <c r="G762" s="27"/>
      <c r="H762" s="27"/>
      <c r="I762" s="27"/>
      <c r="J762" s="27"/>
    </row>
    <row r="763">
      <c r="C763" s="27"/>
      <c r="D763" s="27"/>
      <c r="E763" s="27"/>
      <c r="F763" s="27"/>
      <c r="G763" s="27"/>
      <c r="H763" s="27"/>
      <c r="I763" s="27"/>
      <c r="J763" s="27"/>
    </row>
    <row r="764">
      <c r="C764" s="27"/>
      <c r="D764" s="27"/>
      <c r="E764" s="27"/>
      <c r="F764" s="27"/>
      <c r="G764" s="27"/>
      <c r="H764" s="27"/>
      <c r="I764" s="27"/>
      <c r="J764" s="27"/>
    </row>
    <row r="765">
      <c r="C765" s="27"/>
      <c r="D765" s="27"/>
      <c r="E765" s="27"/>
      <c r="F765" s="27"/>
      <c r="G765" s="27"/>
      <c r="H765" s="27"/>
      <c r="I765" s="27"/>
      <c r="J765" s="27"/>
    </row>
    <row r="766">
      <c r="C766" s="27"/>
      <c r="D766" s="27"/>
      <c r="E766" s="27"/>
      <c r="F766" s="27"/>
      <c r="G766" s="27"/>
      <c r="H766" s="27"/>
      <c r="I766" s="27"/>
      <c r="J766" s="27"/>
    </row>
    <row r="767">
      <c r="C767" s="27"/>
      <c r="D767" s="27"/>
      <c r="E767" s="27"/>
      <c r="F767" s="27"/>
      <c r="G767" s="27"/>
      <c r="H767" s="27"/>
      <c r="I767" s="27"/>
      <c r="J767" s="27"/>
    </row>
    <row r="768">
      <c r="C768" s="27"/>
      <c r="D768" s="27"/>
      <c r="E768" s="27"/>
      <c r="F768" s="27"/>
      <c r="G768" s="27"/>
      <c r="H768" s="27"/>
      <c r="I768" s="27"/>
      <c r="J768" s="27"/>
    </row>
    <row r="769">
      <c r="C769" s="27"/>
      <c r="D769" s="27"/>
      <c r="E769" s="27"/>
      <c r="F769" s="27"/>
      <c r="G769" s="27"/>
      <c r="H769" s="27"/>
      <c r="I769" s="27"/>
      <c r="J769" s="27"/>
    </row>
    <row r="770">
      <c r="C770" s="27"/>
      <c r="D770" s="27"/>
      <c r="E770" s="27"/>
      <c r="F770" s="27"/>
      <c r="G770" s="27"/>
      <c r="H770" s="27"/>
      <c r="I770" s="27"/>
      <c r="J770" s="27"/>
    </row>
    <row r="771">
      <c r="C771" s="27"/>
      <c r="D771" s="27"/>
      <c r="E771" s="27"/>
      <c r="F771" s="27"/>
      <c r="G771" s="27"/>
      <c r="H771" s="27"/>
      <c r="I771" s="27"/>
      <c r="J771" s="27"/>
    </row>
    <row r="772">
      <c r="C772" s="27"/>
      <c r="D772" s="27"/>
      <c r="E772" s="27"/>
      <c r="F772" s="27"/>
      <c r="G772" s="27"/>
      <c r="H772" s="27"/>
      <c r="I772" s="27"/>
      <c r="J772" s="27"/>
    </row>
    <row r="773">
      <c r="C773" s="27"/>
      <c r="D773" s="27"/>
      <c r="E773" s="27"/>
      <c r="F773" s="27"/>
      <c r="G773" s="27"/>
      <c r="H773" s="27"/>
      <c r="I773" s="27"/>
      <c r="J773" s="27"/>
    </row>
    <row r="774">
      <c r="C774" s="27"/>
      <c r="D774" s="27"/>
      <c r="E774" s="27"/>
      <c r="F774" s="27"/>
      <c r="G774" s="27"/>
      <c r="H774" s="27"/>
      <c r="I774" s="27"/>
      <c r="J774" s="27"/>
    </row>
    <row r="775">
      <c r="C775" s="27"/>
      <c r="D775" s="27"/>
      <c r="E775" s="27"/>
      <c r="F775" s="27"/>
      <c r="G775" s="27"/>
      <c r="H775" s="27"/>
      <c r="I775" s="27"/>
      <c r="J775" s="27"/>
    </row>
    <row r="776">
      <c r="C776" s="27"/>
      <c r="D776" s="27"/>
      <c r="E776" s="27"/>
      <c r="F776" s="27"/>
      <c r="G776" s="27"/>
      <c r="H776" s="27"/>
      <c r="I776" s="27"/>
      <c r="J776" s="27"/>
    </row>
    <row r="777">
      <c r="C777" s="27"/>
      <c r="D777" s="27"/>
      <c r="E777" s="27"/>
      <c r="F777" s="27"/>
      <c r="G777" s="27"/>
      <c r="H777" s="27"/>
      <c r="I777" s="27"/>
      <c r="J777" s="27"/>
    </row>
    <row r="778">
      <c r="C778" s="27"/>
      <c r="D778" s="27"/>
      <c r="E778" s="27"/>
      <c r="F778" s="27"/>
      <c r="G778" s="27"/>
      <c r="H778" s="27"/>
      <c r="I778" s="27"/>
      <c r="J778" s="27"/>
    </row>
    <row r="779">
      <c r="C779" s="27"/>
      <c r="D779" s="27"/>
      <c r="E779" s="27"/>
      <c r="F779" s="27"/>
      <c r="G779" s="27"/>
      <c r="H779" s="27"/>
      <c r="I779" s="27"/>
      <c r="J779" s="27"/>
    </row>
    <row r="780">
      <c r="C780" s="27"/>
      <c r="D780" s="27"/>
      <c r="E780" s="27"/>
      <c r="F780" s="27"/>
      <c r="G780" s="27"/>
      <c r="H780" s="27"/>
      <c r="I780" s="27"/>
      <c r="J780" s="27"/>
    </row>
    <row r="781">
      <c r="C781" s="27"/>
      <c r="D781" s="27"/>
      <c r="E781" s="27"/>
      <c r="F781" s="27"/>
      <c r="G781" s="27"/>
      <c r="H781" s="27"/>
      <c r="I781" s="27"/>
      <c r="J781" s="27"/>
    </row>
    <row r="782">
      <c r="C782" s="27"/>
      <c r="D782" s="27"/>
      <c r="E782" s="27"/>
      <c r="F782" s="27"/>
      <c r="G782" s="27"/>
      <c r="H782" s="27"/>
      <c r="I782" s="27"/>
      <c r="J782" s="27"/>
    </row>
    <row r="783">
      <c r="C783" s="27"/>
      <c r="D783" s="27"/>
      <c r="E783" s="27"/>
      <c r="F783" s="27"/>
      <c r="G783" s="27"/>
      <c r="H783" s="27"/>
      <c r="I783" s="27"/>
      <c r="J783" s="27"/>
    </row>
    <row r="784">
      <c r="C784" s="27"/>
      <c r="D784" s="27"/>
      <c r="E784" s="27"/>
      <c r="F784" s="27"/>
      <c r="G784" s="27"/>
      <c r="H784" s="27"/>
      <c r="I784" s="27"/>
      <c r="J784" s="27"/>
    </row>
    <row r="785">
      <c r="C785" s="27"/>
      <c r="D785" s="27"/>
      <c r="E785" s="27"/>
      <c r="F785" s="27"/>
      <c r="G785" s="27"/>
      <c r="H785" s="27"/>
      <c r="I785" s="27"/>
      <c r="J785" s="27"/>
    </row>
    <row r="786">
      <c r="C786" s="27"/>
      <c r="D786" s="27"/>
      <c r="E786" s="27"/>
      <c r="F786" s="27"/>
      <c r="G786" s="27"/>
      <c r="H786" s="27"/>
      <c r="I786" s="27"/>
      <c r="J786" s="27"/>
    </row>
    <row r="787">
      <c r="C787" s="27"/>
      <c r="D787" s="27"/>
      <c r="E787" s="27"/>
      <c r="F787" s="27"/>
      <c r="G787" s="27"/>
      <c r="H787" s="27"/>
      <c r="I787" s="27"/>
      <c r="J787" s="27"/>
    </row>
    <row r="788">
      <c r="C788" s="27"/>
      <c r="D788" s="27"/>
      <c r="E788" s="27"/>
      <c r="F788" s="27"/>
      <c r="G788" s="27"/>
      <c r="H788" s="27"/>
      <c r="I788" s="27"/>
      <c r="J788" s="27"/>
    </row>
    <row r="789">
      <c r="C789" s="27"/>
      <c r="D789" s="27"/>
      <c r="E789" s="27"/>
      <c r="F789" s="27"/>
      <c r="G789" s="27"/>
      <c r="H789" s="27"/>
      <c r="I789" s="27"/>
      <c r="J789" s="27"/>
    </row>
    <row r="790">
      <c r="C790" s="27"/>
      <c r="D790" s="27"/>
      <c r="E790" s="27"/>
      <c r="F790" s="27"/>
      <c r="G790" s="27"/>
      <c r="H790" s="27"/>
      <c r="I790" s="27"/>
      <c r="J790" s="27"/>
    </row>
    <row r="791">
      <c r="C791" s="27"/>
      <c r="D791" s="27"/>
      <c r="E791" s="27"/>
      <c r="F791" s="27"/>
      <c r="G791" s="27"/>
      <c r="H791" s="27"/>
      <c r="I791" s="27"/>
      <c r="J791" s="27"/>
    </row>
    <row r="792">
      <c r="C792" s="27"/>
      <c r="D792" s="27"/>
      <c r="E792" s="27"/>
      <c r="F792" s="27"/>
      <c r="G792" s="27"/>
      <c r="H792" s="27"/>
      <c r="I792" s="27"/>
      <c r="J792" s="27"/>
    </row>
    <row r="793">
      <c r="C793" s="27"/>
      <c r="D793" s="27"/>
      <c r="E793" s="27"/>
      <c r="F793" s="27"/>
      <c r="G793" s="27"/>
      <c r="H793" s="27"/>
      <c r="I793" s="27"/>
      <c r="J793" s="27"/>
    </row>
    <row r="794">
      <c r="C794" s="27"/>
      <c r="D794" s="27"/>
      <c r="E794" s="27"/>
      <c r="F794" s="27"/>
      <c r="G794" s="27"/>
      <c r="H794" s="27"/>
      <c r="I794" s="27"/>
      <c r="J794" s="27"/>
    </row>
    <row r="795">
      <c r="C795" s="27"/>
      <c r="D795" s="27"/>
      <c r="E795" s="27"/>
      <c r="F795" s="27"/>
      <c r="G795" s="27"/>
      <c r="H795" s="27"/>
      <c r="I795" s="27"/>
      <c r="J795" s="27"/>
    </row>
    <row r="796">
      <c r="C796" s="27"/>
      <c r="D796" s="27"/>
      <c r="E796" s="27"/>
      <c r="F796" s="27"/>
      <c r="G796" s="27"/>
      <c r="H796" s="27"/>
      <c r="I796" s="27"/>
      <c r="J796" s="27"/>
    </row>
    <row r="797">
      <c r="C797" s="27"/>
      <c r="D797" s="27"/>
      <c r="E797" s="27"/>
      <c r="F797" s="27"/>
      <c r="G797" s="27"/>
      <c r="H797" s="27"/>
      <c r="I797" s="27"/>
      <c r="J797" s="27"/>
    </row>
    <row r="798">
      <c r="C798" s="27"/>
      <c r="D798" s="27"/>
      <c r="E798" s="27"/>
      <c r="F798" s="27"/>
      <c r="G798" s="27"/>
      <c r="H798" s="27"/>
      <c r="I798" s="27"/>
      <c r="J798" s="27"/>
    </row>
    <row r="799">
      <c r="C799" s="27"/>
      <c r="D799" s="27"/>
      <c r="E799" s="27"/>
      <c r="F799" s="27"/>
      <c r="G799" s="27"/>
      <c r="H799" s="27"/>
      <c r="I799" s="27"/>
      <c r="J799" s="27"/>
    </row>
    <row r="800">
      <c r="C800" s="27"/>
      <c r="D800" s="27"/>
      <c r="E800" s="27"/>
      <c r="F800" s="27"/>
      <c r="G800" s="27"/>
      <c r="H800" s="27"/>
      <c r="I800" s="27"/>
      <c r="J800" s="27"/>
    </row>
    <row r="801">
      <c r="C801" s="27"/>
      <c r="D801" s="27"/>
      <c r="E801" s="27"/>
      <c r="F801" s="27"/>
      <c r="G801" s="27"/>
      <c r="H801" s="27"/>
      <c r="I801" s="27"/>
      <c r="J801" s="27"/>
    </row>
    <row r="802">
      <c r="C802" s="27"/>
      <c r="D802" s="27"/>
      <c r="E802" s="27"/>
      <c r="F802" s="27"/>
      <c r="G802" s="27"/>
      <c r="H802" s="27"/>
      <c r="I802" s="27"/>
      <c r="J802" s="27"/>
    </row>
    <row r="803">
      <c r="C803" s="27"/>
      <c r="D803" s="27"/>
      <c r="E803" s="27"/>
      <c r="F803" s="27"/>
      <c r="G803" s="27"/>
      <c r="H803" s="27"/>
      <c r="I803" s="27"/>
      <c r="J803" s="27"/>
    </row>
    <row r="804">
      <c r="C804" s="27"/>
      <c r="D804" s="27"/>
      <c r="E804" s="27"/>
      <c r="F804" s="27"/>
      <c r="G804" s="27"/>
      <c r="H804" s="27"/>
      <c r="I804" s="27"/>
      <c r="J804" s="27"/>
    </row>
    <row r="805">
      <c r="C805" s="27"/>
      <c r="D805" s="27"/>
      <c r="E805" s="27"/>
      <c r="F805" s="27"/>
      <c r="G805" s="27"/>
      <c r="H805" s="27"/>
      <c r="I805" s="27"/>
      <c r="J805" s="27"/>
    </row>
    <row r="806">
      <c r="C806" s="27"/>
      <c r="D806" s="27"/>
      <c r="E806" s="27"/>
      <c r="F806" s="27"/>
      <c r="G806" s="27"/>
      <c r="H806" s="27"/>
      <c r="I806" s="27"/>
      <c r="J806" s="27"/>
    </row>
    <row r="807">
      <c r="C807" s="27"/>
      <c r="D807" s="27"/>
      <c r="E807" s="27"/>
      <c r="F807" s="27"/>
      <c r="G807" s="27"/>
      <c r="H807" s="27"/>
      <c r="I807" s="27"/>
      <c r="J807" s="27"/>
    </row>
    <row r="808">
      <c r="C808" s="27"/>
      <c r="D808" s="27"/>
      <c r="E808" s="27"/>
      <c r="F808" s="27"/>
      <c r="G808" s="27"/>
      <c r="H808" s="27"/>
      <c r="I808" s="27"/>
      <c r="J808" s="27"/>
    </row>
    <row r="809">
      <c r="C809" s="27"/>
      <c r="D809" s="27"/>
      <c r="E809" s="27"/>
      <c r="F809" s="27"/>
      <c r="G809" s="27"/>
      <c r="H809" s="27"/>
      <c r="I809" s="27"/>
      <c r="J809" s="27"/>
    </row>
    <row r="810">
      <c r="C810" s="27"/>
      <c r="D810" s="27"/>
      <c r="E810" s="27"/>
      <c r="F810" s="27"/>
      <c r="G810" s="27"/>
      <c r="H810" s="27"/>
      <c r="I810" s="27"/>
      <c r="J810" s="27"/>
    </row>
    <row r="811">
      <c r="C811" s="27"/>
      <c r="D811" s="27"/>
      <c r="E811" s="27"/>
      <c r="F811" s="27"/>
      <c r="G811" s="27"/>
      <c r="H811" s="27"/>
      <c r="I811" s="27"/>
      <c r="J811" s="27"/>
    </row>
    <row r="812">
      <c r="C812" s="27"/>
      <c r="D812" s="27"/>
      <c r="E812" s="27"/>
      <c r="F812" s="27"/>
      <c r="G812" s="27"/>
      <c r="H812" s="27"/>
      <c r="I812" s="27"/>
      <c r="J812" s="27"/>
    </row>
    <row r="813">
      <c r="C813" s="27"/>
      <c r="D813" s="27"/>
      <c r="E813" s="27"/>
      <c r="F813" s="27"/>
      <c r="G813" s="27"/>
      <c r="H813" s="27"/>
      <c r="I813" s="27"/>
      <c r="J813" s="27"/>
    </row>
    <row r="814">
      <c r="C814" s="27"/>
      <c r="D814" s="27"/>
      <c r="E814" s="27"/>
      <c r="F814" s="27"/>
      <c r="G814" s="27"/>
      <c r="H814" s="27"/>
      <c r="I814" s="27"/>
      <c r="J814" s="27"/>
    </row>
    <row r="815">
      <c r="C815" s="27"/>
      <c r="D815" s="27"/>
      <c r="E815" s="27"/>
      <c r="F815" s="27"/>
      <c r="G815" s="27"/>
      <c r="H815" s="27"/>
      <c r="I815" s="27"/>
      <c r="J815" s="27"/>
    </row>
    <row r="816">
      <c r="C816" s="27"/>
      <c r="D816" s="27"/>
      <c r="E816" s="27"/>
      <c r="F816" s="27"/>
      <c r="G816" s="27"/>
      <c r="H816" s="27"/>
      <c r="I816" s="27"/>
      <c r="J816" s="27"/>
    </row>
    <row r="817">
      <c r="C817" s="27"/>
      <c r="D817" s="27"/>
      <c r="E817" s="27"/>
      <c r="F817" s="27"/>
      <c r="G817" s="27"/>
      <c r="H817" s="27"/>
      <c r="I817" s="27"/>
      <c r="J817" s="27"/>
    </row>
    <row r="818">
      <c r="C818" s="27"/>
      <c r="D818" s="27"/>
      <c r="E818" s="27"/>
      <c r="F818" s="27"/>
      <c r="G818" s="27"/>
      <c r="H818" s="27"/>
      <c r="I818" s="27"/>
      <c r="J818" s="27"/>
    </row>
    <row r="819">
      <c r="C819" s="27"/>
      <c r="D819" s="27"/>
      <c r="E819" s="27"/>
      <c r="F819" s="27"/>
      <c r="G819" s="27"/>
      <c r="H819" s="27"/>
      <c r="I819" s="27"/>
      <c r="J819" s="27"/>
    </row>
    <row r="820">
      <c r="C820" s="27"/>
      <c r="D820" s="27"/>
      <c r="E820" s="27"/>
      <c r="F820" s="27"/>
      <c r="G820" s="27"/>
      <c r="H820" s="27"/>
      <c r="I820" s="27"/>
      <c r="J820" s="27"/>
    </row>
    <row r="821">
      <c r="C821" s="27"/>
      <c r="D821" s="27"/>
      <c r="E821" s="27"/>
      <c r="F821" s="27"/>
      <c r="G821" s="27"/>
      <c r="H821" s="27"/>
      <c r="I821" s="27"/>
      <c r="J821" s="27"/>
    </row>
    <row r="822">
      <c r="C822" s="27"/>
      <c r="D822" s="27"/>
      <c r="E822" s="27"/>
      <c r="F822" s="27"/>
      <c r="G822" s="27"/>
      <c r="H822" s="27"/>
      <c r="I822" s="27"/>
      <c r="J822" s="27"/>
    </row>
    <row r="823">
      <c r="C823" s="27"/>
      <c r="D823" s="27"/>
      <c r="E823" s="27"/>
      <c r="F823" s="27"/>
      <c r="G823" s="27"/>
      <c r="H823" s="27"/>
      <c r="I823" s="27"/>
      <c r="J823" s="27"/>
    </row>
    <row r="824">
      <c r="C824" s="27"/>
      <c r="D824" s="27"/>
      <c r="E824" s="27"/>
      <c r="F824" s="27"/>
      <c r="G824" s="27"/>
      <c r="H824" s="27"/>
      <c r="I824" s="27"/>
      <c r="J824" s="27"/>
    </row>
    <row r="825">
      <c r="C825" s="27"/>
      <c r="D825" s="27"/>
      <c r="E825" s="27"/>
      <c r="F825" s="27"/>
      <c r="G825" s="27"/>
      <c r="H825" s="27"/>
      <c r="I825" s="27"/>
      <c r="J825" s="27"/>
    </row>
    <row r="826">
      <c r="C826" s="27"/>
      <c r="D826" s="27"/>
      <c r="E826" s="27"/>
      <c r="F826" s="27"/>
      <c r="G826" s="27"/>
      <c r="H826" s="27"/>
      <c r="I826" s="27"/>
      <c r="J826" s="27"/>
    </row>
    <row r="827">
      <c r="C827" s="27"/>
      <c r="D827" s="27"/>
      <c r="E827" s="27"/>
      <c r="F827" s="27"/>
      <c r="G827" s="27"/>
      <c r="H827" s="27"/>
      <c r="I827" s="27"/>
      <c r="J827" s="27"/>
    </row>
    <row r="828">
      <c r="C828" s="27"/>
      <c r="D828" s="27"/>
      <c r="E828" s="27"/>
      <c r="F828" s="27"/>
      <c r="G828" s="27"/>
      <c r="H828" s="27"/>
      <c r="I828" s="27"/>
      <c r="J828" s="27"/>
    </row>
    <row r="829">
      <c r="C829" s="27"/>
      <c r="D829" s="27"/>
      <c r="E829" s="27"/>
      <c r="F829" s="27"/>
      <c r="G829" s="27"/>
      <c r="H829" s="27"/>
      <c r="I829" s="27"/>
      <c r="J829" s="27"/>
    </row>
    <row r="830">
      <c r="C830" s="27"/>
      <c r="D830" s="27"/>
      <c r="E830" s="27"/>
      <c r="F830" s="27"/>
      <c r="G830" s="27"/>
      <c r="H830" s="27"/>
      <c r="I830" s="27"/>
      <c r="J830" s="27"/>
    </row>
    <row r="831">
      <c r="C831" s="27"/>
      <c r="D831" s="27"/>
      <c r="E831" s="27"/>
      <c r="F831" s="27"/>
      <c r="G831" s="27"/>
      <c r="H831" s="27"/>
      <c r="I831" s="27"/>
      <c r="J831" s="27"/>
    </row>
    <row r="832">
      <c r="C832" s="27"/>
      <c r="D832" s="27"/>
      <c r="E832" s="27"/>
      <c r="F832" s="27"/>
      <c r="G832" s="27"/>
      <c r="H832" s="27"/>
      <c r="I832" s="27"/>
      <c r="J832" s="27"/>
    </row>
    <row r="833">
      <c r="C833" s="27"/>
      <c r="D833" s="27"/>
      <c r="E833" s="27"/>
      <c r="F833" s="27"/>
      <c r="G833" s="27"/>
      <c r="H833" s="27"/>
      <c r="I833" s="27"/>
      <c r="J833" s="27"/>
    </row>
    <row r="834">
      <c r="C834" s="27"/>
      <c r="D834" s="27"/>
      <c r="E834" s="27"/>
      <c r="F834" s="27"/>
      <c r="G834" s="27"/>
      <c r="H834" s="27"/>
      <c r="I834" s="27"/>
      <c r="J834" s="27"/>
    </row>
    <row r="835">
      <c r="C835" s="27"/>
      <c r="D835" s="27"/>
      <c r="E835" s="27"/>
      <c r="F835" s="27"/>
      <c r="G835" s="27"/>
      <c r="H835" s="27"/>
      <c r="I835" s="27"/>
      <c r="J835" s="27"/>
    </row>
    <row r="836">
      <c r="C836" s="27"/>
      <c r="D836" s="27"/>
      <c r="E836" s="27"/>
      <c r="F836" s="27"/>
      <c r="G836" s="27"/>
      <c r="H836" s="27"/>
      <c r="I836" s="27"/>
      <c r="J836" s="27"/>
    </row>
    <row r="837">
      <c r="C837" s="27"/>
      <c r="D837" s="27"/>
      <c r="E837" s="27"/>
      <c r="F837" s="27"/>
      <c r="G837" s="27"/>
      <c r="H837" s="27"/>
      <c r="I837" s="27"/>
      <c r="J837" s="27"/>
    </row>
    <row r="838">
      <c r="C838" s="27"/>
      <c r="D838" s="27"/>
      <c r="E838" s="27"/>
      <c r="F838" s="27"/>
      <c r="G838" s="27"/>
      <c r="H838" s="27"/>
      <c r="I838" s="27"/>
      <c r="J838" s="27"/>
    </row>
    <row r="839">
      <c r="C839" s="27"/>
      <c r="D839" s="27"/>
      <c r="E839" s="27"/>
      <c r="F839" s="27"/>
      <c r="G839" s="27"/>
      <c r="H839" s="27"/>
      <c r="I839" s="27"/>
      <c r="J839" s="27"/>
    </row>
    <row r="840">
      <c r="C840" s="27"/>
      <c r="D840" s="27"/>
      <c r="E840" s="27"/>
      <c r="F840" s="27"/>
      <c r="G840" s="27"/>
      <c r="H840" s="27"/>
      <c r="I840" s="27"/>
      <c r="J840" s="27"/>
    </row>
    <row r="841">
      <c r="C841" s="27"/>
      <c r="D841" s="27"/>
      <c r="E841" s="27"/>
      <c r="F841" s="27"/>
      <c r="G841" s="27"/>
      <c r="H841" s="27"/>
      <c r="I841" s="27"/>
      <c r="J841" s="27"/>
    </row>
    <row r="842">
      <c r="C842" s="27"/>
      <c r="D842" s="27"/>
      <c r="E842" s="27"/>
      <c r="F842" s="27"/>
      <c r="G842" s="27"/>
      <c r="H842" s="27"/>
      <c r="I842" s="27"/>
      <c r="J842" s="27"/>
    </row>
    <row r="843">
      <c r="C843" s="27"/>
      <c r="D843" s="27"/>
      <c r="E843" s="27"/>
      <c r="F843" s="27"/>
      <c r="G843" s="27"/>
      <c r="H843" s="27"/>
      <c r="I843" s="27"/>
      <c r="J843" s="27"/>
    </row>
    <row r="844">
      <c r="C844" s="27"/>
      <c r="D844" s="27"/>
      <c r="E844" s="27"/>
      <c r="F844" s="27"/>
      <c r="G844" s="27"/>
      <c r="H844" s="27"/>
      <c r="I844" s="27"/>
      <c r="J844" s="27"/>
    </row>
    <row r="845">
      <c r="C845" s="27"/>
      <c r="D845" s="27"/>
      <c r="E845" s="27"/>
      <c r="F845" s="27"/>
      <c r="G845" s="27"/>
      <c r="H845" s="27"/>
      <c r="I845" s="27"/>
      <c r="J845" s="27"/>
    </row>
    <row r="846">
      <c r="C846" s="27"/>
      <c r="D846" s="27"/>
      <c r="E846" s="27"/>
      <c r="F846" s="27"/>
      <c r="G846" s="27"/>
      <c r="H846" s="27"/>
      <c r="I846" s="27"/>
      <c r="J846" s="27"/>
    </row>
    <row r="847">
      <c r="C847" s="27"/>
      <c r="D847" s="27"/>
      <c r="E847" s="27"/>
      <c r="F847" s="27"/>
      <c r="G847" s="27"/>
      <c r="H847" s="27"/>
      <c r="I847" s="27"/>
      <c r="J847" s="27"/>
    </row>
    <row r="848">
      <c r="C848" s="27"/>
      <c r="D848" s="27"/>
      <c r="E848" s="27"/>
      <c r="F848" s="27"/>
      <c r="G848" s="27"/>
      <c r="H848" s="27"/>
      <c r="I848" s="27"/>
      <c r="J848" s="27"/>
    </row>
    <row r="849">
      <c r="C849" s="27"/>
      <c r="D849" s="27"/>
      <c r="E849" s="27"/>
      <c r="F849" s="27"/>
      <c r="G849" s="27"/>
      <c r="H849" s="27"/>
      <c r="I849" s="27"/>
      <c r="J849" s="27"/>
    </row>
    <row r="850">
      <c r="C850" s="27"/>
      <c r="D850" s="27"/>
      <c r="E850" s="27"/>
      <c r="F850" s="27"/>
      <c r="G850" s="27"/>
      <c r="H850" s="27"/>
      <c r="I850" s="27"/>
      <c r="J850" s="27"/>
    </row>
    <row r="851">
      <c r="C851" s="27"/>
      <c r="D851" s="27"/>
      <c r="E851" s="27"/>
      <c r="F851" s="27"/>
      <c r="G851" s="27"/>
      <c r="H851" s="27"/>
      <c r="I851" s="27"/>
      <c r="J851" s="27"/>
    </row>
    <row r="852">
      <c r="C852" s="27"/>
      <c r="D852" s="27"/>
      <c r="E852" s="27"/>
      <c r="F852" s="27"/>
      <c r="G852" s="27"/>
      <c r="H852" s="27"/>
      <c r="I852" s="27"/>
      <c r="J852" s="27"/>
    </row>
    <row r="853">
      <c r="C853" s="27"/>
      <c r="D853" s="27"/>
      <c r="E853" s="27"/>
      <c r="F853" s="27"/>
      <c r="G853" s="27"/>
      <c r="H853" s="27"/>
      <c r="I853" s="27"/>
      <c r="J853" s="27"/>
    </row>
    <row r="854">
      <c r="C854" s="27"/>
      <c r="D854" s="27"/>
      <c r="E854" s="27"/>
      <c r="F854" s="27"/>
      <c r="G854" s="27"/>
      <c r="H854" s="27"/>
      <c r="I854" s="27"/>
      <c r="J854" s="27"/>
    </row>
    <row r="855">
      <c r="C855" s="27"/>
      <c r="D855" s="27"/>
      <c r="E855" s="27"/>
      <c r="F855" s="27"/>
      <c r="G855" s="27"/>
      <c r="H855" s="27"/>
      <c r="I855" s="27"/>
      <c r="J855" s="27"/>
    </row>
    <row r="856">
      <c r="C856" s="27"/>
      <c r="D856" s="27"/>
      <c r="E856" s="27"/>
      <c r="F856" s="27"/>
      <c r="G856" s="27"/>
      <c r="H856" s="27"/>
      <c r="I856" s="27"/>
      <c r="J856" s="27"/>
    </row>
    <row r="857">
      <c r="C857" s="27"/>
      <c r="D857" s="27"/>
      <c r="E857" s="27"/>
      <c r="F857" s="27"/>
      <c r="G857" s="27"/>
      <c r="H857" s="27"/>
      <c r="I857" s="27"/>
      <c r="J857" s="27"/>
    </row>
    <row r="858">
      <c r="C858" s="27"/>
      <c r="D858" s="27"/>
      <c r="E858" s="27"/>
      <c r="F858" s="27"/>
      <c r="G858" s="27"/>
      <c r="H858" s="27"/>
      <c r="I858" s="27"/>
      <c r="J858" s="27"/>
    </row>
    <row r="859">
      <c r="C859" s="27"/>
      <c r="D859" s="27"/>
      <c r="E859" s="27"/>
      <c r="F859" s="27"/>
      <c r="G859" s="27"/>
      <c r="H859" s="27"/>
      <c r="I859" s="27"/>
      <c r="J859" s="27"/>
    </row>
    <row r="860">
      <c r="C860" s="27"/>
      <c r="D860" s="27"/>
      <c r="E860" s="27"/>
      <c r="F860" s="27"/>
      <c r="G860" s="27"/>
      <c r="H860" s="27"/>
      <c r="I860" s="27"/>
      <c r="J860" s="27"/>
    </row>
    <row r="861">
      <c r="C861" s="27"/>
      <c r="D861" s="27"/>
      <c r="E861" s="27"/>
      <c r="F861" s="27"/>
      <c r="G861" s="27"/>
      <c r="H861" s="27"/>
      <c r="I861" s="27"/>
      <c r="J861" s="27"/>
    </row>
    <row r="862">
      <c r="C862" s="27"/>
      <c r="D862" s="27"/>
      <c r="E862" s="27"/>
      <c r="F862" s="27"/>
      <c r="G862" s="27"/>
      <c r="H862" s="27"/>
      <c r="I862" s="27"/>
      <c r="J862" s="27"/>
    </row>
    <row r="863">
      <c r="C863" s="27"/>
      <c r="D863" s="27"/>
      <c r="E863" s="27"/>
      <c r="F863" s="27"/>
      <c r="G863" s="27"/>
      <c r="H863" s="27"/>
      <c r="I863" s="27"/>
      <c r="J863" s="27"/>
    </row>
    <row r="864">
      <c r="C864" s="27"/>
      <c r="D864" s="27"/>
      <c r="E864" s="27"/>
      <c r="F864" s="27"/>
      <c r="G864" s="27"/>
      <c r="H864" s="27"/>
      <c r="I864" s="27"/>
      <c r="J864" s="27"/>
    </row>
    <row r="865">
      <c r="C865" s="27"/>
      <c r="D865" s="27"/>
      <c r="E865" s="27"/>
      <c r="F865" s="27"/>
      <c r="G865" s="27"/>
      <c r="H865" s="27"/>
      <c r="I865" s="27"/>
      <c r="J865" s="27"/>
    </row>
    <row r="866">
      <c r="C866" s="27"/>
      <c r="D866" s="27"/>
      <c r="E866" s="27"/>
      <c r="F866" s="27"/>
      <c r="G866" s="27"/>
      <c r="H866" s="27"/>
      <c r="I866" s="27"/>
      <c r="J866" s="27"/>
    </row>
    <row r="867">
      <c r="C867" s="27"/>
      <c r="D867" s="27"/>
      <c r="E867" s="27"/>
      <c r="F867" s="27"/>
      <c r="G867" s="27"/>
      <c r="H867" s="27"/>
      <c r="I867" s="27"/>
      <c r="J867" s="27"/>
    </row>
    <row r="868">
      <c r="C868" s="27"/>
      <c r="D868" s="27"/>
      <c r="E868" s="27"/>
      <c r="F868" s="27"/>
      <c r="G868" s="27"/>
      <c r="H868" s="27"/>
      <c r="I868" s="27"/>
      <c r="J868" s="27"/>
    </row>
    <row r="869">
      <c r="C869" s="27"/>
      <c r="D869" s="27"/>
      <c r="E869" s="27"/>
      <c r="F869" s="27"/>
      <c r="G869" s="27"/>
      <c r="H869" s="27"/>
      <c r="I869" s="27"/>
      <c r="J869" s="27"/>
    </row>
    <row r="870">
      <c r="C870" s="27"/>
      <c r="D870" s="27"/>
      <c r="E870" s="27"/>
      <c r="F870" s="27"/>
      <c r="G870" s="27"/>
      <c r="H870" s="27"/>
      <c r="I870" s="27"/>
      <c r="J870" s="27"/>
    </row>
    <row r="871">
      <c r="C871" s="27"/>
      <c r="D871" s="27"/>
      <c r="E871" s="27"/>
      <c r="F871" s="27"/>
      <c r="G871" s="27"/>
      <c r="H871" s="27"/>
      <c r="I871" s="27"/>
      <c r="J871" s="27"/>
    </row>
    <row r="872">
      <c r="C872" s="27"/>
      <c r="D872" s="27"/>
      <c r="E872" s="27"/>
      <c r="F872" s="27"/>
      <c r="G872" s="27"/>
      <c r="H872" s="27"/>
      <c r="I872" s="27"/>
      <c r="J872" s="27"/>
    </row>
    <row r="873">
      <c r="C873" s="27"/>
      <c r="D873" s="27"/>
      <c r="E873" s="27"/>
      <c r="F873" s="27"/>
      <c r="G873" s="27"/>
      <c r="H873" s="27"/>
      <c r="I873" s="27"/>
      <c r="J873" s="27"/>
    </row>
    <row r="874">
      <c r="C874" s="27"/>
      <c r="D874" s="27"/>
      <c r="E874" s="27"/>
      <c r="F874" s="27"/>
      <c r="G874" s="27"/>
      <c r="H874" s="27"/>
      <c r="I874" s="27"/>
      <c r="J874" s="27"/>
    </row>
    <row r="875">
      <c r="C875" s="27"/>
      <c r="D875" s="27"/>
      <c r="E875" s="27"/>
      <c r="F875" s="27"/>
      <c r="G875" s="27"/>
      <c r="H875" s="27"/>
      <c r="I875" s="27"/>
      <c r="J875" s="27"/>
    </row>
    <row r="876">
      <c r="C876" s="27"/>
      <c r="D876" s="27"/>
      <c r="E876" s="27"/>
      <c r="F876" s="27"/>
      <c r="G876" s="27"/>
      <c r="H876" s="27"/>
      <c r="I876" s="27"/>
      <c r="J876" s="27"/>
    </row>
    <row r="877">
      <c r="C877" s="27"/>
      <c r="D877" s="27"/>
      <c r="E877" s="27"/>
      <c r="F877" s="27"/>
      <c r="G877" s="27"/>
      <c r="H877" s="27"/>
      <c r="I877" s="27"/>
      <c r="J877" s="27"/>
    </row>
    <row r="878">
      <c r="C878" s="27"/>
      <c r="D878" s="27"/>
      <c r="E878" s="27"/>
      <c r="F878" s="27"/>
      <c r="G878" s="27"/>
      <c r="H878" s="27"/>
      <c r="I878" s="27"/>
      <c r="J878" s="27"/>
    </row>
    <row r="879">
      <c r="C879" s="27"/>
      <c r="D879" s="27"/>
      <c r="E879" s="27"/>
      <c r="F879" s="27"/>
      <c r="G879" s="27"/>
      <c r="H879" s="27"/>
      <c r="I879" s="27"/>
      <c r="J879" s="27"/>
    </row>
    <row r="880">
      <c r="C880" s="27"/>
      <c r="D880" s="27"/>
      <c r="E880" s="27"/>
      <c r="F880" s="27"/>
      <c r="G880" s="27"/>
      <c r="H880" s="27"/>
      <c r="I880" s="27"/>
      <c r="J880" s="27"/>
    </row>
    <row r="881">
      <c r="C881" s="27"/>
      <c r="D881" s="27"/>
      <c r="E881" s="27"/>
      <c r="F881" s="27"/>
      <c r="G881" s="27"/>
      <c r="H881" s="27"/>
      <c r="I881" s="27"/>
      <c r="J881" s="27"/>
    </row>
    <row r="882">
      <c r="C882" s="27"/>
      <c r="D882" s="27"/>
      <c r="E882" s="27"/>
      <c r="F882" s="27"/>
      <c r="G882" s="27"/>
      <c r="H882" s="27"/>
      <c r="I882" s="27"/>
      <c r="J882" s="27"/>
    </row>
    <row r="883">
      <c r="C883" s="27"/>
      <c r="D883" s="27"/>
      <c r="E883" s="27"/>
      <c r="F883" s="27"/>
      <c r="G883" s="27"/>
      <c r="H883" s="27"/>
      <c r="I883" s="27"/>
      <c r="J883" s="27"/>
    </row>
    <row r="884">
      <c r="C884" s="27"/>
      <c r="D884" s="27"/>
      <c r="E884" s="27"/>
      <c r="F884" s="27"/>
      <c r="G884" s="27"/>
      <c r="H884" s="27"/>
      <c r="I884" s="27"/>
      <c r="J884" s="27"/>
    </row>
    <row r="885">
      <c r="C885" s="27"/>
      <c r="D885" s="27"/>
      <c r="E885" s="27"/>
      <c r="F885" s="27"/>
      <c r="G885" s="27"/>
      <c r="H885" s="27"/>
      <c r="I885" s="27"/>
      <c r="J885" s="27"/>
    </row>
    <row r="886">
      <c r="C886" s="27"/>
      <c r="D886" s="27"/>
      <c r="E886" s="27"/>
      <c r="F886" s="27"/>
      <c r="G886" s="27"/>
      <c r="H886" s="27"/>
      <c r="I886" s="27"/>
      <c r="J886" s="27"/>
    </row>
    <row r="887">
      <c r="C887" s="27"/>
      <c r="D887" s="27"/>
      <c r="E887" s="27"/>
      <c r="F887" s="27"/>
      <c r="G887" s="27"/>
      <c r="H887" s="27"/>
      <c r="I887" s="27"/>
      <c r="J887" s="27"/>
    </row>
    <row r="888">
      <c r="C888" s="27"/>
      <c r="D888" s="27"/>
      <c r="E888" s="27"/>
      <c r="F888" s="27"/>
      <c r="G888" s="27"/>
      <c r="H888" s="27"/>
      <c r="I888" s="27"/>
      <c r="J888" s="27"/>
    </row>
    <row r="889">
      <c r="C889" s="27"/>
      <c r="D889" s="27"/>
      <c r="E889" s="27"/>
      <c r="F889" s="27"/>
      <c r="G889" s="27"/>
      <c r="H889" s="27"/>
      <c r="I889" s="27"/>
      <c r="J889" s="27"/>
    </row>
    <row r="890">
      <c r="C890" s="27"/>
      <c r="D890" s="27"/>
      <c r="E890" s="27"/>
      <c r="F890" s="27"/>
      <c r="G890" s="27"/>
      <c r="H890" s="27"/>
      <c r="I890" s="27"/>
      <c r="J890" s="27"/>
    </row>
    <row r="891">
      <c r="C891" s="27"/>
      <c r="D891" s="27"/>
      <c r="E891" s="27"/>
      <c r="F891" s="27"/>
      <c r="G891" s="27"/>
      <c r="H891" s="27"/>
      <c r="I891" s="27"/>
      <c r="J891" s="27"/>
    </row>
    <row r="892">
      <c r="C892" s="27"/>
      <c r="D892" s="27"/>
      <c r="E892" s="27"/>
      <c r="F892" s="27"/>
      <c r="G892" s="27"/>
      <c r="H892" s="27"/>
      <c r="I892" s="27"/>
      <c r="J892" s="27"/>
    </row>
    <row r="893">
      <c r="C893" s="27"/>
      <c r="D893" s="27"/>
      <c r="E893" s="27"/>
      <c r="F893" s="27"/>
      <c r="G893" s="27"/>
      <c r="H893" s="27"/>
      <c r="I893" s="27"/>
      <c r="J893" s="27"/>
    </row>
    <row r="894">
      <c r="C894" s="27"/>
      <c r="D894" s="27"/>
      <c r="E894" s="27"/>
      <c r="F894" s="27"/>
      <c r="G894" s="27"/>
      <c r="H894" s="27"/>
      <c r="I894" s="27"/>
      <c r="J894" s="27"/>
    </row>
    <row r="895">
      <c r="C895" s="27"/>
      <c r="D895" s="27"/>
      <c r="E895" s="27"/>
      <c r="F895" s="27"/>
      <c r="G895" s="27"/>
      <c r="H895" s="27"/>
      <c r="I895" s="27"/>
      <c r="J895" s="27"/>
    </row>
    <row r="896">
      <c r="C896" s="27"/>
      <c r="D896" s="27"/>
      <c r="E896" s="27"/>
      <c r="F896" s="27"/>
      <c r="G896" s="27"/>
      <c r="H896" s="27"/>
      <c r="I896" s="27"/>
      <c r="J896" s="27"/>
    </row>
    <row r="897">
      <c r="C897" s="27"/>
      <c r="D897" s="27"/>
      <c r="E897" s="27"/>
      <c r="F897" s="27"/>
      <c r="G897" s="27"/>
      <c r="H897" s="27"/>
      <c r="I897" s="27"/>
      <c r="J897" s="27"/>
    </row>
    <row r="898">
      <c r="C898" s="27"/>
      <c r="D898" s="27"/>
      <c r="E898" s="27"/>
      <c r="F898" s="27"/>
      <c r="G898" s="27"/>
      <c r="H898" s="27"/>
      <c r="I898" s="27"/>
      <c r="J898" s="27"/>
    </row>
    <row r="899">
      <c r="C899" s="27"/>
      <c r="D899" s="27"/>
      <c r="E899" s="27"/>
      <c r="F899" s="27"/>
      <c r="G899" s="27"/>
      <c r="H899" s="27"/>
      <c r="I899" s="27"/>
      <c r="J899" s="27"/>
    </row>
    <row r="900">
      <c r="C900" s="27"/>
      <c r="D900" s="27"/>
      <c r="E900" s="27"/>
      <c r="F900" s="27"/>
      <c r="G900" s="27"/>
      <c r="H900" s="27"/>
      <c r="I900" s="27"/>
      <c r="J900" s="27"/>
    </row>
    <row r="901">
      <c r="C901" s="27"/>
      <c r="D901" s="27"/>
      <c r="E901" s="27"/>
      <c r="F901" s="27"/>
      <c r="G901" s="27"/>
      <c r="H901" s="27"/>
      <c r="I901" s="27"/>
      <c r="J901" s="27"/>
    </row>
    <row r="902">
      <c r="C902" s="27"/>
      <c r="D902" s="27"/>
      <c r="E902" s="27"/>
      <c r="F902" s="27"/>
      <c r="G902" s="27"/>
      <c r="H902" s="27"/>
      <c r="I902" s="27"/>
      <c r="J902" s="27"/>
    </row>
    <row r="903">
      <c r="C903" s="27"/>
      <c r="D903" s="27"/>
      <c r="E903" s="27"/>
      <c r="F903" s="27"/>
      <c r="G903" s="27"/>
      <c r="H903" s="27"/>
      <c r="I903" s="27"/>
      <c r="J903" s="27"/>
    </row>
    <row r="904">
      <c r="C904" s="27"/>
      <c r="D904" s="27"/>
      <c r="E904" s="27"/>
      <c r="F904" s="27"/>
      <c r="G904" s="27"/>
      <c r="H904" s="27"/>
      <c r="I904" s="27"/>
      <c r="J904" s="27"/>
    </row>
    <row r="905">
      <c r="C905" s="27"/>
      <c r="D905" s="27"/>
      <c r="E905" s="27"/>
      <c r="F905" s="27"/>
      <c r="G905" s="27"/>
      <c r="H905" s="27"/>
      <c r="I905" s="27"/>
      <c r="J905" s="27"/>
    </row>
    <row r="906">
      <c r="C906" s="27"/>
      <c r="D906" s="27"/>
      <c r="E906" s="27"/>
      <c r="F906" s="27"/>
      <c r="G906" s="27"/>
      <c r="H906" s="27"/>
      <c r="I906" s="27"/>
      <c r="J906" s="27"/>
    </row>
    <row r="907">
      <c r="C907" s="27"/>
      <c r="D907" s="27"/>
      <c r="E907" s="27"/>
      <c r="F907" s="27"/>
      <c r="G907" s="27"/>
      <c r="H907" s="27"/>
      <c r="I907" s="27"/>
      <c r="J907" s="27"/>
    </row>
    <row r="908">
      <c r="C908" s="27"/>
      <c r="D908" s="27"/>
      <c r="E908" s="27"/>
      <c r="F908" s="27"/>
      <c r="G908" s="27"/>
      <c r="H908" s="27"/>
      <c r="I908" s="27"/>
      <c r="J908" s="27"/>
    </row>
    <row r="909">
      <c r="C909" s="27"/>
      <c r="D909" s="27"/>
      <c r="E909" s="27"/>
      <c r="F909" s="27"/>
      <c r="G909" s="27"/>
      <c r="H909" s="27"/>
      <c r="I909" s="27"/>
      <c r="J909" s="27"/>
    </row>
    <row r="910">
      <c r="C910" s="27"/>
      <c r="D910" s="27"/>
      <c r="E910" s="27"/>
      <c r="F910" s="27"/>
      <c r="G910" s="27"/>
      <c r="H910" s="27"/>
      <c r="I910" s="27"/>
      <c r="J910" s="27"/>
    </row>
    <row r="911">
      <c r="C911" s="27"/>
      <c r="D911" s="27"/>
      <c r="E911" s="27"/>
      <c r="F911" s="27"/>
      <c r="G911" s="27"/>
      <c r="H911" s="27"/>
      <c r="I911" s="27"/>
      <c r="J911" s="27"/>
    </row>
    <row r="912">
      <c r="C912" s="27"/>
      <c r="D912" s="27"/>
      <c r="E912" s="27"/>
      <c r="F912" s="27"/>
      <c r="G912" s="27"/>
      <c r="H912" s="27"/>
      <c r="I912" s="27"/>
      <c r="J912" s="27"/>
    </row>
    <row r="913">
      <c r="C913" s="27"/>
      <c r="D913" s="27"/>
      <c r="E913" s="27"/>
      <c r="F913" s="27"/>
      <c r="G913" s="27"/>
      <c r="H913" s="27"/>
      <c r="I913" s="27"/>
      <c r="J913" s="27"/>
    </row>
    <row r="914">
      <c r="C914" s="27"/>
      <c r="D914" s="27"/>
      <c r="E914" s="27"/>
      <c r="F914" s="27"/>
      <c r="G914" s="27"/>
      <c r="H914" s="27"/>
      <c r="I914" s="27"/>
      <c r="J914" s="27"/>
    </row>
    <row r="915">
      <c r="C915" s="27"/>
      <c r="D915" s="27"/>
      <c r="E915" s="27"/>
      <c r="F915" s="27"/>
      <c r="G915" s="27"/>
      <c r="H915" s="27"/>
      <c r="I915" s="27"/>
      <c r="J915" s="27"/>
    </row>
    <row r="916">
      <c r="C916" s="27"/>
      <c r="D916" s="27"/>
      <c r="E916" s="27"/>
      <c r="F916" s="27"/>
      <c r="G916" s="27"/>
      <c r="H916" s="27"/>
      <c r="I916" s="27"/>
      <c r="J916" s="27"/>
    </row>
    <row r="917">
      <c r="C917" s="27"/>
      <c r="D917" s="27"/>
      <c r="E917" s="27"/>
      <c r="F917" s="27"/>
      <c r="G917" s="27"/>
      <c r="H917" s="27"/>
      <c r="I917" s="27"/>
      <c r="J917" s="27"/>
    </row>
    <row r="918">
      <c r="C918" s="27"/>
      <c r="D918" s="27"/>
      <c r="E918" s="27"/>
      <c r="F918" s="27"/>
      <c r="G918" s="27"/>
      <c r="H918" s="27"/>
      <c r="I918" s="27"/>
      <c r="J918" s="27"/>
    </row>
    <row r="919">
      <c r="C919" s="27"/>
      <c r="D919" s="27"/>
      <c r="E919" s="27"/>
      <c r="F919" s="27"/>
      <c r="G919" s="27"/>
      <c r="H919" s="27"/>
      <c r="I919" s="27"/>
      <c r="J919" s="27"/>
    </row>
    <row r="920">
      <c r="C920" s="27"/>
      <c r="D920" s="27"/>
      <c r="E920" s="27"/>
      <c r="F920" s="27"/>
      <c r="G920" s="27"/>
      <c r="H920" s="27"/>
      <c r="I920" s="27"/>
      <c r="J920" s="27"/>
    </row>
    <row r="921">
      <c r="C921" s="27"/>
      <c r="D921" s="27"/>
      <c r="E921" s="27"/>
      <c r="F921" s="27"/>
      <c r="G921" s="27"/>
      <c r="H921" s="27"/>
      <c r="I921" s="27"/>
      <c r="J921" s="27"/>
    </row>
    <row r="922">
      <c r="C922" s="27"/>
      <c r="D922" s="27"/>
      <c r="E922" s="27"/>
      <c r="F922" s="27"/>
      <c r="G922" s="27"/>
      <c r="H922" s="27"/>
      <c r="I922" s="27"/>
      <c r="J922" s="27"/>
    </row>
    <row r="923">
      <c r="C923" s="27"/>
      <c r="D923" s="27"/>
      <c r="E923" s="27"/>
      <c r="F923" s="27"/>
      <c r="G923" s="27"/>
      <c r="H923" s="27"/>
      <c r="I923" s="27"/>
      <c r="J923" s="27"/>
    </row>
    <row r="924">
      <c r="C924" s="27"/>
      <c r="D924" s="27"/>
      <c r="E924" s="27"/>
      <c r="F924" s="27"/>
      <c r="G924" s="27"/>
      <c r="H924" s="27"/>
      <c r="I924" s="27"/>
      <c r="J924" s="27"/>
    </row>
    <row r="925">
      <c r="C925" s="27"/>
      <c r="D925" s="27"/>
      <c r="E925" s="27"/>
      <c r="F925" s="27"/>
      <c r="G925" s="27"/>
      <c r="H925" s="27"/>
      <c r="I925" s="27"/>
      <c r="J925" s="27"/>
    </row>
    <row r="926">
      <c r="C926" s="27"/>
      <c r="D926" s="27"/>
      <c r="E926" s="27"/>
      <c r="F926" s="27"/>
      <c r="G926" s="27"/>
      <c r="H926" s="27"/>
      <c r="I926" s="27"/>
      <c r="J926" s="27"/>
    </row>
    <row r="927">
      <c r="C927" s="27"/>
      <c r="D927" s="27"/>
      <c r="E927" s="27"/>
      <c r="F927" s="27"/>
      <c r="G927" s="27"/>
      <c r="H927" s="27"/>
      <c r="I927" s="27"/>
      <c r="J927" s="27"/>
    </row>
    <row r="928">
      <c r="C928" s="27"/>
      <c r="D928" s="27"/>
      <c r="E928" s="27"/>
      <c r="F928" s="27"/>
      <c r="G928" s="27"/>
      <c r="H928" s="27"/>
      <c r="I928" s="27"/>
      <c r="J928" s="27"/>
    </row>
    <row r="929">
      <c r="C929" s="27"/>
      <c r="D929" s="27"/>
      <c r="E929" s="27"/>
      <c r="F929" s="27"/>
      <c r="G929" s="27"/>
      <c r="H929" s="27"/>
      <c r="I929" s="27"/>
      <c r="J929" s="27"/>
    </row>
    <row r="930">
      <c r="C930" s="27"/>
      <c r="D930" s="27"/>
      <c r="E930" s="27"/>
      <c r="F930" s="27"/>
      <c r="G930" s="27"/>
      <c r="H930" s="27"/>
      <c r="I930" s="27"/>
      <c r="J930" s="27"/>
    </row>
    <row r="931">
      <c r="C931" s="27"/>
      <c r="D931" s="27"/>
      <c r="E931" s="27"/>
      <c r="F931" s="27"/>
      <c r="G931" s="27"/>
      <c r="H931" s="27"/>
      <c r="I931" s="27"/>
      <c r="J931" s="27"/>
    </row>
    <row r="932">
      <c r="C932" s="27"/>
      <c r="D932" s="27"/>
      <c r="E932" s="27"/>
      <c r="F932" s="27"/>
      <c r="G932" s="27"/>
      <c r="H932" s="27"/>
      <c r="I932" s="27"/>
      <c r="J932" s="27"/>
    </row>
    <row r="933">
      <c r="C933" s="27"/>
      <c r="D933" s="27"/>
      <c r="E933" s="27"/>
      <c r="F933" s="27"/>
      <c r="G933" s="27"/>
      <c r="H933" s="27"/>
      <c r="I933" s="27"/>
      <c r="J933" s="27"/>
    </row>
    <row r="934">
      <c r="C934" s="27"/>
      <c r="D934" s="27"/>
      <c r="E934" s="27"/>
      <c r="F934" s="27"/>
      <c r="G934" s="27"/>
      <c r="H934" s="27"/>
      <c r="I934" s="27"/>
      <c r="J934" s="27"/>
    </row>
    <row r="935">
      <c r="C935" s="27"/>
      <c r="D935" s="27"/>
      <c r="E935" s="27"/>
      <c r="F935" s="27"/>
      <c r="G935" s="27"/>
      <c r="H935" s="27"/>
      <c r="I935" s="27"/>
      <c r="J935" s="27"/>
    </row>
    <row r="936">
      <c r="C936" s="27"/>
      <c r="D936" s="27"/>
      <c r="E936" s="27"/>
      <c r="F936" s="27"/>
      <c r="G936" s="27"/>
      <c r="H936" s="27"/>
      <c r="I936" s="27"/>
      <c r="J936" s="27"/>
    </row>
    <row r="937">
      <c r="C937" s="27"/>
      <c r="D937" s="27"/>
      <c r="E937" s="27"/>
      <c r="F937" s="27"/>
      <c r="G937" s="27"/>
      <c r="H937" s="27"/>
      <c r="I937" s="27"/>
      <c r="J937" s="27"/>
    </row>
    <row r="938">
      <c r="C938" s="27"/>
      <c r="D938" s="27"/>
      <c r="E938" s="27"/>
      <c r="F938" s="27"/>
      <c r="G938" s="27"/>
      <c r="H938" s="27"/>
      <c r="I938" s="27"/>
      <c r="J938" s="27"/>
    </row>
    <row r="939">
      <c r="C939" s="27"/>
      <c r="D939" s="27"/>
      <c r="E939" s="27"/>
      <c r="F939" s="27"/>
      <c r="G939" s="27"/>
      <c r="H939" s="27"/>
      <c r="I939" s="27"/>
      <c r="J939" s="27"/>
    </row>
    <row r="940">
      <c r="C940" s="27"/>
      <c r="D940" s="27"/>
      <c r="E940" s="27"/>
      <c r="F940" s="27"/>
      <c r="G940" s="27"/>
      <c r="H940" s="27"/>
      <c r="I940" s="27"/>
      <c r="J940" s="27"/>
    </row>
    <row r="941">
      <c r="C941" s="27"/>
      <c r="D941" s="27"/>
      <c r="E941" s="27"/>
      <c r="F941" s="27"/>
      <c r="G941" s="27"/>
      <c r="H941" s="27"/>
      <c r="I941" s="27"/>
      <c r="J941" s="27"/>
    </row>
    <row r="942">
      <c r="C942" s="27"/>
      <c r="D942" s="27"/>
      <c r="E942" s="27"/>
      <c r="F942" s="27"/>
      <c r="G942" s="27"/>
      <c r="H942" s="27"/>
      <c r="I942" s="27"/>
      <c r="J942" s="27"/>
    </row>
    <row r="943">
      <c r="C943" s="27"/>
      <c r="D943" s="27"/>
      <c r="E943" s="27"/>
      <c r="F943" s="27"/>
      <c r="G943" s="27"/>
      <c r="H943" s="27"/>
      <c r="I943" s="27"/>
      <c r="J943" s="27"/>
    </row>
    <row r="944">
      <c r="C944" s="27"/>
      <c r="D944" s="27"/>
      <c r="E944" s="27"/>
      <c r="F944" s="27"/>
      <c r="G944" s="27"/>
      <c r="H944" s="27"/>
      <c r="I944" s="27"/>
      <c r="J944" s="27"/>
    </row>
    <row r="945">
      <c r="C945" s="27"/>
      <c r="D945" s="27"/>
      <c r="E945" s="27"/>
      <c r="F945" s="27"/>
      <c r="G945" s="27"/>
      <c r="H945" s="27"/>
      <c r="I945" s="27"/>
      <c r="J945" s="27"/>
    </row>
    <row r="946">
      <c r="C946" s="27"/>
      <c r="D946" s="27"/>
      <c r="E946" s="27"/>
      <c r="F946" s="27"/>
      <c r="G946" s="27"/>
      <c r="H946" s="27"/>
      <c r="I946" s="27"/>
      <c r="J946" s="27"/>
    </row>
    <row r="947">
      <c r="C947" s="27"/>
      <c r="D947" s="27"/>
      <c r="E947" s="27"/>
      <c r="F947" s="27"/>
      <c r="G947" s="27"/>
      <c r="H947" s="27"/>
      <c r="I947" s="27"/>
      <c r="J947" s="27"/>
    </row>
    <row r="948">
      <c r="C948" s="27"/>
      <c r="D948" s="27"/>
      <c r="E948" s="27"/>
      <c r="F948" s="27"/>
      <c r="G948" s="27"/>
      <c r="H948" s="27"/>
      <c r="I948" s="27"/>
      <c r="J948" s="27"/>
    </row>
    <row r="949">
      <c r="C949" s="27"/>
      <c r="D949" s="27"/>
      <c r="E949" s="27"/>
      <c r="F949" s="27"/>
      <c r="G949" s="27"/>
      <c r="H949" s="27"/>
      <c r="I949" s="27"/>
      <c r="J949" s="27"/>
    </row>
    <row r="950">
      <c r="C950" s="27"/>
      <c r="D950" s="27"/>
      <c r="E950" s="27"/>
      <c r="F950" s="27"/>
      <c r="G950" s="27"/>
      <c r="H950" s="27"/>
      <c r="I950" s="27"/>
      <c r="J950" s="27"/>
    </row>
    <row r="951">
      <c r="C951" s="27"/>
      <c r="D951" s="27"/>
      <c r="E951" s="27"/>
      <c r="F951" s="27"/>
      <c r="G951" s="27"/>
      <c r="H951" s="27"/>
      <c r="I951" s="27"/>
      <c r="J951" s="27"/>
    </row>
    <row r="952">
      <c r="C952" s="27"/>
      <c r="D952" s="27"/>
      <c r="E952" s="27"/>
      <c r="F952" s="27"/>
      <c r="G952" s="27"/>
      <c r="H952" s="27"/>
      <c r="I952" s="27"/>
      <c r="J952" s="27"/>
    </row>
    <row r="953">
      <c r="C953" s="27"/>
      <c r="D953" s="27"/>
      <c r="E953" s="27"/>
      <c r="F953" s="27"/>
      <c r="G953" s="27"/>
      <c r="H953" s="27"/>
      <c r="I953" s="27"/>
      <c r="J953" s="27"/>
    </row>
    <row r="954">
      <c r="C954" s="27"/>
      <c r="D954" s="27"/>
      <c r="E954" s="27"/>
      <c r="F954" s="27"/>
      <c r="G954" s="27"/>
      <c r="H954" s="27"/>
      <c r="I954" s="27"/>
      <c r="J954" s="27"/>
    </row>
    <row r="955">
      <c r="C955" s="27"/>
      <c r="D955" s="27"/>
      <c r="E955" s="27"/>
      <c r="F955" s="27"/>
      <c r="G955" s="27"/>
      <c r="H955" s="27"/>
      <c r="I955" s="27"/>
      <c r="J955" s="27"/>
    </row>
    <row r="956">
      <c r="C956" s="27"/>
      <c r="D956" s="27"/>
      <c r="E956" s="27"/>
      <c r="F956" s="27"/>
      <c r="G956" s="27"/>
      <c r="H956" s="27"/>
      <c r="I956" s="27"/>
      <c r="J956" s="27"/>
    </row>
    <row r="957">
      <c r="C957" s="27"/>
      <c r="D957" s="27"/>
      <c r="E957" s="27"/>
      <c r="F957" s="27"/>
      <c r="G957" s="27"/>
      <c r="H957" s="27"/>
      <c r="I957" s="27"/>
      <c r="J957" s="27"/>
    </row>
    <row r="958">
      <c r="C958" s="27"/>
      <c r="D958" s="27"/>
      <c r="E958" s="27"/>
      <c r="F958" s="27"/>
      <c r="G958" s="27"/>
      <c r="H958" s="27"/>
      <c r="I958" s="27"/>
      <c r="J958" s="27"/>
    </row>
    <row r="959">
      <c r="C959" s="27"/>
      <c r="D959" s="27"/>
      <c r="E959" s="27"/>
      <c r="F959" s="27"/>
      <c r="G959" s="27"/>
      <c r="H959" s="27"/>
      <c r="I959" s="27"/>
      <c r="J959" s="27"/>
    </row>
    <row r="960">
      <c r="C960" s="27"/>
      <c r="D960" s="27"/>
      <c r="E960" s="27"/>
      <c r="F960" s="27"/>
      <c r="G960" s="27"/>
      <c r="H960" s="27"/>
      <c r="I960" s="27"/>
      <c r="J960" s="27"/>
    </row>
    <row r="961">
      <c r="C961" s="27"/>
      <c r="D961" s="27"/>
      <c r="E961" s="27"/>
      <c r="F961" s="27"/>
      <c r="G961" s="27"/>
      <c r="H961" s="27"/>
      <c r="I961" s="27"/>
      <c r="J961" s="27"/>
    </row>
    <row r="962">
      <c r="C962" s="27"/>
      <c r="D962" s="27"/>
      <c r="E962" s="27"/>
      <c r="F962" s="27"/>
      <c r="G962" s="27"/>
      <c r="H962" s="27"/>
      <c r="I962" s="27"/>
      <c r="J962" s="27"/>
    </row>
    <row r="963">
      <c r="C963" s="27"/>
      <c r="D963" s="27"/>
      <c r="E963" s="27"/>
      <c r="F963" s="27"/>
      <c r="G963" s="27"/>
      <c r="H963" s="27"/>
      <c r="I963" s="27"/>
      <c r="J963" s="27"/>
    </row>
    <row r="964">
      <c r="C964" s="27"/>
      <c r="D964" s="27"/>
      <c r="E964" s="27"/>
      <c r="F964" s="27"/>
      <c r="G964" s="27"/>
      <c r="H964" s="27"/>
      <c r="I964" s="27"/>
      <c r="J964" s="27"/>
    </row>
    <row r="965">
      <c r="C965" s="27"/>
      <c r="D965" s="27"/>
      <c r="E965" s="27"/>
      <c r="F965" s="27"/>
      <c r="G965" s="27"/>
      <c r="H965" s="27"/>
      <c r="I965" s="27"/>
      <c r="J965" s="27"/>
    </row>
    <row r="966">
      <c r="C966" s="27"/>
      <c r="D966" s="27"/>
      <c r="E966" s="27"/>
      <c r="F966" s="27"/>
      <c r="G966" s="27"/>
      <c r="H966" s="27"/>
      <c r="I966" s="27"/>
      <c r="J966" s="27"/>
    </row>
    <row r="967">
      <c r="C967" s="27"/>
      <c r="D967" s="27"/>
      <c r="E967" s="27"/>
      <c r="F967" s="27"/>
      <c r="G967" s="27"/>
      <c r="H967" s="27"/>
      <c r="I967" s="27"/>
      <c r="J967" s="27"/>
    </row>
    <row r="968">
      <c r="C968" s="27"/>
      <c r="D968" s="27"/>
      <c r="E968" s="27"/>
      <c r="F968" s="27"/>
      <c r="G968" s="27"/>
      <c r="H968" s="27"/>
      <c r="I968" s="27"/>
      <c r="J968" s="27"/>
    </row>
    <row r="969">
      <c r="C969" s="27"/>
      <c r="D969" s="27"/>
      <c r="E969" s="27"/>
      <c r="F969" s="27"/>
      <c r="G969" s="27"/>
      <c r="H969" s="27"/>
      <c r="I969" s="27"/>
      <c r="J969" s="27"/>
    </row>
    <row r="970">
      <c r="C970" s="27"/>
      <c r="D970" s="27"/>
      <c r="E970" s="27"/>
      <c r="F970" s="27"/>
      <c r="G970" s="27"/>
      <c r="H970" s="27"/>
      <c r="I970" s="27"/>
      <c r="J970" s="27"/>
    </row>
    <row r="971">
      <c r="C971" s="27"/>
      <c r="D971" s="27"/>
      <c r="E971" s="27"/>
      <c r="F971" s="27"/>
      <c r="G971" s="27"/>
      <c r="H971" s="27"/>
      <c r="I971" s="27"/>
      <c r="J971" s="27"/>
    </row>
    <row r="972">
      <c r="C972" s="27"/>
      <c r="D972" s="27"/>
      <c r="E972" s="27"/>
      <c r="F972" s="27"/>
      <c r="G972" s="27"/>
      <c r="H972" s="27"/>
      <c r="I972" s="27"/>
      <c r="J972" s="27"/>
    </row>
    <row r="973">
      <c r="C973" s="27"/>
      <c r="D973" s="27"/>
      <c r="E973" s="27"/>
      <c r="F973" s="27"/>
      <c r="G973" s="27"/>
      <c r="H973" s="27"/>
      <c r="I973" s="27"/>
      <c r="J973" s="27"/>
    </row>
    <row r="974">
      <c r="C974" s="27"/>
      <c r="D974" s="27"/>
      <c r="E974" s="27"/>
      <c r="F974" s="27"/>
      <c r="G974" s="27"/>
      <c r="H974" s="27"/>
      <c r="I974" s="27"/>
      <c r="J974" s="27"/>
    </row>
    <row r="975">
      <c r="C975" s="27"/>
      <c r="D975" s="27"/>
      <c r="E975" s="27"/>
      <c r="F975" s="27"/>
      <c r="G975" s="27"/>
      <c r="H975" s="27"/>
      <c r="I975" s="27"/>
      <c r="J975" s="27"/>
    </row>
    <row r="976">
      <c r="C976" s="27"/>
      <c r="D976" s="27"/>
      <c r="E976" s="27"/>
      <c r="F976" s="27"/>
      <c r="G976" s="27"/>
      <c r="H976" s="27"/>
      <c r="I976" s="27"/>
      <c r="J976" s="27"/>
    </row>
    <row r="977">
      <c r="C977" s="27"/>
      <c r="D977" s="27"/>
      <c r="E977" s="27"/>
      <c r="F977" s="27"/>
      <c r="G977" s="27"/>
      <c r="H977" s="27"/>
      <c r="I977" s="27"/>
      <c r="J977" s="27"/>
    </row>
    <row r="978">
      <c r="C978" s="27"/>
      <c r="D978" s="27"/>
      <c r="E978" s="27"/>
      <c r="F978" s="27"/>
      <c r="G978" s="27"/>
      <c r="H978" s="27"/>
      <c r="I978" s="27"/>
      <c r="J978" s="27"/>
    </row>
    <row r="979">
      <c r="C979" s="27"/>
      <c r="D979" s="27"/>
      <c r="E979" s="27"/>
      <c r="F979" s="27"/>
      <c r="G979" s="27"/>
      <c r="H979" s="27"/>
      <c r="I979" s="27"/>
      <c r="J979" s="27"/>
    </row>
    <row r="980">
      <c r="C980" s="27"/>
      <c r="D980" s="27"/>
      <c r="E980" s="27"/>
      <c r="F980" s="27"/>
      <c r="G980" s="27"/>
      <c r="H980" s="27"/>
      <c r="I980" s="27"/>
      <c r="J980" s="27"/>
    </row>
    <row r="981">
      <c r="C981" s="27"/>
      <c r="D981" s="27"/>
      <c r="E981" s="27"/>
      <c r="F981" s="27"/>
      <c r="G981" s="27"/>
      <c r="H981" s="27"/>
      <c r="I981" s="27"/>
      <c r="J981" s="27"/>
    </row>
    <row r="982">
      <c r="C982" s="27"/>
      <c r="D982" s="27"/>
      <c r="E982" s="27"/>
      <c r="F982" s="27"/>
      <c r="G982" s="27"/>
      <c r="H982" s="27"/>
      <c r="I982" s="27"/>
      <c r="J982" s="27"/>
    </row>
    <row r="983">
      <c r="C983" s="27"/>
      <c r="D983" s="27"/>
      <c r="E983" s="27"/>
      <c r="F983" s="27"/>
      <c r="G983" s="27"/>
      <c r="H983" s="27"/>
      <c r="I983" s="27"/>
      <c r="J983" s="27"/>
    </row>
    <row r="984">
      <c r="C984" s="27"/>
      <c r="D984" s="27"/>
      <c r="E984" s="27"/>
      <c r="F984" s="27"/>
      <c r="G984" s="27"/>
      <c r="H984" s="27"/>
      <c r="I984" s="27"/>
      <c r="J984" s="27"/>
    </row>
    <row r="985">
      <c r="C985" s="27"/>
      <c r="D985" s="27"/>
      <c r="E985" s="27"/>
      <c r="F985" s="27"/>
      <c r="G985" s="27"/>
      <c r="H985" s="27"/>
      <c r="I985" s="27"/>
      <c r="J985" s="27"/>
    </row>
    <row r="986">
      <c r="C986" s="27"/>
      <c r="D986" s="27"/>
      <c r="E986" s="27"/>
      <c r="F986" s="27"/>
      <c r="G986" s="27"/>
      <c r="H986" s="27"/>
      <c r="I986" s="27"/>
      <c r="J986" s="27"/>
    </row>
    <row r="987">
      <c r="C987" s="27"/>
      <c r="D987" s="27"/>
      <c r="E987" s="27"/>
      <c r="F987" s="27"/>
      <c r="G987" s="27"/>
      <c r="H987" s="27"/>
      <c r="I987" s="27"/>
      <c r="J987" s="27"/>
    </row>
    <row r="988">
      <c r="C988" s="27"/>
      <c r="D988" s="27"/>
      <c r="E988" s="27"/>
      <c r="F988" s="27"/>
      <c r="G988" s="27"/>
      <c r="H988" s="27"/>
      <c r="I988" s="27"/>
      <c r="J988" s="27"/>
    </row>
    <row r="989">
      <c r="C989" s="27"/>
      <c r="D989" s="27"/>
      <c r="E989" s="27"/>
      <c r="F989" s="27"/>
      <c r="G989" s="27"/>
      <c r="H989" s="27"/>
      <c r="I989" s="27"/>
      <c r="J989" s="27"/>
    </row>
    <row r="990">
      <c r="C990" s="27"/>
      <c r="D990" s="27"/>
      <c r="E990" s="27"/>
      <c r="F990" s="27"/>
      <c r="G990" s="27"/>
      <c r="H990" s="27"/>
      <c r="I990" s="27"/>
      <c r="J990" s="27"/>
    </row>
    <row r="991">
      <c r="C991" s="27"/>
      <c r="D991" s="27"/>
      <c r="E991" s="27"/>
      <c r="F991" s="27"/>
      <c r="G991" s="27"/>
      <c r="H991" s="27"/>
      <c r="I991" s="27"/>
      <c r="J991" s="27"/>
    </row>
    <row r="992">
      <c r="C992" s="27"/>
      <c r="D992" s="27"/>
      <c r="E992" s="27"/>
      <c r="F992" s="27"/>
      <c r="G992" s="27"/>
      <c r="H992" s="27"/>
      <c r="I992" s="27"/>
      <c r="J992" s="27"/>
    </row>
    <row r="993">
      <c r="C993" s="27"/>
      <c r="D993" s="27"/>
      <c r="E993" s="27"/>
      <c r="F993" s="27"/>
      <c r="G993" s="27"/>
      <c r="H993" s="27"/>
      <c r="I993" s="27"/>
      <c r="J993" s="27"/>
    </row>
    <row r="994">
      <c r="C994" s="27"/>
      <c r="D994" s="27"/>
      <c r="E994" s="27"/>
      <c r="F994" s="27"/>
      <c r="G994" s="27"/>
      <c r="H994" s="27"/>
      <c r="I994" s="27"/>
      <c r="J994" s="27"/>
    </row>
    <row r="995">
      <c r="C995" s="27"/>
      <c r="D995" s="27"/>
      <c r="E995" s="27"/>
      <c r="F995" s="27"/>
      <c r="G995" s="27"/>
      <c r="H995" s="27"/>
      <c r="I995" s="27"/>
      <c r="J995" s="27"/>
    </row>
    <row r="996">
      <c r="C996" s="27"/>
      <c r="D996" s="27"/>
      <c r="E996" s="27"/>
      <c r="F996" s="27"/>
      <c r="G996" s="27"/>
      <c r="H996" s="27"/>
      <c r="I996" s="27"/>
      <c r="J996" s="27"/>
    </row>
    <row r="997">
      <c r="C997" s="27"/>
      <c r="D997" s="27"/>
      <c r="E997" s="27"/>
      <c r="F997" s="27"/>
      <c r="G997" s="27"/>
      <c r="H997" s="27"/>
      <c r="I997" s="27"/>
      <c r="J997" s="27"/>
    </row>
    <row r="998">
      <c r="C998" s="27"/>
      <c r="D998" s="27"/>
      <c r="E998" s="27"/>
      <c r="F998" s="27"/>
      <c r="G998" s="27"/>
      <c r="H998" s="27"/>
      <c r="I998" s="27"/>
      <c r="J998" s="27"/>
    </row>
    <row r="999">
      <c r="C999" s="27"/>
      <c r="D999" s="27"/>
      <c r="E999" s="27"/>
      <c r="F999" s="27"/>
      <c r="G999" s="27"/>
      <c r="H999" s="27"/>
      <c r="I999" s="27"/>
      <c r="J999" s="27"/>
    </row>
    <row r="1000">
      <c r="C1000" s="27"/>
      <c r="D1000" s="27"/>
      <c r="E1000" s="27"/>
      <c r="F1000" s="27"/>
      <c r="G1000" s="27"/>
      <c r="H1000" s="27"/>
      <c r="I1000" s="27"/>
      <c r="J1000" s="27"/>
    </row>
    <row r="1001">
      <c r="C1001" s="27"/>
      <c r="D1001" s="27"/>
      <c r="E1001" s="27"/>
      <c r="F1001" s="27"/>
      <c r="G1001" s="27"/>
      <c r="H1001" s="27"/>
      <c r="I1001" s="27"/>
      <c r="J1001" s="27"/>
    </row>
    <row r="1002">
      <c r="C1002" s="27"/>
      <c r="D1002" s="27"/>
      <c r="E1002" s="27"/>
      <c r="F1002" s="27"/>
      <c r="G1002" s="27"/>
      <c r="H1002" s="27"/>
      <c r="I1002" s="27"/>
      <c r="J1002" s="27"/>
    </row>
  </sheetData>
  <conditionalFormatting sqref="D53:G53">
    <cfRule type="cellIs" dxfId="0" priority="1" operator="lessThan">
      <formula>0</formula>
    </cfRule>
  </conditionalFormatting>
  <drawing r:id="rId2"/>
  <legacyDrawing r:id="rId3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20.38"/>
    <col customWidth="1" min="3" max="3" width="9.38"/>
    <col customWidth="1" min="4" max="4" width="13.13"/>
    <col customWidth="1" min="5" max="5" width="20.63"/>
    <col customWidth="1" min="6" max="6" width="17.63"/>
    <col customWidth="1" min="7" max="7" width="14.63"/>
    <col customWidth="1" min="8" max="8" width="16.75"/>
    <col customWidth="1" min="9" max="10" width="9.75"/>
    <col customWidth="1" min="11" max="11" width="23.38"/>
    <col customWidth="1" min="12" max="12" width="11.25"/>
    <col customWidth="1" min="13" max="13" width="9.25"/>
    <col customWidth="1" min="14" max="15" width="9.5"/>
    <col customWidth="1" min="18" max="18" width="9.88"/>
    <col customWidth="1" min="19" max="19" width="8.13"/>
  </cols>
  <sheetData>
    <row r="1">
      <c r="B1" s="416" t="s">
        <v>296</v>
      </c>
      <c r="C1" s="27"/>
      <c r="D1" s="107" t="s">
        <v>387</v>
      </c>
      <c r="E1" s="107" t="s">
        <v>388</v>
      </c>
      <c r="F1" s="107"/>
      <c r="G1" s="107"/>
      <c r="H1" s="107"/>
      <c r="I1" s="504"/>
      <c r="J1" s="107"/>
      <c r="K1" s="417" t="s">
        <v>325</v>
      </c>
      <c r="L1" s="107"/>
    </row>
    <row r="2">
      <c r="B2" s="18" t="s">
        <v>240</v>
      </c>
      <c r="C2" s="107"/>
      <c r="D2" s="27"/>
      <c r="E2" s="107"/>
      <c r="F2" s="26"/>
      <c r="G2" s="26"/>
      <c r="H2" s="26"/>
      <c r="I2" s="505"/>
      <c r="J2" s="26"/>
      <c r="K2" s="422" t="s">
        <v>119</v>
      </c>
      <c r="L2" s="302" t="s">
        <v>120</v>
      </c>
    </row>
    <row r="3">
      <c r="B3" s="18" t="s">
        <v>241</v>
      </c>
      <c r="C3" s="107">
        <v>70.7</v>
      </c>
      <c r="D3" s="107">
        <v>20.85</v>
      </c>
      <c r="E3" s="489">
        <v>79.8</v>
      </c>
      <c r="F3" s="107"/>
      <c r="G3" s="107"/>
      <c r="H3" s="107"/>
      <c r="I3" s="504"/>
      <c r="J3" s="107"/>
      <c r="K3" s="423" t="s">
        <v>326</v>
      </c>
      <c r="L3" s="7" t="s">
        <v>327</v>
      </c>
    </row>
    <row r="4">
      <c r="B4" s="18" t="s">
        <v>397</v>
      </c>
      <c r="C4" s="107"/>
      <c r="D4" s="107">
        <v>3.82</v>
      </c>
      <c r="E4" s="489">
        <v>42.15</v>
      </c>
      <c r="F4" s="107">
        <v>11500.0</v>
      </c>
      <c r="I4" s="506"/>
      <c r="K4" s="423" t="s">
        <v>328</v>
      </c>
      <c r="L4" s="7" t="s">
        <v>329</v>
      </c>
      <c r="M4" s="107"/>
    </row>
    <row r="5">
      <c r="B5" s="18" t="s">
        <v>285</v>
      </c>
      <c r="C5" s="107">
        <v>42.0</v>
      </c>
      <c r="D5" s="107">
        <v>16.37</v>
      </c>
      <c r="E5" s="489">
        <v>59.66</v>
      </c>
      <c r="F5" s="107">
        <v>7460.0</v>
      </c>
      <c r="I5" s="506"/>
      <c r="K5" s="423"/>
      <c r="L5" s="7" t="s">
        <v>192</v>
      </c>
      <c r="M5" s="107"/>
    </row>
    <row r="6">
      <c r="B6" s="18" t="s">
        <v>324</v>
      </c>
      <c r="C6" s="107">
        <v>6.0</v>
      </c>
      <c r="D6" s="107"/>
      <c r="E6" s="107">
        <v>6.0</v>
      </c>
      <c r="I6" s="506"/>
      <c r="M6" s="107"/>
    </row>
    <row r="7">
      <c r="C7" s="27">
        <f>SUM(C2:C6)</f>
        <v>118.7</v>
      </c>
      <c r="D7" s="490">
        <f>E7-E2</f>
        <v>187.61</v>
      </c>
      <c r="E7" s="490">
        <f>SUM(E2:E6)</f>
        <v>187.61</v>
      </c>
      <c r="I7" s="506"/>
      <c r="M7" s="107"/>
    </row>
    <row r="8">
      <c r="C8" s="27"/>
      <c r="I8" s="506"/>
      <c r="M8" s="107"/>
    </row>
    <row r="9">
      <c r="C9" s="27"/>
      <c r="I9" s="506"/>
      <c r="M9" s="27"/>
    </row>
    <row r="10">
      <c r="C10" s="27"/>
      <c r="D10" s="18" t="s">
        <v>366</v>
      </c>
      <c r="F10" s="18"/>
      <c r="G10" s="18"/>
      <c r="H10" s="18"/>
      <c r="I10" s="507"/>
      <c r="J10" s="18"/>
      <c r="M10" s="107"/>
    </row>
    <row r="11">
      <c r="B11" s="55" t="s">
        <v>122</v>
      </c>
      <c r="C11" s="56"/>
      <c r="D11" s="140" t="s">
        <v>134</v>
      </c>
      <c r="E11" s="57" t="s">
        <v>123</v>
      </c>
      <c r="F11" s="57" t="s">
        <v>124</v>
      </c>
      <c r="G11" s="57" t="s">
        <v>125</v>
      </c>
      <c r="H11" s="57" t="s">
        <v>126</v>
      </c>
      <c r="I11" s="506"/>
      <c r="M11" s="107"/>
      <c r="O11" s="18"/>
    </row>
    <row r="12">
      <c r="B12" s="59" t="s">
        <v>129</v>
      </c>
      <c r="C12" s="141"/>
      <c r="D12" s="113">
        <v>8661.72</v>
      </c>
      <c r="E12" s="113">
        <v>8588.97</v>
      </c>
      <c r="F12" s="113">
        <v>8692.89</v>
      </c>
      <c r="G12" s="113">
        <v>8692.89</v>
      </c>
      <c r="H12" s="113">
        <v>8692.89</v>
      </c>
      <c r="I12" s="506"/>
      <c r="M12" s="107"/>
      <c r="O12" s="18"/>
    </row>
    <row r="13">
      <c r="B13" s="59" t="s">
        <v>136</v>
      </c>
      <c r="C13" s="141"/>
      <c r="D13" s="114">
        <f>2230+3698.95</f>
        <v>5928.95</v>
      </c>
      <c r="E13" s="114">
        <f>2230+3615.05</f>
        <v>5845.05</v>
      </c>
      <c r="F13" s="114">
        <f>2230+3691.95</f>
        <v>5921.95</v>
      </c>
      <c r="G13" s="114">
        <f>2230+3990.05</f>
        <v>6220.05</v>
      </c>
      <c r="H13" s="114">
        <f>2320+3842.42</f>
        <v>6162.42</v>
      </c>
      <c r="I13" s="508"/>
      <c r="J13" s="407"/>
      <c r="K13" s="303"/>
      <c r="L13" s="107"/>
      <c r="M13" s="27"/>
      <c r="O13" s="18"/>
    </row>
    <row r="14">
      <c r="B14" s="59" t="s">
        <v>137</v>
      </c>
      <c r="C14" s="141"/>
      <c r="D14" s="114"/>
      <c r="E14" s="114"/>
      <c r="F14" s="114"/>
      <c r="G14" s="114"/>
      <c r="H14" s="114"/>
      <c r="I14" s="363"/>
      <c r="J14" s="363"/>
      <c r="K14" s="363"/>
      <c r="L14" s="107"/>
      <c r="M14" s="107"/>
      <c r="O14" s="18"/>
    </row>
    <row r="15">
      <c r="B15" s="59" t="s">
        <v>138</v>
      </c>
      <c r="C15" s="141"/>
      <c r="D15" s="117">
        <f>(F4*1.0675)+(F5*1.0675)</f>
        <v>20239.8</v>
      </c>
      <c r="E15" s="117">
        <v>7666.0</v>
      </c>
      <c r="F15" s="117"/>
      <c r="G15" s="117">
        <v>10040.03</v>
      </c>
      <c r="H15" s="117">
        <v>16109.6</v>
      </c>
      <c r="I15" s="509"/>
      <c r="J15" s="32"/>
      <c r="K15" s="32"/>
      <c r="L15" s="107"/>
      <c r="M15" s="107"/>
      <c r="O15" s="18"/>
    </row>
    <row r="16">
      <c r="B16" s="142" t="s">
        <v>139</v>
      </c>
      <c r="C16" s="143"/>
      <c r="D16" s="144">
        <f t="shared" ref="D16:G16" si="1">SUM(D12:D14)</f>
        <v>14590.67</v>
      </c>
      <c r="E16" s="494">
        <f t="shared" si="1"/>
        <v>14434.02</v>
      </c>
      <c r="F16" s="494">
        <f t="shared" si="1"/>
        <v>14614.84</v>
      </c>
      <c r="G16" s="494">
        <f t="shared" si="1"/>
        <v>14912.94</v>
      </c>
      <c r="H16" s="494">
        <f>SUM(H12:H13)</f>
        <v>14855.31</v>
      </c>
      <c r="I16" s="510"/>
      <c r="J16" s="257"/>
      <c r="K16" s="257"/>
      <c r="N16" s="27"/>
      <c r="O16" s="18"/>
      <c r="Q16" s="107"/>
    </row>
    <row r="17">
      <c r="C17" s="27"/>
      <c r="I17" s="509"/>
      <c r="J17" s="32"/>
      <c r="K17" s="32"/>
      <c r="L17" s="107"/>
      <c r="O17" s="18"/>
      <c r="Q17" s="27"/>
    </row>
    <row r="18">
      <c r="B18" s="70" t="s">
        <v>140</v>
      </c>
      <c r="C18" s="71"/>
      <c r="D18" s="58" t="s">
        <v>134</v>
      </c>
      <c r="E18" s="58" t="s">
        <v>123</v>
      </c>
      <c r="F18" s="58" t="s">
        <v>124</v>
      </c>
      <c r="G18" s="58" t="s">
        <v>125</v>
      </c>
      <c r="H18" s="58" t="s">
        <v>125</v>
      </c>
      <c r="I18" s="511"/>
      <c r="J18" s="418"/>
      <c r="K18" s="418" t="s">
        <v>331</v>
      </c>
      <c r="L18" s="192"/>
      <c r="O18" s="18"/>
    </row>
    <row r="19">
      <c r="B19" s="121" t="s">
        <v>141</v>
      </c>
      <c r="C19" s="496"/>
      <c r="D19" s="378">
        <v>450.0</v>
      </c>
      <c r="E19" s="378">
        <v>450.0</v>
      </c>
      <c r="F19" s="378">
        <v>450.0</v>
      </c>
      <c r="G19" s="378">
        <v>450.0</v>
      </c>
      <c r="H19" s="123">
        <v>450.0</v>
      </c>
      <c r="I19" s="512"/>
      <c r="J19" s="192"/>
      <c r="K19" s="447"/>
      <c r="L19" s="448" t="s">
        <v>27</v>
      </c>
      <c r="M19" s="448" t="s">
        <v>274</v>
      </c>
      <c r="N19" s="448" t="s">
        <v>351</v>
      </c>
      <c r="O19" s="448" t="s">
        <v>333</v>
      </c>
      <c r="P19" s="449" t="s">
        <v>390</v>
      </c>
      <c r="Q19" s="448" t="s">
        <v>48</v>
      </c>
      <c r="R19" s="448" t="s">
        <v>383</v>
      </c>
      <c r="S19" s="448" t="s">
        <v>386</v>
      </c>
    </row>
    <row r="20">
      <c r="B20" s="121" t="s">
        <v>142</v>
      </c>
      <c r="C20" s="496"/>
      <c r="D20" s="378">
        <v>220.0</v>
      </c>
      <c r="E20" s="378">
        <v>220.0</v>
      </c>
      <c r="F20" s="378">
        <v>220.0</v>
      </c>
      <c r="G20" s="378">
        <v>220.0</v>
      </c>
      <c r="H20" s="123">
        <v>200.0</v>
      </c>
      <c r="I20" s="409"/>
      <c r="J20" s="409"/>
      <c r="K20" s="121" t="s">
        <v>141</v>
      </c>
      <c r="M20" s="452"/>
      <c r="N20" s="123">
        <f>F19</f>
        <v>450</v>
      </c>
      <c r="O20" s="452"/>
      <c r="P20" s="452"/>
      <c r="Q20" s="452"/>
      <c r="R20" s="452"/>
      <c r="S20" s="452"/>
    </row>
    <row r="21">
      <c r="B21" s="121" t="s">
        <v>143</v>
      </c>
      <c r="C21" s="496"/>
      <c r="D21" s="396">
        <v>147.9</v>
      </c>
      <c r="E21" s="396">
        <v>147.9</v>
      </c>
      <c r="F21" s="396">
        <v>147.9</v>
      </c>
      <c r="G21" s="396">
        <v>147.9</v>
      </c>
      <c r="H21" s="397">
        <v>147.9</v>
      </c>
      <c r="I21" s="409"/>
      <c r="J21" s="409"/>
      <c r="K21" s="121" t="s">
        <v>142</v>
      </c>
      <c r="M21" s="452"/>
      <c r="N21" s="123">
        <v>200.0</v>
      </c>
      <c r="O21" s="452"/>
      <c r="P21" s="452"/>
      <c r="Q21" s="452"/>
      <c r="R21" s="452"/>
      <c r="S21" s="452"/>
    </row>
    <row r="22">
      <c r="B22" s="121" t="s">
        <v>144</v>
      </c>
      <c r="C22" s="496"/>
      <c r="D22" s="378">
        <v>100.0</v>
      </c>
      <c r="E22" s="378">
        <v>100.0</v>
      </c>
      <c r="F22" s="378">
        <f t="shared" ref="F22:H22" si="2">E22</f>
        <v>100</v>
      </c>
      <c r="G22" s="378">
        <f t="shared" si="2"/>
        <v>100</v>
      </c>
      <c r="H22" s="123">
        <f t="shared" si="2"/>
        <v>100</v>
      </c>
      <c r="I22" s="409"/>
      <c r="J22" s="409"/>
      <c r="K22" s="121" t="s">
        <v>143</v>
      </c>
      <c r="M22" s="452"/>
      <c r="N22" s="123">
        <f t="shared" ref="N22:N23" si="3">F21</f>
        <v>147.9</v>
      </c>
      <c r="O22" s="452"/>
      <c r="P22" s="452"/>
      <c r="Q22" s="452"/>
      <c r="R22" s="452"/>
      <c r="S22" s="452"/>
    </row>
    <row r="23">
      <c r="B23" s="121" t="s">
        <v>145</v>
      </c>
      <c r="C23" s="496"/>
      <c r="D23" s="378">
        <v>3004.8</v>
      </c>
      <c r="E23" s="378">
        <v>3004.8</v>
      </c>
      <c r="F23" s="378">
        <v>3004.8</v>
      </c>
      <c r="G23" s="378">
        <v>3004.8</v>
      </c>
      <c r="H23" s="123">
        <v>3154.8</v>
      </c>
      <c r="I23" s="409"/>
      <c r="J23" s="409"/>
      <c r="K23" s="121" t="s">
        <v>144</v>
      </c>
      <c r="M23" s="452"/>
      <c r="N23" s="123">
        <f t="shared" si="3"/>
        <v>100</v>
      </c>
      <c r="O23" s="452"/>
      <c r="P23" s="452"/>
      <c r="Q23" s="452"/>
      <c r="R23" s="452"/>
      <c r="S23" s="452"/>
    </row>
    <row r="24">
      <c r="B24" s="121" t="s">
        <v>146</v>
      </c>
      <c r="C24" s="497"/>
      <c r="D24" s="378"/>
      <c r="E24" s="378"/>
      <c r="F24" s="378"/>
      <c r="G24" s="378"/>
      <c r="H24" s="123"/>
      <c r="I24" s="409"/>
      <c r="J24" s="409"/>
      <c r="K24" s="121" t="s">
        <v>145</v>
      </c>
      <c r="L24" s="123">
        <v>3154.8</v>
      </c>
      <c r="M24" s="456"/>
      <c r="O24" s="452"/>
      <c r="P24" s="452"/>
      <c r="Q24" s="452"/>
      <c r="R24" s="452"/>
      <c r="S24" s="452"/>
    </row>
    <row r="25">
      <c r="B25" s="121" t="s">
        <v>180</v>
      </c>
      <c r="C25" s="496"/>
      <c r="D25" s="378">
        <v>400.0</v>
      </c>
      <c r="E25" s="378">
        <v>400.0</v>
      </c>
      <c r="F25" s="378">
        <v>400.0</v>
      </c>
      <c r="G25" s="378">
        <v>400.0</v>
      </c>
      <c r="H25" s="123">
        <v>400.0</v>
      </c>
      <c r="I25" s="409"/>
      <c r="J25" s="409"/>
      <c r="K25" s="121" t="s">
        <v>146</v>
      </c>
      <c r="L25" s="123" t="str">
        <f>F24</f>
        <v/>
      </c>
      <c r="M25" s="457"/>
      <c r="N25" s="452"/>
      <c r="O25" s="452"/>
      <c r="P25" s="452"/>
      <c r="Q25" s="452"/>
      <c r="R25" s="452"/>
      <c r="S25" s="452"/>
    </row>
    <row r="26">
      <c r="B26" s="121" t="s">
        <v>148</v>
      </c>
      <c r="C26" s="496"/>
      <c r="D26" s="378">
        <v>600.0</v>
      </c>
      <c r="E26" s="378">
        <v>600.0</v>
      </c>
      <c r="F26" s="378">
        <v>600.0</v>
      </c>
      <c r="G26" s="378">
        <v>600.0</v>
      </c>
      <c r="H26" s="123">
        <v>600.0</v>
      </c>
      <c r="I26" s="409"/>
      <c r="J26" s="409"/>
      <c r="K26" s="121" t="s">
        <v>180</v>
      </c>
      <c r="M26" s="456"/>
      <c r="N26" s="452"/>
      <c r="O26" s="452"/>
      <c r="P26" s="452"/>
      <c r="Q26" s="452"/>
      <c r="R26" s="452"/>
      <c r="S26" s="378">
        <f>F25</f>
        <v>400</v>
      </c>
    </row>
    <row r="27">
      <c r="B27" s="121" t="s">
        <v>149</v>
      </c>
      <c r="C27" s="496"/>
      <c r="D27" s="378">
        <v>500.0</v>
      </c>
      <c r="E27" s="378">
        <v>500.0</v>
      </c>
      <c r="F27" s="378">
        <f t="shared" ref="F27:H27" si="4">E27</f>
        <v>500</v>
      </c>
      <c r="G27" s="378">
        <f t="shared" si="4"/>
        <v>500</v>
      </c>
      <c r="H27" s="123">
        <f t="shared" si="4"/>
        <v>500</v>
      </c>
      <c r="I27" s="409"/>
      <c r="J27" s="409"/>
      <c r="K27" s="121" t="s">
        <v>148</v>
      </c>
      <c r="M27" s="478"/>
      <c r="N27" s="123">
        <f t="shared" ref="N27:N28" si="5">F26</f>
        <v>600</v>
      </c>
      <c r="O27" s="452"/>
      <c r="P27" s="452"/>
      <c r="Q27" s="452"/>
      <c r="R27" s="452"/>
      <c r="S27" s="452"/>
    </row>
    <row r="28">
      <c r="B28" s="121" t="s">
        <v>181</v>
      </c>
      <c r="C28" s="496"/>
      <c r="D28" s="378">
        <v>150.0</v>
      </c>
      <c r="E28" s="378">
        <v>150.0</v>
      </c>
      <c r="F28" s="378">
        <v>110.0</v>
      </c>
      <c r="G28" s="378">
        <v>110.0</v>
      </c>
      <c r="H28" s="123">
        <v>200.0</v>
      </c>
      <c r="I28" s="409"/>
      <c r="J28" s="409"/>
      <c r="K28" s="121" t="s">
        <v>149</v>
      </c>
      <c r="M28" s="456"/>
      <c r="N28" s="123">
        <f t="shared" si="5"/>
        <v>500</v>
      </c>
      <c r="O28" s="452"/>
      <c r="P28" s="452"/>
      <c r="Q28" s="452"/>
      <c r="R28" s="452"/>
      <c r="S28" s="452"/>
    </row>
    <row r="29">
      <c r="B29" s="121" t="s">
        <v>150</v>
      </c>
      <c r="C29" s="496"/>
      <c r="D29" s="378">
        <v>400.0</v>
      </c>
      <c r="E29" s="378">
        <v>400.0</v>
      </c>
      <c r="F29" s="378">
        <f t="shared" ref="F29:G29" si="6">E29</f>
        <v>400</v>
      </c>
      <c r="G29" s="378">
        <f t="shared" si="6"/>
        <v>400</v>
      </c>
      <c r="H29" s="123">
        <v>400.0</v>
      </c>
      <c r="I29" s="409"/>
      <c r="J29" s="409"/>
      <c r="K29" s="121" t="s">
        <v>181</v>
      </c>
      <c r="M29" s="478"/>
      <c r="N29" s="478"/>
      <c r="O29" s="378">
        <v>200.0</v>
      </c>
      <c r="P29" s="452"/>
      <c r="Q29" s="452"/>
      <c r="R29" s="452"/>
      <c r="S29" s="452"/>
    </row>
    <row r="30">
      <c r="B30" s="121" t="s">
        <v>182</v>
      </c>
      <c r="C30" s="496"/>
      <c r="D30" s="378">
        <v>80.0</v>
      </c>
      <c r="E30" s="378">
        <v>80.0</v>
      </c>
      <c r="F30" s="378">
        <v>100.0</v>
      </c>
      <c r="G30" s="378">
        <v>100.0</v>
      </c>
      <c r="H30" s="123">
        <v>800.0</v>
      </c>
      <c r="I30" s="409"/>
      <c r="J30" s="409"/>
      <c r="K30" s="121" t="s">
        <v>150</v>
      </c>
      <c r="M30" s="123">
        <f>F29</f>
        <v>400</v>
      </c>
      <c r="N30" s="452"/>
      <c r="O30" s="452"/>
      <c r="P30" s="452"/>
      <c r="Q30" s="452"/>
      <c r="R30" s="452"/>
      <c r="S30" s="452"/>
    </row>
    <row r="31">
      <c r="B31" s="121" t="s">
        <v>392</v>
      </c>
      <c r="C31" s="496"/>
      <c r="D31" s="378">
        <v>1400.0</v>
      </c>
      <c r="E31" s="378">
        <v>1400.0</v>
      </c>
      <c r="F31" s="378">
        <v>1400.0</v>
      </c>
      <c r="G31" s="378">
        <v>1400.0</v>
      </c>
      <c r="H31" s="123">
        <v>1200.0</v>
      </c>
      <c r="I31" s="409"/>
      <c r="J31" s="409"/>
      <c r="K31" s="121" t="s">
        <v>182</v>
      </c>
      <c r="M31" s="456"/>
      <c r="N31" s="452"/>
      <c r="O31" s="452"/>
      <c r="P31" s="378">
        <v>900.0</v>
      </c>
      <c r="Q31" s="452"/>
      <c r="R31" s="452"/>
      <c r="S31" s="452"/>
    </row>
    <row r="32">
      <c r="B32" s="121" t="s">
        <v>152</v>
      </c>
      <c r="C32" s="496"/>
      <c r="D32" s="378"/>
      <c r="E32" s="378"/>
      <c r="F32" s="378"/>
      <c r="G32" s="378"/>
      <c r="H32" s="123"/>
      <c r="I32" s="409"/>
      <c r="J32" s="409"/>
      <c r="K32" s="121" t="s">
        <v>392</v>
      </c>
      <c r="M32" s="460"/>
      <c r="N32" s="452"/>
      <c r="O32" s="452"/>
      <c r="P32" s="479"/>
      <c r="Q32" s="378">
        <v>1200.0</v>
      </c>
      <c r="R32" s="452"/>
      <c r="S32" s="452"/>
    </row>
    <row r="33">
      <c r="B33" s="121" t="s">
        <v>154</v>
      </c>
      <c r="C33" s="496"/>
      <c r="D33" s="378">
        <v>138.45</v>
      </c>
      <c r="E33" s="378">
        <v>168.45</v>
      </c>
      <c r="F33" s="378">
        <v>187.61</v>
      </c>
      <c r="G33" s="378">
        <v>200.0</v>
      </c>
      <c r="H33" s="123">
        <v>200.0</v>
      </c>
      <c r="I33" s="409"/>
      <c r="J33" s="409"/>
      <c r="K33" s="121" t="s">
        <v>152</v>
      </c>
      <c r="L33" s="123" t="str">
        <f>F32</f>
        <v/>
      </c>
      <c r="M33" s="456"/>
      <c r="N33" s="452"/>
      <c r="O33" s="452"/>
      <c r="P33" s="481"/>
      <c r="Q33" s="452"/>
      <c r="R33" s="452"/>
      <c r="S33" s="452"/>
    </row>
    <row r="34">
      <c r="B34" s="121" t="s">
        <v>395</v>
      </c>
      <c r="C34" s="496"/>
      <c r="D34" s="378">
        <v>234.53</v>
      </c>
      <c r="E34" s="378">
        <v>234.53</v>
      </c>
      <c r="F34" s="378">
        <f t="shared" ref="F34:G34" si="7">E34</f>
        <v>234.53</v>
      </c>
      <c r="G34" s="378">
        <f t="shared" si="7"/>
        <v>234.53</v>
      </c>
      <c r="H34" s="123">
        <v>240.0</v>
      </c>
      <c r="I34" s="409"/>
      <c r="J34" s="409"/>
      <c r="K34" s="121" t="s">
        <v>154</v>
      </c>
      <c r="M34" s="457"/>
      <c r="N34" s="452"/>
      <c r="O34" s="452"/>
      <c r="P34" s="378">
        <v>200.0</v>
      </c>
      <c r="Q34" s="456"/>
      <c r="R34" s="452"/>
      <c r="S34" s="452"/>
    </row>
    <row r="35">
      <c r="B35" s="121" t="s">
        <v>156</v>
      </c>
      <c r="C35" s="496"/>
      <c r="D35" s="378">
        <v>200.0</v>
      </c>
      <c r="E35" s="378">
        <v>100.0</v>
      </c>
      <c r="F35" s="378">
        <v>100.0</v>
      </c>
      <c r="G35" s="378"/>
      <c r="H35" s="123">
        <v>100.0</v>
      </c>
      <c r="I35" s="409"/>
      <c r="J35" s="409"/>
      <c r="K35" s="121" t="s">
        <v>395</v>
      </c>
      <c r="M35" s="456"/>
      <c r="N35" s="452"/>
      <c r="O35" s="378">
        <v>240.0</v>
      </c>
      <c r="P35" s="481"/>
      <c r="Q35" s="452"/>
      <c r="R35" s="452"/>
      <c r="S35" s="452"/>
    </row>
    <row r="36">
      <c r="B36" s="121" t="s">
        <v>157</v>
      </c>
      <c r="C36" s="496"/>
      <c r="D36" s="378">
        <v>50.0</v>
      </c>
      <c r="E36" s="378">
        <f t="shared" ref="E36:H36" si="8">D36</f>
        <v>50</v>
      </c>
      <c r="F36" s="378">
        <f t="shared" si="8"/>
        <v>50</v>
      </c>
      <c r="G36" s="378">
        <f t="shared" si="8"/>
        <v>50</v>
      </c>
      <c r="H36" s="123">
        <f t="shared" si="8"/>
        <v>50</v>
      </c>
      <c r="I36" s="409"/>
      <c r="J36" s="409"/>
      <c r="K36" s="121" t="s">
        <v>156</v>
      </c>
      <c r="M36" s="458"/>
      <c r="N36" s="452"/>
      <c r="O36" s="452"/>
      <c r="P36" s="378"/>
      <c r="Q36" s="452"/>
      <c r="R36" s="452"/>
      <c r="S36" s="452"/>
      <c r="T36" s="18"/>
    </row>
    <row r="37">
      <c r="B37" s="121" t="s">
        <v>393</v>
      </c>
      <c r="C37" s="496"/>
      <c r="D37" s="378">
        <v>200.0</v>
      </c>
      <c r="E37" s="378">
        <f t="shared" ref="E37:H37" si="9">D37</f>
        <v>200</v>
      </c>
      <c r="F37" s="378">
        <f t="shared" si="9"/>
        <v>200</v>
      </c>
      <c r="G37" s="378">
        <f t="shared" si="9"/>
        <v>200</v>
      </c>
      <c r="H37" s="123">
        <f t="shared" si="9"/>
        <v>200</v>
      </c>
      <c r="I37" s="409"/>
      <c r="J37" s="409"/>
      <c r="K37" s="121" t="s">
        <v>157</v>
      </c>
      <c r="M37" s="456"/>
      <c r="N37" s="452"/>
      <c r="O37" s="452"/>
      <c r="P37" s="481"/>
      <c r="Q37" s="452"/>
      <c r="R37" s="378">
        <f>F36</f>
        <v>50</v>
      </c>
      <c r="S37" s="456"/>
      <c r="T37" s="18"/>
    </row>
    <row r="38">
      <c r="B38" s="121" t="s">
        <v>159</v>
      </c>
      <c r="C38" s="496"/>
      <c r="D38" s="378">
        <v>800.0</v>
      </c>
      <c r="E38" s="378">
        <v>800.0</v>
      </c>
      <c r="F38" s="378">
        <v>800.0</v>
      </c>
      <c r="G38" s="378">
        <v>800.0</v>
      </c>
      <c r="H38" s="123">
        <v>800.0</v>
      </c>
      <c r="I38" s="409"/>
      <c r="J38" s="409"/>
      <c r="K38" s="121" t="s">
        <v>393</v>
      </c>
      <c r="M38" s="456"/>
      <c r="N38" s="452"/>
      <c r="O38" s="378">
        <f>F37</f>
        <v>200</v>
      </c>
      <c r="P38" s="452"/>
      <c r="Q38" s="452"/>
      <c r="R38" s="452"/>
      <c r="S38" s="452"/>
    </row>
    <row r="39">
      <c r="B39" s="121" t="s">
        <v>160</v>
      </c>
      <c r="C39" s="496"/>
      <c r="D39" s="378">
        <v>3000.0</v>
      </c>
      <c r="E39" s="378">
        <f t="shared" ref="E39:H39" si="10">D39</f>
        <v>3000</v>
      </c>
      <c r="F39" s="378">
        <f t="shared" si="10"/>
        <v>3000</v>
      </c>
      <c r="G39" s="378">
        <f t="shared" si="10"/>
        <v>3000</v>
      </c>
      <c r="H39" s="123">
        <f t="shared" si="10"/>
        <v>3000</v>
      </c>
      <c r="I39" s="409"/>
      <c r="J39" s="409"/>
      <c r="K39" s="121" t="s">
        <v>159</v>
      </c>
      <c r="L39" s="123">
        <v>400.0</v>
      </c>
      <c r="M39" s="378">
        <v>400.0</v>
      </c>
      <c r="N39" s="452"/>
      <c r="O39" s="452"/>
      <c r="P39" s="452"/>
      <c r="Q39" s="452"/>
      <c r="R39" s="452"/>
      <c r="S39" s="452"/>
    </row>
    <row r="40">
      <c r="B40" s="121" t="s">
        <v>184</v>
      </c>
      <c r="C40" s="496"/>
      <c r="D40" s="378">
        <v>1000.0</v>
      </c>
      <c r="E40" s="378">
        <v>1000.0</v>
      </c>
      <c r="F40" s="378">
        <v>1000.0</v>
      </c>
      <c r="G40" s="378">
        <v>1000.0</v>
      </c>
      <c r="H40" s="123">
        <v>1000.0</v>
      </c>
      <c r="I40" s="409"/>
      <c r="J40" s="409"/>
      <c r="K40" s="121" t="s">
        <v>160</v>
      </c>
      <c r="L40" s="123">
        <v>1500.0</v>
      </c>
      <c r="M40" s="123">
        <v>1500.0</v>
      </c>
      <c r="N40" s="452"/>
      <c r="O40" s="481"/>
      <c r="P40" s="452"/>
      <c r="Q40" s="452"/>
      <c r="R40" s="452"/>
      <c r="S40" s="452"/>
    </row>
    <row r="41">
      <c r="B41" s="121" t="s">
        <v>3</v>
      </c>
      <c r="C41" s="496"/>
      <c r="D41" s="378">
        <v>500.0</v>
      </c>
      <c r="E41" s="378">
        <v>500.0</v>
      </c>
      <c r="F41" s="378">
        <v>500.0</v>
      </c>
      <c r="G41" s="378">
        <v>500.0</v>
      </c>
      <c r="H41" s="123">
        <v>500.0</v>
      </c>
      <c r="I41" s="409"/>
      <c r="J41" s="409"/>
      <c r="K41" s="121" t="s">
        <v>184</v>
      </c>
      <c r="M41" s="456"/>
      <c r="O41" s="378">
        <f t="shared" ref="O41:O42" si="12">F40</f>
        <v>1000</v>
      </c>
      <c r="P41" s="452"/>
      <c r="Q41" s="452"/>
      <c r="R41" s="452"/>
      <c r="S41" s="452"/>
    </row>
    <row r="42">
      <c r="B42" s="152" t="s">
        <v>161</v>
      </c>
      <c r="C42" s="153"/>
      <c r="D42" s="154">
        <f t="shared" ref="D42:H42" si="11">SUM(D19:D41)*-1</f>
        <v>-13575.68</v>
      </c>
      <c r="E42" s="154">
        <f t="shared" si="11"/>
        <v>-13505.68</v>
      </c>
      <c r="F42" s="154">
        <f t="shared" si="11"/>
        <v>-13504.84</v>
      </c>
      <c r="G42" s="154">
        <f t="shared" si="11"/>
        <v>-13417.23</v>
      </c>
      <c r="H42" s="154">
        <f t="shared" si="11"/>
        <v>-14242.7</v>
      </c>
      <c r="I42" s="409"/>
      <c r="J42" s="409"/>
      <c r="K42" s="121" t="s">
        <v>3</v>
      </c>
      <c r="M42" s="452"/>
      <c r="N42" s="452"/>
      <c r="O42" s="378">
        <f t="shared" si="12"/>
        <v>500</v>
      </c>
      <c r="P42" s="452"/>
      <c r="Q42" s="452"/>
      <c r="R42" s="452"/>
      <c r="S42" s="452"/>
    </row>
    <row r="43">
      <c r="C43" s="27"/>
      <c r="I43" s="409"/>
      <c r="J43" s="409"/>
      <c r="K43" s="499"/>
      <c r="L43" s="456"/>
      <c r="M43" s="451"/>
      <c r="N43" s="451"/>
      <c r="O43" s="456"/>
      <c r="P43" s="451"/>
      <c r="Q43" s="451"/>
      <c r="R43" s="451"/>
      <c r="S43" s="451"/>
    </row>
    <row r="44">
      <c r="B44" s="156" t="s">
        <v>162</v>
      </c>
      <c r="C44" s="157"/>
      <c r="D44" s="158">
        <f t="shared" ref="D44:H44" si="13">D16+D42</f>
        <v>1014.99</v>
      </c>
      <c r="E44" s="469">
        <f t="shared" si="13"/>
        <v>928.34</v>
      </c>
      <c r="F44" s="469">
        <f t="shared" si="13"/>
        <v>1110</v>
      </c>
      <c r="G44" s="469">
        <f t="shared" si="13"/>
        <v>1495.71</v>
      </c>
      <c r="H44" s="469">
        <f t="shared" si="13"/>
        <v>612.61</v>
      </c>
      <c r="I44" s="507"/>
      <c r="J44" s="18"/>
      <c r="K44" s="18" t="s">
        <v>391</v>
      </c>
      <c r="L44" s="455"/>
      <c r="M44" s="457"/>
      <c r="N44" s="452"/>
      <c r="O44" s="479"/>
      <c r="P44" s="452"/>
      <c r="Q44" s="451"/>
      <c r="R44" s="452"/>
      <c r="S44" s="452"/>
    </row>
    <row r="45">
      <c r="B45" s="83"/>
      <c r="C45" s="159"/>
      <c r="D45" s="84"/>
      <c r="E45" s="84"/>
      <c r="F45" s="84"/>
      <c r="G45" s="84"/>
      <c r="H45" s="84"/>
      <c r="I45" s="507"/>
      <c r="J45" s="18"/>
      <c r="K45" s="462" t="s">
        <v>382</v>
      </c>
      <c r="L45" s="462"/>
      <c r="M45" s="452"/>
      <c r="N45" s="452"/>
      <c r="O45" s="479">
        <f>H56</f>
        <v>612.61</v>
      </c>
      <c r="P45" s="452"/>
      <c r="Q45" s="458"/>
      <c r="R45" s="452"/>
      <c r="S45" s="452"/>
    </row>
    <row r="46">
      <c r="B46" s="85" t="s">
        <v>163</v>
      </c>
      <c r="C46" s="160"/>
      <c r="D46" s="161" t="s">
        <v>134</v>
      </c>
      <c r="E46" s="161" t="s">
        <v>134</v>
      </c>
      <c r="F46" s="161" t="s">
        <v>134</v>
      </c>
      <c r="G46" s="161" t="s">
        <v>134</v>
      </c>
      <c r="H46" s="161" t="s">
        <v>134</v>
      </c>
      <c r="I46" s="504"/>
      <c r="J46" s="107"/>
      <c r="K46" s="463" t="s">
        <v>26</v>
      </c>
      <c r="L46" s="464">
        <f t="shared" ref="L46:S46" si="14">SUM(L20:L45)</f>
        <v>5054.8</v>
      </c>
      <c r="M46" s="465">
        <f t="shared" si="14"/>
        <v>2300</v>
      </c>
      <c r="N46" s="465">
        <f t="shared" si="14"/>
        <v>1997.9</v>
      </c>
      <c r="O46" s="465">
        <f t="shared" si="14"/>
        <v>2752.61</v>
      </c>
      <c r="P46" s="465">
        <f t="shared" si="14"/>
        <v>1100</v>
      </c>
      <c r="Q46" s="465">
        <f t="shared" si="14"/>
        <v>1200</v>
      </c>
      <c r="R46" s="465">
        <f t="shared" si="14"/>
        <v>50</v>
      </c>
      <c r="S46" s="465">
        <f t="shared" si="14"/>
        <v>400</v>
      </c>
      <c r="T46" s="27">
        <f>SUM(L46:S46)</f>
        <v>14855.31</v>
      </c>
    </row>
    <row r="47">
      <c r="B47" s="162"/>
      <c r="C47" s="163"/>
      <c r="D47" s="165"/>
      <c r="E47" s="165"/>
      <c r="F47" s="165"/>
      <c r="G47" s="165"/>
      <c r="H47" s="513"/>
      <c r="I47" s="504"/>
      <c r="J47" s="107"/>
      <c r="K47" s="107" t="s">
        <v>389</v>
      </c>
      <c r="L47" s="486">
        <f>H12-L46</f>
        <v>3638.09</v>
      </c>
      <c r="M47" s="472">
        <v>1542.42</v>
      </c>
      <c r="N47" s="287"/>
    </row>
    <row r="48">
      <c r="A48" s="298"/>
      <c r="B48" s="162" t="s">
        <v>58</v>
      </c>
      <c r="C48" s="163"/>
      <c r="D48" s="167">
        <v>724.25</v>
      </c>
      <c r="E48" s="167">
        <v>724.25</v>
      </c>
      <c r="F48" s="167">
        <v>724.25</v>
      </c>
      <c r="G48" s="167">
        <v>724.25</v>
      </c>
      <c r="H48" s="514"/>
      <c r="I48" s="515"/>
      <c r="J48" s="248"/>
      <c r="K48" s="325" t="s">
        <v>353</v>
      </c>
      <c r="L48" s="28">
        <f>L47+H15</f>
        <v>19747.69</v>
      </c>
    </row>
    <row r="49">
      <c r="B49" s="162"/>
      <c r="C49" s="163"/>
      <c r="D49" s="166"/>
      <c r="E49" s="166"/>
      <c r="F49" s="166"/>
      <c r="G49" s="166"/>
      <c r="H49" s="516"/>
      <c r="I49" s="504"/>
      <c r="J49" s="107"/>
      <c r="K49" s="107"/>
      <c r="O49" s="387"/>
      <c r="Q49" s="387"/>
    </row>
    <row r="50">
      <c r="B50" s="168"/>
      <c r="C50" s="169"/>
      <c r="D50" s="170"/>
      <c r="E50" s="170"/>
      <c r="F50" s="170"/>
      <c r="G50" s="170"/>
      <c r="H50" s="517"/>
      <c r="I50" s="504"/>
      <c r="J50" s="107"/>
      <c r="K50" s="107"/>
    </row>
    <row r="51">
      <c r="B51" s="152" t="s">
        <v>167</v>
      </c>
      <c r="C51" s="171"/>
      <c r="D51" s="172">
        <f t="shared" ref="D51:H51" si="15">SUM(D47:D50)*-1</f>
        <v>-724.25</v>
      </c>
      <c r="E51" s="154">
        <f t="shared" si="15"/>
        <v>-724.25</v>
      </c>
      <c r="F51" s="154">
        <f t="shared" si="15"/>
        <v>-724.25</v>
      </c>
      <c r="G51" s="154">
        <f t="shared" si="15"/>
        <v>-724.25</v>
      </c>
      <c r="H51" s="154">
        <f t="shared" si="15"/>
        <v>0</v>
      </c>
      <c r="I51" s="507"/>
      <c r="J51" s="18"/>
    </row>
    <row r="52">
      <c r="B52" s="83"/>
      <c r="C52" s="159"/>
      <c r="D52" s="96"/>
      <c r="E52" s="96"/>
      <c r="F52" s="96"/>
      <c r="G52" s="96"/>
      <c r="H52" s="96"/>
      <c r="I52" s="504"/>
      <c r="J52" s="107"/>
      <c r="K52" s="107"/>
    </row>
    <row r="53">
      <c r="B53" s="173" t="s">
        <v>168</v>
      </c>
      <c r="C53" s="174"/>
      <c r="D53" s="488">
        <f t="shared" ref="D53:H53" si="16">D44+D51</f>
        <v>290.74</v>
      </c>
      <c r="E53" s="488">
        <f t="shared" si="16"/>
        <v>204.09</v>
      </c>
      <c r="F53" s="488">
        <f t="shared" si="16"/>
        <v>385.75</v>
      </c>
      <c r="G53" s="488">
        <f t="shared" si="16"/>
        <v>771.46</v>
      </c>
      <c r="H53" s="488">
        <f t="shared" si="16"/>
        <v>612.61</v>
      </c>
      <c r="I53" s="504"/>
      <c r="J53" s="107"/>
      <c r="K53" s="107"/>
      <c r="L53" s="107"/>
    </row>
    <row r="54">
      <c r="B54" s="83"/>
      <c r="C54" s="159"/>
      <c r="D54" s="96"/>
      <c r="E54" s="107"/>
      <c r="F54" s="107"/>
      <c r="G54" s="107"/>
      <c r="H54" s="107"/>
      <c r="I54" s="504"/>
      <c r="J54" s="107"/>
      <c r="K54" s="107"/>
      <c r="L54" s="18"/>
    </row>
    <row r="55">
      <c r="B55" s="100" t="s">
        <v>169</v>
      </c>
      <c r="C55" s="176"/>
      <c r="D55" s="177" t="s">
        <v>134</v>
      </c>
      <c r="E55" s="57" t="s">
        <v>396</v>
      </c>
      <c r="F55" s="57" t="s">
        <v>396</v>
      </c>
      <c r="G55" s="57" t="s">
        <v>396</v>
      </c>
      <c r="H55" s="57" t="s">
        <v>396</v>
      </c>
      <c r="I55" s="504"/>
      <c r="J55" s="107"/>
      <c r="K55" s="107"/>
      <c r="L55" s="18"/>
    </row>
    <row r="56">
      <c r="B56" s="152" t="s">
        <v>171</v>
      </c>
      <c r="C56" s="153"/>
      <c r="D56" s="171">
        <f t="shared" ref="D56:H56" si="17">+D53</f>
        <v>290.74</v>
      </c>
      <c r="E56" s="495">
        <f t="shared" si="17"/>
        <v>204.09</v>
      </c>
      <c r="F56" s="495">
        <f t="shared" si="17"/>
        <v>385.75</v>
      </c>
      <c r="G56" s="495">
        <f t="shared" si="17"/>
        <v>771.46</v>
      </c>
      <c r="H56" s="495">
        <f t="shared" si="17"/>
        <v>612.61</v>
      </c>
      <c r="I56" s="518"/>
      <c r="J56" s="27"/>
      <c r="K56" s="27"/>
    </row>
    <row r="57">
      <c r="C57" s="27"/>
      <c r="D57" s="27"/>
      <c r="E57" s="27"/>
      <c r="F57" s="27"/>
      <c r="G57" s="27"/>
      <c r="H57" s="27"/>
      <c r="I57" s="518"/>
      <c r="J57" s="27"/>
      <c r="K57" s="27"/>
    </row>
    <row r="58">
      <c r="C58" s="27"/>
      <c r="D58" s="27"/>
      <c r="E58" s="27"/>
      <c r="F58" s="27"/>
      <c r="G58" s="27"/>
      <c r="H58" s="27"/>
      <c r="I58" s="518"/>
      <c r="J58" s="27"/>
      <c r="K58" s="27"/>
    </row>
    <row r="59">
      <c r="C59" s="27"/>
      <c r="D59" s="27"/>
      <c r="E59" s="27"/>
      <c r="F59" s="27"/>
      <c r="G59" s="27"/>
      <c r="H59" s="27"/>
      <c r="I59" s="518"/>
      <c r="J59" s="27"/>
      <c r="K59" s="27"/>
    </row>
    <row r="60">
      <c r="C60" s="27"/>
      <c r="D60" s="27"/>
      <c r="E60" s="27"/>
      <c r="F60" s="27"/>
      <c r="G60" s="27"/>
      <c r="H60" s="27"/>
      <c r="I60" s="518"/>
      <c r="J60" s="27"/>
      <c r="K60" s="27"/>
    </row>
    <row r="61">
      <c r="C61" s="27"/>
      <c r="D61" s="27"/>
      <c r="E61" s="27"/>
      <c r="F61" s="27"/>
      <c r="G61" s="27"/>
      <c r="H61" s="27"/>
      <c r="I61" s="518"/>
      <c r="J61" s="27"/>
      <c r="K61" s="27"/>
    </row>
    <row r="62">
      <c r="C62" s="27"/>
      <c r="D62" s="27"/>
      <c r="E62" s="27"/>
      <c r="F62" s="27"/>
      <c r="G62" s="27"/>
      <c r="H62" s="27"/>
      <c r="I62" s="518"/>
      <c r="J62" s="27"/>
      <c r="K62" s="27"/>
    </row>
    <row r="63">
      <c r="C63" s="27"/>
      <c r="D63" s="27"/>
      <c r="E63" s="27"/>
      <c r="F63" s="27"/>
      <c r="G63" s="27"/>
      <c r="H63" s="27"/>
      <c r="I63" s="518"/>
      <c r="J63" s="27"/>
      <c r="K63" s="27"/>
    </row>
    <row r="64">
      <c r="C64" s="27"/>
      <c r="D64" s="27"/>
      <c r="E64" s="27"/>
      <c r="F64" s="27"/>
      <c r="G64" s="27"/>
      <c r="H64" s="27"/>
      <c r="I64" s="518"/>
      <c r="J64" s="27"/>
      <c r="K64" s="27"/>
    </row>
    <row r="65">
      <c r="C65" s="27"/>
      <c r="D65" s="27"/>
      <c r="E65" s="27"/>
      <c r="F65" s="27"/>
      <c r="G65" s="27"/>
      <c r="H65" s="27"/>
      <c r="I65" s="518"/>
      <c r="J65" s="27"/>
      <c r="K65" s="27"/>
    </row>
    <row r="66">
      <c r="C66" s="27"/>
      <c r="D66" s="27"/>
      <c r="E66" s="27"/>
      <c r="F66" s="27"/>
      <c r="G66" s="27"/>
      <c r="H66" s="27"/>
      <c r="I66" s="518"/>
      <c r="J66" s="27"/>
      <c r="K66" s="27"/>
    </row>
    <row r="67">
      <c r="C67" s="27"/>
      <c r="D67" s="27"/>
      <c r="E67" s="27"/>
      <c r="F67" s="27"/>
      <c r="G67" s="27"/>
      <c r="H67" s="27"/>
      <c r="I67" s="518"/>
      <c r="J67" s="27"/>
      <c r="K67" s="27"/>
    </row>
    <row r="68">
      <c r="C68" s="27"/>
      <c r="D68" s="27"/>
      <c r="E68" s="27"/>
      <c r="F68" s="27"/>
      <c r="G68" s="27"/>
      <c r="H68" s="27"/>
      <c r="I68" s="518"/>
      <c r="J68" s="27"/>
      <c r="K68" s="27"/>
    </row>
    <row r="69">
      <c r="C69" s="27"/>
      <c r="D69" s="27"/>
      <c r="E69" s="27"/>
      <c r="F69" s="27"/>
      <c r="G69" s="27"/>
      <c r="H69" s="27"/>
      <c r="I69" s="518"/>
      <c r="J69" s="27"/>
      <c r="K69" s="27"/>
    </row>
    <row r="70">
      <c r="C70" s="27"/>
      <c r="D70" s="27"/>
      <c r="E70" s="27"/>
      <c r="F70" s="27"/>
      <c r="G70" s="27"/>
      <c r="H70" s="27"/>
      <c r="I70" s="518"/>
      <c r="J70" s="27"/>
      <c r="K70" s="27"/>
    </row>
    <row r="71">
      <c r="C71" s="27"/>
      <c r="D71" s="27"/>
      <c r="E71" s="27"/>
      <c r="F71" s="27"/>
      <c r="G71" s="27"/>
      <c r="H71" s="27"/>
      <c r="I71" s="518"/>
      <c r="J71" s="27"/>
      <c r="K71" s="27"/>
    </row>
    <row r="72">
      <c r="C72" s="27"/>
      <c r="D72" s="27"/>
      <c r="E72" s="27"/>
      <c r="F72" s="27"/>
      <c r="G72" s="27"/>
      <c r="H72" s="27"/>
      <c r="I72" s="518"/>
      <c r="J72" s="27"/>
      <c r="K72" s="27"/>
    </row>
    <row r="73">
      <c r="C73" s="27"/>
      <c r="D73" s="27"/>
      <c r="E73" s="27"/>
      <c r="F73" s="27"/>
      <c r="G73" s="27"/>
      <c r="H73" s="27"/>
      <c r="I73" s="518"/>
      <c r="J73" s="27"/>
      <c r="K73" s="27"/>
    </row>
    <row r="74">
      <c r="C74" s="27"/>
      <c r="D74" s="27"/>
      <c r="E74" s="27"/>
      <c r="F74" s="27"/>
      <c r="G74" s="27"/>
      <c r="H74" s="27"/>
      <c r="I74" s="518"/>
      <c r="J74" s="27"/>
      <c r="K74" s="27"/>
    </row>
    <row r="75">
      <c r="C75" s="27"/>
      <c r="D75" s="27"/>
      <c r="E75" s="27"/>
      <c r="F75" s="27"/>
      <c r="G75" s="27"/>
      <c r="H75" s="27"/>
      <c r="I75" s="518"/>
      <c r="J75" s="27"/>
      <c r="K75" s="27"/>
    </row>
    <row r="76">
      <c r="C76" s="27"/>
      <c r="D76" s="27"/>
      <c r="E76" s="27"/>
      <c r="F76" s="27"/>
      <c r="G76" s="27"/>
      <c r="H76" s="27"/>
      <c r="I76" s="518"/>
      <c r="J76" s="27"/>
      <c r="K76" s="27"/>
    </row>
    <row r="77">
      <c r="C77" s="27"/>
      <c r="D77" s="27"/>
      <c r="E77" s="27"/>
      <c r="F77" s="27"/>
      <c r="G77" s="27"/>
      <c r="H77" s="27"/>
      <c r="I77" s="518"/>
      <c r="J77" s="27"/>
      <c r="K77" s="27"/>
    </row>
    <row r="78">
      <c r="C78" s="27"/>
      <c r="D78" s="27"/>
      <c r="E78" s="27"/>
      <c r="F78" s="27"/>
      <c r="G78" s="27"/>
      <c r="H78" s="27"/>
      <c r="I78" s="518"/>
      <c r="J78" s="27"/>
      <c r="K78" s="27"/>
    </row>
    <row r="79">
      <c r="C79" s="27"/>
      <c r="D79" s="27"/>
      <c r="E79" s="27"/>
      <c r="F79" s="27"/>
      <c r="G79" s="27"/>
      <c r="H79" s="27"/>
      <c r="I79" s="518"/>
      <c r="J79" s="27"/>
      <c r="K79" s="27"/>
    </row>
    <row r="80">
      <c r="C80" s="27"/>
      <c r="D80" s="27"/>
      <c r="E80" s="27"/>
      <c r="F80" s="27"/>
      <c r="G80" s="27"/>
      <c r="H80" s="27"/>
      <c r="I80" s="518"/>
      <c r="J80" s="27"/>
      <c r="K80" s="27"/>
    </row>
    <row r="81">
      <c r="C81" s="27"/>
      <c r="D81" s="27"/>
      <c r="E81" s="27"/>
      <c r="F81" s="27"/>
      <c r="G81" s="27"/>
      <c r="H81" s="27"/>
      <c r="I81" s="518"/>
      <c r="J81" s="27"/>
      <c r="K81" s="27"/>
    </row>
    <row r="82">
      <c r="C82" s="27"/>
      <c r="D82" s="27"/>
      <c r="E82" s="27"/>
      <c r="F82" s="27"/>
      <c r="G82" s="27"/>
      <c r="H82" s="27"/>
      <c r="I82" s="518"/>
      <c r="J82" s="27"/>
      <c r="K82" s="27"/>
    </row>
    <row r="83">
      <c r="C83" s="27"/>
      <c r="D83" s="27"/>
      <c r="E83" s="27"/>
      <c r="F83" s="27"/>
      <c r="G83" s="27"/>
      <c r="H83" s="27"/>
      <c r="I83" s="518"/>
      <c r="J83" s="27"/>
      <c r="K83" s="27"/>
    </row>
    <row r="84">
      <c r="C84" s="27"/>
      <c r="D84" s="27"/>
      <c r="E84" s="27"/>
      <c r="F84" s="27"/>
      <c r="G84" s="27"/>
      <c r="H84" s="27"/>
      <c r="I84" s="518"/>
      <c r="J84" s="27"/>
      <c r="K84" s="27"/>
    </row>
    <row r="85">
      <c r="C85" s="27"/>
      <c r="D85" s="27"/>
      <c r="E85" s="27"/>
      <c r="F85" s="27"/>
      <c r="G85" s="27"/>
      <c r="H85" s="27"/>
      <c r="I85" s="518"/>
      <c r="J85" s="27"/>
      <c r="K85" s="27"/>
    </row>
    <row r="86">
      <c r="C86" s="27"/>
      <c r="D86" s="27"/>
      <c r="E86" s="27"/>
      <c r="F86" s="27"/>
      <c r="G86" s="27"/>
      <c r="H86" s="27"/>
      <c r="I86" s="518"/>
      <c r="J86" s="27"/>
      <c r="K86" s="27"/>
    </row>
    <row r="87">
      <c r="C87" s="27"/>
      <c r="D87" s="27"/>
      <c r="E87" s="27"/>
      <c r="F87" s="27"/>
      <c r="G87" s="27"/>
      <c r="H87" s="27"/>
      <c r="I87" s="518"/>
      <c r="J87" s="27"/>
      <c r="K87" s="27"/>
    </row>
    <row r="88">
      <c r="C88" s="27"/>
      <c r="D88" s="27"/>
      <c r="E88" s="27"/>
      <c r="F88" s="27"/>
      <c r="G88" s="27"/>
      <c r="H88" s="27"/>
      <c r="I88" s="518"/>
      <c r="J88" s="27"/>
      <c r="K88" s="27"/>
    </row>
    <row r="89">
      <c r="C89" s="27"/>
      <c r="D89" s="27"/>
      <c r="E89" s="27"/>
      <c r="F89" s="27"/>
      <c r="G89" s="27"/>
      <c r="H89" s="27"/>
      <c r="I89" s="518"/>
      <c r="J89" s="27"/>
      <c r="K89" s="27"/>
    </row>
    <row r="90">
      <c r="C90" s="27"/>
      <c r="D90" s="27"/>
      <c r="E90" s="27"/>
      <c r="F90" s="27"/>
      <c r="G90" s="27"/>
      <c r="H90" s="27"/>
      <c r="I90" s="518"/>
      <c r="J90" s="27"/>
      <c r="K90" s="27"/>
    </row>
    <row r="91">
      <c r="C91" s="27"/>
      <c r="D91" s="27"/>
      <c r="E91" s="27"/>
      <c r="F91" s="27"/>
      <c r="G91" s="27"/>
      <c r="H91" s="27"/>
      <c r="I91" s="518"/>
      <c r="J91" s="27"/>
      <c r="K91" s="27"/>
    </row>
    <row r="92">
      <c r="C92" s="27"/>
      <c r="D92" s="27"/>
      <c r="E92" s="27"/>
      <c r="F92" s="27"/>
      <c r="G92" s="27"/>
      <c r="H92" s="27"/>
      <c r="I92" s="518"/>
      <c r="J92" s="27"/>
      <c r="K92" s="27"/>
    </row>
    <row r="93">
      <c r="C93" s="27"/>
      <c r="D93" s="27"/>
      <c r="E93" s="27"/>
      <c r="F93" s="27"/>
      <c r="G93" s="27"/>
      <c r="H93" s="27"/>
      <c r="I93" s="518"/>
      <c r="J93" s="27"/>
      <c r="K93" s="27"/>
    </row>
    <row r="94">
      <c r="C94" s="27"/>
      <c r="D94" s="27"/>
      <c r="E94" s="27"/>
      <c r="F94" s="27"/>
      <c r="G94" s="27"/>
      <c r="H94" s="27"/>
      <c r="I94" s="518"/>
      <c r="J94" s="27"/>
      <c r="K94" s="27"/>
    </row>
    <row r="95">
      <c r="C95" s="27"/>
      <c r="D95" s="27"/>
      <c r="E95" s="27"/>
      <c r="F95" s="27"/>
      <c r="G95" s="27"/>
      <c r="H95" s="27"/>
      <c r="I95" s="518"/>
      <c r="J95" s="27"/>
      <c r="K95" s="27"/>
    </row>
    <row r="96">
      <c r="C96" s="27"/>
      <c r="D96" s="27"/>
      <c r="E96" s="27"/>
      <c r="F96" s="27"/>
      <c r="G96" s="27"/>
      <c r="H96" s="27"/>
      <c r="I96" s="518"/>
      <c r="J96" s="27"/>
      <c r="K96" s="27"/>
    </row>
    <row r="97">
      <c r="C97" s="27"/>
      <c r="D97" s="27"/>
      <c r="E97" s="27"/>
      <c r="F97" s="27"/>
      <c r="G97" s="27"/>
      <c r="H97" s="27"/>
      <c r="I97" s="518"/>
      <c r="J97" s="27"/>
      <c r="K97" s="27"/>
    </row>
    <row r="98">
      <c r="C98" s="27"/>
      <c r="D98" s="27"/>
      <c r="E98" s="27"/>
      <c r="F98" s="27"/>
      <c r="G98" s="27"/>
      <c r="H98" s="27"/>
      <c r="I98" s="518"/>
      <c r="J98" s="27"/>
      <c r="K98" s="27"/>
    </row>
    <row r="99">
      <c r="C99" s="27"/>
      <c r="D99" s="27"/>
      <c r="E99" s="27"/>
      <c r="F99" s="27"/>
      <c r="G99" s="27"/>
      <c r="H99" s="27"/>
      <c r="I99" s="518"/>
      <c r="J99" s="27"/>
      <c r="K99" s="27"/>
    </row>
    <row r="100">
      <c r="C100" s="27"/>
      <c r="D100" s="27"/>
      <c r="E100" s="27"/>
      <c r="F100" s="27"/>
      <c r="G100" s="27"/>
      <c r="H100" s="27"/>
      <c r="I100" s="518"/>
      <c r="J100" s="27"/>
      <c r="K100" s="27"/>
    </row>
    <row r="101">
      <c r="C101" s="27"/>
      <c r="D101" s="27"/>
      <c r="E101" s="27"/>
      <c r="F101" s="27"/>
      <c r="G101" s="27"/>
      <c r="H101" s="27"/>
      <c r="I101" s="518"/>
      <c r="J101" s="27"/>
      <c r="K101" s="27"/>
    </row>
    <row r="102">
      <c r="C102" s="27"/>
      <c r="D102" s="27"/>
      <c r="E102" s="27"/>
      <c r="F102" s="27"/>
      <c r="G102" s="27"/>
      <c r="H102" s="27"/>
      <c r="I102" s="518"/>
      <c r="J102" s="27"/>
      <c r="K102" s="27"/>
    </row>
    <row r="103">
      <c r="C103" s="27"/>
      <c r="D103" s="27"/>
      <c r="E103" s="27"/>
      <c r="F103" s="27"/>
      <c r="G103" s="27"/>
      <c r="H103" s="27"/>
      <c r="I103" s="518"/>
      <c r="J103" s="27"/>
      <c r="K103" s="27"/>
    </row>
    <row r="104">
      <c r="C104" s="27"/>
      <c r="D104" s="27"/>
      <c r="E104" s="27"/>
      <c r="F104" s="27"/>
      <c r="G104" s="27"/>
      <c r="H104" s="27"/>
      <c r="I104" s="518"/>
      <c r="J104" s="27"/>
      <c r="K104" s="27"/>
    </row>
    <row r="105">
      <c r="C105" s="27"/>
      <c r="D105" s="27"/>
      <c r="E105" s="27"/>
      <c r="F105" s="27"/>
      <c r="G105" s="27"/>
      <c r="H105" s="27"/>
      <c r="I105" s="518"/>
      <c r="J105" s="27"/>
      <c r="K105" s="27"/>
    </row>
    <row r="106">
      <c r="C106" s="27"/>
      <c r="D106" s="27"/>
      <c r="E106" s="27"/>
      <c r="F106" s="27"/>
      <c r="G106" s="27"/>
      <c r="H106" s="27"/>
      <c r="I106" s="518"/>
      <c r="J106" s="27"/>
      <c r="K106" s="27"/>
    </row>
    <row r="107">
      <c r="C107" s="27"/>
      <c r="D107" s="27"/>
      <c r="E107" s="27"/>
      <c r="F107" s="27"/>
      <c r="G107" s="27"/>
      <c r="H107" s="27"/>
      <c r="I107" s="518"/>
      <c r="J107" s="27"/>
      <c r="K107" s="27"/>
    </row>
    <row r="108">
      <c r="C108" s="27"/>
      <c r="D108" s="27"/>
      <c r="E108" s="27"/>
      <c r="F108" s="27"/>
      <c r="G108" s="27"/>
      <c r="H108" s="27"/>
      <c r="I108" s="518"/>
      <c r="J108" s="27"/>
      <c r="K108" s="27"/>
    </row>
    <row r="109">
      <c r="C109" s="27"/>
      <c r="D109" s="27"/>
      <c r="E109" s="27"/>
      <c r="F109" s="27"/>
      <c r="G109" s="27"/>
      <c r="H109" s="27"/>
      <c r="I109" s="518"/>
      <c r="J109" s="27"/>
      <c r="K109" s="27"/>
    </row>
    <row r="110">
      <c r="C110" s="27"/>
      <c r="D110" s="27"/>
      <c r="E110" s="27"/>
      <c r="F110" s="27"/>
      <c r="G110" s="27"/>
      <c r="H110" s="27"/>
      <c r="I110" s="518"/>
      <c r="J110" s="27"/>
      <c r="K110" s="27"/>
    </row>
    <row r="111">
      <c r="C111" s="27"/>
      <c r="D111" s="27"/>
      <c r="E111" s="27"/>
      <c r="F111" s="27"/>
      <c r="G111" s="27"/>
      <c r="H111" s="27"/>
      <c r="I111" s="518"/>
      <c r="J111" s="27"/>
      <c r="K111" s="27"/>
    </row>
    <row r="112">
      <c r="C112" s="27"/>
      <c r="D112" s="27"/>
      <c r="E112" s="27"/>
      <c r="F112" s="27"/>
      <c r="G112" s="27"/>
      <c r="H112" s="27"/>
      <c r="I112" s="518"/>
      <c r="J112" s="27"/>
      <c r="K112" s="27"/>
    </row>
    <row r="113">
      <c r="C113" s="27"/>
      <c r="D113" s="27"/>
      <c r="E113" s="27"/>
      <c r="F113" s="27"/>
      <c r="G113" s="27"/>
      <c r="H113" s="27"/>
      <c r="I113" s="518"/>
      <c r="J113" s="27"/>
      <c r="K113" s="27"/>
    </row>
    <row r="114">
      <c r="C114" s="27"/>
      <c r="D114" s="27"/>
      <c r="E114" s="27"/>
      <c r="F114" s="27"/>
      <c r="G114" s="27"/>
      <c r="H114" s="27"/>
      <c r="I114" s="518"/>
      <c r="J114" s="27"/>
      <c r="K114" s="27"/>
    </row>
    <row r="115">
      <c r="C115" s="27"/>
      <c r="D115" s="27"/>
      <c r="E115" s="27"/>
      <c r="F115" s="27"/>
      <c r="G115" s="27"/>
      <c r="H115" s="27"/>
      <c r="I115" s="518"/>
      <c r="J115" s="27"/>
      <c r="K115" s="27"/>
    </row>
    <row r="116">
      <c r="C116" s="27"/>
      <c r="D116" s="27"/>
      <c r="E116" s="27"/>
      <c r="F116" s="27"/>
      <c r="G116" s="27"/>
      <c r="H116" s="27"/>
      <c r="I116" s="518"/>
      <c r="J116" s="27"/>
      <c r="K116" s="27"/>
    </row>
    <row r="117">
      <c r="C117" s="27"/>
      <c r="D117" s="27"/>
      <c r="E117" s="27"/>
      <c r="F117" s="27"/>
      <c r="G117" s="27"/>
      <c r="H117" s="27"/>
      <c r="I117" s="518"/>
      <c r="J117" s="27"/>
      <c r="K117" s="27"/>
    </row>
    <row r="118">
      <c r="C118" s="27"/>
      <c r="D118" s="27"/>
      <c r="E118" s="27"/>
      <c r="F118" s="27"/>
      <c r="G118" s="27"/>
      <c r="H118" s="27"/>
      <c r="I118" s="518"/>
      <c r="J118" s="27"/>
      <c r="K118" s="27"/>
    </row>
    <row r="119">
      <c r="C119" s="27"/>
      <c r="D119" s="27"/>
      <c r="E119" s="27"/>
      <c r="F119" s="27"/>
      <c r="G119" s="27"/>
      <c r="H119" s="27"/>
      <c r="I119" s="518"/>
      <c r="J119" s="27"/>
      <c r="K119" s="27"/>
    </row>
    <row r="120">
      <c r="C120" s="27"/>
      <c r="D120" s="27"/>
      <c r="E120" s="27"/>
      <c r="F120" s="27"/>
      <c r="G120" s="27"/>
      <c r="H120" s="27"/>
      <c r="I120" s="518"/>
      <c r="J120" s="27"/>
      <c r="K120" s="27"/>
    </row>
    <row r="121">
      <c r="C121" s="27"/>
      <c r="D121" s="27"/>
      <c r="E121" s="27"/>
      <c r="F121" s="27"/>
      <c r="G121" s="27"/>
      <c r="H121" s="27"/>
      <c r="I121" s="518"/>
      <c r="J121" s="27"/>
      <c r="K121" s="27"/>
    </row>
    <row r="122">
      <c r="C122" s="27"/>
      <c r="D122" s="27"/>
      <c r="E122" s="27"/>
      <c r="F122" s="27"/>
      <c r="G122" s="27"/>
      <c r="H122" s="27"/>
      <c r="I122" s="518"/>
      <c r="J122" s="27"/>
      <c r="K122" s="27"/>
    </row>
    <row r="123">
      <c r="C123" s="27"/>
      <c r="D123" s="27"/>
      <c r="E123" s="27"/>
      <c r="F123" s="27"/>
      <c r="G123" s="27"/>
      <c r="H123" s="27"/>
      <c r="I123" s="518"/>
      <c r="J123" s="27"/>
      <c r="K123" s="27"/>
    </row>
    <row r="124">
      <c r="C124" s="27"/>
      <c r="D124" s="27"/>
      <c r="E124" s="27"/>
      <c r="F124" s="27"/>
      <c r="G124" s="27"/>
      <c r="H124" s="27"/>
      <c r="I124" s="518"/>
      <c r="J124" s="27"/>
      <c r="K124" s="27"/>
    </row>
    <row r="125">
      <c r="C125" s="27"/>
      <c r="D125" s="27"/>
      <c r="E125" s="27"/>
      <c r="F125" s="27"/>
      <c r="G125" s="27"/>
      <c r="H125" s="27"/>
      <c r="I125" s="518"/>
      <c r="J125" s="27"/>
      <c r="K125" s="27"/>
    </row>
    <row r="126">
      <c r="C126" s="27"/>
      <c r="D126" s="27"/>
      <c r="E126" s="27"/>
      <c r="F126" s="27"/>
      <c r="G126" s="27"/>
      <c r="H126" s="27"/>
      <c r="I126" s="518"/>
      <c r="J126" s="27"/>
      <c r="K126" s="27"/>
    </row>
    <row r="127">
      <c r="C127" s="27"/>
      <c r="D127" s="27"/>
      <c r="E127" s="27"/>
      <c r="F127" s="27"/>
      <c r="G127" s="27"/>
      <c r="H127" s="27"/>
      <c r="I127" s="518"/>
      <c r="J127" s="27"/>
      <c r="K127" s="27"/>
    </row>
    <row r="128">
      <c r="C128" s="27"/>
      <c r="D128" s="27"/>
      <c r="E128" s="27"/>
      <c r="F128" s="27"/>
      <c r="G128" s="27"/>
      <c r="H128" s="27"/>
      <c r="I128" s="518"/>
      <c r="J128" s="27"/>
      <c r="K128" s="27"/>
    </row>
    <row r="129">
      <c r="C129" s="27"/>
      <c r="D129" s="27"/>
      <c r="E129" s="27"/>
      <c r="F129" s="27"/>
      <c r="G129" s="27"/>
      <c r="H129" s="27"/>
      <c r="I129" s="518"/>
      <c r="J129" s="27"/>
      <c r="K129" s="27"/>
    </row>
    <row r="130">
      <c r="C130" s="27"/>
      <c r="D130" s="27"/>
      <c r="E130" s="27"/>
      <c r="F130" s="27"/>
      <c r="G130" s="27"/>
      <c r="H130" s="27"/>
      <c r="I130" s="518"/>
      <c r="J130" s="27"/>
      <c r="K130" s="27"/>
    </row>
    <row r="131">
      <c r="C131" s="27"/>
      <c r="D131" s="27"/>
      <c r="E131" s="27"/>
      <c r="F131" s="27"/>
      <c r="G131" s="27"/>
      <c r="H131" s="27"/>
      <c r="I131" s="518"/>
      <c r="J131" s="27"/>
      <c r="K131" s="27"/>
    </row>
    <row r="132">
      <c r="C132" s="27"/>
      <c r="D132" s="27"/>
      <c r="E132" s="27"/>
      <c r="F132" s="27"/>
      <c r="G132" s="27"/>
      <c r="H132" s="27"/>
      <c r="I132" s="518"/>
      <c r="J132" s="27"/>
      <c r="K132" s="27"/>
    </row>
    <row r="133">
      <c r="C133" s="27"/>
      <c r="D133" s="27"/>
      <c r="E133" s="27"/>
      <c r="F133" s="27"/>
      <c r="G133" s="27"/>
      <c r="H133" s="27"/>
      <c r="I133" s="518"/>
      <c r="J133" s="27"/>
      <c r="K133" s="27"/>
    </row>
    <row r="134">
      <c r="C134" s="27"/>
      <c r="D134" s="27"/>
      <c r="E134" s="27"/>
      <c r="F134" s="27"/>
      <c r="G134" s="27"/>
      <c r="H134" s="27"/>
      <c r="I134" s="518"/>
      <c r="J134" s="27"/>
      <c r="K134" s="27"/>
    </row>
    <row r="135">
      <c r="C135" s="27"/>
      <c r="D135" s="27"/>
      <c r="E135" s="27"/>
      <c r="F135" s="27"/>
      <c r="G135" s="27"/>
      <c r="H135" s="27"/>
      <c r="I135" s="518"/>
      <c r="J135" s="27"/>
      <c r="K135" s="27"/>
    </row>
    <row r="136">
      <c r="C136" s="27"/>
      <c r="D136" s="27"/>
      <c r="E136" s="27"/>
      <c r="F136" s="27"/>
      <c r="G136" s="27"/>
      <c r="H136" s="27"/>
      <c r="I136" s="518"/>
      <c r="J136" s="27"/>
      <c r="K136" s="27"/>
    </row>
    <row r="137">
      <c r="C137" s="27"/>
      <c r="D137" s="27"/>
      <c r="E137" s="27"/>
      <c r="F137" s="27"/>
      <c r="G137" s="27"/>
      <c r="H137" s="27"/>
      <c r="I137" s="518"/>
      <c r="J137" s="27"/>
      <c r="K137" s="27"/>
    </row>
    <row r="138">
      <c r="C138" s="27"/>
      <c r="D138" s="27"/>
      <c r="E138" s="27"/>
      <c r="F138" s="27"/>
      <c r="G138" s="27"/>
      <c r="H138" s="27"/>
      <c r="I138" s="518"/>
      <c r="J138" s="27"/>
      <c r="K138" s="27"/>
    </row>
    <row r="139">
      <c r="C139" s="27"/>
      <c r="D139" s="27"/>
      <c r="E139" s="27"/>
      <c r="F139" s="27"/>
      <c r="G139" s="27"/>
      <c r="H139" s="27"/>
      <c r="I139" s="518"/>
      <c r="J139" s="27"/>
      <c r="K139" s="27"/>
    </row>
    <row r="140">
      <c r="C140" s="27"/>
      <c r="D140" s="27"/>
      <c r="E140" s="27"/>
      <c r="F140" s="27"/>
      <c r="G140" s="27"/>
      <c r="H140" s="27"/>
      <c r="I140" s="518"/>
      <c r="J140" s="27"/>
      <c r="K140" s="27"/>
    </row>
    <row r="141">
      <c r="C141" s="27"/>
      <c r="D141" s="27"/>
      <c r="E141" s="27"/>
      <c r="F141" s="27"/>
      <c r="G141" s="27"/>
      <c r="H141" s="27"/>
      <c r="I141" s="518"/>
      <c r="J141" s="27"/>
      <c r="K141" s="27"/>
    </row>
    <row r="142">
      <c r="C142" s="27"/>
      <c r="D142" s="27"/>
      <c r="E142" s="27"/>
      <c r="F142" s="27"/>
      <c r="G142" s="27"/>
      <c r="H142" s="27"/>
      <c r="I142" s="518"/>
      <c r="J142" s="27"/>
      <c r="K142" s="27"/>
    </row>
    <row r="143">
      <c r="C143" s="27"/>
      <c r="D143" s="27"/>
      <c r="E143" s="27"/>
      <c r="F143" s="27"/>
      <c r="G143" s="27"/>
      <c r="H143" s="27"/>
      <c r="I143" s="518"/>
      <c r="J143" s="27"/>
      <c r="K143" s="27"/>
    </row>
    <row r="144">
      <c r="C144" s="27"/>
      <c r="D144" s="27"/>
      <c r="E144" s="27"/>
      <c r="F144" s="27"/>
      <c r="G144" s="27"/>
      <c r="H144" s="27"/>
      <c r="I144" s="518"/>
      <c r="J144" s="27"/>
      <c r="K144" s="27"/>
    </row>
    <row r="145">
      <c r="C145" s="27"/>
      <c r="D145" s="27"/>
      <c r="E145" s="27"/>
      <c r="F145" s="27"/>
      <c r="G145" s="27"/>
      <c r="H145" s="27"/>
      <c r="I145" s="518"/>
      <c r="J145" s="27"/>
      <c r="K145" s="27"/>
    </row>
    <row r="146">
      <c r="C146" s="27"/>
      <c r="D146" s="27"/>
      <c r="E146" s="27"/>
      <c r="F146" s="27"/>
      <c r="G146" s="27"/>
      <c r="H146" s="27"/>
      <c r="I146" s="518"/>
      <c r="J146" s="27"/>
      <c r="K146" s="27"/>
    </row>
    <row r="147">
      <c r="C147" s="27"/>
      <c r="D147" s="27"/>
      <c r="E147" s="27"/>
      <c r="F147" s="27"/>
      <c r="G147" s="27"/>
      <c r="H147" s="27"/>
      <c r="I147" s="518"/>
      <c r="J147" s="27"/>
      <c r="K147" s="27"/>
    </row>
    <row r="148">
      <c r="C148" s="27"/>
      <c r="D148" s="27"/>
      <c r="E148" s="27"/>
      <c r="F148" s="27"/>
      <c r="G148" s="27"/>
      <c r="H148" s="27"/>
      <c r="I148" s="518"/>
      <c r="J148" s="27"/>
      <c r="K148" s="27"/>
    </row>
    <row r="149">
      <c r="C149" s="27"/>
      <c r="D149" s="27"/>
      <c r="E149" s="27"/>
      <c r="F149" s="27"/>
      <c r="G149" s="27"/>
      <c r="H149" s="27"/>
      <c r="I149" s="518"/>
      <c r="J149" s="27"/>
      <c r="K149" s="27"/>
    </row>
    <row r="150">
      <c r="C150" s="27"/>
      <c r="D150" s="27"/>
      <c r="E150" s="27"/>
      <c r="F150" s="27"/>
      <c r="G150" s="27"/>
      <c r="H150" s="27"/>
      <c r="I150" s="518"/>
      <c r="J150" s="27"/>
      <c r="K150" s="27"/>
    </row>
    <row r="151">
      <c r="C151" s="27"/>
      <c r="D151" s="27"/>
      <c r="E151" s="27"/>
      <c r="F151" s="27"/>
      <c r="G151" s="27"/>
      <c r="H151" s="27"/>
      <c r="I151" s="518"/>
      <c r="J151" s="27"/>
      <c r="K151" s="27"/>
    </row>
    <row r="152">
      <c r="C152" s="27"/>
      <c r="D152" s="27"/>
      <c r="E152" s="27"/>
      <c r="F152" s="27"/>
      <c r="G152" s="27"/>
      <c r="H152" s="27"/>
      <c r="I152" s="518"/>
      <c r="J152" s="27"/>
      <c r="K152" s="27"/>
    </row>
    <row r="153">
      <c r="C153" s="27"/>
      <c r="D153" s="27"/>
      <c r="E153" s="27"/>
      <c r="F153" s="27"/>
      <c r="G153" s="27"/>
      <c r="H153" s="27"/>
      <c r="I153" s="518"/>
      <c r="J153" s="27"/>
      <c r="K153" s="27"/>
    </row>
    <row r="154">
      <c r="C154" s="27"/>
      <c r="D154" s="27"/>
      <c r="E154" s="27"/>
      <c r="F154" s="27"/>
      <c r="G154" s="27"/>
      <c r="H154" s="27"/>
      <c r="I154" s="518"/>
      <c r="J154" s="27"/>
      <c r="K154" s="27"/>
    </row>
    <row r="155">
      <c r="C155" s="27"/>
      <c r="D155" s="27"/>
      <c r="E155" s="27"/>
      <c r="F155" s="27"/>
      <c r="G155" s="27"/>
      <c r="H155" s="27"/>
      <c r="I155" s="518"/>
      <c r="J155" s="27"/>
      <c r="K155" s="27"/>
    </row>
    <row r="156">
      <c r="C156" s="27"/>
      <c r="D156" s="27"/>
      <c r="E156" s="27"/>
      <c r="F156" s="27"/>
      <c r="G156" s="27"/>
      <c r="H156" s="27"/>
      <c r="I156" s="518"/>
      <c r="J156" s="27"/>
      <c r="K156" s="27"/>
    </row>
    <row r="157">
      <c r="C157" s="27"/>
      <c r="D157" s="27"/>
      <c r="E157" s="27"/>
      <c r="F157" s="27"/>
      <c r="G157" s="27"/>
      <c r="H157" s="27"/>
      <c r="I157" s="518"/>
      <c r="J157" s="27"/>
      <c r="K157" s="27"/>
    </row>
    <row r="158">
      <c r="C158" s="27"/>
      <c r="D158" s="27"/>
      <c r="E158" s="27"/>
      <c r="F158" s="27"/>
      <c r="G158" s="27"/>
      <c r="H158" s="27"/>
      <c r="I158" s="518"/>
      <c r="J158" s="27"/>
      <c r="K158" s="27"/>
    </row>
    <row r="159">
      <c r="C159" s="27"/>
      <c r="D159" s="27"/>
      <c r="E159" s="27"/>
      <c r="F159" s="27"/>
      <c r="G159" s="27"/>
      <c r="H159" s="27"/>
      <c r="I159" s="518"/>
      <c r="J159" s="27"/>
      <c r="K159" s="27"/>
    </row>
    <row r="160">
      <c r="C160" s="27"/>
      <c r="D160" s="27"/>
      <c r="E160" s="27"/>
      <c r="F160" s="27"/>
      <c r="G160" s="27"/>
      <c r="H160" s="27"/>
      <c r="I160" s="518"/>
      <c r="J160" s="27"/>
      <c r="K160" s="27"/>
    </row>
    <row r="161">
      <c r="C161" s="27"/>
      <c r="D161" s="27"/>
      <c r="E161" s="27"/>
      <c r="F161" s="27"/>
      <c r="G161" s="27"/>
      <c r="H161" s="27"/>
      <c r="I161" s="518"/>
      <c r="J161" s="27"/>
      <c r="K161" s="27"/>
    </row>
    <row r="162">
      <c r="C162" s="27"/>
      <c r="D162" s="27"/>
      <c r="E162" s="27"/>
      <c r="F162" s="27"/>
      <c r="G162" s="27"/>
      <c r="H162" s="27"/>
      <c r="I162" s="518"/>
      <c r="J162" s="27"/>
      <c r="K162" s="27"/>
    </row>
    <row r="163">
      <c r="C163" s="27"/>
      <c r="D163" s="27"/>
      <c r="E163" s="27"/>
      <c r="F163" s="27"/>
      <c r="G163" s="27"/>
      <c r="H163" s="27"/>
      <c r="I163" s="518"/>
      <c r="J163" s="27"/>
      <c r="K163" s="27"/>
    </row>
    <row r="164">
      <c r="C164" s="27"/>
      <c r="D164" s="27"/>
      <c r="E164" s="27"/>
      <c r="F164" s="27"/>
      <c r="G164" s="27"/>
      <c r="H164" s="27"/>
      <c r="I164" s="518"/>
      <c r="J164" s="27"/>
      <c r="K164" s="27"/>
    </row>
    <row r="165">
      <c r="C165" s="27"/>
      <c r="D165" s="27"/>
      <c r="E165" s="27"/>
      <c r="F165" s="27"/>
      <c r="G165" s="27"/>
      <c r="H165" s="27"/>
      <c r="I165" s="518"/>
      <c r="J165" s="27"/>
      <c r="K165" s="27"/>
    </row>
    <row r="166">
      <c r="C166" s="27"/>
      <c r="D166" s="27"/>
      <c r="E166" s="27"/>
      <c r="F166" s="27"/>
      <c r="G166" s="27"/>
      <c r="H166" s="27"/>
      <c r="I166" s="518"/>
      <c r="J166" s="27"/>
      <c r="K166" s="27"/>
    </row>
    <row r="167">
      <c r="C167" s="27"/>
      <c r="D167" s="27"/>
      <c r="E167" s="27"/>
      <c r="F167" s="27"/>
      <c r="G167" s="27"/>
      <c r="H167" s="27"/>
      <c r="I167" s="518"/>
      <c r="J167" s="27"/>
      <c r="K167" s="27"/>
    </row>
    <row r="168">
      <c r="C168" s="27"/>
      <c r="D168" s="27"/>
      <c r="E168" s="27"/>
      <c r="F168" s="27"/>
      <c r="G168" s="27"/>
      <c r="H168" s="27"/>
      <c r="I168" s="518"/>
      <c r="J168" s="27"/>
      <c r="K168" s="27"/>
    </row>
    <row r="169">
      <c r="C169" s="27"/>
      <c r="D169" s="27"/>
      <c r="E169" s="27"/>
      <c r="F169" s="27"/>
      <c r="G169" s="27"/>
      <c r="H169" s="27"/>
      <c r="I169" s="518"/>
      <c r="J169" s="27"/>
      <c r="K169" s="27"/>
    </row>
    <row r="170">
      <c r="C170" s="27"/>
      <c r="D170" s="27"/>
      <c r="E170" s="27"/>
      <c r="F170" s="27"/>
      <c r="G170" s="27"/>
      <c r="H170" s="27"/>
      <c r="I170" s="518"/>
      <c r="J170" s="27"/>
      <c r="K170" s="27"/>
    </row>
    <row r="171">
      <c r="C171" s="27"/>
      <c r="D171" s="27"/>
      <c r="E171" s="27"/>
      <c r="F171" s="27"/>
      <c r="G171" s="27"/>
      <c r="H171" s="27"/>
      <c r="I171" s="518"/>
      <c r="J171" s="27"/>
      <c r="K171" s="27"/>
    </row>
    <row r="172">
      <c r="C172" s="27"/>
      <c r="D172" s="27"/>
      <c r="E172" s="27"/>
      <c r="F172" s="27"/>
      <c r="G172" s="27"/>
      <c r="H172" s="27"/>
      <c r="I172" s="518"/>
      <c r="J172" s="27"/>
      <c r="K172" s="27"/>
    </row>
    <row r="173">
      <c r="C173" s="27"/>
      <c r="D173" s="27"/>
      <c r="E173" s="27"/>
      <c r="F173" s="27"/>
      <c r="G173" s="27"/>
      <c r="H173" s="27"/>
      <c r="I173" s="518"/>
      <c r="J173" s="27"/>
      <c r="K173" s="27"/>
    </row>
    <row r="174">
      <c r="C174" s="27"/>
      <c r="D174" s="27"/>
      <c r="E174" s="27"/>
      <c r="F174" s="27"/>
      <c r="G174" s="27"/>
      <c r="H174" s="27"/>
      <c r="I174" s="518"/>
      <c r="J174" s="27"/>
      <c r="K174" s="27"/>
    </row>
    <row r="175">
      <c r="C175" s="27"/>
      <c r="D175" s="27"/>
      <c r="E175" s="27"/>
      <c r="F175" s="27"/>
      <c r="G175" s="27"/>
      <c r="H175" s="27"/>
      <c r="I175" s="518"/>
      <c r="J175" s="27"/>
      <c r="K175" s="27"/>
    </row>
    <row r="176">
      <c r="C176" s="27"/>
      <c r="D176" s="27"/>
      <c r="E176" s="27"/>
      <c r="F176" s="27"/>
      <c r="G176" s="27"/>
      <c r="H176" s="27"/>
      <c r="I176" s="518"/>
      <c r="J176" s="27"/>
      <c r="K176" s="27"/>
    </row>
    <row r="177">
      <c r="C177" s="27"/>
      <c r="D177" s="27"/>
      <c r="E177" s="27"/>
      <c r="F177" s="27"/>
      <c r="G177" s="27"/>
      <c r="H177" s="27"/>
      <c r="I177" s="518"/>
      <c r="J177" s="27"/>
      <c r="K177" s="27"/>
    </row>
    <row r="178">
      <c r="C178" s="27"/>
      <c r="D178" s="27"/>
      <c r="E178" s="27"/>
      <c r="F178" s="27"/>
      <c r="G178" s="27"/>
      <c r="H178" s="27"/>
      <c r="I178" s="518"/>
      <c r="J178" s="27"/>
      <c r="K178" s="27"/>
    </row>
    <row r="179">
      <c r="C179" s="27"/>
      <c r="D179" s="27"/>
      <c r="E179" s="27"/>
      <c r="F179" s="27"/>
      <c r="G179" s="27"/>
      <c r="H179" s="27"/>
      <c r="I179" s="518"/>
      <c r="J179" s="27"/>
      <c r="K179" s="27"/>
    </row>
    <row r="180">
      <c r="C180" s="27"/>
      <c r="D180" s="27"/>
      <c r="E180" s="27"/>
      <c r="F180" s="27"/>
      <c r="G180" s="27"/>
      <c r="H180" s="27"/>
      <c r="I180" s="518"/>
      <c r="J180" s="27"/>
      <c r="K180" s="27"/>
    </row>
    <row r="181">
      <c r="C181" s="27"/>
      <c r="D181" s="27"/>
      <c r="E181" s="27"/>
      <c r="F181" s="27"/>
      <c r="G181" s="27"/>
      <c r="H181" s="27"/>
      <c r="I181" s="518"/>
      <c r="J181" s="27"/>
      <c r="K181" s="27"/>
    </row>
    <row r="182">
      <c r="C182" s="27"/>
      <c r="D182" s="27"/>
      <c r="E182" s="27"/>
      <c r="F182" s="27"/>
      <c r="G182" s="27"/>
      <c r="H182" s="27"/>
      <c r="I182" s="518"/>
      <c r="J182" s="27"/>
      <c r="K182" s="27"/>
    </row>
    <row r="183">
      <c r="C183" s="27"/>
      <c r="D183" s="27"/>
      <c r="E183" s="27"/>
      <c r="F183" s="27"/>
      <c r="G183" s="27"/>
      <c r="H183" s="27"/>
      <c r="I183" s="518"/>
      <c r="J183" s="27"/>
      <c r="K183" s="27"/>
    </row>
    <row r="184">
      <c r="C184" s="27"/>
      <c r="D184" s="27"/>
      <c r="E184" s="27"/>
      <c r="F184" s="27"/>
      <c r="G184" s="27"/>
      <c r="H184" s="27"/>
      <c r="I184" s="518"/>
      <c r="J184" s="27"/>
      <c r="K184" s="27"/>
    </row>
    <row r="185">
      <c r="C185" s="27"/>
      <c r="D185" s="27"/>
      <c r="E185" s="27"/>
      <c r="F185" s="27"/>
      <c r="G185" s="27"/>
      <c r="H185" s="27"/>
      <c r="I185" s="518"/>
      <c r="J185" s="27"/>
      <c r="K185" s="27"/>
    </row>
    <row r="186">
      <c r="C186" s="27"/>
      <c r="D186" s="27"/>
      <c r="E186" s="27"/>
      <c r="F186" s="27"/>
      <c r="G186" s="27"/>
      <c r="H186" s="27"/>
      <c r="I186" s="518"/>
      <c r="J186" s="27"/>
      <c r="K186" s="27"/>
    </row>
    <row r="187">
      <c r="C187" s="27"/>
      <c r="D187" s="27"/>
      <c r="E187" s="27"/>
      <c r="F187" s="27"/>
      <c r="G187" s="27"/>
      <c r="H187" s="27"/>
      <c r="I187" s="518"/>
      <c r="J187" s="27"/>
      <c r="K187" s="27"/>
    </row>
    <row r="188">
      <c r="C188" s="27"/>
      <c r="D188" s="27"/>
      <c r="E188" s="27"/>
      <c r="F188" s="27"/>
      <c r="G188" s="27"/>
      <c r="H188" s="27"/>
      <c r="I188" s="518"/>
      <c r="J188" s="27"/>
      <c r="K188" s="27"/>
    </row>
    <row r="189">
      <c r="C189" s="27"/>
      <c r="D189" s="27"/>
      <c r="E189" s="27"/>
      <c r="F189" s="27"/>
      <c r="G189" s="27"/>
      <c r="H189" s="27"/>
      <c r="I189" s="518"/>
      <c r="J189" s="27"/>
      <c r="K189" s="27"/>
    </row>
    <row r="190">
      <c r="C190" s="27"/>
      <c r="D190" s="27"/>
      <c r="E190" s="27"/>
      <c r="F190" s="27"/>
      <c r="G190" s="27"/>
      <c r="H190" s="27"/>
      <c r="I190" s="518"/>
      <c r="J190" s="27"/>
      <c r="K190" s="27"/>
    </row>
    <row r="191">
      <c r="C191" s="27"/>
      <c r="D191" s="27"/>
      <c r="E191" s="27"/>
      <c r="F191" s="27"/>
      <c r="G191" s="27"/>
      <c r="H191" s="27"/>
      <c r="I191" s="518"/>
      <c r="J191" s="27"/>
      <c r="K191" s="27"/>
    </row>
    <row r="192">
      <c r="C192" s="27"/>
      <c r="D192" s="27"/>
      <c r="E192" s="27"/>
      <c r="F192" s="27"/>
      <c r="G192" s="27"/>
      <c r="H192" s="27"/>
      <c r="I192" s="518"/>
      <c r="J192" s="27"/>
      <c r="K192" s="27"/>
    </row>
    <row r="193">
      <c r="C193" s="27"/>
      <c r="D193" s="27"/>
      <c r="E193" s="27"/>
      <c r="F193" s="27"/>
      <c r="G193" s="27"/>
      <c r="H193" s="27"/>
      <c r="I193" s="518"/>
      <c r="J193" s="27"/>
      <c r="K193" s="27"/>
    </row>
    <row r="194">
      <c r="C194" s="27"/>
      <c r="D194" s="27"/>
      <c r="E194" s="27"/>
      <c r="F194" s="27"/>
      <c r="G194" s="27"/>
      <c r="H194" s="27"/>
      <c r="I194" s="518"/>
      <c r="J194" s="27"/>
      <c r="K194" s="27"/>
    </row>
    <row r="195">
      <c r="C195" s="27"/>
      <c r="D195" s="27"/>
      <c r="E195" s="27"/>
      <c r="F195" s="27"/>
      <c r="G195" s="27"/>
      <c r="H195" s="27"/>
      <c r="I195" s="518"/>
      <c r="J195" s="27"/>
      <c r="K195" s="27"/>
    </row>
    <row r="196">
      <c r="C196" s="27"/>
      <c r="D196" s="27"/>
      <c r="E196" s="27"/>
      <c r="F196" s="27"/>
      <c r="G196" s="27"/>
      <c r="H196" s="27"/>
      <c r="I196" s="518"/>
      <c r="J196" s="27"/>
      <c r="K196" s="27"/>
    </row>
    <row r="197">
      <c r="C197" s="27"/>
      <c r="D197" s="27"/>
      <c r="E197" s="27"/>
      <c r="F197" s="27"/>
      <c r="G197" s="27"/>
      <c r="H197" s="27"/>
      <c r="I197" s="518"/>
      <c r="J197" s="27"/>
      <c r="K197" s="27"/>
    </row>
    <row r="198">
      <c r="C198" s="27"/>
      <c r="D198" s="27"/>
      <c r="E198" s="27"/>
      <c r="F198" s="27"/>
      <c r="G198" s="27"/>
      <c r="H198" s="27"/>
      <c r="I198" s="518"/>
      <c r="J198" s="27"/>
      <c r="K198" s="27"/>
    </row>
    <row r="199">
      <c r="C199" s="27"/>
      <c r="D199" s="27"/>
      <c r="E199" s="27"/>
      <c r="F199" s="27"/>
      <c r="G199" s="27"/>
      <c r="H199" s="27"/>
      <c r="I199" s="518"/>
      <c r="J199" s="27"/>
      <c r="K199" s="27"/>
    </row>
    <row r="200">
      <c r="C200" s="27"/>
      <c r="D200" s="27"/>
      <c r="E200" s="27"/>
      <c r="F200" s="27"/>
      <c r="G200" s="27"/>
      <c r="H200" s="27"/>
      <c r="I200" s="518"/>
      <c r="J200" s="27"/>
      <c r="K200" s="27"/>
    </row>
    <row r="201">
      <c r="C201" s="27"/>
      <c r="D201" s="27"/>
      <c r="E201" s="27"/>
      <c r="F201" s="27"/>
      <c r="G201" s="27"/>
      <c r="H201" s="27"/>
      <c r="I201" s="518"/>
      <c r="J201" s="27"/>
      <c r="K201" s="27"/>
    </row>
    <row r="202">
      <c r="C202" s="27"/>
      <c r="D202" s="27"/>
      <c r="E202" s="27"/>
      <c r="F202" s="27"/>
      <c r="G202" s="27"/>
      <c r="H202" s="27"/>
      <c r="I202" s="518"/>
      <c r="J202" s="27"/>
      <c r="K202" s="27"/>
    </row>
    <row r="203">
      <c r="C203" s="27"/>
      <c r="D203" s="27"/>
      <c r="E203" s="27"/>
      <c r="F203" s="27"/>
      <c r="G203" s="27"/>
      <c r="H203" s="27"/>
      <c r="I203" s="518"/>
      <c r="J203" s="27"/>
      <c r="K203" s="27"/>
    </row>
    <row r="204">
      <c r="C204" s="27"/>
      <c r="D204" s="27"/>
      <c r="E204" s="27"/>
      <c r="F204" s="27"/>
      <c r="G204" s="27"/>
      <c r="H204" s="27"/>
      <c r="I204" s="518"/>
      <c r="J204" s="27"/>
      <c r="K204" s="27"/>
    </row>
    <row r="205">
      <c r="C205" s="27"/>
      <c r="D205" s="27"/>
      <c r="E205" s="27"/>
      <c r="F205" s="27"/>
      <c r="G205" s="27"/>
      <c r="H205" s="27"/>
      <c r="I205" s="518"/>
      <c r="J205" s="27"/>
      <c r="K205" s="27"/>
    </row>
    <row r="206">
      <c r="C206" s="27"/>
      <c r="D206" s="27"/>
      <c r="E206" s="27"/>
      <c r="F206" s="27"/>
      <c r="G206" s="27"/>
      <c r="H206" s="27"/>
      <c r="I206" s="518"/>
      <c r="J206" s="27"/>
      <c r="K206" s="27"/>
    </row>
    <row r="207">
      <c r="C207" s="27"/>
      <c r="D207" s="27"/>
      <c r="E207" s="27"/>
      <c r="F207" s="27"/>
      <c r="G207" s="27"/>
      <c r="H207" s="27"/>
      <c r="I207" s="518"/>
      <c r="J207" s="27"/>
      <c r="K207" s="27"/>
    </row>
    <row r="208">
      <c r="C208" s="27"/>
      <c r="D208" s="27"/>
      <c r="E208" s="27"/>
      <c r="F208" s="27"/>
      <c r="G208" s="27"/>
      <c r="H208" s="27"/>
      <c r="I208" s="518"/>
      <c r="J208" s="27"/>
      <c r="K208" s="27"/>
    </row>
    <row r="209">
      <c r="C209" s="27"/>
      <c r="D209" s="27"/>
      <c r="E209" s="27"/>
      <c r="F209" s="27"/>
      <c r="G209" s="27"/>
      <c r="H209" s="27"/>
      <c r="I209" s="518"/>
      <c r="J209" s="27"/>
      <c r="K209" s="27"/>
    </row>
    <row r="210">
      <c r="C210" s="27"/>
      <c r="D210" s="27"/>
      <c r="E210" s="27"/>
      <c r="F210" s="27"/>
      <c r="G210" s="27"/>
      <c r="H210" s="27"/>
      <c r="I210" s="518"/>
      <c r="J210" s="27"/>
      <c r="K210" s="27"/>
    </row>
    <row r="211">
      <c r="C211" s="27"/>
      <c r="D211" s="27"/>
      <c r="E211" s="27"/>
      <c r="F211" s="27"/>
      <c r="G211" s="27"/>
      <c r="H211" s="27"/>
      <c r="I211" s="518"/>
      <c r="J211" s="27"/>
      <c r="K211" s="27"/>
    </row>
    <row r="212">
      <c r="C212" s="27"/>
      <c r="D212" s="27"/>
      <c r="E212" s="27"/>
      <c r="F212" s="27"/>
      <c r="G212" s="27"/>
      <c r="H212" s="27"/>
      <c r="I212" s="518"/>
      <c r="J212" s="27"/>
      <c r="K212" s="27"/>
    </row>
    <row r="213">
      <c r="C213" s="27"/>
      <c r="D213" s="27"/>
      <c r="E213" s="27"/>
      <c r="F213" s="27"/>
      <c r="G213" s="27"/>
      <c r="H213" s="27"/>
      <c r="I213" s="518"/>
      <c r="J213" s="27"/>
      <c r="K213" s="27"/>
    </row>
    <row r="214">
      <c r="C214" s="27"/>
      <c r="D214" s="27"/>
      <c r="E214" s="27"/>
      <c r="F214" s="27"/>
      <c r="G214" s="27"/>
      <c r="H214" s="27"/>
      <c r="I214" s="518"/>
      <c r="J214" s="27"/>
      <c r="K214" s="27"/>
    </row>
    <row r="215">
      <c r="C215" s="27"/>
      <c r="D215" s="27"/>
      <c r="E215" s="27"/>
      <c r="F215" s="27"/>
      <c r="G215" s="27"/>
      <c r="H215" s="27"/>
      <c r="I215" s="518"/>
      <c r="J215" s="27"/>
      <c r="K215" s="27"/>
    </row>
    <row r="216">
      <c r="C216" s="27"/>
      <c r="D216" s="27"/>
      <c r="E216" s="27"/>
      <c r="F216" s="27"/>
      <c r="G216" s="27"/>
      <c r="H216" s="27"/>
      <c r="I216" s="518"/>
      <c r="J216" s="27"/>
      <c r="K216" s="27"/>
    </row>
    <row r="217">
      <c r="C217" s="27"/>
      <c r="D217" s="27"/>
      <c r="E217" s="27"/>
      <c r="F217" s="27"/>
      <c r="G217" s="27"/>
      <c r="H217" s="27"/>
      <c r="I217" s="518"/>
      <c r="J217" s="27"/>
      <c r="K217" s="27"/>
    </row>
    <row r="218">
      <c r="C218" s="27"/>
      <c r="D218" s="27"/>
      <c r="E218" s="27"/>
      <c r="F218" s="27"/>
      <c r="G218" s="27"/>
      <c r="H218" s="27"/>
      <c r="I218" s="518"/>
      <c r="J218" s="27"/>
      <c r="K218" s="27"/>
    </row>
    <row r="219">
      <c r="C219" s="27"/>
      <c r="D219" s="27"/>
      <c r="E219" s="27"/>
      <c r="F219" s="27"/>
      <c r="G219" s="27"/>
      <c r="H219" s="27"/>
      <c r="I219" s="518"/>
      <c r="J219" s="27"/>
      <c r="K219" s="27"/>
    </row>
    <row r="220">
      <c r="C220" s="27"/>
      <c r="D220" s="27"/>
      <c r="E220" s="27"/>
      <c r="F220" s="27"/>
      <c r="G220" s="27"/>
      <c r="H220" s="27"/>
      <c r="I220" s="518"/>
      <c r="J220" s="27"/>
      <c r="K220" s="27"/>
    </row>
    <row r="221">
      <c r="C221" s="27"/>
      <c r="D221" s="27"/>
      <c r="E221" s="27"/>
      <c r="F221" s="27"/>
      <c r="G221" s="27"/>
      <c r="H221" s="27"/>
      <c r="I221" s="518"/>
      <c r="J221" s="27"/>
      <c r="K221" s="27"/>
    </row>
    <row r="222">
      <c r="C222" s="27"/>
      <c r="D222" s="27"/>
      <c r="E222" s="27"/>
      <c r="F222" s="27"/>
      <c r="G222" s="27"/>
      <c r="H222" s="27"/>
      <c r="I222" s="518"/>
      <c r="J222" s="27"/>
      <c r="K222" s="27"/>
    </row>
    <row r="223">
      <c r="C223" s="27"/>
      <c r="D223" s="27"/>
      <c r="E223" s="27"/>
      <c r="F223" s="27"/>
      <c r="G223" s="27"/>
      <c r="H223" s="27"/>
      <c r="I223" s="518"/>
      <c r="J223" s="27"/>
      <c r="K223" s="27"/>
    </row>
    <row r="224">
      <c r="C224" s="27"/>
      <c r="D224" s="27"/>
      <c r="E224" s="27"/>
      <c r="F224" s="27"/>
      <c r="G224" s="27"/>
      <c r="H224" s="27"/>
      <c r="I224" s="518"/>
      <c r="J224" s="27"/>
      <c r="K224" s="27"/>
    </row>
    <row r="225">
      <c r="C225" s="27"/>
      <c r="D225" s="27"/>
      <c r="E225" s="27"/>
      <c r="F225" s="27"/>
      <c r="G225" s="27"/>
      <c r="H225" s="27"/>
      <c r="I225" s="518"/>
      <c r="J225" s="27"/>
      <c r="K225" s="27"/>
    </row>
    <row r="226">
      <c r="C226" s="27"/>
      <c r="D226" s="27"/>
      <c r="E226" s="27"/>
      <c r="F226" s="27"/>
      <c r="G226" s="27"/>
      <c r="H226" s="27"/>
      <c r="I226" s="518"/>
      <c r="J226" s="27"/>
      <c r="K226" s="27"/>
    </row>
    <row r="227">
      <c r="C227" s="27"/>
      <c r="D227" s="27"/>
      <c r="E227" s="27"/>
      <c r="F227" s="27"/>
      <c r="G227" s="27"/>
      <c r="H227" s="27"/>
      <c r="I227" s="518"/>
      <c r="J227" s="27"/>
      <c r="K227" s="27"/>
    </row>
    <row r="228">
      <c r="C228" s="27"/>
      <c r="D228" s="27"/>
      <c r="E228" s="27"/>
      <c r="F228" s="27"/>
      <c r="G228" s="27"/>
      <c r="H228" s="27"/>
      <c r="I228" s="518"/>
      <c r="J228" s="27"/>
      <c r="K228" s="27"/>
    </row>
    <row r="229">
      <c r="C229" s="27"/>
      <c r="D229" s="27"/>
      <c r="E229" s="27"/>
      <c r="F229" s="27"/>
      <c r="G229" s="27"/>
      <c r="H229" s="27"/>
      <c r="I229" s="518"/>
      <c r="J229" s="27"/>
      <c r="K229" s="27"/>
    </row>
    <row r="230">
      <c r="C230" s="27"/>
      <c r="D230" s="27"/>
      <c r="E230" s="27"/>
      <c r="F230" s="27"/>
      <c r="G230" s="27"/>
      <c r="H230" s="27"/>
      <c r="I230" s="518"/>
      <c r="J230" s="27"/>
      <c r="K230" s="27"/>
    </row>
    <row r="231">
      <c r="C231" s="27"/>
      <c r="D231" s="27"/>
      <c r="E231" s="27"/>
      <c r="F231" s="27"/>
      <c r="G231" s="27"/>
      <c r="H231" s="27"/>
      <c r="I231" s="518"/>
      <c r="J231" s="27"/>
      <c r="K231" s="27"/>
    </row>
    <row r="232">
      <c r="C232" s="27"/>
      <c r="D232" s="27"/>
      <c r="E232" s="27"/>
      <c r="F232" s="27"/>
      <c r="G232" s="27"/>
      <c r="H232" s="27"/>
      <c r="I232" s="518"/>
      <c r="J232" s="27"/>
      <c r="K232" s="27"/>
    </row>
    <row r="233">
      <c r="C233" s="27"/>
      <c r="D233" s="27"/>
      <c r="E233" s="27"/>
      <c r="F233" s="27"/>
      <c r="G233" s="27"/>
      <c r="H233" s="27"/>
      <c r="I233" s="518"/>
      <c r="J233" s="27"/>
      <c r="K233" s="27"/>
    </row>
    <row r="234">
      <c r="C234" s="27"/>
      <c r="D234" s="27"/>
      <c r="E234" s="27"/>
      <c r="F234" s="27"/>
      <c r="G234" s="27"/>
      <c r="H234" s="27"/>
      <c r="I234" s="518"/>
      <c r="J234" s="27"/>
      <c r="K234" s="27"/>
    </row>
    <row r="235">
      <c r="C235" s="27"/>
      <c r="D235" s="27"/>
      <c r="E235" s="27"/>
      <c r="F235" s="27"/>
      <c r="G235" s="27"/>
      <c r="H235" s="27"/>
      <c r="I235" s="518"/>
      <c r="J235" s="27"/>
      <c r="K235" s="27"/>
    </row>
    <row r="236">
      <c r="C236" s="27"/>
      <c r="D236" s="27"/>
      <c r="E236" s="27"/>
      <c r="F236" s="27"/>
      <c r="G236" s="27"/>
      <c r="H236" s="27"/>
      <c r="I236" s="518"/>
      <c r="J236" s="27"/>
      <c r="K236" s="27"/>
    </row>
    <row r="237">
      <c r="C237" s="27"/>
      <c r="D237" s="27"/>
      <c r="E237" s="27"/>
      <c r="F237" s="27"/>
      <c r="G237" s="27"/>
      <c r="H237" s="27"/>
      <c r="I237" s="518"/>
      <c r="J237" s="27"/>
      <c r="K237" s="27"/>
    </row>
    <row r="238">
      <c r="C238" s="27"/>
      <c r="D238" s="27"/>
      <c r="E238" s="27"/>
      <c r="F238" s="27"/>
      <c r="G238" s="27"/>
      <c r="H238" s="27"/>
      <c r="I238" s="518"/>
      <c r="J238" s="27"/>
      <c r="K238" s="27"/>
    </row>
    <row r="239">
      <c r="C239" s="27"/>
      <c r="D239" s="27"/>
      <c r="E239" s="27"/>
      <c r="F239" s="27"/>
      <c r="G239" s="27"/>
      <c r="H239" s="27"/>
      <c r="I239" s="518"/>
      <c r="J239" s="27"/>
      <c r="K239" s="27"/>
    </row>
    <row r="240">
      <c r="C240" s="27"/>
      <c r="D240" s="27"/>
      <c r="E240" s="27"/>
      <c r="F240" s="27"/>
      <c r="G240" s="27"/>
      <c r="H240" s="27"/>
      <c r="I240" s="518"/>
      <c r="J240" s="27"/>
      <c r="K240" s="27"/>
    </row>
    <row r="241">
      <c r="C241" s="27"/>
      <c r="D241" s="27"/>
      <c r="E241" s="27"/>
      <c r="F241" s="27"/>
      <c r="G241" s="27"/>
      <c r="H241" s="27"/>
      <c r="I241" s="518"/>
      <c r="J241" s="27"/>
      <c r="K241" s="27"/>
    </row>
    <row r="242">
      <c r="C242" s="27"/>
      <c r="D242" s="27"/>
      <c r="E242" s="27"/>
      <c r="F242" s="27"/>
      <c r="G242" s="27"/>
      <c r="H242" s="27"/>
      <c r="I242" s="518"/>
      <c r="J242" s="27"/>
      <c r="K242" s="27"/>
    </row>
    <row r="243">
      <c r="C243" s="27"/>
      <c r="D243" s="27"/>
      <c r="E243" s="27"/>
      <c r="F243" s="27"/>
      <c r="G243" s="27"/>
      <c r="H243" s="27"/>
      <c r="I243" s="518"/>
      <c r="J243" s="27"/>
      <c r="K243" s="27"/>
    </row>
    <row r="244">
      <c r="C244" s="27"/>
      <c r="D244" s="27"/>
      <c r="E244" s="27"/>
      <c r="F244" s="27"/>
      <c r="G244" s="27"/>
      <c r="H244" s="27"/>
      <c r="I244" s="518"/>
      <c r="J244" s="27"/>
      <c r="K244" s="27"/>
    </row>
    <row r="245">
      <c r="C245" s="27"/>
      <c r="D245" s="27"/>
      <c r="E245" s="27"/>
      <c r="F245" s="27"/>
      <c r="G245" s="27"/>
      <c r="H245" s="27"/>
      <c r="I245" s="518"/>
      <c r="J245" s="27"/>
      <c r="K245" s="27"/>
    </row>
    <row r="246">
      <c r="C246" s="27"/>
      <c r="D246" s="27"/>
      <c r="E246" s="27"/>
      <c r="F246" s="27"/>
      <c r="G246" s="27"/>
      <c r="H246" s="27"/>
      <c r="I246" s="518"/>
      <c r="J246" s="27"/>
      <c r="K246" s="27"/>
    </row>
    <row r="247">
      <c r="C247" s="27"/>
      <c r="D247" s="27"/>
      <c r="E247" s="27"/>
      <c r="F247" s="27"/>
      <c r="G247" s="27"/>
      <c r="H247" s="27"/>
      <c r="I247" s="518"/>
      <c r="J247" s="27"/>
      <c r="K247" s="27"/>
    </row>
    <row r="248">
      <c r="C248" s="27"/>
      <c r="D248" s="27"/>
      <c r="E248" s="27"/>
      <c r="F248" s="27"/>
      <c r="G248" s="27"/>
      <c r="H248" s="27"/>
      <c r="I248" s="518"/>
      <c r="J248" s="27"/>
      <c r="K248" s="27"/>
    </row>
    <row r="249">
      <c r="C249" s="27"/>
      <c r="D249" s="27"/>
      <c r="E249" s="27"/>
      <c r="F249" s="27"/>
      <c r="G249" s="27"/>
      <c r="H249" s="27"/>
      <c r="I249" s="518"/>
      <c r="J249" s="27"/>
      <c r="K249" s="27"/>
    </row>
    <row r="250">
      <c r="C250" s="27"/>
      <c r="D250" s="27"/>
      <c r="E250" s="27"/>
      <c r="F250" s="27"/>
      <c r="G250" s="27"/>
      <c r="H250" s="27"/>
      <c r="I250" s="518"/>
      <c r="J250" s="27"/>
      <c r="K250" s="27"/>
    </row>
    <row r="251">
      <c r="C251" s="27"/>
      <c r="D251" s="27"/>
      <c r="E251" s="27"/>
      <c r="F251" s="27"/>
      <c r="G251" s="27"/>
      <c r="H251" s="27"/>
      <c r="I251" s="518"/>
      <c r="J251" s="27"/>
      <c r="K251" s="27"/>
    </row>
    <row r="252">
      <c r="C252" s="27"/>
      <c r="D252" s="27"/>
      <c r="E252" s="27"/>
      <c r="F252" s="27"/>
      <c r="G252" s="27"/>
      <c r="H252" s="27"/>
      <c r="I252" s="518"/>
      <c r="J252" s="27"/>
      <c r="K252" s="27"/>
    </row>
    <row r="253">
      <c r="C253" s="27"/>
      <c r="D253" s="27"/>
      <c r="E253" s="27"/>
      <c r="F253" s="27"/>
      <c r="G253" s="27"/>
      <c r="H253" s="27"/>
      <c r="I253" s="518"/>
      <c r="J253" s="27"/>
      <c r="K253" s="27"/>
    </row>
    <row r="254">
      <c r="C254" s="27"/>
      <c r="D254" s="27"/>
      <c r="E254" s="27"/>
      <c r="F254" s="27"/>
      <c r="G254" s="27"/>
      <c r="H254" s="27"/>
      <c r="I254" s="518"/>
      <c r="J254" s="27"/>
      <c r="K254" s="27"/>
    </row>
    <row r="255">
      <c r="C255" s="27"/>
      <c r="D255" s="27"/>
      <c r="E255" s="27"/>
      <c r="F255" s="27"/>
      <c r="G255" s="27"/>
      <c r="H255" s="27"/>
      <c r="I255" s="518"/>
      <c r="J255" s="27"/>
      <c r="K255" s="27"/>
    </row>
    <row r="256">
      <c r="C256" s="27"/>
      <c r="D256" s="27"/>
      <c r="E256" s="27"/>
      <c r="F256" s="27"/>
      <c r="G256" s="27"/>
      <c r="H256" s="27"/>
      <c r="I256" s="518"/>
      <c r="J256" s="27"/>
      <c r="K256" s="27"/>
    </row>
    <row r="257">
      <c r="C257" s="27"/>
      <c r="D257" s="27"/>
      <c r="E257" s="27"/>
      <c r="F257" s="27"/>
      <c r="G257" s="27"/>
      <c r="H257" s="27"/>
      <c r="I257" s="518"/>
      <c r="J257" s="27"/>
      <c r="K257" s="27"/>
    </row>
    <row r="258">
      <c r="C258" s="27"/>
      <c r="D258" s="27"/>
      <c r="E258" s="27"/>
      <c r="F258" s="27"/>
      <c r="G258" s="27"/>
      <c r="H258" s="27"/>
      <c r="I258" s="518"/>
      <c r="J258" s="27"/>
      <c r="K258" s="27"/>
    </row>
    <row r="259">
      <c r="C259" s="27"/>
      <c r="D259" s="27"/>
      <c r="E259" s="27"/>
      <c r="F259" s="27"/>
      <c r="G259" s="27"/>
      <c r="H259" s="27"/>
      <c r="I259" s="518"/>
      <c r="J259" s="27"/>
      <c r="K259" s="27"/>
    </row>
    <row r="260">
      <c r="C260" s="27"/>
      <c r="D260" s="27"/>
      <c r="E260" s="27"/>
      <c r="F260" s="27"/>
      <c r="G260" s="27"/>
      <c r="H260" s="27"/>
      <c r="I260" s="518"/>
      <c r="J260" s="27"/>
      <c r="K260" s="27"/>
    </row>
    <row r="261">
      <c r="C261" s="27"/>
      <c r="D261" s="27"/>
      <c r="E261" s="27"/>
      <c r="F261" s="27"/>
      <c r="G261" s="27"/>
      <c r="H261" s="27"/>
      <c r="I261" s="518"/>
      <c r="J261" s="27"/>
      <c r="K261" s="27"/>
    </row>
    <row r="262">
      <c r="C262" s="27"/>
      <c r="D262" s="27"/>
      <c r="E262" s="27"/>
      <c r="F262" s="27"/>
      <c r="G262" s="27"/>
      <c r="H262" s="27"/>
      <c r="I262" s="518"/>
      <c r="J262" s="27"/>
      <c r="K262" s="27"/>
    </row>
    <row r="263">
      <c r="C263" s="27"/>
      <c r="D263" s="27"/>
      <c r="E263" s="27"/>
      <c r="F263" s="27"/>
      <c r="G263" s="27"/>
      <c r="H263" s="27"/>
      <c r="I263" s="518"/>
      <c r="J263" s="27"/>
      <c r="K263" s="27"/>
    </row>
    <row r="264">
      <c r="C264" s="27"/>
      <c r="D264" s="27"/>
      <c r="E264" s="27"/>
      <c r="F264" s="27"/>
      <c r="G264" s="27"/>
      <c r="H264" s="27"/>
      <c r="I264" s="518"/>
      <c r="J264" s="27"/>
      <c r="K264" s="27"/>
    </row>
    <row r="265">
      <c r="C265" s="27"/>
      <c r="D265" s="27"/>
      <c r="E265" s="27"/>
      <c r="F265" s="27"/>
      <c r="G265" s="27"/>
      <c r="H265" s="27"/>
      <c r="I265" s="518"/>
      <c r="J265" s="27"/>
      <c r="K265" s="27"/>
    </row>
    <row r="266">
      <c r="C266" s="27"/>
      <c r="D266" s="27"/>
      <c r="E266" s="27"/>
      <c r="F266" s="27"/>
      <c r="G266" s="27"/>
      <c r="H266" s="27"/>
      <c r="I266" s="518"/>
      <c r="J266" s="27"/>
      <c r="K266" s="27"/>
    </row>
    <row r="267">
      <c r="C267" s="27"/>
      <c r="D267" s="27"/>
      <c r="E267" s="27"/>
      <c r="F267" s="27"/>
      <c r="G267" s="27"/>
      <c r="H267" s="27"/>
      <c r="I267" s="518"/>
      <c r="J267" s="27"/>
      <c r="K267" s="27"/>
    </row>
    <row r="268">
      <c r="C268" s="27"/>
      <c r="D268" s="27"/>
      <c r="E268" s="27"/>
      <c r="F268" s="27"/>
      <c r="G268" s="27"/>
      <c r="H268" s="27"/>
      <c r="I268" s="518"/>
      <c r="J268" s="27"/>
      <c r="K268" s="27"/>
    </row>
    <row r="269">
      <c r="C269" s="27"/>
      <c r="D269" s="27"/>
      <c r="E269" s="27"/>
      <c r="F269" s="27"/>
      <c r="G269" s="27"/>
      <c r="H269" s="27"/>
      <c r="I269" s="518"/>
      <c r="J269" s="27"/>
      <c r="K269" s="27"/>
    </row>
    <row r="270">
      <c r="C270" s="27"/>
      <c r="D270" s="27"/>
      <c r="E270" s="27"/>
      <c r="F270" s="27"/>
      <c r="G270" s="27"/>
      <c r="H270" s="27"/>
      <c r="I270" s="518"/>
      <c r="J270" s="27"/>
      <c r="K270" s="27"/>
    </row>
    <row r="271">
      <c r="C271" s="27"/>
      <c r="D271" s="27"/>
      <c r="E271" s="27"/>
      <c r="F271" s="27"/>
      <c r="G271" s="27"/>
      <c r="H271" s="27"/>
      <c r="I271" s="518"/>
      <c r="J271" s="27"/>
      <c r="K271" s="27"/>
    </row>
    <row r="272">
      <c r="C272" s="27"/>
      <c r="D272" s="27"/>
      <c r="E272" s="27"/>
      <c r="F272" s="27"/>
      <c r="G272" s="27"/>
      <c r="H272" s="27"/>
      <c r="I272" s="518"/>
      <c r="J272" s="27"/>
      <c r="K272" s="27"/>
    </row>
    <row r="273">
      <c r="C273" s="27"/>
      <c r="D273" s="27"/>
      <c r="E273" s="27"/>
      <c r="F273" s="27"/>
      <c r="G273" s="27"/>
      <c r="H273" s="27"/>
      <c r="I273" s="518"/>
      <c r="J273" s="27"/>
      <c r="K273" s="27"/>
    </row>
    <row r="274">
      <c r="C274" s="27"/>
      <c r="D274" s="27"/>
      <c r="E274" s="27"/>
      <c r="F274" s="27"/>
      <c r="G274" s="27"/>
      <c r="H274" s="27"/>
      <c r="I274" s="518"/>
      <c r="J274" s="27"/>
      <c r="K274" s="27"/>
    </row>
    <row r="275">
      <c r="C275" s="27"/>
      <c r="D275" s="27"/>
      <c r="E275" s="27"/>
      <c r="F275" s="27"/>
      <c r="G275" s="27"/>
      <c r="H275" s="27"/>
      <c r="I275" s="518"/>
      <c r="J275" s="27"/>
      <c r="K275" s="27"/>
    </row>
    <row r="276">
      <c r="C276" s="27"/>
      <c r="D276" s="27"/>
      <c r="E276" s="27"/>
      <c r="F276" s="27"/>
      <c r="G276" s="27"/>
      <c r="H276" s="27"/>
      <c r="I276" s="518"/>
      <c r="J276" s="27"/>
      <c r="K276" s="27"/>
    </row>
    <row r="277">
      <c r="C277" s="27"/>
      <c r="D277" s="27"/>
      <c r="E277" s="27"/>
      <c r="F277" s="27"/>
      <c r="G277" s="27"/>
      <c r="H277" s="27"/>
      <c r="I277" s="518"/>
      <c r="J277" s="27"/>
      <c r="K277" s="27"/>
    </row>
    <row r="278">
      <c r="C278" s="27"/>
      <c r="D278" s="27"/>
      <c r="E278" s="27"/>
      <c r="F278" s="27"/>
      <c r="G278" s="27"/>
      <c r="H278" s="27"/>
      <c r="I278" s="518"/>
      <c r="J278" s="27"/>
      <c r="K278" s="27"/>
    </row>
    <row r="279">
      <c r="C279" s="27"/>
      <c r="D279" s="27"/>
      <c r="E279" s="27"/>
      <c r="F279" s="27"/>
      <c r="G279" s="27"/>
      <c r="H279" s="27"/>
      <c r="I279" s="518"/>
      <c r="J279" s="27"/>
      <c r="K279" s="27"/>
    </row>
    <row r="280">
      <c r="C280" s="27"/>
      <c r="D280" s="27"/>
      <c r="E280" s="27"/>
      <c r="F280" s="27"/>
      <c r="G280" s="27"/>
      <c r="H280" s="27"/>
      <c r="I280" s="518"/>
      <c r="J280" s="27"/>
      <c r="K280" s="27"/>
    </row>
    <row r="281">
      <c r="C281" s="27"/>
      <c r="D281" s="27"/>
      <c r="E281" s="27"/>
      <c r="F281" s="27"/>
      <c r="G281" s="27"/>
      <c r="H281" s="27"/>
      <c r="I281" s="518"/>
      <c r="J281" s="27"/>
      <c r="K281" s="27"/>
    </row>
    <row r="282">
      <c r="C282" s="27"/>
      <c r="D282" s="27"/>
      <c r="E282" s="27"/>
      <c r="F282" s="27"/>
      <c r="G282" s="27"/>
      <c r="H282" s="27"/>
      <c r="I282" s="518"/>
      <c r="J282" s="27"/>
      <c r="K282" s="27"/>
    </row>
    <row r="283">
      <c r="C283" s="27"/>
      <c r="D283" s="27"/>
      <c r="E283" s="27"/>
      <c r="F283" s="27"/>
      <c r="G283" s="27"/>
      <c r="H283" s="27"/>
      <c r="I283" s="518"/>
      <c r="J283" s="27"/>
      <c r="K283" s="27"/>
    </row>
    <row r="284">
      <c r="C284" s="27"/>
      <c r="D284" s="27"/>
      <c r="E284" s="27"/>
      <c r="F284" s="27"/>
      <c r="G284" s="27"/>
      <c r="H284" s="27"/>
      <c r="I284" s="518"/>
      <c r="J284" s="27"/>
      <c r="K284" s="27"/>
    </row>
    <row r="285">
      <c r="C285" s="27"/>
      <c r="D285" s="27"/>
      <c r="E285" s="27"/>
      <c r="F285" s="27"/>
      <c r="G285" s="27"/>
      <c r="H285" s="27"/>
      <c r="I285" s="518"/>
      <c r="J285" s="27"/>
      <c r="K285" s="27"/>
    </row>
    <row r="286">
      <c r="C286" s="27"/>
      <c r="D286" s="27"/>
      <c r="E286" s="27"/>
      <c r="F286" s="27"/>
      <c r="G286" s="27"/>
      <c r="H286" s="27"/>
      <c r="I286" s="518"/>
      <c r="J286" s="27"/>
      <c r="K286" s="27"/>
    </row>
    <row r="287">
      <c r="C287" s="27"/>
      <c r="D287" s="27"/>
      <c r="E287" s="27"/>
      <c r="F287" s="27"/>
      <c r="G287" s="27"/>
      <c r="H287" s="27"/>
      <c r="I287" s="518"/>
      <c r="J287" s="27"/>
      <c r="K287" s="27"/>
    </row>
    <row r="288">
      <c r="C288" s="27"/>
      <c r="D288" s="27"/>
      <c r="E288" s="27"/>
      <c r="F288" s="27"/>
      <c r="G288" s="27"/>
      <c r="H288" s="27"/>
      <c r="I288" s="518"/>
      <c r="J288" s="27"/>
      <c r="K288" s="27"/>
    </row>
    <row r="289">
      <c r="C289" s="27"/>
      <c r="D289" s="27"/>
      <c r="E289" s="27"/>
      <c r="F289" s="27"/>
      <c r="G289" s="27"/>
      <c r="H289" s="27"/>
      <c r="I289" s="518"/>
      <c r="J289" s="27"/>
      <c r="K289" s="27"/>
    </row>
    <row r="290">
      <c r="C290" s="27"/>
      <c r="D290" s="27"/>
      <c r="E290" s="27"/>
      <c r="F290" s="27"/>
      <c r="G290" s="27"/>
      <c r="H290" s="27"/>
      <c r="I290" s="518"/>
      <c r="J290" s="27"/>
      <c r="K290" s="27"/>
    </row>
    <row r="291">
      <c r="C291" s="27"/>
      <c r="D291" s="27"/>
      <c r="E291" s="27"/>
      <c r="F291" s="27"/>
      <c r="G291" s="27"/>
      <c r="H291" s="27"/>
      <c r="I291" s="518"/>
      <c r="J291" s="27"/>
      <c r="K291" s="27"/>
    </row>
    <row r="292">
      <c r="C292" s="27"/>
      <c r="D292" s="27"/>
      <c r="E292" s="27"/>
      <c r="F292" s="27"/>
      <c r="G292" s="27"/>
      <c r="H292" s="27"/>
      <c r="I292" s="518"/>
      <c r="J292" s="27"/>
      <c r="K292" s="27"/>
    </row>
    <row r="293">
      <c r="C293" s="27"/>
      <c r="D293" s="27"/>
      <c r="E293" s="27"/>
      <c r="F293" s="27"/>
      <c r="G293" s="27"/>
      <c r="H293" s="27"/>
      <c r="I293" s="518"/>
      <c r="J293" s="27"/>
      <c r="K293" s="27"/>
    </row>
    <row r="294">
      <c r="C294" s="27"/>
      <c r="D294" s="27"/>
      <c r="E294" s="27"/>
      <c r="F294" s="27"/>
      <c r="G294" s="27"/>
      <c r="H294" s="27"/>
      <c r="I294" s="518"/>
      <c r="J294" s="27"/>
      <c r="K294" s="27"/>
    </row>
    <row r="295">
      <c r="C295" s="27"/>
      <c r="D295" s="27"/>
      <c r="E295" s="27"/>
      <c r="F295" s="27"/>
      <c r="G295" s="27"/>
      <c r="H295" s="27"/>
      <c r="I295" s="518"/>
      <c r="J295" s="27"/>
      <c r="K295" s="27"/>
    </row>
    <row r="296">
      <c r="C296" s="27"/>
      <c r="D296" s="27"/>
      <c r="E296" s="27"/>
      <c r="F296" s="27"/>
      <c r="G296" s="27"/>
      <c r="H296" s="27"/>
      <c r="I296" s="518"/>
      <c r="J296" s="27"/>
      <c r="K296" s="27"/>
    </row>
    <row r="297">
      <c r="C297" s="27"/>
      <c r="D297" s="27"/>
      <c r="E297" s="27"/>
      <c r="F297" s="27"/>
      <c r="G297" s="27"/>
      <c r="H297" s="27"/>
      <c r="I297" s="518"/>
      <c r="J297" s="27"/>
      <c r="K297" s="27"/>
    </row>
    <row r="298">
      <c r="C298" s="27"/>
      <c r="D298" s="27"/>
      <c r="E298" s="27"/>
      <c r="F298" s="27"/>
      <c r="G298" s="27"/>
      <c r="H298" s="27"/>
      <c r="I298" s="518"/>
      <c r="J298" s="27"/>
      <c r="K298" s="27"/>
    </row>
    <row r="299">
      <c r="C299" s="27"/>
      <c r="D299" s="27"/>
      <c r="E299" s="27"/>
      <c r="F299" s="27"/>
      <c r="G299" s="27"/>
      <c r="H299" s="27"/>
      <c r="I299" s="518"/>
      <c r="J299" s="27"/>
      <c r="K299" s="27"/>
    </row>
    <row r="300">
      <c r="C300" s="27"/>
      <c r="D300" s="27"/>
      <c r="E300" s="27"/>
      <c r="F300" s="27"/>
      <c r="G300" s="27"/>
      <c r="H300" s="27"/>
      <c r="I300" s="518"/>
      <c r="J300" s="27"/>
      <c r="K300" s="27"/>
    </row>
    <row r="301">
      <c r="C301" s="27"/>
      <c r="D301" s="27"/>
      <c r="E301" s="27"/>
      <c r="F301" s="27"/>
      <c r="G301" s="27"/>
      <c r="H301" s="27"/>
      <c r="I301" s="518"/>
      <c r="J301" s="27"/>
      <c r="K301" s="27"/>
    </row>
    <row r="302">
      <c r="C302" s="27"/>
      <c r="D302" s="27"/>
      <c r="E302" s="27"/>
      <c r="F302" s="27"/>
      <c r="G302" s="27"/>
      <c r="H302" s="27"/>
      <c r="I302" s="518"/>
      <c r="J302" s="27"/>
      <c r="K302" s="27"/>
    </row>
    <row r="303">
      <c r="C303" s="27"/>
      <c r="D303" s="27"/>
      <c r="E303" s="27"/>
      <c r="F303" s="27"/>
      <c r="G303" s="27"/>
      <c r="H303" s="27"/>
      <c r="I303" s="518"/>
      <c r="J303" s="27"/>
      <c r="K303" s="27"/>
    </row>
    <row r="304">
      <c r="C304" s="27"/>
      <c r="D304" s="27"/>
      <c r="E304" s="27"/>
      <c r="F304" s="27"/>
      <c r="G304" s="27"/>
      <c r="H304" s="27"/>
      <c r="I304" s="518"/>
      <c r="J304" s="27"/>
      <c r="K304" s="27"/>
    </row>
    <row r="305">
      <c r="C305" s="27"/>
      <c r="D305" s="27"/>
      <c r="E305" s="27"/>
      <c r="F305" s="27"/>
      <c r="G305" s="27"/>
      <c r="H305" s="27"/>
      <c r="I305" s="518"/>
      <c r="J305" s="27"/>
      <c r="K305" s="27"/>
    </row>
    <row r="306">
      <c r="C306" s="27"/>
      <c r="D306" s="27"/>
      <c r="E306" s="27"/>
      <c r="F306" s="27"/>
      <c r="G306" s="27"/>
      <c r="H306" s="27"/>
      <c r="I306" s="518"/>
      <c r="J306" s="27"/>
      <c r="K306" s="27"/>
    </row>
    <row r="307">
      <c r="C307" s="27"/>
      <c r="D307" s="27"/>
      <c r="E307" s="27"/>
      <c r="F307" s="27"/>
      <c r="G307" s="27"/>
      <c r="H307" s="27"/>
      <c r="I307" s="518"/>
      <c r="J307" s="27"/>
      <c r="K307" s="27"/>
    </row>
    <row r="308">
      <c r="C308" s="27"/>
      <c r="D308" s="27"/>
      <c r="E308" s="27"/>
      <c r="F308" s="27"/>
      <c r="G308" s="27"/>
      <c r="H308" s="27"/>
      <c r="I308" s="518"/>
      <c r="J308" s="27"/>
      <c r="K308" s="27"/>
    </row>
    <row r="309">
      <c r="C309" s="27"/>
      <c r="D309" s="27"/>
      <c r="E309" s="27"/>
      <c r="F309" s="27"/>
      <c r="G309" s="27"/>
      <c r="H309" s="27"/>
      <c r="I309" s="518"/>
      <c r="J309" s="27"/>
      <c r="K309" s="27"/>
    </row>
    <row r="310">
      <c r="C310" s="27"/>
      <c r="D310" s="27"/>
      <c r="E310" s="27"/>
      <c r="F310" s="27"/>
      <c r="G310" s="27"/>
      <c r="H310" s="27"/>
      <c r="I310" s="518"/>
      <c r="J310" s="27"/>
      <c r="K310" s="27"/>
    </row>
    <row r="311">
      <c r="C311" s="27"/>
      <c r="D311" s="27"/>
      <c r="E311" s="27"/>
      <c r="F311" s="27"/>
      <c r="G311" s="27"/>
      <c r="H311" s="27"/>
      <c r="I311" s="518"/>
      <c r="J311" s="27"/>
      <c r="K311" s="27"/>
    </row>
    <row r="312">
      <c r="C312" s="27"/>
      <c r="D312" s="27"/>
      <c r="E312" s="27"/>
      <c r="F312" s="27"/>
      <c r="G312" s="27"/>
      <c r="H312" s="27"/>
      <c r="I312" s="518"/>
      <c r="J312" s="27"/>
      <c r="K312" s="27"/>
    </row>
    <row r="313">
      <c r="C313" s="27"/>
      <c r="D313" s="27"/>
      <c r="E313" s="27"/>
      <c r="F313" s="27"/>
      <c r="G313" s="27"/>
      <c r="H313" s="27"/>
      <c r="I313" s="518"/>
      <c r="J313" s="27"/>
      <c r="K313" s="27"/>
    </row>
    <row r="314">
      <c r="C314" s="27"/>
      <c r="D314" s="27"/>
      <c r="E314" s="27"/>
      <c r="F314" s="27"/>
      <c r="G314" s="27"/>
      <c r="H314" s="27"/>
      <c r="I314" s="518"/>
      <c r="J314" s="27"/>
      <c r="K314" s="27"/>
    </row>
    <row r="315">
      <c r="C315" s="27"/>
      <c r="D315" s="27"/>
      <c r="E315" s="27"/>
      <c r="F315" s="27"/>
      <c r="G315" s="27"/>
      <c r="H315" s="27"/>
      <c r="I315" s="518"/>
      <c r="J315" s="27"/>
      <c r="K315" s="27"/>
    </row>
    <row r="316">
      <c r="C316" s="27"/>
      <c r="D316" s="27"/>
      <c r="E316" s="27"/>
      <c r="F316" s="27"/>
      <c r="G316" s="27"/>
      <c r="H316" s="27"/>
      <c r="I316" s="518"/>
      <c r="J316" s="27"/>
      <c r="K316" s="27"/>
    </row>
    <row r="317">
      <c r="C317" s="27"/>
      <c r="D317" s="27"/>
      <c r="E317" s="27"/>
      <c r="F317" s="27"/>
      <c r="G317" s="27"/>
      <c r="H317" s="27"/>
      <c r="I317" s="518"/>
      <c r="J317" s="27"/>
      <c r="K317" s="27"/>
    </row>
    <row r="318">
      <c r="C318" s="27"/>
      <c r="D318" s="27"/>
      <c r="E318" s="27"/>
      <c r="F318" s="27"/>
      <c r="G318" s="27"/>
      <c r="H318" s="27"/>
      <c r="I318" s="518"/>
      <c r="J318" s="27"/>
      <c r="K318" s="27"/>
    </row>
    <row r="319">
      <c r="C319" s="27"/>
      <c r="D319" s="27"/>
      <c r="E319" s="27"/>
      <c r="F319" s="27"/>
      <c r="G319" s="27"/>
      <c r="H319" s="27"/>
      <c r="I319" s="518"/>
      <c r="J319" s="27"/>
      <c r="K319" s="27"/>
    </row>
    <row r="320">
      <c r="C320" s="27"/>
      <c r="D320" s="27"/>
      <c r="E320" s="27"/>
      <c r="F320" s="27"/>
      <c r="G320" s="27"/>
      <c r="H320" s="27"/>
      <c r="I320" s="518"/>
      <c r="J320" s="27"/>
      <c r="K320" s="27"/>
    </row>
    <row r="321">
      <c r="C321" s="27"/>
      <c r="D321" s="27"/>
      <c r="E321" s="27"/>
      <c r="F321" s="27"/>
      <c r="G321" s="27"/>
      <c r="H321" s="27"/>
      <c r="I321" s="518"/>
      <c r="J321" s="27"/>
      <c r="K321" s="27"/>
    </row>
    <row r="322">
      <c r="C322" s="27"/>
      <c r="D322" s="27"/>
      <c r="E322" s="27"/>
      <c r="F322" s="27"/>
      <c r="G322" s="27"/>
      <c r="H322" s="27"/>
      <c r="I322" s="518"/>
      <c r="J322" s="27"/>
      <c r="K322" s="27"/>
    </row>
    <row r="323">
      <c r="C323" s="27"/>
      <c r="D323" s="27"/>
      <c r="E323" s="27"/>
      <c r="F323" s="27"/>
      <c r="G323" s="27"/>
      <c r="H323" s="27"/>
      <c r="I323" s="518"/>
      <c r="J323" s="27"/>
      <c r="K323" s="27"/>
    </row>
    <row r="324">
      <c r="C324" s="27"/>
      <c r="D324" s="27"/>
      <c r="E324" s="27"/>
      <c r="F324" s="27"/>
      <c r="G324" s="27"/>
      <c r="H324" s="27"/>
      <c r="I324" s="518"/>
      <c r="J324" s="27"/>
      <c r="K324" s="27"/>
    </row>
    <row r="325">
      <c r="C325" s="27"/>
      <c r="D325" s="27"/>
      <c r="E325" s="27"/>
      <c r="F325" s="27"/>
      <c r="G325" s="27"/>
      <c r="H325" s="27"/>
      <c r="I325" s="518"/>
      <c r="J325" s="27"/>
      <c r="K325" s="27"/>
    </row>
    <row r="326">
      <c r="C326" s="27"/>
      <c r="D326" s="27"/>
      <c r="E326" s="27"/>
      <c r="F326" s="27"/>
      <c r="G326" s="27"/>
      <c r="H326" s="27"/>
      <c r="I326" s="518"/>
      <c r="J326" s="27"/>
      <c r="K326" s="27"/>
    </row>
    <row r="327">
      <c r="C327" s="27"/>
      <c r="D327" s="27"/>
      <c r="E327" s="27"/>
      <c r="F327" s="27"/>
      <c r="G327" s="27"/>
      <c r="H327" s="27"/>
      <c r="I327" s="518"/>
      <c r="J327" s="27"/>
      <c r="K327" s="27"/>
    </row>
    <row r="328">
      <c r="C328" s="27"/>
      <c r="D328" s="27"/>
      <c r="E328" s="27"/>
      <c r="F328" s="27"/>
      <c r="G328" s="27"/>
      <c r="H328" s="27"/>
      <c r="I328" s="518"/>
      <c r="J328" s="27"/>
      <c r="K328" s="27"/>
    </row>
    <row r="329">
      <c r="C329" s="27"/>
      <c r="D329" s="27"/>
      <c r="E329" s="27"/>
      <c r="F329" s="27"/>
      <c r="G329" s="27"/>
      <c r="H329" s="27"/>
      <c r="I329" s="518"/>
      <c r="J329" s="27"/>
      <c r="K329" s="27"/>
    </row>
    <row r="330">
      <c r="C330" s="27"/>
      <c r="D330" s="27"/>
      <c r="E330" s="27"/>
      <c r="F330" s="27"/>
      <c r="G330" s="27"/>
      <c r="H330" s="27"/>
      <c r="I330" s="518"/>
      <c r="J330" s="27"/>
      <c r="K330" s="27"/>
    </row>
    <row r="331">
      <c r="C331" s="27"/>
      <c r="D331" s="27"/>
      <c r="E331" s="27"/>
      <c r="F331" s="27"/>
      <c r="G331" s="27"/>
      <c r="H331" s="27"/>
      <c r="I331" s="518"/>
      <c r="J331" s="27"/>
      <c r="K331" s="27"/>
    </row>
    <row r="332">
      <c r="C332" s="27"/>
      <c r="D332" s="27"/>
      <c r="E332" s="27"/>
      <c r="F332" s="27"/>
      <c r="G332" s="27"/>
      <c r="H332" s="27"/>
      <c r="I332" s="518"/>
      <c r="J332" s="27"/>
      <c r="K332" s="27"/>
    </row>
    <row r="333">
      <c r="C333" s="27"/>
      <c r="D333" s="27"/>
      <c r="E333" s="27"/>
      <c r="F333" s="27"/>
      <c r="G333" s="27"/>
      <c r="H333" s="27"/>
      <c r="I333" s="518"/>
      <c r="J333" s="27"/>
      <c r="K333" s="27"/>
    </row>
    <row r="334">
      <c r="C334" s="27"/>
      <c r="D334" s="27"/>
      <c r="E334" s="27"/>
      <c r="F334" s="27"/>
      <c r="G334" s="27"/>
      <c r="H334" s="27"/>
      <c r="I334" s="518"/>
      <c r="J334" s="27"/>
      <c r="K334" s="27"/>
    </row>
    <row r="335">
      <c r="C335" s="27"/>
      <c r="D335" s="27"/>
      <c r="E335" s="27"/>
      <c r="F335" s="27"/>
      <c r="G335" s="27"/>
      <c r="H335" s="27"/>
      <c r="I335" s="518"/>
      <c r="J335" s="27"/>
      <c r="K335" s="27"/>
    </row>
    <row r="336">
      <c r="C336" s="27"/>
      <c r="D336" s="27"/>
      <c r="E336" s="27"/>
      <c r="F336" s="27"/>
      <c r="G336" s="27"/>
      <c r="H336" s="27"/>
      <c r="I336" s="518"/>
      <c r="J336" s="27"/>
      <c r="K336" s="27"/>
    </row>
    <row r="337">
      <c r="C337" s="27"/>
      <c r="D337" s="27"/>
      <c r="E337" s="27"/>
      <c r="F337" s="27"/>
      <c r="G337" s="27"/>
      <c r="H337" s="27"/>
      <c r="I337" s="518"/>
      <c r="J337" s="27"/>
      <c r="K337" s="27"/>
    </row>
    <row r="338">
      <c r="C338" s="27"/>
      <c r="D338" s="27"/>
      <c r="E338" s="27"/>
      <c r="F338" s="27"/>
      <c r="G338" s="27"/>
      <c r="H338" s="27"/>
      <c r="I338" s="518"/>
      <c r="J338" s="27"/>
      <c r="K338" s="27"/>
    </row>
    <row r="339">
      <c r="C339" s="27"/>
      <c r="D339" s="27"/>
      <c r="E339" s="27"/>
      <c r="F339" s="27"/>
      <c r="G339" s="27"/>
      <c r="H339" s="27"/>
      <c r="I339" s="518"/>
      <c r="J339" s="27"/>
      <c r="K339" s="27"/>
    </row>
    <row r="340">
      <c r="C340" s="27"/>
      <c r="D340" s="27"/>
      <c r="E340" s="27"/>
      <c r="F340" s="27"/>
      <c r="G340" s="27"/>
      <c r="H340" s="27"/>
      <c r="I340" s="518"/>
      <c r="J340" s="27"/>
      <c r="K340" s="27"/>
    </row>
    <row r="341">
      <c r="C341" s="27"/>
      <c r="D341" s="27"/>
      <c r="E341" s="27"/>
      <c r="F341" s="27"/>
      <c r="G341" s="27"/>
      <c r="H341" s="27"/>
      <c r="I341" s="518"/>
      <c r="J341" s="27"/>
      <c r="K341" s="27"/>
    </row>
    <row r="342">
      <c r="C342" s="27"/>
      <c r="D342" s="27"/>
      <c r="E342" s="27"/>
      <c r="F342" s="27"/>
      <c r="G342" s="27"/>
      <c r="H342" s="27"/>
      <c r="I342" s="518"/>
      <c r="J342" s="27"/>
      <c r="K342" s="27"/>
    </row>
    <row r="343">
      <c r="C343" s="27"/>
      <c r="D343" s="27"/>
      <c r="E343" s="27"/>
      <c r="F343" s="27"/>
      <c r="G343" s="27"/>
      <c r="H343" s="27"/>
      <c r="I343" s="518"/>
      <c r="J343" s="27"/>
      <c r="K343" s="27"/>
    </row>
    <row r="344">
      <c r="C344" s="27"/>
      <c r="D344" s="27"/>
      <c r="E344" s="27"/>
      <c r="F344" s="27"/>
      <c r="G344" s="27"/>
      <c r="H344" s="27"/>
      <c r="I344" s="518"/>
      <c r="J344" s="27"/>
      <c r="K344" s="27"/>
    </row>
    <row r="345">
      <c r="C345" s="27"/>
      <c r="D345" s="27"/>
      <c r="E345" s="27"/>
      <c r="F345" s="27"/>
      <c r="G345" s="27"/>
      <c r="H345" s="27"/>
      <c r="I345" s="518"/>
      <c r="J345" s="27"/>
      <c r="K345" s="27"/>
    </row>
    <row r="346">
      <c r="C346" s="27"/>
      <c r="D346" s="27"/>
      <c r="E346" s="27"/>
      <c r="F346" s="27"/>
      <c r="G346" s="27"/>
      <c r="H346" s="27"/>
      <c r="I346" s="518"/>
      <c r="J346" s="27"/>
      <c r="K346" s="27"/>
    </row>
    <row r="347">
      <c r="C347" s="27"/>
      <c r="D347" s="27"/>
      <c r="E347" s="27"/>
      <c r="F347" s="27"/>
      <c r="G347" s="27"/>
      <c r="H347" s="27"/>
      <c r="I347" s="518"/>
      <c r="J347" s="27"/>
      <c r="K347" s="27"/>
    </row>
    <row r="348">
      <c r="C348" s="27"/>
      <c r="D348" s="27"/>
      <c r="E348" s="27"/>
      <c r="F348" s="27"/>
      <c r="G348" s="27"/>
      <c r="H348" s="27"/>
      <c r="I348" s="518"/>
      <c r="J348" s="27"/>
      <c r="K348" s="27"/>
    </row>
    <row r="349">
      <c r="C349" s="27"/>
      <c r="D349" s="27"/>
      <c r="E349" s="27"/>
      <c r="F349" s="27"/>
      <c r="G349" s="27"/>
      <c r="H349" s="27"/>
      <c r="I349" s="518"/>
      <c r="J349" s="27"/>
      <c r="K349" s="27"/>
    </row>
    <row r="350">
      <c r="C350" s="27"/>
      <c r="D350" s="27"/>
      <c r="E350" s="27"/>
      <c r="F350" s="27"/>
      <c r="G350" s="27"/>
      <c r="H350" s="27"/>
      <c r="I350" s="518"/>
      <c r="J350" s="27"/>
      <c r="K350" s="27"/>
    </row>
    <row r="351">
      <c r="C351" s="27"/>
      <c r="D351" s="27"/>
      <c r="E351" s="27"/>
      <c r="F351" s="27"/>
      <c r="G351" s="27"/>
      <c r="H351" s="27"/>
      <c r="I351" s="518"/>
      <c r="J351" s="27"/>
      <c r="K351" s="27"/>
    </row>
    <row r="352">
      <c r="C352" s="27"/>
      <c r="D352" s="27"/>
      <c r="E352" s="27"/>
      <c r="F352" s="27"/>
      <c r="G352" s="27"/>
      <c r="H352" s="27"/>
      <c r="I352" s="518"/>
      <c r="J352" s="27"/>
      <c r="K352" s="27"/>
    </row>
    <row r="353">
      <c r="C353" s="27"/>
      <c r="D353" s="27"/>
      <c r="E353" s="27"/>
      <c r="F353" s="27"/>
      <c r="G353" s="27"/>
      <c r="H353" s="27"/>
      <c r="I353" s="518"/>
      <c r="J353" s="27"/>
      <c r="K353" s="27"/>
    </row>
    <row r="354">
      <c r="C354" s="27"/>
      <c r="D354" s="27"/>
      <c r="E354" s="27"/>
      <c r="F354" s="27"/>
      <c r="G354" s="27"/>
      <c r="H354" s="27"/>
      <c r="I354" s="518"/>
      <c r="J354" s="27"/>
      <c r="K354" s="27"/>
    </row>
    <row r="355">
      <c r="C355" s="27"/>
      <c r="D355" s="27"/>
      <c r="E355" s="27"/>
      <c r="F355" s="27"/>
      <c r="G355" s="27"/>
      <c r="H355" s="27"/>
      <c r="I355" s="518"/>
      <c r="J355" s="27"/>
      <c r="K355" s="27"/>
    </row>
    <row r="356">
      <c r="C356" s="27"/>
      <c r="D356" s="27"/>
      <c r="E356" s="27"/>
      <c r="F356" s="27"/>
      <c r="G356" s="27"/>
      <c r="H356" s="27"/>
      <c r="I356" s="518"/>
      <c r="J356" s="27"/>
      <c r="K356" s="27"/>
    </row>
    <row r="357">
      <c r="C357" s="27"/>
      <c r="D357" s="27"/>
      <c r="E357" s="27"/>
      <c r="F357" s="27"/>
      <c r="G357" s="27"/>
      <c r="H357" s="27"/>
      <c r="I357" s="518"/>
      <c r="J357" s="27"/>
      <c r="K357" s="27"/>
    </row>
    <row r="358">
      <c r="C358" s="27"/>
      <c r="D358" s="27"/>
      <c r="E358" s="27"/>
      <c r="F358" s="27"/>
      <c r="G358" s="27"/>
      <c r="H358" s="27"/>
      <c r="I358" s="518"/>
      <c r="J358" s="27"/>
      <c r="K358" s="27"/>
    </row>
    <row r="359">
      <c r="C359" s="27"/>
      <c r="D359" s="27"/>
      <c r="E359" s="27"/>
      <c r="F359" s="27"/>
      <c r="G359" s="27"/>
      <c r="H359" s="27"/>
      <c r="I359" s="518"/>
      <c r="J359" s="27"/>
      <c r="K359" s="27"/>
    </row>
    <row r="360">
      <c r="C360" s="27"/>
      <c r="D360" s="27"/>
      <c r="E360" s="27"/>
      <c r="F360" s="27"/>
      <c r="G360" s="27"/>
      <c r="H360" s="27"/>
      <c r="I360" s="518"/>
      <c r="J360" s="27"/>
      <c r="K360" s="27"/>
    </row>
    <row r="361">
      <c r="C361" s="27"/>
      <c r="D361" s="27"/>
      <c r="E361" s="27"/>
      <c r="F361" s="27"/>
      <c r="G361" s="27"/>
      <c r="H361" s="27"/>
      <c r="I361" s="518"/>
      <c r="J361" s="27"/>
      <c r="K361" s="27"/>
    </row>
    <row r="362">
      <c r="C362" s="27"/>
      <c r="D362" s="27"/>
      <c r="E362" s="27"/>
      <c r="F362" s="27"/>
      <c r="G362" s="27"/>
      <c r="H362" s="27"/>
      <c r="I362" s="518"/>
      <c r="J362" s="27"/>
      <c r="K362" s="27"/>
    </row>
    <row r="363">
      <c r="C363" s="27"/>
      <c r="D363" s="27"/>
      <c r="E363" s="27"/>
      <c r="F363" s="27"/>
      <c r="G363" s="27"/>
      <c r="H363" s="27"/>
      <c r="I363" s="518"/>
      <c r="J363" s="27"/>
      <c r="K363" s="27"/>
    </row>
    <row r="364">
      <c r="C364" s="27"/>
      <c r="D364" s="27"/>
      <c r="E364" s="27"/>
      <c r="F364" s="27"/>
      <c r="G364" s="27"/>
      <c r="H364" s="27"/>
      <c r="I364" s="518"/>
      <c r="J364" s="27"/>
      <c r="K364" s="27"/>
    </row>
    <row r="365">
      <c r="C365" s="27"/>
      <c r="D365" s="27"/>
      <c r="E365" s="27"/>
      <c r="F365" s="27"/>
      <c r="G365" s="27"/>
      <c r="H365" s="27"/>
      <c r="I365" s="518"/>
      <c r="J365" s="27"/>
      <c r="K365" s="27"/>
    </row>
    <row r="366">
      <c r="C366" s="27"/>
      <c r="D366" s="27"/>
      <c r="E366" s="27"/>
      <c r="F366" s="27"/>
      <c r="G366" s="27"/>
      <c r="H366" s="27"/>
      <c r="I366" s="518"/>
      <c r="J366" s="27"/>
      <c r="K366" s="27"/>
    </row>
    <row r="367">
      <c r="C367" s="27"/>
      <c r="D367" s="27"/>
      <c r="E367" s="27"/>
      <c r="F367" s="27"/>
      <c r="G367" s="27"/>
      <c r="H367" s="27"/>
      <c r="I367" s="518"/>
      <c r="J367" s="27"/>
      <c r="K367" s="27"/>
    </row>
    <row r="368">
      <c r="C368" s="27"/>
      <c r="D368" s="27"/>
      <c r="E368" s="27"/>
      <c r="F368" s="27"/>
      <c r="G368" s="27"/>
      <c r="H368" s="27"/>
      <c r="I368" s="518"/>
      <c r="J368" s="27"/>
      <c r="K368" s="27"/>
    </row>
    <row r="369">
      <c r="C369" s="27"/>
      <c r="D369" s="27"/>
      <c r="E369" s="27"/>
      <c r="F369" s="27"/>
      <c r="G369" s="27"/>
      <c r="H369" s="27"/>
      <c r="I369" s="518"/>
      <c r="J369" s="27"/>
      <c r="K369" s="27"/>
    </row>
    <row r="370">
      <c r="C370" s="27"/>
      <c r="D370" s="27"/>
      <c r="E370" s="27"/>
      <c r="F370" s="27"/>
      <c r="G370" s="27"/>
      <c r="H370" s="27"/>
      <c r="I370" s="518"/>
      <c r="J370" s="27"/>
      <c r="K370" s="27"/>
    </row>
    <row r="371">
      <c r="C371" s="27"/>
      <c r="D371" s="27"/>
      <c r="E371" s="27"/>
      <c r="F371" s="27"/>
      <c r="G371" s="27"/>
      <c r="H371" s="27"/>
      <c r="I371" s="518"/>
      <c r="J371" s="27"/>
      <c r="K371" s="27"/>
    </row>
    <row r="372">
      <c r="C372" s="27"/>
      <c r="D372" s="27"/>
      <c r="E372" s="27"/>
      <c r="F372" s="27"/>
      <c r="G372" s="27"/>
      <c r="H372" s="27"/>
      <c r="I372" s="518"/>
      <c r="J372" s="27"/>
      <c r="K372" s="27"/>
    </row>
    <row r="373">
      <c r="C373" s="27"/>
      <c r="D373" s="27"/>
      <c r="E373" s="27"/>
      <c r="F373" s="27"/>
      <c r="G373" s="27"/>
      <c r="H373" s="27"/>
      <c r="I373" s="518"/>
      <c r="J373" s="27"/>
      <c r="K373" s="27"/>
    </row>
    <row r="374">
      <c r="C374" s="27"/>
      <c r="D374" s="27"/>
      <c r="E374" s="27"/>
      <c r="F374" s="27"/>
      <c r="G374" s="27"/>
      <c r="H374" s="27"/>
      <c r="I374" s="518"/>
      <c r="J374" s="27"/>
      <c r="K374" s="27"/>
    </row>
    <row r="375">
      <c r="C375" s="27"/>
      <c r="D375" s="27"/>
      <c r="E375" s="27"/>
      <c r="F375" s="27"/>
      <c r="G375" s="27"/>
      <c r="H375" s="27"/>
      <c r="I375" s="518"/>
      <c r="J375" s="27"/>
      <c r="K375" s="27"/>
    </row>
    <row r="376">
      <c r="C376" s="27"/>
      <c r="D376" s="27"/>
      <c r="E376" s="27"/>
      <c r="F376" s="27"/>
      <c r="G376" s="27"/>
      <c r="H376" s="27"/>
      <c r="I376" s="518"/>
      <c r="J376" s="27"/>
      <c r="K376" s="27"/>
    </row>
    <row r="377">
      <c r="C377" s="27"/>
      <c r="D377" s="27"/>
      <c r="E377" s="27"/>
      <c r="F377" s="27"/>
      <c r="G377" s="27"/>
      <c r="H377" s="27"/>
      <c r="I377" s="518"/>
      <c r="J377" s="27"/>
      <c r="K377" s="27"/>
    </row>
    <row r="378">
      <c r="C378" s="27"/>
      <c r="D378" s="27"/>
      <c r="E378" s="27"/>
      <c r="F378" s="27"/>
      <c r="G378" s="27"/>
      <c r="H378" s="27"/>
      <c r="I378" s="518"/>
      <c r="J378" s="27"/>
      <c r="K378" s="27"/>
    </row>
    <row r="379">
      <c r="C379" s="27"/>
      <c r="D379" s="27"/>
      <c r="E379" s="27"/>
      <c r="F379" s="27"/>
      <c r="G379" s="27"/>
      <c r="H379" s="27"/>
      <c r="I379" s="518"/>
      <c r="J379" s="27"/>
      <c r="K379" s="27"/>
    </row>
    <row r="380">
      <c r="C380" s="27"/>
      <c r="D380" s="27"/>
      <c r="E380" s="27"/>
      <c r="F380" s="27"/>
      <c r="G380" s="27"/>
      <c r="H380" s="27"/>
      <c r="I380" s="518"/>
      <c r="J380" s="27"/>
      <c r="K380" s="27"/>
    </row>
    <row r="381">
      <c r="C381" s="27"/>
      <c r="D381" s="27"/>
      <c r="E381" s="27"/>
      <c r="F381" s="27"/>
      <c r="G381" s="27"/>
      <c r="H381" s="27"/>
      <c r="I381" s="518"/>
      <c r="J381" s="27"/>
      <c r="K381" s="27"/>
    </row>
    <row r="382">
      <c r="C382" s="27"/>
      <c r="D382" s="27"/>
      <c r="E382" s="27"/>
      <c r="F382" s="27"/>
      <c r="G382" s="27"/>
      <c r="H382" s="27"/>
      <c r="I382" s="518"/>
      <c r="J382" s="27"/>
      <c r="K382" s="27"/>
    </row>
    <row r="383">
      <c r="C383" s="27"/>
      <c r="D383" s="27"/>
      <c r="E383" s="27"/>
      <c r="F383" s="27"/>
      <c r="G383" s="27"/>
      <c r="H383" s="27"/>
      <c r="I383" s="518"/>
      <c r="J383" s="27"/>
      <c r="K383" s="27"/>
    </row>
    <row r="384">
      <c r="C384" s="27"/>
      <c r="D384" s="27"/>
      <c r="E384" s="27"/>
      <c r="F384" s="27"/>
      <c r="G384" s="27"/>
      <c r="H384" s="27"/>
      <c r="I384" s="518"/>
      <c r="J384" s="27"/>
      <c r="K384" s="27"/>
    </row>
    <row r="385">
      <c r="C385" s="27"/>
      <c r="D385" s="27"/>
      <c r="E385" s="27"/>
      <c r="F385" s="27"/>
      <c r="G385" s="27"/>
      <c r="H385" s="27"/>
      <c r="I385" s="518"/>
      <c r="J385" s="27"/>
      <c r="K385" s="27"/>
    </row>
    <row r="386">
      <c r="C386" s="27"/>
      <c r="D386" s="27"/>
      <c r="E386" s="27"/>
      <c r="F386" s="27"/>
      <c r="G386" s="27"/>
      <c r="H386" s="27"/>
      <c r="I386" s="518"/>
      <c r="J386" s="27"/>
      <c r="K386" s="27"/>
    </row>
    <row r="387">
      <c r="C387" s="27"/>
      <c r="D387" s="27"/>
      <c r="E387" s="27"/>
      <c r="F387" s="27"/>
      <c r="G387" s="27"/>
      <c r="H387" s="27"/>
      <c r="I387" s="518"/>
      <c r="J387" s="27"/>
      <c r="K387" s="27"/>
    </row>
    <row r="388">
      <c r="C388" s="27"/>
      <c r="D388" s="27"/>
      <c r="E388" s="27"/>
      <c r="F388" s="27"/>
      <c r="G388" s="27"/>
      <c r="H388" s="27"/>
      <c r="I388" s="518"/>
      <c r="J388" s="27"/>
      <c r="K388" s="27"/>
    </row>
    <row r="389">
      <c r="C389" s="27"/>
      <c r="D389" s="27"/>
      <c r="E389" s="27"/>
      <c r="F389" s="27"/>
      <c r="G389" s="27"/>
      <c r="H389" s="27"/>
      <c r="I389" s="518"/>
      <c r="J389" s="27"/>
      <c r="K389" s="27"/>
    </row>
    <row r="390">
      <c r="C390" s="27"/>
      <c r="D390" s="27"/>
      <c r="E390" s="27"/>
      <c r="F390" s="27"/>
      <c r="G390" s="27"/>
      <c r="H390" s="27"/>
      <c r="I390" s="518"/>
      <c r="J390" s="27"/>
      <c r="K390" s="27"/>
    </row>
    <row r="391">
      <c r="C391" s="27"/>
      <c r="D391" s="27"/>
      <c r="E391" s="27"/>
      <c r="F391" s="27"/>
      <c r="G391" s="27"/>
      <c r="H391" s="27"/>
      <c r="I391" s="518"/>
      <c r="J391" s="27"/>
      <c r="K391" s="27"/>
    </row>
    <row r="392">
      <c r="C392" s="27"/>
      <c r="D392" s="27"/>
      <c r="E392" s="27"/>
      <c r="F392" s="27"/>
      <c r="G392" s="27"/>
      <c r="H392" s="27"/>
      <c r="I392" s="518"/>
      <c r="J392" s="27"/>
      <c r="K392" s="27"/>
    </row>
    <row r="393">
      <c r="C393" s="27"/>
      <c r="D393" s="27"/>
      <c r="E393" s="27"/>
      <c r="F393" s="27"/>
      <c r="G393" s="27"/>
      <c r="H393" s="27"/>
      <c r="I393" s="518"/>
      <c r="J393" s="27"/>
      <c r="K393" s="27"/>
    </row>
    <row r="394">
      <c r="C394" s="27"/>
      <c r="D394" s="27"/>
      <c r="E394" s="27"/>
      <c r="F394" s="27"/>
      <c r="G394" s="27"/>
      <c r="H394" s="27"/>
      <c r="I394" s="518"/>
      <c r="J394" s="27"/>
      <c r="K394" s="27"/>
    </row>
    <row r="395">
      <c r="C395" s="27"/>
      <c r="D395" s="27"/>
      <c r="E395" s="27"/>
      <c r="F395" s="27"/>
      <c r="G395" s="27"/>
      <c r="H395" s="27"/>
      <c r="I395" s="518"/>
      <c r="J395" s="27"/>
      <c r="K395" s="27"/>
    </row>
    <row r="396">
      <c r="C396" s="27"/>
      <c r="D396" s="27"/>
      <c r="E396" s="27"/>
      <c r="F396" s="27"/>
      <c r="G396" s="27"/>
      <c r="H396" s="27"/>
      <c r="I396" s="518"/>
      <c r="J396" s="27"/>
      <c r="K396" s="27"/>
    </row>
    <row r="397">
      <c r="C397" s="27"/>
      <c r="D397" s="27"/>
      <c r="E397" s="27"/>
      <c r="F397" s="27"/>
      <c r="G397" s="27"/>
      <c r="H397" s="27"/>
      <c r="I397" s="518"/>
      <c r="J397" s="27"/>
      <c r="K397" s="27"/>
    </row>
    <row r="398">
      <c r="C398" s="27"/>
      <c r="D398" s="27"/>
      <c r="E398" s="27"/>
      <c r="F398" s="27"/>
      <c r="G398" s="27"/>
      <c r="H398" s="27"/>
      <c r="I398" s="518"/>
      <c r="J398" s="27"/>
      <c r="K398" s="27"/>
    </row>
    <row r="399">
      <c r="C399" s="27"/>
      <c r="D399" s="27"/>
      <c r="E399" s="27"/>
      <c r="F399" s="27"/>
      <c r="G399" s="27"/>
      <c r="H399" s="27"/>
      <c r="I399" s="518"/>
      <c r="J399" s="27"/>
      <c r="K399" s="27"/>
    </row>
    <row r="400">
      <c r="C400" s="27"/>
      <c r="D400" s="27"/>
      <c r="E400" s="27"/>
      <c r="F400" s="27"/>
      <c r="G400" s="27"/>
      <c r="H400" s="27"/>
      <c r="I400" s="518"/>
      <c r="J400" s="27"/>
      <c r="K400" s="27"/>
    </row>
    <row r="401">
      <c r="C401" s="27"/>
      <c r="D401" s="27"/>
      <c r="E401" s="27"/>
      <c r="F401" s="27"/>
      <c r="G401" s="27"/>
      <c r="H401" s="27"/>
      <c r="I401" s="518"/>
      <c r="J401" s="27"/>
      <c r="K401" s="27"/>
    </row>
    <row r="402">
      <c r="C402" s="27"/>
      <c r="D402" s="27"/>
      <c r="E402" s="27"/>
      <c r="F402" s="27"/>
      <c r="G402" s="27"/>
      <c r="H402" s="27"/>
      <c r="I402" s="518"/>
      <c r="J402" s="27"/>
      <c r="K402" s="27"/>
    </row>
    <row r="403">
      <c r="C403" s="27"/>
      <c r="D403" s="27"/>
      <c r="E403" s="27"/>
      <c r="F403" s="27"/>
      <c r="G403" s="27"/>
      <c r="H403" s="27"/>
      <c r="I403" s="518"/>
      <c r="J403" s="27"/>
      <c r="K403" s="27"/>
    </row>
    <row r="404">
      <c r="C404" s="27"/>
      <c r="D404" s="27"/>
      <c r="E404" s="27"/>
      <c r="F404" s="27"/>
      <c r="G404" s="27"/>
      <c r="H404" s="27"/>
      <c r="I404" s="518"/>
      <c r="J404" s="27"/>
      <c r="K404" s="27"/>
    </row>
    <row r="405">
      <c r="C405" s="27"/>
      <c r="D405" s="27"/>
      <c r="E405" s="27"/>
      <c r="F405" s="27"/>
      <c r="G405" s="27"/>
      <c r="H405" s="27"/>
      <c r="I405" s="518"/>
      <c r="J405" s="27"/>
      <c r="K405" s="27"/>
    </row>
    <row r="406">
      <c r="C406" s="27"/>
      <c r="D406" s="27"/>
      <c r="E406" s="27"/>
      <c r="F406" s="27"/>
      <c r="G406" s="27"/>
      <c r="H406" s="27"/>
      <c r="I406" s="518"/>
      <c r="J406" s="27"/>
      <c r="K406" s="27"/>
    </row>
    <row r="407">
      <c r="C407" s="27"/>
      <c r="D407" s="27"/>
      <c r="E407" s="27"/>
      <c r="F407" s="27"/>
      <c r="G407" s="27"/>
      <c r="H407" s="27"/>
      <c r="I407" s="518"/>
      <c r="J407" s="27"/>
      <c r="K407" s="27"/>
    </row>
    <row r="408">
      <c r="C408" s="27"/>
      <c r="D408" s="27"/>
      <c r="E408" s="27"/>
      <c r="F408" s="27"/>
      <c r="G408" s="27"/>
      <c r="H408" s="27"/>
      <c r="I408" s="518"/>
      <c r="J408" s="27"/>
      <c r="K408" s="27"/>
    </row>
    <row r="409">
      <c r="C409" s="27"/>
      <c r="D409" s="27"/>
      <c r="E409" s="27"/>
      <c r="F409" s="27"/>
      <c r="G409" s="27"/>
      <c r="H409" s="27"/>
      <c r="I409" s="518"/>
      <c r="J409" s="27"/>
      <c r="K409" s="27"/>
    </row>
    <row r="410">
      <c r="C410" s="27"/>
      <c r="D410" s="27"/>
      <c r="E410" s="27"/>
      <c r="F410" s="27"/>
      <c r="G410" s="27"/>
      <c r="H410" s="27"/>
      <c r="I410" s="518"/>
      <c r="J410" s="27"/>
      <c r="K410" s="27"/>
    </row>
    <row r="411">
      <c r="C411" s="27"/>
      <c r="D411" s="27"/>
      <c r="E411" s="27"/>
      <c r="F411" s="27"/>
      <c r="G411" s="27"/>
      <c r="H411" s="27"/>
      <c r="I411" s="518"/>
      <c r="J411" s="27"/>
      <c r="K411" s="27"/>
    </row>
    <row r="412">
      <c r="C412" s="27"/>
      <c r="D412" s="27"/>
      <c r="E412" s="27"/>
      <c r="F412" s="27"/>
      <c r="G412" s="27"/>
      <c r="H412" s="27"/>
      <c r="I412" s="518"/>
      <c r="J412" s="27"/>
      <c r="K412" s="27"/>
    </row>
    <row r="413">
      <c r="C413" s="27"/>
      <c r="D413" s="27"/>
      <c r="E413" s="27"/>
      <c r="F413" s="27"/>
      <c r="G413" s="27"/>
      <c r="H413" s="27"/>
      <c r="I413" s="518"/>
      <c r="J413" s="27"/>
      <c r="K413" s="27"/>
    </row>
    <row r="414">
      <c r="C414" s="27"/>
      <c r="D414" s="27"/>
      <c r="E414" s="27"/>
      <c r="F414" s="27"/>
      <c r="G414" s="27"/>
      <c r="H414" s="27"/>
      <c r="I414" s="518"/>
      <c r="J414" s="27"/>
      <c r="K414" s="27"/>
    </row>
    <row r="415">
      <c r="C415" s="27"/>
      <c r="D415" s="27"/>
      <c r="E415" s="27"/>
      <c r="F415" s="27"/>
      <c r="G415" s="27"/>
      <c r="H415" s="27"/>
      <c r="I415" s="518"/>
      <c r="J415" s="27"/>
      <c r="K415" s="27"/>
    </row>
    <row r="416">
      <c r="C416" s="27"/>
      <c r="D416" s="27"/>
      <c r="E416" s="27"/>
      <c r="F416" s="27"/>
      <c r="G416" s="27"/>
      <c r="H416" s="27"/>
      <c r="I416" s="518"/>
      <c r="J416" s="27"/>
      <c r="K416" s="27"/>
    </row>
    <row r="417">
      <c r="C417" s="27"/>
      <c r="D417" s="27"/>
      <c r="E417" s="27"/>
      <c r="F417" s="27"/>
      <c r="G417" s="27"/>
      <c r="H417" s="27"/>
      <c r="I417" s="518"/>
      <c r="J417" s="27"/>
      <c r="K417" s="27"/>
    </row>
    <row r="418">
      <c r="C418" s="27"/>
      <c r="D418" s="27"/>
      <c r="E418" s="27"/>
      <c r="F418" s="27"/>
      <c r="G418" s="27"/>
      <c r="H418" s="27"/>
      <c r="I418" s="518"/>
      <c r="J418" s="27"/>
      <c r="K418" s="27"/>
    </row>
    <row r="419">
      <c r="C419" s="27"/>
      <c r="D419" s="27"/>
      <c r="E419" s="27"/>
      <c r="F419" s="27"/>
      <c r="G419" s="27"/>
      <c r="H419" s="27"/>
      <c r="I419" s="518"/>
      <c r="J419" s="27"/>
      <c r="K419" s="27"/>
    </row>
    <row r="420">
      <c r="C420" s="27"/>
      <c r="D420" s="27"/>
      <c r="E420" s="27"/>
      <c r="F420" s="27"/>
      <c r="G420" s="27"/>
      <c r="H420" s="27"/>
      <c r="I420" s="518"/>
      <c r="J420" s="27"/>
      <c r="K420" s="27"/>
    </row>
    <row r="421">
      <c r="C421" s="27"/>
      <c r="D421" s="27"/>
      <c r="E421" s="27"/>
      <c r="F421" s="27"/>
      <c r="G421" s="27"/>
      <c r="H421" s="27"/>
      <c r="I421" s="518"/>
      <c r="J421" s="27"/>
      <c r="K421" s="27"/>
    </row>
    <row r="422">
      <c r="C422" s="27"/>
      <c r="D422" s="27"/>
      <c r="E422" s="27"/>
      <c r="F422" s="27"/>
      <c r="G422" s="27"/>
      <c r="H422" s="27"/>
      <c r="I422" s="518"/>
      <c r="J422" s="27"/>
      <c r="K422" s="27"/>
    </row>
    <row r="423">
      <c r="C423" s="27"/>
      <c r="D423" s="27"/>
      <c r="E423" s="27"/>
      <c r="F423" s="27"/>
      <c r="G423" s="27"/>
      <c r="H423" s="27"/>
      <c r="I423" s="518"/>
      <c r="J423" s="27"/>
      <c r="K423" s="27"/>
    </row>
    <row r="424">
      <c r="C424" s="27"/>
      <c r="D424" s="27"/>
      <c r="E424" s="27"/>
      <c r="F424" s="27"/>
      <c r="G424" s="27"/>
      <c r="H424" s="27"/>
      <c r="I424" s="518"/>
      <c r="J424" s="27"/>
      <c r="K424" s="27"/>
    </row>
    <row r="425">
      <c r="C425" s="27"/>
      <c r="D425" s="27"/>
      <c r="E425" s="27"/>
      <c r="F425" s="27"/>
      <c r="G425" s="27"/>
      <c r="H425" s="27"/>
      <c r="I425" s="518"/>
      <c r="J425" s="27"/>
      <c r="K425" s="27"/>
    </row>
    <row r="426">
      <c r="C426" s="27"/>
      <c r="D426" s="27"/>
      <c r="E426" s="27"/>
      <c r="F426" s="27"/>
      <c r="G426" s="27"/>
      <c r="H426" s="27"/>
      <c r="I426" s="518"/>
      <c r="J426" s="27"/>
      <c r="K426" s="27"/>
    </row>
    <row r="427">
      <c r="C427" s="27"/>
      <c r="D427" s="27"/>
      <c r="E427" s="27"/>
      <c r="F427" s="27"/>
      <c r="G427" s="27"/>
      <c r="H427" s="27"/>
      <c r="I427" s="518"/>
      <c r="J427" s="27"/>
      <c r="K427" s="27"/>
    </row>
    <row r="428">
      <c r="C428" s="27"/>
      <c r="D428" s="27"/>
      <c r="E428" s="27"/>
      <c r="F428" s="27"/>
      <c r="G428" s="27"/>
      <c r="H428" s="27"/>
      <c r="I428" s="518"/>
      <c r="J428" s="27"/>
      <c r="K428" s="27"/>
    </row>
    <row r="429">
      <c r="C429" s="27"/>
      <c r="D429" s="27"/>
      <c r="E429" s="27"/>
      <c r="F429" s="27"/>
      <c r="G429" s="27"/>
      <c r="H429" s="27"/>
      <c r="I429" s="518"/>
      <c r="J429" s="27"/>
      <c r="K429" s="27"/>
    </row>
    <row r="430">
      <c r="C430" s="27"/>
      <c r="D430" s="27"/>
      <c r="E430" s="27"/>
      <c r="F430" s="27"/>
      <c r="G430" s="27"/>
      <c r="H430" s="27"/>
      <c r="I430" s="518"/>
      <c r="J430" s="27"/>
      <c r="K430" s="27"/>
    </row>
    <row r="431">
      <c r="C431" s="27"/>
      <c r="D431" s="27"/>
      <c r="E431" s="27"/>
      <c r="F431" s="27"/>
      <c r="G431" s="27"/>
      <c r="H431" s="27"/>
      <c r="I431" s="518"/>
      <c r="J431" s="27"/>
      <c r="K431" s="27"/>
    </row>
    <row r="432">
      <c r="C432" s="27"/>
      <c r="D432" s="27"/>
      <c r="E432" s="27"/>
      <c r="F432" s="27"/>
      <c r="G432" s="27"/>
      <c r="H432" s="27"/>
      <c r="I432" s="518"/>
      <c r="J432" s="27"/>
      <c r="K432" s="27"/>
    </row>
    <row r="433">
      <c r="C433" s="27"/>
      <c r="D433" s="27"/>
      <c r="E433" s="27"/>
      <c r="F433" s="27"/>
      <c r="G433" s="27"/>
      <c r="H433" s="27"/>
      <c r="I433" s="518"/>
      <c r="J433" s="27"/>
      <c r="K433" s="27"/>
    </row>
    <row r="434">
      <c r="C434" s="27"/>
      <c r="D434" s="27"/>
      <c r="E434" s="27"/>
      <c r="F434" s="27"/>
      <c r="G434" s="27"/>
      <c r="H434" s="27"/>
      <c r="I434" s="518"/>
      <c r="J434" s="27"/>
      <c r="K434" s="27"/>
    </row>
    <row r="435">
      <c r="C435" s="27"/>
      <c r="D435" s="27"/>
      <c r="E435" s="27"/>
      <c r="F435" s="27"/>
      <c r="G435" s="27"/>
      <c r="H435" s="27"/>
      <c r="I435" s="518"/>
      <c r="J435" s="27"/>
      <c r="K435" s="27"/>
    </row>
    <row r="436">
      <c r="C436" s="27"/>
      <c r="D436" s="27"/>
      <c r="E436" s="27"/>
      <c r="F436" s="27"/>
      <c r="G436" s="27"/>
      <c r="H436" s="27"/>
      <c r="I436" s="518"/>
      <c r="J436" s="27"/>
      <c r="K436" s="27"/>
    </row>
    <row r="437">
      <c r="C437" s="27"/>
      <c r="D437" s="27"/>
      <c r="E437" s="27"/>
      <c r="F437" s="27"/>
      <c r="G437" s="27"/>
      <c r="H437" s="27"/>
      <c r="I437" s="518"/>
      <c r="J437" s="27"/>
      <c r="K437" s="27"/>
    </row>
    <row r="438">
      <c r="C438" s="27"/>
      <c r="D438" s="27"/>
      <c r="E438" s="27"/>
      <c r="F438" s="27"/>
      <c r="G438" s="27"/>
      <c r="H438" s="27"/>
      <c r="I438" s="518"/>
      <c r="J438" s="27"/>
      <c r="K438" s="27"/>
    </row>
    <row r="439">
      <c r="C439" s="27"/>
      <c r="D439" s="27"/>
      <c r="E439" s="27"/>
      <c r="F439" s="27"/>
      <c r="G439" s="27"/>
      <c r="H439" s="27"/>
      <c r="I439" s="518"/>
      <c r="J439" s="27"/>
      <c r="K439" s="27"/>
    </row>
    <row r="440">
      <c r="C440" s="27"/>
      <c r="D440" s="27"/>
      <c r="E440" s="27"/>
      <c r="F440" s="27"/>
      <c r="G440" s="27"/>
      <c r="H440" s="27"/>
      <c r="I440" s="518"/>
      <c r="J440" s="27"/>
      <c r="K440" s="27"/>
    </row>
    <row r="441">
      <c r="C441" s="27"/>
      <c r="D441" s="27"/>
      <c r="E441" s="27"/>
      <c r="F441" s="27"/>
      <c r="G441" s="27"/>
      <c r="H441" s="27"/>
      <c r="I441" s="518"/>
      <c r="J441" s="27"/>
      <c r="K441" s="27"/>
    </row>
    <row r="442">
      <c r="C442" s="27"/>
      <c r="D442" s="27"/>
      <c r="E442" s="27"/>
      <c r="F442" s="27"/>
      <c r="G442" s="27"/>
      <c r="H442" s="27"/>
      <c r="I442" s="518"/>
      <c r="J442" s="27"/>
      <c r="K442" s="27"/>
    </row>
    <row r="443">
      <c r="C443" s="27"/>
      <c r="D443" s="27"/>
      <c r="E443" s="27"/>
      <c r="F443" s="27"/>
      <c r="G443" s="27"/>
      <c r="H443" s="27"/>
      <c r="I443" s="518"/>
      <c r="J443" s="27"/>
      <c r="K443" s="27"/>
    </row>
    <row r="444">
      <c r="C444" s="27"/>
      <c r="D444" s="27"/>
      <c r="E444" s="27"/>
      <c r="F444" s="27"/>
      <c r="G444" s="27"/>
      <c r="H444" s="27"/>
      <c r="I444" s="518"/>
      <c r="J444" s="27"/>
      <c r="K444" s="27"/>
    </row>
    <row r="445">
      <c r="C445" s="27"/>
      <c r="D445" s="27"/>
      <c r="E445" s="27"/>
      <c r="F445" s="27"/>
      <c r="G445" s="27"/>
      <c r="H445" s="27"/>
      <c r="I445" s="518"/>
      <c r="J445" s="27"/>
      <c r="K445" s="27"/>
    </row>
    <row r="446">
      <c r="C446" s="27"/>
      <c r="D446" s="27"/>
      <c r="E446" s="27"/>
      <c r="F446" s="27"/>
      <c r="G446" s="27"/>
      <c r="H446" s="27"/>
      <c r="I446" s="518"/>
      <c r="J446" s="27"/>
      <c r="K446" s="27"/>
    </row>
    <row r="447">
      <c r="C447" s="27"/>
      <c r="D447" s="27"/>
      <c r="E447" s="27"/>
      <c r="F447" s="27"/>
      <c r="G447" s="27"/>
      <c r="H447" s="27"/>
      <c r="I447" s="518"/>
      <c r="J447" s="27"/>
      <c r="K447" s="27"/>
    </row>
    <row r="448">
      <c r="C448" s="27"/>
      <c r="D448" s="27"/>
      <c r="E448" s="27"/>
      <c r="F448" s="27"/>
      <c r="G448" s="27"/>
      <c r="H448" s="27"/>
      <c r="I448" s="518"/>
      <c r="J448" s="27"/>
      <c r="K448" s="27"/>
    </row>
    <row r="449">
      <c r="C449" s="27"/>
      <c r="D449" s="27"/>
      <c r="E449" s="27"/>
      <c r="F449" s="27"/>
      <c r="G449" s="27"/>
      <c r="H449" s="27"/>
      <c r="I449" s="518"/>
      <c r="J449" s="27"/>
      <c r="K449" s="27"/>
    </row>
    <row r="450">
      <c r="C450" s="27"/>
      <c r="D450" s="27"/>
      <c r="E450" s="27"/>
      <c r="F450" s="27"/>
      <c r="G450" s="27"/>
      <c r="H450" s="27"/>
      <c r="I450" s="518"/>
      <c r="J450" s="27"/>
      <c r="K450" s="27"/>
    </row>
    <row r="451">
      <c r="C451" s="27"/>
      <c r="D451" s="27"/>
      <c r="E451" s="27"/>
      <c r="F451" s="27"/>
      <c r="G451" s="27"/>
      <c r="H451" s="27"/>
      <c r="I451" s="518"/>
      <c r="J451" s="27"/>
      <c r="K451" s="27"/>
    </row>
    <row r="452">
      <c r="C452" s="27"/>
      <c r="D452" s="27"/>
      <c r="E452" s="27"/>
      <c r="F452" s="27"/>
      <c r="G452" s="27"/>
      <c r="H452" s="27"/>
      <c r="I452" s="518"/>
      <c r="J452" s="27"/>
      <c r="K452" s="27"/>
    </row>
    <row r="453">
      <c r="C453" s="27"/>
      <c r="D453" s="27"/>
      <c r="E453" s="27"/>
      <c r="F453" s="27"/>
      <c r="G453" s="27"/>
      <c r="H453" s="27"/>
      <c r="I453" s="518"/>
      <c r="J453" s="27"/>
      <c r="K453" s="27"/>
    </row>
    <row r="454">
      <c r="C454" s="27"/>
      <c r="D454" s="27"/>
      <c r="E454" s="27"/>
      <c r="F454" s="27"/>
      <c r="G454" s="27"/>
      <c r="H454" s="27"/>
      <c r="I454" s="518"/>
      <c r="J454" s="27"/>
      <c r="K454" s="27"/>
    </row>
    <row r="455">
      <c r="C455" s="27"/>
      <c r="D455" s="27"/>
      <c r="E455" s="27"/>
      <c r="F455" s="27"/>
      <c r="G455" s="27"/>
      <c r="H455" s="27"/>
      <c r="I455" s="518"/>
      <c r="J455" s="27"/>
      <c r="K455" s="27"/>
    </row>
    <row r="456">
      <c r="C456" s="27"/>
      <c r="D456" s="27"/>
      <c r="E456" s="27"/>
      <c r="F456" s="27"/>
      <c r="G456" s="27"/>
      <c r="H456" s="27"/>
      <c r="I456" s="518"/>
      <c r="J456" s="27"/>
      <c r="K456" s="27"/>
    </row>
    <row r="457">
      <c r="C457" s="27"/>
      <c r="D457" s="27"/>
      <c r="E457" s="27"/>
      <c r="F457" s="27"/>
      <c r="G457" s="27"/>
      <c r="H457" s="27"/>
      <c r="I457" s="518"/>
      <c r="J457" s="27"/>
      <c r="K457" s="27"/>
    </row>
    <row r="458">
      <c r="C458" s="27"/>
      <c r="D458" s="27"/>
      <c r="E458" s="27"/>
      <c r="F458" s="27"/>
      <c r="G458" s="27"/>
      <c r="H458" s="27"/>
      <c r="I458" s="518"/>
      <c r="J458" s="27"/>
      <c r="K458" s="27"/>
    </row>
    <row r="459">
      <c r="C459" s="27"/>
      <c r="D459" s="27"/>
      <c r="E459" s="27"/>
      <c r="F459" s="27"/>
      <c r="G459" s="27"/>
      <c r="H459" s="27"/>
      <c r="I459" s="518"/>
      <c r="J459" s="27"/>
      <c r="K459" s="27"/>
    </row>
    <row r="460">
      <c r="C460" s="27"/>
      <c r="D460" s="27"/>
      <c r="E460" s="27"/>
      <c r="F460" s="27"/>
      <c r="G460" s="27"/>
      <c r="H460" s="27"/>
      <c r="I460" s="518"/>
      <c r="J460" s="27"/>
      <c r="K460" s="27"/>
    </row>
    <row r="461">
      <c r="C461" s="27"/>
      <c r="D461" s="27"/>
      <c r="E461" s="27"/>
      <c r="F461" s="27"/>
      <c r="G461" s="27"/>
      <c r="H461" s="27"/>
      <c r="I461" s="518"/>
      <c r="J461" s="27"/>
      <c r="K461" s="27"/>
    </row>
    <row r="462">
      <c r="C462" s="27"/>
      <c r="D462" s="27"/>
      <c r="E462" s="27"/>
      <c r="F462" s="27"/>
      <c r="G462" s="27"/>
      <c r="H462" s="27"/>
      <c r="I462" s="518"/>
      <c r="J462" s="27"/>
      <c r="K462" s="27"/>
    </row>
    <row r="463">
      <c r="C463" s="27"/>
      <c r="D463" s="27"/>
      <c r="E463" s="27"/>
      <c r="F463" s="27"/>
      <c r="G463" s="27"/>
      <c r="H463" s="27"/>
      <c r="I463" s="518"/>
      <c r="J463" s="27"/>
      <c r="K463" s="27"/>
    </row>
    <row r="464">
      <c r="C464" s="27"/>
      <c r="D464" s="27"/>
      <c r="E464" s="27"/>
      <c r="F464" s="27"/>
      <c r="G464" s="27"/>
      <c r="H464" s="27"/>
      <c r="I464" s="518"/>
      <c r="J464" s="27"/>
      <c r="K464" s="27"/>
    </row>
    <row r="465">
      <c r="C465" s="27"/>
      <c r="D465" s="27"/>
      <c r="E465" s="27"/>
      <c r="F465" s="27"/>
      <c r="G465" s="27"/>
      <c r="H465" s="27"/>
      <c r="I465" s="518"/>
      <c r="J465" s="27"/>
      <c r="K465" s="27"/>
    </row>
    <row r="466">
      <c r="C466" s="27"/>
      <c r="D466" s="27"/>
      <c r="E466" s="27"/>
      <c r="F466" s="27"/>
      <c r="G466" s="27"/>
      <c r="H466" s="27"/>
      <c r="I466" s="518"/>
      <c r="J466" s="27"/>
      <c r="K466" s="27"/>
    </row>
    <row r="467">
      <c r="C467" s="27"/>
      <c r="D467" s="27"/>
      <c r="E467" s="27"/>
      <c r="F467" s="27"/>
      <c r="G467" s="27"/>
      <c r="H467" s="27"/>
      <c r="I467" s="518"/>
      <c r="J467" s="27"/>
      <c r="K467" s="27"/>
    </row>
    <row r="468">
      <c r="C468" s="27"/>
      <c r="D468" s="27"/>
      <c r="E468" s="27"/>
      <c r="F468" s="27"/>
      <c r="G468" s="27"/>
      <c r="H468" s="27"/>
      <c r="I468" s="518"/>
      <c r="J468" s="27"/>
      <c r="K468" s="27"/>
    </row>
    <row r="469">
      <c r="C469" s="27"/>
      <c r="D469" s="27"/>
      <c r="E469" s="27"/>
      <c r="F469" s="27"/>
      <c r="G469" s="27"/>
      <c r="H469" s="27"/>
      <c r="I469" s="518"/>
      <c r="J469" s="27"/>
      <c r="K469" s="27"/>
    </row>
    <row r="470">
      <c r="C470" s="27"/>
      <c r="D470" s="27"/>
      <c r="E470" s="27"/>
      <c r="F470" s="27"/>
      <c r="G470" s="27"/>
      <c r="H470" s="27"/>
      <c r="I470" s="518"/>
      <c r="J470" s="27"/>
      <c r="K470" s="27"/>
    </row>
    <row r="471">
      <c r="C471" s="27"/>
      <c r="D471" s="27"/>
      <c r="E471" s="27"/>
      <c r="F471" s="27"/>
      <c r="G471" s="27"/>
      <c r="H471" s="27"/>
      <c r="I471" s="518"/>
      <c r="J471" s="27"/>
      <c r="K471" s="27"/>
    </row>
    <row r="472">
      <c r="C472" s="27"/>
      <c r="D472" s="27"/>
      <c r="E472" s="27"/>
      <c r="F472" s="27"/>
      <c r="G472" s="27"/>
      <c r="H472" s="27"/>
      <c r="I472" s="518"/>
      <c r="J472" s="27"/>
      <c r="K472" s="27"/>
    </row>
    <row r="473">
      <c r="C473" s="27"/>
      <c r="D473" s="27"/>
      <c r="E473" s="27"/>
      <c r="F473" s="27"/>
      <c r="G473" s="27"/>
      <c r="H473" s="27"/>
      <c r="I473" s="518"/>
      <c r="J473" s="27"/>
      <c r="K473" s="27"/>
    </row>
    <row r="474">
      <c r="C474" s="27"/>
      <c r="D474" s="27"/>
      <c r="E474" s="27"/>
      <c r="F474" s="27"/>
      <c r="G474" s="27"/>
      <c r="H474" s="27"/>
      <c r="I474" s="518"/>
      <c r="J474" s="27"/>
      <c r="K474" s="27"/>
    </row>
    <row r="475">
      <c r="C475" s="27"/>
      <c r="D475" s="27"/>
      <c r="E475" s="27"/>
      <c r="F475" s="27"/>
      <c r="G475" s="27"/>
      <c r="H475" s="27"/>
      <c r="I475" s="518"/>
      <c r="J475" s="27"/>
      <c r="K475" s="27"/>
    </row>
    <row r="476">
      <c r="C476" s="27"/>
      <c r="D476" s="27"/>
      <c r="E476" s="27"/>
      <c r="F476" s="27"/>
      <c r="G476" s="27"/>
      <c r="H476" s="27"/>
      <c r="I476" s="518"/>
      <c r="J476" s="27"/>
      <c r="K476" s="27"/>
    </row>
    <row r="477">
      <c r="C477" s="27"/>
      <c r="D477" s="27"/>
      <c r="E477" s="27"/>
      <c r="F477" s="27"/>
      <c r="G477" s="27"/>
      <c r="H477" s="27"/>
      <c r="I477" s="518"/>
      <c r="J477" s="27"/>
      <c r="K477" s="27"/>
    </row>
    <row r="478">
      <c r="C478" s="27"/>
      <c r="D478" s="27"/>
      <c r="E478" s="27"/>
      <c r="F478" s="27"/>
      <c r="G478" s="27"/>
      <c r="H478" s="27"/>
      <c r="I478" s="518"/>
      <c r="J478" s="27"/>
      <c r="K478" s="27"/>
    </row>
    <row r="479">
      <c r="C479" s="27"/>
      <c r="D479" s="27"/>
      <c r="E479" s="27"/>
      <c r="F479" s="27"/>
      <c r="G479" s="27"/>
      <c r="H479" s="27"/>
      <c r="I479" s="518"/>
      <c r="J479" s="27"/>
      <c r="K479" s="27"/>
    </row>
    <row r="480">
      <c r="C480" s="27"/>
      <c r="D480" s="27"/>
      <c r="E480" s="27"/>
      <c r="F480" s="27"/>
      <c r="G480" s="27"/>
      <c r="H480" s="27"/>
      <c r="I480" s="518"/>
      <c r="J480" s="27"/>
      <c r="K480" s="27"/>
    </row>
    <row r="481">
      <c r="C481" s="27"/>
      <c r="D481" s="27"/>
      <c r="E481" s="27"/>
      <c r="F481" s="27"/>
      <c r="G481" s="27"/>
      <c r="H481" s="27"/>
      <c r="I481" s="518"/>
      <c r="J481" s="27"/>
      <c r="K481" s="27"/>
    </row>
    <row r="482">
      <c r="C482" s="27"/>
      <c r="D482" s="27"/>
      <c r="E482" s="27"/>
      <c r="F482" s="27"/>
      <c r="G482" s="27"/>
      <c r="H482" s="27"/>
      <c r="I482" s="518"/>
      <c r="J482" s="27"/>
      <c r="K482" s="27"/>
    </row>
    <row r="483">
      <c r="C483" s="27"/>
      <c r="D483" s="27"/>
      <c r="E483" s="27"/>
      <c r="F483" s="27"/>
      <c r="G483" s="27"/>
      <c r="H483" s="27"/>
      <c r="I483" s="518"/>
      <c r="J483" s="27"/>
      <c r="K483" s="27"/>
    </row>
    <row r="484">
      <c r="C484" s="27"/>
      <c r="D484" s="27"/>
      <c r="E484" s="27"/>
      <c r="F484" s="27"/>
      <c r="G484" s="27"/>
      <c r="H484" s="27"/>
      <c r="I484" s="518"/>
      <c r="J484" s="27"/>
      <c r="K484" s="27"/>
    </row>
    <row r="485">
      <c r="C485" s="27"/>
      <c r="D485" s="27"/>
      <c r="E485" s="27"/>
      <c r="F485" s="27"/>
      <c r="G485" s="27"/>
      <c r="H485" s="27"/>
      <c r="I485" s="518"/>
      <c r="J485" s="27"/>
      <c r="K485" s="27"/>
    </row>
    <row r="486">
      <c r="C486" s="27"/>
      <c r="D486" s="27"/>
      <c r="E486" s="27"/>
      <c r="F486" s="27"/>
      <c r="G486" s="27"/>
      <c r="H486" s="27"/>
      <c r="I486" s="518"/>
      <c r="J486" s="27"/>
      <c r="K486" s="27"/>
    </row>
    <row r="487">
      <c r="C487" s="27"/>
      <c r="D487" s="27"/>
      <c r="E487" s="27"/>
      <c r="F487" s="27"/>
      <c r="G487" s="27"/>
      <c r="H487" s="27"/>
      <c r="I487" s="518"/>
      <c r="J487" s="27"/>
      <c r="K487" s="27"/>
    </row>
    <row r="488">
      <c r="C488" s="27"/>
      <c r="D488" s="27"/>
      <c r="E488" s="27"/>
      <c r="F488" s="27"/>
      <c r="G488" s="27"/>
      <c r="H488" s="27"/>
      <c r="I488" s="518"/>
      <c r="J488" s="27"/>
      <c r="K488" s="27"/>
    </row>
    <row r="489">
      <c r="C489" s="27"/>
      <c r="D489" s="27"/>
      <c r="E489" s="27"/>
      <c r="F489" s="27"/>
      <c r="G489" s="27"/>
      <c r="H489" s="27"/>
      <c r="I489" s="518"/>
      <c r="J489" s="27"/>
      <c r="K489" s="27"/>
    </row>
    <row r="490">
      <c r="C490" s="27"/>
      <c r="D490" s="27"/>
      <c r="E490" s="27"/>
      <c r="F490" s="27"/>
      <c r="G490" s="27"/>
      <c r="H490" s="27"/>
      <c r="I490" s="518"/>
      <c r="J490" s="27"/>
      <c r="K490" s="27"/>
    </row>
    <row r="491">
      <c r="C491" s="27"/>
      <c r="D491" s="27"/>
      <c r="E491" s="27"/>
      <c r="F491" s="27"/>
      <c r="G491" s="27"/>
      <c r="H491" s="27"/>
      <c r="I491" s="518"/>
      <c r="J491" s="27"/>
      <c r="K491" s="27"/>
    </row>
    <row r="492">
      <c r="C492" s="27"/>
      <c r="D492" s="27"/>
      <c r="E492" s="27"/>
      <c r="F492" s="27"/>
      <c r="G492" s="27"/>
      <c r="H492" s="27"/>
      <c r="I492" s="518"/>
      <c r="J492" s="27"/>
      <c r="K492" s="27"/>
    </row>
    <row r="493">
      <c r="C493" s="27"/>
      <c r="D493" s="27"/>
      <c r="E493" s="27"/>
      <c r="F493" s="27"/>
      <c r="G493" s="27"/>
      <c r="H493" s="27"/>
      <c r="I493" s="518"/>
      <c r="J493" s="27"/>
      <c r="K493" s="27"/>
    </row>
    <row r="494">
      <c r="C494" s="27"/>
      <c r="D494" s="27"/>
      <c r="E494" s="27"/>
      <c r="F494" s="27"/>
      <c r="G494" s="27"/>
      <c r="H494" s="27"/>
      <c r="I494" s="518"/>
      <c r="J494" s="27"/>
      <c r="K494" s="27"/>
    </row>
    <row r="495">
      <c r="C495" s="27"/>
      <c r="D495" s="27"/>
      <c r="E495" s="27"/>
      <c r="F495" s="27"/>
      <c r="G495" s="27"/>
      <c r="H495" s="27"/>
      <c r="I495" s="518"/>
      <c r="J495" s="27"/>
      <c r="K495" s="27"/>
    </row>
    <row r="496">
      <c r="C496" s="27"/>
      <c r="D496" s="27"/>
      <c r="E496" s="27"/>
      <c r="F496" s="27"/>
      <c r="G496" s="27"/>
      <c r="H496" s="27"/>
      <c r="I496" s="518"/>
      <c r="J496" s="27"/>
      <c r="K496" s="27"/>
    </row>
    <row r="497">
      <c r="C497" s="27"/>
      <c r="D497" s="27"/>
      <c r="E497" s="27"/>
      <c r="F497" s="27"/>
      <c r="G497" s="27"/>
      <c r="H497" s="27"/>
      <c r="I497" s="518"/>
      <c r="J497" s="27"/>
      <c r="K497" s="27"/>
    </row>
    <row r="498">
      <c r="C498" s="27"/>
      <c r="D498" s="27"/>
      <c r="E498" s="27"/>
      <c r="F498" s="27"/>
      <c r="G498" s="27"/>
      <c r="H498" s="27"/>
      <c r="I498" s="518"/>
      <c r="J498" s="27"/>
      <c r="K498" s="27"/>
    </row>
    <row r="499">
      <c r="C499" s="27"/>
      <c r="D499" s="27"/>
      <c r="E499" s="27"/>
      <c r="F499" s="27"/>
      <c r="G499" s="27"/>
      <c r="H499" s="27"/>
      <c r="I499" s="518"/>
      <c r="J499" s="27"/>
      <c r="K499" s="27"/>
    </row>
    <row r="500">
      <c r="C500" s="27"/>
      <c r="D500" s="27"/>
      <c r="E500" s="27"/>
      <c r="F500" s="27"/>
      <c r="G500" s="27"/>
      <c r="H500" s="27"/>
      <c r="I500" s="518"/>
      <c r="J500" s="27"/>
      <c r="K500" s="27"/>
    </row>
    <row r="501">
      <c r="C501" s="27"/>
      <c r="D501" s="27"/>
      <c r="E501" s="27"/>
      <c r="F501" s="27"/>
      <c r="G501" s="27"/>
      <c r="H501" s="27"/>
      <c r="I501" s="518"/>
      <c r="J501" s="27"/>
      <c r="K501" s="27"/>
    </row>
    <row r="502">
      <c r="C502" s="27"/>
      <c r="D502" s="27"/>
      <c r="E502" s="27"/>
      <c r="F502" s="27"/>
      <c r="G502" s="27"/>
      <c r="H502" s="27"/>
      <c r="I502" s="518"/>
      <c r="J502" s="27"/>
      <c r="K502" s="27"/>
    </row>
    <row r="503">
      <c r="C503" s="27"/>
      <c r="D503" s="27"/>
      <c r="E503" s="27"/>
      <c r="F503" s="27"/>
      <c r="G503" s="27"/>
      <c r="H503" s="27"/>
      <c r="I503" s="518"/>
      <c r="J503" s="27"/>
      <c r="K503" s="27"/>
    </row>
    <row r="504">
      <c r="C504" s="27"/>
      <c r="D504" s="27"/>
      <c r="E504" s="27"/>
      <c r="F504" s="27"/>
      <c r="G504" s="27"/>
      <c r="H504" s="27"/>
      <c r="I504" s="518"/>
      <c r="J504" s="27"/>
      <c r="K504" s="27"/>
    </row>
    <row r="505">
      <c r="C505" s="27"/>
      <c r="D505" s="27"/>
      <c r="E505" s="27"/>
      <c r="F505" s="27"/>
      <c r="G505" s="27"/>
      <c r="H505" s="27"/>
      <c r="I505" s="518"/>
      <c r="J505" s="27"/>
      <c r="K505" s="27"/>
    </row>
    <row r="506">
      <c r="C506" s="27"/>
      <c r="D506" s="27"/>
      <c r="E506" s="27"/>
      <c r="F506" s="27"/>
      <c r="G506" s="27"/>
      <c r="H506" s="27"/>
      <c r="I506" s="518"/>
      <c r="J506" s="27"/>
      <c r="K506" s="27"/>
    </row>
    <row r="507">
      <c r="C507" s="27"/>
      <c r="D507" s="27"/>
      <c r="E507" s="27"/>
      <c r="F507" s="27"/>
      <c r="G507" s="27"/>
      <c r="H507" s="27"/>
      <c r="I507" s="518"/>
      <c r="J507" s="27"/>
      <c r="K507" s="27"/>
    </row>
    <row r="508">
      <c r="C508" s="27"/>
      <c r="D508" s="27"/>
      <c r="E508" s="27"/>
      <c r="F508" s="27"/>
      <c r="G508" s="27"/>
      <c r="H508" s="27"/>
      <c r="I508" s="518"/>
      <c r="J508" s="27"/>
      <c r="K508" s="27"/>
    </row>
    <row r="509">
      <c r="C509" s="27"/>
      <c r="D509" s="27"/>
      <c r="E509" s="27"/>
      <c r="F509" s="27"/>
      <c r="G509" s="27"/>
      <c r="H509" s="27"/>
      <c r="I509" s="518"/>
      <c r="J509" s="27"/>
      <c r="K509" s="27"/>
    </row>
    <row r="510">
      <c r="C510" s="27"/>
      <c r="D510" s="27"/>
      <c r="E510" s="27"/>
      <c r="F510" s="27"/>
      <c r="G510" s="27"/>
      <c r="H510" s="27"/>
      <c r="I510" s="518"/>
      <c r="J510" s="27"/>
      <c r="K510" s="27"/>
    </row>
    <row r="511">
      <c r="C511" s="27"/>
      <c r="D511" s="27"/>
      <c r="E511" s="27"/>
      <c r="F511" s="27"/>
      <c r="G511" s="27"/>
      <c r="H511" s="27"/>
      <c r="I511" s="518"/>
      <c r="J511" s="27"/>
      <c r="K511" s="27"/>
    </row>
    <row r="512">
      <c r="C512" s="27"/>
      <c r="D512" s="27"/>
      <c r="E512" s="27"/>
      <c r="F512" s="27"/>
      <c r="G512" s="27"/>
      <c r="H512" s="27"/>
      <c r="I512" s="518"/>
      <c r="J512" s="27"/>
      <c r="K512" s="27"/>
    </row>
    <row r="513">
      <c r="C513" s="27"/>
      <c r="D513" s="27"/>
      <c r="E513" s="27"/>
      <c r="F513" s="27"/>
      <c r="G513" s="27"/>
      <c r="H513" s="27"/>
      <c r="I513" s="518"/>
      <c r="J513" s="27"/>
      <c r="K513" s="27"/>
    </row>
    <row r="514">
      <c r="C514" s="27"/>
      <c r="D514" s="27"/>
      <c r="E514" s="27"/>
      <c r="F514" s="27"/>
      <c r="G514" s="27"/>
      <c r="H514" s="27"/>
      <c r="I514" s="518"/>
      <c r="J514" s="27"/>
      <c r="K514" s="27"/>
    </row>
    <row r="515">
      <c r="C515" s="27"/>
      <c r="D515" s="27"/>
      <c r="E515" s="27"/>
      <c r="F515" s="27"/>
      <c r="G515" s="27"/>
      <c r="H515" s="27"/>
      <c r="I515" s="518"/>
      <c r="J515" s="27"/>
      <c r="K515" s="27"/>
    </row>
    <row r="516">
      <c r="C516" s="27"/>
      <c r="D516" s="27"/>
      <c r="E516" s="27"/>
      <c r="F516" s="27"/>
      <c r="G516" s="27"/>
      <c r="H516" s="27"/>
      <c r="I516" s="518"/>
      <c r="J516" s="27"/>
      <c r="K516" s="27"/>
    </row>
    <row r="517">
      <c r="C517" s="27"/>
      <c r="D517" s="27"/>
      <c r="E517" s="27"/>
      <c r="F517" s="27"/>
      <c r="G517" s="27"/>
      <c r="H517" s="27"/>
      <c r="I517" s="518"/>
      <c r="J517" s="27"/>
      <c r="K517" s="27"/>
    </row>
    <row r="518">
      <c r="C518" s="27"/>
      <c r="D518" s="27"/>
      <c r="E518" s="27"/>
      <c r="F518" s="27"/>
      <c r="G518" s="27"/>
      <c r="H518" s="27"/>
      <c r="I518" s="518"/>
      <c r="J518" s="27"/>
      <c r="K518" s="27"/>
    </row>
    <row r="519">
      <c r="C519" s="27"/>
      <c r="D519" s="27"/>
      <c r="E519" s="27"/>
      <c r="F519" s="27"/>
      <c r="G519" s="27"/>
      <c r="H519" s="27"/>
      <c r="I519" s="518"/>
      <c r="J519" s="27"/>
      <c r="K519" s="27"/>
    </row>
    <row r="520">
      <c r="C520" s="27"/>
      <c r="D520" s="27"/>
      <c r="E520" s="27"/>
      <c r="F520" s="27"/>
      <c r="G520" s="27"/>
      <c r="H520" s="27"/>
      <c r="I520" s="518"/>
      <c r="J520" s="27"/>
      <c r="K520" s="27"/>
    </row>
    <row r="521">
      <c r="C521" s="27"/>
      <c r="D521" s="27"/>
      <c r="E521" s="27"/>
      <c r="F521" s="27"/>
      <c r="G521" s="27"/>
      <c r="H521" s="27"/>
      <c r="I521" s="518"/>
      <c r="J521" s="27"/>
      <c r="K521" s="27"/>
    </row>
    <row r="522">
      <c r="C522" s="27"/>
      <c r="D522" s="27"/>
      <c r="E522" s="27"/>
      <c r="F522" s="27"/>
      <c r="G522" s="27"/>
      <c r="H522" s="27"/>
      <c r="I522" s="518"/>
      <c r="J522" s="27"/>
      <c r="K522" s="27"/>
    </row>
    <row r="523">
      <c r="C523" s="27"/>
      <c r="D523" s="27"/>
      <c r="E523" s="27"/>
      <c r="F523" s="27"/>
      <c r="G523" s="27"/>
      <c r="H523" s="27"/>
      <c r="I523" s="518"/>
      <c r="J523" s="27"/>
      <c r="K523" s="27"/>
    </row>
    <row r="524">
      <c r="C524" s="27"/>
      <c r="D524" s="27"/>
      <c r="E524" s="27"/>
      <c r="F524" s="27"/>
      <c r="G524" s="27"/>
      <c r="H524" s="27"/>
      <c r="I524" s="518"/>
      <c r="J524" s="27"/>
      <c r="K524" s="27"/>
    </row>
    <row r="525">
      <c r="C525" s="27"/>
      <c r="D525" s="27"/>
      <c r="E525" s="27"/>
      <c r="F525" s="27"/>
      <c r="G525" s="27"/>
      <c r="H525" s="27"/>
      <c r="I525" s="518"/>
      <c r="J525" s="27"/>
      <c r="K525" s="27"/>
    </row>
    <row r="526">
      <c r="C526" s="27"/>
      <c r="D526" s="27"/>
      <c r="E526" s="27"/>
      <c r="F526" s="27"/>
      <c r="G526" s="27"/>
      <c r="H526" s="27"/>
      <c r="I526" s="518"/>
      <c r="J526" s="27"/>
      <c r="K526" s="27"/>
    </row>
    <row r="527">
      <c r="C527" s="27"/>
      <c r="D527" s="27"/>
      <c r="E527" s="27"/>
      <c r="F527" s="27"/>
      <c r="G527" s="27"/>
      <c r="H527" s="27"/>
      <c r="I527" s="518"/>
      <c r="J527" s="27"/>
      <c r="K527" s="27"/>
    </row>
    <row r="528">
      <c r="C528" s="27"/>
      <c r="D528" s="27"/>
      <c r="E528" s="27"/>
      <c r="F528" s="27"/>
      <c r="G528" s="27"/>
      <c r="H528" s="27"/>
      <c r="I528" s="518"/>
      <c r="J528" s="27"/>
      <c r="K528" s="27"/>
    </row>
    <row r="529">
      <c r="C529" s="27"/>
      <c r="D529" s="27"/>
      <c r="E529" s="27"/>
      <c r="F529" s="27"/>
      <c r="G529" s="27"/>
      <c r="H529" s="27"/>
      <c r="I529" s="518"/>
      <c r="J529" s="27"/>
      <c r="K529" s="27"/>
    </row>
    <row r="530">
      <c r="C530" s="27"/>
      <c r="D530" s="27"/>
      <c r="E530" s="27"/>
      <c r="F530" s="27"/>
      <c r="G530" s="27"/>
      <c r="H530" s="27"/>
      <c r="I530" s="518"/>
      <c r="J530" s="27"/>
      <c r="K530" s="27"/>
    </row>
    <row r="531">
      <c r="C531" s="27"/>
      <c r="D531" s="27"/>
      <c r="E531" s="27"/>
      <c r="F531" s="27"/>
      <c r="G531" s="27"/>
      <c r="H531" s="27"/>
      <c r="I531" s="518"/>
      <c r="J531" s="27"/>
      <c r="K531" s="27"/>
    </row>
    <row r="532">
      <c r="C532" s="27"/>
      <c r="D532" s="27"/>
      <c r="E532" s="27"/>
      <c r="F532" s="27"/>
      <c r="G532" s="27"/>
      <c r="H532" s="27"/>
      <c r="I532" s="518"/>
      <c r="J532" s="27"/>
      <c r="K532" s="27"/>
    </row>
    <row r="533">
      <c r="C533" s="27"/>
      <c r="D533" s="27"/>
      <c r="E533" s="27"/>
      <c r="F533" s="27"/>
      <c r="G533" s="27"/>
      <c r="H533" s="27"/>
      <c r="I533" s="518"/>
      <c r="J533" s="27"/>
      <c r="K533" s="27"/>
    </row>
    <row r="534">
      <c r="C534" s="27"/>
      <c r="D534" s="27"/>
      <c r="E534" s="27"/>
      <c r="F534" s="27"/>
      <c r="G534" s="27"/>
      <c r="H534" s="27"/>
      <c r="I534" s="518"/>
      <c r="J534" s="27"/>
      <c r="K534" s="27"/>
    </row>
    <row r="535">
      <c r="C535" s="27"/>
      <c r="D535" s="27"/>
      <c r="E535" s="27"/>
      <c r="F535" s="27"/>
      <c r="G535" s="27"/>
      <c r="H535" s="27"/>
      <c r="I535" s="518"/>
      <c r="J535" s="27"/>
      <c r="K535" s="27"/>
    </row>
    <row r="536">
      <c r="C536" s="27"/>
      <c r="D536" s="27"/>
      <c r="E536" s="27"/>
      <c r="F536" s="27"/>
      <c r="G536" s="27"/>
      <c r="H536" s="27"/>
      <c r="I536" s="518"/>
      <c r="J536" s="27"/>
      <c r="K536" s="27"/>
    </row>
    <row r="537">
      <c r="C537" s="27"/>
      <c r="D537" s="27"/>
      <c r="E537" s="27"/>
      <c r="F537" s="27"/>
      <c r="G537" s="27"/>
      <c r="H537" s="27"/>
      <c r="I537" s="518"/>
      <c r="J537" s="27"/>
      <c r="K537" s="27"/>
    </row>
    <row r="538">
      <c r="C538" s="27"/>
      <c r="D538" s="27"/>
      <c r="E538" s="27"/>
      <c r="F538" s="27"/>
      <c r="G538" s="27"/>
      <c r="H538" s="27"/>
      <c r="I538" s="518"/>
      <c r="J538" s="27"/>
      <c r="K538" s="27"/>
    </row>
    <row r="539">
      <c r="C539" s="27"/>
      <c r="D539" s="27"/>
      <c r="E539" s="27"/>
      <c r="F539" s="27"/>
      <c r="G539" s="27"/>
      <c r="H539" s="27"/>
      <c r="I539" s="518"/>
      <c r="J539" s="27"/>
      <c r="K539" s="27"/>
    </row>
    <row r="540">
      <c r="C540" s="27"/>
      <c r="D540" s="27"/>
      <c r="E540" s="27"/>
      <c r="F540" s="27"/>
      <c r="G540" s="27"/>
      <c r="H540" s="27"/>
      <c r="I540" s="518"/>
      <c r="J540" s="27"/>
      <c r="K540" s="27"/>
    </row>
    <row r="541">
      <c r="C541" s="27"/>
      <c r="D541" s="27"/>
      <c r="E541" s="27"/>
      <c r="F541" s="27"/>
      <c r="G541" s="27"/>
      <c r="H541" s="27"/>
      <c r="I541" s="518"/>
      <c r="J541" s="27"/>
      <c r="K541" s="27"/>
    </row>
    <row r="542">
      <c r="C542" s="27"/>
      <c r="D542" s="27"/>
      <c r="E542" s="27"/>
      <c r="F542" s="27"/>
      <c r="G542" s="27"/>
      <c r="H542" s="27"/>
      <c r="I542" s="518"/>
      <c r="J542" s="27"/>
      <c r="K542" s="27"/>
    </row>
    <row r="543">
      <c r="C543" s="27"/>
      <c r="D543" s="27"/>
      <c r="E543" s="27"/>
      <c r="F543" s="27"/>
      <c r="G543" s="27"/>
      <c r="H543" s="27"/>
      <c r="I543" s="518"/>
      <c r="J543" s="27"/>
      <c r="K543" s="27"/>
    </row>
    <row r="544">
      <c r="C544" s="27"/>
      <c r="D544" s="27"/>
      <c r="E544" s="27"/>
      <c r="F544" s="27"/>
      <c r="G544" s="27"/>
      <c r="H544" s="27"/>
      <c r="I544" s="518"/>
      <c r="J544" s="27"/>
      <c r="K544" s="27"/>
    </row>
    <row r="545">
      <c r="C545" s="27"/>
      <c r="D545" s="27"/>
      <c r="E545" s="27"/>
      <c r="F545" s="27"/>
      <c r="G545" s="27"/>
      <c r="H545" s="27"/>
      <c r="I545" s="518"/>
      <c r="J545" s="27"/>
      <c r="K545" s="27"/>
    </row>
    <row r="546">
      <c r="C546" s="27"/>
      <c r="D546" s="27"/>
      <c r="E546" s="27"/>
      <c r="F546" s="27"/>
      <c r="G546" s="27"/>
      <c r="H546" s="27"/>
      <c r="I546" s="518"/>
      <c r="J546" s="27"/>
      <c r="K546" s="27"/>
    </row>
    <row r="547">
      <c r="C547" s="27"/>
      <c r="D547" s="27"/>
      <c r="E547" s="27"/>
      <c r="F547" s="27"/>
      <c r="G547" s="27"/>
      <c r="H547" s="27"/>
      <c r="I547" s="518"/>
      <c r="J547" s="27"/>
      <c r="K547" s="27"/>
    </row>
    <row r="548">
      <c r="C548" s="27"/>
      <c r="D548" s="27"/>
      <c r="E548" s="27"/>
      <c r="F548" s="27"/>
      <c r="G548" s="27"/>
      <c r="H548" s="27"/>
      <c r="I548" s="518"/>
      <c r="J548" s="27"/>
      <c r="K548" s="27"/>
    </row>
    <row r="549">
      <c r="C549" s="27"/>
      <c r="D549" s="27"/>
      <c r="E549" s="27"/>
      <c r="F549" s="27"/>
      <c r="G549" s="27"/>
      <c r="H549" s="27"/>
      <c r="I549" s="518"/>
      <c r="J549" s="27"/>
      <c r="K549" s="27"/>
    </row>
    <row r="550">
      <c r="C550" s="27"/>
      <c r="D550" s="27"/>
      <c r="E550" s="27"/>
      <c r="F550" s="27"/>
      <c r="G550" s="27"/>
      <c r="H550" s="27"/>
      <c r="I550" s="518"/>
      <c r="J550" s="27"/>
      <c r="K550" s="27"/>
    </row>
    <row r="551">
      <c r="C551" s="27"/>
      <c r="D551" s="27"/>
      <c r="E551" s="27"/>
      <c r="F551" s="27"/>
      <c r="G551" s="27"/>
      <c r="H551" s="27"/>
      <c r="I551" s="518"/>
      <c r="J551" s="27"/>
      <c r="K551" s="27"/>
    </row>
    <row r="552">
      <c r="C552" s="27"/>
      <c r="D552" s="27"/>
      <c r="E552" s="27"/>
      <c r="F552" s="27"/>
      <c r="G552" s="27"/>
      <c r="H552" s="27"/>
      <c r="I552" s="518"/>
      <c r="J552" s="27"/>
      <c r="K552" s="27"/>
    </row>
    <row r="553">
      <c r="C553" s="27"/>
      <c r="D553" s="27"/>
      <c r="E553" s="27"/>
      <c r="F553" s="27"/>
      <c r="G553" s="27"/>
      <c r="H553" s="27"/>
      <c r="I553" s="518"/>
      <c r="J553" s="27"/>
      <c r="K553" s="27"/>
    </row>
    <row r="554">
      <c r="C554" s="27"/>
      <c r="D554" s="27"/>
      <c r="E554" s="27"/>
      <c r="F554" s="27"/>
      <c r="G554" s="27"/>
      <c r="H554" s="27"/>
      <c r="I554" s="518"/>
      <c r="J554" s="27"/>
      <c r="K554" s="27"/>
    </row>
    <row r="555">
      <c r="C555" s="27"/>
      <c r="D555" s="27"/>
      <c r="E555" s="27"/>
      <c r="F555" s="27"/>
      <c r="G555" s="27"/>
      <c r="H555" s="27"/>
      <c r="I555" s="518"/>
      <c r="J555" s="27"/>
      <c r="K555" s="27"/>
    </row>
    <row r="556">
      <c r="C556" s="27"/>
      <c r="D556" s="27"/>
      <c r="E556" s="27"/>
      <c r="F556" s="27"/>
      <c r="G556" s="27"/>
      <c r="H556" s="27"/>
      <c r="I556" s="518"/>
      <c r="J556" s="27"/>
      <c r="K556" s="27"/>
    </row>
    <row r="557">
      <c r="C557" s="27"/>
      <c r="D557" s="27"/>
      <c r="E557" s="27"/>
      <c r="F557" s="27"/>
      <c r="G557" s="27"/>
      <c r="H557" s="27"/>
      <c r="I557" s="518"/>
      <c r="J557" s="27"/>
      <c r="K557" s="27"/>
    </row>
    <row r="558">
      <c r="C558" s="27"/>
      <c r="D558" s="27"/>
      <c r="E558" s="27"/>
      <c r="F558" s="27"/>
      <c r="G558" s="27"/>
      <c r="H558" s="27"/>
      <c r="I558" s="518"/>
      <c r="J558" s="27"/>
      <c r="K558" s="27"/>
    </row>
    <row r="559">
      <c r="C559" s="27"/>
      <c r="D559" s="27"/>
      <c r="E559" s="27"/>
      <c r="F559" s="27"/>
      <c r="G559" s="27"/>
      <c r="H559" s="27"/>
      <c r="I559" s="518"/>
      <c r="J559" s="27"/>
      <c r="K559" s="27"/>
    </row>
    <row r="560">
      <c r="C560" s="27"/>
      <c r="D560" s="27"/>
      <c r="E560" s="27"/>
      <c r="F560" s="27"/>
      <c r="G560" s="27"/>
      <c r="H560" s="27"/>
      <c r="I560" s="518"/>
      <c r="J560" s="27"/>
      <c r="K560" s="27"/>
    </row>
    <row r="561">
      <c r="C561" s="27"/>
      <c r="D561" s="27"/>
      <c r="E561" s="27"/>
      <c r="F561" s="27"/>
      <c r="G561" s="27"/>
      <c r="H561" s="27"/>
      <c r="I561" s="518"/>
      <c r="J561" s="27"/>
      <c r="K561" s="27"/>
    </row>
    <row r="562">
      <c r="C562" s="27"/>
      <c r="D562" s="27"/>
      <c r="E562" s="27"/>
      <c r="F562" s="27"/>
      <c r="G562" s="27"/>
      <c r="H562" s="27"/>
      <c r="I562" s="518"/>
      <c r="J562" s="27"/>
      <c r="K562" s="27"/>
    </row>
    <row r="563">
      <c r="C563" s="27"/>
      <c r="D563" s="27"/>
      <c r="E563" s="27"/>
      <c r="F563" s="27"/>
      <c r="G563" s="27"/>
      <c r="H563" s="27"/>
      <c r="I563" s="518"/>
      <c r="J563" s="27"/>
      <c r="K563" s="27"/>
    </row>
    <row r="564">
      <c r="C564" s="27"/>
      <c r="D564" s="27"/>
      <c r="E564" s="27"/>
      <c r="F564" s="27"/>
      <c r="G564" s="27"/>
      <c r="H564" s="27"/>
      <c r="I564" s="518"/>
      <c r="J564" s="27"/>
      <c r="K564" s="27"/>
    </row>
    <row r="565">
      <c r="C565" s="27"/>
      <c r="D565" s="27"/>
      <c r="E565" s="27"/>
      <c r="F565" s="27"/>
      <c r="G565" s="27"/>
      <c r="H565" s="27"/>
      <c r="I565" s="518"/>
      <c r="J565" s="27"/>
      <c r="K565" s="27"/>
    </row>
    <row r="566">
      <c r="C566" s="27"/>
      <c r="D566" s="27"/>
      <c r="E566" s="27"/>
      <c r="F566" s="27"/>
      <c r="G566" s="27"/>
      <c r="H566" s="27"/>
      <c r="I566" s="518"/>
      <c r="J566" s="27"/>
      <c r="K566" s="27"/>
    </row>
    <row r="567">
      <c r="C567" s="27"/>
      <c r="D567" s="27"/>
      <c r="E567" s="27"/>
      <c r="F567" s="27"/>
      <c r="G567" s="27"/>
      <c r="H567" s="27"/>
      <c r="I567" s="518"/>
      <c r="J567" s="27"/>
      <c r="K567" s="27"/>
    </row>
    <row r="568">
      <c r="C568" s="27"/>
      <c r="D568" s="27"/>
      <c r="E568" s="27"/>
      <c r="F568" s="27"/>
      <c r="G568" s="27"/>
      <c r="H568" s="27"/>
      <c r="I568" s="518"/>
      <c r="J568" s="27"/>
      <c r="K568" s="27"/>
    </row>
    <row r="569">
      <c r="C569" s="27"/>
      <c r="D569" s="27"/>
      <c r="E569" s="27"/>
      <c r="F569" s="27"/>
      <c r="G569" s="27"/>
      <c r="H569" s="27"/>
      <c r="I569" s="518"/>
      <c r="J569" s="27"/>
      <c r="K569" s="27"/>
    </row>
    <row r="570">
      <c r="C570" s="27"/>
      <c r="D570" s="27"/>
      <c r="E570" s="27"/>
      <c r="F570" s="27"/>
      <c r="G570" s="27"/>
      <c r="H570" s="27"/>
      <c r="I570" s="518"/>
      <c r="J570" s="27"/>
      <c r="K570" s="27"/>
    </row>
    <row r="571">
      <c r="C571" s="27"/>
      <c r="D571" s="27"/>
      <c r="E571" s="27"/>
      <c r="F571" s="27"/>
      <c r="G571" s="27"/>
      <c r="H571" s="27"/>
      <c r="I571" s="518"/>
      <c r="J571" s="27"/>
      <c r="K571" s="27"/>
    </row>
    <row r="572">
      <c r="C572" s="27"/>
      <c r="D572" s="27"/>
      <c r="E572" s="27"/>
      <c r="F572" s="27"/>
      <c r="G572" s="27"/>
      <c r="H572" s="27"/>
      <c r="I572" s="518"/>
      <c r="J572" s="27"/>
      <c r="K572" s="27"/>
    </row>
    <row r="573">
      <c r="C573" s="27"/>
      <c r="D573" s="27"/>
      <c r="E573" s="27"/>
      <c r="F573" s="27"/>
      <c r="G573" s="27"/>
      <c r="H573" s="27"/>
      <c r="I573" s="518"/>
      <c r="J573" s="27"/>
      <c r="K573" s="27"/>
    </row>
    <row r="574">
      <c r="C574" s="27"/>
      <c r="D574" s="27"/>
      <c r="E574" s="27"/>
      <c r="F574" s="27"/>
      <c r="G574" s="27"/>
      <c r="H574" s="27"/>
      <c r="I574" s="518"/>
      <c r="J574" s="27"/>
      <c r="K574" s="27"/>
    </row>
    <row r="575">
      <c r="C575" s="27"/>
      <c r="D575" s="27"/>
      <c r="E575" s="27"/>
      <c r="F575" s="27"/>
      <c r="G575" s="27"/>
      <c r="H575" s="27"/>
      <c r="I575" s="518"/>
      <c r="J575" s="27"/>
      <c r="K575" s="27"/>
    </row>
    <row r="576">
      <c r="C576" s="27"/>
      <c r="D576" s="27"/>
      <c r="E576" s="27"/>
      <c r="F576" s="27"/>
      <c r="G576" s="27"/>
      <c r="H576" s="27"/>
      <c r="I576" s="518"/>
      <c r="J576" s="27"/>
      <c r="K576" s="27"/>
    </row>
    <row r="577">
      <c r="C577" s="27"/>
      <c r="D577" s="27"/>
      <c r="E577" s="27"/>
      <c r="F577" s="27"/>
      <c r="G577" s="27"/>
      <c r="H577" s="27"/>
      <c r="I577" s="518"/>
      <c r="J577" s="27"/>
      <c r="K577" s="27"/>
    </row>
    <row r="578">
      <c r="C578" s="27"/>
      <c r="D578" s="27"/>
      <c r="E578" s="27"/>
      <c r="F578" s="27"/>
      <c r="G578" s="27"/>
      <c r="H578" s="27"/>
      <c r="I578" s="518"/>
      <c r="J578" s="27"/>
      <c r="K578" s="27"/>
    </row>
    <row r="579">
      <c r="C579" s="27"/>
      <c r="D579" s="27"/>
      <c r="E579" s="27"/>
      <c r="F579" s="27"/>
      <c r="G579" s="27"/>
      <c r="H579" s="27"/>
      <c r="I579" s="518"/>
      <c r="J579" s="27"/>
      <c r="K579" s="27"/>
    </row>
    <row r="580">
      <c r="C580" s="27"/>
      <c r="D580" s="27"/>
      <c r="E580" s="27"/>
      <c r="F580" s="27"/>
      <c r="G580" s="27"/>
      <c r="H580" s="27"/>
      <c r="I580" s="518"/>
      <c r="J580" s="27"/>
      <c r="K580" s="27"/>
    </row>
    <row r="581">
      <c r="C581" s="27"/>
      <c r="D581" s="27"/>
      <c r="E581" s="27"/>
      <c r="F581" s="27"/>
      <c r="G581" s="27"/>
      <c r="H581" s="27"/>
      <c r="I581" s="518"/>
      <c r="J581" s="27"/>
      <c r="K581" s="27"/>
    </row>
    <row r="582">
      <c r="C582" s="27"/>
      <c r="D582" s="27"/>
      <c r="E582" s="27"/>
      <c r="F582" s="27"/>
      <c r="G582" s="27"/>
      <c r="H582" s="27"/>
      <c r="I582" s="518"/>
      <c r="J582" s="27"/>
      <c r="K582" s="27"/>
    </row>
    <row r="583">
      <c r="C583" s="27"/>
      <c r="D583" s="27"/>
      <c r="E583" s="27"/>
      <c r="F583" s="27"/>
      <c r="G583" s="27"/>
      <c r="H583" s="27"/>
      <c r="I583" s="518"/>
      <c r="J583" s="27"/>
      <c r="K583" s="27"/>
    </row>
    <row r="584">
      <c r="C584" s="27"/>
      <c r="D584" s="27"/>
      <c r="E584" s="27"/>
      <c r="F584" s="27"/>
      <c r="G584" s="27"/>
      <c r="H584" s="27"/>
      <c r="I584" s="518"/>
      <c r="J584" s="27"/>
      <c r="K584" s="27"/>
    </row>
    <row r="585">
      <c r="C585" s="27"/>
      <c r="D585" s="27"/>
      <c r="E585" s="27"/>
      <c r="F585" s="27"/>
      <c r="G585" s="27"/>
      <c r="H585" s="27"/>
      <c r="I585" s="518"/>
      <c r="J585" s="27"/>
      <c r="K585" s="27"/>
    </row>
    <row r="586">
      <c r="C586" s="27"/>
      <c r="D586" s="27"/>
      <c r="E586" s="27"/>
      <c r="F586" s="27"/>
      <c r="G586" s="27"/>
      <c r="H586" s="27"/>
      <c r="I586" s="518"/>
      <c r="J586" s="27"/>
      <c r="K586" s="27"/>
    </row>
    <row r="587">
      <c r="C587" s="27"/>
      <c r="D587" s="27"/>
      <c r="E587" s="27"/>
      <c r="F587" s="27"/>
      <c r="G587" s="27"/>
      <c r="H587" s="27"/>
      <c r="I587" s="518"/>
      <c r="J587" s="27"/>
      <c r="K587" s="27"/>
    </row>
    <row r="588">
      <c r="C588" s="27"/>
      <c r="D588" s="27"/>
      <c r="E588" s="27"/>
      <c r="F588" s="27"/>
      <c r="G588" s="27"/>
      <c r="H588" s="27"/>
      <c r="I588" s="518"/>
      <c r="J588" s="27"/>
      <c r="K588" s="27"/>
    </row>
    <row r="589">
      <c r="C589" s="27"/>
      <c r="D589" s="27"/>
      <c r="E589" s="27"/>
      <c r="F589" s="27"/>
      <c r="G589" s="27"/>
      <c r="H589" s="27"/>
      <c r="I589" s="518"/>
      <c r="J589" s="27"/>
      <c r="K589" s="27"/>
    </row>
    <row r="590">
      <c r="C590" s="27"/>
      <c r="D590" s="27"/>
      <c r="E590" s="27"/>
      <c r="F590" s="27"/>
      <c r="G590" s="27"/>
      <c r="H590" s="27"/>
      <c r="I590" s="518"/>
      <c r="J590" s="27"/>
      <c r="K590" s="27"/>
    </row>
    <row r="591">
      <c r="C591" s="27"/>
      <c r="D591" s="27"/>
      <c r="E591" s="27"/>
      <c r="F591" s="27"/>
      <c r="G591" s="27"/>
      <c r="H591" s="27"/>
      <c r="I591" s="518"/>
      <c r="J591" s="27"/>
      <c r="K591" s="27"/>
    </row>
    <row r="592">
      <c r="C592" s="27"/>
      <c r="D592" s="27"/>
      <c r="E592" s="27"/>
      <c r="F592" s="27"/>
      <c r="G592" s="27"/>
      <c r="H592" s="27"/>
      <c r="I592" s="518"/>
      <c r="J592" s="27"/>
      <c r="K592" s="27"/>
    </row>
    <row r="593">
      <c r="C593" s="27"/>
      <c r="D593" s="27"/>
      <c r="E593" s="27"/>
      <c r="F593" s="27"/>
      <c r="G593" s="27"/>
      <c r="H593" s="27"/>
      <c r="I593" s="518"/>
      <c r="J593" s="27"/>
      <c r="K593" s="27"/>
    </row>
    <row r="594">
      <c r="C594" s="27"/>
      <c r="D594" s="27"/>
      <c r="E594" s="27"/>
      <c r="F594" s="27"/>
      <c r="G594" s="27"/>
      <c r="H594" s="27"/>
      <c r="I594" s="518"/>
      <c r="J594" s="27"/>
      <c r="K594" s="27"/>
    </row>
    <row r="595">
      <c r="C595" s="27"/>
      <c r="D595" s="27"/>
      <c r="E595" s="27"/>
      <c r="F595" s="27"/>
      <c r="G595" s="27"/>
      <c r="H595" s="27"/>
      <c r="I595" s="518"/>
      <c r="J595" s="27"/>
      <c r="K595" s="27"/>
    </row>
    <row r="596">
      <c r="C596" s="27"/>
      <c r="D596" s="27"/>
      <c r="E596" s="27"/>
      <c r="F596" s="27"/>
      <c r="G596" s="27"/>
      <c r="H596" s="27"/>
      <c r="I596" s="518"/>
      <c r="J596" s="27"/>
      <c r="K596" s="27"/>
    </row>
    <row r="597">
      <c r="C597" s="27"/>
      <c r="D597" s="27"/>
      <c r="E597" s="27"/>
      <c r="F597" s="27"/>
      <c r="G597" s="27"/>
      <c r="H597" s="27"/>
      <c r="I597" s="518"/>
      <c r="J597" s="27"/>
      <c r="K597" s="27"/>
    </row>
    <row r="598">
      <c r="C598" s="27"/>
      <c r="D598" s="27"/>
      <c r="E598" s="27"/>
      <c r="F598" s="27"/>
      <c r="G598" s="27"/>
      <c r="H598" s="27"/>
      <c r="I598" s="518"/>
      <c r="J598" s="27"/>
      <c r="K598" s="27"/>
    </row>
    <row r="599">
      <c r="C599" s="27"/>
      <c r="D599" s="27"/>
      <c r="E599" s="27"/>
      <c r="F599" s="27"/>
      <c r="G599" s="27"/>
      <c r="H599" s="27"/>
      <c r="I599" s="518"/>
      <c r="J599" s="27"/>
      <c r="K599" s="27"/>
    </row>
    <row r="600">
      <c r="C600" s="27"/>
      <c r="D600" s="27"/>
      <c r="E600" s="27"/>
      <c r="F600" s="27"/>
      <c r="G600" s="27"/>
      <c r="H600" s="27"/>
      <c r="I600" s="518"/>
      <c r="J600" s="27"/>
      <c r="K600" s="27"/>
    </row>
    <row r="601">
      <c r="C601" s="27"/>
      <c r="D601" s="27"/>
      <c r="E601" s="27"/>
      <c r="F601" s="27"/>
      <c r="G601" s="27"/>
      <c r="H601" s="27"/>
      <c r="I601" s="518"/>
      <c r="J601" s="27"/>
      <c r="K601" s="27"/>
    </row>
    <row r="602">
      <c r="C602" s="27"/>
      <c r="D602" s="27"/>
      <c r="E602" s="27"/>
      <c r="F602" s="27"/>
      <c r="G602" s="27"/>
      <c r="H602" s="27"/>
      <c r="I602" s="518"/>
      <c r="J602" s="27"/>
      <c r="K602" s="27"/>
    </row>
    <row r="603">
      <c r="C603" s="27"/>
      <c r="D603" s="27"/>
      <c r="E603" s="27"/>
      <c r="F603" s="27"/>
      <c r="G603" s="27"/>
      <c r="H603" s="27"/>
      <c r="I603" s="518"/>
      <c r="J603" s="27"/>
      <c r="K603" s="27"/>
    </row>
    <row r="604">
      <c r="C604" s="27"/>
      <c r="D604" s="27"/>
      <c r="E604" s="27"/>
      <c r="F604" s="27"/>
      <c r="G604" s="27"/>
      <c r="H604" s="27"/>
      <c r="I604" s="518"/>
      <c r="J604" s="27"/>
      <c r="K604" s="27"/>
    </row>
    <row r="605">
      <c r="C605" s="27"/>
      <c r="D605" s="27"/>
      <c r="E605" s="27"/>
      <c r="F605" s="27"/>
      <c r="G605" s="27"/>
      <c r="H605" s="27"/>
      <c r="I605" s="518"/>
      <c r="J605" s="27"/>
      <c r="K605" s="27"/>
    </row>
    <row r="606">
      <c r="C606" s="27"/>
      <c r="D606" s="27"/>
      <c r="E606" s="27"/>
      <c r="F606" s="27"/>
      <c r="G606" s="27"/>
      <c r="H606" s="27"/>
      <c r="I606" s="518"/>
      <c r="J606" s="27"/>
      <c r="K606" s="27"/>
    </row>
    <row r="607">
      <c r="C607" s="27"/>
      <c r="D607" s="27"/>
      <c r="E607" s="27"/>
      <c r="F607" s="27"/>
      <c r="G607" s="27"/>
      <c r="H607" s="27"/>
      <c r="I607" s="518"/>
      <c r="J607" s="27"/>
      <c r="K607" s="27"/>
    </row>
    <row r="608">
      <c r="C608" s="27"/>
      <c r="D608" s="27"/>
      <c r="E608" s="27"/>
      <c r="F608" s="27"/>
      <c r="G608" s="27"/>
      <c r="H608" s="27"/>
      <c r="I608" s="518"/>
      <c r="J608" s="27"/>
      <c r="K608" s="27"/>
    </row>
    <row r="609">
      <c r="C609" s="27"/>
      <c r="D609" s="27"/>
      <c r="E609" s="27"/>
      <c r="F609" s="27"/>
      <c r="G609" s="27"/>
      <c r="H609" s="27"/>
      <c r="I609" s="518"/>
      <c r="J609" s="27"/>
      <c r="K609" s="27"/>
    </row>
    <row r="610">
      <c r="C610" s="27"/>
      <c r="D610" s="27"/>
      <c r="E610" s="27"/>
      <c r="F610" s="27"/>
      <c r="G610" s="27"/>
      <c r="H610" s="27"/>
      <c r="I610" s="518"/>
      <c r="J610" s="27"/>
      <c r="K610" s="27"/>
    </row>
    <row r="611">
      <c r="C611" s="27"/>
      <c r="D611" s="27"/>
      <c r="E611" s="27"/>
      <c r="F611" s="27"/>
      <c r="G611" s="27"/>
      <c r="H611" s="27"/>
      <c r="I611" s="518"/>
      <c r="J611" s="27"/>
      <c r="K611" s="27"/>
    </row>
    <row r="612">
      <c r="C612" s="27"/>
      <c r="D612" s="27"/>
      <c r="E612" s="27"/>
      <c r="F612" s="27"/>
      <c r="G612" s="27"/>
      <c r="H612" s="27"/>
      <c r="I612" s="518"/>
      <c r="J612" s="27"/>
      <c r="K612" s="27"/>
    </row>
    <row r="613">
      <c r="C613" s="27"/>
      <c r="D613" s="27"/>
      <c r="E613" s="27"/>
      <c r="F613" s="27"/>
      <c r="G613" s="27"/>
      <c r="H613" s="27"/>
      <c r="I613" s="518"/>
      <c r="J613" s="27"/>
      <c r="K613" s="27"/>
    </row>
    <row r="614">
      <c r="C614" s="27"/>
      <c r="D614" s="27"/>
      <c r="E614" s="27"/>
      <c r="F614" s="27"/>
      <c r="G614" s="27"/>
      <c r="H614" s="27"/>
      <c r="I614" s="518"/>
      <c r="J614" s="27"/>
      <c r="K614" s="27"/>
    </row>
    <row r="615">
      <c r="C615" s="27"/>
      <c r="D615" s="27"/>
      <c r="E615" s="27"/>
      <c r="F615" s="27"/>
      <c r="G615" s="27"/>
      <c r="H615" s="27"/>
      <c r="I615" s="518"/>
      <c r="J615" s="27"/>
      <c r="K615" s="27"/>
    </row>
    <row r="616">
      <c r="C616" s="27"/>
      <c r="D616" s="27"/>
      <c r="E616" s="27"/>
      <c r="F616" s="27"/>
      <c r="G616" s="27"/>
      <c r="H616" s="27"/>
      <c r="I616" s="518"/>
      <c r="J616" s="27"/>
      <c r="K616" s="27"/>
    </row>
    <row r="617">
      <c r="C617" s="27"/>
      <c r="D617" s="27"/>
      <c r="E617" s="27"/>
      <c r="F617" s="27"/>
      <c r="G617" s="27"/>
      <c r="H617" s="27"/>
      <c r="I617" s="518"/>
      <c r="J617" s="27"/>
      <c r="K617" s="27"/>
    </row>
    <row r="618">
      <c r="C618" s="27"/>
      <c r="D618" s="27"/>
      <c r="E618" s="27"/>
      <c r="F618" s="27"/>
      <c r="G618" s="27"/>
      <c r="H618" s="27"/>
      <c r="I618" s="518"/>
      <c r="J618" s="27"/>
      <c r="K618" s="27"/>
    </row>
    <row r="619">
      <c r="C619" s="27"/>
      <c r="D619" s="27"/>
      <c r="E619" s="27"/>
      <c r="F619" s="27"/>
      <c r="G619" s="27"/>
      <c r="H619" s="27"/>
      <c r="I619" s="518"/>
      <c r="J619" s="27"/>
      <c r="K619" s="27"/>
    </row>
    <row r="620">
      <c r="C620" s="27"/>
      <c r="D620" s="27"/>
      <c r="E620" s="27"/>
      <c r="F620" s="27"/>
      <c r="G620" s="27"/>
      <c r="H620" s="27"/>
      <c r="I620" s="518"/>
      <c r="J620" s="27"/>
      <c r="K620" s="27"/>
    </row>
    <row r="621">
      <c r="C621" s="27"/>
      <c r="D621" s="27"/>
      <c r="E621" s="27"/>
      <c r="F621" s="27"/>
      <c r="G621" s="27"/>
      <c r="H621" s="27"/>
      <c r="I621" s="518"/>
      <c r="J621" s="27"/>
      <c r="K621" s="27"/>
    </row>
    <row r="622">
      <c r="C622" s="27"/>
      <c r="D622" s="27"/>
      <c r="E622" s="27"/>
      <c r="F622" s="27"/>
      <c r="G622" s="27"/>
      <c r="H622" s="27"/>
      <c r="I622" s="518"/>
      <c r="J622" s="27"/>
      <c r="K622" s="27"/>
    </row>
    <row r="623">
      <c r="C623" s="27"/>
      <c r="D623" s="27"/>
      <c r="E623" s="27"/>
      <c r="F623" s="27"/>
      <c r="G623" s="27"/>
      <c r="H623" s="27"/>
      <c r="I623" s="518"/>
      <c r="J623" s="27"/>
      <c r="K623" s="27"/>
    </row>
    <row r="624">
      <c r="C624" s="27"/>
      <c r="D624" s="27"/>
      <c r="E624" s="27"/>
      <c r="F624" s="27"/>
      <c r="G624" s="27"/>
      <c r="H624" s="27"/>
      <c r="I624" s="518"/>
      <c r="J624" s="27"/>
      <c r="K624" s="27"/>
    </row>
    <row r="625">
      <c r="C625" s="27"/>
      <c r="D625" s="27"/>
      <c r="E625" s="27"/>
      <c r="F625" s="27"/>
      <c r="G625" s="27"/>
      <c r="H625" s="27"/>
      <c r="I625" s="518"/>
      <c r="J625" s="27"/>
      <c r="K625" s="27"/>
    </row>
    <row r="626">
      <c r="C626" s="27"/>
      <c r="D626" s="27"/>
      <c r="E626" s="27"/>
      <c r="F626" s="27"/>
      <c r="G626" s="27"/>
      <c r="H626" s="27"/>
      <c r="I626" s="518"/>
      <c r="J626" s="27"/>
      <c r="K626" s="27"/>
    </row>
    <row r="627">
      <c r="C627" s="27"/>
      <c r="D627" s="27"/>
      <c r="E627" s="27"/>
      <c r="F627" s="27"/>
      <c r="G627" s="27"/>
      <c r="H627" s="27"/>
      <c r="I627" s="518"/>
      <c r="J627" s="27"/>
      <c r="K627" s="27"/>
    </row>
    <row r="628">
      <c r="C628" s="27"/>
      <c r="D628" s="27"/>
      <c r="E628" s="27"/>
      <c r="F628" s="27"/>
      <c r="G628" s="27"/>
      <c r="H628" s="27"/>
      <c r="I628" s="518"/>
      <c r="J628" s="27"/>
      <c r="K628" s="27"/>
    </row>
    <row r="629">
      <c r="C629" s="27"/>
      <c r="D629" s="27"/>
      <c r="E629" s="27"/>
      <c r="F629" s="27"/>
      <c r="G629" s="27"/>
      <c r="H629" s="27"/>
      <c r="I629" s="518"/>
      <c r="J629" s="27"/>
      <c r="K629" s="27"/>
    </row>
    <row r="630">
      <c r="C630" s="27"/>
      <c r="D630" s="27"/>
      <c r="E630" s="27"/>
      <c r="F630" s="27"/>
      <c r="G630" s="27"/>
      <c r="H630" s="27"/>
      <c r="I630" s="518"/>
      <c r="J630" s="27"/>
      <c r="K630" s="27"/>
    </row>
    <row r="631">
      <c r="C631" s="27"/>
      <c r="D631" s="27"/>
      <c r="E631" s="27"/>
      <c r="F631" s="27"/>
      <c r="G631" s="27"/>
      <c r="H631" s="27"/>
      <c r="I631" s="518"/>
      <c r="J631" s="27"/>
      <c r="K631" s="27"/>
    </row>
    <row r="632">
      <c r="C632" s="27"/>
      <c r="D632" s="27"/>
      <c r="E632" s="27"/>
      <c r="F632" s="27"/>
      <c r="G632" s="27"/>
      <c r="H632" s="27"/>
      <c r="I632" s="518"/>
      <c r="J632" s="27"/>
      <c r="K632" s="27"/>
    </row>
    <row r="633">
      <c r="C633" s="27"/>
      <c r="D633" s="27"/>
      <c r="E633" s="27"/>
      <c r="F633" s="27"/>
      <c r="G633" s="27"/>
      <c r="H633" s="27"/>
      <c r="I633" s="518"/>
      <c r="J633" s="27"/>
      <c r="K633" s="27"/>
    </row>
    <row r="634">
      <c r="C634" s="27"/>
      <c r="D634" s="27"/>
      <c r="E634" s="27"/>
      <c r="F634" s="27"/>
      <c r="G634" s="27"/>
      <c r="H634" s="27"/>
      <c r="I634" s="518"/>
      <c r="J634" s="27"/>
      <c r="K634" s="27"/>
    </row>
    <row r="635">
      <c r="C635" s="27"/>
      <c r="D635" s="27"/>
      <c r="E635" s="27"/>
      <c r="F635" s="27"/>
      <c r="G635" s="27"/>
      <c r="H635" s="27"/>
      <c r="I635" s="518"/>
      <c r="J635" s="27"/>
      <c r="K635" s="27"/>
    </row>
    <row r="636">
      <c r="C636" s="27"/>
      <c r="D636" s="27"/>
      <c r="E636" s="27"/>
      <c r="F636" s="27"/>
      <c r="G636" s="27"/>
      <c r="H636" s="27"/>
      <c r="I636" s="518"/>
      <c r="J636" s="27"/>
      <c r="K636" s="27"/>
    </row>
    <row r="637">
      <c r="C637" s="27"/>
      <c r="D637" s="27"/>
      <c r="E637" s="27"/>
      <c r="F637" s="27"/>
      <c r="G637" s="27"/>
      <c r="H637" s="27"/>
      <c r="I637" s="518"/>
      <c r="J637" s="27"/>
      <c r="K637" s="27"/>
    </row>
    <row r="638">
      <c r="C638" s="27"/>
      <c r="D638" s="27"/>
      <c r="E638" s="27"/>
      <c r="F638" s="27"/>
      <c r="G638" s="27"/>
      <c r="H638" s="27"/>
      <c r="I638" s="518"/>
      <c r="J638" s="27"/>
      <c r="K638" s="27"/>
    </row>
    <row r="639">
      <c r="C639" s="27"/>
      <c r="D639" s="27"/>
      <c r="E639" s="27"/>
      <c r="F639" s="27"/>
      <c r="G639" s="27"/>
      <c r="H639" s="27"/>
      <c r="I639" s="518"/>
      <c r="J639" s="27"/>
      <c r="K639" s="27"/>
    </row>
    <row r="640">
      <c r="C640" s="27"/>
      <c r="D640" s="27"/>
      <c r="E640" s="27"/>
      <c r="F640" s="27"/>
      <c r="G640" s="27"/>
      <c r="H640" s="27"/>
      <c r="I640" s="518"/>
      <c r="J640" s="27"/>
      <c r="K640" s="27"/>
    </row>
    <row r="641">
      <c r="C641" s="27"/>
      <c r="D641" s="27"/>
      <c r="E641" s="27"/>
      <c r="F641" s="27"/>
      <c r="G641" s="27"/>
      <c r="H641" s="27"/>
      <c r="I641" s="518"/>
      <c r="J641" s="27"/>
      <c r="K641" s="27"/>
    </row>
    <row r="642">
      <c r="C642" s="27"/>
      <c r="D642" s="27"/>
      <c r="E642" s="27"/>
      <c r="F642" s="27"/>
      <c r="G642" s="27"/>
      <c r="H642" s="27"/>
      <c r="I642" s="518"/>
      <c r="J642" s="27"/>
      <c r="K642" s="27"/>
    </row>
    <row r="643">
      <c r="C643" s="27"/>
      <c r="D643" s="27"/>
      <c r="E643" s="27"/>
      <c r="F643" s="27"/>
      <c r="G643" s="27"/>
      <c r="H643" s="27"/>
      <c r="I643" s="518"/>
      <c r="J643" s="27"/>
      <c r="K643" s="27"/>
    </row>
    <row r="644">
      <c r="C644" s="27"/>
      <c r="D644" s="27"/>
      <c r="E644" s="27"/>
      <c r="F644" s="27"/>
      <c r="G644" s="27"/>
      <c r="H644" s="27"/>
      <c r="I644" s="518"/>
      <c r="J644" s="27"/>
      <c r="K644" s="27"/>
    </row>
    <row r="645">
      <c r="C645" s="27"/>
      <c r="D645" s="27"/>
      <c r="E645" s="27"/>
      <c r="F645" s="27"/>
      <c r="G645" s="27"/>
      <c r="H645" s="27"/>
      <c r="I645" s="518"/>
      <c r="J645" s="27"/>
      <c r="K645" s="27"/>
    </row>
    <row r="646">
      <c r="C646" s="27"/>
      <c r="D646" s="27"/>
      <c r="E646" s="27"/>
      <c r="F646" s="27"/>
      <c r="G646" s="27"/>
      <c r="H646" s="27"/>
      <c r="I646" s="518"/>
      <c r="J646" s="27"/>
      <c r="K646" s="27"/>
    </row>
    <row r="647">
      <c r="C647" s="27"/>
      <c r="D647" s="27"/>
      <c r="E647" s="27"/>
      <c r="F647" s="27"/>
      <c r="G647" s="27"/>
      <c r="H647" s="27"/>
      <c r="I647" s="518"/>
      <c r="J647" s="27"/>
      <c r="K647" s="27"/>
    </row>
    <row r="648">
      <c r="C648" s="27"/>
      <c r="D648" s="27"/>
      <c r="E648" s="27"/>
      <c r="F648" s="27"/>
      <c r="G648" s="27"/>
      <c r="H648" s="27"/>
      <c r="I648" s="518"/>
      <c r="J648" s="27"/>
      <c r="K648" s="27"/>
    </row>
    <row r="649">
      <c r="C649" s="27"/>
      <c r="D649" s="27"/>
      <c r="E649" s="27"/>
      <c r="F649" s="27"/>
      <c r="G649" s="27"/>
      <c r="H649" s="27"/>
      <c r="I649" s="518"/>
      <c r="J649" s="27"/>
      <c r="K649" s="27"/>
    </row>
    <row r="650">
      <c r="C650" s="27"/>
      <c r="D650" s="27"/>
      <c r="E650" s="27"/>
      <c r="F650" s="27"/>
      <c r="G650" s="27"/>
      <c r="H650" s="27"/>
      <c r="I650" s="518"/>
      <c r="J650" s="27"/>
      <c r="K650" s="27"/>
    </row>
    <row r="651">
      <c r="C651" s="27"/>
      <c r="D651" s="27"/>
      <c r="E651" s="27"/>
      <c r="F651" s="27"/>
      <c r="G651" s="27"/>
      <c r="H651" s="27"/>
      <c r="I651" s="518"/>
      <c r="J651" s="27"/>
      <c r="K651" s="27"/>
    </row>
    <row r="652">
      <c r="C652" s="27"/>
      <c r="D652" s="27"/>
      <c r="E652" s="27"/>
      <c r="F652" s="27"/>
      <c r="G652" s="27"/>
      <c r="H652" s="27"/>
      <c r="I652" s="518"/>
      <c r="J652" s="27"/>
      <c r="K652" s="27"/>
    </row>
    <row r="653">
      <c r="C653" s="27"/>
      <c r="D653" s="27"/>
      <c r="E653" s="27"/>
      <c r="F653" s="27"/>
      <c r="G653" s="27"/>
      <c r="H653" s="27"/>
      <c r="I653" s="518"/>
      <c r="J653" s="27"/>
      <c r="K653" s="27"/>
    </row>
    <row r="654">
      <c r="C654" s="27"/>
      <c r="D654" s="27"/>
      <c r="E654" s="27"/>
      <c r="F654" s="27"/>
      <c r="G654" s="27"/>
      <c r="H654" s="27"/>
      <c r="I654" s="518"/>
      <c r="J654" s="27"/>
      <c r="K654" s="27"/>
    </row>
    <row r="655">
      <c r="C655" s="27"/>
      <c r="D655" s="27"/>
      <c r="E655" s="27"/>
      <c r="F655" s="27"/>
      <c r="G655" s="27"/>
      <c r="H655" s="27"/>
      <c r="I655" s="518"/>
      <c r="J655" s="27"/>
      <c r="K655" s="27"/>
    </row>
    <row r="656">
      <c r="C656" s="27"/>
      <c r="D656" s="27"/>
      <c r="E656" s="27"/>
      <c r="F656" s="27"/>
      <c r="G656" s="27"/>
      <c r="H656" s="27"/>
      <c r="I656" s="518"/>
      <c r="J656" s="27"/>
      <c r="K656" s="27"/>
    </row>
    <row r="657">
      <c r="C657" s="27"/>
      <c r="D657" s="27"/>
      <c r="E657" s="27"/>
      <c r="F657" s="27"/>
      <c r="G657" s="27"/>
      <c r="H657" s="27"/>
      <c r="I657" s="518"/>
      <c r="J657" s="27"/>
      <c r="K657" s="27"/>
    </row>
    <row r="658">
      <c r="C658" s="27"/>
      <c r="D658" s="27"/>
      <c r="E658" s="27"/>
      <c r="F658" s="27"/>
      <c r="G658" s="27"/>
      <c r="H658" s="27"/>
      <c r="I658" s="518"/>
      <c r="J658" s="27"/>
      <c r="K658" s="27"/>
    </row>
    <row r="659">
      <c r="C659" s="27"/>
      <c r="D659" s="27"/>
      <c r="E659" s="27"/>
      <c r="F659" s="27"/>
      <c r="G659" s="27"/>
      <c r="H659" s="27"/>
      <c r="I659" s="518"/>
      <c r="J659" s="27"/>
      <c r="K659" s="27"/>
    </row>
    <row r="660">
      <c r="C660" s="27"/>
      <c r="D660" s="27"/>
      <c r="E660" s="27"/>
      <c r="F660" s="27"/>
      <c r="G660" s="27"/>
      <c r="H660" s="27"/>
      <c r="I660" s="518"/>
      <c r="J660" s="27"/>
      <c r="K660" s="27"/>
    </row>
    <row r="661">
      <c r="C661" s="27"/>
      <c r="D661" s="27"/>
      <c r="E661" s="27"/>
      <c r="F661" s="27"/>
      <c r="G661" s="27"/>
      <c r="H661" s="27"/>
      <c r="I661" s="518"/>
      <c r="J661" s="27"/>
      <c r="K661" s="27"/>
    </row>
    <row r="662">
      <c r="C662" s="27"/>
      <c r="D662" s="27"/>
      <c r="E662" s="27"/>
      <c r="F662" s="27"/>
      <c r="G662" s="27"/>
      <c r="H662" s="27"/>
      <c r="I662" s="518"/>
      <c r="J662" s="27"/>
      <c r="K662" s="27"/>
    </row>
    <row r="663">
      <c r="C663" s="27"/>
      <c r="D663" s="27"/>
      <c r="E663" s="27"/>
      <c r="F663" s="27"/>
      <c r="G663" s="27"/>
      <c r="H663" s="27"/>
      <c r="I663" s="518"/>
      <c r="J663" s="27"/>
      <c r="K663" s="27"/>
    </row>
    <row r="664">
      <c r="C664" s="27"/>
      <c r="D664" s="27"/>
      <c r="E664" s="27"/>
      <c r="F664" s="27"/>
      <c r="G664" s="27"/>
      <c r="H664" s="27"/>
      <c r="I664" s="518"/>
      <c r="J664" s="27"/>
      <c r="K664" s="27"/>
    </row>
    <row r="665">
      <c r="C665" s="27"/>
      <c r="D665" s="27"/>
      <c r="E665" s="27"/>
      <c r="F665" s="27"/>
      <c r="G665" s="27"/>
      <c r="H665" s="27"/>
      <c r="I665" s="518"/>
      <c r="J665" s="27"/>
      <c r="K665" s="27"/>
    </row>
    <row r="666">
      <c r="C666" s="27"/>
      <c r="D666" s="27"/>
      <c r="E666" s="27"/>
      <c r="F666" s="27"/>
      <c r="G666" s="27"/>
      <c r="H666" s="27"/>
      <c r="I666" s="518"/>
      <c r="J666" s="27"/>
      <c r="K666" s="27"/>
    </row>
    <row r="667">
      <c r="C667" s="27"/>
      <c r="D667" s="27"/>
      <c r="E667" s="27"/>
      <c r="F667" s="27"/>
      <c r="G667" s="27"/>
      <c r="H667" s="27"/>
      <c r="I667" s="518"/>
      <c r="J667" s="27"/>
      <c r="K667" s="27"/>
    </row>
    <row r="668">
      <c r="C668" s="27"/>
      <c r="D668" s="27"/>
      <c r="E668" s="27"/>
      <c r="F668" s="27"/>
      <c r="G668" s="27"/>
      <c r="H668" s="27"/>
      <c r="I668" s="518"/>
      <c r="J668" s="27"/>
      <c r="K668" s="27"/>
    </row>
    <row r="669">
      <c r="C669" s="27"/>
      <c r="D669" s="27"/>
      <c r="E669" s="27"/>
      <c r="F669" s="27"/>
      <c r="G669" s="27"/>
      <c r="H669" s="27"/>
      <c r="I669" s="518"/>
      <c r="J669" s="27"/>
      <c r="K669" s="27"/>
    </row>
    <row r="670">
      <c r="C670" s="27"/>
      <c r="D670" s="27"/>
      <c r="E670" s="27"/>
      <c r="F670" s="27"/>
      <c r="G670" s="27"/>
      <c r="H670" s="27"/>
      <c r="I670" s="518"/>
      <c r="J670" s="27"/>
      <c r="K670" s="27"/>
    </row>
    <row r="671">
      <c r="C671" s="27"/>
      <c r="D671" s="27"/>
      <c r="E671" s="27"/>
      <c r="F671" s="27"/>
      <c r="G671" s="27"/>
      <c r="H671" s="27"/>
      <c r="I671" s="518"/>
      <c r="J671" s="27"/>
      <c r="K671" s="27"/>
    </row>
    <row r="672">
      <c r="C672" s="27"/>
      <c r="D672" s="27"/>
      <c r="E672" s="27"/>
      <c r="F672" s="27"/>
      <c r="G672" s="27"/>
      <c r="H672" s="27"/>
      <c r="I672" s="518"/>
      <c r="J672" s="27"/>
      <c r="K672" s="27"/>
    </row>
    <row r="673">
      <c r="C673" s="27"/>
      <c r="D673" s="27"/>
      <c r="E673" s="27"/>
      <c r="F673" s="27"/>
      <c r="G673" s="27"/>
      <c r="H673" s="27"/>
      <c r="I673" s="518"/>
      <c r="J673" s="27"/>
      <c r="K673" s="27"/>
    </row>
    <row r="674">
      <c r="C674" s="27"/>
      <c r="D674" s="27"/>
      <c r="E674" s="27"/>
      <c r="F674" s="27"/>
      <c r="G674" s="27"/>
      <c r="H674" s="27"/>
      <c r="I674" s="518"/>
      <c r="J674" s="27"/>
      <c r="K674" s="27"/>
    </row>
    <row r="675">
      <c r="C675" s="27"/>
      <c r="D675" s="27"/>
      <c r="E675" s="27"/>
      <c r="F675" s="27"/>
      <c r="G675" s="27"/>
      <c r="H675" s="27"/>
      <c r="I675" s="518"/>
      <c r="J675" s="27"/>
      <c r="K675" s="27"/>
    </row>
    <row r="676">
      <c r="C676" s="27"/>
      <c r="D676" s="27"/>
      <c r="E676" s="27"/>
      <c r="F676" s="27"/>
      <c r="G676" s="27"/>
      <c r="H676" s="27"/>
      <c r="I676" s="518"/>
      <c r="J676" s="27"/>
      <c r="K676" s="27"/>
    </row>
    <row r="677">
      <c r="C677" s="27"/>
      <c r="D677" s="27"/>
      <c r="E677" s="27"/>
      <c r="F677" s="27"/>
      <c r="G677" s="27"/>
      <c r="H677" s="27"/>
      <c r="I677" s="518"/>
      <c r="J677" s="27"/>
      <c r="K677" s="27"/>
    </row>
    <row r="678">
      <c r="C678" s="27"/>
      <c r="D678" s="27"/>
      <c r="E678" s="27"/>
      <c r="F678" s="27"/>
      <c r="G678" s="27"/>
      <c r="H678" s="27"/>
      <c r="I678" s="518"/>
      <c r="J678" s="27"/>
      <c r="K678" s="27"/>
    </row>
    <row r="679">
      <c r="C679" s="27"/>
      <c r="D679" s="27"/>
      <c r="E679" s="27"/>
      <c r="F679" s="27"/>
      <c r="G679" s="27"/>
      <c r="H679" s="27"/>
      <c r="I679" s="518"/>
      <c r="J679" s="27"/>
      <c r="K679" s="27"/>
    </row>
    <row r="680">
      <c r="C680" s="27"/>
      <c r="D680" s="27"/>
      <c r="E680" s="27"/>
      <c r="F680" s="27"/>
      <c r="G680" s="27"/>
      <c r="H680" s="27"/>
      <c r="I680" s="518"/>
      <c r="J680" s="27"/>
      <c r="K680" s="27"/>
    </row>
    <row r="681">
      <c r="C681" s="27"/>
      <c r="D681" s="27"/>
      <c r="E681" s="27"/>
      <c r="F681" s="27"/>
      <c r="G681" s="27"/>
      <c r="H681" s="27"/>
      <c r="I681" s="518"/>
      <c r="J681" s="27"/>
      <c r="K681" s="27"/>
    </row>
    <row r="682">
      <c r="C682" s="27"/>
      <c r="D682" s="27"/>
      <c r="E682" s="27"/>
      <c r="F682" s="27"/>
      <c r="G682" s="27"/>
      <c r="H682" s="27"/>
      <c r="I682" s="518"/>
      <c r="J682" s="27"/>
      <c r="K682" s="27"/>
    </row>
    <row r="683">
      <c r="C683" s="27"/>
      <c r="D683" s="27"/>
      <c r="E683" s="27"/>
      <c r="F683" s="27"/>
      <c r="G683" s="27"/>
      <c r="H683" s="27"/>
      <c r="I683" s="518"/>
      <c r="J683" s="27"/>
      <c r="K683" s="27"/>
    </row>
    <row r="684">
      <c r="C684" s="27"/>
      <c r="D684" s="27"/>
      <c r="E684" s="27"/>
      <c r="F684" s="27"/>
      <c r="G684" s="27"/>
      <c r="H684" s="27"/>
      <c r="I684" s="518"/>
      <c r="J684" s="27"/>
      <c r="K684" s="27"/>
    </row>
    <row r="685">
      <c r="C685" s="27"/>
      <c r="D685" s="27"/>
      <c r="E685" s="27"/>
      <c r="F685" s="27"/>
      <c r="G685" s="27"/>
      <c r="H685" s="27"/>
      <c r="I685" s="518"/>
      <c r="J685" s="27"/>
      <c r="K685" s="27"/>
    </row>
    <row r="686">
      <c r="C686" s="27"/>
      <c r="D686" s="27"/>
      <c r="E686" s="27"/>
      <c r="F686" s="27"/>
      <c r="G686" s="27"/>
      <c r="H686" s="27"/>
      <c r="I686" s="518"/>
      <c r="J686" s="27"/>
      <c r="K686" s="27"/>
    </row>
    <row r="687">
      <c r="C687" s="27"/>
      <c r="D687" s="27"/>
      <c r="E687" s="27"/>
      <c r="F687" s="27"/>
      <c r="G687" s="27"/>
      <c r="H687" s="27"/>
      <c r="I687" s="518"/>
      <c r="J687" s="27"/>
      <c r="K687" s="27"/>
    </row>
    <row r="688">
      <c r="C688" s="27"/>
      <c r="D688" s="27"/>
      <c r="E688" s="27"/>
      <c r="F688" s="27"/>
      <c r="G688" s="27"/>
      <c r="H688" s="27"/>
      <c r="I688" s="518"/>
      <c r="J688" s="27"/>
      <c r="K688" s="27"/>
    </row>
    <row r="689">
      <c r="C689" s="27"/>
      <c r="D689" s="27"/>
      <c r="E689" s="27"/>
      <c r="F689" s="27"/>
      <c r="G689" s="27"/>
      <c r="H689" s="27"/>
      <c r="I689" s="518"/>
      <c r="J689" s="27"/>
      <c r="K689" s="27"/>
    </row>
    <row r="690">
      <c r="C690" s="27"/>
      <c r="D690" s="27"/>
      <c r="E690" s="27"/>
      <c r="F690" s="27"/>
      <c r="G690" s="27"/>
      <c r="H690" s="27"/>
      <c r="I690" s="518"/>
      <c r="J690" s="27"/>
      <c r="K690" s="27"/>
    </row>
    <row r="691">
      <c r="C691" s="27"/>
      <c r="D691" s="27"/>
      <c r="E691" s="27"/>
      <c r="F691" s="27"/>
      <c r="G691" s="27"/>
      <c r="H691" s="27"/>
      <c r="I691" s="518"/>
      <c r="J691" s="27"/>
      <c r="K691" s="27"/>
    </row>
    <row r="692">
      <c r="C692" s="27"/>
      <c r="D692" s="27"/>
      <c r="E692" s="27"/>
      <c r="F692" s="27"/>
      <c r="G692" s="27"/>
      <c r="H692" s="27"/>
      <c r="I692" s="518"/>
      <c r="J692" s="27"/>
      <c r="K692" s="27"/>
    </row>
    <row r="693">
      <c r="C693" s="27"/>
      <c r="D693" s="27"/>
      <c r="E693" s="27"/>
      <c r="F693" s="27"/>
      <c r="G693" s="27"/>
      <c r="H693" s="27"/>
      <c r="I693" s="518"/>
      <c r="J693" s="27"/>
      <c r="K693" s="27"/>
    </row>
    <row r="694">
      <c r="C694" s="27"/>
      <c r="D694" s="27"/>
      <c r="E694" s="27"/>
      <c r="F694" s="27"/>
      <c r="G694" s="27"/>
      <c r="H694" s="27"/>
      <c r="I694" s="518"/>
      <c r="J694" s="27"/>
      <c r="K694" s="27"/>
    </row>
    <row r="695">
      <c r="C695" s="27"/>
      <c r="D695" s="27"/>
      <c r="E695" s="27"/>
      <c r="F695" s="27"/>
      <c r="G695" s="27"/>
      <c r="H695" s="27"/>
      <c r="I695" s="518"/>
      <c r="J695" s="27"/>
      <c r="K695" s="27"/>
    </row>
    <row r="696">
      <c r="C696" s="27"/>
      <c r="D696" s="27"/>
      <c r="E696" s="27"/>
      <c r="F696" s="27"/>
      <c r="G696" s="27"/>
      <c r="H696" s="27"/>
      <c r="I696" s="518"/>
      <c r="J696" s="27"/>
      <c r="K696" s="27"/>
    </row>
    <row r="697">
      <c r="C697" s="27"/>
      <c r="D697" s="27"/>
      <c r="E697" s="27"/>
      <c r="F697" s="27"/>
      <c r="G697" s="27"/>
      <c r="H697" s="27"/>
      <c r="I697" s="518"/>
      <c r="J697" s="27"/>
      <c r="K697" s="27"/>
    </row>
    <row r="698">
      <c r="C698" s="27"/>
      <c r="D698" s="27"/>
      <c r="E698" s="27"/>
      <c r="F698" s="27"/>
      <c r="G698" s="27"/>
      <c r="H698" s="27"/>
      <c r="I698" s="518"/>
      <c r="J698" s="27"/>
      <c r="K698" s="27"/>
    </row>
    <row r="699">
      <c r="C699" s="27"/>
      <c r="D699" s="27"/>
      <c r="E699" s="27"/>
      <c r="F699" s="27"/>
      <c r="G699" s="27"/>
      <c r="H699" s="27"/>
      <c r="I699" s="518"/>
      <c r="J699" s="27"/>
      <c r="K699" s="27"/>
    </row>
    <row r="700">
      <c r="C700" s="27"/>
      <c r="D700" s="27"/>
      <c r="E700" s="27"/>
      <c r="F700" s="27"/>
      <c r="G700" s="27"/>
      <c r="H700" s="27"/>
      <c r="I700" s="518"/>
      <c r="J700" s="27"/>
      <c r="K700" s="27"/>
    </row>
    <row r="701">
      <c r="C701" s="27"/>
      <c r="D701" s="27"/>
      <c r="E701" s="27"/>
      <c r="F701" s="27"/>
      <c r="G701" s="27"/>
      <c r="H701" s="27"/>
      <c r="I701" s="518"/>
      <c r="J701" s="27"/>
      <c r="K701" s="27"/>
    </row>
    <row r="702">
      <c r="C702" s="27"/>
      <c r="D702" s="27"/>
      <c r="E702" s="27"/>
      <c r="F702" s="27"/>
      <c r="G702" s="27"/>
      <c r="H702" s="27"/>
      <c r="I702" s="518"/>
      <c r="J702" s="27"/>
      <c r="K702" s="27"/>
    </row>
    <row r="703">
      <c r="C703" s="27"/>
      <c r="D703" s="27"/>
      <c r="E703" s="27"/>
      <c r="F703" s="27"/>
      <c r="G703" s="27"/>
      <c r="H703" s="27"/>
      <c r="I703" s="518"/>
      <c r="J703" s="27"/>
      <c r="K703" s="27"/>
    </row>
    <row r="704">
      <c r="C704" s="27"/>
      <c r="D704" s="27"/>
      <c r="E704" s="27"/>
      <c r="F704" s="27"/>
      <c r="G704" s="27"/>
      <c r="H704" s="27"/>
      <c r="I704" s="518"/>
      <c r="J704" s="27"/>
      <c r="K704" s="27"/>
    </row>
    <row r="705">
      <c r="C705" s="27"/>
      <c r="D705" s="27"/>
      <c r="E705" s="27"/>
      <c r="F705" s="27"/>
      <c r="G705" s="27"/>
      <c r="H705" s="27"/>
      <c r="I705" s="518"/>
      <c r="J705" s="27"/>
      <c r="K705" s="27"/>
    </row>
    <row r="706">
      <c r="C706" s="27"/>
      <c r="D706" s="27"/>
      <c r="E706" s="27"/>
      <c r="F706" s="27"/>
      <c r="G706" s="27"/>
      <c r="H706" s="27"/>
      <c r="I706" s="518"/>
      <c r="J706" s="27"/>
      <c r="K706" s="27"/>
    </row>
    <row r="707">
      <c r="C707" s="27"/>
      <c r="D707" s="27"/>
      <c r="E707" s="27"/>
      <c r="F707" s="27"/>
      <c r="G707" s="27"/>
      <c r="H707" s="27"/>
      <c r="I707" s="518"/>
      <c r="J707" s="27"/>
      <c r="K707" s="27"/>
    </row>
    <row r="708">
      <c r="C708" s="27"/>
      <c r="D708" s="27"/>
      <c r="E708" s="27"/>
      <c r="F708" s="27"/>
      <c r="G708" s="27"/>
      <c r="H708" s="27"/>
      <c r="I708" s="518"/>
      <c r="J708" s="27"/>
      <c r="K708" s="27"/>
    </row>
    <row r="709">
      <c r="C709" s="27"/>
      <c r="D709" s="27"/>
      <c r="E709" s="27"/>
      <c r="F709" s="27"/>
      <c r="G709" s="27"/>
      <c r="H709" s="27"/>
      <c r="I709" s="518"/>
      <c r="J709" s="27"/>
      <c r="K709" s="27"/>
    </row>
    <row r="710">
      <c r="C710" s="27"/>
      <c r="D710" s="27"/>
      <c r="E710" s="27"/>
      <c r="F710" s="27"/>
      <c r="G710" s="27"/>
      <c r="H710" s="27"/>
      <c r="I710" s="518"/>
      <c r="J710" s="27"/>
      <c r="K710" s="27"/>
    </row>
    <row r="711">
      <c r="C711" s="27"/>
      <c r="D711" s="27"/>
      <c r="E711" s="27"/>
      <c r="F711" s="27"/>
      <c r="G711" s="27"/>
      <c r="H711" s="27"/>
      <c r="I711" s="518"/>
      <c r="J711" s="27"/>
      <c r="K711" s="27"/>
    </row>
    <row r="712">
      <c r="C712" s="27"/>
      <c r="D712" s="27"/>
      <c r="E712" s="27"/>
      <c r="F712" s="27"/>
      <c r="G712" s="27"/>
      <c r="H712" s="27"/>
      <c r="I712" s="518"/>
      <c r="J712" s="27"/>
      <c r="K712" s="27"/>
    </row>
    <row r="713">
      <c r="C713" s="27"/>
      <c r="D713" s="27"/>
      <c r="E713" s="27"/>
      <c r="F713" s="27"/>
      <c r="G713" s="27"/>
      <c r="H713" s="27"/>
      <c r="I713" s="518"/>
      <c r="J713" s="27"/>
      <c r="K713" s="27"/>
    </row>
    <row r="714">
      <c r="C714" s="27"/>
      <c r="D714" s="27"/>
      <c r="E714" s="27"/>
      <c r="F714" s="27"/>
      <c r="G714" s="27"/>
      <c r="H714" s="27"/>
      <c r="I714" s="518"/>
      <c r="J714" s="27"/>
      <c r="K714" s="27"/>
    </row>
    <row r="715">
      <c r="C715" s="27"/>
      <c r="D715" s="27"/>
      <c r="E715" s="27"/>
      <c r="F715" s="27"/>
      <c r="G715" s="27"/>
      <c r="H715" s="27"/>
      <c r="I715" s="518"/>
      <c r="J715" s="27"/>
      <c r="K715" s="27"/>
    </row>
    <row r="716">
      <c r="C716" s="27"/>
      <c r="D716" s="27"/>
      <c r="E716" s="27"/>
      <c r="F716" s="27"/>
      <c r="G716" s="27"/>
      <c r="H716" s="27"/>
      <c r="I716" s="518"/>
      <c r="J716" s="27"/>
      <c r="K716" s="27"/>
    </row>
    <row r="717">
      <c r="C717" s="27"/>
      <c r="D717" s="27"/>
      <c r="E717" s="27"/>
      <c r="F717" s="27"/>
      <c r="G717" s="27"/>
      <c r="H717" s="27"/>
      <c r="I717" s="518"/>
      <c r="J717" s="27"/>
      <c r="K717" s="27"/>
    </row>
    <row r="718">
      <c r="C718" s="27"/>
      <c r="D718" s="27"/>
      <c r="E718" s="27"/>
      <c r="F718" s="27"/>
      <c r="G718" s="27"/>
      <c r="H718" s="27"/>
      <c r="I718" s="518"/>
      <c r="J718" s="27"/>
      <c r="K718" s="27"/>
    </row>
    <row r="719">
      <c r="C719" s="27"/>
      <c r="D719" s="27"/>
      <c r="E719" s="27"/>
      <c r="F719" s="27"/>
      <c r="G719" s="27"/>
      <c r="H719" s="27"/>
      <c r="I719" s="518"/>
      <c r="J719" s="27"/>
      <c r="K719" s="27"/>
    </row>
    <row r="720">
      <c r="C720" s="27"/>
      <c r="D720" s="27"/>
      <c r="E720" s="27"/>
      <c r="F720" s="27"/>
      <c r="G720" s="27"/>
      <c r="H720" s="27"/>
      <c r="I720" s="518"/>
      <c r="J720" s="27"/>
      <c r="K720" s="27"/>
    </row>
    <row r="721">
      <c r="C721" s="27"/>
      <c r="D721" s="27"/>
      <c r="E721" s="27"/>
      <c r="F721" s="27"/>
      <c r="G721" s="27"/>
      <c r="H721" s="27"/>
      <c r="I721" s="518"/>
      <c r="J721" s="27"/>
      <c r="K721" s="27"/>
    </row>
    <row r="722">
      <c r="C722" s="27"/>
      <c r="D722" s="27"/>
      <c r="E722" s="27"/>
      <c r="F722" s="27"/>
      <c r="G722" s="27"/>
      <c r="H722" s="27"/>
      <c r="I722" s="518"/>
      <c r="J722" s="27"/>
      <c r="K722" s="27"/>
    </row>
    <row r="723">
      <c r="C723" s="27"/>
      <c r="D723" s="27"/>
      <c r="E723" s="27"/>
      <c r="F723" s="27"/>
      <c r="G723" s="27"/>
      <c r="H723" s="27"/>
      <c r="I723" s="518"/>
      <c r="J723" s="27"/>
      <c r="K723" s="27"/>
    </row>
    <row r="724">
      <c r="C724" s="27"/>
      <c r="D724" s="27"/>
      <c r="E724" s="27"/>
      <c r="F724" s="27"/>
      <c r="G724" s="27"/>
      <c r="H724" s="27"/>
      <c r="I724" s="518"/>
      <c r="J724" s="27"/>
      <c r="K724" s="27"/>
    </row>
    <row r="725">
      <c r="C725" s="27"/>
      <c r="D725" s="27"/>
      <c r="E725" s="27"/>
      <c r="F725" s="27"/>
      <c r="G725" s="27"/>
      <c r="H725" s="27"/>
      <c r="I725" s="518"/>
      <c r="J725" s="27"/>
      <c r="K725" s="27"/>
    </row>
    <row r="726">
      <c r="C726" s="27"/>
      <c r="D726" s="27"/>
      <c r="E726" s="27"/>
      <c r="F726" s="27"/>
      <c r="G726" s="27"/>
      <c r="H726" s="27"/>
      <c r="I726" s="518"/>
      <c r="J726" s="27"/>
      <c r="K726" s="27"/>
    </row>
    <row r="727">
      <c r="C727" s="27"/>
      <c r="D727" s="27"/>
      <c r="E727" s="27"/>
      <c r="F727" s="27"/>
      <c r="G727" s="27"/>
      <c r="H727" s="27"/>
      <c r="I727" s="518"/>
      <c r="J727" s="27"/>
      <c r="K727" s="27"/>
    </row>
    <row r="728">
      <c r="C728" s="27"/>
      <c r="D728" s="27"/>
      <c r="E728" s="27"/>
      <c r="F728" s="27"/>
      <c r="G728" s="27"/>
      <c r="H728" s="27"/>
      <c r="I728" s="518"/>
      <c r="J728" s="27"/>
      <c r="K728" s="27"/>
    </row>
    <row r="729">
      <c r="C729" s="27"/>
      <c r="D729" s="27"/>
      <c r="E729" s="27"/>
      <c r="F729" s="27"/>
      <c r="G729" s="27"/>
      <c r="H729" s="27"/>
      <c r="I729" s="518"/>
      <c r="J729" s="27"/>
      <c r="K729" s="27"/>
    </row>
    <row r="730">
      <c r="C730" s="27"/>
      <c r="D730" s="27"/>
      <c r="E730" s="27"/>
      <c r="F730" s="27"/>
      <c r="G730" s="27"/>
      <c r="H730" s="27"/>
      <c r="I730" s="518"/>
      <c r="J730" s="27"/>
      <c r="K730" s="27"/>
    </row>
    <row r="731">
      <c r="C731" s="27"/>
      <c r="D731" s="27"/>
      <c r="E731" s="27"/>
      <c r="F731" s="27"/>
      <c r="G731" s="27"/>
      <c r="H731" s="27"/>
      <c r="I731" s="518"/>
      <c r="J731" s="27"/>
      <c r="K731" s="27"/>
    </row>
    <row r="732">
      <c r="C732" s="27"/>
      <c r="D732" s="27"/>
      <c r="E732" s="27"/>
      <c r="F732" s="27"/>
      <c r="G732" s="27"/>
      <c r="H732" s="27"/>
      <c r="I732" s="518"/>
      <c r="J732" s="27"/>
      <c r="K732" s="27"/>
    </row>
    <row r="733">
      <c r="C733" s="27"/>
      <c r="D733" s="27"/>
      <c r="E733" s="27"/>
      <c r="F733" s="27"/>
      <c r="G733" s="27"/>
      <c r="H733" s="27"/>
      <c r="I733" s="518"/>
      <c r="J733" s="27"/>
      <c r="K733" s="27"/>
    </row>
    <row r="734">
      <c r="C734" s="27"/>
      <c r="D734" s="27"/>
      <c r="E734" s="27"/>
      <c r="F734" s="27"/>
      <c r="G734" s="27"/>
      <c r="H734" s="27"/>
      <c r="I734" s="518"/>
      <c r="J734" s="27"/>
      <c r="K734" s="27"/>
    </row>
    <row r="735">
      <c r="C735" s="27"/>
      <c r="D735" s="27"/>
      <c r="E735" s="27"/>
      <c r="F735" s="27"/>
      <c r="G735" s="27"/>
      <c r="H735" s="27"/>
      <c r="I735" s="518"/>
      <c r="J735" s="27"/>
      <c r="K735" s="27"/>
    </row>
    <row r="736">
      <c r="C736" s="27"/>
      <c r="D736" s="27"/>
      <c r="E736" s="27"/>
      <c r="F736" s="27"/>
      <c r="G736" s="27"/>
      <c r="H736" s="27"/>
      <c r="I736" s="518"/>
      <c r="J736" s="27"/>
      <c r="K736" s="27"/>
    </row>
    <row r="737">
      <c r="C737" s="27"/>
      <c r="D737" s="27"/>
      <c r="E737" s="27"/>
      <c r="F737" s="27"/>
      <c r="G737" s="27"/>
      <c r="H737" s="27"/>
      <c r="I737" s="518"/>
      <c r="J737" s="27"/>
      <c r="K737" s="27"/>
    </row>
    <row r="738">
      <c r="C738" s="27"/>
      <c r="D738" s="27"/>
      <c r="E738" s="27"/>
      <c r="F738" s="27"/>
      <c r="G738" s="27"/>
      <c r="H738" s="27"/>
      <c r="I738" s="518"/>
      <c r="J738" s="27"/>
      <c r="K738" s="27"/>
    </row>
    <row r="739">
      <c r="C739" s="27"/>
      <c r="D739" s="27"/>
      <c r="E739" s="27"/>
      <c r="F739" s="27"/>
      <c r="G739" s="27"/>
      <c r="H739" s="27"/>
      <c r="I739" s="518"/>
      <c r="J739" s="27"/>
      <c r="K739" s="27"/>
    </row>
    <row r="740">
      <c r="C740" s="27"/>
      <c r="D740" s="27"/>
      <c r="E740" s="27"/>
      <c r="F740" s="27"/>
      <c r="G740" s="27"/>
      <c r="H740" s="27"/>
      <c r="I740" s="518"/>
      <c r="J740" s="27"/>
      <c r="K740" s="27"/>
    </row>
    <row r="741">
      <c r="C741" s="27"/>
      <c r="D741" s="27"/>
      <c r="E741" s="27"/>
      <c r="F741" s="27"/>
      <c r="G741" s="27"/>
      <c r="H741" s="27"/>
      <c r="I741" s="518"/>
      <c r="J741" s="27"/>
      <c r="K741" s="27"/>
    </row>
    <row r="742">
      <c r="C742" s="27"/>
      <c r="D742" s="27"/>
      <c r="E742" s="27"/>
      <c r="F742" s="27"/>
      <c r="G742" s="27"/>
      <c r="H742" s="27"/>
      <c r="I742" s="518"/>
      <c r="J742" s="27"/>
      <c r="K742" s="27"/>
    </row>
    <row r="743">
      <c r="C743" s="27"/>
      <c r="D743" s="27"/>
      <c r="E743" s="27"/>
      <c r="F743" s="27"/>
      <c r="G743" s="27"/>
      <c r="H743" s="27"/>
      <c r="I743" s="518"/>
      <c r="J743" s="27"/>
      <c r="K743" s="27"/>
    </row>
    <row r="744">
      <c r="C744" s="27"/>
      <c r="D744" s="27"/>
      <c r="E744" s="27"/>
      <c r="F744" s="27"/>
      <c r="G744" s="27"/>
      <c r="H744" s="27"/>
      <c r="I744" s="518"/>
      <c r="J744" s="27"/>
      <c r="K744" s="27"/>
    </row>
    <row r="745">
      <c r="C745" s="27"/>
      <c r="D745" s="27"/>
      <c r="E745" s="27"/>
      <c r="F745" s="27"/>
      <c r="G745" s="27"/>
      <c r="H745" s="27"/>
      <c r="I745" s="518"/>
      <c r="J745" s="27"/>
      <c r="K745" s="27"/>
    </row>
    <row r="746">
      <c r="C746" s="27"/>
      <c r="D746" s="27"/>
      <c r="E746" s="27"/>
      <c r="F746" s="27"/>
      <c r="G746" s="27"/>
      <c r="H746" s="27"/>
      <c r="I746" s="518"/>
      <c r="J746" s="27"/>
      <c r="K746" s="27"/>
    </row>
    <row r="747">
      <c r="C747" s="27"/>
      <c r="D747" s="27"/>
      <c r="E747" s="27"/>
      <c r="F747" s="27"/>
      <c r="G747" s="27"/>
      <c r="H747" s="27"/>
      <c r="I747" s="518"/>
      <c r="J747" s="27"/>
      <c r="K747" s="27"/>
    </row>
    <row r="748">
      <c r="C748" s="27"/>
      <c r="D748" s="27"/>
      <c r="E748" s="27"/>
      <c r="F748" s="27"/>
      <c r="G748" s="27"/>
      <c r="H748" s="27"/>
      <c r="I748" s="518"/>
      <c r="J748" s="27"/>
      <c r="K748" s="27"/>
    </row>
    <row r="749">
      <c r="C749" s="27"/>
      <c r="D749" s="27"/>
      <c r="E749" s="27"/>
      <c r="F749" s="27"/>
      <c r="G749" s="27"/>
      <c r="H749" s="27"/>
      <c r="I749" s="518"/>
      <c r="J749" s="27"/>
      <c r="K749" s="27"/>
    </row>
    <row r="750">
      <c r="C750" s="27"/>
      <c r="D750" s="27"/>
      <c r="E750" s="27"/>
      <c r="F750" s="27"/>
      <c r="G750" s="27"/>
      <c r="H750" s="27"/>
      <c r="I750" s="518"/>
      <c r="J750" s="27"/>
      <c r="K750" s="27"/>
    </row>
    <row r="751">
      <c r="C751" s="27"/>
      <c r="D751" s="27"/>
      <c r="E751" s="27"/>
      <c r="F751" s="27"/>
      <c r="G751" s="27"/>
      <c r="H751" s="27"/>
      <c r="I751" s="518"/>
      <c r="J751" s="27"/>
      <c r="K751" s="27"/>
    </row>
    <row r="752">
      <c r="C752" s="27"/>
      <c r="D752" s="27"/>
      <c r="E752" s="27"/>
      <c r="F752" s="27"/>
      <c r="G752" s="27"/>
      <c r="H752" s="27"/>
      <c r="I752" s="518"/>
      <c r="J752" s="27"/>
      <c r="K752" s="27"/>
    </row>
    <row r="753">
      <c r="C753" s="27"/>
      <c r="D753" s="27"/>
      <c r="E753" s="27"/>
      <c r="F753" s="27"/>
      <c r="G753" s="27"/>
      <c r="H753" s="27"/>
      <c r="I753" s="518"/>
      <c r="J753" s="27"/>
      <c r="K753" s="27"/>
    </row>
    <row r="754">
      <c r="C754" s="27"/>
      <c r="D754" s="27"/>
      <c r="E754" s="27"/>
      <c r="F754" s="27"/>
      <c r="G754" s="27"/>
      <c r="H754" s="27"/>
      <c r="I754" s="518"/>
      <c r="J754" s="27"/>
      <c r="K754" s="27"/>
    </row>
    <row r="755">
      <c r="C755" s="27"/>
      <c r="D755" s="27"/>
      <c r="E755" s="27"/>
      <c r="F755" s="27"/>
      <c r="G755" s="27"/>
      <c r="H755" s="27"/>
      <c r="I755" s="518"/>
      <c r="J755" s="27"/>
      <c r="K755" s="27"/>
    </row>
    <row r="756">
      <c r="C756" s="27"/>
      <c r="D756" s="27"/>
      <c r="E756" s="27"/>
      <c r="F756" s="27"/>
      <c r="G756" s="27"/>
      <c r="H756" s="27"/>
      <c r="I756" s="518"/>
      <c r="J756" s="27"/>
      <c r="K756" s="27"/>
    </row>
    <row r="757">
      <c r="C757" s="27"/>
      <c r="D757" s="27"/>
      <c r="E757" s="27"/>
      <c r="F757" s="27"/>
      <c r="G757" s="27"/>
      <c r="H757" s="27"/>
      <c r="I757" s="518"/>
      <c r="J757" s="27"/>
      <c r="K757" s="27"/>
    </row>
    <row r="758">
      <c r="C758" s="27"/>
      <c r="D758" s="27"/>
      <c r="E758" s="27"/>
      <c r="F758" s="27"/>
      <c r="G758" s="27"/>
      <c r="H758" s="27"/>
      <c r="I758" s="518"/>
      <c r="J758" s="27"/>
      <c r="K758" s="27"/>
    </row>
    <row r="759">
      <c r="C759" s="27"/>
      <c r="D759" s="27"/>
      <c r="E759" s="27"/>
      <c r="F759" s="27"/>
      <c r="G759" s="27"/>
      <c r="H759" s="27"/>
      <c r="I759" s="518"/>
      <c r="J759" s="27"/>
      <c r="K759" s="27"/>
    </row>
    <row r="760">
      <c r="C760" s="27"/>
      <c r="D760" s="27"/>
      <c r="E760" s="27"/>
      <c r="F760" s="27"/>
      <c r="G760" s="27"/>
      <c r="H760" s="27"/>
      <c r="I760" s="518"/>
      <c r="J760" s="27"/>
      <c r="K760" s="27"/>
    </row>
    <row r="761">
      <c r="C761" s="27"/>
      <c r="D761" s="27"/>
      <c r="E761" s="27"/>
      <c r="F761" s="27"/>
      <c r="G761" s="27"/>
      <c r="H761" s="27"/>
      <c r="I761" s="518"/>
      <c r="J761" s="27"/>
      <c r="K761" s="27"/>
    </row>
    <row r="762">
      <c r="C762" s="27"/>
      <c r="D762" s="27"/>
      <c r="E762" s="27"/>
      <c r="F762" s="27"/>
      <c r="G762" s="27"/>
      <c r="H762" s="27"/>
      <c r="I762" s="518"/>
      <c r="J762" s="27"/>
      <c r="K762" s="27"/>
    </row>
    <row r="763">
      <c r="C763" s="27"/>
      <c r="D763" s="27"/>
      <c r="E763" s="27"/>
      <c r="F763" s="27"/>
      <c r="G763" s="27"/>
      <c r="H763" s="27"/>
      <c r="I763" s="518"/>
      <c r="J763" s="27"/>
      <c r="K763" s="27"/>
    </row>
    <row r="764">
      <c r="C764" s="27"/>
      <c r="D764" s="27"/>
      <c r="E764" s="27"/>
      <c r="F764" s="27"/>
      <c r="G764" s="27"/>
      <c r="H764" s="27"/>
      <c r="I764" s="518"/>
      <c r="J764" s="27"/>
      <c r="K764" s="27"/>
    </row>
    <row r="765">
      <c r="C765" s="27"/>
      <c r="D765" s="27"/>
      <c r="E765" s="27"/>
      <c r="F765" s="27"/>
      <c r="G765" s="27"/>
      <c r="H765" s="27"/>
      <c r="I765" s="518"/>
      <c r="J765" s="27"/>
      <c r="K765" s="27"/>
    </row>
    <row r="766">
      <c r="C766" s="27"/>
      <c r="D766" s="27"/>
      <c r="E766" s="27"/>
      <c r="F766" s="27"/>
      <c r="G766" s="27"/>
      <c r="H766" s="27"/>
      <c r="I766" s="518"/>
      <c r="J766" s="27"/>
      <c r="K766" s="27"/>
    </row>
    <row r="767">
      <c r="C767" s="27"/>
      <c r="D767" s="27"/>
      <c r="E767" s="27"/>
      <c r="F767" s="27"/>
      <c r="G767" s="27"/>
      <c r="H767" s="27"/>
      <c r="I767" s="518"/>
      <c r="J767" s="27"/>
      <c r="K767" s="27"/>
    </row>
    <row r="768">
      <c r="C768" s="27"/>
      <c r="D768" s="27"/>
      <c r="E768" s="27"/>
      <c r="F768" s="27"/>
      <c r="G768" s="27"/>
      <c r="H768" s="27"/>
      <c r="I768" s="518"/>
      <c r="J768" s="27"/>
      <c r="K768" s="27"/>
    </row>
    <row r="769">
      <c r="C769" s="27"/>
      <c r="D769" s="27"/>
      <c r="E769" s="27"/>
      <c r="F769" s="27"/>
      <c r="G769" s="27"/>
      <c r="H769" s="27"/>
      <c r="I769" s="518"/>
      <c r="J769" s="27"/>
      <c r="K769" s="27"/>
    </row>
    <row r="770">
      <c r="C770" s="27"/>
      <c r="D770" s="27"/>
      <c r="E770" s="27"/>
      <c r="F770" s="27"/>
      <c r="G770" s="27"/>
      <c r="H770" s="27"/>
      <c r="I770" s="518"/>
      <c r="J770" s="27"/>
      <c r="K770" s="27"/>
    </row>
    <row r="771">
      <c r="C771" s="27"/>
      <c r="D771" s="27"/>
      <c r="E771" s="27"/>
      <c r="F771" s="27"/>
      <c r="G771" s="27"/>
      <c r="H771" s="27"/>
      <c r="I771" s="518"/>
      <c r="J771" s="27"/>
      <c r="K771" s="27"/>
    </row>
    <row r="772">
      <c r="C772" s="27"/>
      <c r="D772" s="27"/>
      <c r="E772" s="27"/>
      <c r="F772" s="27"/>
      <c r="G772" s="27"/>
      <c r="H772" s="27"/>
      <c r="I772" s="518"/>
      <c r="J772" s="27"/>
      <c r="K772" s="27"/>
    </row>
    <row r="773">
      <c r="C773" s="27"/>
      <c r="D773" s="27"/>
      <c r="E773" s="27"/>
      <c r="F773" s="27"/>
      <c r="G773" s="27"/>
      <c r="H773" s="27"/>
      <c r="I773" s="518"/>
      <c r="J773" s="27"/>
      <c r="K773" s="27"/>
    </row>
    <row r="774">
      <c r="C774" s="27"/>
      <c r="D774" s="27"/>
      <c r="E774" s="27"/>
      <c r="F774" s="27"/>
      <c r="G774" s="27"/>
      <c r="H774" s="27"/>
      <c r="I774" s="518"/>
      <c r="J774" s="27"/>
      <c r="K774" s="27"/>
    </row>
    <row r="775">
      <c r="C775" s="27"/>
      <c r="D775" s="27"/>
      <c r="E775" s="27"/>
      <c r="F775" s="27"/>
      <c r="G775" s="27"/>
      <c r="H775" s="27"/>
      <c r="I775" s="518"/>
      <c r="J775" s="27"/>
      <c r="K775" s="27"/>
    </row>
    <row r="776">
      <c r="C776" s="27"/>
      <c r="D776" s="27"/>
      <c r="E776" s="27"/>
      <c r="F776" s="27"/>
      <c r="G776" s="27"/>
      <c r="H776" s="27"/>
      <c r="I776" s="518"/>
      <c r="J776" s="27"/>
      <c r="K776" s="27"/>
    </row>
    <row r="777">
      <c r="C777" s="27"/>
      <c r="D777" s="27"/>
      <c r="E777" s="27"/>
      <c r="F777" s="27"/>
      <c r="G777" s="27"/>
      <c r="H777" s="27"/>
      <c r="I777" s="518"/>
      <c r="J777" s="27"/>
      <c r="K777" s="27"/>
    </row>
    <row r="778">
      <c r="C778" s="27"/>
      <c r="D778" s="27"/>
      <c r="E778" s="27"/>
      <c r="F778" s="27"/>
      <c r="G778" s="27"/>
      <c r="H778" s="27"/>
      <c r="I778" s="518"/>
      <c r="J778" s="27"/>
      <c r="K778" s="27"/>
    </row>
    <row r="779">
      <c r="C779" s="27"/>
      <c r="D779" s="27"/>
      <c r="E779" s="27"/>
      <c r="F779" s="27"/>
      <c r="G779" s="27"/>
      <c r="H779" s="27"/>
      <c r="I779" s="518"/>
      <c r="J779" s="27"/>
      <c r="K779" s="27"/>
    </row>
    <row r="780">
      <c r="C780" s="27"/>
      <c r="D780" s="27"/>
      <c r="E780" s="27"/>
      <c r="F780" s="27"/>
      <c r="G780" s="27"/>
      <c r="H780" s="27"/>
      <c r="I780" s="518"/>
      <c r="J780" s="27"/>
      <c r="K780" s="27"/>
    </row>
    <row r="781">
      <c r="C781" s="27"/>
      <c r="D781" s="27"/>
      <c r="E781" s="27"/>
      <c r="F781" s="27"/>
      <c r="G781" s="27"/>
      <c r="H781" s="27"/>
      <c r="I781" s="518"/>
      <c r="J781" s="27"/>
      <c r="K781" s="27"/>
    </row>
    <row r="782">
      <c r="C782" s="27"/>
      <c r="D782" s="27"/>
      <c r="E782" s="27"/>
      <c r="F782" s="27"/>
      <c r="G782" s="27"/>
      <c r="H782" s="27"/>
      <c r="I782" s="518"/>
      <c r="J782" s="27"/>
      <c r="K782" s="27"/>
    </row>
    <row r="783">
      <c r="C783" s="27"/>
      <c r="D783" s="27"/>
      <c r="E783" s="27"/>
      <c r="F783" s="27"/>
      <c r="G783" s="27"/>
      <c r="H783" s="27"/>
      <c r="I783" s="518"/>
      <c r="J783" s="27"/>
      <c r="K783" s="27"/>
    </row>
    <row r="784">
      <c r="C784" s="27"/>
      <c r="D784" s="27"/>
      <c r="E784" s="27"/>
      <c r="F784" s="27"/>
      <c r="G784" s="27"/>
      <c r="H784" s="27"/>
      <c r="I784" s="518"/>
      <c r="J784" s="27"/>
      <c r="K784" s="27"/>
    </row>
    <row r="785">
      <c r="C785" s="27"/>
      <c r="D785" s="27"/>
      <c r="E785" s="27"/>
      <c r="F785" s="27"/>
      <c r="G785" s="27"/>
      <c r="H785" s="27"/>
      <c r="I785" s="518"/>
      <c r="J785" s="27"/>
      <c r="K785" s="27"/>
    </row>
    <row r="786">
      <c r="C786" s="27"/>
      <c r="D786" s="27"/>
      <c r="E786" s="27"/>
      <c r="F786" s="27"/>
      <c r="G786" s="27"/>
      <c r="H786" s="27"/>
      <c r="I786" s="518"/>
      <c r="J786" s="27"/>
      <c r="K786" s="27"/>
    </row>
    <row r="787">
      <c r="C787" s="27"/>
      <c r="D787" s="27"/>
      <c r="E787" s="27"/>
      <c r="F787" s="27"/>
      <c r="G787" s="27"/>
      <c r="H787" s="27"/>
      <c r="I787" s="518"/>
      <c r="J787" s="27"/>
      <c r="K787" s="27"/>
    </row>
    <row r="788">
      <c r="C788" s="27"/>
      <c r="D788" s="27"/>
      <c r="E788" s="27"/>
      <c r="F788" s="27"/>
      <c r="G788" s="27"/>
      <c r="H788" s="27"/>
      <c r="I788" s="518"/>
      <c r="J788" s="27"/>
      <c r="K788" s="27"/>
    </row>
    <row r="789">
      <c r="C789" s="27"/>
      <c r="D789" s="27"/>
      <c r="E789" s="27"/>
      <c r="F789" s="27"/>
      <c r="G789" s="27"/>
      <c r="H789" s="27"/>
      <c r="I789" s="518"/>
      <c r="J789" s="27"/>
      <c r="K789" s="27"/>
    </row>
    <row r="790">
      <c r="C790" s="27"/>
      <c r="D790" s="27"/>
      <c r="E790" s="27"/>
      <c r="F790" s="27"/>
      <c r="G790" s="27"/>
      <c r="H790" s="27"/>
      <c r="I790" s="518"/>
      <c r="J790" s="27"/>
      <c r="K790" s="27"/>
    </row>
    <row r="791">
      <c r="C791" s="27"/>
      <c r="D791" s="27"/>
      <c r="E791" s="27"/>
      <c r="F791" s="27"/>
      <c r="G791" s="27"/>
      <c r="H791" s="27"/>
      <c r="I791" s="518"/>
      <c r="J791" s="27"/>
      <c r="K791" s="27"/>
    </row>
    <row r="792">
      <c r="C792" s="27"/>
      <c r="D792" s="27"/>
      <c r="E792" s="27"/>
      <c r="F792" s="27"/>
      <c r="G792" s="27"/>
      <c r="H792" s="27"/>
      <c r="I792" s="518"/>
      <c r="J792" s="27"/>
      <c r="K792" s="27"/>
    </row>
    <row r="793">
      <c r="C793" s="27"/>
      <c r="D793" s="27"/>
      <c r="E793" s="27"/>
      <c r="F793" s="27"/>
      <c r="G793" s="27"/>
      <c r="H793" s="27"/>
      <c r="I793" s="518"/>
      <c r="J793" s="27"/>
      <c r="K793" s="27"/>
    </row>
    <row r="794">
      <c r="C794" s="27"/>
      <c r="D794" s="27"/>
      <c r="E794" s="27"/>
      <c r="F794" s="27"/>
      <c r="G794" s="27"/>
      <c r="H794" s="27"/>
      <c r="I794" s="518"/>
      <c r="J794" s="27"/>
      <c r="K794" s="27"/>
    </row>
    <row r="795">
      <c r="C795" s="27"/>
      <c r="D795" s="27"/>
      <c r="E795" s="27"/>
      <c r="F795" s="27"/>
      <c r="G795" s="27"/>
      <c r="H795" s="27"/>
      <c r="I795" s="518"/>
      <c r="J795" s="27"/>
      <c r="K795" s="27"/>
    </row>
    <row r="796">
      <c r="C796" s="27"/>
      <c r="D796" s="27"/>
      <c r="E796" s="27"/>
      <c r="F796" s="27"/>
      <c r="G796" s="27"/>
      <c r="H796" s="27"/>
      <c r="I796" s="518"/>
      <c r="J796" s="27"/>
      <c r="K796" s="27"/>
    </row>
    <row r="797">
      <c r="C797" s="27"/>
      <c r="D797" s="27"/>
      <c r="E797" s="27"/>
      <c r="F797" s="27"/>
      <c r="G797" s="27"/>
      <c r="H797" s="27"/>
      <c r="I797" s="518"/>
      <c r="J797" s="27"/>
      <c r="K797" s="27"/>
    </row>
    <row r="798">
      <c r="C798" s="27"/>
      <c r="D798" s="27"/>
      <c r="E798" s="27"/>
      <c r="F798" s="27"/>
      <c r="G798" s="27"/>
      <c r="H798" s="27"/>
      <c r="I798" s="518"/>
      <c r="J798" s="27"/>
      <c r="K798" s="27"/>
    </row>
    <row r="799">
      <c r="C799" s="27"/>
      <c r="D799" s="27"/>
      <c r="E799" s="27"/>
      <c r="F799" s="27"/>
      <c r="G799" s="27"/>
      <c r="H799" s="27"/>
      <c r="I799" s="518"/>
      <c r="J799" s="27"/>
      <c r="K799" s="27"/>
    </row>
    <row r="800">
      <c r="C800" s="27"/>
      <c r="D800" s="27"/>
      <c r="E800" s="27"/>
      <c r="F800" s="27"/>
      <c r="G800" s="27"/>
      <c r="H800" s="27"/>
      <c r="I800" s="518"/>
      <c r="J800" s="27"/>
      <c r="K800" s="27"/>
    </row>
    <row r="801">
      <c r="C801" s="27"/>
      <c r="D801" s="27"/>
      <c r="E801" s="27"/>
      <c r="F801" s="27"/>
      <c r="G801" s="27"/>
      <c r="H801" s="27"/>
      <c r="I801" s="518"/>
      <c r="J801" s="27"/>
      <c r="K801" s="27"/>
    </row>
    <row r="802">
      <c r="C802" s="27"/>
      <c r="D802" s="27"/>
      <c r="E802" s="27"/>
      <c r="F802" s="27"/>
      <c r="G802" s="27"/>
      <c r="H802" s="27"/>
      <c r="I802" s="518"/>
      <c r="J802" s="27"/>
      <c r="K802" s="27"/>
    </row>
    <row r="803">
      <c r="C803" s="27"/>
      <c r="D803" s="27"/>
      <c r="E803" s="27"/>
      <c r="F803" s="27"/>
      <c r="G803" s="27"/>
      <c r="H803" s="27"/>
      <c r="I803" s="518"/>
      <c r="J803" s="27"/>
      <c r="K803" s="27"/>
    </row>
    <row r="804">
      <c r="C804" s="27"/>
      <c r="D804" s="27"/>
      <c r="E804" s="27"/>
      <c r="F804" s="27"/>
      <c r="G804" s="27"/>
      <c r="H804" s="27"/>
      <c r="I804" s="518"/>
      <c r="J804" s="27"/>
      <c r="K804" s="27"/>
    </row>
    <row r="805">
      <c r="C805" s="27"/>
      <c r="D805" s="27"/>
      <c r="E805" s="27"/>
      <c r="F805" s="27"/>
      <c r="G805" s="27"/>
      <c r="H805" s="27"/>
      <c r="I805" s="518"/>
      <c r="J805" s="27"/>
      <c r="K805" s="27"/>
    </row>
    <row r="806">
      <c r="C806" s="27"/>
      <c r="D806" s="27"/>
      <c r="E806" s="27"/>
      <c r="F806" s="27"/>
      <c r="G806" s="27"/>
      <c r="H806" s="27"/>
      <c r="I806" s="518"/>
      <c r="J806" s="27"/>
      <c r="K806" s="27"/>
    </row>
    <row r="807">
      <c r="C807" s="27"/>
      <c r="D807" s="27"/>
      <c r="E807" s="27"/>
      <c r="F807" s="27"/>
      <c r="G807" s="27"/>
      <c r="H807" s="27"/>
      <c r="I807" s="518"/>
      <c r="J807" s="27"/>
      <c r="K807" s="27"/>
    </row>
    <row r="808">
      <c r="C808" s="27"/>
      <c r="D808" s="27"/>
      <c r="E808" s="27"/>
      <c r="F808" s="27"/>
      <c r="G808" s="27"/>
      <c r="H808" s="27"/>
      <c r="I808" s="518"/>
      <c r="J808" s="27"/>
      <c r="K808" s="27"/>
    </row>
    <row r="809">
      <c r="C809" s="27"/>
      <c r="D809" s="27"/>
      <c r="E809" s="27"/>
      <c r="F809" s="27"/>
      <c r="G809" s="27"/>
      <c r="H809" s="27"/>
      <c r="I809" s="518"/>
      <c r="J809" s="27"/>
      <c r="K809" s="27"/>
    </row>
    <row r="810">
      <c r="C810" s="27"/>
      <c r="D810" s="27"/>
      <c r="E810" s="27"/>
      <c r="F810" s="27"/>
      <c r="G810" s="27"/>
      <c r="H810" s="27"/>
      <c r="I810" s="518"/>
      <c r="J810" s="27"/>
      <c r="K810" s="27"/>
    </row>
    <row r="811">
      <c r="C811" s="27"/>
      <c r="D811" s="27"/>
      <c r="E811" s="27"/>
      <c r="F811" s="27"/>
      <c r="G811" s="27"/>
      <c r="H811" s="27"/>
      <c r="I811" s="518"/>
      <c r="J811" s="27"/>
      <c r="K811" s="27"/>
    </row>
    <row r="812">
      <c r="C812" s="27"/>
      <c r="D812" s="27"/>
      <c r="E812" s="27"/>
      <c r="F812" s="27"/>
      <c r="G812" s="27"/>
      <c r="H812" s="27"/>
      <c r="I812" s="518"/>
      <c r="J812" s="27"/>
      <c r="K812" s="27"/>
    </row>
    <row r="813">
      <c r="C813" s="27"/>
      <c r="D813" s="27"/>
      <c r="E813" s="27"/>
      <c r="F813" s="27"/>
      <c r="G813" s="27"/>
      <c r="H813" s="27"/>
      <c r="I813" s="518"/>
      <c r="J813" s="27"/>
      <c r="K813" s="27"/>
    </row>
    <row r="814">
      <c r="C814" s="27"/>
      <c r="D814" s="27"/>
      <c r="E814" s="27"/>
      <c r="F814" s="27"/>
      <c r="G814" s="27"/>
      <c r="H814" s="27"/>
      <c r="I814" s="518"/>
      <c r="J814" s="27"/>
      <c r="K814" s="27"/>
    </row>
    <row r="815">
      <c r="C815" s="27"/>
      <c r="D815" s="27"/>
      <c r="E815" s="27"/>
      <c r="F815" s="27"/>
      <c r="G815" s="27"/>
      <c r="H815" s="27"/>
      <c r="I815" s="518"/>
      <c r="J815" s="27"/>
      <c r="K815" s="27"/>
    </row>
    <row r="816">
      <c r="C816" s="27"/>
      <c r="D816" s="27"/>
      <c r="E816" s="27"/>
      <c r="F816" s="27"/>
      <c r="G816" s="27"/>
      <c r="H816" s="27"/>
      <c r="I816" s="518"/>
      <c r="J816" s="27"/>
      <c r="K816" s="27"/>
    </row>
    <row r="817">
      <c r="C817" s="27"/>
      <c r="D817" s="27"/>
      <c r="E817" s="27"/>
      <c r="F817" s="27"/>
      <c r="G817" s="27"/>
      <c r="H817" s="27"/>
      <c r="I817" s="518"/>
      <c r="J817" s="27"/>
      <c r="K817" s="27"/>
    </row>
    <row r="818">
      <c r="C818" s="27"/>
      <c r="D818" s="27"/>
      <c r="E818" s="27"/>
      <c r="F818" s="27"/>
      <c r="G818" s="27"/>
      <c r="H818" s="27"/>
      <c r="I818" s="518"/>
      <c r="J818" s="27"/>
      <c r="K818" s="27"/>
    </row>
    <row r="819">
      <c r="C819" s="27"/>
      <c r="D819" s="27"/>
      <c r="E819" s="27"/>
      <c r="F819" s="27"/>
      <c r="G819" s="27"/>
      <c r="H819" s="27"/>
      <c r="I819" s="518"/>
      <c r="J819" s="27"/>
      <c r="K819" s="27"/>
    </row>
    <row r="820">
      <c r="C820" s="27"/>
      <c r="D820" s="27"/>
      <c r="E820" s="27"/>
      <c r="F820" s="27"/>
      <c r="G820" s="27"/>
      <c r="H820" s="27"/>
      <c r="I820" s="518"/>
      <c r="J820" s="27"/>
      <c r="K820" s="27"/>
    </row>
    <row r="821">
      <c r="C821" s="27"/>
      <c r="D821" s="27"/>
      <c r="E821" s="27"/>
      <c r="F821" s="27"/>
      <c r="G821" s="27"/>
      <c r="H821" s="27"/>
      <c r="I821" s="518"/>
      <c r="J821" s="27"/>
      <c r="K821" s="27"/>
    </row>
    <row r="822">
      <c r="C822" s="27"/>
      <c r="D822" s="27"/>
      <c r="E822" s="27"/>
      <c r="F822" s="27"/>
      <c r="G822" s="27"/>
      <c r="H822" s="27"/>
      <c r="I822" s="518"/>
      <c r="J822" s="27"/>
      <c r="K822" s="27"/>
    </row>
    <row r="823">
      <c r="C823" s="27"/>
      <c r="D823" s="27"/>
      <c r="E823" s="27"/>
      <c r="F823" s="27"/>
      <c r="G823" s="27"/>
      <c r="H823" s="27"/>
      <c r="I823" s="518"/>
      <c r="J823" s="27"/>
      <c r="K823" s="27"/>
    </row>
    <row r="824">
      <c r="C824" s="27"/>
      <c r="D824" s="27"/>
      <c r="E824" s="27"/>
      <c r="F824" s="27"/>
      <c r="G824" s="27"/>
      <c r="H824" s="27"/>
      <c r="I824" s="518"/>
      <c r="J824" s="27"/>
      <c r="K824" s="27"/>
    </row>
    <row r="825">
      <c r="C825" s="27"/>
      <c r="D825" s="27"/>
      <c r="E825" s="27"/>
      <c r="F825" s="27"/>
      <c r="G825" s="27"/>
      <c r="H825" s="27"/>
      <c r="I825" s="518"/>
      <c r="J825" s="27"/>
      <c r="K825" s="27"/>
    </row>
    <row r="826">
      <c r="C826" s="27"/>
      <c r="D826" s="27"/>
      <c r="E826" s="27"/>
      <c r="F826" s="27"/>
      <c r="G826" s="27"/>
      <c r="H826" s="27"/>
      <c r="I826" s="518"/>
      <c r="J826" s="27"/>
      <c r="K826" s="27"/>
    </row>
    <row r="827">
      <c r="C827" s="27"/>
      <c r="D827" s="27"/>
      <c r="E827" s="27"/>
      <c r="F827" s="27"/>
      <c r="G827" s="27"/>
      <c r="H827" s="27"/>
      <c r="I827" s="518"/>
      <c r="J827" s="27"/>
      <c r="K827" s="27"/>
    </row>
    <row r="828">
      <c r="C828" s="27"/>
      <c r="D828" s="27"/>
      <c r="E828" s="27"/>
      <c r="F828" s="27"/>
      <c r="G828" s="27"/>
      <c r="H828" s="27"/>
      <c r="I828" s="518"/>
      <c r="J828" s="27"/>
      <c r="K828" s="27"/>
    </row>
    <row r="829">
      <c r="C829" s="27"/>
      <c r="D829" s="27"/>
      <c r="E829" s="27"/>
      <c r="F829" s="27"/>
      <c r="G829" s="27"/>
      <c r="H829" s="27"/>
      <c r="I829" s="518"/>
      <c r="J829" s="27"/>
      <c r="K829" s="27"/>
    </row>
    <row r="830">
      <c r="C830" s="27"/>
      <c r="D830" s="27"/>
      <c r="E830" s="27"/>
      <c r="F830" s="27"/>
      <c r="G830" s="27"/>
      <c r="H830" s="27"/>
      <c r="I830" s="518"/>
      <c r="J830" s="27"/>
      <c r="K830" s="27"/>
    </row>
    <row r="831">
      <c r="C831" s="27"/>
      <c r="D831" s="27"/>
      <c r="E831" s="27"/>
      <c r="F831" s="27"/>
      <c r="G831" s="27"/>
      <c r="H831" s="27"/>
      <c r="I831" s="518"/>
      <c r="J831" s="27"/>
      <c r="K831" s="27"/>
    </row>
    <row r="832">
      <c r="C832" s="27"/>
      <c r="D832" s="27"/>
      <c r="E832" s="27"/>
      <c r="F832" s="27"/>
      <c r="G832" s="27"/>
      <c r="H832" s="27"/>
      <c r="I832" s="518"/>
      <c r="J832" s="27"/>
      <c r="K832" s="27"/>
    </row>
    <row r="833">
      <c r="C833" s="27"/>
      <c r="D833" s="27"/>
      <c r="E833" s="27"/>
      <c r="F833" s="27"/>
      <c r="G833" s="27"/>
      <c r="H833" s="27"/>
      <c r="I833" s="518"/>
      <c r="J833" s="27"/>
      <c r="K833" s="27"/>
    </row>
    <row r="834">
      <c r="C834" s="27"/>
      <c r="D834" s="27"/>
      <c r="E834" s="27"/>
      <c r="F834" s="27"/>
      <c r="G834" s="27"/>
      <c r="H834" s="27"/>
      <c r="I834" s="518"/>
      <c r="J834" s="27"/>
      <c r="K834" s="27"/>
    </row>
    <row r="835">
      <c r="C835" s="27"/>
      <c r="D835" s="27"/>
      <c r="E835" s="27"/>
      <c r="F835" s="27"/>
      <c r="G835" s="27"/>
      <c r="H835" s="27"/>
      <c r="I835" s="518"/>
      <c r="J835" s="27"/>
      <c r="K835" s="27"/>
    </row>
    <row r="836">
      <c r="C836" s="27"/>
      <c r="D836" s="27"/>
      <c r="E836" s="27"/>
      <c r="F836" s="27"/>
      <c r="G836" s="27"/>
      <c r="H836" s="27"/>
      <c r="I836" s="518"/>
      <c r="J836" s="27"/>
      <c r="K836" s="27"/>
    </row>
    <row r="837">
      <c r="C837" s="27"/>
      <c r="D837" s="27"/>
      <c r="E837" s="27"/>
      <c r="F837" s="27"/>
      <c r="G837" s="27"/>
      <c r="H837" s="27"/>
      <c r="I837" s="518"/>
      <c r="J837" s="27"/>
      <c r="K837" s="27"/>
    </row>
    <row r="838">
      <c r="C838" s="27"/>
      <c r="D838" s="27"/>
      <c r="E838" s="27"/>
      <c r="F838" s="27"/>
      <c r="G838" s="27"/>
      <c r="H838" s="27"/>
      <c r="I838" s="518"/>
      <c r="J838" s="27"/>
      <c r="K838" s="27"/>
    </row>
    <row r="839">
      <c r="C839" s="27"/>
      <c r="D839" s="27"/>
      <c r="E839" s="27"/>
      <c r="F839" s="27"/>
      <c r="G839" s="27"/>
      <c r="H839" s="27"/>
      <c r="I839" s="518"/>
      <c r="J839" s="27"/>
      <c r="K839" s="27"/>
    </row>
    <row r="840">
      <c r="C840" s="27"/>
      <c r="D840" s="27"/>
      <c r="E840" s="27"/>
      <c r="F840" s="27"/>
      <c r="G840" s="27"/>
      <c r="H840" s="27"/>
      <c r="I840" s="518"/>
      <c r="J840" s="27"/>
      <c r="K840" s="27"/>
    </row>
    <row r="841">
      <c r="C841" s="27"/>
      <c r="D841" s="27"/>
      <c r="E841" s="27"/>
      <c r="F841" s="27"/>
      <c r="G841" s="27"/>
      <c r="H841" s="27"/>
      <c r="I841" s="518"/>
      <c r="J841" s="27"/>
      <c r="K841" s="27"/>
    </row>
    <row r="842">
      <c r="C842" s="27"/>
      <c r="D842" s="27"/>
      <c r="E842" s="27"/>
      <c r="F842" s="27"/>
      <c r="G842" s="27"/>
      <c r="H842" s="27"/>
      <c r="I842" s="518"/>
      <c r="J842" s="27"/>
      <c r="K842" s="27"/>
    </row>
    <row r="843">
      <c r="C843" s="27"/>
      <c r="D843" s="27"/>
      <c r="E843" s="27"/>
      <c r="F843" s="27"/>
      <c r="G843" s="27"/>
      <c r="H843" s="27"/>
      <c r="I843" s="518"/>
      <c r="J843" s="27"/>
      <c r="K843" s="27"/>
    </row>
    <row r="844">
      <c r="C844" s="27"/>
      <c r="D844" s="27"/>
      <c r="E844" s="27"/>
      <c r="F844" s="27"/>
      <c r="G844" s="27"/>
      <c r="H844" s="27"/>
      <c r="I844" s="518"/>
      <c r="J844" s="27"/>
      <c r="K844" s="27"/>
    </row>
    <row r="845">
      <c r="C845" s="27"/>
      <c r="D845" s="27"/>
      <c r="E845" s="27"/>
      <c r="F845" s="27"/>
      <c r="G845" s="27"/>
      <c r="H845" s="27"/>
      <c r="I845" s="518"/>
      <c r="J845" s="27"/>
      <c r="K845" s="27"/>
    </row>
    <row r="846">
      <c r="C846" s="27"/>
      <c r="D846" s="27"/>
      <c r="E846" s="27"/>
      <c r="F846" s="27"/>
      <c r="G846" s="27"/>
      <c r="H846" s="27"/>
      <c r="I846" s="518"/>
      <c r="J846" s="27"/>
      <c r="K846" s="27"/>
    </row>
    <row r="847">
      <c r="C847" s="27"/>
      <c r="D847" s="27"/>
      <c r="E847" s="27"/>
      <c r="F847" s="27"/>
      <c r="G847" s="27"/>
      <c r="H847" s="27"/>
      <c r="I847" s="518"/>
      <c r="J847" s="27"/>
      <c r="K847" s="27"/>
    </row>
    <row r="848">
      <c r="C848" s="27"/>
      <c r="D848" s="27"/>
      <c r="E848" s="27"/>
      <c r="F848" s="27"/>
      <c r="G848" s="27"/>
      <c r="H848" s="27"/>
      <c r="I848" s="518"/>
      <c r="J848" s="27"/>
      <c r="K848" s="27"/>
    </row>
    <row r="849">
      <c r="C849" s="27"/>
      <c r="D849" s="27"/>
      <c r="E849" s="27"/>
      <c r="F849" s="27"/>
      <c r="G849" s="27"/>
      <c r="H849" s="27"/>
      <c r="I849" s="518"/>
      <c r="J849" s="27"/>
      <c r="K849" s="27"/>
    </row>
    <row r="850">
      <c r="C850" s="27"/>
      <c r="D850" s="27"/>
      <c r="E850" s="27"/>
      <c r="F850" s="27"/>
      <c r="G850" s="27"/>
      <c r="H850" s="27"/>
      <c r="I850" s="518"/>
      <c r="J850" s="27"/>
      <c r="K850" s="27"/>
    </row>
    <row r="851">
      <c r="C851" s="27"/>
      <c r="D851" s="27"/>
      <c r="E851" s="27"/>
      <c r="F851" s="27"/>
      <c r="G851" s="27"/>
      <c r="H851" s="27"/>
      <c r="I851" s="518"/>
      <c r="J851" s="27"/>
      <c r="K851" s="27"/>
    </row>
    <row r="852">
      <c r="C852" s="27"/>
      <c r="D852" s="27"/>
      <c r="E852" s="27"/>
      <c r="F852" s="27"/>
      <c r="G852" s="27"/>
      <c r="H852" s="27"/>
      <c r="I852" s="518"/>
      <c r="J852" s="27"/>
      <c r="K852" s="27"/>
    </row>
    <row r="853">
      <c r="C853" s="27"/>
      <c r="D853" s="27"/>
      <c r="E853" s="27"/>
      <c r="F853" s="27"/>
      <c r="G853" s="27"/>
      <c r="H853" s="27"/>
      <c r="I853" s="518"/>
      <c r="J853" s="27"/>
      <c r="K853" s="27"/>
    </row>
    <row r="854">
      <c r="C854" s="27"/>
      <c r="D854" s="27"/>
      <c r="E854" s="27"/>
      <c r="F854" s="27"/>
      <c r="G854" s="27"/>
      <c r="H854" s="27"/>
      <c r="I854" s="518"/>
      <c r="J854" s="27"/>
      <c r="K854" s="27"/>
    </row>
    <row r="855">
      <c r="C855" s="27"/>
      <c r="D855" s="27"/>
      <c r="E855" s="27"/>
      <c r="F855" s="27"/>
      <c r="G855" s="27"/>
      <c r="H855" s="27"/>
      <c r="I855" s="518"/>
      <c r="J855" s="27"/>
      <c r="K855" s="27"/>
    </row>
    <row r="856">
      <c r="C856" s="27"/>
      <c r="D856" s="27"/>
      <c r="E856" s="27"/>
      <c r="F856" s="27"/>
      <c r="G856" s="27"/>
      <c r="H856" s="27"/>
      <c r="I856" s="518"/>
      <c r="J856" s="27"/>
      <c r="K856" s="27"/>
    </row>
    <row r="857">
      <c r="C857" s="27"/>
      <c r="D857" s="27"/>
      <c r="E857" s="27"/>
      <c r="F857" s="27"/>
      <c r="G857" s="27"/>
      <c r="H857" s="27"/>
      <c r="I857" s="518"/>
      <c r="J857" s="27"/>
      <c r="K857" s="27"/>
    </row>
    <row r="858">
      <c r="C858" s="27"/>
      <c r="D858" s="27"/>
      <c r="E858" s="27"/>
      <c r="F858" s="27"/>
      <c r="G858" s="27"/>
      <c r="H858" s="27"/>
      <c r="I858" s="518"/>
      <c r="J858" s="27"/>
      <c r="K858" s="27"/>
    </row>
    <row r="859">
      <c r="C859" s="27"/>
      <c r="D859" s="27"/>
      <c r="E859" s="27"/>
      <c r="F859" s="27"/>
      <c r="G859" s="27"/>
      <c r="H859" s="27"/>
      <c r="I859" s="518"/>
      <c r="J859" s="27"/>
      <c r="K859" s="27"/>
    </row>
    <row r="860">
      <c r="C860" s="27"/>
      <c r="D860" s="27"/>
      <c r="E860" s="27"/>
      <c r="F860" s="27"/>
      <c r="G860" s="27"/>
      <c r="H860" s="27"/>
      <c r="I860" s="518"/>
      <c r="J860" s="27"/>
      <c r="K860" s="27"/>
    </row>
    <row r="861">
      <c r="C861" s="27"/>
      <c r="D861" s="27"/>
      <c r="E861" s="27"/>
      <c r="F861" s="27"/>
      <c r="G861" s="27"/>
      <c r="H861" s="27"/>
      <c r="I861" s="518"/>
      <c r="J861" s="27"/>
      <c r="K861" s="27"/>
    </row>
    <row r="862">
      <c r="C862" s="27"/>
      <c r="D862" s="27"/>
      <c r="E862" s="27"/>
      <c r="F862" s="27"/>
      <c r="G862" s="27"/>
      <c r="H862" s="27"/>
      <c r="I862" s="518"/>
      <c r="J862" s="27"/>
      <c r="K862" s="27"/>
    </row>
    <row r="863">
      <c r="C863" s="27"/>
      <c r="D863" s="27"/>
      <c r="E863" s="27"/>
      <c r="F863" s="27"/>
      <c r="G863" s="27"/>
      <c r="H863" s="27"/>
      <c r="I863" s="518"/>
      <c r="J863" s="27"/>
      <c r="K863" s="27"/>
    </row>
    <row r="864">
      <c r="C864" s="27"/>
      <c r="D864" s="27"/>
      <c r="E864" s="27"/>
      <c r="F864" s="27"/>
      <c r="G864" s="27"/>
      <c r="H864" s="27"/>
      <c r="I864" s="518"/>
      <c r="J864" s="27"/>
      <c r="K864" s="27"/>
    </row>
    <row r="865">
      <c r="C865" s="27"/>
      <c r="D865" s="27"/>
      <c r="E865" s="27"/>
      <c r="F865" s="27"/>
      <c r="G865" s="27"/>
      <c r="H865" s="27"/>
      <c r="I865" s="518"/>
      <c r="J865" s="27"/>
      <c r="K865" s="27"/>
    </row>
    <row r="866">
      <c r="C866" s="27"/>
      <c r="D866" s="27"/>
      <c r="E866" s="27"/>
      <c r="F866" s="27"/>
      <c r="G866" s="27"/>
      <c r="H866" s="27"/>
      <c r="I866" s="518"/>
      <c r="J866" s="27"/>
      <c r="K866" s="27"/>
    </row>
    <row r="867">
      <c r="C867" s="27"/>
      <c r="D867" s="27"/>
      <c r="E867" s="27"/>
      <c r="F867" s="27"/>
      <c r="G867" s="27"/>
      <c r="H867" s="27"/>
      <c r="I867" s="518"/>
      <c r="J867" s="27"/>
      <c r="K867" s="27"/>
    </row>
    <row r="868">
      <c r="C868" s="27"/>
      <c r="D868" s="27"/>
      <c r="E868" s="27"/>
      <c r="F868" s="27"/>
      <c r="G868" s="27"/>
      <c r="H868" s="27"/>
      <c r="I868" s="518"/>
      <c r="J868" s="27"/>
      <c r="K868" s="27"/>
    </row>
    <row r="869">
      <c r="C869" s="27"/>
      <c r="D869" s="27"/>
      <c r="E869" s="27"/>
      <c r="F869" s="27"/>
      <c r="G869" s="27"/>
      <c r="H869" s="27"/>
      <c r="I869" s="518"/>
      <c r="J869" s="27"/>
      <c r="K869" s="27"/>
    </row>
    <row r="870">
      <c r="C870" s="27"/>
      <c r="D870" s="27"/>
      <c r="E870" s="27"/>
      <c r="F870" s="27"/>
      <c r="G870" s="27"/>
      <c r="H870" s="27"/>
      <c r="I870" s="518"/>
      <c r="J870" s="27"/>
      <c r="K870" s="27"/>
    </row>
    <row r="871">
      <c r="C871" s="27"/>
      <c r="D871" s="27"/>
      <c r="E871" s="27"/>
      <c r="F871" s="27"/>
      <c r="G871" s="27"/>
      <c r="H871" s="27"/>
      <c r="I871" s="518"/>
      <c r="J871" s="27"/>
      <c r="K871" s="27"/>
    </row>
    <row r="872">
      <c r="C872" s="27"/>
      <c r="D872" s="27"/>
      <c r="E872" s="27"/>
      <c r="F872" s="27"/>
      <c r="G872" s="27"/>
      <c r="H872" s="27"/>
      <c r="I872" s="518"/>
      <c r="J872" s="27"/>
      <c r="K872" s="27"/>
    </row>
    <row r="873">
      <c r="C873" s="27"/>
      <c r="D873" s="27"/>
      <c r="E873" s="27"/>
      <c r="F873" s="27"/>
      <c r="G873" s="27"/>
      <c r="H873" s="27"/>
      <c r="I873" s="518"/>
      <c r="J873" s="27"/>
      <c r="K873" s="27"/>
    </row>
    <row r="874">
      <c r="C874" s="27"/>
      <c r="D874" s="27"/>
      <c r="E874" s="27"/>
      <c r="F874" s="27"/>
      <c r="G874" s="27"/>
      <c r="H874" s="27"/>
      <c r="I874" s="518"/>
      <c r="J874" s="27"/>
      <c r="K874" s="27"/>
    </row>
    <row r="875">
      <c r="C875" s="27"/>
      <c r="D875" s="27"/>
      <c r="E875" s="27"/>
      <c r="F875" s="27"/>
      <c r="G875" s="27"/>
      <c r="H875" s="27"/>
      <c r="I875" s="518"/>
      <c r="J875" s="27"/>
      <c r="K875" s="27"/>
    </row>
    <row r="876">
      <c r="C876" s="27"/>
      <c r="D876" s="27"/>
      <c r="E876" s="27"/>
      <c r="F876" s="27"/>
      <c r="G876" s="27"/>
      <c r="H876" s="27"/>
      <c r="I876" s="518"/>
      <c r="J876" s="27"/>
      <c r="K876" s="27"/>
    </row>
    <row r="877">
      <c r="C877" s="27"/>
      <c r="D877" s="27"/>
      <c r="E877" s="27"/>
      <c r="F877" s="27"/>
      <c r="G877" s="27"/>
      <c r="H877" s="27"/>
      <c r="I877" s="518"/>
      <c r="J877" s="27"/>
      <c r="K877" s="27"/>
    </row>
    <row r="878">
      <c r="C878" s="27"/>
      <c r="D878" s="27"/>
      <c r="E878" s="27"/>
      <c r="F878" s="27"/>
      <c r="G878" s="27"/>
      <c r="H878" s="27"/>
      <c r="I878" s="518"/>
      <c r="J878" s="27"/>
      <c r="K878" s="27"/>
    </row>
    <row r="879">
      <c r="C879" s="27"/>
      <c r="D879" s="27"/>
      <c r="E879" s="27"/>
      <c r="F879" s="27"/>
      <c r="G879" s="27"/>
      <c r="H879" s="27"/>
      <c r="I879" s="518"/>
      <c r="J879" s="27"/>
      <c r="K879" s="27"/>
    </row>
    <row r="880">
      <c r="C880" s="27"/>
      <c r="D880" s="27"/>
      <c r="E880" s="27"/>
      <c r="F880" s="27"/>
      <c r="G880" s="27"/>
      <c r="H880" s="27"/>
      <c r="I880" s="518"/>
      <c r="J880" s="27"/>
      <c r="K880" s="27"/>
    </row>
    <row r="881">
      <c r="C881" s="27"/>
      <c r="D881" s="27"/>
      <c r="E881" s="27"/>
      <c r="F881" s="27"/>
      <c r="G881" s="27"/>
      <c r="H881" s="27"/>
      <c r="I881" s="518"/>
      <c r="J881" s="27"/>
      <c r="K881" s="27"/>
    </row>
    <row r="882">
      <c r="C882" s="27"/>
      <c r="D882" s="27"/>
      <c r="E882" s="27"/>
      <c r="F882" s="27"/>
      <c r="G882" s="27"/>
      <c r="H882" s="27"/>
      <c r="I882" s="518"/>
      <c r="J882" s="27"/>
      <c r="K882" s="27"/>
    </row>
    <row r="883">
      <c r="C883" s="27"/>
      <c r="D883" s="27"/>
      <c r="E883" s="27"/>
      <c r="F883" s="27"/>
      <c r="G883" s="27"/>
      <c r="H883" s="27"/>
      <c r="I883" s="518"/>
      <c r="J883" s="27"/>
      <c r="K883" s="27"/>
    </row>
    <row r="884">
      <c r="C884" s="27"/>
      <c r="D884" s="27"/>
      <c r="E884" s="27"/>
      <c r="F884" s="27"/>
      <c r="G884" s="27"/>
      <c r="H884" s="27"/>
      <c r="I884" s="518"/>
      <c r="J884" s="27"/>
      <c r="K884" s="27"/>
    </row>
    <row r="885">
      <c r="C885" s="27"/>
      <c r="D885" s="27"/>
      <c r="E885" s="27"/>
      <c r="F885" s="27"/>
      <c r="G885" s="27"/>
      <c r="H885" s="27"/>
      <c r="I885" s="518"/>
      <c r="J885" s="27"/>
      <c r="K885" s="27"/>
    </row>
    <row r="886">
      <c r="C886" s="27"/>
      <c r="D886" s="27"/>
      <c r="E886" s="27"/>
      <c r="F886" s="27"/>
      <c r="G886" s="27"/>
      <c r="H886" s="27"/>
      <c r="I886" s="518"/>
      <c r="J886" s="27"/>
      <c r="K886" s="27"/>
    </row>
    <row r="887">
      <c r="C887" s="27"/>
      <c r="D887" s="27"/>
      <c r="E887" s="27"/>
      <c r="F887" s="27"/>
      <c r="G887" s="27"/>
      <c r="H887" s="27"/>
      <c r="I887" s="518"/>
      <c r="J887" s="27"/>
      <c r="K887" s="27"/>
    </row>
    <row r="888">
      <c r="C888" s="27"/>
      <c r="D888" s="27"/>
      <c r="E888" s="27"/>
      <c r="F888" s="27"/>
      <c r="G888" s="27"/>
      <c r="H888" s="27"/>
      <c r="I888" s="518"/>
      <c r="J888" s="27"/>
      <c r="K888" s="27"/>
    </row>
    <row r="889">
      <c r="C889" s="27"/>
      <c r="D889" s="27"/>
      <c r="E889" s="27"/>
      <c r="F889" s="27"/>
      <c r="G889" s="27"/>
      <c r="H889" s="27"/>
      <c r="I889" s="518"/>
      <c r="J889" s="27"/>
      <c r="K889" s="27"/>
    </row>
    <row r="890">
      <c r="C890" s="27"/>
      <c r="D890" s="27"/>
      <c r="E890" s="27"/>
      <c r="F890" s="27"/>
      <c r="G890" s="27"/>
      <c r="H890" s="27"/>
      <c r="I890" s="518"/>
      <c r="J890" s="27"/>
      <c r="K890" s="27"/>
    </row>
    <row r="891">
      <c r="C891" s="27"/>
      <c r="D891" s="27"/>
      <c r="E891" s="27"/>
      <c r="F891" s="27"/>
      <c r="G891" s="27"/>
      <c r="H891" s="27"/>
      <c r="I891" s="518"/>
      <c r="J891" s="27"/>
      <c r="K891" s="27"/>
    </row>
    <row r="892">
      <c r="C892" s="27"/>
      <c r="D892" s="27"/>
      <c r="E892" s="27"/>
      <c r="F892" s="27"/>
      <c r="G892" s="27"/>
      <c r="H892" s="27"/>
      <c r="I892" s="518"/>
      <c r="J892" s="27"/>
      <c r="K892" s="27"/>
    </row>
    <row r="893">
      <c r="C893" s="27"/>
      <c r="D893" s="27"/>
      <c r="E893" s="27"/>
      <c r="F893" s="27"/>
      <c r="G893" s="27"/>
      <c r="H893" s="27"/>
      <c r="I893" s="518"/>
      <c r="J893" s="27"/>
      <c r="K893" s="27"/>
    </row>
    <row r="894">
      <c r="C894" s="27"/>
      <c r="D894" s="27"/>
      <c r="E894" s="27"/>
      <c r="F894" s="27"/>
      <c r="G894" s="27"/>
      <c r="H894" s="27"/>
      <c r="I894" s="518"/>
      <c r="J894" s="27"/>
      <c r="K894" s="27"/>
    </row>
    <row r="895">
      <c r="C895" s="27"/>
      <c r="D895" s="27"/>
      <c r="E895" s="27"/>
      <c r="F895" s="27"/>
      <c r="G895" s="27"/>
      <c r="H895" s="27"/>
      <c r="I895" s="518"/>
      <c r="J895" s="27"/>
      <c r="K895" s="27"/>
    </row>
    <row r="896">
      <c r="C896" s="27"/>
      <c r="D896" s="27"/>
      <c r="E896" s="27"/>
      <c r="F896" s="27"/>
      <c r="G896" s="27"/>
      <c r="H896" s="27"/>
      <c r="I896" s="518"/>
      <c r="J896" s="27"/>
      <c r="K896" s="27"/>
    </row>
    <row r="897">
      <c r="C897" s="27"/>
      <c r="D897" s="27"/>
      <c r="E897" s="27"/>
      <c r="F897" s="27"/>
      <c r="G897" s="27"/>
      <c r="H897" s="27"/>
      <c r="I897" s="518"/>
      <c r="J897" s="27"/>
      <c r="K897" s="27"/>
    </row>
    <row r="898">
      <c r="C898" s="27"/>
      <c r="D898" s="27"/>
      <c r="E898" s="27"/>
      <c r="F898" s="27"/>
      <c r="G898" s="27"/>
      <c r="H898" s="27"/>
      <c r="I898" s="518"/>
      <c r="J898" s="27"/>
      <c r="K898" s="27"/>
    </row>
    <row r="899">
      <c r="C899" s="27"/>
      <c r="D899" s="27"/>
      <c r="E899" s="27"/>
      <c r="F899" s="27"/>
      <c r="G899" s="27"/>
      <c r="H899" s="27"/>
      <c r="I899" s="518"/>
      <c r="J899" s="27"/>
      <c r="K899" s="27"/>
    </row>
    <row r="900">
      <c r="C900" s="27"/>
      <c r="D900" s="27"/>
      <c r="E900" s="27"/>
      <c r="F900" s="27"/>
      <c r="G900" s="27"/>
      <c r="H900" s="27"/>
      <c r="I900" s="518"/>
      <c r="J900" s="27"/>
      <c r="K900" s="27"/>
    </row>
    <row r="901">
      <c r="C901" s="27"/>
      <c r="D901" s="27"/>
      <c r="E901" s="27"/>
      <c r="F901" s="27"/>
      <c r="G901" s="27"/>
      <c r="H901" s="27"/>
      <c r="I901" s="518"/>
      <c r="J901" s="27"/>
      <c r="K901" s="27"/>
    </row>
    <row r="902">
      <c r="C902" s="27"/>
      <c r="D902" s="27"/>
      <c r="E902" s="27"/>
      <c r="F902" s="27"/>
      <c r="G902" s="27"/>
      <c r="H902" s="27"/>
      <c r="I902" s="518"/>
      <c r="J902" s="27"/>
      <c r="K902" s="27"/>
    </row>
    <row r="903">
      <c r="C903" s="27"/>
      <c r="D903" s="27"/>
      <c r="E903" s="27"/>
      <c r="F903" s="27"/>
      <c r="G903" s="27"/>
      <c r="H903" s="27"/>
      <c r="I903" s="518"/>
      <c r="J903" s="27"/>
      <c r="K903" s="27"/>
    </row>
    <row r="904">
      <c r="C904" s="27"/>
      <c r="D904" s="27"/>
      <c r="E904" s="27"/>
      <c r="F904" s="27"/>
      <c r="G904" s="27"/>
      <c r="H904" s="27"/>
      <c r="I904" s="518"/>
      <c r="J904" s="27"/>
      <c r="K904" s="27"/>
    </row>
    <row r="905">
      <c r="C905" s="27"/>
      <c r="D905" s="27"/>
      <c r="E905" s="27"/>
      <c r="F905" s="27"/>
      <c r="G905" s="27"/>
      <c r="H905" s="27"/>
      <c r="I905" s="518"/>
      <c r="J905" s="27"/>
      <c r="K905" s="27"/>
    </row>
    <row r="906">
      <c r="C906" s="27"/>
      <c r="D906" s="27"/>
      <c r="E906" s="27"/>
      <c r="F906" s="27"/>
      <c r="G906" s="27"/>
      <c r="H906" s="27"/>
      <c r="I906" s="518"/>
      <c r="J906" s="27"/>
      <c r="K906" s="27"/>
    </row>
    <row r="907">
      <c r="C907" s="27"/>
      <c r="D907" s="27"/>
      <c r="E907" s="27"/>
      <c r="F907" s="27"/>
      <c r="G907" s="27"/>
      <c r="H907" s="27"/>
      <c r="I907" s="518"/>
      <c r="J907" s="27"/>
      <c r="K907" s="27"/>
    </row>
    <row r="908">
      <c r="C908" s="27"/>
      <c r="D908" s="27"/>
      <c r="E908" s="27"/>
      <c r="F908" s="27"/>
      <c r="G908" s="27"/>
      <c r="H908" s="27"/>
      <c r="I908" s="518"/>
      <c r="J908" s="27"/>
      <c r="K908" s="27"/>
    </row>
    <row r="909">
      <c r="C909" s="27"/>
      <c r="D909" s="27"/>
      <c r="E909" s="27"/>
      <c r="F909" s="27"/>
      <c r="G909" s="27"/>
      <c r="H909" s="27"/>
      <c r="I909" s="518"/>
      <c r="J909" s="27"/>
      <c r="K909" s="27"/>
    </row>
    <row r="910">
      <c r="C910" s="27"/>
      <c r="D910" s="27"/>
      <c r="E910" s="27"/>
      <c r="F910" s="27"/>
      <c r="G910" s="27"/>
      <c r="H910" s="27"/>
      <c r="I910" s="518"/>
      <c r="J910" s="27"/>
      <c r="K910" s="27"/>
    </row>
    <row r="911">
      <c r="C911" s="27"/>
      <c r="D911" s="27"/>
      <c r="E911" s="27"/>
      <c r="F911" s="27"/>
      <c r="G911" s="27"/>
      <c r="H911" s="27"/>
      <c r="I911" s="518"/>
      <c r="J911" s="27"/>
      <c r="K911" s="27"/>
    </row>
    <row r="912">
      <c r="C912" s="27"/>
      <c r="D912" s="27"/>
      <c r="E912" s="27"/>
      <c r="F912" s="27"/>
      <c r="G912" s="27"/>
      <c r="H912" s="27"/>
      <c r="I912" s="518"/>
      <c r="J912" s="27"/>
      <c r="K912" s="27"/>
    </row>
    <row r="913">
      <c r="C913" s="27"/>
      <c r="D913" s="27"/>
      <c r="E913" s="27"/>
      <c r="F913" s="27"/>
      <c r="G913" s="27"/>
      <c r="H913" s="27"/>
      <c r="I913" s="518"/>
      <c r="J913" s="27"/>
      <c r="K913" s="27"/>
    </row>
    <row r="914">
      <c r="C914" s="27"/>
      <c r="D914" s="27"/>
      <c r="E914" s="27"/>
      <c r="F914" s="27"/>
      <c r="G914" s="27"/>
      <c r="H914" s="27"/>
      <c r="I914" s="518"/>
      <c r="J914" s="27"/>
      <c r="K914" s="27"/>
    </row>
    <row r="915">
      <c r="C915" s="27"/>
      <c r="D915" s="27"/>
      <c r="E915" s="27"/>
      <c r="F915" s="27"/>
      <c r="G915" s="27"/>
      <c r="H915" s="27"/>
      <c r="I915" s="518"/>
      <c r="J915" s="27"/>
      <c r="K915" s="27"/>
    </row>
    <row r="916">
      <c r="C916" s="27"/>
      <c r="D916" s="27"/>
      <c r="E916" s="27"/>
      <c r="F916" s="27"/>
      <c r="G916" s="27"/>
      <c r="H916" s="27"/>
      <c r="I916" s="518"/>
      <c r="J916" s="27"/>
      <c r="K916" s="27"/>
    </row>
    <row r="917">
      <c r="C917" s="27"/>
      <c r="D917" s="27"/>
      <c r="E917" s="27"/>
      <c r="F917" s="27"/>
      <c r="G917" s="27"/>
      <c r="H917" s="27"/>
      <c r="I917" s="518"/>
      <c r="J917" s="27"/>
      <c r="K917" s="27"/>
    </row>
    <row r="918">
      <c r="C918" s="27"/>
      <c r="D918" s="27"/>
      <c r="E918" s="27"/>
      <c r="F918" s="27"/>
      <c r="G918" s="27"/>
      <c r="H918" s="27"/>
      <c r="I918" s="518"/>
      <c r="J918" s="27"/>
      <c r="K918" s="27"/>
    </row>
    <row r="919">
      <c r="C919" s="27"/>
      <c r="D919" s="27"/>
      <c r="E919" s="27"/>
      <c r="F919" s="27"/>
      <c r="G919" s="27"/>
      <c r="H919" s="27"/>
      <c r="I919" s="518"/>
      <c r="J919" s="27"/>
      <c r="K919" s="27"/>
    </row>
    <row r="920">
      <c r="C920" s="27"/>
      <c r="D920" s="27"/>
      <c r="E920" s="27"/>
      <c r="F920" s="27"/>
      <c r="G920" s="27"/>
      <c r="H920" s="27"/>
      <c r="I920" s="518"/>
      <c r="J920" s="27"/>
      <c r="K920" s="27"/>
    </row>
    <row r="921">
      <c r="C921" s="27"/>
      <c r="D921" s="27"/>
      <c r="E921" s="27"/>
      <c r="F921" s="27"/>
      <c r="G921" s="27"/>
      <c r="H921" s="27"/>
      <c r="I921" s="518"/>
      <c r="J921" s="27"/>
      <c r="K921" s="27"/>
    </row>
    <row r="922">
      <c r="C922" s="27"/>
      <c r="D922" s="27"/>
      <c r="E922" s="27"/>
      <c r="F922" s="27"/>
      <c r="G922" s="27"/>
      <c r="H922" s="27"/>
      <c r="I922" s="518"/>
      <c r="J922" s="27"/>
      <c r="K922" s="27"/>
    </row>
    <row r="923">
      <c r="C923" s="27"/>
      <c r="D923" s="27"/>
      <c r="E923" s="27"/>
      <c r="F923" s="27"/>
      <c r="G923" s="27"/>
      <c r="H923" s="27"/>
      <c r="I923" s="518"/>
      <c r="J923" s="27"/>
      <c r="K923" s="27"/>
    </row>
    <row r="924">
      <c r="C924" s="27"/>
      <c r="D924" s="27"/>
      <c r="E924" s="27"/>
      <c r="F924" s="27"/>
      <c r="G924" s="27"/>
      <c r="H924" s="27"/>
      <c r="I924" s="518"/>
      <c r="J924" s="27"/>
      <c r="K924" s="27"/>
    </row>
    <row r="925">
      <c r="C925" s="27"/>
      <c r="D925" s="27"/>
      <c r="E925" s="27"/>
      <c r="F925" s="27"/>
      <c r="G925" s="27"/>
      <c r="H925" s="27"/>
      <c r="I925" s="518"/>
      <c r="J925" s="27"/>
      <c r="K925" s="27"/>
    </row>
    <row r="926">
      <c r="C926" s="27"/>
      <c r="D926" s="27"/>
      <c r="E926" s="27"/>
      <c r="F926" s="27"/>
      <c r="G926" s="27"/>
      <c r="H926" s="27"/>
      <c r="I926" s="518"/>
      <c r="J926" s="27"/>
      <c r="K926" s="27"/>
    </row>
    <row r="927">
      <c r="C927" s="27"/>
      <c r="D927" s="27"/>
      <c r="E927" s="27"/>
      <c r="F927" s="27"/>
      <c r="G927" s="27"/>
      <c r="H927" s="27"/>
      <c r="I927" s="518"/>
      <c r="J927" s="27"/>
      <c r="K927" s="27"/>
    </row>
    <row r="928">
      <c r="C928" s="27"/>
      <c r="D928" s="27"/>
      <c r="E928" s="27"/>
      <c r="F928" s="27"/>
      <c r="G928" s="27"/>
      <c r="H928" s="27"/>
      <c r="I928" s="518"/>
      <c r="J928" s="27"/>
      <c r="K928" s="27"/>
    </row>
    <row r="929">
      <c r="C929" s="27"/>
      <c r="D929" s="27"/>
      <c r="E929" s="27"/>
      <c r="F929" s="27"/>
      <c r="G929" s="27"/>
      <c r="H929" s="27"/>
      <c r="I929" s="518"/>
      <c r="J929" s="27"/>
      <c r="K929" s="27"/>
    </row>
    <row r="930">
      <c r="C930" s="27"/>
      <c r="D930" s="27"/>
      <c r="E930" s="27"/>
      <c r="F930" s="27"/>
      <c r="G930" s="27"/>
      <c r="H930" s="27"/>
      <c r="I930" s="518"/>
      <c r="J930" s="27"/>
      <c r="K930" s="27"/>
    </row>
    <row r="931">
      <c r="C931" s="27"/>
      <c r="D931" s="27"/>
      <c r="E931" s="27"/>
      <c r="F931" s="27"/>
      <c r="G931" s="27"/>
      <c r="H931" s="27"/>
      <c r="I931" s="518"/>
      <c r="J931" s="27"/>
      <c r="K931" s="27"/>
    </row>
    <row r="932">
      <c r="C932" s="27"/>
      <c r="D932" s="27"/>
      <c r="E932" s="27"/>
      <c r="F932" s="27"/>
      <c r="G932" s="27"/>
      <c r="H932" s="27"/>
      <c r="I932" s="518"/>
      <c r="J932" s="27"/>
      <c r="K932" s="27"/>
    </row>
    <row r="933">
      <c r="C933" s="27"/>
      <c r="D933" s="27"/>
      <c r="E933" s="27"/>
      <c r="F933" s="27"/>
      <c r="G933" s="27"/>
      <c r="H933" s="27"/>
      <c r="I933" s="518"/>
      <c r="J933" s="27"/>
      <c r="K933" s="27"/>
    </row>
    <row r="934">
      <c r="C934" s="27"/>
      <c r="D934" s="27"/>
      <c r="E934" s="27"/>
      <c r="F934" s="27"/>
      <c r="G934" s="27"/>
      <c r="H934" s="27"/>
      <c r="I934" s="518"/>
      <c r="J934" s="27"/>
      <c r="K934" s="27"/>
    </row>
    <row r="935">
      <c r="C935" s="27"/>
      <c r="D935" s="27"/>
      <c r="E935" s="27"/>
      <c r="F935" s="27"/>
      <c r="G935" s="27"/>
      <c r="H935" s="27"/>
      <c r="I935" s="518"/>
      <c r="J935" s="27"/>
      <c r="K935" s="27"/>
    </row>
    <row r="936">
      <c r="C936" s="27"/>
      <c r="D936" s="27"/>
      <c r="E936" s="27"/>
      <c r="F936" s="27"/>
      <c r="G936" s="27"/>
      <c r="H936" s="27"/>
      <c r="I936" s="518"/>
      <c r="J936" s="27"/>
      <c r="K936" s="27"/>
    </row>
    <row r="937">
      <c r="C937" s="27"/>
      <c r="D937" s="27"/>
      <c r="E937" s="27"/>
      <c r="F937" s="27"/>
      <c r="G937" s="27"/>
      <c r="H937" s="27"/>
      <c r="I937" s="518"/>
      <c r="J937" s="27"/>
      <c r="K937" s="27"/>
    </row>
    <row r="938">
      <c r="C938" s="27"/>
      <c r="D938" s="27"/>
      <c r="E938" s="27"/>
      <c r="F938" s="27"/>
      <c r="G938" s="27"/>
      <c r="H938" s="27"/>
      <c r="I938" s="518"/>
      <c r="J938" s="27"/>
      <c r="K938" s="27"/>
    </row>
    <row r="939">
      <c r="C939" s="27"/>
      <c r="D939" s="27"/>
      <c r="E939" s="27"/>
      <c r="F939" s="27"/>
      <c r="G939" s="27"/>
      <c r="H939" s="27"/>
      <c r="I939" s="518"/>
      <c r="J939" s="27"/>
      <c r="K939" s="27"/>
    </row>
    <row r="940">
      <c r="C940" s="27"/>
      <c r="D940" s="27"/>
      <c r="E940" s="27"/>
      <c r="F940" s="27"/>
      <c r="G940" s="27"/>
      <c r="H940" s="27"/>
      <c r="I940" s="518"/>
      <c r="J940" s="27"/>
      <c r="K940" s="27"/>
    </row>
    <row r="941">
      <c r="C941" s="27"/>
      <c r="D941" s="27"/>
      <c r="E941" s="27"/>
      <c r="F941" s="27"/>
      <c r="G941" s="27"/>
      <c r="H941" s="27"/>
      <c r="I941" s="518"/>
      <c r="J941" s="27"/>
      <c r="K941" s="27"/>
    </row>
    <row r="942">
      <c r="C942" s="27"/>
      <c r="D942" s="27"/>
      <c r="E942" s="27"/>
      <c r="F942" s="27"/>
      <c r="G942" s="27"/>
      <c r="H942" s="27"/>
      <c r="I942" s="518"/>
      <c r="J942" s="27"/>
      <c r="K942" s="27"/>
    </row>
    <row r="943">
      <c r="C943" s="27"/>
      <c r="D943" s="27"/>
      <c r="E943" s="27"/>
      <c r="F943" s="27"/>
      <c r="G943" s="27"/>
      <c r="H943" s="27"/>
      <c r="I943" s="518"/>
      <c r="J943" s="27"/>
      <c r="K943" s="27"/>
    </row>
    <row r="944">
      <c r="C944" s="27"/>
      <c r="D944" s="27"/>
      <c r="E944" s="27"/>
      <c r="F944" s="27"/>
      <c r="G944" s="27"/>
      <c r="H944" s="27"/>
      <c r="I944" s="518"/>
      <c r="J944" s="27"/>
      <c r="K944" s="27"/>
    </row>
    <row r="945">
      <c r="C945" s="27"/>
      <c r="D945" s="27"/>
      <c r="E945" s="27"/>
      <c r="F945" s="27"/>
      <c r="G945" s="27"/>
      <c r="H945" s="27"/>
      <c r="I945" s="518"/>
      <c r="J945" s="27"/>
      <c r="K945" s="27"/>
    </row>
    <row r="946">
      <c r="C946" s="27"/>
      <c r="D946" s="27"/>
      <c r="E946" s="27"/>
      <c r="F946" s="27"/>
      <c r="G946" s="27"/>
      <c r="H946" s="27"/>
      <c r="I946" s="518"/>
      <c r="J946" s="27"/>
      <c r="K946" s="27"/>
    </row>
    <row r="947">
      <c r="C947" s="27"/>
      <c r="D947" s="27"/>
      <c r="E947" s="27"/>
      <c r="F947" s="27"/>
      <c r="G947" s="27"/>
      <c r="H947" s="27"/>
      <c r="I947" s="518"/>
      <c r="J947" s="27"/>
      <c r="K947" s="27"/>
    </row>
    <row r="948">
      <c r="C948" s="27"/>
      <c r="D948" s="27"/>
      <c r="E948" s="27"/>
      <c r="F948" s="27"/>
      <c r="G948" s="27"/>
      <c r="H948" s="27"/>
      <c r="I948" s="518"/>
      <c r="J948" s="27"/>
      <c r="K948" s="27"/>
    </row>
    <row r="949">
      <c r="C949" s="27"/>
      <c r="D949" s="27"/>
      <c r="E949" s="27"/>
      <c r="F949" s="27"/>
      <c r="G949" s="27"/>
      <c r="H949" s="27"/>
      <c r="I949" s="518"/>
      <c r="J949" s="27"/>
      <c r="K949" s="27"/>
    </row>
    <row r="950">
      <c r="C950" s="27"/>
      <c r="D950" s="27"/>
      <c r="E950" s="27"/>
      <c r="F950" s="27"/>
      <c r="G950" s="27"/>
      <c r="H950" s="27"/>
      <c r="I950" s="518"/>
      <c r="J950" s="27"/>
      <c r="K950" s="27"/>
    </row>
    <row r="951">
      <c r="C951" s="27"/>
      <c r="D951" s="27"/>
      <c r="E951" s="27"/>
      <c r="F951" s="27"/>
      <c r="G951" s="27"/>
      <c r="H951" s="27"/>
      <c r="I951" s="518"/>
      <c r="J951" s="27"/>
      <c r="K951" s="27"/>
    </row>
    <row r="952">
      <c r="C952" s="27"/>
      <c r="D952" s="27"/>
      <c r="E952" s="27"/>
      <c r="F952" s="27"/>
      <c r="G952" s="27"/>
      <c r="H952" s="27"/>
      <c r="I952" s="518"/>
      <c r="J952" s="27"/>
      <c r="K952" s="27"/>
    </row>
    <row r="953">
      <c r="C953" s="27"/>
      <c r="D953" s="27"/>
      <c r="E953" s="27"/>
      <c r="F953" s="27"/>
      <c r="G953" s="27"/>
      <c r="H953" s="27"/>
      <c r="I953" s="518"/>
      <c r="J953" s="27"/>
      <c r="K953" s="27"/>
    </row>
    <row r="954">
      <c r="C954" s="27"/>
      <c r="D954" s="27"/>
      <c r="E954" s="27"/>
      <c r="F954" s="27"/>
      <c r="G954" s="27"/>
      <c r="H954" s="27"/>
      <c r="I954" s="518"/>
      <c r="J954" s="27"/>
      <c r="K954" s="27"/>
    </row>
    <row r="955">
      <c r="C955" s="27"/>
      <c r="D955" s="27"/>
      <c r="E955" s="27"/>
      <c r="F955" s="27"/>
      <c r="G955" s="27"/>
      <c r="H955" s="27"/>
      <c r="I955" s="518"/>
      <c r="J955" s="27"/>
      <c r="K955" s="27"/>
    </row>
    <row r="956">
      <c r="C956" s="27"/>
      <c r="D956" s="27"/>
      <c r="E956" s="27"/>
      <c r="F956" s="27"/>
      <c r="G956" s="27"/>
      <c r="H956" s="27"/>
      <c r="I956" s="518"/>
      <c r="J956" s="27"/>
      <c r="K956" s="27"/>
    </row>
    <row r="957">
      <c r="C957" s="27"/>
      <c r="D957" s="27"/>
      <c r="E957" s="27"/>
      <c r="F957" s="27"/>
      <c r="G957" s="27"/>
      <c r="H957" s="27"/>
      <c r="I957" s="518"/>
      <c r="J957" s="27"/>
      <c r="K957" s="27"/>
    </row>
    <row r="958">
      <c r="C958" s="27"/>
      <c r="D958" s="27"/>
      <c r="E958" s="27"/>
      <c r="F958" s="27"/>
      <c r="G958" s="27"/>
      <c r="H958" s="27"/>
      <c r="I958" s="518"/>
      <c r="J958" s="27"/>
      <c r="K958" s="27"/>
    </row>
    <row r="959">
      <c r="C959" s="27"/>
      <c r="D959" s="27"/>
      <c r="E959" s="27"/>
      <c r="F959" s="27"/>
      <c r="G959" s="27"/>
      <c r="H959" s="27"/>
      <c r="I959" s="518"/>
      <c r="J959" s="27"/>
      <c r="K959" s="27"/>
    </row>
    <row r="960">
      <c r="C960" s="27"/>
      <c r="D960" s="27"/>
      <c r="E960" s="27"/>
      <c r="F960" s="27"/>
      <c r="G960" s="27"/>
      <c r="H960" s="27"/>
      <c r="I960" s="518"/>
      <c r="J960" s="27"/>
      <c r="K960" s="27"/>
    </row>
    <row r="961">
      <c r="C961" s="27"/>
      <c r="D961" s="27"/>
      <c r="E961" s="27"/>
      <c r="F961" s="27"/>
      <c r="G961" s="27"/>
      <c r="H961" s="27"/>
      <c r="I961" s="518"/>
      <c r="J961" s="27"/>
      <c r="K961" s="27"/>
    </row>
    <row r="962">
      <c r="C962" s="27"/>
      <c r="D962" s="27"/>
      <c r="E962" s="27"/>
      <c r="F962" s="27"/>
      <c r="G962" s="27"/>
      <c r="H962" s="27"/>
      <c r="I962" s="518"/>
      <c r="J962" s="27"/>
      <c r="K962" s="27"/>
    </row>
    <row r="963">
      <c r="C963" s="27"/>
      <c r="D963" s="27"/>
      <c r="E963" s="27"/>
      <c r="F963" s="27"/>
      <c r="G963" s="27"/>
      <c r="H963" s="27"/>
      <c r="I963" s="518"/>
      <c r="J963" s="27"/>
      <c r="K963" s="27"/>
    </row>
    <row r="964">
      <c r="C964" s="27"/>
      <c r="D964" s="27"/>
      <c r="E964" s="27"/>
      <c r="F964" s="27"/>
      <c r="G964" s="27"/>
      <c r="H964" s="27"/>
      <c r="I964" s="518"/>
      <c r="J964" s="27"/>
      <c r="K964" s="27"/>
    </row>
    <row r="965">
      <c r="C965" s="27"/>
      <c r="D965" s="27"/>
      <c r="E965" s="27"/>
      <c r="F965" s="27"/>
      <c r="G965" s="27"/>
      <c r="H965" s="27"/>
      <c r="I965" s="518"/>
      <c r="J965" s="27"/>
      <c r="K965" s="27"/>
    </row>
    <row r="966">
      <c r="C966" s="27"/>
      <c r="D966" s="27"/>
      <c r="E966" s="27"/>
      <c r="F966" s="27"/>
      <c r="G966" s="27"/>
      <c r="H966" s="27"/>
      <c r="I966" s="518"/>
      <c r="J966" s="27"/>
      <c r="K966" s="27"/>
    </row>
    <row r="967">
      <c r="C967" s="27"/>
      <c r="D967" s="27"/>
      <c r="E967" s="27"/>
      <c r="F967" s="27"/>
      <c r="G967" s="27"/>
      <c r="H967" s="27"/>
      <c r="I967" s="518"/>
      <c r="J967" s="27"/>
      <c r="K967" s="27"/>
    </row>
    <row r="968">
      <c r="C968" s="27"/>
      <c r="D968" s="27"/>
      <c r="E968" s="27"/>
      <c r="F968" s="27"/>
      <c r="G968" s="27"/>
      <c r="H968" s="27"/>
      <c r="I968" s="518"/>
      <c r="J968" s="27"/>
      <c r="K968" s="27"/>
    </row>
    <row r="969">
      <c r="C969" s="27"/>
      <c r="D969" s="27"/>
      <c r="E969" s="27"/>
      <c r="F969" s="27"/>
      <c r="G969" s="27"/>
      <c r="H969" s="27"/>
      <c r="I969" s="518"/>
      <c r="J969" s="27"/>
      <c r="K969" s="27"/>
    </row>
    <row r="970">
      <c r="C970" s="27"/>
      <c r="D970" s="27"/>
      <c r="E970" s="27"/>
      <c r="F970" s="27"/>
      <c r="G970" s="27"/>
      <c r="H970" s="27"/>
      <c r="I970" s="518"/>
      <c r="J970" s="27"/>
      <c r="K970" s="27"/>
    </row>
    <row r="971">
      <c r="C971" s="27"/>
      <c r="D971" s="27"/>
      <c r="E971" s="27"/>
      <c r="F971" s="27"/>
      <c r="G971" s="27"/>
      <c r="H971" s="27"/>
      <c r="I971" s="518"/>
      <c r="J971" s="27"/>
      <c r="K971" s="27"/>
    </row>
    <row r="972">
      <c r="C972" s="27"/>
      <c r="D972" s="27"/>
      <c r="E972" s="27"/>
      <c r="F972" s="27"/>
      <c r="G972" s="27"/>
      <c r="H972" s="27"/>
      <c r="I972" s="518"/>
      <c r="J972" s="27"/>
      <c r="K972" s="27"/>
    </row>
    <row r="973">
      <c r="C973" s="27"/>
      <c r="D973" s="27"/>
      <c r="E973" s="27"/>
      <c r="F973" s="27"/>
      <c r="G973" s="27"/>
      <c r="H973" s="27"/>
      <c r="I973" s="518"/>
      <c r="J973" s="27"/>
      <c r="K973" s="27"/>
    </row>
    <row r="974">
      <c r="C974" s="27"/>
      <c r="D974" s="27"/>
      <c r="E974" s="27"/>
      <c r="F974" s="27"/>
      <c r="G974" s="27"/>
      <c r="H974" s="27"/>
      <c r="I974" s="518"/>
      <c r="J974" s="27"/>
      <c r="K974" s="27"/>
    </row>
    <row r="975">
      <c r="C975" s="27"/>
      <c r="D975" s="27"/>
      <c r="E975" s="27"/>
      <c r="F975" s="27"/>
      <c r="G975" s="27"/>
      <c r="H975" s="27"/>
      <c r="I975" s="518"/>
      <c r="J975" s="27"/>
      <c r="K975" s="27"/>
    </row>
    <row r="976">
      <c r="C976" s="27"/>
      <c r="D976" s="27"/>
      <c r="E976" s="27"/>
      <c r="F976" s="27"/>
      <c r="G976" s="27"/>
      <c r="H976" s="27"/>
      <c r="I976" s="518"/>
      <c r="J976" s="27"/>
      <c r="K976" s="27"/>
    </row>
    <row r="977">
      <c r="C977" s="27"/>
      <c r="D977" s="27"/>
      <c r="E977" s="27"/>
      <c r="F977" s="27"/>
      <c r="G977" s="27"/>
      <c r="H977" s="27"/>
      <c r="I977" s="518"/>
      <c r="J977" s="27"/>
      <c r="K977" s="27"/>
    </row>
    <row r="978">
      <c r="C978" s="27"/>
      <c r="D978" s="27"/>
      <c r="E978" s="27"/>
      <c r="F978" s="27"/>
      <c r="G978" s="27"/>
      <c r="H978" s="27"/>
      <c r="I978" s="518"/>
      <c r="J978" s="27"/>
      <c r="K978" s="27"/>
    </row>
    <row r="979">
      <c r="C979" s="27"/>
      <c r="D979" s="27"/>
      <c r="E979" s="27"/>
      <c r="F979" s="27"/>
      <c r="G979" s="27"/>
      <c r="H979" s="27"/>
      <c r="I979" s="518"/>
      <c r="J979" s="27"/>
      <c r="K979" s="27"/>
    </row>
    <row r="980">
      <c r="C980" s="27"/>
      <c r="D980" s="27"/>
      <c r="E980" s="27"/>
      <c r="F980" s="27"/>
      <c r="G980" s="27"/>
      <c r="H980" s="27"/>
      <c r="I980" s="518"/>
      <c r="J980" s="27"/>
      <c r="K980" s="27"/>
    </row>
    <row r="981">
      <c r="C981" s="27"/>
      <c r="D981" s="27"/>
      <c r="E981" s="27"/>
      <c r="F981" s="27"/>
      <c r="G981" s="27"/>
      <c r="H981" s="27"/>
      <c r="I981" s="518"/>
      <c r="J981" s="27"/>
      <c r="K981" s="27"/>
    </row>
    <row r="982">
      <c r="C982" s="27"/>
      <c r="D982" s="27"/>
      <c r="E982" s="27"/>
      <c r="F982" s="27"/>
      <c r="G982" s="27"/>
      <c r="H982" s="27"/>
      <c r="I982" s="518"/>
      <c r="J982" s="27"/>
      <c r="K982" s="27"/>
    </row>
    <row r="983">
      <c r="C983" s="27"/>
      <c r="D983" s="27"/>
      <c r="E983" s="27"/>
      <c r="F983" s="27"/>
      <c r="G983" s="27"/>
      <c r="H983" s="27"/>
      <c r="I983" s="518"/>
      <c r="J983" s="27"/>
      <c r="K983" s="27"/>
    </row>
    <row r="984">
      <c r="C984" s="27"/>
      <c r="D984" s="27"/>
      <c r="E984" s="27"/>
      <c r="F984" s="27"/>
      <c r="G984" s="27"/>
      <c r="H984" s="27"/>
      <c r="I984" s="518"/>
      <c r="J984" s="27"/>
      <c r="K984" s="27"/>
    </row>
    <row r="985">
      <c r="C985" s="27"/>
      <c r="D985" s="27"/>
      <c r="E985" s="27"/>
      <c r="F985" s="27"/>
      <c r="G985" s="27"/>
      <c r="H985" s="27"/>
      <c r="I985" s="518"/>
      <c r="J985" s="27"/>
      <c r="K985" s="27"/>
    </row>
    <row r="986">
      <c r="C986" s="27"/>
      <c r="D986" s="27"/>
      <c r="E986" s="27"/>
      <c r="F986" s="27"/>
      <c r="G986" s="27"/>
      <c r="H986" s="27"/>
      <c r="I986" s="518"/>
      <c r="J986" s="27"/>
      <c r="K986" s="27"/>
    </row>
    <row r="987">
      <c r="C987" s="27"/>
      <c r="D987" s="27"/>
      <c r="E987" s="27"/>
      <c r="F987" s="27"/>
      <c r="G987" s="27"/>
      <c r="H987" s="27"/>
      <c r="I987" s="518"/>
      <c r="J987" s="27"/>
      <c r="K987" s="27"/>
    </row>
    <row r="988">
      <c r="C988" s="27"/>
      <c r="D988" s="27"/>
      <c r="E988" s="27"/>
      <c r="F988" s="27"/>
      <c r="G988" s="27"/>
      <c r="H988" s="27"/>
      <c r="I988" s="518"/>
      <c r="J988" s="27"/>
      <c r="K988" s="27"/>
    </row>
    <row r="989">
      <c r="C989" s="27"/>
      <c r="D989" s="27"/>
      <c r="E989" s="27"/>
      <c r="F989" s="27"/>
      <c r="G989" s="27"/>
      <c r="H989" s="27"/>
      <c r="I989" s="518"/>
      <c r="J989" s="27"/>
      <c r="K989" s="27"/>
    </row>
    <row r="990">
      <c r="C990" s="27"/>
      <c r="D990" s="27"/>
      <c r="E990" s="27"/>
      <c r="F990" s="27"/>
      <c r="G990" s="27"/>
      <c r="H990" s="27"/>
      <c r="I990" s="518"/>
      <c r="J990" s="27"/>
      <c r="K990" s="27"/>
    </row>
    <row r="991">
      <c r="C991" s="27"/>
      <c r="D991" s="27"/>
      <c r="E991" s="27"/>
      <c r="F991" s="27"/>
      <c r="G991" s="27"/>
      <c r="H991" s="27"/>
      <c r="I991" s="518"/>
      <c r="J991" s="27"/>
      <c r="K991" s="27"/>
    </row>
    <row r="992">
      <c r="C992" s="27"/>
      <c r="D992" s="27"/>
      <c r="E992" s="27"/>
      <c r="F992" s="27"/>
      <c r="G992" s="27"/>
      <c r="H992" s="27"/>
      <c r="I992" s="518"/>
      <c r="J992" s="27"/>
      <c r="K992" s="27"/>
    </row>
    <row r="993">
      <c r="C993" s="27"/>
      <c r="D993" s="27"/>
      <c r="E993" s="27"/>
      <c r="F993" s="27"/>
      <c r="G993" s="27"/>
      <c r="H993" s="27"/>
      <c r="I993" s="518"/>
      <c r="J993" s="27"/>
      <c r="K993" s="27"/>
    </row>
    <row r="994">
      <c r="C994" s="27"/>
      <c r="D994" s="27"/>
      <c r="E994" s="27"/>
      <c r="F994" s="27"/>
      <c r="G994" s="27"/>
      <c r="H994" s="27"/>
      <c r="I994" s="518"/>
      <c r="J994" s="27"/>
      <c r="K994" s="27"/>
    </row>
    <row r="995">
      <c r="C995" s="27"/>
      <c r="D995" s="27"/>
      <c r="E995" s="27"/>
      <c r="F995" s="27"/>
      <c r="G995" s="27"/>
      <c r="H995" s="27"/>
      <c r="I995" s="518"/>
      <c r="J995" s="27"/>
      <c r="K995" s="27"/>
    </row>
    <row r="996">
      <c r="C996" s="27"/>
      <c r="D996" s="27"/>
      <c r="E996" s="27"/>
      <c r="F996" s="27"/>
      <c r="G996" s="27"/>
      <c r="H996" s="27"/>
      <c r="I996" s="518"/>
      <c r="J996" s="27"/>
      <c r="K996" s="27"/>
    </row>
    <row r="997">
      <c r="C997" s="27"/>
      <c r="D997" s="27"/>
      <c r="E997" s="27"/>
      <c r="F997" s="27"/>
      <c r="G997" s="27"/>
      <c r="H997" s="27"/>
      <c r="I997" s="518"/>
      <c r="J997" s="27"/>
      <c r="K997" s="27"/>
    </row>
    <row r="998">
      <c r="C998" s="27"/>
      <c r="D998" s="27"/>
      <c r="E998" s="27"/>
      <c r="F998" s="27"/>
      <c r="G998" s="27"/>
      <c r="H998" s="27"/>
      <c r="I998" s="518"/>
      <c r="J998" s="27"/>
      <c r="K998" s="27"/>
    </row>
    <row r="999">
      <c r="C999" s="27"/>
      <c r="D999" s="27"/>
      <c r="E999" s="27"/>
      <c r="F999" s="27"/>
      <c r="G999" s="27"/>
      <c r="H999" s="27"/>
      <c r="I999" s="518"/>
      <c r="J999" s="27"/>
      <c r="K999" s="27"/>
    </row>
    <row r="1000">
      <c r="C1000" s="27"/>
      <c r="D1000" s="27"/>
      <c r="E1000" s="27"/>
      <c r="F1000" s="27"/>
      <c r="G1000" s="27"/>
      <c r="H1000" s="27"/>
      <c r="I1000" s="518"/>
      <c r="J1000" s="27"/>
      <c r="K1000" s="27"/>
    </row>
    <row r="1001">
      <c r="C1001" s="27"/>
      <c r="D1001" s="27"/>
      <c r="E1001" s="27"/>
      <c r="F1001" s="27"/>
      <c r="G1001" s="27"/>
      <c r="H1001" s="27"/>
      <c r="I1001" s="518"/>
      <c r="J1001" s="27"/>
      <c r="K1001" s="27"/>
    </row>
    <row r="1002">
      <c r="C1002" s="27"/>
      <c r="D1002" s="27"/>
      <c r="E1002" s="27"/>
      <c r="F1002" s="27"/>
      <c r="G1002" s="27"/>
      <c r="H1002" s="27"/>
      <c r="I1002" s="518"/>
      <c r="J1002" s="27"/>
      <c r="K1002" s="27"/>
    </row>
  </sheetData>
  <conditionalFormatting sqref="D53:H53">
    <cfRule type="cellIs" dxfId="0" priority="1" operator="lessThan">
      <formula>0</formula>
    </cfRule>
  </conditionalFormatting>
  <drawing r:id="rId2"/>
  <legacyDrawing r:id="rId3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4.75"/>
    <col customWidth="1" min="2" max="2" width="14.0"/>
    <col customWidth="1" min="3" max="3" width="32.25"/>
    <col customWidth="1" min="4" max="4" width="12.75"/>
    <col customWidth="1" min="9" max="9" width="15.0"/>
    <col customWidth="1" min="10" max="10" width="13.0"/>
    <col customWidth="1" min="11" max="11" width="8.63"/>
    <col customWidth="1" min="14" max="15" width="15.5"/>
    <col customWidth="1" min="18" max="18" width="15.13"/>
    <col customWidth="1" min="20" max="20" width="18.38"/>
  </cols>
  <sheetData>
    <row r="1">
      <c r="D1" s="7"/>
      <c r="E1" s="7"/>
      <c r="F1" s="7"/>
      <c r="G1" s="7"/>
      <c r="H1" s="7"/>
      <c r="I1" s="7"/>
      <c r="J1" s="519"/>
      <c r="K1" s="519"/>
      <c r="L1" s="519"/>
      <c r="M1" s="1"/>
      <c r="N1" s="1"/>
      <c r="O1" s="1"/>
    </row>
    <row r="2">
      <c r="D2" s="520" t="s">
        <v>45</v>
      </c>
      <c r="E2" s="521"/>
      <c r="F2" s="521"/>
      <c r="G2" s="521"/>
      <c r="H2" s="521"/>
      <c r="I2" s="521"/>
      <c r="J2" s="521"/>
      <c r="K2" s="521"/>
      <c r="L2" s="521"/>
      <c r="M2" s="521"/>
      <c r="N2" s="521"/>
      <c r="O2" s="522"/>
      <c r="S2" s="523" t="s">
        <v>3</v>
      </c>
      <c r="T2" s="521"/>
      <c r="U2" s="522"/>
    </row>
    <row r="3">
      <c r="A3" s="524" t="s">
        <v>398</v>
      </c>
      <c r="B3" s="525" t="s">
        <v>399</v>
      </c>
      <c r="C3" s="526" t="s">
        <v>400</v>
      </c>
      <c r="D3" s="302" t="s">
        <v>58</v>
      </c>
      <c r="E3" s="302" t="s">
        <v>401</v>
      </c>
      <c r="F3" s="302" t="s">
        <v>402</v>
      </c>
      <c r="G3" s="302" t="s">
        <v>403</v>
      </c>
      <c r="H3" s="302" t="s">
        <v>317</v>
      </c>
      <c r="I3" s="302" t="s">
        <v>404</v>
      </c>
      <c r="J3" s="302" t="s">
        <v>405</v>
      </c>
      <c r="K3" s="302" t="s">
        <v>406</v>
      </c>
      <c r="L3" s="302" t="s">
        <v>3</v>
      </c>
      <c r="M3" s="302" t="s">
        <v>407</v>
      </c>
      <c r="N3" s="302" t="s">
        <v>408</v>
      </c>
      <c r="O3" s="302" t="s">
        <v>181</v>
      </c>
      <c r="Q3" s="527" t="s">
        <v>399</v>
      </c>
      <c r="R3" s="528" t="s">
        <v>400</v>
      </c>
      <c r="S3" s="302" t="s">
        <v>3</v>
      </c>
      <c r="T3" s="302" t="s">
        <v>409</v>
      </c>
      <c r="U3" s="302" t="s">
        <v>410</v>
      </c>
      <c r="V3" s="529" t="s">
        <v>411</v>
      </c>
    </row>
    <row r="4">
      <c r="A4" s="7">
        <v>2023.0</v>
      </c>
      <c r="B4" s="6" t="s">
        <v>412</v>
      </c>
      <c r="C4" s="519"/>
      <c r="D4" s="7">
        <f>20000-300</f>
        <v>19700</v>
      </c>
      <c r="E4" s="519"/>
      <c r="F4" s="519"/>
      <c r="G4" s="519"/>
      <c r="H4" s="519"/>
      <c r="I4" s="1"/>
      <c r="J4" s="519"/>
      <c r="K4" s="519"/>
      <c r="L4" s="519"/>
      <c r="M4" s="519"/>
      <c r="N4" s="519"/>
      <c r="O4" s="519"/>
      <c r="P4" s="6"/>
      <c r="Q4" s="6" t="s">
        <v>396</v>
      </c>
      <c r="R4" s="519"/>
      <c r="S4" s="7">
        <v>500.0</v>
      </c>
      <c r="T4" s="519"/>
      <c r="U4" s="519"/>
      <c r="V4" s="519"/>
    </row>
    <row r="5" hidden="1">
      <c r="A5" s="7">
        <v>2024.0</v>
      </c>
      <c r="B5" s="6" t="s">
        <v>396</v>
      </c>
      <c r="C5" s="519"/>
      <c r="D5" s="519"/>
      <c r="E5" s="7">
        <v>700.0</v>
      </c>
      <c r="F5" s="519"/>
      <c r="G5" s="519"/>
      <c r="H5" s="519"/>
      <c r="I5" s="7">
        <v>118.29</v>
      </c>
      <c r="J5" s="519"/>
      <c r="K5" s="519"/>
      <c r="L5" s="519"/>
      <c r="M5" s="519"/>
      <c r="N5" s="519"/>
      <c r="O5" s="519"/>
      <c r="P5" s="6"/>
      <c r="Q5" s="6" t="s">
        <v>413</v>
      </c>
      <c r="R5" s="519"/>
      <c r="S5" s="7">
        <v>500.0</v>
      </c>
      <c r="T5" s="7"/>
      <c r="U5" s="519"/>
      <c r="V5" s="519"/>
    </row>
    <row r="6" hidden="1">
      <c r="A6" s="7">
        <v>2024.0</v>
      </c>
      <c r="B6" s="6" t="s">
        <v>414</v>
      </c>
      <c r="C6" s="5" t="s">
        <v>415</v>
      </c>
      <c r="D6" s="519"/>
      <c r="E6" s="7">
        <v>700.0</v>
      </c>
      <c r="F6" s="519"/>
      <c r="G6" s="7"/>
      <c r="H6" s="7"/>
      <c r="I6" s="7">
        <v>87.32</v>
      </c>
      <c r="J6" s="7"/>
      <c r="K6" s="7"/>
      <c r="L6" s="519"/>
      <c r="M6" s="519"/>
      <c r="N6" s="519"/>
      <c r="O6" s="519"/>
      <c r="P6" s="6"/>
      <c r="Q6" s="6" t="s">
        <v>413</v>
      </c>
      <c r="R6" s="530" t="s">
        <v>416</v>
      </c>
      <c r="S6" s="519"/>
      <c r="T6" s="519"/>
      <c r="U6" s="7">
        <v>476.87</v>
      </c>
      <c r="V6" s="531"/>
    </row>
    <row r="7" hidden="1">
      <c r="A7" s="7">
        <v>2024.0</v>
      </c>
      <c r="B7" s="6" t="s">
        <v>414</v>
      </c>
      <c r="C7" s="5" t="s">
        <v>417</v>
      </c>
      <c r="D7" s="519"/>
      <c r="E7" s="519"/>
      <c r="F7" s="532"/>
      <c r="G7" s="519"/>
      <c r="H7" s="519"/>
      <c r="I7" s="519"/>
      <c r="J7" s="532"/>
      <c r="K7" s="532"/>
      <c r="L7" s="519"/>
      <c r="M7" s="519"/>
      <c r="N7" s="519"/>
      <c r="O7" s="519"/>
      <c r="P7" s="6"/>
      <c r="Q7" s="6" t="s">
        <v>413</v>
      </c>
      <c r="R7" s="5"/>
      <c r="S7" s="519"/>
      <c r="T7" s="7">
        <v>1500.0</v>
      </c>
      <c r="U7" s="532">
        <v>100.0</v>
      </c>
      <c r="V7" s="519"/>
    </row>
    <row r="8" hidden="1">
      <c r="A8" s="7">
        <v>2024.0</v>
      </c>
      <c r="B8" s="6" t="s">
        <v>414</v>
      </c>
      <c r="C8" s="5" t="s">
        <v>418</v>
      </c>
      <c r="D8" s="519"/>
      <c r="E8" s="519"/>
      <c r="F8" s="533">
        <v>7291.58</v>
      </c>
      <c r="G8" s="519"/>
      <c r="H8" s="519"/>
      <c r="I8" s="519"/>
      <c r="J8" s="519"/>
      <c r="K8" s="519"/>
      <c r="L8" s="519"/>
      <c r="M8" s="519"/>
      <c r="N8" s="519"/>
      <c r="O8" s="519"/>
      <c r="P8" s="6"/>
      <c r="Q8" s="6" t="s">
        <v>419</v>
      </c>
      <c r="R8" s="6" t="s">
        <v>20</v>
      </c>
      <c r="S8" s="519"/>
      <c r="T8" s="519"/>
      <c r="U8" s="107"/>
      <c r="V8" s="7">
        <v>277.02</v>
      </c>
    </row>
    <row r="9" hidden="1">
      <c r="A9" s="7">
        <v>2024.0</v>
      </c>
      <c r="B9" s="6" t="s">
        <v>414</v>
      </c>
      <c r="C9" s="5" t="s">
        <v>420</v>
      </c>
      <c r="D9" s="519"/>
      <c r="E9" s="519"/>
      <c r="F9" s="23">
        <f>1182.55+8459.25</f>
        <v>9641.8</v>
      </c>
      <c r="G9" s="519"/>
      <c r="H9" s="519"/>
      <c r="I9" s="519"/>
      <c r="J9" s="519"/>
      <c r="K9" s="519"/>
      <c r="L9" s="519"/>
      <c r="M9" s="519"/>
      <c r="N9" s="519"/>
      <c r="O9" s="519"/>
      <c r="P9" s="6"/>
      <c r="Q9" s="6" t="s">
        <v>419</v>
      </c>
      <c r="R9" s="6" t="s">
        <v>23</v>
      </c>
      <c r="S9" s="519"/>
      <c r="T9" s="519"/>
      <c r="U9" s="519"/>
      <c r="V9" s="7">
        <v>479.92</v>
      </c>
    </row>
    <row r="10" hidden="1">
      <c r="A10" s="7">
        <v>2024.0</v>
      </c>
      <c r="B10" s="6" t="s">
        <v>414</v>
      </c>
      <c r="C10" s="534" t="s">
        <v>421</v>
      </c>
      <c r="D10" s="519"/>
      <c r="E10" s="519"/>
      <c r="F10" s="7">
        <v>-6000.0</v>
      </c>
      <c r="G10" s="519"/>
      <c r="H10" s="519"/>
      <c r="I10" s="1"/>
      <c r="J10" s="531"/>
      <c r="K10" s="531"/>
      <c r="L10" s="519"/>
      <c r="M10" s="519"/>
      <c r="N10" s="519"/>
      <c r="O10" s="519"/>
      <c r="P10" s="6"/>
      <c r="Q10" s="6" t="s">
        <v>419</v>
      </c>
      <c r="R10" s="5"/>
      <c r="S10" s="7">
        <v>500.0</v>
      </c>
      <c r="T10" s="7"/>
      <c r="U10" s="519"/>
      <c r="V10" s="519"/>
    </row>
    <row r="11" hidden="1">
      <c r="A11" s="7">
        <v>2024.0</v>
      </c>
      <c r="B11" s="6" t="s">
        <v>414</v>
      </c>
      <c r="C11" s="534" t="s">
        <v>422</v>
      </c>
      <c r="D11" s="519"/>
      <c r="E11" s="519"/>
      <c r="F11" s="7">
        <v>-516.76</v>
      </c>
      <c r="G11" s="519"/>
      <c r="H11" s="519"/>
      <c r="I11" s="1"/>
      <c r="J11" s="531"/>
      <c r="K11" s="531"/>
      <c r="L11" s="519"/>
      <c r="M11" s="519"/>
      <c r="N11" s="519"/>
      <c r="O11" s="519"/>
      <c r="P11" s="6"/>
      <c r="Q11" s="6" t="s">
        <v>419</v>
      </c>
      <c r="R11" s="6" t="s">
        <v>423</v>
      </c>
      <c r="S11" s="1"/>
      <c r="T11" s="1"/>
      <c r="U11" s="1"/>
      <c r="V11" s="6">
        <v>1319.85</v>
      </c>
    </row>
    <row r="12" hidden="1">
      <c r="A12" s="7">
        <v>2024.0</v>
      </c>
      <c r="B12" s="6" t="s">
        <v>414</v>
      </c>
      <c r="C12" s="534" t="s">
        <v>424</v>
      </c>
      <c r="D12" s="519"/>
      <c r="E12" s="519"/>
      <c r="F12" s="7">
        <v>-379.5</v>
      </c>
      <c r="G12" s="519"/>
      <c r="H12" s="519"/>
      <c r="I12" s="1"/>
      <c r="J12" s="531"/>
      <c r="K12" s="531"/>
      <c r="L12" s="519"/>
      <c r="M12" s="519"/>
      <c r="N12" s="519"/>
      <c r="O12" s="519"/>
      <c r="P12" s="6"/>
      <c r="Q12" s="6" t="s">
        <v>300</v>
      </c>
      <c r="R12" s="5"/>
      <c r="S12" s="7">
        <v>500.0</v>
      </c>
      <c r="T12" s="7"/>
      <c r="U12" s="519"/>
      <c r="V12" s="7"/>
    </row>
    <row r="13" hidden="1">
      <c r="A13" s="7">
        <v>2024.0</v>
      </c>
      <c r="B13" s="6" t="s">
        <v>414</v>
      </c>
      <c r="C13" s="5" t="s">
        <v>425</v>
      </c>
      <c r="D13" s="519"/>
      <c r="E13" s="519"/>
      <c r="F13" s="7">
        <v>-3004.8</v>
      </c>
      <c r="G13" s="519"/>
      <c r="H13" s="519"/>
      <c r="I13" s="535"/>
      <c r="J13" s="7"/>
      <c r="K13" s="7"/>
      <c r="L13" s="519"/>
      <c r="M13" s="519"/>
      <c r="N13" s="519"/>
      <c r="O13" s="519"/>
      <c r="P13" s="6"/>
      <c r="Q13" s="6" t="s">
        <v>301</v>
      </c>
      <c r="R13" s="5"/>
      <c r="S13" s="7">
        <v>500.0</v>
      </c>
      <c r="T13" s="519"/>
      <c r="U13" s="519"/>
      <c r="V13" s="7"/>
    </row>
    <row r="14" hidden="1">
      <c r="A14" s="7">
        <v>2024.0</v>
      </c>
      <c r="B14" s="6" t="s">
        <v>414</v>
      </c>
      <c r="C14" s="5" t="s">
        <v>426</v>
      </c>
      <c r="D14" s="519"/>
      <c r="E14" s="519"/>
      <c r="F14" s="7">
        <v>-1920.0</v>
      </c>
      <c r="G14" s="519"/>
      <c r="H14" s="519"/>
      <c r="I14" s="1"/>
      <c r="J14" s="7"/>
      <c r="K14" s="7"/>
      <c r="L14" s="519"/>
      <c r="M14" s="519"/>
      <c r="N14" s="519"/>
      <c r="O14" s="519"/>
      <c r="P14" s="6"/>
      <c r="Q14" s="6" t="s">
        <v>427</v>
      </c>
      <c r="R14" s="5"/>
      <c r="S14" s="7">
        <v>500.0</v>
      </c>
      <c r="T14" s="519"/>
      <c r="U14" s="519"/>
      <c r="V14" s="7"/>
    </row>
    <row r="15" hidden="1">
      <c r="A15" s="7">
        <v>2024.0</v>
      </c>
      <c r="B15" s="6" t="s">
        <v>414</v>
      </c>
      <c r="C15" s="5" t="s">
        <v>62</v>
      </c>
      <c r="D15" s="519"/>
      <c r="E15" s="519"/>
      <c r="F15" s="7">
        <v>-488.0</v>
      </c>
      <c r="G15" s="519"/>
      <c r="H15" s="519"/>
      <c r="I15" s="1"/>
      <c r="J15" s="7"/>
      <c r="K15" s="7"/>
      <c r="L15" s="519"/>
      <c r="M15" s="519"/>
      <c r="N15" s="519"/>
      <c r="O15" s="519"/>
      <c r="P15" s="6"/>
      <c r="Q15" s="6" t="s">
        <v>119</v>
      </c>
      <c r="R15" s="5"/>
      <c r="S15" s="7">
        <v>500.0</v>
      </c>
      <c r="T15" s="519"/>
      <c r="U15" s="519"/>
      <c r="V15" s="7"/>
    </row>
    <row r="16" hidden="1">
      <c r="A16" s="7">
        <v>2024.0</v>
      </c>
      <c r="B16" s="6" t="s">
        <v>414</v>
      </c>
      <c r="C16" s="1"/>
      <c r="D16" s="1"/>
      <c r="E16" s="1"/>
      <c r="F16" s="519"/>
      <c r="G16" s="1"/>
      <c r="H16" s="1"/>
      <c r="I16" s="1"/>
      <c r="J16" s="7"/>
      <c r="K16" s="7"/>
      <c r="L16" s="519"/>
      <c r="M16" s="519"/>
      <c r="N16" s="519"/>
      <c r="O16" s="519"/>
      <c r="P16" s="6"/>
      <c r="Q16" s="6"/>
      <c r="R16" s="5"/>
      <c r="S16" s="519"/>
      <c r="T16" s="519"/>
      <c r="U16" s="519"/>
      <c r="V16" s="7"/>
    </row>
    <row r="17" hidden="1">
      <c r="A17" s="7">
        <v>2024.0</v>
      </c>
      <c r="B17" s="6" t="s">
        <v>419</v>
      </c>
      <c r="C17" s="5" t="s">
        <v>428</v>
      </c>
      <c r="D17" s="519"/>
      <c r="E17" s="519"/>
      <c r="F17" s="7">
        <v>-1043.2</v>
      </c>
      <c r="G17" s="7"/>
      <c r="H17" s="7"/>
      <c r="I17" s="1"/>
      <c r="J17" s="7"/>
      <c r="K17" s="7"/>
      <c r="L17" s="519"/>
      <c r="M17" s="519"/>
      <c r="N17" s="519"/>
      <c r="O17" s="519"/>
      <c r="P17" s="6"/>
      <c r="Q17" s="6"/>
      <c r="R17" s="5"/>
      <c r="S17" s="519"/>
      <c r="T17" s="7"/>
      <c r="U17" s="7"/>
      <c r="V17" s="7"/>
    </row>
    <row r="18" hidden="1">
      <c r="A18" s="7">
        <v>2024.0</v>
      </c>
      <c r="B18" s="6" t="s">
        <v>419</v>
      </c>
      <c r="C18" s="5" t="s">
        <v>60</v>
      </c>
      <c r="D18" s="519"/>
      <c r="E18" s="7">
        <v>700.0</v>
      </c>
      <c r="F18" s="7"/>
      <c r="G18" s="519"/>
      <c r="H18" s="519"/>
      <c r="I18" s="1"/>
      <c r="J18" s="7"/>
      <c r="K18" s="7"/>
      <c r="L18" s="519"/>
      <c r="M18" s="519"/>
      <c r="N18" s="519"/>
      <c r="O18" s="519"/>
      <c r="P18" s="6"/>
      <c r="Q18" s="6"/>
      <c r="R18" s="5"/>
      <c r="S18" s="519"/>
      <c r="T18" s="519"/>
      <c r="U18" s="7"/>
      <c r="V18" s="7"/>
    </row>
    <row r="19" hidden="1">
      <c r="A19" s="7">
        <v>2024.0</v>
      </c>
      <c r="B19" s="6" t="s">
        <v>419</v>
      </c>
      <c r="C19" s="5" t="s">
        <v>429</v>
      </c>
      <c r="D19" s="519"/>
      <c r="E19" s="519"/>
      <c r="F19" s="533">
        <v>2500.0</v>
      </c>
      <c r="G19" s="519"/>
      <c r="H19" s="519"/>
      <c r="I19" s="1"/>
      <c r="J19" s="7"/>
      <c r="K19" s="7"/>
      <c r="L19" s="519"/>
      <c r="M19" s="519"/>
      <c r="N19" s="519"/>
      <c r="O19" s="519"/>
      <c r="R19" s="27"/>
      <c r="S19" s="27"/>
      <c r="T19" s="27"/>
      <c r="U19" s="27"/>
      <c r="V19" s="27"/>
    </row>
    <row r="20" hidden="1">
      <c r="A20" s="7">
        <v>2024.0</v>
      </c>
      <c r="B20" s="6" t="s">
        <v>419</v>
      </c>
      <c r="C20" s="5"/>
      <c r="D20" s="519"/>
      <c r="E20" s="519"/>
      <c r="F20" s="7"/>
      <c r="G20" s="519"/>
      <c r="H20" s="519"/>
      <c r="I20" s="1"/>
      <c r="J20" s="7"/>
      <c r="K20" s="7"/>
      <c r="L20" s="519"/>
      <c r="M20" s="519"/>
      <c r="N20" s="519"/>
      <c r="O20" s="519"/>
      <c r="R20" s="27"/>
      <c r="S20" s="27"/>
      <c r="T20" s="27"/>
      <c r="U20" s="27"/>
      <c r="V20" s="27"/>
    </row>
    <row r="21" hidden="1">
      <c r="A21" s="7">
        <v>2024.0</v>
      </c>
      <c r="B21" s="6" t="s">
        <v>419</v>
      </c>
      <c r="C21" s="6" t="s">
        <v>430</v>
      </c>
      <c r="D21" s="1"/>
      <c r="E21" s="1"/>
      <c r="F21" s="7">
        <v>-309.9</v>
      </c>
      <c r="G21" s="1"/>
      <c r="H21" s="1"/>
      <c r="I21" s="1"/>
      <c r="J21" s="519"/>
      <c r="K21" s="519"/>
      <c r="L21" s="519"/>
      <c r="M21" s="519"/>
      <c r="N21" s="519"/>
      <c r="O21" s="519"/>
      <c r="R21" s="7" t="s">
        <v>26</v>
      </c>
      <c r="S21" s="536">
        <f t="shared" ref="S21:V21" si="1">SUM(S4:S20)</f>
        <v>3500</v>
      </c>
      <c r="T21" s="537">
        <f t="shared" si="1"/>
        <v>1500</v>
      </c>
      <c r="U21" s="537">
        <f t="shared" si="1"/>
        <v>576.87</v>
      </c>
      <c r="V21" s="538">
        <f t="shared" si="1"/>
        <v>2076.79</v>
      </c>
    </row>
    <row r="22" hidden="1">
      <c r="A22" s="7">
        <v>2024.0</v>
      </c>
      <c r="B22" s="6" t="s">
        <v>419</v>
      </c>
      <c r="C22" s="6" t="s">
        <v>115</v>
      </c>
      <c r="D22" s="1"/>
      <c r="E22" s="1"/>
      <c r="F22" s="7">
        <v>-638.0</v>
      </c>
      <c r="G22" s="1"/>
      <c r="H22" s="1"/>
      <c r="I22" s="1"/>
      <c r="J22" s="519"/>
      <c r="K22" s="519"/>
      <c r="L22" s="519"/>
      <c r="M22" s="519"/>
      <c r="N22" s="519"/>
      <c r="O22" s="519"/>
      <c r="R22" s="539">
        <f>(S21+T21+U21)-V21</f>
        <v>3500.08</v>
      </c>
      <c r="S22" s="27"/>
      <c r="T22" s="27"/>
      <c r="U22" s="27"/>
    </row>
    <row r="23" hidden="1">
      <c r="A23" s="7">
        <v>2024.0</v>
      </c>
      <c r="B23" s="6" t="s">
        <v>419</v>
      </c>
      <c r="C23" s="6" t="s">
        <v>431</v>
      </c>
      <c r="D23" s="1"/>
      <c r="E23" s="1"/>
      <c r="F23" s="533">
        <v>3898.71</v>
      </c>
      <c r="G23" s="1"/>
      <c r="H23" s="1"/>
      <c r="I23" s="1"/>
      <c r="J23" s="519"/>
      <c r="K23" s="519"/>
      <c r="L23" s="519"/>
      <c r="M23" s="519"/>
      <c r="N23" s="519"/>
      <c r="O23" s="519"/>
    </row>
    <row r="24" hidden="1">
      <c r="A24" s="7">
        <v>2024.0</v>
      </c>
      <c r="B24" s="6" t="s">
        <v>419</v>
      </c>
      <c r="C24" s="6"/>
      <c r="D24" s="1"/>
      <c r="E24" s="1"/>
      <c r="F24" s="7"/>
      <c r="G24" s="1"/>
      <c r="H24" s="1"/>
      <c r="I24" s="7">
        <v>157.97</v>
      </c>
      <c r="J24" s="519"/>
      <c r="K24" s="519"/>
      <c r="L24" s="519"/>
      <c r="M24" s="519"/>
      <c r="N24" s="519"/>
      <c r="O24" s="519"/>
      <c r="R24" s="540" t="s">
        <v>432</v>
      </c>
    </row>
    <row r="25" hidden="1">
      <c r="A25" s="7">
        <v>2024.0</v>
      </c>
      <c r="B25" s="6" t="s">
        <v>300</v>
      </c>
      <c r="C25" s="6" t="s">
        <v>229</v>
      </c>
      <c r="D25" s="1"/>
      <c r="E25" s="1"/>
      <c r="F25" s="7">
        <v>-343.44</v>
      </c>
      <c r="G25" s="1"/>
      <c r="H25" s="1"/>
      <c r="I25" s="1"/>
      <c r="J25" s="519"/>
      <c r="K25" s="519"/>
      <c r="L25" s="519"/>
      <c r="M25" s="519"/>
      <c r="N25" s="519"/>
      <c r="O25" s="519"/>
      <c r="R25" s="6" t="s">
        <v>433</v>
      </c>
      <c r="S25" s="6" t="s">
        <v>434</v>
      </c>
    </row>
    <row r="26" hidden="1">
      <c r="A26" s="7">
        <v>2024.0</v>
      </c>
      <c r="B26" s="6" t="s">
        <v>300</v>
      </c>
      <c r="C26" s="6" t="s">
        <v>435</v>
      </c>
      <c r="D26" s="1"/>
      <c r="E26" s="1"/>
      <c r="F26" s="7">
        <f>-120</f>
        <v>-120</v>
      </c>
      <c r="G26" s="1"/>
      <c r="H26" s="1"/>
      <c r="I26" s="1"/>
      <c r="J26" s="519"/>
      <c r="K26" s="519"/>
      <c r="L26" s="519"/>
      <c r="M26" s="519"/>
      <c r="N26" s="519"/>
      <c r="O26" s="519"/>
      <c r="Q26" s="6" t="s">
        <v>436</v>
      </c>
      <c r="R26" s="7">
        <v>50.0</v>
      </c>
      <c r="S26" s="1"/>
    </row>
    <row r="27" hidden="1">
      <c r="A27" s="7">
        <v>2024.0</v>
      </c>
      <c r="B27" s="6" t="s">
        <v>300</v>
      </c>
      <c r="C27" s="6" t="s">
        <v>437</v>
      </c>
      <c r="D27" s="1"/>
      <c r="E27" s="1"/>
      <c r="F27" s="7">
        <v>-10.0</v>
      </c>
      <c r="G27" s="1"/>
      <c r="H27" s="1"/>
      <c r="I27" s="1"/>
      <c r="J27" s="519"/>
      <c r="K27" s="519"/>
      <c r="L27" s="519"/>
      <c r="M27" s="519"/>
      <c r="N27" s="519"/>
      <c r="O27" s="519"/>
      <c r="Q27" s="6" t="s">
        <v>396</v>
      </c>
      <c r="R27" s="7">
        <v>50.0</v>
      </c>
      <c r="S27" s="1"/>
    </row>
    <row r="28" hidden="1">
      <c r="A28" s="7">
        <v>2024.0</v>
      </c>
      <c r="B28" s="6" t="s">
        <v>300</v>
      </c>
      <c r="C28" s="6" t="s">
        <v>438</v>
      </c>
      <c r="D28" s="1"/>
      <c r="E28" s="1"/>
      <c r="F28" s="7">
        <v>-25.0</v>
      </c>
      <c r="G28" s="1"/>
      <c r="H28" s="1"/>
      <c r="I28" s="1"/>
      <c r="J28" s="519"/>
      <c r="K28" s="519"/>
      <c r="L28" s="519"/>
      <c r="M28" s="519"/>
      <c r="N28" s="519"/>
      <c r="O28" s="519"/>
      <c r="Q28" s="6" t="s">
        <v>413</v>
      </c>
      <c r="R28" s="7">
        <v>50.0</v>
      </c>
      <c r="S28" s="1"/>
      <c r="T28" s="1"/>
    </row>
    <row r="29" hidden="1">
      <c r="A29" s="7">
        <v>2024.0</v>
      </c>
      <c r="B29" s="6" t="s">
        <v>300</v>
      </c>
      <c r="C29" s="6" t="s">
        <v>89</v>
      </c>
      <c r="D29" s="1"/>
      <c r="E29" s="1"/>
      <c r="F29" s="7">
        <v>-374.0</v>
      </c>
      <c r="G29" s="1"/>
      <c r="H29" s="1"/>
      <c r="I29" s="1"/>
      <c r="J29" s="519"/>
      <c r="K29" s="519"/>
      <c r="L29" s="519"/>
      <c r="M29" s="519"/>
      <c r="N29" s="519"/>
      <c r="O29" s="519"/>
      <c r="Q29" s="6" t="s">
        <v>419</v>
      </c>
      <c r="R29" s="7">
        <v>50.0</v>
      </c>
      <c r="S29" s="1"/>
    </row>
    <row r="30" hidden="1">
      <c r="A30" s="7">
        <v>2024.0</v>
      </c>
      <c r="B30" s="6" t="s">
        <v>300</v>
      </c>
      <c r="C30" s="6" t="s">
        <v>439</v>
      </c>
      <c r="D30" s="1"/>
      <c r="E30" s="1"/>
      <c r="F30" s="7">
        <v>-8.64</v>
      </c>
      <c r="G30" s="1"/>
      <c r="H30" s="1"/>
      <c r="I30" s="1"/>
      <c r="J30" s="519"/>
      <c r="K30" s="519"/>
      <c r="L30" s="519"/>
      <c r="M30" s="519"/>
      <c r="N30" s="519"/>
      <c r="O30" s="519"/>
      <c r="Q30" s="6" t="s">
        <v>300</v>
      </c>
      <c r="R30" s="7">
        <v>50.0</v>
      </c>
      <c r="S30" s="519">
        <f>160+72.64</f>
        <v>232.64</v>
      </c>
    </row>
    <row r="31" hidden="1">
      <c r="A31" s="7">
        <v>2024.0</v>
      </c>
      <c r="B31" s="6" t="s">
        <v>300</v>
      </c>
      <c r="C31" s="6" t="s">
        <v>81</v>
      </c>
      <c r="D31" s="1"/>
      <c r="E31" s="1"/>
      <c r="F31" s="7">
        <v>-650.0</v>
      </c>
      <c r="G31" s="1"/>
      <c r="H31" s="1"/>
      <c r="I31" s="1"/>
      <c r="J31" s="519"/>
      <c r="K31" s="519"/>
      <c r="L31" s="519"/>
      <c r="M31" s="519"/>
      <c r="N31" s="519"/>
      <c r="O31" s="519"/>
      <c r="Q31" s="6" t="s">
        <v>301</v>
      </c>
      <c r="R31" s="7">
        <v>50.0</v>
      </c>
      <c r="S31" s="7">
        <v>-160.0</v>
      </c>
    </row>
    <row r="32" hidden="1">
      <c r="A32" s="7">
        <v>2024.0</v>
      </c>
      <c r="B32" s="6" t="s">
        <v>300</v>
      </c>
      <c r="C32" s="6" t="s">
        <v>440</v>
      </c>
      <c r="D32" s="1"/>
      <c r="E32" s="1"/>
      <c r="F32" s="7">
        <v>-128.16</v>
      </c>
      <c r="G32" s="1"/>
      <c r="H32" s="1"/>
      <c r="I32" s="6"/>
      <c r="J32" s="519"/>
      <c r="K32" s="519"/>
      <c r="L32" s="519"/>
      <c r="M32" s="519"/>
      <c r="N32" s="519"/>
      <c r="O32" s="519"/>
      <c r="Q32" s="6" t="s">
        <v>427</v>
      </c>
      <c r="R32" s="7">
        <v>50.0</v>
      </c>
      <c r="S32" s="1"/>
    </row>
    <row r="33" hidden="1">
      <c r="A33" s="7">
        <v>2024.0</v>
      </c>
      <c r="B33" s="6" t="s">
        <v>300</v>
      </c>
      <c r="C33" s="6" t="s">
        <v>441</v>
      </c>
      <c r="D33" s="1"/>
      <c r="E33" s="1"/>
      <c r="F33" s="1"/>
      <c r="G33" s="7"/>
      <c r="H33" s="7"/>
      <c r="I33" s="1"/>
      <c r="J33" s="519"/>
      <c r="K33" s="519"/>
      <c r="L33" s="519"/>
      <c r="M33" s="519"/>
      <c r="N33" s="519"/>
      <c r="O33" s="519"/>
      <c r="Q33" s="6" t="s">
        <v>119</v>
      </c>
      <c r="R33" s="7">
        <v>50.0</v>
      </c>
      <c r="S33" s="1"/>
    </row>
    <row r="34" hidden="1">
      <c r="A34" s="7">
        <v>2024.0</v>
      </c>
      <c r="B34" s="6" t="s">
        <v>300</v>
      </c>
      <c r="C34" s="6" t="s">
        <v>442</v>
      </c>
      <c r="D34" s="1"/>
      <c r="E34" s="1"/>
      <c r="F34" s="7"/>
      <c r="G34" s="1"/>
      <c r="H34" s="1"/>
      <c r="I34" s="6"/>
      <c r="J34" s="519"/>
      <c r="K34" s="519"/>
      <c r="L34" s="519"/>
      <c r="M34" s="519"/>
      <c r="N34" s="519"/>
      <c r="O34" s="519"/>
      <c r="Q34" s="6"/>
      <c r="R34" s="519"/>
      <c r="S34" s="1"/>
    </row>
    <row r="35" hidden="1">
      <c r="A35" s="7">
        <v>2024.0</v>
      </c>
      <c r="B35" s="6" t="s">
        <v>300</v>
      </c>
      <c r="C35" s="6" t="s">
        <v>141</v>
      </c>
      <c r="D35" s="1"/>
      <c r="E35" s="1"/>
      <c r="F35" s="7"/>
      <c r="G35" s="1"/>
      <c r="H35" s="1"/>
      <c r="I35" s="6"/>
      <c r="J35" s="7"/>
      <c r="K35" s="7"/>
      <c r="L35" s="519"/>
      <c r="M35" s="519"/>
      <c r="N35" s="519"/>
      <c r="O35" s="519"/>
      <c r="Q35" s="1"/>
      <c r="R35" s="519"/>
      <c r="S35" s="1"/>
    </row>
    <row r="36" hidden="1">
      <c r="A36" s="7">
        <v>2024.0</v>
      </c>
      <c r="B36" s="6" t="s">
        <v>300</v>
      </c>
      <c r="C36" s="7" t="s">
        <v>443</v>
      </c>
      <c r="D36" s="519"/>
      <c r="E36" s="519"/>
      <c r="F36" s="7">
        <v>-4484.8</v>
      </c>
      <c r="G36" s="519"/>
      <c r="H36" s="519"/>
      <c r="I36" s="519"/>
      <c r="J36" s="519"/>
      <c r="K36" s="519"/>
      <c r="L36" s="519"/>
      <c r="M36" s="519"/>
      <c r="N36" s="519"/>
      <c r="O36" s="519"/>
      <c r="Q36" s="6" t="s">
        <v>26</v>
      </c>
      <c r="R36" s="519">
        <f t="shared" ref="R36:S36" si="2">SUM(R26:R35)</f>
        <v>400</v>
      </c>
      <c r="S36" s="519">
        <f t="shared" si="2"/>
        <v>72.64</v>
      </c>
    </row>
    <row r="37" hidden="1">
      <c r="A37" s="7">
        <v>2024.0</v>
      </c>
      <c r="B37" s="6" t="s">
        <v>300</v>
      </c>
      <c r="C37" s="7" t="s">
        <v>444</v>
      </c>
      <c r="D37" s="519"/>
      <c r="E37" s="519"/>
      <c r="F37" s="7">
        <v>-190.0</v>
      </c>
      <c r="G37" s="519"/>
      <c r="H37" s="519"/>
      <c r="I37" s="519"/>
      <c r="J37" s="519"/>
      <c r="K37" s="519"/>
      <c r="L37" s="519"/>
      <c r="M37" s="519"/>
      <c r="N37" s="519"/>
      <c r="O37" s="519"/>
      <c r="Q37" s="539">
        <f>R36+S36</f>
        <v>472.64</v>
      </c>
    </row>
    <row r="38" hidden="1">
      <c r="A38" s="7">
        <v>2024.0</v>
      </c>
      <c r="B38" s="6" t="s">
        <v>300</v>
      </c>
      <c r="C38" s="5" t="s">
        <v>445</v>
      </c>
      <c r="D38" s="519"/>
      <c r="E38" s="519"/>
      <c r="F38" s="7">
        <v>-140.0</v>
      </c>
      <c r="G38" s="519"/>
      <c r="H38" s="519"/>
      <c r="I38" s="519"/>
      <c r="J38" s="519"/>
      <c r="K38" s="519"/>
      <c r="L38" s="519"/>
      <c r="M38" s="519"/>
      <c r="N38" s="519"/>
      <c r="O38" s="519"/>
    </row>
    <row r="39" hidden="1">
      <c r="A39" s="7">
        <v>2024.0</v>
      </c>
      <c r="B39" s="6" t="s">
        <v>300</v>
      </c>
      <c r="C39" s="5" t="s">
        <v>446</v>
      </c>
      <c r="D39" s="519"/>
      <c r="E39" s="519"/>
      <c r="F39" s="519">
        <f>-(127.1+274.05)</f>
        <v>-401.15</v>
      </c>
      <c r="G39" s="519"/>
      <c r="H39" s="519"/>
      <c r="I39" s="519"/>
      <c r="J39" s="519"/>
      <c r="K39" s="519"/>
      <c r="L39" s="519"/>
      <c r="M39" s="519"/>
      <c r="N39" s="519"/>
      <c r="O39" s="519"/>
    </row>
    <row r="40" hidden="1">
      <c r="A40" s="7">
        <v>2024.0</v>
      </c>
      <c r="B40" s="6" t="s">
        <v>300</v>
      </c>
      <c r="C40" s="5" t="s">
        <v>447</v>
      </c>
      <c r="D40" s="519"/>
      <c r="E40" s="519"/>
      <c r="F40" s="7"/>
      <c r="G40" s="519"/>
      <c r="H40" s="519"/>
      <c r="I40" s="519"/>
      <c r="J40" s="7"/>
      <c r="K40" s="7"/>
      <c r="L40" s="519"/>
      <c r="M40" s="519"/>
      <c r="N40" s="519"/>
      <c r="O40" s="519"/>
    </row>
    <row r="41" hidden="1">
      <c r="A41" s="7">
        <v>2024.0</v>
      </c>
      <c r="B41" s="6" t="s">
        <v>300</v>
      </c>
      <c r="C41" s="5" t="s">
        <v>448</v>
      </c>
      <c r="D41" s="519"/>
      <c r="E41" s="519"/>
      <c r="F41" s="519"/>
      <c r="G41" s="519"/>
      <c r="H41" s="519"/>
      <c r="I41" s="519"/>
      <c r="J41" s="7"/>
      <c r="K41" s="7"/>
      <c r="L41" s="519"/>
      <c r="M41" s="519"/>
      <c r="N41" s="519"/>
      <c r="O41" s="519"/>
    </row>
    <row r="42" hidden="1">
      <c r="A42" s="7">
        <v>2024.0</v>
      </c>
      <c r="B42" s="6" t="s">
        <v>300</v>
      </c>
      <c r="C42" s="5" t="s">
        <v>60</v>
      </c>
      <c r="D42" s="519"/>
      <c r="E42" s="7">
        <v>700.0</v>
      </c>
      <c r="F42" s="519"/>
      <c r="G42" s="519"/>
      <c r="H42" s="519"/>
      <c r="I42" s="519"/>
      <c r="J42" s="7"/>
      <c r="K42" s="7"/>
      <c r="L42" s="519"/>
      <c r="M42" s="519"/>
      <c r="N42" s="519"/>
      <c r="O42" s="519"/>
    </row>
    <row r="43" hidden="1">
      <c r="A43" s="7">
        <v>2024.0</v>
      </c>
      <c r="B43" s="6" t="s">
        <v>300</v>
      </c>
      <c r="C43" s="5" t="s">
        <v>449</v>
      </c>
      <c r="D43" s="519"/>
      <c r="E43" s="519"/>
      <c r="F43" s="519"/>
      <c r="G43" s="519"/>
      <c r="H43" s="519"/>
      <c r="I43" s="519"/>
      <c r="J43" s="7"/>
      <c r="K43" s="7"/>
      <c r="L43" s="519"/>
      <c r="M43" s="519"/>
      <c r="N43" s="519"/>
      <c r="O43" s="519"/>
      <c r="P43" s="18"/>
      <c r="Q43" s="18" t="s">
        <v>450</v>
      </c>
      <c r="R43" s="18">
        <v>300.0</v>
      </c>
    </row>
    <row r="44" hidden="1">
      <c r="A44" s="7">
        <v>2024.0</v>
      </c>
      <c r="B44" s="6" t="s">
        <v>300</v>
      </c>
      <c r="C44" s="5" t="s">
        <v>451</v>
      </c>
      <c r="D44" s="519"/>
      <c r="E44" s="519"/>
      <c r="F44" s="7">
        <v>-2156.74</v>
      </c>
      <c r="G44" s="519"/>
      <c r="H44" s="519"/>
      <c r="I44" s="519"/>
      <c r="J44" s="7"/>
      <c r="K44" s="7"/>
      <c r="L44" s="519"/>
      <c r="M44" s="519"/>
      <c r="N44" s="519"/>
      <c r="O44" s="519"/>
      <c r="P44" s="18"/>
      <c r="Q44" s="18" t="s">
        <v>452</v>
      </c>
      <c r="R44" s="18">
        <v>459.0</v>
      </c>
    </row>
    <row r="45" hidden="1">
      <c r="A45" s="7">
        <v>2024.0</v>
      </c>
      <c r="B45" s="6" t="s">
        <v>301</v>
      </c>
      <c r="C45" s="5"/>
      <c r="D45" s="519"/>
      <c r="E45" s="519"/>
      <c r="F45" s="519"/>
      <c r="G45" s="519"/>
      <c r="H45" s="519"/>
      <c r="I45" s="7">
        <v>158.78</v>
      </c>
      <c r="J45" s="519"/>
      <c r="K45" s="519"/>
      <c r="L45" s="519"/>
      <c r="M45" s="519"/>
      <c r="N45" s="519"/>
      <c r="O45" s="519"/>
      <c r="P45" s="18"/>
      <c r="Q45" s="18" t="s">
        <v>453</v>
      </c>
    </row>
    <row r="46" hidden="1">
      <c r="A46" s="7">
        <v>2024.0</v>
      </c>
      <c r="B46" s="6" t="s">
        <v>301</v>
      </c>
      <c r="C46" s="5" t="s">
        <v>454</v>
      </c>
      <c r="D46" s="519"/>
      <c r="E46" s="519"/>
      <c r="F46" s="519"/>
      <c r="G46" s="519"/>
      <c r="H46" s="519"/>
      <c r="I46" s="519"/>
      <c r="J46" s="7"/>
      <c r="K46" s="7"/>
      <c r="L46" s="519"/>
      <c r="M46" s="519"/>
      <c r="N46" s="519"/>
      <c r="O46" s="519"/>
      <c r="P46" s="18"/>
      <c r="Q46" s="18" t="s">
        <v>455</v>
      </c>
      <c r="R46" s="18">
        <v>1000.0</v>
      </c>
    </row>
    <row r="47" hidden="1">
      <c r="A47" s="7">
        <v>2024.0</v>
      </c>
      <c r="B47" s="6" t="s">
        <v>301</v>
      </c>
      <c r="C47" s="5" t="s">
        <v>456</v>
      </c>
      <c r="D47" s="519"/>
      <c r="E47" s="519"/>
      <c r="F47" s="519"/>
      <c r="G47" s="519"/>
      <c r="H47" s="519"/>
      <c r="I47" s="519"/>
      <c r="J47" s="7"/>
      <c r="K47" s="7"/>
      <c r="L47" s="519"/>
      <c r="M47" s="519"/>
      <c r="N47" s="519"/>
      <c r="O47" s="519"/>
      <c r="P47" s="18"/>
      <c r="Q47" s="18" t="s">
        <v>457</v>
      </c>
      <c r="R47" s="18">
        <v>500.0</v>
      </c>
    </row>
    <row r="48" hidden="1">
      <c r="A48" s="7">
        <v>2024.0</v>
      </c>
      <c r="B48" s="6" t="s">
        <v>301</v>
      </c>
      <c r="C48" s="5"/>
      <c r="D48" s="519"/>
      <c r="E48" s="519"/>
      <c r="F48" s="519"/>
      <c r="G48" s="7"/>
      <c r="H48" s="7"/>
      <c r="I48" s="519"/>
      <c r="J48" s="519"/>
      <c r="K48" s="519"/>
      <c r="L48" s="519"/>
      <c r="M48" s="519"/>
      <c r="N48" s="519"/>
      <c r="O48" s="519"/>
      <c r="P48" s="18"/>
      <c r="Q48" s="18" t="s">
        <v>458</v>
      </c>
      <c r="R48" s="18">
        <v>300.0</v>
      </c>
    </row>
    <row r="49" hidden="1">
      <c r="A49" s="7">
        <v>2024.0</v>
      </c>
      <c r="B49" s="6" t="s">
        <v>301</v>
      </c>
      <c r="C49" s="5" t="s">
        <v>459</v>
      </c>
      <c r="D49" s="519"/>
      <c r="E49" s="519"/>
      <c r="F49" s="519"/>
      <c r="G49" s="519"/>
      <c r="H49" s="519"/>
      <c r="I49" s="519"/>
      <c r="J49" s="7"/>
      <c r="K49" s="7"/>
      <c r="L49" s="519"/>
      <c r="M49" s="519"/>
      <c r="N49" s="519"/>
      <c r="O49" s="519"/>
    </row>
    <row r="50" hidden="1">
      <c r="A50" s="7">
        <v>2024.0</v>
      </c>
      <c r="B50" s="6" t="s">
        <v>301</v>
      </c>
      <c r="C50" s="5" t="s">
        <v>460</v>
      </c>
      <c r="D50" s="519"/>
      <c r="E50" s="519"/>
      <c r="F50" s="519"/>
      <c r="G50" s="519"/>
      <c r="H50" s="519"/>
      <c r="I50" s="519"/>
      <c r="J50" s="7"/>
      <c r="K50" s="7"/>
      <c r="L50" s="519"/>
      <c r="M50" s="519"/>
      <c r="N50" s="519"/>
      <c r="O50" s="519"/>
    </row>
    <row r="51" hidden="1">
      <c r="A51" s="7">
        <v>2024.0</v>
      </c>
      <c r="B51" s="6" t="s">
        <v>301</v>
      </c>
      <c r="C51" s="5"/>
      <c r="D51" s="519"/>
      <c r="E51" s="519"/>
      <c r="F51" s="519"/>
      <c r="G51" s="519"/>
      <c r="H51" s="519"/>
      <c r="I51" s="7">
        <v>137.47</v>
      </c>
      <c r="J51" s="519"/>
      <c r="K51" s="519"/>
      <c r="L51" s="519"/>
      <c r="M51" s="519"/>
      <c r="N51" s="519"/>
      <c r="O51" s="519"/>
    </row>
    <row r="52" hidden="1">
      <c r="A52" s="7">
        <v>2024.0</v>
      </c>
      <c r="B52" s="6" t="s">
        <v>301</v>
      </c>
      <c r="C52" s="5"/>
      <c r="D52" s="519"/>
      <c r="E52" s="7">
        <v>700.0</v>
      </c>
      <c r="F52" s="519"/>
      <c r="G52" s="519"/>
      <c r="H52" s="519"/>
      <c r="I52" s="519"/>
      <c r="J52" s="519"/>
      <c r="K52" s="519"/>
      <c r="L52" s="519"/>
      <c r="M52" s="519"/>
      <c r="N52" s="519"/>
      <c r="O52" s="519"/>
    </row>
    <row r="53" hidden="1">
      <c r="A53" s="7">
        <v>2024.0</v>
      </c>
      <c r="B53" s="6" t="s">
        <v>427</v>
      </c>
      <c r="C53" s="5" t="s">
        <v>317</v>
      </c>
      <c r="D53" s="519"/>
      <c r="E53" s="519"/>
      <c r="F53" s="541">
        <f>4166.67+6417.54-2000</f>
        <v>8584.21</v>
      </c>
      <c r="G53" s="519"/>
      <c r="H53" s="519"/>
      <c r="I53" s="519"/>
      <c r="J53" s="519"/>
      <c r="K53" s="519"/>
      <c r="L53" s="519"/>
      <c r="M53" s="519"/>
      <c r="N53" s="519"/>
      <c r="O53" s="519"/>
    </row>
    <row r="54" hidden="1">
      <c r="A54" s="7">
        <v>2024.0</v>
      </c>
      <c r="B54" s="6" t="s">
        <v>427</v>
      </c>
      <c r="C54" s="5" t="s">
        <v>461</v>
      </c>
      <c r="D54" s="519"/>
      <c r="E54" s="519"/>
      <c r="F54" s="7">
        <v>-4000.0</v>
      </c>
      <c r="G54" s="519"/>
      <c r="H54" s="519"/>
      <c r="I54" s="519"/>
      <c r="J54" s="519"/>
      <c r="K54" s="519"/>
      <c r="L54" s="519"/>
      <c r="M54" s="519"/>
      <c r="N54" s="519"/>
      <c r="O54" s="519"/>
    </row>
    <row r="55" hidden="1">
      <c r="A55" s="7">
        <v>2024.0</v>
      </c>
      <c r="B55" s="6" t="s">
        <v>427</v>
      </c>
      <c r="C55" s="5" t="s">
        <v>462</v>
      </c>
      <c r="D55" s="519"/>
      <c r="E55" s="519"/>
      <c r="F55" s="542">
        <v>1000.0</v>
      </c>
      <c r="G55" s="519"/>
      <c r="H55" s="519"/>
      <c r="I55" s="519"/>
      <c r="J55" s="519"/>
      <c r="K55" s="519"/>
      <c r="L55" s="519"/>
      <c r="M55" s="519"/>
      <c r="N55" s="519"/>
      <c r="O55" s="519"/>
    </row>
    <row r="56" hidden="1">
      <c r="A56" s="7">
        <v>2024.0</v>
      </c>
      <c r="B56" s="6" t="s">
        <v>427</v>
      </c>
      <c r="C56" s="5" t="s">
        <v>463</v>
      </c>
      <c r="D56" s="519"/>
      <c r="E56" s="519"/>
      <c r="F56" s="543">
        <v>1000.0</v>
      </c>
      <c r="G56" s="519"/>
      <c r="H56" s="519"/>
      <c r="I56" s="519"/>
      <c r="J56" s="519"/>
      <c r="K56" s="519"/>
      <c r="L56" s="519"/>
      <c r="M56" s="519"/>
      <c r="N56" s="519"/>
      <c r="O56" s="519"/>
    </row>
    <row r="57" hidden="1">
      <c r="A57" s="7">
        <v>2024.0</v>
      </c>
      <c r="B57" s="6" t="s">
        <v>427</v>
      </c>
      <c r="C57" s="5" t="s">
        <v>464</v>
      </c>
      <c r="D57" s="519"/>
      <c r="E57" s="519"/>
      <c r="F57" s="7">
        <v>-2000.0</v>
      </c>
      <c r="G57" s="519"/>
      <c r="H57" s="519"/>
      <c r="I57" s="519"/>
      <c r="J57" s="519"/>
      <c r="K57" s="519"/>
      <c r="L57" s="519"/>
      <c r="M57" s="519"/>
      <c r="N57" s="519"/>
      <c r="O57" s="519"/>
    </row>
    <row r="58" hidden="1">
      <c r="A58" s="7">
        <v>2024.0</v>
      </c>
      <c r="B58" s="6" t="s">
        <v>427</v>
      </c>
      <c r="C58" s="5" t="s">
        <v>465</v>
      </c>
      <c r="D58" s="519"/>
      <c r="E58" s="519"/>
      <c r="F58" s="7">
        <v>-1081.7</v>
      </c>
      <c r="G58" s="519"/>
      <c r="H58" s="519"/>
      <c r="I58" s="519"/>
      <c r="J58" s="519"/>
      <c r="K58" s="519"/>
      <c r="L58" s="519"/>
      <c r="M58" s="519"/>
      <c r="N58" s="519"/>
      <c r="O58" s="519"/>
    </row>
    <row r="59" hidden="1">
      <c r="A59" s="7">
        <v>2024.0</v>
      </c>
      <c r="B59" s="6" t="s">
        <v>427</v>
      </c>
      <c r="C59" s="5" t="s">
        <v>466</v>
      </c>
      <c r="D59" s="519"/>
      <c r="E59" s="519"/>
      <c r="F59" s="7">
        <v>-83.1</v>
      </c>
      <c r="G59" s="519"/>
      <c r="H59" s="519"/>
      <c r="I59" s="519"/>
      <c r="J59" s="519"/>
      <c r="K59" s="519"/>
      <c r="L59" s="519"/>
      <c r="M59" s="519"/>
      <c r="N59" s="519"/>
      <c r="O59" s="519"/>
    </row>
    <row r="60" hidden="1">
      <c r="A60" s="7">
        <v>2024.0</v>
      </c>
      <c r="B60" s="6" t="s">
        <v>427</v>
      </c>
      <c r="C60" s="5" t="s">
        <v>467</v>
      </c>
      <c r="D60" s="519"/>
      <c r="E60" s="519"/>
      <c r="F60" s="7">
        <f>-239.25-123.7-132.3</f>
        <v>-495.25</v>
      </c>
      <c r="G60" s="519"/>
      <c r="H60" s="519"/>
      <c r="I60" s="519"/>
      <c r="J60" s="519"/>
      <c r="K60" s="519"/>
      <c r="L60" s="519"/>
      <c r="M60" s="519"/>
      <c r="N60" s="519"/>
      <c r="O60" s="519"/>
    </row>
    <row r="61" hidden="1">
      <c r="A61" s="7">
        <v>2024.0</v>
      </c>
      <c r="B61" s="6" t="s">
        <v>427</v>
      </c>
      <c r="C61" s="5" t="s">
        <v>450</v>
      </c>
      <c r="D61" s="519"/>
      <c r="E61" s="519"/>
      <c r="F61" s="7">
        <v>-260.0</v>
      </c>
      <c r="G61" s="519"/>
      <c r="H61" s="519"/>
      <c r="I61" s="519"/>
      <c r="J61" s="519"/>
      <c r="K61" s="519"/>
      <c r="L61" s="519"/>
      <c r="M61" s="519"/>
      <c r="N61" s="519"/>
      <c r="O61" s="519"/>
    </row>
    <row r="62" hidden="1">
      <c r="A62" s="7">
        <v>2024.0</v>
      </c>
      <c r="B62" s="6" t="s">
        <v>427</v>
      </c>
      <c r="C62" s="5" t="s">
        <v>468</v>
      </c>
      <c r="D62" s="519"/>
      <c r="E62" s="519"/>
      <c r="F62" s="7">
        <v>-414.2</v>
      </c>
      <c r="G62" s="519"/>
      <c r="H62" s="519"/>
      <c r="I62" s="519"/>
      <c r="J62" s="519"/>
      <c r="K62" s="519"/>
      <c r="L62" s="519"/>
      <c r="M62" s="519"/>
      <c r="N62" s="519"/>
      <c r="O62" s="519"/>
    </row>
    <row r="63" hidden="1">
      <c r="A63" s="7">
        <v>2024.0</v>
      </c>
      <c r="B63" s="6" t="s">
        <v>427</v>
      </c>
      <c r="C63" s="5" t="s">
        <v>469</v>
      </c>
      <c r="D63" s="519"/>
      <c r="E63" s="519"/>
      <c r="F63" s="519"/>
      <c r="G63" s="519"/>
      <c r="H63" s="519"/>
      <c r="I63" s="519"/>
      <c r="J63" s="519"/>
      <c r="K63" s="519"/>
      <c r="L63" s="519"/>
      <c r="M63" s="519"/>
      <c r="N63" s="519"/>
      <c r="O63" s="519"/>
    </row>
    <row r="64" hidden="1">
      <c r="A64" s="7">
        <v>2024.0</v>
      </c>
      <c r="B64" s="6" t="s">
        <v>427</v>
      </c>
      <c r="C64" s="5"/>
      <c r="D64" s="519"/>
      <c r="E64" s="7">
        <v>700.0</v>
      </c>
      <c r="F64" s="519"/>
      <c r="G64" s="519"/>
      <c r="H64" s="519"/>
      <c r="I64" s="519"/>
      <c r="J64" s="519"/>
      <c r="K64" s="519"/>
      <c r="L64" s="519"/>
      <c r="M64" s="519"/>
      <c r="N64" s="519"/>
      <c r="O64" s="519"/>
    </row>
    <row r="65" hidden="1">
      <c r="A65" s="7">
        <v>2024.0</v>
      </c>
      <c r="B65" s="6" t="s">
        <v>427</v>
      </c>
      <c r="C65" s="5"/>
      <c r="D65" s="519"/>
      <c r="E65" s="519"/>
      <c r="F65" s="519"/>
      <c r="G65" s="519"/>
      <c r="H65" s="519"/>
      <c r="I65" s="7">
        <v>145.78</v>
      </c>
      <c r="J65" s="7"/>
      <c r="K65" s="7"/>
      <c r="L65" s="519"/>
      <c r="M65" s="519"/>
      <c r="N65" s="519"/>
      <c r="O65" s="519"/>
    </row>
    <row r="66" hidden="1">
      <c r="A66" s="7">
        <v>2024.0</v>
      </c>
      <c r="B66" s="6" t="s">
        <v>119</v>
      </c>
      <c r="C66" s="5" t="s">
        <v>470</v>
      </c>
      <c r="D66" s="519"/>
      <c r="E66" s="519"/>
      <c r="F66" s="519"/>
      <c r="G66" s="519"/>
      <c r="H66" s="519"/>
      <c r="I66" s="519"/>
      <c r="J66" s="7">
        <v>11742.5</v>
      </c>
      <c r="K66" s="7"/>
      <c r="L66" s="519"/>
      <c r="M66" s="519"/>
      <c r="N66" s="519"/>
      <c r="O66" s="519"/>
    </row>
    <row r="67" hidden="1">
      <c r="A67" s="7">
        <v>2024.0</v>
      </c>
      <c r="B67" s="6" t="s">
        <v>119</v>
      </c>
      <c r="C67" s="5" t="s">
        <v>471</v>
      </c>
      <c r="D67" s="519"/>
      <c r="E67" s="519"/>
      <c r="F67" s="519"/>
      <c r="G67" s="519"/>
      <c r="H67" s="519"/>
      <c r="I67" s="519"/>
      <c r="J67" s="7">
        <v>7686.0</v>
      </c>
      <c r="K67" s="7"/>
      <c r="L67" s="519"/>
      <c r="M67" s="519"/>
      <c r="N67" s="519"/>
      <c r="O67" s="519"/>
    </row>
    <row r="68" hidden="1">
      <c r="A68" s="7">
        <v>2024.0</v>
      </c>
      <c r="B68" s="6" t="s">
        <v>119</v>
      </c>
      <c r="C68" s="5" t="s">
        <v>472</v>
      </c>
      <c r="D68" s="519"/>
      <c r="E68" s="519"/>
      <c r="F68" s="519"/>
      <c r="G68" s="519"/>
      <c r="H68" s="519"/>
      <c r="I68" s="519"/>
      <c r="J68" s="519"/>
      <c r="K68" s="519"/>
      <c r="L68" s="519"/>
      <c r="M68" s="519"/>
      <c r="N68" s="519"/>
      <c r="O68" s="519"/>
    </row>
    <row r="69" hidden="1">
      <c r="A69" s="7">
        <v>2024.0</v>
      </c>
      <c r="B69" s="6" t="s">
        <v>119</v>
      </c>
      <c r="C69" s="5" t="s">
        <v>473</v>
      </c>
      <c r="D69" s="519"/>
      <c r="E69" s="519"/>
      <c r="F69" s="542">
        <f>-119.64-0.5</f>
        <v>-120.14</v>
      </c>
      <c r="G69" s="519"/>
      <c r="H69" s="519"/>
      <c r="I69" s="519"/>
      <c r="J69" s="519"/>
      <c r="K69" s="519"/>
      <c r="L69" s="519"/>
      <c r="M69" s="519"/>
      <c r="N69" s="519"/>
      <c r="O69" s="519"/>
    </row>
    <row r="70" hidden="1">
      <c r="A70" s="7">
        <v>2024.0</v>
      </c>
      <c r="B70" s="6" t="s">
        <v>119</v>
      </c>
      <c r="C70" s="5" t="s">
        <v>474</v>
      </c>
      <c r="D70" s="519"/>
      <c r="E70" s="519"/>
      <c r="F70" s="519"/>
      <c r="G70" s="519"/>
      <c r="H70" s="519"/>
      <c r="I70" s="519"/>
      <c r="J70" s="519"/>
      <c r="K70" s="519"/>
      <c r="L70" s="519"/>
      <c r="M70" s="519"/>
      <c r="N70" s="519"/>
      <c r="O70" s="519"/>
    </row>
    <row r="71" hidden="1">
      <c r="A71" s="7">
        <v>2024.0</v>
      </c>
      <c r="B71" s="6" t="s">
        <v>119</v>
      </c>
      <c r="C71" s="5" t="s">
        <v>475</v>
      </c>
      <c r="D71" s="519"/>
      <c r="E71" s="519"/>
      <c r="F71" s="519"/>
      <c r="G71" s="519"/>
      <c r="H71" s="519"/>
      <c r="I71" s="519"/>
      <c r="J71" s="7">
        <v>-2004.8</v>
      </c>
      <c r="K71" s="7"/>
      <c r="L71" s="519"/>
      <c r="M71" s="519"/>
      <c r="N71" s="519"/>
      <c r="O71" s="519"/>
    </row>
    <row r="72" hidden="1">
      <c r="A72" s="7">
        <v>2024.0</v>
      </c>
      <c r="B72" s="6" t="s">
        <v>119</v>
      </c>
      <c r="C72" s="5" t="s">
        <v>476</v>
      </c>
      <c r="D72" s="519"/>
      <c r="E72" s="519"/>
      <c r="F72" s="519"/>
      <c r="G72" s="519"/>
      <c r="H72" s="519"/>
      <c r="I72" s="519"/>
      <c r="J72" s="7"/>
      <c r="K72" s="7"/>
      <c r="L72" s="519"/>
      <c r="M72" s="519"/>
      <c r="N72" s="519"/>
      <c r="O72" s="519"/>
    </row>
    <row r="73" hidden="1">
      <c r="A73" s="7">
        <v>2024.0</v>
      </c>
      <c r="B73" s="6" t="s">
        <v>119</v>
      </c>
      <c r="C73" s="5" t="s">
        <v>477</v>
      </c>
      <c r="D73" s="519"/>
      <c r="E73" s="519"/>
      <c r="F73" s="519"/>
      <c r="G73" s="7"/>
      <c r="H73" s="7"/>
      <c r="I73" s="519"/>
      <c r="J73" s="519"/>
      <c r="K73" s="519"/>
      <c r="L73" s="519"/>
      <c r="M73" s="519"/>
      <c r="N73" s="519"/>
      <c r="O73" s="519"/>
    </row>
    <row r="74" hidden="1">
      <c r="A74" s="7">
        <v>2024.0</v>
      </c>
      <c r="B74" s="6" t="s">
        <v>119</v>
      </c>
      <c r="C74" s="5" t="s">
        <v>351</v>
      </c>
      <c r="D74" s="519"/>
      <c r="E74" s="519"/>
      <c r="F74" s="519"/>
      <c r="G74" s="519"/>
      <c r="H74" s="519"/>
      <c r="I74" s="519"/>
      <c r="J74" s="519"/>
      <c r="K74" s="519"/>
      <c r="L74" s="519"/>
      <c r="M74" s="519"/>
      <c r="N74" s="519"/>
      <c r="O74" s="519"/>
    </row>
    <row r="75" hidden="1">
      <c r="A75" s="7">
        <v>2024.0</v>
      </c>
      <c r="B75" s="6" t="s">
        <v>119</v>
      </c>
      <c r="C75" s="5" t="s">
        <v>478</v>
      </c>
      <c r="D75" s="519"/>
      <c r="E75" s="519"/>
      <c r="F75" s="519"/>
      <c r="G75" s="519"/>
      <c r="H75" s="519"/>
      <c r="I75" s="519"/>
      <c r="J75" s="519"/>
      <c r="K75" s="519"/>
      <c r="L75" s="519"/>
      <c r="M75" s="519"/>
      <c r="N75" s="519"/>
      <c r="O75" s="519"/>
    </row>
    <row r="76" hidden="1">
      <c r="A76" s="7">
        <v>2024.0</v>
      </c>
      <c r="B76" s="6" t="s">
        <v>119</v>
      </c>
      <c r="C76" s="5" t="s">
        <v>479</v>
      </c>
      <c r="D76" s="519"/>
      <c r="E76" s="519"/>
      <c r="F76" s="519"/>
      <c r="G76" s="519"/>
      <c r="H76" s="519"/>
      <c r="I76" s="519"/>
      <c r="J76" s="519"/>
      <c r="K76" s="7">
        <v>5150.0</v>
      </c>
      <c r="L76" s="519"/>
      <c r="M76" s="519"/>
      <c r="N76" s="519"/>
      <c r="O76" s="519"/>
    </row>
    <row r="77" hidden="1">
      <c r="A77" s="7">
        <v>2024.0</v>
      </c>
      <c r="B77" s="6" t="s">
        <v>119</v>
      </c>
      <c r="C77" s="5" t="s">
        <v>480</v>
      </c>
      <c r="D77" s="519"/>
      <c r="E77" s="519"/>
      <c r="F77" s="519"/>
      <c r="G77" s="519"/>
      <c r="H77" s="519"/>
      <c r="I77" s="519"/>
      <c r="J77" s="519"/>
      <c r="K77" s="519"/>
      <c r="L77" s="519"/>
      <c r="M77" s="519"/>
      <c r="N77" s="519"/>
      <c r="O77" s="519"/>
    </row>
    <row r="78" hidden="1">
      <c r="A78" s="7">
        <v>2024.0</v>
      </c>
      <c r="B78" s="6" t="s">
        <v>119</v>
      </c>
      <c r="C78" s="5" t="s">
        <v>481</v>
      </c>
      <c r="D78" s="7"/>
      <c r="E78" s="519"/>
      <c r="F78" s="519"/>
      <c r="G78" s="519"/>
      <c r="H78" s="519"/>
      <c r="I78" s="519"/>
      <c r="J78" s="7">
        <v>-14989.79</v>
      </c>
      <c r="K78" s="519"/>
      <c r="L78" s="519"/>
      <c r="M78" s="519"/>
      <c r="N78" s="519"/>
      <c r="O78" s="519"/>
    </row>
    <row r="79" hidden="1">
      <c r="A79" s="7">
        <v>2024.0</v>
      </c>
      <c r="B79" s="6" t="s">
        <v>119</v>
      </c>
      <c r="C79" s="5" t="s">
        <v>482</v>
      </c>
      <c r="D79" s="7">
        <v>-298.95</v>
      </c>
      <c r="E79" s="519"/>
      <c r="F79" s="519"/>
      <c r="G79" s="519"/>
      <c r="H79" s="519"/>
      <c r="I79" s="519"/>
      <c r="J79" s="7"/>
      <c r="K79" s="519"/>
      <c r="L79" s="519"/>
      <c r="M79" s="519"/>
      <c r="N79" s="519"/>
      <c r="O79" s="519"/>
    </row>
    <row r="80" hidden="1">
      <c r="A80" s="7">
        <v>2024.0</v>
      </c>
      <c r="B80" s="6" t="s">
        <v>119</v>
      </c>
      <c r="C80" s="5" t="s">
        <v>483</v>
      </c>
      <c r="D80" s="7"/>
      <c r="E80" s="519"/>
      <c r="F80" s="519"/>
      <c r="G80" s="519"/>
      <c r="H80" s="519"/>
      <c r="I80" s="519"/>
      <c r="J80" s="7"/>
      <c r="K80" s="519"/>
      <c r="L80" s="519"/>
      <c r="M80" s="519"/>
      <c r="N80" s="519"/>
      <c r="O80" s="519"/>
    </row>
    <row r="81" hidden="1">
      <c r="A81" s="7">
        <v>2024.0</v>
      </c>
      <c r="B81" s="6" t="s">
        <v>119</v>
      </c>
      <c r="C81" s="5" t="s">
        <v>484</v>
      </c>
      <c r="D81" s="7"/>
      <c r="E81" s="519"/>
      <c r="F81" s="542">
        <v>-361.0</v>
      </c>
      <c r="G81" s="519"/>
      <c r="H81" s="519"/>
      <c r="I81" s="519"/>
      <c r="J81" s="7"/>
      <c r="K81" s="519"/>
      <c r="L81" s="519"/>
      <c r="M81" s="519"/>
      <c r="N81" s="519"/>
      <c r="O81" s="519"/>
    </row>
    <row r="82" hidden="1">
      <c r="A82" s="7">
        <v>2024.0</v>
      </c>
      <c r="B82" s="6" t="s">
        <v>119</v>
      </c>
      <c r="C82" s="5" t="s">
        <v>485</v>
      </c>
      <c r="D82" s="7"/>
      <c r="E82" s="519"/>
      <c r="F82" s="519"/>
      <c r="G82" s="519"/>
      <c r="H82" s="519"/>
      <c r="I82" s="519"/>
      <c r="J82" s="7"/>
      <c r="K82" s="7">
        <v>5150.0</v>
      </c>
      <c r="L82" s="519"/>
      <c r="M82" s="519"/>
      <c r="N82" s="519"/>
      <c r="O82" s="519"/>
    </row>
    <row r="83" hidden="1">
      <c r="A83" s="7">
        <v>2024.0</v>
      </c>
      <c r="B83" s="6" t="s">
        <v>486</v>
      </c>
      <c r="C83" s="5"/>
      <c r="D83" s="7"/>
      <c r="E83" s="7">
        <v>700.0</v>
      </c>
      <c r="F83" s="519"/>
      <c r="G83" s="519"/>
      <c r="H83" s="519"/>
      <c r="I83" s="519"/>
      <c r="J83" s="7"/>
      <c r="K83" s="519"/>
      <c r="L83" s="519"/>
      <c r="M83" s="519"/>
      <c r="N83" s="519"/>
      <c r="O83" s="519"/>
    </row>
    <row r="84" hidden="1">
      <c r="A84" s="7">
        <v>2024.0</v>
      </c>
      <c r="B84" s="6" t="s">
        <v>486</v>
      </c>
      <c r="C84" s="5"/>
      <c r="D84" s="7"/>
      <c r="E84" s="519"/>
      <c r="F84" s="519"/>
      <c r="G84" s="519"/>
      <c r="H84" s="519"/>
      <c r="I84" s="519"/>
      <c r="J84" s="7"/>
      <c r="K84" s="519"/>
      <c r="L84" s="519"/>
      <c r="M84" s="519"/>
      <c r="N84" s="519"/>
      <c r="O84" s="519"/>
    </row>
    <row r="85" hidden="1">
      <c r="A85" s="7">
        <v>2024.0</v>
      </c>
      <c r="B85" s="6" t="s">
        <v>486</v>
      </c>
      <c r="C85" s="5"/>
      <c r="D85" s="7"/>
      <c r="E85" s="519"/>
      <c r="F85" s="519"/>
      <c r="G85" s="519"/>
      <c r="H85" s="519"/>
      <c r="I85" s="7">
        <v>206.16</v>
      </c>
      <c r="J85" s="7"/>
      <c r="K85" s="519"/>
      <c r="L85" s="519"/>
      <c r="M85" s="519"/>
      <c r="N85" s="519"/>
      <c r="O85" s="519"/>
    </row>
    <row r="86" hidden="1">
      <c r="A86" s="7">
        <v>2024.0</v>
      </c>
      <c r="B86" s="6" t="s">
        <v>486</v>
      </c>
      <c r="C86" s="5" t="s">
        <v>487</v>
      </c>
      <c r="D86" s="7"/>
      <c r="E86" s="519"/>
      <c r="F86" s="7">
        <v>284.31</v>
      </c>
      <c r="G86" s="519"/>
      <c r="H86" s="519"/>
      <c r="I86" s="519"/>
      <c r="J86" s="7"/>
      <c r="K86" s="519"/>
      <c r="L86" s="519"/>
      <c r="M86" s="519"/>
      <c r="N86" s="519"/>
      <c r="O86" s="519"/>
    </row>
    <row r="87" hidden="1">
      <c r="A87" s="7">
        <v>2024.0</v>
      </c>
      <c r="B87" s="6" t="s">
        <v>486</v>
      </c>
      <c r="C87" s="5" t="s">
        <v>488</v>
      </c>
      <c r="D87" s="7"/>
      <c r="E87" s="519"/>
      <c r="F87" s="519"/>
      <c r="G87" s="519"/>
      <c r="H87" s="519"/>
      <c r="I87" s="519"/>
      <c r="J87" s="7"/>
      <c r="K87" s="7">
        <v>5152.24</v>
      </c>
      <c r="L87" s="519"/>
      <c r="M87" s="519"/>
      <c r="N87" s="519"/>
      <c r="O87" s="519"/>
    </row>
    <row r="88" hidden="1">
      <c r="A88" s="7">
        <v>2024.0</v>
      </c>
      <c r="B88" s="6" t="s">
        <v>486</v>
      </c>
      <c r="C88" s="5" t="s">
        <v>489</v>
      </c>
      <c r="D88" s="7"/>
      <c r="E88" s="519"/>
      <c r="F88" s="542">
        <v>-240.0</v>
      </c>
      <c r="G88" s="519"/>
      <c r="H88" s="519"/>
      <c r="I88" s="519"/>
      <c r="J88" s="7"/>
      <c r="K88" s="519"/>
      <c r="L88" s="519"/>
      <c r="M88" s="519"/>
      <c r="N88" s="519"/>
      <c r="O88" s="519"/>
    </row>
    <row r="89" hidden="1">
      <c r="A89" s="7">
        <v>2024.0</v>
      </c>
      <c r="B89" s="6" t="s">
        <v>486</v>
      </c>
      <c r="C89" s="5" t="s">
        <v>490</v>
      </c>
      <c r="D89" s="7">
        <v>-50.4</v>
      </c>
      <c r="E89" s="519"/>
      <c r="F89" s="7"/>
      <c r="G89" s="519"/>
      <c r="H89" s="519"/>
      <c r="I89" s="519"/>
      <c r="J89" s="7"/>
      <c r="K89" s="519"/>
      <c r="L89" s="519"/>
      <c r="M89" s="519"/>
      <c r="N89" s="519"/>
      <c r="O89" s="519"/>
    </row>
    <row r="90" hidden="1">
      <c r="A90" s="7">
        <v>2024.0</v>
      </c>
      <c r="B90" s="6" t="s">
        <v>486</v>
      </c>
      <c r="C90" s="5" t="s">
        <v>491</v>
      </c>
      <c r="D90" s="7"/>
      <c r="E90" s="519"/>
      <c r="F90" s="542">
        <v>-528.82</v>
      </c>
      <c r="G90" s="519"/>
      <c r="H90" s="519"/>
      <c r="I90" s="519"/>
      <c r="J90" s="7"/>
      <c r="K90" s="519"/>
      <c r="L90" s="519"/>
      <c r="M90" s="519"/>
      <c r="N90" s="519"/>
      <c r="O90" s="519"/>
    </row>
    <row r="91" hidden="1">
      <c r="A91" s="7">
        <v>2024.0</v>
      </c>
      <c r="B91" s="6" t="s">
        <v>486</v>
      </c>
      <c r="C91" s="5" t="s">
        <v>492</v>
      </c>
      <c r="D91" s="7"/>
      <c r="E91" s="519"/>
      <c r="F91" s="7"/>
      <c r="G91" s="519"/>
      <c r="H91" s="519"/>
      <c r="I91" s="519"/>
      <c r="J91" s="7"/>
      <c r="K91" s="519"/>
      <c r="L91" s="519"/>
      <c r="M91" s="519"/>
      <c r="N91" s="519"/>
      <c r="O91" s="519"/>
    </row>
    <row r="92" hidden="1">
      <c r="A92" s="7">
        <v>2024.0</v>
      </c>
      <c r="B92" s="6" t="s">
        <v>486</v>
      </c>
      <c r="C92" s="5" t="s">
        <v>493</v>
      </c>
      <c r="D92" s="7"/>
      <c r="E92" s="519"/>
      <c r="F92" s="7">
        <v>-1000.0</v>
      </c>
      <c r="G92" s="519"/>
      <c r="H92" s="519"/>
      <c r="I92" s="7">
        <v>-352.8</v>
      </c>
      <c r="J92" s="7"/>
      <c r="K92" s="519"/>
      <c r="L92" s="519"/>
      <c r="M92" s="519"/>
      <c r="N92" s="519"/>
      <c r="O92" s="519"/>
    </row>
    <row r="93" hidden="1">
      <c r="A93" s="7">
        <v>2024.0</v>
      </c>
      <c r="B93" s="6" t="s">
        <v>486</v>
      </c>
      <c r="C93" s="5"/>
      <c r="D93" s="7"/>
      <c r="E93" s="519"/>
      <c r="F93" s="7"/>
      <c r="G93" s="7"/>
      <c r="H93" s="7"/>
      <c r="I93" s="519"/>
      <c r="J93" s="7"/>
      <c r="K93" s="519"/>
      <c r="L93" s="519"/>
      <c r="M93" s="519"/>
      <c r="N93" s="519"/>
      <c r="O93" s="519"/>
    </row>
    <row r="94" hidden="1">
      <c r="A94" s="7">
        <v>2024.0</v>
      </c>
      <c r="B94" s="6" t="s">
        <v>486</v>
      </c>
      <c r="C94" s="5" t="s">
        <v>494</v>
      </c>
      <c r="D94" s="7"/>
      <c r="E94" s="519"/>
      <c r="F94" s="7"/>
      <c r="G94" s="519"/>
      <c r="H94" s="519"/>
      <c r="I94" s="519"/>
      <c r="J94" s="7"/>
      <c r="K94" s="7">
        <f>5150.16-0.25</f>
        <v>5149.91</v>
      </c>
      <c r="L94" s="519"/>
      <c r="M94" s="519"/>
      <c r="N94" s="519"/>
      <c r="O94" s="519"/>
    </row>
    <row r="95" hidden="1">
      <c r="A95" s="7">
        <v>2024.0</v>
      </c>
      <c r="B95" s="6" t="s">
        <v>486</v>
      </c>
      <c r="C95" s="5" t="s">
        <v>495</v>
      </c>
      <c r="D95" s="7"/>
      <c r="E95" s="519"/>
      <c r="F95" s="7">
        <v>-284.31</v>
      </c>
      <c r="G95" s="519"/>
      <c r="H95" s="519"/>
      <c r="I95" s="7">
        <v>-304.69</v>
      </c>
      <c r="J95" s="7"/>
      <c r="K95" s="519"/>
      <c r="L95" s="519"/>
      <c r="M95" s="519"/>
      <c r="N95" s="519"/>
      <c r="O95" s="519"/>
    </row>
    <row r="96" hidden="1">
      <c r="A96" s="7">
        <v>2024.0</v>
      </c>
      <c r="B96" s="6" t="s">
        <v>486</v>
      </c>
      <c r="C96" s="5" t="s">
        <v>496</v>
      </c>
      <c r="D96" s="7"/>
      <c r="E96" s="519"/>
      <c r="F96" s="7"/>
      <c r="G96" s="519"/>
      <c r="H96" s="519"/>
      <c r="I96" s="7">
        <v>-150.0</v>
      </c>
      <c r="J96" s="7"/>
      <c r="K96" s="519"/>
      <c r="L96" s="519"/>
      <c r="M96" s="519"/>
      <c r="N96" s="519"/>
      <c r="O96" s="519"/>
    </row>
    <row r="97" hidden="1">
      <c r="A97" s="7">
        <v>2024.0</v>
      </c>
      <c r="B97" s="6" t="s">
        <v>486</v>
      </c>
      <c r="C97" s="5" t="s">
        <v>497</v>
      </c>
      <c r="D97" s="7"/>
      <c r="E97" s="519"/>
      <c r="F97" s="7"/>
      <c r="G97" s="519"/>
      <c r="H97" s="519"/>
      <c r="I97" s="519"/>
      <c r="J97" s="7"/>
      <c r="K97" s="7">
        <v>4010.0</v>
      </c>
      <c r="L97" s="519"/>
      <c r="M97" s="519"/>
      <c r="N97" s="519"/>
      <c r="O97" s="519"/>
    </row>
    <row r="98" hidden="1">
      <c r="A98" s="7">
        <v>2024.0</v>
      </c>
      <c r="B98" s="6" t="s">
        <v>498</v>
      </c>
      <c r="C98" s="5" t="s">
        <v>499</v>
      </c>
      <c r="D98" s="7"/>
      <c r="E98" s="519"/>
      <c r="F98" s="7">
        <v>1000.0</v>
      </c>
      <c r="G98" s="519"/>
      <c r="H98" s="519"/>
      <c r="I98" s="519"/>
      <c r="J98" s="7"/>
      <c r="K98" s="519"/>
      <c r="L98" s="519"/>
      <c r="M98" s="519"/>
      <c r="N98" s="519"/>
      <c r="O98" s="519"/>
    </row>
    <row r="99" hidden="1">
      <c r="A99" s="7">
        <v>2024.0</v>
      </c>
      <c r="B99" s="6" t="s">
        <v>498</v>
      </c>
      <c r="C99" s="5"/>
      <c r="D99" s="7">
        <f>700-50.65</f>
        <v>649.35</v>
      </c>
      <c r="E99" s="7">
        <v>50.65</v>
      </c>
      <c r="F99" s="7"/>
      <c r="G99" s="519"/>
      <c r="H99" s="519"/>
      <c r="I99" s="519"/>
      <c r="J99" s="7"/>
      <c r="K99" s="519"/>
      <c r="L99" s="519"/>
      <c r="M99" s="519"/>
      <c r="N99" s="519"/>
      <c r="O99" s="519"/>
    </row>
    <row r="100" hidden="1">
      <c r="A100" s="7">
        <v>2024.0</v>
      </c>
      <c r="B100" s="6" t="s">
        <v>498</v>
      </c>
      <c r="C100" s="5"/>
      <c r="D100" s="7"/>
      <c r="E100" s="7"/>
      <c r="F100" s="7"/>
      <c r="G100" s="519"/>
      <c r="H100" s="519"/>
      <c r="I100" s="7">
        <v>237.4</v>
      </c>
      <c r="J100" s="7"/>
      <c r="K100" s="519"/>
      <c r="L100" s="519"/>
      <c r="M100" s="519"/>
      <c r="N100" s="519"/>
      <c r="O100" s="519"/>
    </row>
    <row r="101" hidden="1">
      <c r="A101" s="7">
        <v>2024.0</v>
      </c>
      <c r="B101" s="6" t="s">
        <v>498</v>
      </c>
      <c r="C101" s="5" t="s">
        <v>500</v>
      </c>
      <c r="D101" s="7"/>
      <c r="E101" s="7"/>
      <c r="F101" s="7"/>
      <c r="G101" s="519"/>
      <c r="H101" s="519"/>
      <c r="I101" s="7">
        <v>-230.7</v>
      </c>
      <c r="J101" s="7"/>
      <c r="K101" s="519"/>
      <c r="L101" s="519"/>
      <c r="M101" s="519"/>
      <c r="N101" s="519"/>
      <c r="O101" s="519"/>
    </row>
    <row r="102" hidden="1">
      <c r="A102" s="7">
        <v>2024.0</v>
      </c>
      <c r="B102" s="6" t="s">
        <v>498</v>
      </c>
      <c r="C102" s="5" t="s">
        <v>501</v>
      </c>
      <c r="D102" s="7"/>
      <c r="E102" s="7"/>
      <c r="F102" s="7"/>
      <c r="G102" s="519"/>
      <c r="H102" s="519"/>
      <c r="I102" s="519"/>
      <c r="J102" s="7"/>
      <c r="K102" s="7">
        <v>5149.99</v>
      </c>
      <c r="L102" s="519"/>
      <c r="M102" s="519"/>
      <c r="N102" s="519"/>
      <c r="O102" s="519"/>
    </row>
    <row r="103" hidden="1">
      <c r="A103" s="7">
        <v>2024.0</v>
      </c>
      <c r="B103" s="6" t="s">
        <v>498</v>
      </c>
      <c r="C103" s="5" t="s">
        <v>502</v>
      </c>
      <c r="D103" s="7">
        <v>45000.0</v>
      </c>
      <c r="E103" s="7"/>
      <c r="F103" s="7"/>
      <c r="G103" s="519"/>
      <c r="H103" s="519"/>
      <c r="I103" s="519"/>
      <c r="J103" s="7"/>
      <c r="K103" s="519"/>
      <c r="L103" s="519"/>
      <c r="M103" s="519"/>
      <c r="N103" s="519"/>
      <c r="O103" s="519"/>
    </row>
    <row r="104" hidden="1">
      <c r="A104" s="7">
        <v>2024.0</v>
      </c>
      <c r="B104" s="6" t="s">
        <v>498</v>
      </c>
      <c r="C104" s="5" t="s">
        <v>503</v>
      </c>
      <c r="D104" s="7">
        <v>-61737.26</v>
      </c>
      <c r="E104" s="7"/>
      <c r="F104" s="7"/>
      <c r="G104" s="519"/>
      <c r="H104" s="519"/>
      <c r="I104" s="519"/>
      <c r="J104" s="7"/>
      <c r="K104" s="519"/>
      <c r="L104" s="519"/>
      <c r="M104" s="519"/>
      <c r="N104" s="519"/>
      <c r="O104" s="519"/>
    </row>
    <row r="105" hidden="1">
      <c r="A105" s="7">
        <v>2024.0</v>
      </c>
      <c r="B105" s="6" t="s">
        <v>498</v>
      </c>
      <c r="C105" s="5" t="s">
        <v>504</v>
      </c>
      <c r="D105" s="544">
        <f>-(427+178.81+96+16.4)</f>
        <v>-718.21</v>
      </c>
      <c r="E105" s="7"/>
      <c r="F105" s="7"/>
      <c r="G105" s="519"/>
      <c r="H105" s="519"/>
      <c r="I105" s="519"/>
      <c r="J105" s="7"/>
      <c r="K105" s="519"/>
      <c r="L105" s="519"/>
      <c r="M105" s="519"/>
      <c r="N105" s="519"/>
      <c r="O105" s="519"/>
    </row>
    <row r="106" hidden="1">
      <c r="A106" s="7">
        <v>2024.0</v>
      </c>
      <c r="B106" s="6" t="s">
        <v>498</v>
      </c>
      <c r="C106" s="5" t="s">
        <v>505</v>
      </c>
      <c r="D106" s="7"/>
      <c r="E106" s="7"/>
      <c r="F106" s="7">
        <v>-500.0</v>
      </c>
      <c r="G106" s="519"/>
      <c r="H106" s="519"/>
      <c r="I106" s="519"/>
      <c r="J106" s="7"/>
      <c r="K106" s="519"/>
      <c r="L106" s="519"/>
      <c r="M106" s="519"/>
      <c r="N106" s="519"/>
      <c r="O106" s="519"/>
    </row>
    <row r="107" hidden="1">
      <c r="A107" s="7">
        <v>2024.0</v>
      </c>
      <c r="B107" s="6" t="s">
        <v>506</v>
      </c>
      <c r="C107" s="5"/>
      <c r="D107" s="7"/>
      <c r="E107" s="7">
        <v>700.0</v>
      </c>
      <c r="F107" s="7"/>
      <c r="G107" s="7"/>
      <c r="H107" s="7"/>
      <c r="I107" s="519"/>
      <c r="J107" s="7"/>
      <c r="K107" s="519"/>
      <c r="L107" s="519"/>
      <c r="M107" s="519"/>
      <c r="N107" s="519"/>
      <c r="O107" s="519"/>
    </row>
    <row r="108" hidden="1">
      <c r="A108" s="7">
        <v>2024.0</v>
      </c>
      <c r="B108" s="6" t="s">
        <v>506</v>
      </c>
      <c r="C108" s="5" t="s">
        <v>507</v>
      </c>
      <c r="D108" s="7"/>
      <c r="E108" s="7"/>
      <c r="F108" s="7"/>
      <c r="G108" s="519"/>
      <c r="H108" s="519"/>
      <c r="I108" s="519"/>
      <c r="J108" s="7"/>
      <c r="K108" s="7">
        <f>5150-0.01</f>
        <v>5149.99</v>
      </c>
      <c r="L108" s="519"/>
      <c r="M108" s="519"/>
      <c r="N108" s="519"/>
      <c r="O108" s="519"/>
    </row>
    <row r="109" hidden="1">
      <c r="A109" s="7">
        <v>2024.0</v>
      </c>
      <c r="B109" s="6" t="s">
        <v>506</v>
      </c>
      <c r="C109" s="5" t="s">
        <v>508</v>
      </c>
      <c r="D109" s="7">
        <v>-500.0</v>
      </c>
      <c r="E109" s="7"/>
      <c r="F109" s="7"/>
      <c r="G109" s="519"/>
      <c r="H109" s="519"/>
      <c r="I109" s="519"/>
      <c r="J109" s="7"/>
      <c r="K109" s="519"/>
      <c r="L109" s="519"/>
      <c r="M109" s="519"/>
      <c r="N109" s="519"/>
      <c r="O109" s="519"/>
    </row>
    <row r="110" hidden="1">
      <c r="A110" s="7">
        <v>2024.0</v>
      </c>
      <c r="B110" s="6" t="s">
        <v>506</v>
      </c>
      <c r="C110" s="5"/>
      <c r="D110" s="7"/>
      <c r="E110" s="7"/>
      <c r="F110" s="7"/>
      <c r="G110" s="519"/>
      <c r="H110" s="519"/>
      <c r="I110" s="7">
        <v>234.28</v>
      </c>
      <c r="J110" s="7"/>
      <c r="K110" s="519"/>
      <c r="L110" s="519"/>
      <c r="M110" s="519"/>
      <c r="N110" s="519"/>
      <c r="O110" s="519"/>
    </row>
    <row r="111" hidden="1">
      <c r="A111" s="7">
        <v>2024.0</v>
      </c>
      <c r="B111" s="6" t="s">
        <v>506</v>
      </c>
      <c r="C111" s="5" t="s">
        <v>509</v>
      </c>
      <c r="D111" s="7">
        <f>-150-106-4.5-8.5</f>
        <v>-269</v>
      </c>
      <c r="E111" s="7"/>
      <c r="F111" s="7"/>
      <c r="G111" s="519"/>
      <c r="H111" s="519"/>
      <c r="I111" s="519"/>
      <c r="J111" s="7"/>
      <c r="K111" s="519"/>
      <c r="L111" s="519"/>
      <c r="M111" s="519"/>
      <c r="N111" s="519"/>
      <c r="O111" s="519"/>
    </row>
    <row r="112" hidden="1">
      <c r="A112" s="7">
        <v>2024.0</v>
      </c>
      <c r="B112" s="6" t="s">
        <v>506</v>
      </c>
      <c r="C112" s="5"/>
      <c r="D112" s="7"/>
      <c r="E112" s="7"/>
      <c r="F112" s="7"/>
      <c r="G112" s="7"/>
      <c r="H112" s="7"/>
      <c r="I112" s="519"/>
      <c r="J112" s="7"/>
      <c r="K112" s="519"/>
      <c r="L112" s="519"/>
      <c r="M112" s="519"/>
      <c r="N112" s="519"/>
      <c r="O112" s="519"/>
    </row>
    <row r="113" hidden="1">
      <c r="A113" s="7">
        <v>2024.0</v>
      </c>
      <c r="B113" s="6" t="s">
        <v>506</v>
      </c>
      <c r="C113" s="5" t="s">
        <v>510</v>
      </c>
      <c r="D113" s="7">
        <v>-64.0</v>
      </c>
      <c r="E113" s="7"/>
      <c r="F113" s="7"/>
      <c r="G113" s="7"/>
      <c r="H113" s="7"/>
      <c r="I113" s="519"/>
      <c r="J113" s="7"/>
      <c r="K113" s="519"/>
      <c r="L113" s="519"/>
      <c r="M113" s="519"/>
      <c r="N113" s="519"/>
      <c r="O113" s="519"/>
    </row>
    <row r="114" hidden="1">
      <c r="A114" s="7">
        <v>2024.0</v>
      </c>
      <c r="B114" s="6" t="s">
        <v>506</v>
      </c>
      <c r="C114" s="5" t="s">
        <v>511</v>
      </c>
      <c r="D114" s="7"/>
      <c r="E114" s="7"/>
      <c r="F114" s="7"/>
      <c r="G114" s="7"/>
      <c r="H114" s="7"/>
      <c r="I114" s="519"/>
      <c r="J114" s="7"/>
      <c r="K114" s="519"/>
      <c r="L114" s="519"/>
      <c r="M114" s="519"/>
      <c r="N114" s="519"/>
      <c r="O114" s="519"/>
    </row>
    <row r="115" hidden="1">
      <c r="A115" s="7">
        <v>2024.0</v>
      </c>
      <c r="B115" s="6" t="s">
        <v>506</v>
      </c>
      <c r="C115" s="5" t="s">
        <v>512</v>
      </c>
      <c r="D115" s="7">
        <v>-962.79</v>
      </c>
      <c r="E115" s="7"/>
      <c r="F115" s="7"/>
      <c r="G115" s="7"/>
      <c r="H115" s="7"/>
      <c r="I115" s="519"/>
      <c r="J115" s="7"/>
      <c r="K115" s="519"/>
      <c r="L115" s="519"/>
      <c r="M115" s="519"/>
      <c r="N115" s="519"/>
      <c r="O115" s="519"/>
    </row>
    <row r="116" hidden="1">
      <c r="A116" s="7">
        <v>2024.0</v>
      </c>
      <c r="B116" s="6" t="s">
        <v>506</v>
      </c>
      <c r="C116" s="5" t="s">
        <v>513</v>
      </c>
      <c r="D116" s="7"/>
      <c r="E116" s="7"/>
      <c r="F116" s="7">
        <v>-206.71</v>
      </c>
      <c r="G116" s="7"/>
      <c r="H116" s="7"/>
      <c r="I116" s="519"/>
      <c r="J116" s="7"/>
      <c r="K116" s="519"/>
      <c r="L116" s="519"/>
      <c r="M116" s="519"/>
      <c r="N116" s="519"/>
      <c r="O116" s="519"/>
    </row>
    <row r="117" hidden="1">
      <c r="A117" s="7">
        <v>2024.0</v>
      </c>
      <c r="B117" s="6" t="s">
        <v>514</v>
      </c>
      <c r="C117" s="5"/>
      <c r="D117" s="7"/>
      <c r="E117" s="7">
        <v>700.0</v>
      </c>
      <c r="F117" s="7"/>
      <c r="G117" s="7"/>
      <c r="H117" s="7"/>
      <c r="I117" s="519"/>
      <c r="J117" s="7"/>
      <c r="K117" s="519"/>
      <c r="L117" s="519"/>
      <c r="M117" s="519"/>
      <c r="N117" s="519"/>
      <c r="O117" s="519"/>
    </row>
    <row r="118" hidden="1">
      <c r="A118" s="7">
        <v>2024.0</v>
      </c>
      <c r="B118" s="6" t="s">
        <v>514</v>
      </c>
      <c r="C118" s="5" t="s">
        <v>515</v>
      </c>
      <c r="D118" s="7">
        <v>962.79</v>
      </c>
      <c r="E118" s="7"/>
      <c r="F118" s="7"/>
      <c r="G118" s="7"/>
      <c r="H118" s="7"/>
      <c r="I118" s="519"/>
      <c r="J118" s="7"/>
      <c r="K118" s="519"/>
      <c r="L118" s="519"/>
      <c r="M118" s="519"/>
      <c r="N118" s="519"/>
      <c r="O118" s="519"/>
    </row>
    <row r="119" hidden="1">
      <c r="A119" s="7">
        <v>2024.0</v>
      </c>
      <c r="B119" s="6" t="s">
        <v>514</v>
      </c>
      <c r="C119" s="5"/>
      <c r="D119" s="7"/>
      <c r="E119" s="7"/>
      <c r="F119" s="7"/>
      <c r="G119" s="7"/>
      <c r="H119" s="7"/>
      <c r="I119" s="7">
        <v>230.42</v>
      </c>
      <c r="J119" s="7"/>
      <c r="K119" s="519"/>
      <c r="L119" s="519"/>
      <c r="M119" s="519"/>
      <c r="N119" s="519"/>
      <c r="O119" s="519"/>
    </row>
    <row r="120" hidden="1">
      <c r="A120" s="7">
        <v>2024.0</v>
      </c>
      <c r="B120" s="6" t="s">
        <v>514</v>
      </c>
      <c r="C120" s="5" t="s">
        <v>516</v>
      </c>
      <c r="D120" s="7"/>
      <c r="E120" s="7"/>
      <c r="F120" s="7"/>
      <c r="G120" s="7"/>
      <c r="H120" s="7">
        <v>4222.0</v>
      </c>
      <c r="I120" s="519"/>
      <c r="J120" s="7"/>
      <c r="K120" s="519"/>
      <c r="L120" s="519"/>
      <c r="M120" s="519"/>
      <c r="N120" s="519"/>
      <c r="O120" s="519"/>
    </row>
    <row r="121" hidden="1">
      <c r="A121" s="7">
        <v>2024.0</v>
      </c>
      <c r="B121" s="6" t="s">
        <v>514</v>
      </c>
      <c r="C121" s="5"/>
      <c r="D121" s="7"/>
      <c r="E121" s="7"/>
      <c r="F121" s="7"/>
      <c r="G121" s="7"/>
      <c r="H121" s="1"/>
      <c r="I121" s="519"/>
      <c r="J121" s="7"/>
      <c r="K121" s="519"/>
      <c r="L121" s="519"/>
      <c r="M121" s="519"/>
      <c r="N121" s="519"/>
      <c r="O121" s="519"/>
    </row>
    <row r="122" hidden="1">
      <c r="A122" s="7">
        <v>2024.0</v>
      </c>
      <c r="B122" s="6" t="s">
        <v>514</v>
      </c>
      <c r="C122" s="5" t="s">
        <v>517</v>
      </c>
      <c r="D122" s="7"/>
      <c r="E122" s="7"/>
      <c r="F122" s="7"/>
      <c r="G122" s="7"/>
      <c r="H122" s="7">
        <v>6411.95</v>
      </c>
      <c r="I122" s="519"/>
      <c r="J122" s="7"/>
      <c r="K122" s="519"/>
      <c r="L122" s="519"/>
      <c r="M122" s="519"/>
      <c r="N122" s="519"/>
      <c r="O122" s="519"/>
    </row>
    <row r="123" hidden="1">
      <c r="A123" s="7">
        <v>2024.0</v>
      </c>
      <c r="B123" s="6" t="s">
        <v>514</v>
      </c>
      <c r="C123" s="5" t="s">
        <v>518</v>
      </c>
      <c r="D123" s="7"/>
      <c r="E123" s="7"/>
      <c r="F123" s="7"/>
      <c r="G123" s="7"/>
      <c r="H123" s="7">
        <v>-380.0</v>
      </c>
      <c r="I123" s="519"/>
      <c r="J123" s="7"/>
      <c r="K123" s="519"/>
      <c r="L123" s="519"/>
      <c r="M123" s="519"/>
      <c r="N123" s="519"/>
      <c r="O123" s="519"/>
    </row>
    <row r="124" hidden="1">
      <c r="A124" s="7">
        <v>2024.0</v>
      </c>
      <c r="B124" s="6" t="s">
        <v>514</v>
      </c>
      <c r="C124" s="5" t="s">
        <v>519</v>
      </c>
      <c r="D124" s="7"/>
      <c r="E124" s="7"/>
      <c r="F124" s="7"/>
      <c r="G124" s="7"/>
      <c r="H124" s="7">
        <f>-265.7+-189+-24.7</f>
        <v>-479.4</v>
      </c>
      <c r="I124" s="519"/>
      <c r="J124" s="7"/>
      <c r="K124" s="519"/>
      <c r="L124" s="519"/>
      <c r="M124" s="519"/>
      <c r="N124" s="519"/>
      <c r="O124" s="519"/>
    </row>
    <row r="125" hidden="1">
      <c r="A125" s="7">
        <v>2024.0</v>
      </c>
      <c r="B125" s="6" t="s">
        <v>514</v>
      </c>
      <c r="C125" s="5" t="s">
        <v>520</v>
      </c>
      <c r="D125" s="7"/>
      <c r="E125" s="7"/>
      <c r="F125" s="7"/>
      <c r="G125" s="7"/>
      <c r="H125" s="7">
        <v>-302.67</v>
      </c>
      <c r="I125" s="519"/>
      <c r="J125" s="7"/>
      <c r="K125" s="519"/>
      <c r="L125" s="519"/>
      <c r="M125" s="519"/>
      <c r="N125" s="519"/>
      <c r="O125" s="519"/>
    </row>
    <row r="126" hidden="1">
      <c r="A126" s="7">
        <v>2024.0</v>
      </c>
      <c r="B126" s="6" t="s">
        <v>514</v>
      </c>
      <c r="C126" s="5" t="s">
        <v>521</v>
      </c>
      <c r="D126" s="7"/>
      <c r="E126" s="7"/>
      <c r="F126" s="7"/>
      <c r="G126" s="7"/>
      <c r="H126" s="7">
        <v>-324.0</v>
      </c>
      <c r="I126" s="519"/>
      <c r="J126" s="7"/>
      <c r="K126" s="519"/>
      <c r="L126" s="519"/>
      <c r="M126" s="519"/>
      <c r="N126" s="519"/>
      <c r="O126" s="519"/>
    </row>
    <row r="127" hidden="1">
      <c r="A127" s="7">
        <v>2024.0</v>
      </c>
      <c r="B127" s="6" t="s">
        <v>514</v>
      </c>
      <c r="C127" s="545" t="s">
        <v>522</v>
      </c>
      <c r="D127" s="7"/>
      <c r="E127" s="7"/>
      <c r="F127" s="7"/>
      <c r="G127" s="7"/>
      <c r="H127" s="546"/>
      <c r="I127" s="519"/>
      <c r="J127" s="7"/>
      <c r="K127" s="519"/>
      <c r="L127" s="519"/>
      <c r="M127" s="519"/>
      <c r="N127" s="519"/>
      <c r="O127" s="519"/>
    </row>
    <row r="128" hidden="1">
      <c r="A128" s="7">
        <v>2024.0</v>
      </c>
      <c r="B128" s="6" t="s">
        <v>514</v>
      </c>
      <c r="C128" s="5" t="s">
        <v>523</v>
      </c>
      <c r="D128" s="7"/>
      <c r="E128" s="7"/>
      <c r="F128" s="7"/>
      <c r="G128" s="7"/>
      <c r="H128" s="546">
        <v>-1049.0</v>
      </c>
      <c r="I128" s="519"/>
      <c r="J128" s="7"/>
      <c r="K128" s="519"/>
      <c r="L128" s="519"/>
      <c r="M128" s="519"/>
      <c r="N128" s="519"/>
      <c r="O128" s="519"/>
    </row>
    <row r="129" hidden="1">
      <c r="A129" s="7">
        <v>2024.0</v>
      </c>
      <c r="B129" s="6" t="s">
        <v>514</v>
      </c>
      <c r="C129" s="5" t="s">
        <v>524</v>
      </c>
      <c r="D129" s="7"/>
      <c r="E129" s="7"/>
      <c r="F129" s="7"/>
      <c r="G129" s="7"/>
      <c r="H129" s="7">
        <v>-599.68</v>
      </c>
      <c r="I129" s="519"/>
      <c r="J129" s="7"/>
      <c r="K129" s="519"/>
      <c r="L129" s="519"/>
      <c r="M129" s="519"/>
      <c r="N129" s="519"/>
      <c r="O129" s="519"/>
    </row>
    <row r="130" hidden="1">
      <c r="A130" s="7">
        <v>2024.0</v>
      </c>
      <c r="B130" s="6" t="s">
        <v>514</v>
      </c>
      <c r="C130" s="5" t="s">
        <v>525</v>
      </c>
      <c r="D130" s="7"/>
      <c r="E130" s="7"/>
      <c r="F130" s="7"/>
      <c r="G130" s="7"/>
      <c r="H130" s="7">
        <v>-1500.3</v>
      </c>
      <c r="I130" s="519"/>
      <c r="J130" s="7"/>
      <c r="K130" s="519"/>
      <c r="L130" s="519"/>
      <c r="M130" s="519"/>
      <c r="N130" s="519"/>
      <c r="O130" s="519"/>
    </row>
    <row r="131" hidden="1">
      <c r="A131" s="7">
        <v>2024.0</v>
      </c>
      <c r="B131" s="6" t="s">
        <v>514</v>
      </c>
      <c r="C131" s="5" t="s">
        <v>526</v>
      </c>
      <c r="D131" s="7"/>
      <c r="E131" s="7"/>
      <c r="F131" s="7"/>
      <c r="G131" s="7"/>
      <c r="H131" s="7">
        <v>-55.0</v>
      </c>
      <c r="I131" s="519"/>
      <c r="J131" s="7"/>
      <c r="K131" s="519"/>
      <c r="L131" s="519"/>
      <c r="M131" s="519"/>
      <c r="N131" s="519"/>
      <c r="O131" s="519"/>
    </row>
    <row r="132" hidden="1">
      <c r="A132" s="7">
        <v>2024.0</v>
      </c>
      <c r="B132" s="6" t="s">
        <v>514</v>
      </c>
      <c r="C132" s="5" t="s">
        <v>527</v>
      </c>
      <c r="D132" s="7">
        <v>-63.33</v>
      </c>
      <c r="E132" s="7"/>
      <c r="F132" s="7"/>
      <c r="G132" s="7"/>
      <c r="H132" s="7"/>
      <c r="I132" s="7">
        <v>240.42</v>
      </c>
      <c r="J132" s="7"/>
      <c r="K132" s="519"/>
      <c r="L132" s="519"/>
      <c r="M132" s="519"/>
      <c r="N132" s="519"/>
      <c r="O132" s="519"/>
    </row>
    <row r="133" hidden="1">
      <c r="A133" s="7">
        <v>2024.0</v>
      </c>
      <c r="B133" s="6" t="s">
        <v>514</v>
      </c>
      <c r="C133" s="5" t="s">
        <v>228</v>
      </c>
      <c r="D133" s="7">
        <v>-35.0</v>
      </c>
      <c r="E133" s="7"/>
      <c r="F133" s="7"/>
      <c r="G133" s="7"/>
      <c r="H133" s="7"/>
      <c r="I133" s="519"/>
      <c r="J133" s="7"/>
      <c r="K133" s="519"/>
      <c r="L133" s="519"/>
      <c r="M133" s="519"/>
      <c r="N133" s="519"/>
      <c r="O133" s="519"/>
    </row>
    <row r="134" hidden="1">
      <c r="A134" s="7">
        <v>2024.0</v>
      </c>
      <c r="B134" s="6" t="s">
        <v>514</v>
      </c>
      <c r="C134" s="5" t="s">
        <v>528</v>
      </c>
      <c r="D134" s="7"/>
      <c r="E134" s="7"/>
      <c r="F134" s="7">
        <v>-29.8</v>
      </c>
      <c r="G134" s="7"/>
      <c r="H134" s="7"/>
      <c r="I134" s="519"/>
      <c r="J134" s="7"/>
      <c r="K134" s="519"/>
      <c r="L134" s="519"/>
      <c r="M134" s="519"/>
      <c r="N134" s="519"/>
      <c r="O134" s="519"/>
    </row>
    <row r="135" hidden="1">
      <c r="A135" s="7">
        <v>2024.0</v>
      </c>
      <c r="B135" s="6" t="s">
        <v>514</v>
      </c>
      <c r="C135" s="5" t="s">
        <v>529</v>
      </c>
      <c r="D135" s="7"/>
      <c r="E135" s="7"/>
      <c r="F135" s="7">
        <v>-263.49</v>
      </c>
      <c r="G135" s="7"/>
      <c r="H135" s="7"/>
      <c r="I135" s="7">
        <v>-340.01</v>
      </c>
      <c r="J135" s="7"/>
      <c r="K135" s="519"/>
      <c r="L135" s="519"/>
      <c r="M135" s="519"/>
      <c r="N135" s="519"/>
      <c r="O135" s="519"/>
    </row>
    <row r="136" hidden="1">
      <c r="A136" s="7">
        <v>2024.0</v>
      </c>
      <c r="B136" s="6" t="s">
        <v>514</v>
      </c>
      <c r="C136" s="5" t="s">
        <v>530</v>
      </c>
      <c r="D136" s="7"/>
      <c r="E136" s="7"/>
      <c r="F136" s="7"/>
      <c r="G136" s="7"/>
      <c r="H136" s="7">
        <v>-740.0</v>
      </c>
      <c r="I136" s="519"/>
      <c r="J136" s="7"/>
      <c r="K136" s="519"/>
      <c r="L136" s="519"/>
      <c r="M136" s="519"/>
      <c r="N136" s="519"/>
      <c r="O136" s="519"/>
    </row>
    <row r="137" hidden="1">
      <c r="A137" s="7">
        <v>2024.0</v>
      </c>
      <c r="B137" s="6" t="s">
        <v>514</v>
      </c>
      <c r="C137" s="5" t="s">
        <v>531</v>
      </c>
      <c r="D137" s="7"/>
      <c r="E137" s="7"/>
      <c r="F137" s="7"/>
      <c r="G137" s="7"/>
      <c r="H137" s="7">
        <v>-326.4</v>
      </c>
      <c r="I137" s="519"/>
      <c r="J137" s="7"/>
      <c r="K137" s="519"/>
      <c r="L137" s="519"/>
      <c r="M137" s="519"/>
      <c r="N137" s="519"/>
      <c r="O137" s="519"/>
    </row>
    <row r="138" hidden="1">
      <c r="A138" s="7">
        <v>2024.0</v>
      </c>
      <c r="B138" s="6" t="s">
        <v>514</v>
      </c>
      <c r="C138" s="18" t="s">
        <v>532</v>
      </c>
      <c r="D138" s="7"/>
      <c r="E138" s="7"/>
      <c r="F138" s="7"/>
      <c r="G138" s="7"/>
      <c r="H138" s="7">
        <v>-351.9</v>
      </c>
      <c r="I138" s="519"/>
      <c r="J138" s="7"/>
      <c r="K138" s="519"/>
      <c r="L138" s="519"/>
      <c r="M138" s="519"/>
      <c r="N138" s="519"/>
      <c r="O138" s="519"/>
    </row>
    <row r="139" hidden="1">
      <c r="A139" s="7">
        <v>2024.0</v>
      </c>
      <c r="B139" s="6" t="s">
        <v>514</v>
      </c>
      <c r="C139" s="5" t="s">
        <v>3</v>
      </c>
      <c r="D139" s="7"/>
      <c r="E139" s="7"/>
      <c r="F139" s="7"/>
      <c r="G139" s="7"/>
      <c r="H139" s="7"/>
      <c r="I139" s="519"/>
      <c r="J139" s="7"/>
      <c r="K139" s="519"/>
      <c r="L139" s="7">
        <v>5000.0</v>
      </c>
      <c r="M139" s="7"/>
      <c r="N139" s="7"/>
      <c r="O139" s="7"/>
    </row>
    <row r="140" hidden="1">
      <c r="A140" s="7">
        <v>2024.0</v>
      </c>
      <c r="B140" s="6" t="s">
        <v>436</v>
      </c>
      <c r="C140" s="5" t="s">
        <v>515</v>
      </c>
      <c r="D140" s="7">
        <v>962.79</v>
      </c>
      <c r="E140" s="7">
        <v>700.0</v>
      </c>
      <c r="F140" s="7"/>
      <c r="G140" s="7"/>
      <c r="H140" s="7"/>
      <c r="I140" s="519"/>
      <c r="J140" s="7"/>
      <c r="K140" s="519"/>
      <c r="L140" s="519"/>
      <c r="M140" s="519"/>
      <c r="N140" s="519"/>
      <c r="O140" s="519"/>
    </row>
    <row r="141" hidden="1">
      <c r="A141" s="7">
        <v>2024.0</v>
      </c>
      <c r="B141" s="6" t="s">
        <v>436</v>
      </c>
      <c r="C141" s="5" t="s">
        <v>533</v>
      </c>
      <c r="D141" s="7">
        <v>-960.54</v>
      </c>
      <c r="E141" s="7"/>
      <c r="F141" s="7"/>
      <c r="G141" s="7"/>
      <c r="H141" s="7"/>
      <c r="I141" s="519"/>
      <c r="J141" s="7"/>
      <c r="K141" s="519"/>
      <c r="L141" s="519"/>
      <c r="M141" s="519"/>
      <c r="N141" s="519"/>
      <c r="O141" s="519"/>
    </row>
    <row r="142" hidden="1">
      <c r="A142" s="7">
        <v>2024.0</v>
      </c>
      <c r="B142" s="6" t="s">
        <v>436</v>
      </c>
      <c r="C142" s="5"/>
      <c r="D142" s="7"/>
      <c r="E142" s="7"/>
      <c r="F142" s="7"/>
      <c r="G142" s="7"/>
      <c r="H142" s="7"/>
      <c r="I142" s="519"/>
      <c r="J142" s="7"/>
      <c r="K142" s="519"/>
      <c r="L142" s="7">
        <v>500.0</v>
      </c>
      <c r="M142" s="7"/>
      <c r="N142" s="7"/>
      <c r="O142" s="7"/>
    </row>
    <row r="143" hidden="1">
      <c r="A143" s="7">
        <v>2024.0</v>
      </c>
      <c r="B143" s="6" t="s">
        <v>436</v>
      </c>
      <c r="C143" s="5" t="s">
        <v>534</v>
      </c>
      <c r="D143" s="7"/>
      <c r="E143" s="7"/>
      <c r="F143" s="7"/>
      <c r="G143" s="7"/>
      <c r="H143" s="7">
        <v>-579.8</v>
      </c>
      <c r="I143" s="519"/>
      <c r="J143" s="7"/>
      <c r="K143" s="519"/>
      <c r="L143" s="519"/>
      <c r="M143" s="519"/>
      <c r="N143" s="519"/>
      <c r="O143" s="519"/>
    </row>
    <row r="144" hidden="1">
      <c r="A144" s="7">
        <v>2024.0</v>
      </c>
      <c r="B144" s="6" t="s">
        <v>436</v>
      </c>
      <c r="C144" s="5" t="s">
        <v>535</v>
      </c>
      <c r="D144" s="7"/>
      <c r="E144" s="7"/>
      <c r="F144" s="7"/>
      <c r="G144" s="7"/>
      <c r="H144" s="7">
        <v>-208.0</v>
      </c>
      <c r="I144" s="519"/>
      <c r="J144" s="7"/>
      <c r="K144" s="519"/>
      <c r="L144" s="519"/>
      <c r="M144" s="519"/>
      <c r="N144" s="519"/>
      <c r="O144" s="519"/>
    </row>
    <row r="145" hidden="1">
      <c r="A145" s="7">
        <v>2024.0</v>
      </c>
      <c r="B145" s="6" t="s">
        <v>436</v>
      </c>
      <c r="C145" s="5" t="s">
        <v>536</v>
      </c>
      <c r="D145" s="7"/>
      <c r="E145" s="7"/>
      <c r="F145" s="7"/>
      <c r="G145" s="7"/>
      <c r="H145" s="7"/>
      <c r="I145" s="519"/>
      <c r="J145" s="7">
        <v>7686.0</v>
      </c>
      <c r="K145" s="519"/>
      <c r="L145" s="519"/>
      <c r="M145" s="519"/>
      <c r="N145" s="519"/>
      <c r="O145" s="519"/>
    </row>
    <row r="146" hidden="1">
      <c r="A146" s="7">
        <v>2024.0</v>
      </c>
      <c r="B146" s="6" t="s">
        <v>436</v>
      </c>
      <c r="C146" s="5"/>
      <c r="D146" s="7"/>
      <c r="E146" s="7"/>
      <c r="F146" s="7"/>
      <c r="G146" s="7"/>
      <c r="H146" s="7"/>
      <c r="I146" s="519"/>
      <c r="J146" s="7"/>
      <c r="K146" s="519"/>
      <c r="L146" s="519"/>
      <c r="M146" s="519"/>
      <c r="N146" s="519"/>
      <c r="O146" s="519"/>
    </row>
    <row r="147" hidden="1">
      <c r="A147" s="7">
        <v>2024.0</v>
      </c>
      <c r="B147" s="6" t="s">
        <v>436</v>
      </c>
      <c r="C147" s="5" t="s">
        <v>537</v>
      </c>
      <c r="D147" s="7"/>
      <c r="E147" s="7"/>
      <c r="F147" s="7"/>
      <c r="G147" s="7"/>
      <c r="H147" s="7">
        <v>-111.61</v>
      </c>
      <c r="I147" s="519"/>
      <c r="J147" s="7"/>
      <c r="K147" s="519"/>
      <c r="L147" s="519"/>
      <c r="M147" s="519"/>
      <c r="N147" s="519"/>
      <c r="O147" s="519"/>
    </row>
    <row r="148" hidden="1">
      <c r="A148" s="7">
        <v>2024.0</v>
      </c>
      <c r="B148" s="6" t="s">
        <v>436</v>
      </c>
      <c r="C148" s="5" t="s">
        <v>538</v>
      </c>
      <c r="D148" s="7"/>
      <c r="E148" s="7"/>
      <c r="F148" s="7"/>
      <c r="G148" s="7"/>
      <c r="H148" s="7">
        <v>-50.0</v>
      </c>
      <c r="I148" s="519"/>
      <c r="J148" s="7"/>
      <c r="K148" s="519"/>
      <c r="L148" s="519"/>
      <c r="M148" s="519"/>
      <c r="N148" s="519"/>
      <c r="O148" s="519"/>
    </row>
    <row r="149" hidden="1">
      <c r="A149" s="7">
        <v>2024.0</v>
      </c>
      <c r="B149" s="6" t="s">
        <v>436</v>
      </c>
      <c r="C149" s="5" t="s">
        <v>539</v>
      </c>
      <c r="D149" s="7"/>
      <c r="E149" s="7"/>
      <c r="F149" s="7"/>
      <c r="G149" s="7"/>
      <c r="H149" s="7">
        <v>-31.6</v>
      </c>
      <c r="I149" s="519"/>
      <c r="J149" s="7"/>
      <c r="K149" s="519"/>
      <c r="L149" s="519"/>
      <c r="M149" s="519"/>
      <c r="N149" s="519"/>
      <c r="O149" s="519"/>
    </row>
    <row r="150" hidden="1">
      <c r="A150" s="7">
        <v>2024.0</v>
      </c>
      <c r="B150" s="6" t="s">
        <v>436</v>
      </c>
      <c r="C150" s="5" t="s">
        <v>540</v>
      </c>
      <c r="D150" s="7"/>
      <c r="E150" s="7"/>
      <c r="F150" s="7"/>
      <c r="G150" s="7"/>
      <c r="H150" s="7"/>
      <c r="I150" s="519"/>
      <c r="J150" s="7">
        <v>11742.5</v>
      </c>
      <c r="K150" s="519"/>
      <c r="L150" s="519"/>
      <c r="M150" s="519"/>
      <c r="N150" s="519"/>
      <c r="O150" s="519"/>
    </row>
    <row r="151" hidden="1">
      <c r="A151" s="7">
        <v>2024.0</v>
      </c>
      <c r="B151" s="6" t="s">
        <v>436</v>
      </c>
      <c r="C151" s="5" t="s">
        <v>541</v>
      </c>
      <c r="D151" s="7"/>
      <c r="E151" s="7"/>
      <c r="F151" s="7"/>
      <c r="G151" s="7"/>
      <c r="H151" s="7"/>
      <c r="I151" s="519"/>
      <c r="J151" s="7">
        <v>-4005.25</v>
      </c>
      <c r="K151" s="519"/>
      <c r="L151" s="519"/>
      <c r="M151" s="519"/>
      <c r="N151" s="519"/>
      <c r="O151" s="519"/>
    </row>
    <row r="152" hidden="1">
      <c r="A152" s="7">
        <v>2024.0</v>
      </c>
      <c r="B152" s="6" t="s">
        <v>436</v>
      </c>
      <c r="C152" s="5" t="s">
        <v>542</v>
      </c>
      <c r="D152" s="7"/>
      <c r="E152" s="7"/>
      <c r="F152" s="7"/>
      <c r="G152" s="7"/>
      <c r="H152" s="7"/>
      <c r="I152" s="519"/>
      <c r="J152" s="7">
        <v>-504.82</v>
      </c>
      <c r="K152" s="519"/>
      <c r="L152" s="519"/>
      <c r="M152" s="519"/>
      <c r="N152" s="519"/>
      <c r="O152" s="519"/>
    </row>
    <row r="153" hidden="1">
      <c r="A153" s="7">
        <v>2024.0</v>
      </c>
      <c r="B153" s="6" t="s">
        <v>436</v>
      </c>
      <c r="C153" s="5" t="s">
        <v>543</v>
      </c>
      <c r="D153" s="7"/>
      <c r="E153" s="7"/>
      <c r="F153" s="7"/>
      <c r="G153" s="7"/>
      <c r="H153" s="7"/>
      <c r="I153" s="519"/>
      <c r="J153" s="7"/>
      <c r="K153" s="519"/>
      <c r="L153" s="7">
        <v>-894.0</v>
      </c>
      <c r="M153" s="7"/>
      <c r="N153" s="7"/>
      <c r="O153" s="7"/>
    </row>
    <row r="154" hidden="1">
      <c r="A154" s="7">
        <v>2024.0</v>
      </c>
      <c r="B154" s="6" t="s">
        <v>436</v>
      </c>
      <c r="C154" s="5" t="s">
        <v>527</v>
      </c>
      <c r="D154" s="7">
        <v>-63.33</v>
      </c>
      <c r="E154" s="7"/>
      <c r="F154" s="7"/>
      <c r="G154" s="7"/>
      <c r="H154" s="7"/>
      <c r="I154" s="519"/>
      <c r="J154" s="7"/>
      <c r="K154" s="519"/>
      <c r="L154" s="519"/>
      <c r="M154" s="519"/>
      <c r="N154" s="7"/>
      <c r="O154" s="7"/>
    </row>
    <row r="155" hidden="1">
      <c r="A155" s="7">
        <v>2024.0</v>
      </c>
      <c r="B155" s="6" t="s">
        <v>436</v>
      </c>
      <c r="C155" s="5" t="s">
        <v>544</v>
      </c>
      <c r="D155" s="7"/>
      <c r="E155" s="7"/>
      <c r="F155" s="7"/>
      <c r="G155" s="7"/>
      <c r="H155" s="7"/>
      <c r="I155" s="519"/>
      <c r="J155" s="7"/>
      <c r="K155" s="519"/>
      <c r="L155" s="519"/>
      <c r="M155" s="519"/>
      <c r="N155" s="7">
        <v>9867.0</v>
      </c>
      <c r="O155" s="7"/>
    </row>
    <row r="156" hidden="1">
      <c r="A156" s="7">
        <v>2024.0</v>
      </c>
      <c r="B156" s="6" t="s">
        <v>436</v>
      </c>
      <c r="C156" s="5" t="s">
        <v>545</v>
      </c>
      <c r="D156" s="7"/>
      <c r="E156" s="7"/>
      <c r="F156" s="7"/>
      <c r="G156" s="7"/>
      <c r="H156" s="7"/>
      <c r="I156" s="519"/>
      <c r="J156" s="7">
        <v>-6704.15</v>
      </c>
      <c r="K156" s="519"/>
      <c r="L156" s="519"/>
      <c r="M156" s="519"/>
      <c r="N156" s="519"/>
      <c r="O156" s="519"/>
    </row>
    <row r="157" hidden="1">
      <c r="A157" s="7">
        <v>2024.0</v>
      </c>
      <c r="B157" s="6" t="s">
        <v>436</v>
      </c>
      <c r="C157" s="5" t="s">
        <v>546</v>
      </c>
      <c r="D157" s="7"/>
      <c r="E157" s="7"/>
      <c r="F157" s="7"/>
      <c r="G157" s="7"/>
      <c r="H157" s="7">
        <v>312.98</v>
      </c>
      <c r="I157" s="519"/>
      <c r="J157" s="7"/>
      <c r="K157" s="519"/>
      <c r="L157" s="519"/>
      <c r="M157" s="519"/>
      <c r="N157" s="519"/>
      <c r="O157" s="519"/>
    </row>
    <row r="158" hidden="1">
      <c r="A158" s="7">
        <v>2025.0</v>
      </c>
      <c r="B158" s="6" t="s">
        <v>396</v>
      </c>
      <c r="C158" s="5" t="s">
        <v>547</v>
      </c>
      <c r="D158" s="7"/>
      <c r="E158" s="7"/>
      <c r="F158" s="7"/>
      <c r="G158" s="7"/>
      <c r="H158" s="7"/>
      <c r="I158" s="519"/>
      <c r="J158" s="7">
        <v>-270.0</v>
      </c>
      <c r="K158" s="519"/>
      <c r="L158" s="519"/>
      <c r="M158" s="519"/>
      <c r="N158" s="519"/>
      <c r="O158" s="519"/>
    </row>
    <row r="159" hidden="1">
      <c r="A159" s="7">
        <v>2025.0</v>
      </c>
      <c r="B159" s="6" t="s">
        <v>396</v>
      </c>
      <c r="C159" s="5" t="s">
        <v>548</v>
      </c>
      <c r="D159" s="7"/>
      <c r="E159" s="7"/>
      <c r="F159" s="7"/>
      <c r="G159" s="7"/>
      <c r="H159" s="7">
        <v>-1767.57</v>
      </c>
      <c r="I159" s="519"/>
      <c r="J159" s="7"/>
      <c r="K159" s="519"/>
      <c r="L159" s="519"/>
      <c r="M159" s="519"/>
      <c r="N159" s="519"/>
      <c r="O159" s="519"/>
    </row>
    <row r="160" hidden="1">
      <c r="A160" s="7">
        <v>2025.0</v>
      </c>
      <c r="B160" s="6" t="s">
        <v>396</v>
      </c>
      <c r="C160" s="5" t="s">
        <v>549</v>
      </c>
      <c r="D160" s="7"/>
      <c r="E160" s="7"/>
      <c r="F160" s="7"/>
      <c r="G160" s="7"/>
      <c r="H160" s="7"/>
      <c r="I160" s="519"/>
      <c r="J160" s="7">
        <v>-3232.43</v>
      </c>
      <c r="K160" s="519"/>
      <c r="L160" s="519"/>
      <c r="M160" s="519"/>
      <c r="N160" s="519"/>
      <c r="O160" s="519"/>
    </row>
    <row r="161" hidden="1">
      <c r="A161" s="7">
        <v>2025.0</v>
      </c>
      <c r="B161" s="6" t="s">
        <v>396</v>
      </c>
      <c r="C161" s="5"/>
      <c r="D161" s="7"/>
      <c r="E161" s="7">
        <v>700.0</v>
      </c>
      <c r="F161" s="7"/>
      <c r="G161" s="7"/>
      <c r="H161" s="7"/>
      <c r="I161" s="519"/>
      <c r="J161" s="7"/>
      <c r="K161" s="519"/>
      <c r="L161" s="519"/>
      <c r="M161" s="519"/>
      <c r="N161" s="519"/>
      <c r="O161" s="519"/>
    </row>
    <row r="162" hidden="1">
      <c r="A162" s="7">
        <v>2025.0</v>
      </c>
      <c r="B162" s="6" t="s">
        <v>396</v>
      </c>
      <c r="C162" s="5" t="s">
        <v>515</v>
      </c>
      <c r="D162" s="7">
        <v>962.79</v>
      </c>
      <c r="E162" s="7"/>
      <c r="F162" s="7"/>
      <c r="G162" s="7"/>
      <c r="H162" s="7"/>
      <c r="I162" s="519"/>
      <c r="J162" s="7"/>
      <c r="K162" s="519"/>
      <c r="L162" s="519"/>
      <c r="M162" s="519"/>
      <c r="N162" s="519"/>
      <c r="O162" s="519"/>
    </row>
    <row r="163" hidden="1">
      <c r="A163" s="7">
        <v>2025.0</v>
      </c>
      <c r="B163" s="6" t="s">
        <v>396</v>
      </c>
      <c r="C163" s="5"/>
      <c r="D163" s="7"/>
      <c r="E163" s="7"/>
      <c r="F163" s="7"/>
      <c r="G163" s="7"/>
      <c r="H163" s="7"/>
      <c r="I163" s="519"/>
      <c r="J163" s="7"/>
      <c r="K163" s="519"/>
      <c r="L163" s="7">
        <v>500.0</v>
      </c>
      <c r="M163" s="519"/>
      <c r="N163" s="519"/>
      <c r="O163" s="519"/>
    </row>
    <row r="164" hidden="1">
      <c r="A164" s="7">
        <v>2025.0</v>
      </c>
      <c r="B164" s="6" t="s">
        <v>396</v>
      </c>
      <c r="C164" s="5" t="s">
        <v>533</v>
      </c>
      <c r="D164" s="7">
        <v>-960.54</v>
      </c>
      <c r="E164" s="7"/>
      <c r="F164" s="7"/>
      <c r="G164" s="7"/>
      <c r="H164" s="7"/>
      <c r="I164" s="519"/>
      <c r="J164" s="7"/>
      <c r="K164" s="519"/>
      <c r="L164" s="519"/>
      <c r="M164" s="519"/>
      <c r="N164" s="519"/>
      <c r="O164" s="519"/>
    </row>
    <row r="165" hidden="1">
      <c r="A165" s="7">
        <v>2025.0</v>
      </c>
      <c r="B165" s="6" t="s">
        <v>396</v>
      </c>
      <c r="C165" s="5" t="s">
        <v>550</v>
      </c>
      <c r="D165" s="7"/>
      <c r="E165" s="7"/>
      <c r="F165" s="7"/>
      <c r="G165" s="7"/>
      <c r="H165" s="7"/>
      <c r="I165" s="519"/>
      <c r="J165" s="7"/>
      <c r="K165" s="519"/>
      <c r="L165" s="519"/>
      <c r="M165" s="7">
        <v>50.0</v>
      </c>
      <c r="N165" s="519"/>
      <c r="O165" s="519"/>
    </row>
    <row r="166" hidden="1">
      <c r="A166" s="7">
        <v>2025.0</v>
      </c>
      <c r="B166" s="6" t="s">
        <v>396</v>
      </c>
      <c r="C166" s="5" t="s">
        <v>551</v>
      </c>
      <c r="D166" s="7"/>
      <c r="E166" s="7"/>
      <c r="F166" s="7"/>
      <c r="G166" s="7"/>
      <c r="H166" s="7"/>
      <c r="I166" s="519"/>
      <c r="J166" s="7"/>
      <c r="K166" s="519"/>
      <c r="L166" s="519"/>
      <c r="M166" s="7">
        <v>50.0</v>
      </c>
      <c r="N166" s="519"/>
      <c r="O166" s="519"/>
    </row>
    <row r="167" hidden="1">
      <c r="A167" s="7">
        <v>2025.0</v>
      </c>
      <c r="B167" s="6" t="s">
        <v>396</v>
      </c>
      <c r="C167" s="5"/>
      <c r="D167" s="7"/>
      <c r="E167" s="7"/>
      <c r="F167" s="7"/>
      <c r="G167" s="7"/>
      <c r="H167" s="7"/>
      <c r="I167" s="7">
        <f>330.52-0.25</f>
        <v>330.27</v>
      </c>
      <c r="J167" s="7"/>
      <c r="K167" s="519"/>
      <c r="L167" s="519"/>
      <c r="M167" s="519"/>
      <c r="N167" s="519"/>
      <c r="O167" s="519"/>
    </row>
    <row r="168" hidden="1">
      <c r="A168" s="7">
        <v>2025.0</v>
      </c>
      <c r="B168" s="6" t="s">
        <v>396</v>
      </c>
      <c r="C168" s="5" t="s">
        <v>552</v>
      </c>
      <c r="D168" s="7"/>
      <c r="E168" s="7"/>
      <c r="F168" s="7"/>
      <c r="G168" s="7"/>
      <c r="H168" s="7">
        <v>-385.2</v>
      </c>
      <c r="I168" s="519"/>
      <c r="J168" s="7"/>
      <c r="K168" s="519"/>
      <c r="L168" s="519"/>
      <c r="M168" s="519"/>
      <c r="N168" s="519"/>
      <c r="O168" s="519"/>
    </row>
    <row r="169" hidden="1">
      <c r="A169" s="7">
        <v>2025.0</v>
      </c>
      <c r="B169" s="6" t="s">
        <v>396</v>
      </c>
      <c r="C169" s="5" t="s">
        <v>553</v>
      </c>
      <c r="D169" s="7"/>
      <c r="E169" s="7"/>
      <c r="F169" s="7"/>
      <c r="G169" s="7"/>
      <c r="H169" s="7"/>
      <c r="I169" s="519"/>
      <c r="J169" s="7"/>
      <c r="K169" s="519"/>
      <c r="L169" s="519"/>
      <c r="M169" s="519"/>
      <c r="N169" s="7">
        <v>-710.0</v>
      </c>
      <c r="O169" s="7"/>
    </row>
    <row r="170" hidden="1">
      <c r="A170" s="7">
        <v>2025.0</v>
      </c>
      <c r="B170" s="6" t="s">
        <v>396</v>
      </c>
      <c r="C170" s="5" t="s">
        <v>554</v>
      </c>
      <c r="D170" s="7"/>
      <c r="E170" s="7"/>
      <c r="F170" s="7"/>
      <c r="G170" s="7"/>
      <c r="H170" s="7"/>
      <c r="I170" s="519"/>
      <c r="J170" s="7"/>
      <c r="K170" s="519"/>
      <c r="L170" s="519"/>
      <c r="M170" s="519"/>
      <c r="N170" s="7">
        <v>-157.0</v>
      </c>
      <c r="O170" s="7"/>
    </row>
    <row r="171" hidden="1">
      <c r="A171" s="7">
        <v>2025.0</v>
      </c>
      <c r="B171" s="6" t="s">
        <v>396</v>
      </c>
      <c r="C171" s="5" t="s">
        <v>527</v>
      </c>
      <c r="D171" s="7">
        <v>-63.13</v>
      </c>
      <c r="E171" s="7"/>
      <c r="F171" s="7"/>
      <c r="G171" s="7"/>
      <c r="H171" s="7"/>
      <c r="I171" s="519"/>
      <c r="J171" s="7"/>
      <c r="K171" s="519"/>
      <c r="L171" s="519"/>
      <c r="M171" s="519"/>
      <c r="N171" s="519"/>
      <c r="O171" s="519"/>
    </row>
    <row r="172" hidden="1">
      <c r="A172" s="7">
        <v>2025.0</v>
      </c>
      <c r="B172" s="6" t="s">
        <v>396</v>
      </c>
      <c r="C172" s="5"/>
      <c r="D172" s="7"/>
      <c r="E172" s="7"/>
      <c r="F172" s="7"/>
      <c r="G172" s="7"/>
      <c r="H172" s="7"/>
      <c r="I172" s="519"/>
      <c r="J172" s="7"/>
      <c r="K172" s="519"/>
      <c r="L172" s="519"/>
      <c r="M172" s="519"/>
      <c r="N172" s="519"/>
      <c r="O172" s="519"/>
    </row>
    <row r="173" hidden="1">
      <c r="A173" s="7">
        <v>2025.0</v>
      </c>
      <c r="B173" s="6" t="s">
        <v>396</v>
      </c>
      <c r="C173" s="5" t="s">
        <v>555</v>
      </c>
      <c r="D173" s="7"/>
      <c r="E173" s="7"/>
      <c r="F173" s="7"/>
      <c r="G173" s="7"/>
      <c r="H173" s="7">
        <v>-272.67</v>
      </c>
      <c r="I173" s="519"/>
      <c r="J173" s="1"/>
      <c r="K173" s="519"/>
      <c r="L173" s="519"/>
      <c r="M173" s="519"/>
      <c r="N173" s="519"/>
      <c r="O173" s="519"/>
    </row>
    <row r="174" hidden="1">
      <c r="A174" s="7">
        <v>2025.0</v>
      </c>
      <c r="B174" s="6" t="s">
        <v>396</v>
      </c>
      <c r="C174" s="5" t="s">
        <v>556</v>
      </c>
      <c r="D174" s="7"/>
      <c r="E174" s="7"/>
      <c r="F174" s="7"/>
      <c r="G174" s="7"/>
      <c r="H174" s="7">
        <f>-(270+68+279)</f>
        <v>-617</v>
      </c>
      <c r="I174" s="519"/>
      <c r="J174" s="1"/>
      <c r="K174" s="519"/>
      <c r="L174" s="519"/>
      <c r="M174" s="519"/>
      <c r="N174" s="519"/>
      <c r="O174" s="519"/>
    </row>
    <row r="175" hidden="1">
      <c r="A175" s="7">
        <v>2025.0</v>
      </c>
      <c r="B175" s="6" t="s">
        <v>414</v>
      </c>
      <c r="C175" s="5"/>
      <c r="D175" s="7"/>
      <c r="E175" s="7">
        <v>700.0</v>
      </c>
      <c r="F175" s="7"/>
      <c r="G175" s="7"/>
      <c r="H175" s="7"/>
      <c r="I175" s="519"/>
      <c r="J175" s="7"/>
      <c r="K175" s="519"/>
      <c r="L175" s="519"/>
      <c r="M175" s="519"/>
      <c r="N175" s="519"/>
      <c r="O175" s="519"/>
    </row>
    <row r="176" hidden="1">
      <c r="A176" s="7">
        <v>2025.0</v>
      </c>
      <c r="B176" s="6" t="s">
        <v>414</v>
      </c>
      <c r="C176" s="5" t="s">
        <v>557</v>
      </c>
      <c r="D176" s="7">
        <v>962.79</v>
      </c>
      <c r="E176" s="7"/>
      <c r="F176" s="7"/>
      <c r="G176" s="7"/>
      <c r="H176" s="7"/>
      <c r="I176" s="519"/>
      <c r="J176" s="7"/>
      <c r="K176" s="519"/>
      <c r="L176" s="519"/>
      <c r="M176" s="519"/>
      <c r="N176" s="519"/>
      <c r="O176" s="519"/>
    </row>
    <row r="177" hidden="1">
      <c r="A177" s="7">
        <v>2025.0</v>
      </c>
      <c r="B177" s="6" t="s">
        <v>414</v>
      </c>
      <c r="C177" s="5" t="s">
        <v>558</v>
      </c>
      <c r="D177" s="7">
        <v>-960.54</v>
      </c>
      <c r="E177" s="7"/>
      <c r="F177" s="7"/>
      <c r="G177" s="7"/>
      <c r="H177" s="7"/>
      <c r="I177" s="519"/>
      <c r="J177" s="7"/>
      <c r="K177" s="519"/>
      <c r="L177" s="519"/>
      <c r="M177" s="519"/>
      <c r="N177" s="519"/>
      <c r="O177" s="519"/>
    </row>
    <row r="178" hidden="1">
      <c r="A178" s="7">
        <v>2025.0</v>
      </c>
      <c r="B178" s="6" t="s">
        <v>414</v>
      </c>
      <c r="C178" s="5"/>
      <c r="D178" s="7"/>
      <c r="E178" s="7"/>
      <c r="F178" s="7"/>
      <c r="G178" s="7"/>
      <c r="H178" s="7"/>
      <c r="I178" s="7">
        <v>349.13</v>
      </c>
      <c r="J178" s="7"/>
      <c r="K178" s="519"/>
      <c r="L178" s="7">
        <v>500.0</v>
      </c>
      <c r="M178" s="519"/>
      <c r="N178" s="519"/>
      <c r="O178" s="519"/>
    </row>
    <row r="179" hidden="1">
      <c r="A179" s="7">
        <v>2025.0</v>
      </c>
      <c r="B179" s="6" t="s">
        <v>414</v>
      </c>
      <c r="C179" s="5" t="s">
        <v>559</v>
      </c>
      <c r="D179" s="7"/>
      <c r="E179" s="7"/>
      <c r="F179" s="7"/>
      <c r="G179" s="7"/>
      <c r="H179" s="7"/>
      <c r="I179" s="7">
        <v>-319.68</v>
      </c>
      <c r="J179" s="7"/>
      <c r="K179" s="519"/>
      <c r="L179" s="519"/>
      <c r="M179" s="519"/>
      <c r="N179" s="519"/>
      <c r="O179" s="519"/>
    </row>
    <row r="180" hidden="1">
      <c r="A180" s="7">
        <v>2025.0</v>
      </c>
      <c r="B180" s="6" t="s">
        <v>414</v>
      </c>
      <c r="C180" s="5" t="s">
        <v>527</v>
      </c>
      <c r="D180" s="7">
        <v>-62.57</v>
      </c>
      <c r="E180" s="7"/>
      <c r="F180" s="7"/>
      <c r="G180" s="7"/>
      <c r="H180" s="7"/>
      <c r="I180" s="519"/>
      <c r="J180" s="7"/>
      <c r="K180" s="519"/>
      <c r="L180" s="519"/>
      <c r="M180" s="519"/>
      <c r="N180" s="519"/>
      <c r="O180" s="519"/>
    </row>
    <row r="181" hidden="1">
      <c r="A181" s="7">
        <v>2025.0</v>
      </c>
      <c r="B181" s="6" t="s">
        <v>414</v>
      </c>
      <c r="C181" s="5" t="s">
        <v>560</v>
      </c>
      <c r="D181" s="7"/>
      <c r="E181" s="7"/>
      <c r="F181" s="7"/>
      <c r="G181" s="7"/>
      <c r="H181" s="7"/>
      <c r="I181" s="519"/>
      <c r="J181" s="7">
        <v>-3415.76</v>
      </c>
      <c r="K181" s="519"/>
      <c r="L181" s="519"/>
      <c r="M181" s="519"/>
      <c r="N181" s="519"/>
      <c r="O181" s="519"/>
    </row>
    <row r="182" hidden="1">
      <c r="A182" s="7">
        <v>2025.0</v>
      </c>
      <c r="B182" s="6" t="s">
        <v>414</v>
      </c>
      <c r="C182" s="5" t="s">
        <v>561</v>
      </c>
      <c r="D182" s="7"/>
      <c r="E182" s="7"/>
      <c r="F182" s="7"/>
      <c r="G182" s="7"/>
      <c r="H182" s="7">
        <v>-193.9</v>
      </c>
      <c r="I182" s="1"/>
      <c r="J182" s="7"/>
      <c r="K182" s="519"/>
      <c r="L182" s="519"/>
      <c r="M182" s="519"/>
      <c r="N182" s="519"/>
      <c r="O182" s="519"/>
    </row>
    <row r="183" hidden="1">
      <c r="A183" s="7">
        <v>2025.0</v>
      </c>
      <c r="B183" s="6" t="s">
        <v>414</v>
      </c>
      <c r="C183" s="5" t="s">
        <v>562</v>
      </c>
      <c r="D183" s="7"/>
      <c r="E183" s="7"/>
      <c r="F183" s="7"/>
      <c r="G183" s="7"/>
      <c r="H183" s="7">
        <v>-299.44</v>
      </c>
      <c r="I183" s="519"/>
      <c r="J183" s="7"/>
      <c r="K183" s="519"/>
      <c r="L183" s="519"/>
      <c r="M183" s="519"/>
      <c r="N183" s="519"/>
      <c r="O183" s="519"/>
    </row>
    <row r="184" hidden="1">
      <c r="A184" s="7">
        <v>2025.0</v>
      </c>
      <c r="B184" s="6" t="s">
        <v>414</v>
      </c>
      <c r="C184" s="5" t="s">
        <v>563</v>
      </c>
      <c r="D184" s="7"/>
      <c r="E184" s="7"/>
      <c r="F184" s="7"/>
      <c r="G184" s="7"/>
      <c r="H184" s="7">
        <v>-128.0</v>
      </c>
      <c r="I184" s="519"/>
      <c r="J184" s="7"/>
      <c r="K184" s="519"/>
      <c r="L184" s="519"/>
      <c r="M184" s="519"/>
      <c r="N184" s="519"/>
      <c r="O184" s="519"/>
      <c r="Q184" s="12">
        <f>24931.41</f>
        <v>24931.41</v>
      </c>
    </row>
    <row r="185" hidden="1">
      <c r="A185" s="7">
        <v>2025.0</v>
      </c>
      <c r="B185" s="6" t="s">
        <v>414</v>
      </c>
      <c r="C185" s="5"/>
      <c r="D185" s="7"/>
      <c r="E185" s="7"/>
      <c r="F185" s="7"/>
      <c r="G185" s="7"/>
      <c r="H185" s="7"/>
      <c r="I185" s="7">
        <v>299.1</v>
      </c>
      <c r="J185" s="7"/>
      <c r="K185" s="519"/>
      <c r="L185" s="519"/>
      <c r="M185" s="519"/>
      <c r="N185" s="519"/>
      <c r="O185" s="519"/>
      <c r="Q185" s="18">
        <v>8473.39</v>
      </c>
    </row>
    <row r="186" hidden="1">
      <c r="A186" s="7">
        <v>2025.0</v>
      </c>
      <c r="B186" s="6" t="s">
        <v>414</v>
      </c>
      <c r="C186" s="5" t="s">
        <v>564</v>
      </c>
      <c r="D186" s="7"/>
      <c r="E186" s="7"/>
      <c r="F186" s="7"/>
      <c r="G186" s="7"/>
      <c r="H186" s="7"/>
      <c r="I186" s="519"/>
      <c r="J186" s="7"/>
      <c r="K186" s="519"/>
      <c r="L186" s="519"/>
      <c r="M186" s="519"/>
      <c r="N186" s="7">
        <v>16458.02</v>
      </c>
      <c r="O186" s="7"/>
      <c r="Q186" s="12">
        <f>Q184-Q185</f>
        <v>16458.02</v>
      </c>
    </row>
    <row r="187" hidden="1">
      <c r="A187" s="7">
        <v>2025.0</v>
      </c>
      <c r="B187" s="6" t="s">
        <v>414</v>
      </c>
      <c r="C187" s="5" t="s">
        <v>565</v>
      </c>
      <c r="D187" s="7"/>
      <c r="E187" s="7"/>
      <c r="F187" s="7"/>
      <c r="G187" s="7"/>
      <c r="H187" s="7"/>
      <c r="I187" s="519"/>
      <c r="J187" s="7"/>
      <c r="K187" s="519"/>
      <c r="L187" s="519"/>
      <c r="M187" s="519"/>
      <c r="N187" s="7">
        <v>8673.34</v>
      </c>
      <c r="O187" s="7"/>
    </row>
    <row r="188" hidden="1">
      <c r="A188" s="7">
        <v>2025.0</v>
      </c>
      <c r="B188" s="6" t="s">
        <v>414</v>
      </c>
      <c r="C188" s="5" t="s">
        <v>566</v>
      </c>
      <c r="D188" s="7"/>
      <c r="E188" s="7"/>
      <c r="F188" s="7"/>
      <c r="G188" s="7"/>
      <c r="H188" s="7"/>
      <c r="I188" s="519"/>
      <c r="J188" s="7"/>
      <c r="K188" s="519"/>
      <c r="L188" s="7">
        <v>-805.99</v>
      </c>
      <c r="M188" s="519"/>
      <c r="N188" s="519"/>
      <c r="O188" s="519"/>
    </row>
    <row r="189" hidden="1">
      <c r="A189" s="7">
        <v>2025.0</v>
      </c>
      <c r="B189" s="6" t="s">
        <v>414</v>
      </c>
      <c r="C189" s="5" t="s">
        <v>567</v>
      </c>
      <c r="D189" s="7">
        <v>962.79</v>
      </c>
      <c r="E189" s="7"/>
      <c r="F189" s="7"/>
      <c r="G189" s="7"/>
      <c r="H189" s="7"/>
      <c r="I189" s="519"/>
      <c r="J189" s="7"/>
      <c r="K189" s="519"/>
      <c r="L189" s="7"/>
      <c r="M189" s="519"/>
      <c r="N189" s="519"/>
      <c r="O189" s="519"/>
      <c r="Q189" s="18">
        <v>12243.85</v>
      </c>
    </row>
    <row r="190" hidden="1">
      <c r="A190" s="7">
        <v>2025.0</v>
      </c>
      <c r="B190" s="6" t="s">
        <v>419</v>
      </c>
      <c r="C190" s="5"/>
      <c r="D190" s="7"/>
      <c r="E190" s="7">
        <v>700.0</v>
      </c>
      <c r="F190" s="7"/>
      <c r="G190" s="7"/>
      <c r="H190" s="7"/>
      <c r="I190" s="519"/>
      <c r="J190" s="7"/>
      <c r="K190" s="519"/>
      <c r="L190" s="7">
        <v>500.0</v>
      </c>
      <c r="M190" s="519"/>
      <c r="N190" s="519"/>
      <c r="O190" s="519"/>
      <c r="Q190" s="547">
        <v>3570.51</v>
      </c>
    </row>
    <row r="191" hidden="1">
      <c r="A191" s="7">
        <v>2025.0</v>
      </c>
      <c r="B191" s="6" t="s">
        <v>419</v>
      </c>
      <c r="C191" s="5" t="s">
        <v>527</v>
      </c>
      <c r="D191" s="7">
        <v>-62.27</v>
      </c>
      <c r="E191" s="7"/>
      <c r="F191" s="7"/>
      <c r="G191" s="7"/>
      <c r="H191" s="7"/>
      <c r="I191" s="519"/>
      <c r="J191" s="7"/>
      <c r="K191" s="519"/>
      <c r="L191" s="519"/>
      <c r="M191" s="519"/>
      <c r="N191" s="519"/>
      <c r="O191" s="519"/>
      <c r="Q191" s="28">
        <f>Q189-Q190</f>
        <v>8673.34</v>
      </c>
    </row>
    <row r="192" hidden="1">
      <c r="A192" s="7">
        <v>2025.0</v>
      </c>
      <c r="B192" s="6" t="s">
        <v>419</v>
      </c>
      <c r="C192" s="5" t="s">
        <v>567</v>
      </c>
      <c r="D192" s="7">
        <v>-960.54</v>
      </c>
      <c r="E192" s="7"/>
      <c r="F192" s="7"/>
      <c r="G192" s="7"/>
      <c r="H192" s="7"/>
      <c r="I192" s="519"/>
      <c r="J192" s="7"/>
      <c r="K192" s="519"/>
      <c r="L192" s="519"/>
      <c r="M192" s="519"/>
      <c r="N192" s="519"/>
      <c r="O192" s="519"/>
    </row>
    <row r="193" hidden="1">
      <c r="A193" s="7">
        <v>2025.0</v>
      </c>
      <c r="B193" s="6" t="s">
        <v>419</v>
      </c>
      <c r="C193" s="5" t="s">
        <v>568</v>
      </c>
      <c r="D193" s="7"/>
      <c r="E193" s="7"/>
      <c r="F193" s="7"/>
      <c r="G193" s="7"/>
      <c r="H193" s="7"/>
      <c r="I193" s="519"/>
      <c r="J193" s="7"/>
      <c r="K193" s="519"/>
      <c r="L193" s="519"/>
      <c r="M193" s="519"/>
      <c r="N193" s="7">
        <v>-10000.5</v>
      </c>
      <c r="O193" s="7"/>
    </row>
    <row r="194" hidden="1">
      <c r="A194" s="7">
        <v>2025.0</v>
      </c>
      <c r="B194" s="6" t="s">
        <v>419</v>
      </c>
      <c r="C194" s="5" t="s">
        <v>569</v>
      </c>
      <c r="D194" s="7"/>
      <c r="E194" s="7"/>
      <c r="F194" s="7"/>
      <c r="G194" s="7"/>
      <c r="H194" s="7"/>
      <c r="I194" s="519"/>
      <c r="J194" s="7"/>
      <c r="K194" s="519"/>
      <c r="L194" s="7">
        <v>-1300.0</v>
      </c>
      <c r="M194" s="519"/>
      <c r="N194" s="519"/>
      <c r="O194" s="519"/>
    </row>
    <row r="195" hidden="1">
      <c r="A195" s="7">
        <v>2025.0</v>
      </c>
      <c r="B195" s="6" t="s">
        <v>419</v>
      </c>
      <c r="C195" s="5" t="s">
        <v>570</v>
      </c>
      <c r="D195" s="7">
        <v>-193.34</v>
      </c>
      <c r="E195" s="7"/>
      <c r="F195" s="7"/>
      <c r="G195" s="7"/>
      <c r="H195" s="7"/>
      <c r="I195" s="519"/>
      <c r="J195" s="7"/>
      <c r="K195" s="519"/>
      <c r="L195" s="519"/>
      <c r="M195" s="519"/>
      <c r="N195" s="519"/>
      <c r="O195" s="519"/>
    </row>
    <row r="196" hidden="1">
      <c r="A196" s="7">
        <v>2025.0</v>
      </c>
      <c r="B196" s="6" t="s">
        <v>419</v>
      </c>
      <c r="C196" s="5" t="s">
        <v>571</v>
      </c>
      <c r="D196" s="7"/>
      <c r="E196" s="7"/>
      <c r="F196" s="7"/>
      <c r="G196" s="7"/>
      <c r="H196" s="7"/>
      <c r="I196" s="519"/>
      <c r="J196" s="7"/>
      <c r="K196" s="519"/>
      <c r="L196" s="519"/>
      <c r="M196" s="519"/>
      <c r="N196" s="7">
        <v>-2763.19</v>
      </c>
      <c r="O196" s="7"/>
    </row>
    <row r="197" hidden="1">
      <c r="A197" s="7">
        <v>2025.0</v>
      </c>
      <c r="B197" s="6" t="s">
        <v>300</v>
      </c>
      <c r="C197" s="5" t="s">
        <v>512</v>
      </c>
      <c r="D197" s="7">
        <v>962.79</v>
      </c>
      <c r="E197" s="7"/>
      <c r="F197" s="7"/>
      <c r="G197" s="7"/>
      <c r="H197" s="7"/>
      <c r="I197" s="519"/>
      <c r="J197" s="7"/>
      <c r="K197" s="519"/>
      <c r="L197" s="1"/>
      <c r="M197" s="519"/>
      <c r="N197" s="519"/>
      <c r="O197" s="519"/>
    </row>
    <row r="198" hidden="1">
      <c r="A198" s="7">
        <v>2025.0</v>
      </c>
      <c r="B198" s="6" t="s">
        <v>300</v>
      </c>
      <c r="C198" s="5"/>
      <c r="D198" s="7"/>
      <c r="E198" s="7">
        <v>700.0</v>
      </c>
      <c r="F198" s="7"/>
      <c r="G198" s="7"/>
      <c r="H198" s="7"/>
      <c r="I198" s="519"/>
      <c r="J198" s="7"/>
      <c r="K198" s="519"/>
      <c r="L198" s="7">
        <v>500.0</v>
      </c>
      <c r="M198" s="519"/>
      <c r="N198" s="519"/>
      <c r="O198" s="519"/>
    </row>
    <row r="199" hidden="1">
      <c r="A199" s="7">
        <v>2025.0</v>
      </c>
      <c r="B199" s="6" t="s">
        <v>300</v>
      </c>
      <c r="C199" s="5" t="s">
        <v>572</v>
      </c>
      <c r="D199" s="7"/>
      <c r="E199" s="7"/>
      <c r="F199" s="7"/>
      <c r="G199" s="7"/>
      <c r="H199" s="7"/>
      <c r="I199" s="519"/>
      <c r="J199" s="7"/>
      <c r="K199" s="519"/>
      <c r="L199" s="519"/>
      <c r="M199" s="7">
        <v>200.0</v>
      </c>
      <c r="N199" s="519"/>
      <c r="O199" s="519"/>
    </row>
    <row r="200" hidden="1">
      <c r="A200" s="7">
        <v>2025.0</v>
      </c>
      <c r="B200" s="6" t="s">
        <v>300</v>
      </c>
      <c r="C200" s="5" t="s">
        <v>573</v>
      </c>
      <c r="D200" s="7"/>
      <c r="E200" s="7"/>
      <c r="F200" s="7"/>
      <c r="G200" s="7"/>
      <c r="H200" s="7"/>
      <c r="I200" s="519"/>
      <c r="J200" s="7"/>
      <c r="K200" s="519"/>
      <c r="L200" s="519"/>
      <c r="M200" s="519"/>
      <c r="N200" s="7">
        <v>-690.74</v>
      </c>
      <c r="O200" s="7"/>
    </row>
    <row r="201" hidden="1">
      <c r="A201" s="7">
        <v>2025.0</v>
      </c>
      <c r="B201" s="6" t="s">
        <v>300</v>
      </c>
      <c r="C201" s="5"/>
      <c r="D201" s="7"/>
      <c r="E201" s="7"/>
      <c r="F201" s="7"/>
      <c r="G201" s="7"/>
      <c r="H201" s="7"/>
      <c r="I201" s="7">
        <v>409.24</v>
      </c>
      <c r="J201" s="7"/>
      <c r="K201" s="519"/>
      <c r="L201" s="519"/>
      <c r="M201" s="519"/>
      <c r="N201" s="519"/>
      <c r="O201" s="519"/>
    </row>
    <row r="202" hidden="1">
      <c r="A202" s="7">
        <v>2025.0</v>
      </c>
      <c r="B202" s="6" t="s">
        <v>300</v>
      </c>
      <c r="C202" s="5" t="s">
        <v>574</v>
      </c>
      <c r="D202" s="7">
        <v>-5.0</v>
      </c>
      <c r="E202" s="7"/>
      <c r="F202" s="7"/>
      <c r="G202" s="548"/>
      <c r="H202" s="7"/>
      <c r="I202" s="519"/>
      <c r="J202" s="7"/>
      <c r="K202" s="519"/>
      <c r="L202" s="519"/>
      <c r="M202" s="519"/>
      <c r="N202" s="519"/>
      <c r="O202" s="519"/>
    </row>
    <row r="203" hidden="1">
      <c r="A203" s="7">
        <v>2025.0</v>
      </c>
      <c r="B203" s="6" t="s">
        <v>300</v>
      </c>
      <c r="C203" s="5" t="s">
        <v>575</v>
      </c>
      <c r="D203" s="7"/>
      <c r="E203" s="7"/>
      <c r="F203" s="7"/>
      <c r="G203" s="7"/>
      <c r="H203" s="7"/>
      <c r="I203" s="519"/>
      <c r="J203" s="7"/>
      <c r="K203" s="519"/>
      <c r="L203" s="519"/>
      <c r="M203" s="519"/>
      <c r="N203" s="7">
        <v>-489.7</v>
      </c>
      <c r="O203" s="7"/>
    </row>
    <row r="204" hidden="1">
      <c r="A204" s="7">
        <v>2025.0</v>
      </c>
      <c r="B204" s="6" t="s">
        <v>300</v>
      </c>
      <c r="C204" s="5" t="s">
        <v>576</v>
      </c>
      <c r="D204" s="7"/>
      <c r="E204" s="7"/>
      <c r="F204" s="7"/>
      <c r="G204" s="7"/>
      <c r="H204" s="7"/>
      <c r="I204" s="7">
        <v>-160.0</v>
      </c>
      <c r="J204" s="7"/>
      <c r="K204" s="519"/>
      <c r="L204" s="519"/>
      <c r="M204" s="519"/>
      <c r="N204" s="519"/>
      <c r="O204" s="519"/>
    </row>
    <row r="205" hidden="1">
      <c r="A205" s="7">
        <v>2025.0</v>
      </c>
      <c r="B205" s="6" t="s">
        <v>300</v>
      </c>
      <c r="C205" s="5" t="s">
        <v>577</v>
      </c>
      <c r="D205" s="7"/>
      <c r="E205" s="7"/>
      <c r="F205" s="7"/>
      <c r="G205" s="7"/>
      <c r="H205" s="7"/>
      <c r="I205" s="519"/>
      <c r="J205" s="7"/>
      <c r="K205" s="519"/>
      <c r="L205" s="519"/>
      <c r="M205" s="519"/>
      <c r="N205" s="7">
        <v>-506.03</v>
      </c>
      <c r="O205" s="7"/>
    </row>
    <row r="206" hidden="1">
      <c r="A206" s="7">
        <v>2025.0</v>
      </c>
      <c r="B206" s="6" t="s">
        <v>300</v>
      </c>
      <c r="C206" s="5"/>
      <c r="D206" s="7"/>
      <c r="E206" s="7"/>
      <c r="F206" s="7"/>
      <c r="G206" s="7"/>
      <c r="H206" s="7"/>
      <c r="I206" s="519"/>
      <c r="J206" s="7"/>
      <c r="K206" s="519"/>
      <c r="L206" s="519"/>
      <c r="M206" s="519"/>
      <c r="N206" s="519"/>
      <c r="O206" s="519"/>
    </row>
    <row r="207" hidden="1">
      <c r="A207" s="7">
        <v>2025.0</v>
      </c>
      <c r="B207" s="6" t="s">
        <v>300</v>
      </c>
      <c r="C207" s="5" t="s">
        <v>527</v>
      </c>
      <c r="D207" s="7">
        <v>-61.81</v>
      </c>
      <c r="E207" s="7"/>
      <c r="F207" s="7"/>
      <c r="G207" s="7"/>
      <c r="H207" s="7"/>
      <c r="I207" s="519"/>
      <c r="J207" s="7"/>
      <c r="K207" s="519"/>
      <c r="L207" s="519"/>
      <c r="M207" s="519"/>
      <c r="N207" s="519"/>
      <c r="O207" s="519"/>
    </row>
    <row r="208" hidden="1">
      <c r="A208" s="7">
        <v>2025.0</v>
      </c>
      <c r="B208" s="6" t="s">
        <v>301</v>
      </c>
      <c r="C208" s="5" t="s">
        <v>578</v>
      </c>
      <c r="D208" s="7"/>
      <c r="E208" s="7">
        <v>700.0</v>
      </c>
      <c r="F208" s="7"/>
      <c r="G208" s="7"/>
      <c r="H208" s="7"/>
      <c r="I208" s="519"/>
      <c r="J208" s="7"/>
      <c r="K208" s="519"/>
      <c r="L208" s="7">
        <v>500.0</v>
      </c>
      <c r="M208" s="7">
        <v>200.0</v>
      </c>
      <c r="N208" s="519"/>
      <c r="O208" s="519"/>
    </row>
    <row r="209" hidden="1">
      <c r="A209" s="7">
        <v>2025.0</v>
      </c>
      <c r="B209" s="6" t="s">
        <v>301</v>
      </c>
      <c r="C209" s="5" t="s">
        <v>579</v>
      </c>
      <c r="D209" s="7">
        <v>724.25</v>
      </c>
      <c r="E209" s="7"/>
      <c r="F209" s="7"/>
      <c r="G209" s="7"/>
      <c r="H209" s="7"/>
      <c r="I209" s="519"/>
      <c r="J209" s="7"/>
      <c r="K209" s="519"/>
      <c r="L209" s="519"/>
      <c r="M209" s="519"/>
      <c r="N209" s="519"/>
      <c r="O209" s="519"/>
    </row>
    <row r="210" hidden="1">
      <c r="A210" s="7">
        <v>2025.0</v>
      </c>
      <c r="B210" s="6" t="s">
        <v>301</v>
      </c>
      <c r="C210" s="5" t="s">
        <v>580</v>
      </c>
      <c r="D210" s="7"/>
      <c r="E210" s="7">
        <v>1000.0</v>
      </c>
      <c r="F210" s="7"/>
      <c r="G210" s="7"/>
      <c r="H210" s="7"/>
      <c r="I210" s="7">
        <v>-1000.0</v>
      </c>
      <c r="J210" s="7"/>
      <c r="K210" s="519"/>
      <c r="L210" s="519"/>
      <c r="M210" s="519"/>
      <c r="N210" s="519"/>
      <c r="O210" s="519"/>
    </row>
    <row r="211" hidden="1">
      <c r="A211" s="7">
        <v>2025.0</v>
      </c>
      <c r="B211" s="6" t="s">
        <v>301</v>
      </c>
      <c r="C211" s="5"/>
      <c r="D211" s="7"/>
      <c r="E211" s="7"/>
      <c r="F211" s="7"/>
      <c r="G211" s="7"/>
      <c r="H211" s="7"/>
      <c r="I211" s="7">
        <v>381.41</v>
      </c>
      <c r="J211" s="7"/>
      <c r="K211" s="519"/>
      <c r="L211" s="519"/>
      <c r="M211" s="519"/>
      <c r="N211" s="519"/>
      <c r="O211" s="519"/>
    </row>
    <row r="212" hidden="1">
      <c r="A212" s="7">
        <v>2025.0</v>
      </c>
      <c r="B212" s="6" t="s">
        <v>301</v>
      </c>
      <c r="C212" s="5"/>
      <c r="D212" s="7">
        <v>-724.25</v>
      </c>
      <c r="E212" s="7"/>
      <c r="F212" s="7"/>
      <c r="G212" s="7"/>
      <c r="H212" s="7"/>
      <c r="I212" s="519"/>
      <c r="J212" s="7"/>
      <c r="K212" s="519"/>
      <c r="L212" s="519"/>
      <c r="M212" s="519"/>
      <c r="N212" s="519"/>
      <c r="O212" s="519"/>
    </row>
    <row r="213" hidden="1">
      <c r="A213" s="7">
        <v>2025.0</v>
      </c>
      <c r="B213" s="6" t="s">
        <v>301</v>
      </c>
      <c r="C213" s="5" t="s">
        <v>581</v>
      </c>
      <c r="D213" s="7"/>
      <c r="E213" s="7"/>
      <c r="F213" s="7"/>
      <c r="G213" s="7"/>
      <c r="H213" s="7"/>
      <c r="I213" s="519"/>
      <c r="J213" s="7"/>
      <c r="K213" s="519"/>
      <c r="L213" s="519"/>
      <c r="M213" s="519"/>
      <c r="N213" s="7">
        <v>-11117.98</v>
      </c>
      <c r="O213" s="7"/>
    </row>
    <row r="214" hidden="1">
      <c r="A214" s="7">
        <v>2025.0</v>
      </c>
      <c r="B214" s="6" t="s">
        <v>301</v>
      </c>
      <c r="C214" s="5"/>
      <c r="D214" s="7"/>
      <c r="E214" s="7"/>
      <c r="F214" s="7"/>
      <c r="G214" s="7"/>
      <c r="H214" s="7"/>
      <c r="I214" s="7">
        <v>344.12</v>
      </c>
      <c r="J214" s="7"/>
      <c r="K214" s="519"/>
      <c r="L214" s="7"/>
      <c r="M214" s="7"/>
      <c r="N214" s="519"/>
      <c r="O214" s="519"/>
    </row>
    <row r="215" hidden="1">
      <c r="A215" s="7">
        <v>2025.0</v>
      </c>
      <c r="B215" s="6" t="s">
        <v>301</v>
      </c>
      <c r="C215" s="5" t="s">
        <v>582</v>
      </c>
      <c r="D215" s="7"/>
      <c r="E215" s="7"/>
      <c r="F215" s="7"/>
      <c r="G215" s="7"/>
      <c r="H215" s="7"/>
      <c r="I215" s="519"/>
      <c r="J215" s="7"/>
      <c r="K215" s="519"/>
      <c r="L215" s="519"/>
      <c r="M215" s="519"/>
      <c r="N215" s="7">
        <v>-738.6</v>
      </c>
      <c r="O215" s="7"/>
    </row>
    <row r="216" hidden="1">
      <c r="A216" s="7">
        <v>2025.0</v>
      </c>
      <c r="B216" s="6" t="s">
        <v>427</v>
      </c>
      <c r="C216" s="5" t="s">
        <v>579</v>
      </c>
      <c r="D216" s="7"/>
      <c r="E216" s="7"/>
      <c r="F216" s="7"/>
      <c r="G216" s="7"/>
      <c r="H216" s="7"/>
      <c r="I216" s="519"/>
      <c r="J216" s="7"/>
      <c r="K216" s="519"/>
      <c r="L216" s="519"/>
      <c r="M216" s="519"/>
      <c r="N216" s="519"/>
      <c r="O216" s="519"/>
    </row>
    <row r="217" hidden="1">
      <c r="A217" s="7">
        <v>2025.0</v>
      </c>
      <c r="B217" s="6" t="s">
        <v>427</v>
      </c>
      <c r="C217" s="5"/>
      <c r="D217" s="7">
        <v>724.25</v>
      </c>
      <c r="E217" s="7">
        <v>700.0</v>
      </c>
      <c r="F217" s="7"/>
      <c r="G217" s="7"/>
      <c r="H217" s="7"/>
      <c r="I217" s="7"/>
      <c r="J217" s="7"/>
      <c r="K217" s="519"/>
      <c r="L217" s="7">
        <v>500.0</v>
      </c>
      <c r="M217" s="7">
        <v>200.0</v>
      </c>
      <c r="N217" s="519"/>
      <c r="O217" s="519"/>
    </row>
    <row r="218" hidden="1">
      <c r="A218" s="7">
        <v>2025.0</v>
      </c>
      <c r="B218" s="6" t="s">
        <v>427</v>
      </c>
      <c r="C218" s="5" t="s">
        <v>583</v>
      </c>
      <c r="D218" s="7"/>
      <c r="E218" s="7"/>
      <c r="F218" s="7"/>
      <c r="G218" s="7"/>
      <c r="H218" s="7"/>
      <c r="I218" s="519"/>
      <c r="J218" s="7"/>
      <c r="K218" s="519"/>
      <c r="L218" s="519"/>
      <c r="M218" s="519"/>
      <c r="N218" s="7">
        <v>4338.04</v>
      </c>
      <c r="O218" s="7"/>
    </row>
    <row r="219" hidden="1">
      <c r="A219" s="7">
        <v>2025.0</v>
      </c>
      <c r="B219" s="6" t="s">
        <v>427</v>
      </c>
      <c r="C219" s="5" t="s">
        <v>583</v>
      </c>
      <c r="D219" s="7"/>
      <c r="E219" s="7"/>
      <c r="F219" s="7"/>
      <c r="G219" s="7"/>
      <c r="H219" s="7"/>
      <c r="I219" s="519"/>
      <c r="J219" s="7"/>
      <c r="K219" s="519"/>
      <c r="L219" s="519"/>
      <c r="M219" s="519"/>
      <c r="N219" s="7">
        <v>6671.76</v>
      </c>
      <c r="O219" s="7"/>
    </row>
    <row r="220" hidden="1">
      <c r="A220" s="7">
        <v>2025.0</v>
      </c>
      <c r="B220" s="6" t="s">
        <v>427</v>
      </c>
      <c r="C220" s="5" t="s">
        <v>527</v>
      </c>
      <c r="D220" s="7">
        <v>-60.7</v>
      </c>
      <c r="E220" s="7"/>
      <c r="F220" s="7"/>
      <c r="G220" s="7"/>
      <c r="H220" s="7"/>
      <c r="I220" s="519"/>
      <c r="J220" s="7"/>
      <c r="K220" s="519"/>
      <c r="L220" s="519"/>
      <c r="M220" s="519"/>
      <c r="N220" s="519"/>
      <c r="O220" s="519"/>
    </row>
    <row r="221" hidden="1">
      <c r="A221" s="7">
        <v>2025.0</v>
      </c>
      <c r="B221" s="6" t="s">
        <v>427</v>
      </c>
      <c r="C221" s="5" t="s">
        <v>584</v>
      </c>
      <c r="D221" s="7"/>
      <c r="E221" s="7"/>
      <c r="F221" s="7"/>
      <c r="G221" s="7"/>
      <c r="H221" s="7"/>
      <c r="I221" s="519"/>
      <c r="J221" s="7"/>
      <c r="K221" s="519"/>
      <c r="L221" s="519"/>
      <c r="M221" s="519"/>
      <c r="N221" s="7">
        <v>-18834.42</v>
      </c>
      <c r="O221" s="7"/>
    </row>
    <row r="222" hidden="1">
      <c r="A222" s="7">
        <v>2025.0</v>
      </c>
      <c r="B222" s="6" t="s">
        <v>427</v>
      </c>
      <c r="C222" s="5"/>
      <c r="D222" s="7">
        <v>-724.25</v>
      </c>
      <c r="E222" s="7"/>
      <c r="F222" s="7"/>
      <c r="G222" s="7"/>
      <c r="H222" s="7"/>
      <c r="I222" s="519"/>
      <c r="J222" s="7"/>
      <c r="K222" s="519"/>
      <c r="L222" s="519"/>
      <c r="M222" s="519"/>
      <c r="N222" s="519"/>
      <c r="O222" s="519"/>
    </row>
    <row r="223" hidden="1">
      <c r="A223" s="7">
        <v>2025.0</v>
      </c>
      <c r="B223" s="6" t="s">
        <v>427</v>
      </c>
      <c r="C223" s="5" t="s">
        <v>585</v>
      </c>
      <c r="D223" s="7"/>
      <c r="E223" s="7"/>
      <c r="F223" s="7"/>
      <c r="G223" s="7"/>
      <c r="H223" s="7"/>
      <c r="I223" s="519"/>
      <c r="J223" s="7"/>
      <c r="K223" s="7">
        <v>-22127.83</v>
      </c>
      <c r="L223" s="519"/>
      <c r="M223" s="519"/>
      <c r="N223" s="519"/>
      <c r="O223" s="519"/>
    </row>
    <row r="224" hidden="1">
      <c r="A224" s="7">
        <v>2025.0</v>
      </c>
      <c r="B224" s="6" t="s">
        <v>119</v>
      </c>
      <c r="C224" s="5"/>
      <c r="D224" s="7">
        <v>724.25</v>
      </c>
      <c r="E224" s="7">
        <v>700.0</v>
      </c>
      <c r="F224" s="7"/>
      <c r="G224" s="7"/>
      <c r="H224" s="7"/>
      <c r="I224" s="519"/>
      <c r="J224" s="7"/>
      <c r="K224" s="519"/>
      <c r="L224" s="7">
        <v>500.0</v>
      </c>
      <c r="M224" s="7">
        <v>200.0</v>
      </c>
      <c r="N224" s="519"/>
      <c r="O224" s="519"/>
    </row>
    <row r="225" hidden="1">
      <c r="A225" s="7">
        <v>2025.0</v>
      </c>
      <c r="B225" s="6" t="s">
        <v>119</v>
      </c>
      <c r="C225" s="5" t="s">
        <v>586</v>
      </c>
      <c r="D225" s="7"/>
      <c r="E225" s="7"/>
      <c r="F225" s="7">
        <v>403.42</v>
      </c>
      <c r="G225" s="7"/>
      <c r="H225" s="7"/>
      <c r="I225" s="519"/>
      <c r="J225" s="7"/>
      <c r="K225" s="519"/>
      <c r="L225" s="519"/>
      <c r="M225" s="519"/>
      <c r="N225" s="519"/>
      <c r="O225" s="519"/>
    </row>
    <row r="226" hidden="1">
      <c r="A226" s="7">
        <v>2025.0</v>
      </c>
      <c r="B226" s="6" t="s">
        <v>119</v>
      </c>
      <c r="C226" s="5" t="s">
        <v>587</v>
      </c>
      <c r="D226" s="7"/>
      <c r="E226" s="7"/>
      <c r="F226" s="7">
        <v>847.43</v>
      </c>
      <c r="G226" s="7"/>
      <c r="H226" s="7"/>
      <c r="I226" s="519"/>
      <c r="J226" s="7"/>
      <c r="K226" s="519"/>
      <c r="L226" s="519"/>
      <c r="M226" s="519"/>
      <c r="N226" s="519"/>
      <c r="O226" s="519"/>
    </row>
    <row r="227" hidden="1">
      <c r="A227" s="7">
        <v>2025.0</v>
      </c>
      <c r="B227" s="6" t="s">
        <v>119</v>
      </c>
      <c r="C227" s="5"/>
      <c r="D227" s="7"/>
      <c r="E227" s="7"/>
      <c r="F227" s="7"/>
      <c r="G227" s="7"/>
      <c r="H227" s="7"/>
      <c r="I227" s="7">
        <v>319.25</v>
      </c>
      <c r="J227" s="7"/>
      <c r="K227" s="519"/>
      <c r="L227" s="519"/>
      <c r="M227" s="519"/>
      <c r="N227" s="519"/>
      <c r="O227" s="519"/>
    </row>
    <row r="228" hidden="1">
      <c r="A228" s="7">
        <v>2025.0</v>
      </c>
      <c r="B228" s="6" t="s">
        <v>119</v>
      </c>
      <c r="C228" s="5" t="s">
        <v>588</v>
      </c>
      <c r="D228" s="7"/>
      <c r="E228" s="7"/>
      <c r="F228" s="7"/>
      <c r="G228" s="7"/>
      <c r="H228" s="7"/>
      <c r="I228" s="519"/>
      <c r="J228" s="7">
        <v>-989.5</v>
      </c>
      <c r="K228" s="519"/>
      <c r="L228" s="519"/>
      <c r="M228" s="519"/>
      <c r="N228" s="519"/>
      <c r="O228" s="519"/>
    </row>
    <row r="229" hidden="1">
      <c r="A229" s="7">
        <v>2025.0</v>
      </c>
      <c r="B229" s="6" t="s">
        <v>119</v>
      </c>
      <c r="C229" s="5" t="s">
        <v>589</v>
      </c>
      <c r="D229" s="7"/>
      <c r="E229" s="7"/>
      <c r="F229" s="7"/>
      <c r="G229" s="7"/>
      <c r="H229" s="7"/>
      <c r="I229" s="519"/>
      <c r="J229" s="7"/>
      <c r="K229" s="7">
        <v>500.0</v>
      </c>
      <c r="L229" s="519"/>
      <c r="M229" s="519"/>
      <c r="N229" s="519"/>
      <c r="O229" s="519"/>
    </row>
    <row r="230" hidden="1">
      <c r="A230" s="7">
        <v>2025.0</v>
      </c>
      <c r="B230" s="6" t="s">
        <v>119</v>
      </c>
      <c r="C230" s="5" t="s">
        <v>590</v>
      </c>
      <c r="D230" s="7"/>
      <c r="E230" s="7"/>
      <c r="F230" s="7"/>
      <c r="G230" s="7"/>
      <c r="H230" s="7"/>
      <c r="I230" s="519"/>
      <c r="J230" s="7"/>
      <c r="K230" s="7">
        <v>7964.0</v>
      </c>
      <c r="L230" s="519"/>
      <c r="M230" s="519"/>
      <c r="N230" s="519"/>
      <c r="O230" s="519"/>
    </row>
    <row r="231" hidden="1">
      <c r="A231" s="7">
        <v>2025.0</v>
      </c>
      <c r="B231" s="6" t="s">
        <v>119</v>
      </c>
      <c r="C231" s="5" t="s">
        <v>591</v>
      </c>
      <c r="D231" s="7"/>
      <c r="E231" s="7"/>
      <c r="F231" s="7"/>
      <c r="G231" s="7"/>
      <c r="H231" s="7"/>
      <c r="I231" s="519"/>
      <c r="J231" s="7"/>
      <c r="K231" s="7">
        <v>12281.99</v>
      </c>
      <c r="L231" s="519"/>
      <c r="M231" s="519"/>
      <c r="N231" s="519"/>
      <c r="O231" s="519"/>
    </row>
    <row r="232" hidden="1">
      <c r="A232" s="7">
        <v>2025.0</v>
      </c>
      <c r="B232" s="6" t="s">
        <v>119</v>
      </c>
      <c r="C232" s="5" t="s">
        <v>592</v>
      </c>
      <c r="D232" s="7"/>
      <c r="E232" s="7"/>
      <c r="F232" s="7"/>
      <c r="G232" s="7"/>
      <c r="H232" s="7"/>
      <c r="I232" s="519"/>
      <c r="J232" s="7"/>
      <c r="K232" s="7">
        <v>-368.26</v>
      </c>
      <c r="L232" s="519"/>
      <c r="M232" s="519"/>
      <c r="N232" s="519"/>
      <c r="O232" s="519"/>
    </row>
    <row r="233" hidden="1">
      <c r="A233" s="7">
        <v>2025.0</v>
      </c>
      <c r="B233" s="6" t="s">
        <v>119</v>
      </c>
      <c r="C233" s="5" t="s">
        <v>593</v>
      </c>
      <c r="D233" s="7"/>
      <c r="E233" s="7"/>
      <c r="F233" s="7"/>
      <c r="G233" s="7"/>
      <c r="H233" s="7"/>
      <c r="I233" s="519"/>
      <c r="J233" s="7"/>
      <c r="K233" s="7">
        <v>184.13</v>
      </c>
      <c r="L233" s="519"/>
      <c r="M233" s="519"/>
      <c r="N233" s="519"/>
      <c r="O233" s="519"/>
    </row>
    <row r="234" hidden="1">
      <c r="A234" s="7">
        <v>2025.0</v>
      </c>
      <c r="B234" s="6" t="s">
        <v>119</v>
      </c>
      <c r="C234" s="5" t="s">
        <v>594</v>
      </c>
      <c r="D234" s="7"/>
      <c r="E234" s="1"/>
      <c r="F234" s="7">
        <v>-687.53</v>
      </c>
      <c r="G234" s="7"/>
      <c r="H234" s="7"/>
      <c r="I234" s="519"/>
      <c r="J234" s="7"/>
      <c r="K234" s="519"/>
      <c r="L234" s="519"/>
      <c r="M234" s="519"/>
      <c r="N234" s="519"/>
      <c r="O234" s="519"/>
    </row>
    <row r="235" hidden="1">
      <c r="A235" s="7">
        <v>2025.0</v>
      </c>
      <c r="B235" s="6" t="s">
        <v>119</v>
      </c>
      <c r="C235" s="5" t="s">
        <v>595</v>
      </c>
      <c r="D235" s="7"/>
      <c r="E235" s="7"/>
      <c r="F235" s="7"/>
      <c r="G235" s="7"/>
      <c r="H235" s="7"/>
      <c r="I235" s="519"/>
      <c r="J235" s="7">
        <v>-404.0</v>
      </c>
      <c r="K235" s="519"/>
      <c r="L235" s="519"/>
      <c r="M235" s="519"/>
      <c r="N235" s="519"/>
      <c r="O235" s="519"/>
    </row>
    <row r="236" hidden="1">
      <c r="A236" s="7">
        <v>2025.0</v>
      </c>
      <c r="B236" s="6" t="s">
        <v>119</v>
      </c>
      <c r="C236" s="5"/>
      <c r="D236" s="7">
        <v>-724.25</v>
      </c>
      <c r="E236" s="7"/>
      <c r="F236" s="7"/>
      <c r="G236" s="7"/>
      <c r="H236" s="7"/>
      <c r="I236" s="519"/>
      <c r="J236" s="7"/>
      <c r="K236" s="519"/>
      <c r="L236" s="519"/>
      <c r="M236" s="519"/>
      <c r="N236" s="519"/>
      <c r="O236" s="519"/>
    </row>
    <row r="237" hidden="1">
      <c r="A237" s="7">
        <v>2025.0</v>
      </c>
      <c r="B237" s="6" t="s">
        <v>119</v>
      </c>
      <c r="C237" s="5" t="s">
        <v>596</v>
      </c>
      <c r="D237" s="7">
        <v>-724.25</v>
      </c>
      <c r="E237" s="7"/>
      <c r="F237" s="7"/>
      <c r="G237" s="7"/>
      <c r="H237" s="7"/>
      <c r="I237" s="519"/>
      <c r="J237" s="7"/>
      <c r="K237" s="519"/>
      <c r="L237" s="519"/>
      <c r="M237" s="519"/>
      <c r="N237" s="519"/>
      <c r="O237" s="519"/>
    </row>
    <row r="238" hidden="1">
      <c r="A238" s="7">
        <v>2025.0</v>
      </c>
      <c r="B238" s="6" t="s">
        <v>119</v>
      </c>
      <c r="C238" s="5"/>
      <c r="D238" s="7"/>
      <c r="E238" s="7"/>
      <c r="F238" s="7"/>
      <c r="G238" s="7"/>
      <c r="H238" s="7"/>
      <c r="I238" s="519"/>
      <c r="J238" s="7"/>
      <c r="K238" s="519"/>
      <c r="L238" s="519"/>
      <c r="M238" s="519"/>
      <c r="N238" s="519"/>
      <c r="O238" s="519"/>
    </row>
    <row r="239" hidden="1">
      <c r="A239" s="7">
        <v>2025.0</v>
      </c>
      <c r="B239" s="6" t="s">
        <v>119</v>
      </c>
      <c r="C239" s="5" t="s">
        <v>597</v>
      </c>
      <c r="D239" s="7">
        <v>-1.32</v>
      </c>
      <c r="E239" s="7"/>
      <c r="F239" s="7"/>
      <c r="G239" s="7"/>
      <c r="H239" s="7"/>
      <c r="I239" s="519"/>
      <c r="J239" s="7"/>
      <c r="K239" s="519"/>
      <c r="L239" s="519"/>
      <c r="M239" s="519"/>
      <c r="N239" s="519"/>
      <c r="O239" s="519"/>
    </row>
    <row r="240" hidden="1">
      <c r="A240" s="7">
        <v>2025.0</v>
      </c>
      <c r="B240" s="6" t="s">
        <v>119</v>
      </c>
      <c r="C240" s="5" t="s">
        <v>598</v>
      </c>
      <c r="D240" s="7"/>
      <c r="E240" s="7"/>
      <c r="F240" s="7">
        <v>-334.91</v>
      </c>
      <c r="G240" s="7"/>
      <c r="H240" s="7"/>
      <c r="I240" s="519"/>
      <c r="J240" s="7"/>
      <c r="K240" s="519"/>
      <c r="L240" s="519"/>
      <c r="M240" s="519"/>
      <c r="N240" s="519"/>
      <c r="O240" s="519"/>
    </row>
    <row r="241" hidden="1">
      <c r="A241" s="7">
        <v>2025.0</v>
      </c>
      <c r="B241" s="6" t="s">
        <v>119</v>
      </c>
      <c r="C241" s="5" t="s">
        <v>599</v>
      </c>
      <c r="D241" s="7"/>
      <c r="E241" s="7"/>
      <c r="F241" s="7">
        <v>-278.0</v>
      </c>
      <c r="G241" s="7"/>
      <c r="H241" s="7"/>
      <c r="I241" s="519"/>
      <c r="J241" s="7"/>
      <c r="K241" s="519"/>
      <c r="L241" s="519"/>
      <c r="M241" s="519"/>
      <c r="N241" s="519"/>
      <c r="O241" s="519"/>
    </row>
    <row r="242" hidden="1">
      <c r="A242" s="7">
        <v>2025.0</v>
      </c>
      <c r="B242" s="6" t="s">
        <v>119</v>
      </c>
      <c r="C242" s="5"/>
      <c r="D242" s="7"/>
      <c r="E242" s="7">
        <v>700.0</v>
      </c>
      <c r="F242" s="7"/>
      <c r="G242" s="7"/>
      <c r="H242" s="7"/>
      <c r="I242" s="519"/>
      <c r="J242" s="7"/>
      <c r="K242" s="519"/>
      <c r="L242" s="7">
        <v>500.0</v>
      </c>
      <c r="M242" s="7">
        <v>200.0</v>
      </c>
      <c r="N242" s="519"/>
      <c r="O242" s="519"/>
    </row>
    <row r="243" hidden="1">
      <c r="A243" s="7">
        <v>2025.0</v>
      </c>
      <c r="B243" s="6" t="s">
        <v>119</v>
      </c>
      <c r="C243" s="5" t="s">
        <v>600</v>
      </c>
      <c r="D243" s="7">
        <v>724.25</v>
      </c>
      <c r="E243" s="7"/>
      <c r="F243" s="7"/>
      <c r="G243" s="7"/>
      <c r="H243" s="7"/>
      <c r="I243" s="519"/>
      <c r="J243" s="7"/>
      <c r="K243" s="519"/>
      <c r="L243" s="519"/>
      <c r="M243" s="519"/>
      <c r="N243" s="519"/>
      <c r="O243" s="519"/>
    </row>
    <row r="244" hidden="1">
      <c r="A244" s="7">
        <v>2025.0</v>
      </c>
      <c r="B244" s="6" t="s">
        <v>119</v>
      </c>
      <c r="C244" s="5" t="s">
        <v>601</v>
      </c>
      <c r="D244" s="7"/>
      <c r="E244" s="7"/>
      <c r="F244" s="7">
        <v>760.97</v>
      </c>
      <c r="G244" s="7"/>
      <c r="H244" s="7"/>
      <c r="I244" s="519"/>
      <c r="J244" s="7"/>
      <c r="K244" s="519"/>
      <c r="L244" s="519"/>
      <c r="M244" s="519"/>
      <c r="N244" s="519"/>
      <c r="O244" s="519"/>
    </row>
    <row r="245" hidden="1">
      <c r="A245" s="7">
        <v>2025.0</v>
      </c>
      <c r="B245" s="6" t="s">
        <v>119</v>
      </c>
      <c r="C245" s="5" t="s">
        <v>602</v>
      </c>
      <c r="D245" s="7"/>
      <c r="E245" s="7"/>
      <c r="F245" s="7">
        <v>-220.75</v>
      </c>
      <c r="G245" s="7"/>
      <c r="H245" s="7"/>
      <c r="I245" s="519"/>
      <c r="J245" s="7"/>
      <c r="K245" s="519"/>
      <c r="L245" s="519"/>
      <c r="M245" s="519"/>
      <c r="N245" s="519"/>
      <c r="O245" s="519"/>
    </row>
    <row r="246" hidden="1">
      <c r="A246" s="7">
        <v>2025.0</v>
      </c>
      <c r="B246" s="6" t="s">
        <v>119</v>
      </c>
      <c r="C246" s="5" t="s">
        <v>527</v>
      </c>
      <c r="D246" s="7">
        <v>-59.79</v>
      </c>
      <c r="E246" s="7"/>
      <c r="F246" s="7"/>
      <c r="G246" s="7"/>
      <c r="H246" s="7"/>
      <c r="I246" s="519"/>
      <c r="J246" s="7"/>
      <c r="K246" s="519"/>
      <c r="L246" s="519"/>
      <c r="M246" s="519"/>
      <c r="N246" s="519"/>
      <c r="O246" s="519"/>
    </row>
    <row r="247" hidden="1">
      <c r="A247" s="7">
        <v>2025.0</v>
      </c>
      <c r="B247" s="6" t="s">
        <v>119</v>
      </c>
      <c r="C247" s="5" t="s">
        <v>603</v>
      </c>
      <c r="D247" s="7"/>
      <c r="E247" s="7"/>
      <c r="F247" s="7"/>
      <c r="G247" s="7"/>
      <c r="H247" s="7"/>
      <c r="I247" s="519"/>
      <c r="J247" s="7"/>
      <c r="K247" s="519"/>
      <c r="L247" s="519"/>
      <c r="M247" s="519"/>
      <c r="N247" s="519"/>
      <c r="O247" s="519"/>
    </row>
    <row r="248" hidden="1">
      <c r="A248" s="7">
        <v>2025.0</v>
      </c>
      <c r="B248" s="6" t="s">
        <v>119</v>
      </c>
      <c r="C248" s="5" t="s">
        <v>604</v>
      </c>
      <c r="D248" s="7"/>
      <c r="E248" s="7"/>
      <c r="F248" s="7"/>
      <c r="G248" s="7"/>
      <c r="H248" s="7"/>
      <c r="I248" s="519"/>
      <c r="J248" s="7"/>
      <c r="K248" s="519"/>
      <c r="L248" s="519"/>
      <c r="M248" s="519"/>
      <c r="N248" s="7">
        <v>194.07</v>
      </c>
      <c r="O248" s="7"/>
    </row>
    <row r="249" hidden="1">
      <c r="A249" s="7">
        <v>2025.0</v>
      </c>
      <c r="B249" s="6" t="s">
        <v>119</v>
      </c>
      <c r="C249" s="5" t="s">
        <v>605</v>
      </c>
      <c r="D249" s="7"/>
      <c r="E249" s="7"/>
      <c r="F249" s="7"/>
      <c r="G249" s="7"/>
      <c r="H249" s="7"/>
      <c r="I249" s="519"/>
      <c r="J249" s="7"/>
      <c r="K249" s="7">
        <v>300.0</v>
      </c>
      <c r="L249" s="519"/>
      <c r="M249" s="519"/>
      <c r="N249" s="519"/>
      <c r="O249" s="519"/>
    </row>
    <row r="250" hidden="1">
      <c r="A250" s="7">
        <v>2025.0</v>
      </c>
      <c r="B250" s="6" t="s">
        <v>486</v>
      </c>
      <c r="C250" s="5" t="s">
        <v>606</v>
      </c>
      <c r="D250" s="7"/>
      <c r="E250" s="7"/>
      <c r="F250" s="7"/>
      <c r="G250" s="7"/>
      <c r="H250" s="7"/>
      <c r="I250" s="7">
        <v>275.42</v>
      </c>
      <c r="J250" s="7"/>
      <c r="K250" s="519"/>
      <c r="L250" s="519"/>
      <c r="M250" s="519"/>
      <c r="N250" s="519"/>
      <c r="O250" s="519"/>
    </row>
    <row r="251" hidden="1">
      <c r="A251" s="7">
        <v>2025.0</v>
      </c>
      <c r="B251" s="6" t="s">
        <v>486</v>
      </c>
      <c r="C251" s="5" t="s">
        <v>607</v>
      </c>
      <c r="D251" s="7"/>
      <c r="E251" s="7"/>
      <c r="F251" s="7"/>
      <c r="G251" s="7"/>
      <c r="H251" s="7"/>
      <c r="I251" s="519"/>
      <c r="J251" s="7"/>
      <c r="K251" s="519"/>
      <c r="L251" s="519"/>
      <c r="M251" s="519"/>
      <c r="N251" s="519"/>
      <c r="O251" s="519"/>
    </row>
    <row r="252" hidden="1">
      <c r="A252" s="7">
        <v>2025.0</v>
      </c>
      <c r="B252" s="6" t="s">
        <v>486</v>
      </c>
      <c r="C252" s="5"/>
      <c r="D252" s="7"/>
      <c r="E252" s="7"/>
      <c r="F252" s="7"/>
      <c r="G252" s="7"/>
      <c r="H252" s="7"/>
      <c r="I252" s="519"/>
      <c r="J252" s="7"/>
      <c r="K252" s="519"/>
      <c r="L252" s="519"/>
      <c r="M252" s="519"/>
      <c r="N252" s="519"/>
      <c r="O252" s="519"/>
    </row>
    <row r="253" hidden="1">
      <c r="A253" s="7">
        <v>2025.0</v>
      </c>
      <c r="B253" s="6" t="s">
        <v>486</v>
      </c>
      <c r="C253" s="5" t="s">
        <v>608</v>
      </c>
      <c r="D253" s="7"/>
      <c r="E253" s="7"/>
      <c r="F253" s="7">
        <v>-160.0</v>
      </c>
      <c r="G253" s="7"/>
      <c r="H253" s="7"/>
      <c r="I253" s="519"/>
      <c r="J253" s="7"/>
      <c r="K253" s="519"/>
      <c r="L253" s="519"/>
      <c r="M253" s="519"/>
      <c r="N253" s="519"/>
      <c r="O253" s="519"/>
    </row>
    <row r="254" hidden="1">
      <c r="A254" s="7">
        <v>2025.0</v>
      </c>
      <c r="B254" s="6" t="s">
        <v>498</v>
      </c>
      <c r="C254" s="5"/>
      <c r="D254" s="7"/>
      <c r="E254" s="7"/>
      <c r="F254" s="7"/>
      <c r="G254" s="7"/>
      <c r="H254" s="7"/>
      <c r="I254" s="7">
        <v>316.4</v>
      </c>
      <c r="J254" s="7"/>
      <c r="K254" s="519"/>
      <c r="L254" s="519"/>
      <c r="M254" s="519"/>
      <c r="N254" s="519"/>
      <c r="O254" s="519"/>
    </row>
    <row r="255" hidden="1">
      <c r="A255" s="7">
        <v>2025.0</v>
      </c>
      <c r="B255" s="6" t="s">
        <v>498</v>
      </c>
      <c r="C255" s="5" t="s">
        <v>609</v>
      </c>
      <c r="D255" s="7"/>
      <c r="E255" s="7"/>
      <c r="F255" s="7"/>
      <c r="G255" s="7"/>
      <c r="H255" s="7"/>
      <c r="I255" s="519"/>
      <c r="J255" s="7">
        <v>-450.0</v>
      </c>
      <c r="K255" s="519"/>
      <c r="L255" s="519"/>
      <c r="M255" s="519"/>
      <c r="N255" s="519"/>
      <c r="O255" s="519"/>
    </row>
    <row r="256" hidden="1">
      <c r="A256" s="7">
        <v>2025.0</v>
      </c>
      <c r="B256" s="6" t="s">
        <v>498</v>
      </c>
      <c r="C256" s="5" t="s">
        <v>610</v>
      </c>
      <c r="D256" s="7"/>
      <c r="E256" s="7"/>
      <c r="F256" s="7"/>
      <c r="G256" s="7"/>
      <c r="H256" s="7"/>
      <c r="I256" s="519"/>
      <c r="J256" s="7">
        <v>-482.18</v>
      </c>
      <c r="K256" s="519"/>
      <c r="L256" s="519"/>
      <c r="M256" s="519"/>
      <c r="N256" s="519"/>
      <c r="O256" s="519"/>
    </row>
    <row r="257" hidden="1">
      <c r="A257" s="7">
        <v>2025.0</v>
      </c>
      <c r="B257" s="6" t="s">
        <v>498</v>
      </c>
      <c r="C257" s="5" t="s">
        <v>510</v>
      </c>
      <c r="D257" s="7">
        <v>-59.53</v>
      </c>
      <c r="E257" s="7"/>
      <c r="F257" s="7"/>
      <c r="G257" s="7"/>
      <c r="H257" s="7"/>
      <c r="I257" s="519"/>
      <c r="J257" s="7"/>
      <c r="K257" s="519"/>
      <c r="L257" s="519"/>
      <c r="M257" s="519"/>
      <c r="N257" s="519"/>
      <c r="O257" s="519"/>
    </row>
    <row r="258" hidden="1">
      <c r="A258" s="7">
        <v>2025.0</v>
      </c>
      <c r="B258" s="6" t="s">
        <v>498</v>
      </c>
      <c r="C258" s="5"/>
      <c r="D258" s="7"/>
      <c r="E258" s="7">
        <v>700.0</v>
      </c>
      <c r="F258" s="7"/>
      <c r="G258" s="7"/>
      <c r="H258" s="7"/>
      <c r="I258" s="519"/>
      <c r="J258" s="7"/>
      <c r="K258" s="519"/>
      <c r="L258" s="7">
        <v>500.0</v>
      </c>
      <c r="M258" s="7">
        <v>200.0</v>
      </c>
      <c r="N258" s="519"/>
      <c r="O258" s="519"/>
    </row>
    <row r="259" hidden="1">
      <c r="A259" s="7">
        <v>2025.0</v>
      </c>
      <c r="B259" s="6" t="s">
        <v>498</v>
      </c>
      <c r="C259" s="5" t="s">
        <v>611</v>
      </c>
      <c r="D259" s="7">
        <v>724.25</v>
      </c>
      <c r="E259" s="7"/>
      <c r="F259" s="7"/>
      <c r="G259" s="7"/>
      <c r="H259" s="7"/>
      <c r="I259" s="519"/>
      <c r="J259" s="7"/>
      <c r="K259" s="519"/>
      <c r="L259" s="519"/>
      <c r="M259" s="519"/>
      <c r="N259" s="519"/>
      <c r="O259" s="519"/>
    </row>
    <row r="260" hidden="1">
      <c r="A260" s="7">
        <v>2025.0</v>
      </c>
      <c r="B260" s="6" t="s">
        <v>498</v>
      </c>
      <c r="C260" s="5" t="s">
        <v>612</v>
      </c>
      <c r="D260" s="7"/>
      <c r="E260" s="7"/>
      <c r="F260" s="7">
        <v>933.28</v>
      </c>
      <c r="G260" s="7"/>
      <c r="H260" s="7"/>
      <c r="I260" s="519"/>
      <c r="J260" s="7"/>
      <c r="K260" s="519"/>
      <c r="L260" s="519"/>
      <c r="M260" s="519"/>
      <c r="N260" s="519"/>
      <c r="O260" s="519"/>
    </row>
    <row r="261" hidden="1">
      <c r="A261" s="7">
        <v>2025.0</v>
      </c>
      <c r="B261" s="6" t="s">
        <v>498</v>
      </c>
      <c r="C261" s="5" t="s">
        <v>613</v>
      </c>
      <c r="D261" s="7"/>
      <c r="E261" s="7"/>
      <c r="F261" s="7"/>
      <c r="G261" s="7"/>
      <c r="H261" s="7"/>
      <c r="I261" s="519"/>
      <c r="J261" s="7">
        <v>-415.0</v>
      </c>
      <c r="K261" s="519"/>
      <c r="L261" s="519"/>
      <c r="M261" s="519"/>
      <c r="N261" s="519"/>
      <c r="O261" s="519"/>
    </row>
    <row r="262" hidden="1">
      <c r="A262" s="7">
        <v>2025.0</v>
      </c>
      <c r="B262" s="6" t="s">
        <v>498</v>
      </c>
      <c r="C262" s="5" t="s">
        <v>614</v>
      </c>
      <c r="D262" s="7"/>
      <c r="E262" s="7"/>
      <c r="F262" s="7">
        <v>160.0</v>
      </c>
      <c r="G262" s="7"/>
      <c r="H262" s="7"/>
      <c r="I262" s="519"/>
      <c r="J262" s="7"/>
      <c r="K262" s="519"/>
      <c r="L262" s="519"/>
      <c r="M262" s="519"/>
      <c r="N262" s="519"/>
      <c r="O262" s="519"/>
    </row>
    <row r="263" hidden="1">
      <c r="A263" s="7">
        <v>2025.0</v>
      </c>
      <c r="B263" s="6" t="s">
        <v>498</v>
      </c>
      <c r="C263" s="5" t="s">
        <v>611</v>
      </c>
      <c r="D263" s="7">
        <v>-724.25</v>
      </c>
      <c r="E263" s="7"/>
      <c r="F263" s="7"/>
      <c r="G263" s="7"/>
      <c r="H263" s="7"/>
      <c r="I263" s="519"/>
      <c r="J263" s="7"/>
      <c r="K263" s="519"/>
      <c r="L263" s="519"/>
      <c r="M263" s="519"/>
      <c r="N263" s="519"/>
      <c r="O263" s="519"/>
    </row>
    <row r="264" hidden="1">
      <c r="A264" s="7">
        <v>2025.0</v>
      </c>
      <c r="B264" s="6" t="s">
        <v>498</v>
      </c>
      <c r="C264" s="5"/>
      <c r="D264" s="7"/>
      <c r="E264" s="7"/>
      <c r="F264" s="7"/>
      <c r="G264" s="7"/>
      <c r="H264" s="7"/>
      <c r="I264" s="519"/>
      <c r="J264" s="7"/>
      <c r="K264" s="519"/>
      <c r="L264" s="519"/>
      <c r="M264" s="519"/>
      <c r="N264" s="519"/>
      <c r="O264" s="519"/>
    </row>
    <row r="265" hidden="1">
      <c r="A265" s="7">
        <v>2025.0</v>
      </c>
      <c r="B265" s="6" t="s">
        <v>498</v>
      </c>
      <c r="C265" s="5" t="s">
        <v>615</v>
      </c>
      <c r="D265" s="7">
        <v>-460.0</v>
      </c>
      <c r="E265" s="7"/>
      <c r="F265" s="7"/>
      <c r="G265" s="7"/>
      <c r="H265" s="7"/>
      <c r="I265" s="519"/>
      <c r="J265" s="7"/>
      <c r="K265" s="519"/>
      <c r="L265" s="519"/>
      <c r="M265" s="519"/>
      <c r="N265" s="519"/>
      <c r="O265" s="519"/>
    </row>
    <row r="266" hidden="1">
      <c r="A266" s="7">
        <v>2025.0</v>
      </c>
      <c r="B266" s="6" t="s">
        <v>498</v>
      </c>
      <c r="C266" s="5" t="s">
        <v>616</v>
      </c>
      <c r="D266" s="7">
        <v>-100.29</v>
      </c>
      <c r="E266" s="7"/>
      <c r="F266" s="7"/>
      <c r="G266" s="7"/>
      <c r="H266" s="7"/>
      <c r="I266" s="519"/>
      <c r="J266" s="7"/>
      <c r="K266" s="519"/>
      <c r="L266" s="1"/>
      <c r="M266" s="519"/>
      <c r="N266" s="519"/>
      <c r="O266" s="519"/>
    </row>
    <row r="267" hidden="1">
      <c r="A267" s="7">
        <v>2025.0</v>
      </c>
      <c r="B267" s="6" t="s">
        <v>498</v>
      </c>
      <c r="C267" s="5" t="s">
        <v>617</v>
      </c>
      <c r="D267" s="7"/>
      <c r="E267" s="7"/>
      <c r="F267" s="7">
        <v>-553.44</v>
      </c>
      <c r="G267" s="7"/>
      <c r="H267" s="7"/>
      <c r="I267" s="519"/>
      <c r="J267" s="7"/>
      <c r="K267" s="519"/>
      <c r="L267" s="519"/>
      <c r="M267" s="519"/>
      <c r="N267" s="519"/>
      <c r="O267" s="519"/>
    </row>
    <row r="268" hidden="1">
      <c r="A268" s="7">
        <v>2025.0</v>
      </c>
      <c r="B268" s="6" t="s">
        <v>498</v>
      </c>
      <c r="C268" s="5" t="s">
        <v>618</v>
      </c>
      <c r="D268" s="7"/>
      <c r="E268" s="7"/>
      <c r="F268" s="7"/>
      <c r="G268" s="7"/>
      <c r="H268" s="7"/>
      <c r="I268" s="519"/>
      <c r="J268" s="7"/>
      <c r="K268" s="519"/>
      <c r="L268" s="7">
        <v>-585.0</v>
      </c>
      <c r="M268" s="519"/>
      <c r="N268" s="519"/>
      <c r="O268" s="519"/>
    </row>
    <row r="269" hidden="1">
      <c r="A269" s="7">
        <v>2025.0</v>
      </c>
      <c r="B269" s="6" t="s">
        <v>506</v>
      </c>
      <c r="C269" s="5"/>
      <c r="D269" s="7"/>
      <c r="E269" s="7">
        <v>1000.0</v>
      </c>
      <c r="F269" s="7">
        <v>504.43</v>
      </c>
      <c r="G269" s="7"/>
      <c r="H269" s="7"/>
      <c r="I269" s="519"/>
      <c r="J269" s="7"/>
      <c r="K269" s="519"/>
      <c r="L269" s="7">
        <v>500.0</v>
      </c>
      <c r="M269" s="7">
        <v>200.0</v>
      </c>
      <c r="N269" s="519"/>
      <c r="O269" s="7">
        <v>150.0</v>
      </c>
    </row>
    <row r="270" hidden="1">
      <c r="A270" s="7">
        <v>2025.0</v>
      </c>
      <c r="B270" s="6" t="s">
        <v>506</v>
      </c>
      <c r="C270" s="5" t="s">
        <v>619</v>
      </c>
      <c r="D270" s="7">
        <v>724.25</v>
      </c>
      <c r="E270" s="7"/>
      <c r="F270" s="7"/>
      <c r="G270" s="7"/>
      <c r="H270" s="7"/>
      <c r="I270" s="519"/>
      <c r="J270" s="7"/>
      <c r="K270" s="519"/>
      <c r="L270" s="519"/>
      <c r="M270" s="519"/>
      <c r="N270" s="519"/>
      <c r="O270" s="519"/>
    </row>
    <row r="271" hidden="1">
      <c r="A271" s="7">
        <v>2025.0</v>
      </c>
      <c r="B271" s="6" t="s">
        <v>506</v>
      </c>
      <c r="C271" s="5" t="s">
        <v>611</v>
      </c>
      <c r="D271" s="7">
        <v>-724.25</v>
      </c>
      <c r="E271" s="7"/>
      <c r="F271" s="7"/>
      <c r="G271" s="7"/>
      <c r="H271" s="7"/>
      <c r="I271" s="519"/>
      <c r="J271" s="7"/>
      <c r="K271" s="519"/>
      <c r="L271" s="519"/>
      <c r="M271" s="519"/>
      <c r="N271" s="519"/>
      <c r="O271" s="519"/>
    </row>
    <row r="272" hidden="1">
      <c r="A272" s="7">
        <v>2025.0</v>
      </c>
      <c r="B272" s="6" t="s">
        <v>506</v>
      </c>
      <c r="C272" s="5" t="s">
        <v>620</v>
      </c>
      <c r="D272" s="7"/>
      <c r="E272" s="7"/>
      <c r="F272" s="7"/>
      <c r="G272" s="7"/>
      <c r="H272" s="7"/>
      <c r="I272" s="519"/>
      <c r="J272" s="7">
        <v>-125.0</v>
      </c>
      <c r="K272" s="519"/>
      <c r="L272" s="519"/>
      <c r="M272" s="519"/>
      <c r="N272" s="519"/>
      <c r="O272" s="519"/>
    </row>
    <row r="273" hidden="1">
      <c r="A273" s="7">
        <v>2025.0</v>
      </c>
      <c r="B273" s="6" t="s">
        <v>506</v>
      </c>
      <c r="C273" s="5"/>
      <c r="D273" s="7"/>
      <c r="E273" s="7"/>
      <c r="F273" s="7"/>
      <c r="G273" s="7"/>
      <c r="H273" s="7"/>
      <c r="I273" s="519"/>
      <c r="J273" s="7"/>
      <c r="K273" s="519"/>
      <c r="L273" s="519"/>
      <c r="M273" s="519"/>
      <c r="N273" s="519"/>
      <c r="O273" s="519"/>
    </row>
    <row r="274" hidden="1">
      <c r="A274" s="7">
        <v>2025.0</v>
      </c>
      <c r="B274" s="6" t="s">
        <v>506</v>
      </c>
      <c r="C274" s="5"/>
      <c r="D274" s="7"/>
      <c r="E274" s="7"/>
      <c r="F274" s="7"/>
      <c r="G274" s="7"/>
      <c r="H274" s="7"/>
      <c r="I274" s="7">
        <v>312.37</v>
      </c>
      <c r="J274" s="7"/>
      <c r="K274" s="519"/>
      <c r="L274" s="519"/>
      <c r="M274" s="519"/>
      <c r="N274" s="519"/>
      <c r="O274" s="519"/>
    </row>
    <row r="275" hidden="1">
      <c r="A275" s="7">
        <v>2025.0</v>
      </c>
      <c r="B275" s="6" t="s">
        <v>506</v>
      </c>
      <c r="C275" s="5" t="s">
        <v>621</v>
      </c>
      <c r="D275" s="7">
        <v>-430.0</v>
      </c>
      <c r="E275" s="7"/>
      <c r="F275" s="7"/>
      <c r="G275" s="7"/>
      <c r="H275" s="7"/>
      <c r="I275" s="519"/>
      <c r="J275" s="7"/>
      <c r="K275" s="519"/>
      <c r="L275" s="7"/>
      <c r="M275" s="519"/>
      <c r="N275" s="519"/>
      <c r="O275" s="519"/>
    </row>
    <row r="276" hidden="1">
      <c r="A276" s="7">
        <v>2025.0</v>
      </c>
      <c r="B276" s="6" t="s">
        <v>506</v>
      </c>
      <c r="C276" s="5" t="s">
        <v>622</v>
      </c>
      <c r="D276" s="7"/>
      <c r="E276" s="7"/>
      <c r="F276" s="7">
        <v>-129.04</v>
      </c>
      <c r="G276" s="7"/>
      <c r="H276" s="7"/>
      <c r="I276" s="519"/>
      <c r="J276" s="7"/>
      <c r="K276" s="519"/>
      <c r="L276" s="519"/>
      <c r="M276" s="519"/>
      <c r="N276" s="519"/>
      <c r="O276" s="519"/>
    </row>
    <row r="277" hidden="1">
      <c r="A277" s="7">
        <v>2025.0</v>
      </c>
      <c r="B277" s="6" t="s">
        <v>506</v>
      </c>
      <c r="C277" s="5" t="s">
        <v>623</v>
      </c>
      <c r="D277" s="7"/>
      <c r="E277" s="7"/>
      <c r="F277" s="7">
        <v>-1245.86</v>
      </c>
      <c r="G277" s="7"/>
      <c r="H277" s="7">
        <f>-1298.8-F277</f>
        <v>-52.94</v>
      </c>
      <c r="I277" s="519"/>
      <c r="J277" s="7"/>
      <c r="K277" s="519"/>
      <c r="L277" s="519"/>
      <c r="M277" s="519"/>
      <c r="N277" s="519"/>
      <c r="O277" s="519"/>
    </row>
    <row r="278" hidden="1">
      <c r="A278" s="7">
        <v>2025.0</v>
      </c>
      <c r="B278" s="6" t="s">
        <v>506</v>
      </c>
      <c r="C278" s="5" t="s">
        <v>624</v>
      </c>
      <c r="D278" s="7">
        <v>-235.71</v>
      </c>
      <c r="E278" s="7"/>
      <c r="F278" s="7"/>
      <c r="G278" s="7"/>
      <c r="H278" s="7"/>
      <c r="I278" s="519"/>
      <c r="J278" s="7"/>
      <c r="K278" s="519"/>
      <c r="L278" s="519"/>
      <c r="M278" s="519"/>
      <c r="N278" s="519"/>
      <c r="O278" s="519"/>
    </row>
    <row r="279" hidden="1">
      <c r="A279" s="7">
        <v>2025.0</v>
      </c>
      <c r="B279" s="6" t="s">
        <v>514</v>
      </c>
      <c r="E279" s="7">
        <v>1000.0</v>
      </c>
      <c r="F279" s="7">
        <v>380.52</v>
      </c>
      <c r="G279" s="7"/>
      <c r="H279" s="7"/>
      <c r="I279" s="519"/>
      <c r="J279" s="7"/>
      <c r="K279" s="519"/>
      <c r="L279" s="7">
        <v>500.0</v>
      </c>
      <c r="M279" s="7">
        <v>200.0</v>
      </c>
      <c r="N279" s="519"/>
      <c r="O279" s="7">
        <v>150.0</v>
      </c>
    </row>
    <row r="280" hidden="1">
      <c r="A280" s="7">
        <v>2025.0</v>
      </c>
      <c r="B280" s="6" t="s">
        <v>514</v>
      </c>
      <c r="C280" s="5" t="s">
        <v>625</v>
      </c>
      <c r="D280" s="7">
        <v>724.25</v>
      </c>
      <c r="E280" s="7"/>
      <c r="F280" s="7"/>
      <c r="G280" s="7"/>
      <c r="H280" s="7"/>
      <c r="I280" s="519"/>
      <c r="J280" s="7"/>
      <c r="K280" s="519"/>
      <c r="L280" s="519"/>
      <c r="M280" s="519"/>
      <c r="N280" s="519"/>
      <c r="O280" s="519"/>
    </row>
    <row r="281" hidden="1">
      <c r="A281" s="7">
        <v>2025.0</v>
      </c>
      <c r="B281" s="6" t="s">
        <v>514</v>
      </c>
      <c r="C281" s="5" t="s">
        <v>626</v>
      </c>
      <c r="D281" s="7">
        <v>234.53</v>
      </c>
      <c r="E281" s="7"/>
      <c r="F281" s="7"/>
      <c r="G281" s="7"/>
      <c r="H281" s="7"/>
      <c r="I281" s="519"/>
      <c r="J281" s="7"/>
      <c r="K281" s="519"/>
      <c r="L281" s="519"/>
      <c r="M281" s="519"/>
      <c r="N281" s="519"/>
      <c r="O281" s="519"/>
    </row>
    <row r="282" hidden="1">
      <c r="A282" s="7">
        <v>2025.0</v>
      </c>
      <c r="B282" s="6" t="s">
        <v>514</v>
      </c>
      <c r="C282" s="5" t="s">
        <v>619</v>
      </c>
      <c r="D282" s="7">
        <v>-724.25</v>
      </c>
      <c r="E282" s="7"/>
      <c r="F282" s="7"/>
      <c r="G282" s="7"/>
      <c r="H282" s="7"/>
      <c r="I282" s="519"/>
      <c r="J282" s="7"/>
      <c r="K282" s="519"/>
      <c r="L282" s="519"/>
      <c r="M282" s="519"/>
      <c r="N282" s="519"/>
      <c r="O282" s="519"/>
    </row>
    <row r="283" hidden="1">
      <c r="A283" s="7">
        <v>2025.0</v>
      </c>
      <c r="B283" s="6" t="s">
        <v>514</v>
      </c>
      <c r="C283" s="5"/>
      <c r="D283" s="7"/>
      <c r="E283" s="7"/>
      <c r="F283" s="7"/>
      <c r="G283" s="7"/>
      <c r="H283" s="7"/>
      <c r="I283" s="7">
        <v>324.34</v>
      </c>
      <c r="J283" s="7"/>
      <c r="K283" s="519"/>
      <c r="L283" s="519"/>
      <c r="M283" s="519"/>
      <c r="N283" s="519"/>
      <c r="O283" s="519"/>
    </row>
    <row r="284" hidden="1">
      <c r="A284" s="7">
        <v>2025.0</v>
      </c>
      <c r="B284" s="6" t="s">
        <v>514</v>
      </c>
      <c r="C284" s="5"/>
      <c r="D284" s="7"/>
      <c r="E284" s="7"/>
      <c r="F284" s="7"/>
      <c r="G284" s="7"/>
      <c r="H284" s="7"/>
      <c r="I284" s="519"/>
      <c r="J284" s="7"/>
      <c r="K284" s="519"/>
      <c r="L284" s="519"/>
      <c r="M284" s="519"/>
      <c r="N284" s="519"/>
      <c r="O284" s="519"/>
    </row>
    <row r="285" hidden="1">
      <c r="A285" s="7">
        <v>2025.0</v>
      </c>
      <c r="B285" s="6" t="s">
        <v>514</v>
      </c>
      <c r="C285" s="5" t="s">
        <v>627</v>
      </c>
      <c r="D285" s="7"/>
      <c r="E285" s="7"/>
      <c r="F285" s="7"/>
      <c r="G285" s="7"/>
      <c r="H285" s="7">
        <v>4387.21</v>
      </c>
      <c r="I285" s="519"/>
      <c r="J285" s="7"/>
      <c r="K285" s="519"/>
      <c r="L285" s="519"/>
      <c r="M285" s="519"/>
      <c r="N285" s="519"/>
      <c r="O285" s="519"/>
    </row>
    <row r="286" hidden="1">
      <c r="A286" s="7">
        <v>2025.0</v>
      </c>
      <c r="B286" s="6" t="s">
        <v>514</v>
      </c>
      <c r="C286" s="5" t="s">
        <v>628</v>
      </c>
      <c r="D286" s="7"/>
      <c r="E286" s="7"/>
      <c r="F286" s="7"/>
      <c r="G286" s="7"/>
      <c r="H286" s="7">
        <v>6712.33</v>
      </c>
      <c r="I286" s="519"/>
      <c r="J286" s="7"/>
      <c r="K286" s="519"/>
      <c r="L286" s="519"/>
      <c r="M286" s="519"/>
      <c r="N286" s="519"/>
      <c r="O286" s="519"/>
    </row>
    <row r="287" hidden="1">
      <c r="A287" s="7">
        <v>2025.0</v>
      </c>
      <c r="B287" s="6" t="s">
        <v>514</v>
      </c>
      <c r="C287" s="5" t="s">
        <v>519</v>
      </c>
      <c r="D287" s="7"/>
      <c r="E287" s="7"/>
      <c r="F287" s="7"/>
      <c r="G287" s="7"/>
      <c r="H287" s="7">
        <f>-838.33-53-5.1</f>
        <v>-896.43</v>
      </c>
      <c r="I287" s="519"/>
      <c r="J287" s="7"/>
      <c r="K287" s="519"/>
      <c r="L287" s="519"/>
      <c r="M287" s="519"/>
      <c r="N287" s="519"/>
      <c r="O287" s="519"/>
    </row>
    <row r="288" hidden="1">
      <c r="A288" s="7">
        <v>2025.0</v>
      </c>
      <c r="B288" s="6" t="s">
        <v>514</v>
      </c>
      <c r="C288" s="5" t="s">
        <v>626</v>
      </c>
      <c r="D288" s="7">
        <v>-237.69</v>
      </c>
      <c r="E288" s="7"/>
      <c r="F288" s="7"/>
      <c r="G288" s="7"/>
      <c r="H288" s="7"/>
      <c r="I288" s="519"/>
      <c r="J288" s="7"/>
      <c r="K288" s="519"/>
      <c r="L288" s="519"/>
      <c r="M288" s="519"/>
      <c r="N288" s="519"/>
      <c r="O288" s="519"/>
    </row>
    <row r="289" hidden="1">
      <c r="A289" s="7">
        <v>2025.0</v>
      </c>
      <c r="B289" s="6" t="s">
        <v>514</v>
      </c>
      <c r="C289" s="5" t="s">
        <v>629</v>
      </c>
      <c r="D289" s="7"/>
      <c r="E289" s="7"/>
      <c r="F289" s="7"/>
      <c r="G289" s="7"/>
      <c r="H289" s="7"/>
      <c r="I289" s="519"/>
      <c r="J289" s="7"/>
      <c r="K289" s="7">
        <f>5350.8-0.25</f>
        <v>5350.55</v>
      </c>
      <c r="L289" s="519"/>
      <c r="M289" s="519"/>
      <c r="N289" s="519"/>
      <c r="O289" s="519"/>
    </row>
    <row r="290" hidden="1">
      <c r="A290" s="7">
        <v>2025.0</v>
      </c>
      <c r="B290" s="6" t="s">
        <v>514</v>
      </c>
      <c r="C290" s="5" t="s">
        <v>630</v>
      </c>
      <c r="D290" s="7"/>
      <c r="E290" s="7"/>
      <c r="F290" s="7"/>
      <c r="G290" s="7"/>
      <c r="H290" s="7">
        <v>-580.77</v>
      </c>
      <c r="I290" s="519"/>
      <c r="J290" s="7"/>
      <c r="K290" s="519"/>
      <c r="L290" s="519"/>
      <c r="M290" s="519"/>
      <c r="N290" s="519"/>
      <c r="O290" s="519"/>
    </row>
    <row r="291" hidden="1">
      <c r="A291" s="7">
        <v>2025.0</v>
      </c>
      <c r="B291" s="6" t="s">
        <v>514</v>
      </c>
      <c r="C291" s="5" t="s">
        <v>631</v>
      </c>
      <c r="D291" s="7"/>
      <c r="E291" s="7"/>
      <c r="F291" s="7">
        <v>-237.4</v>
      </c>
      <c r="G291" s="7"/>
      <c r="H291" s="7"/>
      <c r="I291" s="519"/>
      <c r="J291" s="7"/>
      <c r="K291" s="519"/>
      <c r="L291" s="519"/>
      <c r="M291" s="519"/>
      <c r="N291" s="519"/>
      <c r="O291" s="519"/>
    </row>
    <row r="292" hidden="1">
      <c r="A292" s="7">
        <v>2025.0</v>
      </c>
      <c r="B292" s="6" t="s">
        <v>436</v>
      </c>
      <c r="C292" s="5" t="s">
        <v>632</v>
      </c>
      <c r="D292" s="7"/>
      <c r="E292" s="7"/>
      <c r="F292" s="7"/>
      <c r="G292" s="7"/>
      <c r="H292" s="7">
        <v>-632.0</v>
      </c>
      <c r="I292" s="519"/>
      <c r="J292" s="7"/>
      <c r="K292" s="519"/>
      <c r="L292" s="519"/>
      <c r="M292" s="519"/>
      <c r="N292" s="519"/>
      <c r="O292" s="519"/>
    </row>
    <row r="293" hidden="1">
      <c r="A293" s="7">
        <v>2025.0</v>
      </c>
      <c r="B293" s="6" t="s">
        <v>436</v>
      </c>
      <c r="C293" s="5" t="s">
        <v>633</v>
      </c>
      <c r="D293" s="7"/>
      <c r="E293" s="7"/>
      <c r="F293" s="7"/>
      <c r="G293" s="7"/>
      <c r="H293" s="7">
        <v>-124.0</v>
      </c>
      <c r="I293" s="519"/>
      <c r="J293" s="7"/>
      <c r="K293" s="519"/>
      <c r="L293" s="519"/>
      <c r="M293" s="519"/>
      <c r="N293" s="519"/>
      <c r="O293" s="519"/>
    </row>
    <row r="294" hidden="1">
      <c r="A294" s="7">
        <v>2025.0</v>
      </c>
      <c r="B294" s="6" t="s">
        <v>436</v>
      </c>
      <c r="C294" s="5" t="s">
        <v>634</v>
      </c>
      <c r="D294" s="7"/>
      <c r="E294" s="7"/>
      <c r="F294" s="7">
        <v>-60.0</v>
      </c>
      <c r="G294" s="7"/>
      <c r="H294" s="7"/>
      <c r="I294" s="519"/>
      <c r="J294" s="7"/>
      <c r="K294" s="519"/>
      <c r="L294" s="519"/>
      <c r="M294" s="519"/>
      <c r="N294" s="519"/>
      <c r="O294" s="519"/>
    </row>
    <row r="295" hidden="1">
      <c r="A295" s="7">
        <v>2025.0</v>
      </c>
      <c r="B295" s="6" t="s">
        <v>436</v>
      </c>
      <c r="C295" s="5" t="s">
        <v>635</v>
      </c>
      <c r="D295" s="7"/>
      <c r="E295" s="7"/>
      <c r="F295" s="7"/>
      <c r="G295" s="7"/>
      <c r="H295" s="7">
        <v>-59.0</v>
      </c>
      <c r="I295" s="519"/>
      <c r="J295" s="7"/>
      <c r="K295" s="519"/>
      <c r="L295" s="519"/>
      <c r="M295" s="519"/>
      <c r="N295" s="519"/>
      <c r="O295" s="519"/>
    </row>
    <row r="296" hidden="1">
      <c r="A296" s="7">
        <v>2025.0</v>
      </c>
      <c r="B296" s="6" t="s">
        <v>436</v>
      </c>
      <c r="C296" s="5" t="s">
        <v>636</v>
      </c>
      <c r="D296" s="7"/>
      <c r="E296" s="7"/>
      <c r="F296" s="7"/>
      <c r="G296" s="7"/>
      <c r="H296" s="7">
        <v>-175.32</v>
      </c>
      <c r="I296" s="519"/>
      <c r="J296" s="7"/>
      <c r="K296" s="519"/>
      <c r="L296" s="519"/>
      <c r="M296" s="519"/>
      <c r="N296" s="519"/>
      <c r="O296" s="519"/>
    </row>
    <row r="297" hidden="1">
      <c r="A297" s="7">
        <v>2025.0</v>
      </c>
      <c r="B297" s="6" t="s">
        <v>436</v>
      </c>
      <c r="C297" s="5"/>
      <c r="D297" s="7"/>
      <c r="E297" s="7"/>
      <c r="F297" s="7"/>
      <c r="G297" s="7"/>
      <c r="H297" s="7"/>
      <c r="I297" s="7">
        <v>337.59</v>
      </c>
      <c r="J297" s="7"/>
      <c r="K297" s="519"/>
      <c r="L297" s="519"/>
      <c r="M297" s="519"/>
      <c r="N297" s="519"/>
      <c r="O297" s="519"/>
    </row>
    <row r="298" hidden="1">
      <c r="A298" s="7">
        <v>2025.0</v>
      </c>
      <c r="B298" s="6" t="s">
        <v>436</v>
      </c>
      <c r="C298" s="5" t="s">
        <v>637</v>
      </c>
      <c r="D298" s="7"/>
      <c r="E298" s="7"/>
      <c r="F298" s="7"/>
      <c r="G298" s="7"/>
      <c r="H298" s="7"/>
      <c r="I298" s="7">
        <v>-0.48</v>
      </c>
      <c r="J298" s="7"/>
      <c r="K298" s="519"/>
      <c r="L298" s="519"/>
      <c r="M298" s="519"/>
      <c r="N298" s="519"/>
      <c r="O298" s="519"/>
    </row>
    <row r="299" hidden="1">
      <c r="A299" s="7">
        <v>2025.0</v>
      </c>
      <c r="B299" s="6" t="s">
        <v>436</v>
      </c>
      <c r="C299" s="5"/>
      <c r="D299" s="7"/>
      <c r="E299" s="7">
        <v>1000.0</v>
      </c>
      <c r="F299" s="7"/>
      <c r="G299" s="7"/>
      <c r="H299" s="7"/>
      <c r="I299" s="519"/>
      <c r="J299" s="7"/>
      <c r="K299" s="519"/>
      <c r="L299" s="7">
        <v>500.0</v>
      </c>
      <c r="M299" s="7">
        <v>200.0</v>
      </c>
      <c r="N299" s="519"/>
      <c r="O299" s="7">
        <v>150.0</v>
      </c>
    </row>
    <row r="300" hidden="1">
      <c r="A300" s="7">
        <v>2025.0</v>
      </c>
      <c r="B300" s="6" t="s">
        <v>436</v>
      </c>
      <c r="C300" s="5" t="s">
        <v>638</v>
      </c>
      <c r="D300" s="7"/>
      <c r="E300" s="7"/>
      <c r="F300" s="7">
        <v>290.74</v>
      </c>
      <c r="G300" s="7"/>
      <c r="H300" s="7"/>
      <c r="I300" s="519"/>
      <c r="J300" s="7"/>
      <c r="K300" s="519"/>
      <c r="L300" s="519"/>
      <c r="M300" s="519"/>
      <c r="N300" s="519"/>
      <c r="O300" s="519"/>
    </row>
    <row r="301" hidden="1">
      <c r="A301" s="7">
        <v>2025.0</v>
      </c>
      <c r="B301" s="6" t="s">
        <v>436</v>
      </c>
      <c r="C301" s="5" t="s">
        <v>639</v>
      </c>
      <c r="D301" s="7">
        <v>724.25</v>
      </c>
      <c r="E301" s="7"/>
      <c r="F301" s="7"/>
      <c r="G301" s="7"/>
      <c r="H301" s="7"/>
      <c r="I301" s="519"/>
      <c r="J301" s="7"/>
      <c r="K301" s="519"/>
      <c r="L301" s="519"/>
      <c r="M301" s="519"/>
      <c r="N301" s="519"/>
      <c r="O301" s="519"/>
    </row>
    <row r="302" hidden="1">
      <c r="A302" s="7">
        <v>2025.0</v>
      </c>
      <c r="B302" s="6" t="s">
        <v>436</v>
      </c>
      <c r="C302" s="5" t="s">
        <v>527</v>
      </c>
      <c r="D302" s="7">
        <v>234.53</v>
      </c>
      <c r="E302" s="7"/>
      <c r="F302" s="7"/>
      <c r="G302" s="7"/>
      <c r="H302" s="7"/>
      <c r="I302" s="519"/>
      <c r="J302" s="7"/>
      <c r="K302" s="519"/>
      <c r="L302" s="519"/>
      <c r="M302" s="519"/>
      <c r="N302" s="519"/>
      <c r="O302" s="519"/>
    </row>
    <row r="303" hidden="1">
      <c r="A303" s="7">
        <v>2025.0</v>
      </c>
      <c r="B303" s="6" t="s">
        <v>436</v>
      </c>
      <c r="C303" s="5" t="s">
        <v>640</v>
      </c>
      <c r="D303" s="7">
        <v>-724.25</v>
      </c>
      <c r="E303" s="7"/>
      <c r="F303" s="7"/>
      <c r="G303" s="7"/>
      <c r="H303" s="7"/>
      <c r="I303" s="519"/>
      <c r="J303" s="7"/>
      <c r="K303" s="519"/>
      <c r="L303" s="519"/>
      <c r="M303" s="519"/>
      <c r="N303" s="519"/>
      <c r="O303" s="519"/>
    </row>
    <row r="304" hidden="1">
      <c r="A304" s="7">
        <v>2025.0</v>
      </c>
      <c r="B304" s="6" t="s">
        <v>436</v>
      </c>
      <c r="C304" s="5" t="s">
        <v>641</v>
      </c>
      <c r="D304" s="7"/>
      <c r="E304" s="7"/>
      <c r="F304" s="7"/>
      <c r="G304" s="7"/>
      <c r="H304" s="7">
        <v>-3000.0</v>
      </c>
      <c r="I304" s="519"/>
      <c r="J304" s="7"/>
      <c r="K304" s="519"/>
      <c r="L304" s="519"/>
      <c r="M304" s="519"/>
      <c r="N304" s="519"/>
      <c r="O304" s="519"/>
    </row>
    <row r="305" hidden="1">
      <c r="A305" s="7">
        <v>2025.0</v>
      </c>
      <c r="B305" s="6" t="s">
        <v>436</v>
      </c>
      <c r="C305" s="5" t="s">
        <v>642</v>
      </c>
      <c r="D305" s="7"/>
      <c r="E305" s="7"/>
      <c r="F305" s="7"/>
      <c r="G305" s="7"/>
      <c r="H305" s="7">
        <v>-1199.99</v>
      </c>
      <c r="I305" s="519"/>
      <c r="J305" s="7"/>
      <c r="K305" s="519"/>
      <c r="L305" s="519"/>
      <c r="M305" s="519"/>
      <c r="N305" s="519"/>
      <c r="O305" s="519"/>
    </row>
    <row r="306" hidden="1">
      <c r="A306" s="7">
        <v>2025.0</v>
      </c>
      <c r="B306" s="6" t="s">
        <v>436</v>
      </c>
      <c r="C306" s="5" t="s">
        <v>643</v>
      </c>
      <c r="D306" s="7"/>
      <c r="E306" s="7"/>
      <c r="F306" s="7"/>
      <c r="G306" s="7"/>
      <c r="H306" s="7">
        <v>-373.08</v>
      </c>
      <c r="I306" s="519"/>
      <c r="J306" s="7"/>
      <c r="K306" s="519"/>
      <c r="L306" s="519"/>
      <c r="M306" s="519"/>
      <c r="N306" s="519"/>
      <c r="O306" s="519"/>
    </row>
    <row r="307" hidden="1">
      <c r="A307" s="7">
        <v>2025.0</v>
      </c>
      <c r="B307" s="6" t="s">
        <v>436</v>
      </c>
      <c r="C307" s="5" t="s">
        <v>644</v>
      </c>
      <c r="D307" s="7"/>
      <c r="E307" s="7"/>
      <c r="F307" s="7"/>
      <c r="G307" s="7"/>
      <c r="H307" s="7"/>
      <c r="I307" s="519"/>
      <c r="J307" s="7"/>
      <c r="K307" s="519"/>
      <c r="L307" s="519"/>
      <c r="M307" s="519"/>
      <c r="N307" s="519"/>
      <c r="O307" s="7">
        <v>-95.9</v>
      </c>
    </row>
    <row r="308" hidden="1">
      <c r="A308" s="7">
        <v>2025.0</v>
      </c>
      <c r="B308" s="6" t="s">
        <v>436</v>
      </c>
      <c r="C308" s="5" t="s">
        <v>527</v>
      </c>
      <c r="D308" s="7">
        <v>-233.01</v>
      </c>
      <c r="E308" s="7"/>
      <c r="F308" s="7"/>
      <c r="G308" s="7"/>
      <c r="H308" s="7"/>
      <c r="I308" s="519"/>
      <c r="J308" s="7"/>
      <c r="K308" s="519"/>
      <c r="L308" s="519"/>
      <c r="M308" s="519"/>
      <c r="N308" s="519"/>
      <c r="O308" s="519"/>
    </row>
    <row r="309" hidden="1">
      <c r="A309" s="7">
        <v>2025.0</v>
      </c>
      <c r="B309" s="6" t="s">
        <v>436</v>
      </c>
      <c r="C309" s="5" t="s">
        <v>645</v>
      </c>
      <c r="D309" s="7"/>
      <c r="E309" s="7"/>
      <c r="F309" s="7"/>
      <c r="G309" s="7"/>
      <c r="H309" s="7">
        <v>-509.91</v>
      </c>
      <c r="I309" s="519"/>
      <c r="J309" s="7"/>
      <c r="K309" s="519"/>
      <c r="L309" s="519"/>
      <c r="M309" s="519"/>
      <c r="N309" s="519"/>
      <c r="O309" s="519"/>
    </row>
    <row r="310" hidden="1">
      <c r="A310" s="7">
        <v>2025.0</v>
      </c>
      <c r="B310" s="6" t="s">
        <v>436</v>
      </c>
      <c r="C310" s="5" t="s">
        <v>646</v>
      </c>
      <c r="D310" s="7"/>
      <c r="E310" s="7"/>
      <c r="F310" s="7">
        <v>-30.99</v>
      </c>
      <c r="G310" s="7"/>
      <c r="H310" s="7"/>
      <c r="I310" s="519"/>
      <c r="J310" s="7"/>
      <c r="K310" s="519"/>
      <c r="L310" s="519"/>
      <c r="M310" s="519"/>
      <c r="N310" s="519"/>
      <c r="O310" s="519"/>
    </row>
    <row r="311" hidden="1">
      <c r="A311" s="7">
        <v>2025.0</v>
      </c>
      <c r="B311" s="6" t="s">
        <v>436</v>
      </c>
      <c r="C311" s="5" t="s">
        <v>647</v>
      </c>
      <c r="D311" s="7"/>
      <c r="E311" s="7"/>
      <c r="F311" s="7"/>
      <c r="G311" s="7"/>
      <c r="H311" s="7"/>
      <c r="I311" s="519"/>
      <c r="J311" s="7">
        <v>12276.79</v>
      </c>
      <c r="K311" s="519"/>
      <c r="L311" s="519"/>
      <c r="M311" s="519"/>
      <c r="N311" s="519"/>
      <c r="O311" s="519"/>
    </row>
    <row r="312" hidden="1">
      <c r="A312" s="7">
        <v>2025.0</v>
      </c>
      <c r="B312" s="6" t="s">
        <v>436</v>
      </c>
      <c r="C312" s="5" t="s">
        <v>648</v>
      </c>
      <c r="D312" s="7"/>
      <c r="E312" s="7"/>
      <c r="F312" s="7"/>
      <c r="G312" s="7"/>
      <c r="H312" s="7"/>
      <c r="I312" s="519"/>
      <c r="J312" s="7">
        <v>-2000.0</v>
      </c>
      <c r="K312" s="519"/>
      <c r="L312" s="519"/>
      <c r="M312" s="519"/>
      <c r="N312" s="519"/>
      <c r="O312" s="519"/>
    </row>
    <row r="313" hidden="1">
      <c r="A313" s="7">
        <v>2025.0</v>
      </c>
      <c r="B313" s="6" t="s">
        <v>436</v>
      </c>
      <c r="C313" s="5" t="s">
        <v>649</v>
      </c>
      <c r="D313" s="7"/>
      <c r="E313" s="7"/>
      <c r="F313" s="7"/>
      <c r="G313" s="7"/>
      <c r="H313" s="7"/>
      <c r="I313" s="519"/>
      <c r="J313" s="7">
        <v>7964.0</v>
      </c>
      <c r="K313" s="519"/>
      <c r="L313" s="519"/>
      <c r="M313" s="519"/>
      <c r="N313" s="519"/>
      <c r="O313" s="519"/>
    </row>
    <row r="314" hidden="1">
      <c r="A314" s="7">
        <v>2025.0</v>
      </c>
      <c r="B314" s="6" t="s">
        <v>436</v>
      </c>
      <c r="C314" s="5" t="s">
        <v>650</v>
      </c>
      <c r="D314" s="7"/>
      <c r="E314" s="7"/>
      <c r="F314" s="7"/>
      <c r="G314" s="7"/>
      <c r="H314" s="7"/>
      <c r="I314" s="519"/>
      <c r="J314" s="7">
        <v>-2000.0</v>
      </c>
      <c r="K314" s="519"/>
      <c r="L314" s="519"/>
      <c r="M314" s="519"/>
      <c r="N314" s="519"/>
      <c r="O314" s="519"/>
    </row>
    <row r="315" hidden="1">
      <c r="A315" s="7">
        <v>2025.0</v>
      </c>
      <c r="B315" s="6" t="s">
        <v>436</v>
      </c>
      <c r="D315" s="7"/>
      <c r="E315" s="7"/>
      <c r="F315" s="7"/>
      <c r="G315" s="7"/>
      <c r="H315" s="7"/>
      <c r="I315" s="519"/>
      <c r="J315" s="7">
        <v>-0.55</v>
      </c>
      <c r="K315" s="519"/>
      <c r="L315" s="519"/>
      <c r="M315" s="519"/>
      <c r="N315" s="519"/>
      <c r="O315" s="519"/>
    </row>
    <row r="316" hidden="1">
      <c r="A316" s="7">
        <v>2025.0</v>
      </c>
      <c r="B316" s="6" t="s">
        <v>436</v>
      </c>
      <c r="C316" s="5" t="s">
        <v>651</v>
      </c>
      <c r="D316" s="7"/>
      <c r="E316" s="7"/>
      <c r="F316" s="7"/>
      <c r="G316" s="7"/>
      <c r="H316" s="7"/>
      <c r="I316" s="519"/>
      <c r="K316" s="7">
        <f>5350-0.25</f>
        <v>5349.75</v>
      </c>
      <c r="L316" s="519"/>
      <c r="M316" s="519"/>
      <c r="N316" s="519"/>
      <c r="O316" s="519"/>
    </row>
    <row r="317" hidden="1">
      <c r="A317" s="7">
        <v>2025.0</v>
      </c>
      <c r="B317" s="6" t="s">
        <v>436</v>
      </c>
      <c r="C317" s="5" t="s">
        <v>652</v>
      </c>
      <c r="D317" s="7"/>
      <c r="E317" s="7"/>
      <c r="F317" s="7"/>
      <c r="G317" s="7"/>
      <c r="H317" s="7">
        <v>-270.02</v>
      </c>
      <c r="I317" s="519"/>
      <c r="J317" s="7"/>
      <c r="K317" s="519"/>
      <c r="L317" s="519"/>
      <c r="M317" s="519"/>
      <c r="N317" s="519"/>
      <c r="O317" s="519"/>
    </row>
    <row r="318" hidden="1">
      <c r="A318" s="7">
        <v>2025.0</v>
      </c>
      <c r="B318" s="6" t="s">
        <v>436</v>
      </c>
      <c r="C318" s="5" t="s">
        <v>653</v>
      </c>
      <c r="D318" s="7"/>
      <c r="E318" s="7"/>
      <c r="F318" s="7"/>
      <c r="G318" s="7"/>
      <c r="H318" s="7"/>
      <c r="I318" s="519"/>
      <c r="J318" s="7"/>
      <c r="K318" s="519"/>
      <c r="L318" s="519"/>
      <c r="M318" s="519"/>
      <c r="N318" s="7">
        <v>7666.0</v>
      </c>
      <c r="O318" s="519"/>
    </row>
    <row r="319" hidden="1">
      <c r="A319" s="7">
        <v>2025.0</v>
      </c>
      <c r="B319" s="6" t="s">
        <v>436</v>
      </c>
      <c r="C319" s="5" t="s">
        <v>654</v>
      </c>
      <c r="D319" s="7"/>
      <c r="E319" s="7"/>
      <c r="F319" s="7"/>
      <c r="G319" s="7"/>
      <c r="H319" s="7">
        <v>-1703.11</v>
      </c>
      <c r="I319" s="519"/>
      <c r="J319" s="7"/>
      <c r="K319" s="519"/>
      <c r="L319" s="519"/>
      <c r="M319" s="519"/>
      <c r="N319" s="519"/>
      <c r="O319" s="519"/>
    </row>
    <row r="320" hidden="1">
      <c r="A320" s="7">
        <v>2025.0</v>
      </c>
      <c r="B320" s="6" t="s">
        <v>436</v>
      </c>
      <c r="C320" s="5" t="s">
        <v>655</v>
      </c>
      <c r="D320" s="7"/>
      <c r="E320" s="7"/>
      <c r="F320" s="7"/>
      <c r="G320" s="7"/>
      <c r="H320" s="7"/>
      <c r="I320" s="519"/>
      <c r="J320" s="7"/>
      <c r="K320" s="519"/>
      <c r="L320" s="519"/>
      <c r="M320" s="519"/>
      <c r="N320" s="519"/>
      <c r="O320" s="7">
        <v>-55.5</v>
      </c>
    </row>
    <row r="321">
      <c r="A321" s="7">
        <v>2026.0</v>
      </c>
      <c r="B321" s="6" t="s">
        <v>396</v>
      </c>
      <c r="C321" s="5"/>
      <c r="D321" s="7"/>
      <c r="E321" s="7">
        <v>1000.0</v>
      </c>
      <c r="F321" s="7"/>
      <c r="G321" s="7"/>
      <c r="H321" s="7"/>
      <c r="I321" s="519"/>
      <c r="J321" s="7"/>
      <c r="K321" s="519"/>
      <c r="L321" s="7">
        <v>500.0</v>
      </c>
      <c r="M321" s="7">
        <v>200.0</v>
      </c>
      <c r="N321" s="519"/>
      <c r="O321" s="7">
        <v>150.0</v>
      </c>
    </row>
    <row r="322">
      <c r="A322" s="7">
        <v>2026.0</v>
      </c>
      <c r="B322" s="6" t="s">
        <v>396</v>
      </c>
      <c r="C322" s="5" t="s">
        <v>656</v>
      </c>
      <c r="D322" s="7">
        <v>204.09</v>
      </c>
      <c r="E322" s="7"/>
      <c r="F322" s="7"/>
      <c r="G322" s="7"/>
      <c r="H322" s="7"/>
      <c r="I322" s="519"/>
      <c r="J322" s="7"/>
      <c r="K322" s="519"/>
      <c r="L322" s="519"/>
      <c r="M322" s="519"/>
      <c r="N322" s="519"/>
      <c r="O322" s="519"/>
    </row>
    <row r="323">
      <c r="A323" s="7">
        <v>2026.0</v>
      </c>
      <c r="B323" s="6" t="s">
        <v>396</v>
      </c>
      <c r="C323" s="5" t="s">
        <v>657</v>
      </c>
      <c r="D323" s="7">
        <v>724.25</v>
      </c>
      <c r="E323" s="7"/>
      <c r="F323" s="7"/>
      <c r="G323" s="7"/>
      <c r="H323" s="7"/>
      <c r="I323" s="519"/>
      <c r="J323" s="7"/>
      <c r="K323" s="519"/>
      <c r="L323" s="519"/>
      <c r="M323" s="519"/>
      <c r="N323" s="519"/>
      <c r="O323" s="519"/>
    </row>
    <row r="324">
      <c r="A324" s="7">
        <v>2026.0</v>
      </c>
      <c r="B324" s="6" t="s">
        <v>396</v>
      </c>
      <c r="C324" s="5" t="s">
        <v>527</v>
      </c>
      <c r="D324" s="7">
        <v>234.53</v>
      </c>
      <c r="E324" s="7"/>
      <c r="F324" s="7"/>
      <c r="G324" s="7"/>
      <c r="H324" s="7"/>
      <c r="I324" s="519"/>
      <c r="J324" s="7"/>
      <c r="K324" s="519"/>
      <c r="L324" s="519"/>
      <c r="M324" s="519"/>
      <c r="N324" s="519"/>
      <c r="O324" s="519"/>
    </row>
    <row r="325">
      <c r="A325" s="7">
        <v>2026.0</v>
      </c>
      <c r="B325" s="6" t="s">
        <v>396</v>
      </c>
      <c r="C325" s="5" t="s">
        <v>658</v>
      </c>
      <c r="D325" s="7"/>
      <c r="E325" s="7"/>
      <c r="F325" s="7"/>
      <c r="G325" s="7"/>
      <c r="H325" s="7">
        <v>-35.0</v>
      </c>
      <c r="I325" s="519"/>
      <c r="K325" s="519"/>
      <c r="L325" s="519"/>
      <c r="M325" s="519"/>
      <c r="N325" s="519"/>
      <c r="O325" s="519"/>
    </row>
    <row r="326">
      <c r="A326" s="7">
        <v>2026.0</v>
      </c>
      <c r="B326" s="6" t="s">
        <v>396</v>
      </c>
      <c r="C326" s="5" t="s">
        <v>659</v>
      </c>
      <c r="D326" s="7"/>
      <c r="E326" s="7"/>
      <c r="F326" s="7"/>
      <c r="G326" s="7"/>
      <c r="H326" s="7"/>
      <c r="I326" s="7">
        <v>456.14</v>
      </c>
      <c r="J326" s="7"/>
      <c r="K326" s="519"/>
      <c r="L326" s="519"/>
      <c r="M326" s="519"/>
      <c r="N326" s="519"/>
      <c r="O326" s="519"/>
    </row>
    <row r="327">
      <c r="A327" s="7">
        <v>2026.0</v>
      </c>
      <c r="B327" s="6" t="s">
        <v>396</v>
      </c>
      <c r="C327" s="5" t="s">
        <v>660</v>
      </c>
      <c r="D327" s="7"/>
      <c r="E327" s="7"/>
      <c r="F327" s="7"/>
      <c r="G327" s="7"/>
      <c r="H327" s="7">
        <v>-150.0</v>
      </c>
      <c r="I327" s="7"/>
      <c r="K327" s="519"/>
      <c r="L327" s="519"/>
      <c r="M327" s="519"/>
      <c r="N327" s="519"/>
      <c r="O327" s="519"/>
    </row>
    <row r="328">
      <c r="A328" s="7">
        <v>2026.0</v>
      </c>
      <c r="B328" s="6" t="s">
        <v>396</v>
      </c>
      <c r="C328" s="5" t="s">
        <v>661</v>
      </c>
      <c r="D328" s="7">
        <f>-(+417.53+306.72)</f>
        <v>-724.25</v>
      </c>
      <c r="E328" s="7"/>
      <c r="F328" s="7"/>
      <c r="G328" s="7"/>
      <c r="H328" s="7"/>
      <c r="I328" s="7"/>
      <c r="J328" s="7"/>
      <c r="K328" s="519"/>
      <c r="L328" s="519"/>
      <c r="M328" s="519"/>
      <c r="N328" s="519"/>
      <c r="O328" s="519"/>
    </row>
    <row r="329">
      <c r="A329" s="7">
        <v>2026.0</v>
      </c>
      <c r="B329" s="6" t="s">
        <v>396</v>
      </c>
      <c r="C329" s="5" t="s">
        <v>527</v>
      </c>
      <c r="D329" s="7">
        <v>-232.25</v>
      </c>
      <c r="E329" s="7"/>
      <c r="F329" s="7"/>
      <c r="G329" s="7"/>
      <c r="H329" s="7"/>
      <c r="I329" s="7"/>
      <c r="J329" s="7"/>
      <c r="K329" s="519"/>
      <c r="L329" s="519"/>
      <c r="M329" s="519"/>
      <c r="N329" s="519"/>
      <c r="O329" s="519"/>
      <c r="Q329" s="18">
        <v>1834.0</v>
      </c>
    </row>
    <row r="330">
      <c r="A330" s="7">
        <v>2026.0</v>
      </c>
      <c r="B330" s="6" t="s">
        <v>396</v>
      </c>
      <c r="C330" s="5" t="s">
        <v>662</v>
      </c>
      <c r="D330" s="7"/>
      <c r="E330" s="7"/>
      <c r="F330" s="7"/>
      <c r="G330" s="7"/>
      <c r="H330" s="7"/>
      <c r="I330" s="7"/>
      <c r="J330" s="7"/>
      <c r="K330" s="519"/>
      <c r="L330" s="519"/>
      <c r="M330" s="519"/>
      <c r="N330" s="519"/>
      <c r="O330" s="7">
        <v>-41.5</v>
      </c>
      <c r="Q330" s="18">
        <v>1272.0</v>
      </c>
    </row>
    <row r="331">
      <c r="A331" s="7">
        <v>2026.0</v>
      </c>
      <c r="B331" s="6" t="s">
        <v>396</v>
      </c>
      <c r="C331" s="5" t="s">
        <v>663</v>
      </c>
      <c r="D331" s="7"/>
      <c r="E331" s="7"/>
      <c r="F331" s="7"/>
      <c r="G331" s="7"/>
      <c r="H331" s="7">
        <v>-973.6</v>
      </c>
      <c r="I331" s="7"/>
      <c r="J331" s="7"/>
      <c r="K331" s="519"/>
      <c r="L331" s="519"/>
      <c r="M331" s="519"/>
      <c r="N331" s="519"/>
      <c r="O331" s="519"/>
    </row>
    <row r="332">
      <c r="A332" s="7">
        <v>2026.0</v>
      </c>
      <c r="B332" s="6" t="s">
        <v>396</v>
      </c>
      <c r="C332" s="5" t="s">
        <v>664</v>
      </c>
      <c r="D332" s="7"/>
      <c r="E332" s="7"/>
      <c r="F332" s="7"/>
      <c r="G332" s="7"/>
      <c r="H332" s="7">
        <v>-248.0</v>
      </c>
      <c r="I332" s="7"/>
      <c r="J332" s="7"/>
      <c r="K332" s="519"/>
      <c r="L332" s="519"/>
      <c r="M332" s="519"/>
      <c r="N332" s="519"/>
      <c r="O332" s="519"/>
    </row>
    <row r="333">
      <c r="A333" s="7">
        <v>2026.0</v>
      </c>
      <c r="B333" s="6" t="s">
        <v>396</v>
      </c>
      <c r="C333" s="5" t="s">
        <v>665</v>
      </c>
      <c r="D333" s="7"/>
      <c r="E333" s="7"/>
      <c r="F333" s="7"/>
      <c r="G333" s="7"/>
      <c r="H333" s="7">
        <v>-130.9</v>
      </c>
      <c r="I333" s="7"/>
      <c r="J333" s="7"/>
      <c r="K333" s="519"/>
      <c r="L333" s="519"/>
      <c r="M333" s="519"/>
      <c r="N333" s="519"/>
      <c r="O333" s="519"/>
    </row>
    <row r="334">
      <c r="A334" s="7">
        <v>2026.0</v>
      </c>
      <c r="B334" s="6" t="s">
        <v>396</v>
      </c>
      <c r="C334" s="5" t="s">
        <v>666</v>
      </c>
      <c r="D334" s="7"/>
      <c r="E334" s="7"/>
      <c r="F334" s="7"/>
      <c r="G334" s="7"/>
      <c r="H334" s="7"/>
      <c r="I334" s="7"/>
      <c r="J334" s="7"/>
      <c r="K334" s="7">
        <v>5351.01</v>
      </c>
      <c r="L334" s="519"/>
      <c r="M334" s="519"/>
      <c r="N334" s="519"/>
      <c r="O334" s="519"/>
    </row>
    <row r="335">
      <c r="A335" s="7">
        <v>2026.0</v>
      </c>
      <c r="B335" s="6" t="s">
        <v>396</v>
      </c>
      <c r="C335" s="5" t="s">
        <v>598</v>
      </c>
      <c r="D335" s="7"/>
      <c r="E335" s="7"/>
      <c r="F335" s="7">
        <v>-300.0</v>
      </c>
      <c r="G335" s="7"/>
      <c r="H335" s="7"/>
      <c r="I335" s="7"/>
      <c r="J335" s="7"/>
      <c r="K335" s="519"/>
      <c r="L335" s="519"/>
      <c r="M335" s="519"/>
      <c r="N335" s="519"/>
      <c r="O335" s="519"/>
    </row>
    <row r="336">
      <c r="A336" s="7">
        <v>2026.0</v>
      </c>
      <c r="B336" s="6" t="s">
        <v>396</v>
      </c>
      <c r="C336" s="5" t="s">
        <v>667</v>
      </c>
      <c r="D336" s="7"/>
      <c r="E336" s="7"/>
      <c r="F336" s="7"/>
      <c r="G336" s="7"/>
      <c r="H336" s="7"/>
      <c r="I336" s="7"/>
      <c r="J336" s="7"/>
      <c r="K336" s="519"/>
      <c r="L336" s="519"/>
      <c r="M336" s="519"/>
      <c r="N336" s="519"/>
      <c r="O336" s="519"/>
    </row>
    <row r="337">
      <c r="A337" s="7">
        <v>2026.0</v>
      </c>
      <c r="B337" s="6" t="s">
        <v>396</v>
      </c>
      <c r="C337" s="5" t="s">
        <v>668</v>
      </c>
      <c r="D337" s="7"/>
      <c r="E337" s="7"/>
      <c r="F337" s="7"/>
      <c r="G337" s="7"/>
      <c r="H337" s="7"/>
      <c r="I337" s="7"/>
      <c r="J337" s="7"/>
      <c r="K337" s="519"/>
      <c r="L337" s="519"/>
      <c r="M337" s="519"/>
      <c r="N337" s="7">
        <v>-3106.0</v>
      </c>
      <c r="O337" s="519"/>
    </row>
    <row r="338">
      <c r="A338" s="7">
        <v>2026.0</v>
      </c>
      <c r="B338" s="6" t="s">
        <v>396</v>
      </c>
      <c r="C338" s="5" t="s">
        <v>669</v>
      </c>
      <c r="D338" s="7"/>
      <c r="E338" s="7"/>
      <c r="F338" s="7"/>
      <c r="G338" s="7"/>
      <c r="H338" s="7"/>
      <c r="I338" s="7"/>
      <c r="J338" s="7"/>
      <c r="K338" s="519"/>
      <c r="L338" s="519"/>
      <c r="M338" s="519"/>
      <c r="N338" s="7">
        <v>-498.0</v>
      </c>
      <c r="O338" s="519"/>
    </row>
    <row r="339">
      <c r="A339" s="7">
        <v>2026.0</v>
      </c>
      <c r="B339" s="6" t="s">
        <v>396</v>
      </c>
      <c r="C339" s="5" t="s">
        <v>670</v>
      </c>
      <c r="D339" s="7"/>
      <c r="E339" s="7"/>
      <c r="F339" s="7"/>
      <c r="G339" s="7"/>
      <c r="H339" s="7"/>
      <c r="I339" s="7">
        <f>-6520.98-N339</f>
        <v>-2264.91</v>
      </c>
      <c r="J339" s="7"/>
      <c r="K339" s="519"/>
      <c r="L339" s="519"/>
      <c r="M339" s="519"/>
      <c r="N339" s="7">
        <v>-4256.07</v>
      </c>
      <c r="O339" s="519"/>
    </row>
    <row r="340">
      <c r="A340" s="7">
        <v>2026.0</v>
      </c>
      <c r="B340" s="6" t="s">
        <v>396</v>
      </c>
      <c r="C340" s="5" t="s">
        <v>671</v>
      </c>
      <c r="D340" s="7"/>
      <c r="E340" s="7"/>
      <c r="F340" s="7"/>
      <c r="G340" s="7"/>
      <c r="H340" s="7"/>
      <c r="I340" s="7">
        <v>-663.2</v>
      </c>
      <c r="J340" s="7"/>
      <c r="K340" s="519"/>
      <c r="L340" s="519"/>
      <c r="M340" s="519"/>
      <c r="N340" s="519"/>
      <c r="O340" s="519"/>
    </row>
    <row r="341">
      <c r="A341" s="7">
        <v>2026.0</v>
      </c>
      <c r="B341" s="6" t="s">
        <v>396</v>
      </c>
      <c r="C341" s="5" t="s">
        <v>672</v>
      </c>
      <c r="D341" s="7">
        <v>724.25</v>
      </c>
      <c r="E341" s="7"/>
      <c r="F341" s="7">
        <v>385.75</v>
      </c>
      <c r="G341" s="7"/>
      <c r="H341" s="7"/>
      <c r="I341" s="7"/>
      <c r="J341" s="7"/>
      <c r="K341" s="519"/>
      <c r="L341" s="7"/>
      <c r="M341" s="519"/>
      <c r="N341" s="519"/>
      <c r="O341" s="519"/>
    </row>
    <row r="342">
      <c r="A342" s="7">
        <v>2026.0</v>
      </c>
      <c r="B342" s="6" t="s">
        <v>396</v>
      </c>
      <c r="C342" s="5"/>
      <c r="D342" s="7"/>
      <c r="E342" s="7">
        <v>1000.0</v>
      </c>
      <c r="F342" s="7"/>
      <c r="G342" s="7"/>
      <c r="H342" s="7"/>
      <c r="I342" s="7"/>
      <c r="J342" s="7"/>
      <c r="K342" s="519"/>
      <c r="L342" s="7">
        <v>500.0</v>
      </c>
      <c r="M342" s="7">
        <v>200.0</v>
      </c>
      <c r="N342" s="519"/>
      <c r="O342" s="7">
        <v>110.0</v>
      </c>
    </row>
    <row r="343">
      <c r="A343" s="7">
        <v>2026.0</v>
      </c>
      <c r="B343" s="6" t="s">
        <v>396</v>
      </c>
      <c r="C343" s="5" t="s">
        <v>527</v>
      </c>
      <c r="D343" s="7">
        <v>234.53</v>
      </c>
      <c r="E343" s="7"/>
      <c r="F343" s="7"/>
      <c r="G343" s="7"/>
      <c r="H343" s="7"/>
      <c r="I343" s="7"/>
      <c r="J343" s="7"/>
      <c r="K343" s="519"/>
      <c r="L343" s="519"/>
      <c r="M343" s="519"/>
      <c r="N343" s="519"/>
      <c r="O343" s="519"/>
    </row>
    <row r="344">
      <c r="A344" s="7">
        <v>2026.0</v>
      </c>
      <c r="B344" s="6" t="s">
        <v>396</v>
      </c>
      <c r="C344" s="5" t="s">
        <v>673</v>
      </c>
      <c r="D344" s="7"/>
      <c r="E344" s="7"/>
      <c r="F344" s="7"/>
      <c r="G344" s="7"/>
      <c r="H344" s="7"/>
      <c r="I344" s="7"/>
      <c r="J344" s="7"/>
      <c r="K344" s="519"/>
      <c r="L344" s="7">
        <v>-500.0</v>
      </c>
      <c r="M344" s="519"/>
      <c r="N344" s="519"/>
      <c r="O344" s="519"/>
    </row>
    <row r="345">
      <c r="A345" s="7">
        <v>2026.0</v>
      </c>
      <c r="B345" s="6" t="s">
        <v>396</v>
      </c>
      <c r="C345" s="5" t="s">
        <v>674</v>
      </c>
      <c r="D345" s="7">
        <v>-725.62</v>
      </c>
      <c r="E345" s="7"/>
      <c r="F345" s="7"/>
      <c r="G345" s="7"/>
      <c r="H345" s="7"/>
      <c r="I345" s="7"/>
      <c r="J345" s="7"/>
      <c r="K345" s="519"/>
      <c r="L345" s="519"/>
      <c r="M345" s="519"/>
      <c r="N345" s="519"/>
      <c r="O345" s="519"/>
    </row>
    <row r="346">
      <c r="A346" s="7">
        <v>2026.0</v>
      </c>
      <c r="B346" s="6" t="s">
        <v>414</v>
      </c>
      <c r="C346" s="5" t="s">
        <v>675</v>
      </c>
      <c r="D346" s="7"/>
      <c r="E346" s="7"/>
      <c r="F346" s="7"/>
      <c r="G346" s="7"/>
      <c r="H346" s="7"/>
      <c r="I346" s="7"/>
      <c r="J346" s="7">
        <v>-10000.0</v>
      </c>
      <c r="K346" s="519"/>
      <c r="L346" s="519"/>
      <c r="M346" s="519"/>
      <c r="N346" s="519"/>
      <c r="O346" s="519"/>
    </row>
    <row r="347">
      <c r="A347" s="7">
        <v>2026.0</v>
      </c>
      <c r="B347" s="6" t="s">
        <v>414</v>
      </c>
      <c r="C347" s="5" t="s">
        <v>659</v>
      </c>
      <c r="D347" s="7"/>
      <c r="E347" s="7"/>
      <c r="F347" s="7"/>
      <c r="G347" s="7"/>
      <c r="H347" s="7"/>
      <c r="I347" s="7">
        <v>534.83</v>
      </c>
      <c r="J347" s="7"/>
      <c r="K347" s="519"/>
      <c r="L347" s="519"/>
      <c r="M347" s="519"/>
      <c r="N347" s="519"/>
      <c r="O347" s="519"/>
    </row>
    <row r="348">
      <c r="A348" s="7">
        <v>2026.0</v>
      </c>
      <c r="B348" s="6" t="s">
        <v>414</v>
      </c>
      <c r="C348" s="5" t="s">
        <v>676</v>
      </c>
      <c r="D348" s="7"/>
      <c r="E348" s="7"/>
      <c r="F348" s="7"/>
      <c r="G348" s="7"/>
      <c r="H348" s="7"/>
      <c r="I348" s="7"/>
      <c r="J348" s="7"/>
      <c r="K348" s="7">
        <v>5350.27</v>
      </c>
      <c r="L348" s="519"/>
      <c r="M348" s="519"/>
      <c r="N348" s="519"/>
      <c r="O348" s="519"/>
    </row>
    <row r="349">
      <c r="A349" s="7">
        <v>2026.0</v>
      </c>
      <c r="B349" s="6" t="s">
        <v>414</v>
      </c>
      <c r="C349" s="5" t="s">
        <v>677</v>
      </c>
      <c r="D349" s="7"/>
      <c r="E349" s="7"/>
      <c r="F349" s="7"/>
      <c r="G349" s="7"/>
      <c r="H349" s="7"/>
      <c r="I349" s="7"/>
      <c r="J349" s="7"/>
      <c r="K349" s="7">
        <v>5500.13</v>
      </c>
      <c r="L349" s="519"/>
      <c r="M349" s="519"/>
      <c r="N349" s="519"/>
      <c r="O349" s="519"/>
    </row>
    <row r="350">
      <c r="A350" s="7">
        <v>2026.0</v>
      </c>
      <c r="B350" s="6" t="s">
        <v>414</v>
      </c>
      <c r="C350" s="5" t="s">
        <v>527</v>
      </c>
      <c r="D350" s="7">
        <v>-232.04</v>
      </c>
      <c r="E350" s="7"/>
      <c r="F350" s="7"/>
      <c r="G350" s="7"/>
      <c r="H350" s="7"/>
      <c r="I350" s="7"/>
      <c r="J350" s="7"/>
      <c r="K350" s="519"/>
      <c r="L350" s="519"/>
      <c r="M350" s="519"/>
      <c r="N350" s="519"/>
      <c r="O350" s="519"/>
    </row>
    <row r="351">
      <c r="A351" s="7">
        <v>2026.0</v>
      </c>
      <c r="B351" s="6" t="s">
        <v>414</v>
      </c>
      <c r="C351" s="5" t="s">
        <v>678</v>
      </c>
      <c r="D351" s="7"/>
      <c r="E351" s="7"/>
      <c r="F351" s="7"/>
      <c r="G351" s="7"/>
      <c r="H351" s="7"/>
      <c r="I351" s="7"/>
      <c r="J351" s="7"/>
      <c r="K351" s="519"/>
      <c r="L351" s="519"/>
      <c r="M351" s="519"/>
      <c r="N351" s="519"/>
      <c r="O351" s="7">
        <v>-63.38</v>
      </c>
    </row>
    <row r="352">
      <c r="A352" s="7">
        <v>2026.0</v>
      </c>
      <c r="B352" s="6" t="s">
        <v>414</v>
      </c>
      <c r="C352" s="5" t="s">
        <v>679</v>
      </c>
      <c r="D352" s="7"/>
      <c r="E352" s="7"/>
      <c r="F352" s="7"/>
      <c r="G352" s="7"/>
      <c r="H352" s="7"/>
      <c r="I352" s="7">
        <v>-170.0</v>
      </c>
      <c r="J352" s="7"/>
      <c r="K352" s="519"/>
      <c r="L352" s="519"/>
      <c r="M352" s="519"/>
      <c r="N352" s="519"/>
      <c r="O352" s="519"/>
    </row>
    <row r="353">
      <c r="A353" s="7">
        <v>2026.0</v>
      </c>
      <c r="B353" s="6" t="s">
        <v>414</v>
      </c>
      <c r="C353" s="5" t="s">
        <v>680</v>
      </c>
      <c r="D353" s="7"/>
      <c r="E353" s="7"/>
      <c r="F353" s="7"/>
      <c r="G353" s="7"/>
      <c r="H353" s="7"/>
      <c r="I353" s="7">
        <v>-398.0</v>
      </c>
      <c r="J353" s="7"/>
      <c r="K353" s="519"/>
      <c r="L353" s="519"/>
      <c r="M353" s="519"/>
      <c r="N353" s="519"/>
      <c r="O353" s="519"/>
    </row>
    <row r="354">
      <c r="A354" s="7">
        <v>2026.0</v>
      </c>
      <c r="B354" s="6" t="s">
        <v>414</v>
      </c>
      <c r="C354" s="5" t="s">
        <v>681</v>
      </c>
      <c r="D354" s="7"/>
      <c r="E354" s="7"/>
      <c r="F354" s="7"/>
      <c r="G354" s="7"/>
      <c r="H354" s="7"/>
      <c r="I354" s="7">
        <v>3496.11</v>
      </c>
      <c r="J354" s="7"/>
      <c r="K354" s="519"/>
      <c r="L354" s="519"/>
      <c r="M354" s="519"/>
      <c r="N354" s="519">
        <v>3634.2</v>
      </c>
      <c r="O354" s="519"/>
    </row>
    <row r="355">
      <c r="A355" s="7">
        <v>2026.0</v>
      </c>
      <c r="B355" s="6" t="s">
        <v>414</v>
      </c>
      <c r="C355" s="5" t="s">
        <v>651</v>
      </c>
      <c r="D355" s="7"/>
      <c r="E355" s="7"/>
      <c r="F355" s="7"/>
      <c r="G355" s="7"/>
      <c r="H355" s="7"/>
      <c r="I355" s="7"/>
      <c r="J355" s="7"/>
      <c r="K355" s="7">
        <v>5500.0</v>
      </c>
      <c r="L355" s="519"/>
      <c r="M355" s="519"/>
      <c r="N355" s="519"/>
      <c r="O355" s="519"/>
    </row>
    <row r="356">
      <c r="A356" s="7">
        <v>2026.0</v>
      </c>
      <c r="B356" s="6" t="s">
        <v>419</v>
      </c>
      <c r="C356" s="5"/>
      <c r="D356" s="7"/>
      <c r="E356" s="7">
        <v>1000.0</v>
      </c>
      <c r="F356" s="7"/>
      <c r="G356" s="7"/>
      <c r="H356" s="7"/>
      <c r="I356" s="7"/>
      <c r="J356" s="7"/>
      <c r="K356" s="519"/>
      <c r="L356" s="7">
        <v>500.0</v>
      </c>
      <c r="M356" s="7">
        <v>200.0</v>
      </c>
      <c r="N356" s="519"/>
      <c r="O356" s="7">
        <v>110.0</v>
      </c>
    </row>
    <row r="357">
      <c r="A357" s="7">
        <v>2026.0</v>
      </c>
      <c r="B357" s="6" t="s">
        <v>419</v>
      </c>
      <c r="C357" s="5" t="s">
        <v>527</v>
      </c>
      <c r="D357" s="7">
        <v>234.53</v>
      </c>
      <c r="E357" s="7"/>
      <c r="F357" s="7"/>
      <c r="G357" s="7"/>
      <c r="H357" s="7"/>
      <c r="I357" s="7"/>
      <c r="J357" s="7"/>
      <c r="K357" s="519"/>
      <c r="L357" s="519"/>
      <c r="M357" s="519"/>
      <c r="N357" s="519"/>
      <c r="O357" s="519"/>
    </row>
    <row r="358">
      <c r="A358" s="7">
        <v>2026.0</v>
      </c>
      <c r="B358" s="6" t="s">
        <v>419</v>
      </c>
      <c r="C358" s="5" t="s">
        <v>672</v>
      </c>
      <c r="D358" s="7">
        <v>724.25</v>
      </c>
      <c r="E358" s="7"/>
      <c r="F358" s="7"/>
      <c r="G358" s="7"/>
      <c r="H358" s="7"/>
      <c r="I358" s="7"/>
      <c r="J358" s="7"/>
      <c r="K358" s="519"/>
      <c r="L358" s="519"/>
      <c r="M358" s="519"/>
      <c r="N358" s="519"/>
      <c r="O358" s="519"/>
    </row>
    <row r="359">
      <c r="A359" s="7">
        <v>2026.0</v>
      </c>
      <c r="B359" s="6" t="s">
        <v>419</v>
      </c>
      <c r="C359" s="5"/>
      <c r="D359" s="7"/>
      <c r="E359" s="7"/>
      <c r="F359" s="7">
        <v>771.46</v>
      </c>
      <c r="G359" s="7"/>
      <c r="H359" s="7"/>
      <c r="I359" s="7"/>
      <c r="J359" s="7"/>
      <c r="K359" s="519"/>
      <c r="L359" s="519"/>
      <c r="M359" s="519"/>
      <c r="N359" s="519"/>
      <c r="O359" s="519"/>
    </row>
    <row r="360">
      <c r="A360" s="7">
        <v>2026.0</v>
      </c>
      <c r="B360" s="6" t="s">
        <v>419</v>
      </c>
      <c r="C360" s="5" t="s">
        <v>672</v>
      </c>
      <c r="D360" s="7">
        <v>-724.25</v>
      </c>
      <c r="E360" s="7"/>
      <c r="F360" s="7"/>
      <c r="G360" s="7"/>
      <c r="H360" s="7"/>
      <c r="I360" s="7"/>
      <c r="J360" s="7"/>
      <c r="K360" s="519"/>
      <c r="L360" s="519"/>
      <c r="M360" s="519"/>
      <c r="N360" s="519"/>
      <c r="O360" s="519"/>
    </row>
    <row r="361">
      <c r="A361" s="7">
        <v>2026.0</v>
      </c>
      <c r="B361" s="6" t="s">
        <v>419</v>
      </c>
      <c r="C361" s="5" t="s">
        <v>682</v>
      </c>
      <c r="D361" s="7"/>
      <c r="E361" s="7"/>
      <c r="F361" s="7"/>
      <c r="G361" s="7"/>
      <c r="H361" s="7"/>
      <c r="I361" s="7">
        <v>464.04</v>
      </c>
      <c r="J361" s="7"/>
      <c r="K361" s="519"/>
      <c r="L361" s="519"/>
      <c r="M361" s="519"/>
      <c r="N361" s="519"/>
      <c r="O361" s="519"/>
    </row>
    <row r="362">
      <c r="A362" s="7">
        <v>2026.0</v>
      </c>
      <c r="B362" s="6" t="s">
        <v>419</v>
      </c>
      <c r="C362" s="5" t="s">
        <v>683</v>
      </c>
      <c r="D362" s="7"/>
      <c r="E362" s="7"/>
      <c r="F362" s="7"/>
      <c r="G362" s="7"/>
      <c r="H362" s="7"/>
      <c r="I362" s="7"/>
      <c r="J362" s="7"/>
      <c r="K362" s="519"/>
      <c r="L362" s="519"/>
      <c r="M362" s="519"/>
      <c r="N362" s="7">
        <v>-692.09</v>
      </c>
      <c r="O362" s="519"/>
    </row>
    <row r="363">
      <c r="A363" s="7">
        <v>2026.0</v>
      </c>
      <c r="B363" s="6" t="s">
        <v>419</v>
      </c>
      <c r="C363" s="5" t="s">
        <v>684</v>
      </c>
      <c r="D363" s="7"/>
      <c r="E363" s="7"/>
      <c r="F363" s="7"/>
      <c r="G363" s="7"/>
      <c r="H363" s="7"/>
      <c r="I363" s="7"/>
      <c r="J363" s="7"/>
      <c r="K363" s="519"/>
      <c r="L363" s="519"/>
      <c r="M363" s="519"/>
      <c r="N363" s="7">
        <v>-1000.0</v>
      </c>
      <c r="O363" s="519"/>
    </row>
    <row r="364">
      <c r="A364" s="7">
        <v>2026.0</v>
      </c>
      <c r="B364" s="6" t="s">
        <v>419</v>
      </c>
      <c r="C364" s="5" t="s">
        <v>685</v>
      </c>
      <c r="D364" s="7"/>
      <c r="E364" s="7"/>
      <c r="F364" s="7">
        <v>-150.0</v>
      </c>
      <c r="G364" s="7"/>
      <c r="H364" s="7"/>
      <c r="I364" s="7"/>
      <c r="J364" s="7"/>
      <c r="K364" s="519"/>
      <c r="L364" s="519"/>
      <c r="M364" s="519"/>
      <c r="N364" s="519"/>
      <c r="O364" s="519"/>
    </row>
    <row r="365">
      <c r="A365" s="7">
        <v>2026.0</v>
      </c>
      <c r="B365" s="6" t="s">
        <v>419</v>
      </c>
      <c r="C365" s="5"/>
      <c r="D365" s="7"/>
      <c r="E365" s="7"/>
      <c r="F365" s="7"/>
      <c r="G365" s="7"/>
      <c r="H365" s="7"/>
      <c r="I365" s="7"/>
      <c r="J365" s="7"/>
      <c r="K365" s="519"/>
      <c r="L365" s="519"/>
      <c r="M365" s="519"/>
      <c r="N365" s="519"/>
      <c r="O365" s="519"/>
    </row>
    <row r="366">
      <c r="A366" s="7">
        <v>2026.0</v>
      </c>
      <c r="B366" s="6" t="s">
        <v>419</v>
      </c>
      <c r="C366" s="5" t="s">
        <v>686</v>
      </c>
      <c r="D366" s="7"/>
      <c r="E366" s="7"/>
      <c r="F366" s="7">
        <v>-200.0</v>
      </c>
      <c r="G366" s="7"/>
      <c r="H366" s="7"/>
      <c r="I366" s="7"/>
      <c r="J366" s="7"/>
      <c r="K366" s="519"/>
      <c r="L366" s="519"/>
      <c r="M366" s="519"/>
      <c r="N366" s="519"/>
      <c r="O366" s="519"/>
    </row>
    <row r="367">
      <c r="A367" s="7"/>
      <c r="B367" s="6" t="s">
        <v>419</v>
      </c>
      <c r="C367" s="5" t="s">
        <v>687</v>
      </c>
      <c r="D367" s="7"/>
      <c r="E367" s="7"/>
      <c r="F367" s="7"/>
      <c r="G367" s="7"/>
      <c r="H367" s="7"/>
      <c r="I367" s="7">
        <v>-2704.63</v>
      </c>
      <c r="J367" s="7"/>
      <c r="K367" s="519"/>
      <c r="L367" s="519"/>
      <c r="M367" s="519"/>
      <c r="N367" s="519"/>
      <c r="O367" s="519"/>
    </row>
    <row r="368">
      <c r="A368" s="7"/>
      <c r="B368" s="6" t="s">
        <v>419</v>
      </c>
      <c r="C368" s="5" t="s">
        <v>688</v>
      </c>
      <c r="D368" s="7">
        <v>-240.81</v>
      </c>
      <c r="E368" s="7"/>
      <c r="F368" s="7"/>
      <c r="G368" s="7"/>
      <c r="H368" s="7"/>
      <c r="I368" s="7"/>
      <c r="J368" s="7"/>
      <c r="K368" s="519"/>
      <c r="L368" s="519"/>
      <c r="M368" s="519"/>
      <c r="N368" s="519"/>
      <c r="O368" s="519"/>
    </row>
    <row r="369">
      <c r="A369" s="7"/>
      <c r="B369" s="6" t="s">
        <v>419</v>
      </c>
      <c r="C369" s="5" t="s">
        <v>689</v>
      </c>
      <c r="D369" s="7"/>
      <c r="E369" s="7"/>
      <c r="F369" s="7"/>
      <c r="G369" s="7"/>
      <c r="H369" s="7"/>
      <c r="I369" s="7"/>
      <c r="J369" s="7"/>
      <c r="K369" s="519"/>
      <c r="L369" s="519"/>
      <c r="M369" s="519"/>
      <c r="N369" s="519"/>
      <c r="O369" s="7">
        <v>-26.4</v>
      </c>
    </row>
    <row r="370">
      <c r="A370" s="7"/>
      <c r="B370" s="6" t="s">
        <v>419</v>
      </c>
      <c r="C370" s="5" t="s">
        <v>690</v>
      </c>
      <c r="D370" s="7">
        <v>-248.9</v>
      </c>
      <c r="E370" s="7"/>
      <c r="F370" s="7"/>
      <c r="G370" s="7"/>
      <c r="H370" s="7"/>
      <c r="I370" s="7"/>
      <c r="J370" s="7"/>
      <c r="K370" s="519"/>
      <c r="L370" s="519"/>
      <c r="M370" s="519"/>
      <c r="N370" s="519"/>
      <c r="O370" s="519"/>
    </row>
    <row r="371">
      <c r="A371" s="7"/>
      <c r="B371" s="6" t="s">
        <v>419</v>
      </c>
      <c r="C371" s="5" t="s">
        <v>691</v>
      </c>
      <c r="D371" s="7"/>
      <c r="E371" s="7"/>
      <c r="F371" s="7"/>
      <c r="G371" s="7"/>
      <c r="H371" s="7"/>
      <c r="I371" s="7"/>
      <c r="J371" s="7"/>
      <c r="K371" s="519"/>
      <c r="L371" s="519"/>
      <c r="M371" s="519"/>
      <c r="N371" s="519"/>
      <c r="O371" s="7">
        <v>-41.5</v>
      </c>
    </row>
    <row r="372">
      <c r="A372" s="7"/>
      <c r="B372" s="6" t="s">
        <v>419</v>
      </c>
      <c r="C372" s="5" t="s">
        <v>692</v>
      </c>
      <c r="D372" s="7"/>
      <c r="E372" s="7"/>
      <c r="F372" s="7"/>
      <c r="G372" s="7"/>
      <c r="H372" s="7"/>
      <c r="I372" s="7"/>
      <c r="J372" s="7"/>
      <c r="K372" s="7">
        <v>8072.98</v>
      </c>
      <c r="L372" s="519"/>
      <c r="M372" s="519"/>
      <c r="N372" s="519"/>
      <c r="O372" s="519"/>
    </row>
    <row r="373">
      <c r="A373" s="7"/>
      <c r="B373" s="6" t="s">
        <v>419</v>
      </c>
      <c r="C373" s="5" t="s">
        <v>693</v>
      </c>
      <c r="D373" s="7"/>
      <c r="E373" s="7"/>
      <c r="F373" s="7"/>
      <c r="G373" s="7"/>
      <c r="H373" s="7"/>
      <c r="I373" s="7"/>
      <c r="J373" s="7"/>
      <c r="K373" s="519"/>
      <c r="L373" s="519"/>
      <c r="M373" s="519"/>
      <c r="N373" s="519"/>
      <c r="O373" s="7">
        <v>-35.0</v>
      </c>
    </row>
    <row r="374">
      <c r="A374" s="7"/>
      <c r="B374" s="6" t="s">
        <v>419</v>
      </c>
      <c r="C374" s="5" t="s">
        <v>694</v>
      </c>
      <c r="D374" s="7"/>
      <c r="E374" s="7"/>
      <c r="F374" s="7">
        <v>-224.99</v>
      </c>
      <c r="G374" s="7"/>
      <c r="H374" s="7"/>
      <c r="I374" s="7"/>
      <c r="J374" s="7"/>
      <c r="K374" s="519"/>
      <c r="L374" s="519"/>
      <c r="M374" s="519"/>
      <c r="N374" s="519"/>
      <c r="O374" s="519"/>
    </row>
    <row r="375">
      <c r="A375" s="7"/>
      <c r="B375" s="6" t="s">
        <v>419</v>
      </c>
      <c r="C375" s="5" t="s">
        <v>695</v>
      </c>
      <c r="D375" s="7"/>
      <c r="E375" s="7"/>
      <c r="F375" s="7"/>
      <c r="G375" s="7"/>
      <c r="H375" s="7"/>
      <c r="I375" s="7"/>
      <c r="J375" s="7"/>
      <c r="K375" s="519"/>
      <c r="L375" s="7"/>
      <c r="M375" s="7"/>
      <c r="N375" s="519"/>
      <c r="O375" s="7">
        <v>-109.9</v>
      </c>
    </row>
    <row r="376">
      <c r="A376" s="7"/>
      <c r="B376" s="6" t="s">
        <v>300</v>
      </c>
      <c r="C376" s="5"/>
      <c r="D376" s="7"/>
      <c r="E376" s="7">
        <v>1000.0</v>
      </c>
      <c r="F376" s="7"/>
      <c r="G376" s="7"/>
      <c r="H376" s="7"/>
      <c r="I376" s="7"/>
      <c r="J376" s="7"/>
      <c r="K376" s="519"/>
      <c r="L376" s="7">
        <v>500.0</v>
      </c>
      <c r="M376" s="7">
        <v>200.0</v>
      </c>
      <c r="N376" s="519"/>
      <c r="O376" s="7">
        <v>200.0</v>
      </c>
    </row>
    <row r="377">
      <c r="A377" s="7"/>
      <c r="B377" s="6" t="s">
        <v>300</v>
      </c>
      <c r="C377" s="5" t="s">
        <v>696</v>
      </c>
      <c r="D377" s="7">
        <v>240.0</v>
      </c>
      <c r="E377" s="7"/>
      <c r="F377" s="7"/>
      <c r="G377" s="7"/>
      <c r="H377" s="7"/>
      <c r="I377" s="7"/>
      <c r="J377" s="7"/>
      <c r="K377" s="519"/>
      <c r="L377" s="519"/>
      <c r="M377" s="519"/>
      <c r="N377" s="519"/>
      <c r="O377" s="519"/>
    </row>
    <row r="378">
      <c r="A378" s="7"/>
      <c r="B378" s="6" t="s">
        <v>300</v>
      </c>
      <c r="C378" s="5" t="s">
        <v>697</v>
      </c>
      <c r="D378" s="7"/>
      <c r="E378" s="7"/>
      <c r="F378" s="7"/>
      <c r="G378" s="7"/>
      <c r="H378" s="7"/>
      <c r="I378" s="7"/>
      <c r="J378" s="7"/>
      <c r="K378" s="519"/>
      <c r="L378" s="519"/>
      <c r="M378" s="519"/>
      <c r="N378" s="7">
        <f>16109.6-0.95</f>
        <v>16108.65</v>
      </c>
      <c r="O378" s="519"/>
    </row>
    <row r="379">
      <c r="A379" s="7"/>
      <c r="B379" s="6" t="s">
        <v>300</v>
      </c>
      <c r="C379" s="5" t="s">
        <v>698</v>
      </c>
      <c r="D379" s="7"/>
      <c r="E379" s="7"/>
      <c r="F379" s="7"/>
      <c r="G379" s="7"/>
      <c r="H379" s="7"/>
      <c r="I379" s="7"/>
      <c r="J379" s="7"/>
      <c r="K379" s="519"/>
      <c r="L379" s="519"/>
      <c r="M379" s="519"/>
      <c r="N379" s="7">
        <f>-8741.17-(0.4)</f>
        <v>-8741.57</v>
      </c>
      <c r="O379" s="519"/>
    </row>
    <row r="380">
      <c r="A380" s="7"/>
      <c r="B380" s="6" t="s">
        <v>300</v>
      </c>
      <c r="C380" s="5" t="s">
        <v>699</v>
      </c>
      <c r="D380" s="7"/>
      <c r="E380" s="7"/>
      <c r="F380" s="7"/>
      <c r="G380" s="7"/>
      <c r="H380" s="7"/>
      <c r="I380" s="7"/>
      <c r="J380" s="7"/>
      <c r="K380" s="519"/>
      <c r="L380" s="519"/>
      <c r="M380" s="519"/>
      <c r="N380" s="7">
        <v>-2704.63</v>
      </c>
      <c r="O380" s="519"/>
    </row>
    <row r="381">
      <c r="A381" s="7"/>
      <c r="B381" s="6" t="s">
        <v>300</v>
      </c>
      <c r="C381" s="5" t="s">
        <v>700</v>
      </c>
      <c r="D381" s="7"/>
      <c r="E381" s="7"/>
      <c r="F381" s="7"/>
      <c r="G381" s="7"/>
      <c r="H381" s="7"/>
      <c r="I381" s="7">
        <v>2704.63</v>
      </c>
      <c r="J381" s="7"/>
      <c r="K381" s="519"/>
      <c r="L381" s="519"/>
      <c r="M381" s="519"/>
      <c r="N381" s="7"/>
      <c r="O381" s="519"/>
    </row>
    <row r="382">
      <c r="A382" s="7"/>
      <c r="B382" s="6" t="s">
        <v>300</v>
      </c>
      <c r="C382" s="5" t="s">
        <v>701</v>
      </c>
      <c r="D382" s="7"/>
      <c r="E382" s="7"/>
      <c r="F382" s="7"/>
      <c r="G382" s="7"/>
      <c r="H382" s="7"/>
      <c r="I382" s="7"/>
      <c r="J382" s="7"/>
      <c r="K382" s="519"/>
      <c r="L382" s="519"/>
      <c r="M382" s="519"/>
      <c r="N382" s="7">
        <v>-599.2</v>
      </c>
      <c r="O382" s="519"/>
    </row>
    <row r="383">
      <c r="A383" s="7"/>
      <c r="B383" s="6" t="s">
        <v>300</v>
      </c>
      <c r="C383" s="5"/>
      <c r="D383" s="7"/>
      <c r="E383" s="7"/>
      <c r="F383" s="7">
        <v>612.61</v>
      </c>
      <c r="G383" s="7"/>
      <c r="H383" s="7"/>
      <c r="I383" s="7"/>
      <c r="J383" s="7"/>
      <c r="K383" s="519"/>
      <c r="L383" s="519"/>
      <c r="M383" s="519"/>
      <c r="N383" s="519"/>
      <c r="O383" s="519"/>
    </row>
    <row r="384">
      <c r="A384" s="7"/>
      <c r="B384" s="6" t="s">
        <v>300</v>
      </c>
      <c r="C384" s="5" t="s">
        <v>702</v>
      </c>
      <c r="D384" s="7"/>
      <c r="E384" s="7"/>
      <c r="F384" s="7">
        <v>2.71</v>
      </c>
      <c r="G384" s="7"/>
      <c r="H384" s="7"/>
      <c r="I384" s="7"/>
      <c r="J384" s="7"/>
      <c r="K384" s="519"/>
      <c r="L384" s="519"/>
      <c r="M384" s="519"/>
      <c r="N384" s="519"/>
      <c r="O384" s="519"/>
    </row>
    <row r="385">
      <c r="A385" s="7"/>
      <c r="B385" s="6" t="s">
        <v>300</v>
      </c>
      <c r="C385" s="5" t="s">
        <v>703</v>
      </c>
      <c r="D385" s="7"/>
      <c r="E385" s="7"/>
      <c r="F385" s="7"/>
      <c r="G385" s="7"/>
      <c r="H385" s="7"/>
      <c r="I385" s="7"/>
      <c r="J385" s="7"/>
      <c r="K385" s="519"/>
      <c r="L385" s="519"/>
      <c r="M385" s="519"/>
      <c r="N385" s="519"/>
      <c r="O385" s="7">
        <v>-350.0</v>
      </c>
    </row>
    <row r="386">
      <c r="A386" s="7"/>
      <c r="B386" s="6" t="s">
        <v>300</v>
      </c>
      <c r="C386" s="5" t="s">
        <v>704</v>
      </c>
      <c r="D386" s="7"/>
      <c r="E386" s="7"/>
      <c r="F386" s="7"/>
      <c r="G386" s="7"/>
      <c r="H386" s="7"/>
      <c r="I386" s="7"/>
      <c r="J386" s="7"/>
      <c r="K386" s="519"/>
      <c r="L386" s="519"/>
      <c r="M386" s="519"/>
      <c r="N386" s="7">
        <v>-1400.0</v>
      </c>
      <c r="O386" s="519"/>
    </row>
    <row r="387">
      <c r="A387" s="7"/>
      <c r="B387" s="6" t="s">
        <v>300</v>
      </c>
      <c r="C387" s="5"/>
      <c r="D387" s="7"/>
      <c r="E387" s="7"/>
      <c r="F387" s="7"/>
      <c r="G387" s="7"/>
      <c r="H387" s="7"/>
      <c r="I387" s="7">
        <v>592.95</v>
      </c>
      <c r="J387" s="7"/>
      <c r="K387" s="519"/>
      <c r="L387" s="519"/>
      <c r="M387" s="519"/>
      <c r="N387" s="519"/>
      <c r="O387" s="519"/>
    </row>
    <row r="388">
      <c r="A388" s="7"/>
      <c r="B388" s="6"/>
      <c r="C388" s="5"/>
      <c r="D388" s="7"/>
      <c r="E388" s="7"/>
      <c r="F388" s="7"/>
      <c r="G388" s="7"/>
      <c r="H388" s="7"/>
      <c r="I388" s="7"/>
      <c r="J388" s="7"/>
      <c r="K388" s="519"/>
      <c r="L388" s="519"/>
      <c r="M388" s="519"/>
      <c r="N388" s="519"/>
      <c r="O388" s="519"/>
    </row>
    <row r="389">
      <c r="A389" s="7"/>
      <c r="B389" s="6"/>
      <c r="C389" s="5"/>
      <c r="D389" s="7"/>
      <c r="E389" s="7"/>
      <c r="F389" s="7"/>
      <c r="G389" s="7"/>
      <c r="H389" s="7"/>
      <c r="I389" s="7"/>
      <c r="J389" s="7"/>
      <c r="K389" s="519"/>
      <c r="L389" s="519"/>
      <c r="M389" s="519"/>
      <c r="N389" s="519"/>
      <c r="O389" s="519"/>
    </row>
    <row r="390">
      <c r="A390" s="7"/>
      <c r="B390" s="6"/>
      <c r="C390" s="5"/>
      <c r="D390" s="7"/>
      <c r="E390" s="7"/>
      <c r="F390" s="7"/>
      <c r="G390" s="7"/>
      <c r="H390" s="7"/>
      <c r="I390" s="7"/>
      <c r="J390" s="7"/>
      <c r="K390" s="519"/>
      <c r="L390" s="519"/>
      <c r="M390" s="519"/>
      <c r="N390" s="519"/>
      <c r="O390" s="519"/>
    </row>
    <row r="391">
      <c r="A391" s="7"/>
      <c r="B391" s="6"/>
      <c r="C391" s="5"/>
      <c r="D391" s="7"/>
      <c r="E391" s="7"/>
      <c r="F391" s="7"/>
      <c r="G391" s="7"/>
      <c r="H391" s="7"/>
      <c r="I391" s="7"/>
      <c r="J391" s="7"/>
      <c r="K391" s="519"/>
      <c r="L391" s="519"/>
      <c r="M391" s="519"/>
      <c r="N391" s="519"/>
      <c r="O391" s="519"/>
    </row>
    <row r="392">
      <c r="A392" s="7"/>
      <c r="B392" s="6"/>
      <c r="C392" s="5"/>
      <c r="D392" s="7"/>
      <c r="E392" s="7"/>
      <c r="F392" s="7"/>
      <c r="G392" s="7"/>
      <c r="H392" s="7"/>
      <c r="I392" s="7"/>
      <c r="J392" s="7"/>
      <c r="K392" s="519"/>
      <c r="L392" s="519"/>
      <c r="M392" s="519"/>
      <c r="N392" s="519"/>
      <c r="O392" s="519"/>
    </row>
    <row r="393">
      <c r="A393" s="7"/>
      <c r="B393" s="6"/>
      <c r="C393" s="5"/>
      <c r="D393" s="7"/>
      <c r="E393" s="7"/>
      <c r="F393" s="7"/>
      <c r="G393" s="7"/>
      <c r="H393" s="7"/>
      <c r="I393" s="7"/>
      <c r="J393" s="7"/>
      <c r="K393" s="519"/>
      <c r="L393" s="519"/>
      <c r="M393" s="519"/>
      <c r="N393" s="519"/>
      <c r="O393" s="519"/>
    </row>
    <row r="394">
      <c r="A394" s="7"/>
      <c r="B394" s="6"/>
      <c r="C394" s="5"/>
      <c r="D394" s="7"/>
      <c r="E394" s="7"/>
      <c r="F394" s="7"/>
      <c r="G394" s="7"/>
      <c r="H394" s="7"/>
      <c r="I394" s="7"/>
      <c r="J394" s="7"/>
      <c r="K394" s="519"/>
      <c r="L394" s="519"/>
      <c r="M394" s="519"/>
      <c r="N394" s="519"/>
      <c r="O394" s="519"/>
    </row>
    <row r="395">
      <c r="A395" s="7"/>
      <c r="B395" s="6"/>
      <c r="C395" s="5"/>
      <c r="D395" s="7"/>
      <c r="E395" s="7"/>
      <c r="F395" s="7"/>
      <c r="G395" s="7"/>
      <c r="H395" s="7"/>
      <c r="I395" s="7"/>
      <c r="J395" s="7"/>
      <c r="K395" s="519"/>
      <c r="L395" s="519"/>
      <c r="M395" s="519"/>
      <c r="N395" s="519"/>
      <c r="O395" s="519"/>
    </row>
    <row r="396">
      <c r="A396" s="7"/>
      <c r="B396" s="6"/>
      <c r="C396" s="5"/>
      <c r="D396" s="7"/>
      <c r="E396" s="7"/>
      <c r="F396" s="7"/>
      <c r="G396" s="7"/>
      <c r="H396" s="7"/>
      <c r="I396" s="7"/>
      <c r="J396" s="7"/>
      <c r="K396" s="519"/>
      <c r="L396" s="519"/>
      <c r="M396" s="519"/>
      <c r="N396" s="519"/>
      <c r="O396" s="519"/>
    </row>
    <row r="397">
      <c r="A397" s="7"/>
      <c r="B397" s="6"/>
      <c r="C397" s="5"/>
      <c r="D397" s="7"/>
      <c r="E397" s="7"/>
      <c r="F397" s="7"/>
      <c r="G397" s="7"/>
      <c r="H397" s="7"/>
      <c r="I397" s="7"/>
      <c r="J397" s="7"/>
      <c r="K397" s="519"/>
      <c r="L397" s="519"/>
      <c r="M397" s="519"/>
      <c r="N397" s="519"/>
      <c r="O397" s="519"/>
    </row>
    <row r="398">
      <c r="A398" s="7"/>
      <c r="B398" s="6"/>
      <c r="C398" s="5"/>
      <c r="D398" s="7"/>
      <c r="E398" s="7"/>
      <c r="F398" s="7"/>
      <c r="G398" s="7"/>
      <c r="H398" s="7"/>
      <c r="I398" s="7"/>
      <c r="J398" s="7"/>
      <c r="K398" s="519"/>
      <c r="L398" s="519"/>
      <c r="M398" s="519"/>
      <c r="N398" s="519"/>
      <c r="O398" s="519"/>
    </row>
    <row r="399">
      <c r="A399" s="7"/>
      <c r="B399" s="6"/>
      <c r="C399" s="5"/>
      <c r="D399" s="7"/>
      <c r="E399" s="7"/>
      <c r="F399" s="7"/>
      <c r="G399" s="7"/>
      <c r="H399" s="7"/>
      <c r="I399" s="7"/>
      <c r="J399" s="7"/>
      <c r="K399" s="519"/>
      <c r="L399" s="519"/>
      <c r="M399" s="519"/>
      <c r="N399" s="519"/>
      <c r="O399" s="519"/>
    </row>
    <row r="400">
      <c r="A400" s="7"/>
      <c r="B400" s="6"/>
      <c r="C400" s="5"/>
      <c r="D400" s="7"/>
      <c r="E400" s="7"/>
      <c r="F400" s="7"/>
      <c r="G400" s="7"/>
      <c r="H400" s="7"/>
      <c r="I400" s="7"/>
      <c r="J400" s="7"/>
      <c r="K400" s="519"/>
      <c r="L400" s="519"/>
      <c r="M400" s="519"/>
      <c r="N400" s="519"/>
      <c r="O400" s="519"/>
    </row>
    <row r="401">
      <c r="A401" s="7"/>
      <c r="B401" s="6"/>
      <c r="C401" s="5"/>
      <c r="D401" s="7"/>
      <c r="E401" s="7"/>
      <c r="F401" s="7"/>
      <c r="G401" s="7"/>
      <c r="H401" s="7"/>
      <c r="I401" s="7"/>
      <c r="J401" s="7"/>
      <c r="K401" s="519"/>
      <c r="L401" s="519"/>
      <c r="M401" s="519"/>
      <c r="N401" s="519"/>
      <c r="O401" s="519"/>
    </row>
    <row r="402">
      <c r="A402" s="7"/>
      <c r="B402" s="6"/>
      <c r="C402" s="5"/>
      <c r="D402" s="7"/>
      <c r="E402" s="7"/>
      <c r="F402" s="7"/>
      <c r="G402" s="7"/>
      <c r="H402" s="7"/>
      <c r="I402" s="7"/>
      <c r="J402" s="7"/>
      <c r="K402" s="519"/>
      <c r="L402" s="519"/>
      <c r="M402" s="519"/>
      <c r="N402" s="519"/>
      <c r="O402" s="519"/>
    </row>
    <row r="403">
      <c r="A403" s="7"/>
      <c r="B403" s="6"/>
      <c r="C403" s="5"/>
      <c r="D403" s="7"/>
      <c r="E403" s="7"/>
      <c r="F403" s="7"/>
      <c r="G403" s="7"/>
      <c r="H403" s="7"/>
      <c r="I403" s="7"/>
      <c r="J403" s="7"/>
      <c r="K403" s="519"/>
      <c r="L403" s="519"/>
      <c r="M403" s="519"/>
      <c r="N403" s="519"/>
      <c r="O403" s="519"/>
    </row>
    <row r="404">
      <c r="A404" s="7"/>
      <c r="B404" s="6"/>
      <c r="C404" s="7"/>
      <c r="D404" s="549"/>
      <c r="E404" s="550"/>
      <c r="F404" s="549"/>
      <c r="G404" s="549"/>
      <c r="H404" s="549"/>
      <c r="I404" s="551"/>
      <c r="J404" s="552"/>
      <c r="K404" s="550"/>
      <c r="L404" s="550"/>
      <c r="M404" s="552"/>
      <c r="N404" s="552"/>
      <c r="O404" s="552"/>
    </row>
    <row r="405">
      <c r="C405" s="539"/>
      <c r="D405" s="27"/>
      <c r="E405" s="27"/>
      <c r="F405" s="27"/>
      <c r="G405" s="27"/>
      <c r="H405" s="27"/>
      <c r="J405" s="27"/>
      <c r="K405" s="27"/>
      <c r="L405" s="27"/>
    </row>
    <row r="406">
      <c r="C406" s="107"/>
      <c r="D406" s="27"/>
      <c r="E406" s="27"/>
      <c r="F406" s="107"/>
      <c r="G406" s="553"/>
      <c r="H406" s="554"/>
      <c r="J406" s="27"/>
      <c r="K406" s="27"/>
      <c r="L406" s="27"/>
      <c r="N406" s="27"/>
      <c r="O406" s="27"/>
    </row>
    <row r="407">
      <c r="G407" s="404"/>
      <c r="H407" s="393"/>
      <c r="K407" s="7"/>
    </row>
    <row r="408">
      <c r="C408" s="27"/>
      <c r="D408" s="27"/>
      <c r="E408" s="27"/>
      <c r="F408" s="554"/>
      <c r="G408" s="107"/>
      <c r="H408" s="27"/>
      <c r="J408" s="27"/>
      <c r="K408" s="107"/>
      <c r="L408" s="27"/>
    </row>
    <row r="409">
      <c r="C409" s="107"/>
      <c r="D409" s="27"/>
      <c r="F409" s="107"/>
      <c r="G409" s="27"/>
      <c r="H409" s="27"/>
      <c r="J409" s="27"/>
      <c r="K409" s="27"/>
      <c r="L409" s="27"/>
    </row>
    <row r="410">
      <c r="A410" s="18"/>
      <c r="C410" s="107"/>
      <c r="D410" s="27"/>
      <c r="F410" s="107"/>
      <c r="G410" s="27"/>
      <c r="H410" s="27"/>
      <c r="J410" s="107"/>
      <c r="K410" s="27"/>
      <c r="L410" s="27"/>
    </row>
    <row r="411">
      <c r="D411" s="27"/>
      <c r="F411" s="107"/>
      <c r="G411" s="27"/>
      <c r="H411" s="27"/>
      <c r="J411" s="107"/>
      <c r="K411" s="27"/>
      <c r="L411" s="27"/>
    </row>
    <row r="412">
      <c r="C412" s="248"/>
      <c r="D412" s="27"/>
      <c r="F412" s="555"/>
      <c r="G412" s="27"/>
      <c r="H412" s="27"/>
      <c r="J412" s="27"/>
      <c r="K412" s="27"/>
      <c r="L412" s="27"/>
    </row>
    <row r="413">
      <c r="C413" s="555"/>
      <c r="D413" s="27"/>
      <c r="F413" s="556"/>
      <c r="G413" s="27"/>
      <c r="H413" s="27"/>
      <c r="J413" s="27"/>
      <c r="K413" s="27"/>
      <c r="L413" s="27"/>
    </row>
    <row r="414">
      <c r="C414" s="48"/>
      <c r="J414" s="27"/>
      <c r="K414" s="27"/>
      <c r="L414" s="27"/>
    </row>
    <row r="415">
      <c r="J415" s="27"/>
      <c r="K415" s="27"/>
      <c r="L415" s="27"/>
    </row>
    <row r="416">
      <c r="J416" s="27"/>
      <c r="K416" s="7"/>
      <c r="L416" s="27"/>
    </row>
    <row r="417">
      <c r="J417" s="27"/>
      <c r="K417" s="107"/>
      <c r="L417" s="27"/>
    </row>
    <row r="418">
      <c r="J418" s="27"/>
      <c r="K418" s="27"/>
      <c r="L418" s="27"/>
    </row>
    <row r="419">
      <c r="J419" s="27"/>
      <c r="K419" s="27"/>
      <c r="L419" s="27"/>
    </row>
    <row r="420">
      <c r="J420" s="27"/>
      <c r="K420" s="27"/>
      <c r="L420" s="27"/>
    </row>
    <row r="421">
      <c r="J421" s="27"/>
      <c r="K421" s="27"/>
      <c r="L421" s="27"/>
    </row>
    <row r="422">
      <c r="J422" s="27"/>
      <c r="K422" s="27"/>
      <c r="L422" s="27"/>
    </row>
    <row r="423">
      <c r="J423" s="27"/>
      <c r="K423" s="27"/>
      <c r="L423" s="27"/>
    </row>
    <row r="424">
      <c r="J424" s="27"/>
      <c r="K424" s="27"/>
      <c r="L424" s="27"/>
    </row>
    <row r="425">
      <c r="J425" s="27"/>
      <c r="K425" s="27"/>
      <c r="L425" s="27"/>
    </row>
    <row r="426">
      <c r="J426" s="27"/>
      <c r="K426" s="27"/>
      <c r="L426" s="27"/>
    </row>
    <row r="427">
      <c r="J427" s="27"/>
      <c r="K427" s="27"/>
      <c r="L427" s="27"/>
    </row>
    <row r="428">
      <c r="J428" s="27"/>
      <c r="K428" s="27"/>
      <c r="L428" s="27"/>
    </row>
    <row r="429">
      <c r="J429" s="27"/>
      <c r="K429" s="27"/>
      <c r="L429" s="27"/>
    </row>
    <row r="430">
      <c r="J430" s="27"/>
      <c r="K430" s="27"/>
      <c r="L430" s="27"/>
    </row>
    <row r="431">
      <c r="J431" s="27"/>
      <c r="K431" s="27"/>
      <c r="L431" s="27"/>
    </row>
    <row r="432">
      <c r="J432" s="27"/>
      <c r="K432" s="27"/>
      <c r="L432" s="27"/>
    </row>
    <row r="433">
      <c r="J433" s="27"/>
      <c r="K433" s="27"/>
      <c r="L433" s="27"/>
    </row>
    <row r="434">
      <c r="J434" s="27"/>
      <c r="K434" s="27"/>
      <c r="L434" s="27"/>
    </row>
    <row r="435">
      <c r="J435" s="27"/>
      <c r="K435" s="27"/>
      <c r="L435" s="27"/>
    </row>
    <row r="436">
      <c r="J436" s="27"/>
      <c r="K436" s="27"/>
      <c r="L436" s="27"/>
    </row>
    <row r="437">
      <c r="J437" s="27"/>
      <c r="K437" s="27"/>
      <c r="L437" s="27"/>
    </row>
    <row r="438">
      <c r="J438" s="27"/>
      <c r="K438" s="27"/>
      <c r="L438" s="27"/>
    </row>
    <row r="439">
      <c r="J439" s="27"/>
      <c r="K439" s="27"/>
      <c r="L439" s="27"/>
    </row>
    <row r="440">
      <c r="J440" s="27"/>
      <c r="K440" s="27"/>
      <c r="L440" s="27"/>
    </row>
    <row r="441">
      <c r="J441" s="27"/>
      <c r="K441" s="27"/>
      <c r="L441" s="27"/>
    </row>
    <row r="442">
      <c r="J442" s="27"/>
      <c r="K442" s="27"/>
      <c r="L442" s="27"/>
    </row>
    <row r="443">
      <c r="J443" s="27"/>
      <c r="K443" s="27"/>
      <c r="L443" s="27"/>
    </row>
    <row r="444">
      <c r="J444" s="27"/>
      <c r="K444" s="27"/>
      <c r="L444" s="27"/>
    </row>
    <row r="445">
      <c r="J445" s="27"/>
      <c r="K445" s="27"/>
      <c r="L445" s="27"/>
    </row>
    <row r="446">
      <c r="J446" s="27"/>
      <c r="K446" s="27"/>
      <c r="L446" s="27"/>
    </row>
    <row r="447">
      <c r="J447" s="27"/>
      <c r="K447" s="27"/>
      <c r="L447" s="27"/>
    </row>
    <row r="448">
      <c r="J448" s="27"/>
      <c r="K448" s="27"/>
      <c r="L448" s="27"/>
    </row>
    <row r="449">
      <c r="J449" s="27"/>
      <c r="K449" s="27"/>
      <c r="L449" s="27"/>
    </row>
    <row r="450">
      <c r="J450" s="27"/>
      <c r="K450" s="27"/>
      <c r="L450" s="27"/>
    </row>
    <row r="451">
      <c r="J451" s="27"/>
      <c r="K451" s="27"/>
      <c r="L451" s="27"/>
    </row>
    <row r="452">
      <c r="J452" s="27"/>
      <c r="K452" s="27"/>
      <c r="L452" s="27"/>
    </row>
    <row r="453">
      <c r="J453" s="27"/>
      <c r="K453" s="27"/>
      <c r="L453" s="27"/>
    </row>
    <row r="454">
      <c r="J454" s="27"/>
      <c r="K454" s="27"/>
      <c r="L454" s="27"/>
    </row>
    <row r="455">
      <c r="J455" s="27"/>
      <c r="K455" s="27"/>
      <c r="L455" s="27"/>
    </row>
    <row r="456">
      <c r="J456" s="27"/>
      <c r="K456" s="27"/>
      <c r="L456" s="27"/>
    </row>
    <row r="457">
      <c r="J457" s="27"/>
      <c r="K457" s="27"/>
      <c r="L457" s="27"/>
    </row>
    <row r="458">
      <c r="J458" s="27"/>
      <c r="K458" s="27"/>
      <c r="L458" s="27"/>
    </row>
    <row r="459">
      <c r="J459" s="27"/>
      <c r="K459" s="27"/>
      <c r="L459" s="27"/>
    </row>
    <row r="460">
      <c r="J460" s="27"/>
      <c r="K460" s="27"/>
      <c r="L460" s="27"/>
    </row>
    <row r="461">
      <c r="J461" s="27"/>
      <c r="K461" s="27"/>
      <c r="L461" s="27"/>
    </row>
    <row r="462">
      <c r="J462" s="27"/>
      <c r="K462" s="27"/>
      <c r="L462" s="27"/>
    </row>
    <row r="463">
      <c r="J463" s="27"/>
      <c r="K463" s="27"/>
      <c r="L463" s="27"/>
    </row>
    <row r="464">
      <c r="J464" s="27"/>
      <c r="K464" s="27"/>
      <c r="L464" s="27"/>
    </row>
    <row r="465">
      <c r="J465" s="27"/>
      <c r="K465" s="27"/>
      <c r="L465" s="27"/>
    </row>
    <row r="466">
      <c r="J466" s="27"/>
      <c r="K466" s="27"/>
      <c r="L466" s="27"/>
    </row>
    <row r="467">
      <c r="J467" s="27"/>
      <c r="K467" s="27"/>
      <c r="L467" s="27"/>
    </row>
    <row r="468">
      <c r="J468" s="27"/>
      <c r="K468" s="27"/>
      <c r="L468" s="27"/>
    </row>
    <row r="469">
      <c r="J469" s="27"/>
      <c r="K469" s="27"/>
      <c r="L469" s="27"/>
    </row>
    <row r="470">
      <c r="J470" s="27"/>
      <c r="K470" s="27"/>
      <c r="L470" s="27"/>
    </row>
    <row r="471">
      <c r="J471" s="27"/>
      <c r="K471" s="27"/>
      <c r="L471" s="27"/>
    </row>
    <row r="472">
      <c r="J472" s="27"/>
      <c r="K472" s="27"/>
      <c r="L472" s="27"/>
    </row>
    <row r="473">
      <c r="J473" s="27"/>
      <c r="K473" s="27"/>
      <c r="L473" s="27"/>
    </row>
    <row r="474">
      <c r="J474" s="27"/>
      <c r="K474" s="27"/>
      <c r="L474" s="27"/>
    </row>
    <row r="475">
      <c r="J475" s="27"/>
      <c r="K475" s="27"/>
      <c r="L475" s="27"/>
    </row>
    <row r="476">
      <c r="J476" s="27"/>
      <c r="K476" s="27"/>
      <c r="L476" s="27"/>
    </row>
    <row r="477">
      <c r="J477" s="27"/>
      <c r="K477" s="27"/>
      <c r="L477" s="27"/>
    </row>
    <row r="478">
      <c r="J478" s="27"/>
      <c r="K478" s="27"/>
      <c r="L478" s="27"/>
    </row>
    <row r="479">
      <c r="J479" s="27"/>
      <c r="K479" s="27"/>
      <c r="L479" s="27"/>
    </row>
    <row r="480">
      <c r="J480" s="27"/>
      <c r="K480" s="27"/>
      <c r="L480" s="27"/>
    </row>
    <row r="481">
      <c r="J481" s="27"/>
      <c r="K481" s="27"/>
      <c r="L481" s="27"/>
    </row>
    <row r="482">
      <c r="J482" s="27"/>
      <c r="K482" s="27"/>
      <c r="L482" s="27"/>
    </row>
    <row r="483">
      <c r="J483" s="27"/>
      <c r="K483" s="27"/>
      <c r="L483" s="27"/>
    </row>
    <row r="484">
      <c r="J484" s="27"/>
      <c r="K484" s="27"/>
      <c r="L484" s="27"/>
    </row>
    <row r="485">
      <c r="J485" s="27"/>
      <c r="K485" s="27"/>
      <c r="L485" s="27"/>
    </row>
    <row r="486">
      <c r="J486" s="27"/>
      <c r="K486" s="27"/>
      <c r="L486" s="27"/>
    </row>
    <row r="487">
      <c r="J487" s="27"/>
      <c r="K487" s="27"/>
      <c r="L487" s="27"/>
    </row>
    <row r="488">
      <c r="J488" s="27"/>
      <c r="K488" s="27"/>
      <c r="L488" s="27"/>
    </row>
    <row r="489">
      <c r="J489" s="27"/>
      <c r="K489" s="27"/>
      <c r="L489" s="27"/>
    </row>
    <row r="490">
      <c r="J490" s="27"/>
      <c r="K490" s="27"/>
      <c r="L490" s="27"/>
    </row>
    <row r="491">
      <c r="J491" s="27"/>
      <c r="K491" s="27"/>
      <c r="L491" s="27"/>
    </row>
    <row r="492">
      <c r="J492" s="27"/>
      <c r="K492" s="27"/>
      <c r="L492" s="27"/>
    </row>
    <row r="493">
      <c r="J493" s="27"/>
      <c r="K493" s="27"/>
      <c r="L493" s="27"/>
    </row>
    <row r="494">
      <c r="J494" s="27"/>
      <c r="K494" s="27"/>
      <c r="L494" s="27"/>
    </row>
    <row r="495">
      <c r="J495" s="27"/>
      <c r="K495" s="27"/>
      <c r="L495" s="27"/>
    </row>
    <row r="496">
      <c r="J496" s="27"/>
      <c r="K496" s="27"/>
      <c r="L496" s="27"/>
    </row>
    <row r="497">
      <c r="J497" s="27"/>
      <c r="K497" s="27"/>
      <c r="L497" s="27"/>
    </row>
    <row r="498">
      <c r="J498" s="27"/>
      <c r="K498" s="27"/>
      <c r="L498" s="27"/>
    </row>
    <row r="499">
      <c r="J499" s="27"/>
      <c r="K499" s="27"/>
      <c r="L499" s="27"/>
    </row>
    <row r="500">
      <c r="J500" s="27"/>
      <c r="K500" s="27"/>
      <c r="L500" s="27"/>
    </row>
    <row r="501">
      <c r="J501" s="27"/>
      <c r="K501" s="27"/>
      <c r="L501" s="27"/>
    </row>
    <row r="502">
      <c r="J502" s="27"/>
      <c r="K502" s="27"/>
      <c r="L502" s="27"/>
    </row>
    <row r="503">
      <c r="J503" s="27"/>
      <c r="K503" s="27"/>
      <c r="L503" s="27"/>
    </row>
    <row r="504">
      <c r="J504" s="27"/>
      <c r="K504" s="27"/>
      <c r="L504" s="27"/>
    </row>
    <row r="505">
      <c r="J505" s="27"/>
      <c r="K505" s="27"/>
      <c r="L505" s="27"/>
    </row>
    <row r="506">
      <c r="J506" s="27"/>
      <c r="K506" s="27"/>
      <c r="L506" s="27"/>
    </row>
    <row r="507">
      <c r="J507" s="27"/>
      <c r="K507" s="27"/>
      <c r="L507" s="27"/>
    </row>
    <row r="508">
      <c r="J508" s="27"/>
      <c r="K508" s="27"/>
      <c r="L508" s="27"/>
    </row>
    <row r="509">
      <c r="J509" s="27"/>
      <c r="K509" s="27"/>
      <c r="L509" s="27"/>
    </row>
    <row r="510">
      <c r="J510" s="27"/>
      <c r="K510" s="27"/>
      <c r="L510" s="27"/>
    </row>
    <row r="511">
      <c r="J511" s="27"/>
      <c r="K511" s="27"/>
      <c r="L511" s="27"/>
    </row>
    <row r="512">
      <c r="J512" s="27"/>
      <c r="K512" s="27"/>
      <c r="L512" s="27"/>
    </row>
    <row r="513">
      <c r="J513" s="27"/>
      <c r="K513" s="27"/>
      <c r="L513" s="27"/>
    </row>
    <row r="514">
      <c r="J514" s="27"/>
      <c r="K514" s="27"/>
      <c r="L514" s="27"/>
    </row>
    <row r="515">
      <c r="J515" s="27"/>
      <c r="K515" s="27"/>
      <c r="L515" s="27"/>
    </row>
    <row r="516">
      <c r="J516" s="27"/>
      <c r="K516" s="27"/>
      <c r="L516" s="27"/>
    </row>
    <row r="517">
      <c r="J517" s="27"/>
      <c r="K517" s="27"/>
      <c r="L517" s="27"/>
    </row>
    <row r="518">
      <c r="J518" s="27"/>
      <c r="K518" s="27"/>
      <c r="L518" s="27"/>
    </row>
    <row r="519">
      <c r="J519" s="27"/>
      <c r="K519" s="27"/>
      <c r="L519" s="27"/>
    </row>
    <row r="520">
      <c r="J520" s="27"/>
      <c r="K520" s="27"/>
      <c r="L520" s="27"/>
    </row>
    <row r="521">
      <c r="J521" s="27"/>
      <c r="K521" s="27"/>
      <c r="L521" s="27"/>
    </row>
    <row r="522">
      <c r="J522" s="27"/>
      <c r="K522" s="27"/>
      <c r="L522" s="27"/>
    </row>
    <row r="523">
      <c r="J523" s="27"/>
      <c r="K523" s="27"/>
      <c r="L523" s="27"/>
    </row>
    <row r="524">
      <c r="J524" s="27"/>
      <c r="K524" s="27"/>
      <c r="L524" s="27"/>
    </row>
    <row r="525">
      <c r="J525" s="27"/>
      <c r="K525" s="27"/>
      <c r="L525" s="27"/>
    </row>
    <row r="526">
      <c r="J526" s="27"/>
      <c r="K526" s="27"/>
      <c r="L526" s="27"/>
    </row>
    <row r="527">
      <c r="J527" s="27"/>
      <c r="K527" s="27"/>
      <c r="L527" s="27"/>
    </row>
    <row r="528">
      <c r="J528" s="27"/>
      <c r="K528" s="27"/>
      <c r="L528" s="27"/>
    </row>
    <row r="529">
      <c r="J529" s="27"/>
      <c r="K529" s="27"/>
      <c r="L529" s="27"/>
    </row>
    <row r="530">
      <c r="J530" s="27"/>
      <c r="K530" s="27"/>
      <c r="L530" s="27"/>
    </row>
    <row r="531">
      <c r="J531" s="27"/>
      <c r="K531" s="27"/>
      <c r="L531" s="27"/>
    </row>
    <row r="532">
      <c r="J532" s="27"/>
      <c r="K532" s="27"/>
      <c r="L532" s="27"/>
    </row>
    <row r="533">
      <c r="J533" s="27"/>
      <c r="K533" s="27"/>
      <c r="L533" s="27"/>
    </row>
    <row r="534">
      <c r="J534" s="27"/>
      <c r="K534" s="27"/>
      <c r="L534" s="27"/>
    </row>
    <row r="535">
      <c r="J535" s="27"/>
      <c r="K535" s="27"/>
      <c r="L535" s="27"/>
    </row>
    <row r="536">
      <c r="J536" s="27"/>
      <c r="K536" s="27"/>
      <c r="L536" s="27"/>
    </row>
    <row r="537">
      <c r="J537" s="27"/>
      <c r="K537" s="27"/>
      <c r="L537" s="27"/>
    </row>
    <row r="538">
      <c r="J538" s="27"/>
      <c r="K538" s="27"/>
      <c r="L538" s="27"/>
    </row>
    <row r="539">
      <c r="J539" s="27"/>
      <c r="K539" s="27"/>
      <c r="L539" s="27"/>
    </row>
    <row r="540">
      <c r="J540" s="27"/>
      <c r="K540" s="27"/>
      <c r="L540" s="27"/>
    </row>
    <row r="541">
      <c r="J541" s="27"/>
      <c r="K541" s="27"/>
      <c r="L541" s="27"/>
    </row>
    <row r="542">
      <c r="J542" s="27"/>
      <c r="K542" s="27"/>
      <c r="L542" s="27"/>
    </row>
    <row r="543">
      <c r="J543" s="27"/>
      <c r="K543" s="27"/>
      <c r="L543" s="27"/>
    </row>
    <row r="544">
      <c r="J544" s="27"/>
      <c r="K544" s="27"/>
      <c r="L544" s="27"/>
    </row>
    <row r="545">
      <c r="J545" s="27"/>
      <c r="K545" s="27"/>
      <c r="L545" s="27"/>
    </row>
    <row r="546">
      <c r="J546" s="27"/>
      <c r="K546" s="27"/>
      <c r="L546" s="27"/>
    </row>
    <row r="547">
      <c r="J547" s="27"/>
      <c r="K547" s="27"/>
      <c r="L547" s="27"/>
    </row>
    <row r="548">
      <c r="J548" s="27"/>
      <c r="K548" s="27"/>
      <c r="L548" s="27"/>
    </row>
    <row r="549">
      <c r="J549" s="27"/>
      <c r="K549" s="27"/>
      <c r="L549" s="27"/>
    </row>
    <row r="550">
      <c r="J550" s="27"/>
      <c r="K550" s="27"/>
      <c r="L550" s="27"/>
    </row>
    <row r="551">
      <c r="J551" s="27"/>
      <c r="K551" s="27"/>
      <c r="L551" s="27"/>
    </row>
    <row r="552">
      <c r="J552" s="27"/>
      <c r="K552" s="27"/>
      <c r="L552" s="27"/>
    </row>
    <row r="553">
      <c r="J553" s="27"/>
      <c r="K553" s="27"/>
      <c r="L553" s="27"/>
    </row>
    <row r="554">
      <c r="J554" s="27"/>
      <c r="K554" s="27"/>
      <c r="L554" s="27"/>
    </row>
    <row r="555">
      <c r="J555" s="27"/>
      <c r="K555" s="27"/>
      <c r="L555" s="27"/>
    </row>
    <row r="556">
      <c r="J556" s="27"/>
      <c r="K556" s="27"/>
      <c r="L556" s="27"/>
    </row>
    <row r="557">
      <c r="J557" s="27"/>
      <c r="K557" s="27"/>
      <c r="L557" s="27"/>
    </row>
    <row r="558">
      <c r="J558" s="27"/>
      <c r="K558" s="27"/>
      <c r="L558" s="27"/>
    </row>
    <row r="559">
      <c r="J559" s="27"/>
      <c r="K559" s="27"/>
      <c r="L559" s="27"/>
    </row>
    <row r="560">
      <c r="J560" s="27"/>
      <c r="K560" s="27"/>
      <c r="L560" s="27"/>
    </row>
    <row r="561">
      <c r="J561" s="27"/>
      <c r="K561" s="27"/>
      <c r="L561" s="27"/>
    </row>
    <row r="562">
      <c r="J562" s="27"/>
      <c r="K562" s="27"/>
      <c r="L562" s="27"/>
    </row>
    <row r="563">
      <c r="J563" s="27"/>
      <c r="K563" s="27"/>
      <c r="L563" s="27"/>
    </row>
    <row r="564">
      <c r="J564" s="27"/>
      <c r="K564" s="27"/>
      <c r="L564" s="27"/>
    </row>
    <row r="565">
      <c r="J565" s="27"/>
      <c r="K565" s="27"/>
      <c r="L565" s="27"/>
    </row>
    <row r="566">
      <c r="J566" s="27"/>
      <c r="K566" s="27"/>
      <c r="L566" s="27"/>
    </row>
    <row r="567">
      <c r="J567" s="27"/>
      <c r="K567" s="27"/>
      <c r="L567" s="27"/>
    </row>
    <row r="568">
      <c r="J568" s="27"/>
      <c r="K568" s="27"/>
      <c r="L568" s="27"/>
    </row>
    <row r="569">
      <c r="J569" s="27"/>
      <c r="K569" s="27"/>
      <c r="L569" s="27"/>
    </row>
    <row r="570">
      <c r="J570" s="27"/>
      <c r="K570" s="27"/>
      <c r="L570" s="27"/>
    </row>
    <row r="571">
      <c r="J571" s="27"/>
      <c r="K571" s="27"/>
      <c r="L571" s="27"/>
    </row>
    <row r="572">
      <c r="J572" s="27"/>
      <c r="K572" s="27"/>
      <c r="L572" s="27"/>
    </row>
    <row r="573">
      <c r="J573" s="27"/>
      <c r="K573" s="27"/>
      <c r="L573" s="27"/>
    </row>
    <row r="574">
      <c r="J574" s="27"/>
      <c r="K574" s="27"/>
      <c r="L574" s="27"/>
    </row>
    <row r="575">
      <c r="J575" s="27"/>
      <c r="K575" s="27"/>
      <c r="L575" s="27"/>
    </row>
    <row r="576">
      <c r="J576" s="27"/>
      <c r="K576" s="27"/>
      <c r="L576" s="27"/>
    </row>
    <row r="577">
      <c r="J577" s="27"/>
      <c r="K577" s="27"/>
      <c r="L577" s="27"/>
    </row>
    <row r="578">
      <c r="J578" s="27"/>
      <c r="K578" s="27"/>
      <c r="L578" s="27"/>
    </row>
    <row r="579">
      <c r="J579" s="27"/>
      <c r="K579" s="27"/>
      <c r="L579" s="27"/>
    </row>
    <row r="580">
      <c r="J580" s="27"/>
      <c r="K580" s="27"/>
      <c r="L580" s="27"/>
    </row>
    <row r="581">
      <c r="J581" s="27"/>
      <c r="K581" s="27"/>
      <c r="L581" s="27"/>
    </row>
    <row r="582">
      <c r="J582" s="27"/>
      <c r="K582" s="27"/>
      <c r="L582" s="27"/>
    </row>
    <row r="583">
      <c r="J583" s="27"/>
      <c r="K583" s="27"/>
      <c r="L583" s="27"/>
    </row>
    <row r="584">
      <c r="J584" s="27"/>
      <c r="K584" s="27"/>
      <c r="L584" s="27"/>
    </row>
    <row r="585">
      <c r="J585" s="27"/>
      <c r="K585" s="27"/>
      <c r="L585" s="27"/>
    </row>
    <row r="586">
      <c r="J586" s="27"/>
      <c r="K586" s="27"/>
      <c r="L586" s="27"/>
    </row>
    <row r="587">
      <c r="J587" s="27"/>
      <c r="K587" s="27"/>
      <c r="L587" s="27"/>
    </row>
    <row r="588">
      <c r="J588" s="27"/>
      <c r="K588" s="27"/>
      <c r="L588" s="27"/>
    </row>
    <row r="589">
      <c r="J589" s="27"/>
      <c r="K589" s="27"/>
      <c r="L589" s="27"/>
    </row>
    <row r="590">
      <c r="J590" s="27"/>
      <c r="K590" s="27"/>
      <c r="L590" s="27"/>
    </row>
    <row r="591">
      <c r="J591" s="27"/>
      <c r="K591" s="27"/>
      <c r="L591" s="27"/>
    </row>
    <row r="592">
      <c r="J592" s="27"/>
      <c r="K592" s="27"/>
      <c r="L592" s="27"/>
    </row>
    <row r="593">
      <c r="J593" s="27"/>
      <c r="K593" s="27"/>
      <c r="L593" s="27"/>
    </row>
    <row r="594">
      <c r="J594" s="27"/>
      <c r="K594" s="27"/>
      <c r="L594" s="27"/>
    </row>
    <row r="595">
      <c r="J595" s="27"/>
      <c r="K595" s="27"/>
      <c r="L595" s="27"/>
    </row>
    <row r="596">
      <c r="J596" s="27"/>
      <c r="K596" s="27"/>
      <c r="L596" s="27"/>
    </row>
    <row r="597">
      <c r="J597" s="27"/>
      <c r="K597" s="27"/>
      <c r="L597" s="27"/>
    </row>
    <row r="598">
      <c r="J598" s="27"/>
      <c r="K598" s="27"/>
      <c r="L598" s="27"/>
    </row>
    <row r="599">
      <c r="J599" s="27"/>
      <c r="K599" s="27"/>
      <c r="L599" s="27"/>
    </row>
    <row r="600">
      <c r="J600" s="27"/>
      <c r="K600" s="27"/>
      <c r="L600" s="27"/>
    </row>
    <row r="601">
      <c r="J601" s="27"/>
      <c r="K601" s="27"/>
      <c r="L601" s="27"/>
    </row>
    <row r="602">
      <c r="J602" s="27"/>
      <c r="K602" s="27"/>
      <c r="L602" s="27"/>
    </row>
    <row r="603">
      <c r="J603" s="27"/>
      <c r="K603" s="27"/>
      <c r="L603" s="27"/>
    </row>
    <row r="604">
      <c r="J604" s="27"/>
      <c r="K604" s="27"/>
      <c r="L604" s="27"/>
    </row>
    <row r="605">
      <c r="J605" s="27"/>
      <c r="K605" s="27"/>
      <c r="L605" s="27"/>
    </row>
    <row r="606">
      <c r="J606" s="27"/>
      <c r="K606" s="27"/>
      <c r="L606" s="27"/>
    </row>
    <row r="607">
      <c r="J607" s="27"/>
      <c r="K607" s="27"/>
      <c r="L607" s="27"/>
    </row>
    <row r="608">
      <c r="J608" s="27"/>
      <c r="K608" s="27"/>
      <c r="L608" s="27"/>
    </row>
    <row r="609">
      <c r="J609" s="27"/>
      <c r="K609" s="27"/>
      <c r="L609" s="27"/>
    </row>
    <row r="610">
      <c r="J610" s="27"/>
      <c r="K610" s="27"/>
      <c r="L610" s="27"/>
    </row>
    <row r="611">
      <c r="J611" s="27"/>
      <c r="K611" s="27"/>
      <c r="L611" s="27"/>
    </row>
    <row r="612">
      <c r="J612" s="27"/>
      <c r="K612" s="27"/>
      <c r="L612" s="27"/>
    </row>
    <row r="613">
      <c r="J613" s="27"/>
      <c r="K613" s="27"/>
      <c r="L613" s="27"/>
    </row>
    <row r="614">
      <c r="J614" s="27"/>
      <c r="K614" s="27"/>
      <c r="L614" s="27"/>
    </row>
    <row r="615">
      <c r="J615" s="27"/>
      <c r="K615" s="27"/>
      <c r="L615" s="27"/>
    </row>
    <row r="616">
      <c r="J616" s="27"/>
      <c r="K616" s="27"/>
      <c r="L616" s="27"/>
    </row>
    <row r="617">
      <c r="J617" s="27"/>
      <c r="K617" s="27"/>
      <c r="L617" s="27"/>
    </row>
    <row r="618">
      <c r="J618" s="27"/>
      <c r="K618" s="27"/>
      <c r="L618" s="27"/>
    </row>
    <row r="619">
      <c r="J619" s="27"/>
      <c r="K619" s="27"/>
      <c r="L619" s="27"/>
    </row>
    <row r="620">
      <c r="J620" s="27"/>
      <c r="K620" s="27"/>
      <c r="L620" s="27"/>
    </row>
    <row r="621">
      <c r="J621" s="27"/>
      <c r="K621" s="27"/>
      <c r="L621" s="27"/>
    </row>
    <row r="622">
      <c r="J622" s="27"/>
      <c r="K622" s="27"/>
      <c r="L622" s="27"/>
    </row>
    <row r="623">
      <c r="J623" s="27"/>
      <c r="K623" s="27"/>
      <c r="L623" s="27"/>
    </row>
    <row r="624">
      <c r="J624" s="27"/>
      <c r="K624" s="27"/>
      <c r="L624" s="27"/>
    </row>
    <row r="625">
      <c r="J625" s="27"/>
      <c r="K625" s="27"/>
      <c r="L625" s="27"/>
    </row>
    <row r="626">
      <c r="J626" s="27"/>
      <c r="K626" s="27"/>
      <c r="L626" s="27"/>
    </row>
    <row r="627">
      <c r="J627" s="27"/>
      <c r="K627" s="27"/>
      <c r="L627" s="27"/>
    </row>
    <row r="628">
      <c r="J628" s="27"/>
      <c r="K628" s="27"/>
      <c r="L628" s="27"/>
    </row>
    <row r="629">
      <c r="J629" s="27"/>
      <c r="K629" s="27"/>
      <c r="L629" s="27"/>
    </row>
    <row r="630">
      <c r="J630" s="27"/>
      <c r="K630" s="27"/>
      <c r="L630" s="27"/>
    </row>
    <row r="631">
      <c r="J631" s="27"/>
      <c r="K631" s="27"/>
      <c r="L631" s="27"/>
    </row>
    <row r="632">
      <c r="J632" s="27"/>
      <c r="K632" s="27"/>
      <c r="L632" s="27"/>
    </row>
    <row r="633">
      <c r="J633" s="27"/>
      <c r="K633" s="27"/>
      <c r="L633" s="27"/>
    </row>
    <row r="634">
      <c r="J634" s="27"/>
      <c r="K634" s="27"/>
      <c r="L634" s="27"/>
    </row>
    <row r="635">
      <c r="J635" s="27"/>
      <c r="K635" s="27"/>
      <c r="L635" s="27"/>
    </row>
    <row r="636">
      <c r="J636" s="27"/>
      <c r="K636" s="27"/>
      <c r="L636" s="27"/>
    </row>
    <row r="637">
      <c r="J637" s="27"/>
      <c r="K637" s="27"/>
      <c r="L637" s="27"/>
    </row>
    <row r="638">
      <c r="J638" s="27"/>
      <c r="K638" s="27"/>
      <c r="L638" s="27"/>
    </row>
    <row r="639">
      <c r="J639" s="27"/>
      <c r="K639" s="27"/>
      <c r="L639" s="27"/>
    </row>
    <row r="640">
      <c r="J640" s="27"/>
      <c r="K640" s="27"/>
      <c r="L640" s="27"/>
    </row>
    <row r="641">
      <c r="J641" s="27"/>
      <c r="K641" s="27"/>
      <c r="L641" s="27"/>
    </row>
    <row r="642">
      <c r="J642" s="27"/>
      <c r="K642" s="27"/>
      <c r="L642" s="27"/>
    </row>
    <row r="643">
      <c r="J643" s="27"/>
      <c r="K643" s="27"/>
      <c r="L643" s="27"/>
    </row>
    <row r="644">
      <c r="J644" s="27"/>
      <c r="K644" s="27"/>
      <c r="L644" s="27"/>
    </row>
    <row r="645">
      <c r="J645" s="27"/>
      <c r="K645" s="27"/>
      <c r="L645" s="27"/>
    </row>
    <row r="646">
      <c r="J646" s="27"/>
      <c r="K646" s="27"/>
      <c r="L646" s="27"/>
    </row>
    <row r="647">
      <c r="J647" s="27"/>
      <c r="K647" s="27"/>
      <c r="L647" s="27"/>
    </row>
    <row r="648">
      <c r="J648" s="27"/>
      <c r="K648" s="27"/>
      <c r="L648" s="27"/>
    </row>
    <row r="649">
      <c r="J649" s="27"/>
      <c r="K649" s="27"/>
      <c r="L649" s="27"/>
    </row>
    <row r="650">
      <c r="J650" s="27"/>
      <c r="K650" s="27"/>
      <c r="L650" s="27"/>
    </row>
    <row r="651">
      <c r="J651" s="27"/>
      <c r="K651" s="27"/>
      <c r="L651" s="27"/>
    </row>
    <row r="652">
      <c r="J652" s="27"/>
      <c r="K652" s="27"/>
      <c r="L652" s="27"/>
    </row>
    <row r="653">
      <c r="J653" s="27"/>
      <c r="K653" s="27"/>
      <c r="L653" s="27"/>
    </row>
    <row r="654">
      <c r="J654" s="27"/>
      <c r="K654" s="27"/>
      <c r="L654" s="27"/>
    </row>
    <row r="655">
      <c r="J655" s="27"/>
      <c r="K655" s="27"/>
      <c r="L655" s="27"/>
    </row>
    <row r="656">
      <c r="J656" s="27"/>
      <c r="K656" s="27"/>
      <c r="L656" s="27"/>
    </row>
    <row r="657">
      <c r="J657" s="27"/>
      <c r="K657" s="27"/>
      <c r="L657" s="27"/>
    </row>
    <row r="658">
      <c r="J658" s="27"/>
      <c r="K658" s="27"/>
      <c r="L658" s="27"/>
    </row>
    <row r="659">
      <c r="J659" s="27"/>
      <c r="K659" s="27"/>
      <c r="L659" s="27"/>
    </row>
    <row r="660">
      <c r="J660" s="27"/>
      <c r="K660" s="27"/>
      <c r="L660" s="27"/>
    </row>
    <row r="661">
      <c r="J661" s="27"/>
      <c r="K661" s="27"/>
      <c r="L661" s="27"/>
    </row>
    <row r="662">
      <c r="J662" s="27"/>
      <c r="K662" s="27"/>
      <c r="L662" s="27"/>
    </row>
    <row r="663">
      <c r="J663" s="27"/>
      <c r="K663" s="27"/>
      <c r="L663" s="27"/>
    </row>
    <row r="664">
      <c r="J664" s="27"/>
      <c r="K664" s="27"/>
      <c r="L664" s="27"/>
    </row>
    <row r="665">
      <c r="J665" s="27"/>
      <c r="K665" s="27"/>
      <c r="L665" s="27"/>
    </row>
    <row r="666">
      <c r="J666" s="27"/>
      <c r="K666" s="27"/>
      <c r="L666" s="27"/>
    </row>
    <row r="667">
      <c r="J667" s="27"/>
      <c r="K667" s="27"/>
      <c r="L667" s="27"/>
    </row>
    <row r="668">
      <c r="J668" s="27"/>
      <c r="K668" s="27"/>
      <c r="L668" s="27"/>
    </row>
    <row r="669">
      <c r="J669" s="27"/>
      <c r="K669" s="27"/>
      <c r="L669" s="27"/>
    </row>
    <row r="670">
      <c r="J670" s="27"/>
      <c r="K670" s="27"/>
      <c r="L670" s="27"/>
    </row>
    <row r="671">
      <c r="J671" s="27"/>
      <c r="K671" s="27"/>
      <c r="L671" s="27"/>
    </row>
    <row r="672">
      <c r="J672" s="27"/>
      <c r="K672" s="27"/>
      <c r="L672" s="27"/>
    </row>
    <row r="673">
      <c r="J673" s="27"/>
      <c r="K673" s="27"/>
      <c r="L673" s="27"/>
    </row>
    <row r="674">
      <c r="J674" s="27"/>
      <c r="K674" s="27"/>
      <c r="L674" s="27"/>
    </row>
    <row r="675">
      <c r="J675" s="27"/>
      <c r="K675" s="27"/>
      <c r="L675" s="27"/>
    </row>
    <row r="676">
      <c r="J676" s="27"/>
      <c r="K676" s="27"/>
      <c r="L676" s="27"/>
    </row>
    <row r="677">
      <c r="J677" s="27"/>
      <c r="K677" s="27"/>
      <c r="L677" s="27"/>
    </row>
    <row r="678">
      <c r="J678" s="27"/>
      <c r="K678" s="27"/>
      <c r="L678" s="27"/>
    </row>
    <row r="679">
      <c r="J679" s="27"/>
      <c r="K679" s="27"/>
      <c r="L679" s="27"/>
    </row>
    <row r="680">
      <c r="J680" s="27"/>
      <c r="K680" s="27"/>
      <c r="L680" s="27"/>
    </row>
    <row r="681">
      <c r="J681" s="27"/>
      <c r="K681" s="27"/>
      <c r="L681" s="27"/>
    </row>
    <row r="682">
      <c r="J682" s="27"/>
      <c r="K682" s="27"/>
      <c r="L682" s="27"/>
    </row>
    <row r="683">
      <c r="J683" s="27"/>
      <c r="K683" s="27"/>
      <c r="L683" s="27"/>
    </row>
    <row r="684">
      <c r="J684" s="27"/>
      <c r="K684" s="27"/>
      <c r="L684" s="27"/>
    </row>
    <row r="685">
      <c r="J685" s="27"/>
      <c r="K685" s="27"/>
      <c r="L685" s="27"/>
    </row>
    <row r="686">
      <c r="J686" s="27"/>
      <c r="K686" s="27"/>
      <c r="L686" s="27"/>
    </row>
    <row r="687">
      <c r="J687" s="27"/>
      <c r="K687" s="27"/>
      <c r="L687" s="27"/>
    </row>
    <row r="688">
      <c r="J688" s="27"/>
      <c r="K688" s="27"/>
      <c r="L688" s="27"/>
    </row>
    <row r="689">
      <c r="J689" s="27"/>
      <c r="K689" s="27"/>
      <c r="L689" s="27"/>
    </row>
    <row r="690">
      <c r="J690" s="27"/>
      <c r="K690" s="27"/>
      <c r="L690" s="27"/>
    </row>
    <row r="691">
      <c r="J691" s="27"/>
      <c r="K691" s="27"/>
      <c r="L691" s="27"/>
    </row>
    <row r="692">
      <c r="J692" s="27"/>
      <c r="K692" s="27"/>
      <c r="L692" s="27"/>
    </row>
    <row r="693">
      <c r="J693" s="27"/>
      <c r="K693" s="27"/>
      <c r="L693" s="27"/>
    </row>
    <row r="694">
      <c r="J694" s="27"/>
      <c r="K694" s="27"/>
      <c r="L694" s="27"/>
    </row>
    <row r="695">
      <c r="J695" s="27"/>
      <c r="K695" s="27"/>
      <c r="L695" s="27"/>
    </row>
    <row r="696">
      <c r="J696" s="27"/>
      <c r="K696" s="27"/>
      <c r="L696" s="27"/>
    </row>
    <row r="697">
      <c r="J697" s="27"/>
      <c r="K697" s="27"/>
      <c r="L697" s="27"/>
    </row>
    <row r="698">
      <c r="J698" s="27"/>
      <c r="K698" s="27"/>
      <c r="L698" s="27"/>
    </row>
    <row r="699">
      <c r="J699" s="27"/>
      <c r="K699" s="27"/>
      <c r="L699" s="27"/>
    </row>
    <row r="700">
      <c r="J700" s="27"/>
      <c r="K700" s="27"/>
      <c r="L700" s="27"/>
    </row>
    <row r="701">
      <c r="J701" s="27"/>
      <c r="K701" s="27"/>
      <c r="L701" s="27"/>
    </row>
    <row r="702">
      <c r="J702" s="27"/>
      <c r="K702" s="27"/>
      <c r="L702" s="27"/>
    </row>
    <row r="703">
      <c r="J703" s="27"/>
      <c r="K703" s="27"/>
      <c r="L703" s="27"/>
    </row>
    <row r="704">
      <c r="J704" s="27"/>
      <c r="K704" s="27"/>
      <c r="L704" s="27"/>
    </row>
    <row r="705">
      <c r="J705" s="27"/>
      <c r="K705" s="27"/>
      <c r="L705" s="27"/>
    </row>
    <row r="706">
      <c r="J706" s="27"/>
      <c r="K706" s="27"/>
      <c r="L706" s="27"/>
    </row>
    <row r="707">
      <c r="J707" s="27"/>
      <c r="K707" s="27"/>
      <c r="L707" s="27"/>
    </row>
    <row r="708">
      <c r="J708" s="27"/>
      <c r="K708" s="27"/>
      <c r="L708" s="27"/>
    </row>
    <row r="709">
      <c r="J709" s="27"/>
      <c r="K709" s="27"/>
      <c r="L709" s="27"/>
    </row>
    <row r="710">
      <c r="J710" s="27"/>
      <c r="K710" s="27"/>
      <c r="L710" s="27"/>
    </row>
    <row r="711">
      <c r="J711" s="27"/>
      <c r="K711" s="27"/>
      <c r="L711" s="27"/>
    </row>
    <row r="712">
      <c r="J712" s="27"/>
      <c r="K712" s="27"/>
      <c r="L712" s="27"/>
    </row>
    <row r="713">
      <c r="J713" s="27"/>
      <c r="K713" s="27"/>
      <c r="L713" s="27"/>
    </row>
    <row r="714">
      <c r="J714" s="27"/>
      <c r="K714" s="27"/>
      <c r="L714" s="27"/>
    </row>
    <row r="715">
      <c r="J715" s="27"/>
      <c r="K715" s="27"/>
      <c r="L715" s="27"/>
    </row>
    <row r="716">
      <c r="J716" s="27"/>
      <c r="K716" s="27"/>
      <c r="L716" s="27"/>
    </row>
    <row r="717">
      <c r="J717" s="27"/>
      <c r="K717" s="27"/>
      <c r="L717" s="27"/>
    </row>
    <row r="718">
      <c r="J718" s="27"/>
      <c r="K718" s="27"/>
      <c r="L718" s="27"/>
    </row>
    <row r="719">
      <c r="J719" s="27"/>
      <c r="K719" s="27"/>
      <c r="L719" s="27"/>
    </row>
    <row r="720">
      <c r="J720" s="27"/>
      <c r="K720" s="27"/>
      <c r="L720" s="27"/>
    </row>
    <row r="721">
      <c r="J721" s="27"/>
      <c r="K721" s="27"/>
      <c r="L721" s="27"/>
    </row>
    <row r="722">
      <c r="J722" s="27"/>
      <c r="K722" s="27"/>
      <c r="L722" s="27"/>
    </row>
    <row r="723">
      <c r="J723" s="27"/>
      <c r="K723" s="27"/>
      <c r="L723" s="27"/>
    </row>
    <row r="724">
      <c r="J724" s="27"/>
      <c r="K724" s="27"/>
      <c r="L724" s="27"/>
    </row>
    <row r="725">
      <c r="J725" s="27"/>
      <c r="K725" s="27"/>
      <c r="L725" s="27"/>
    </row>
    <row r="726">
      <c r="J726" s="27"/>
      <c r="K726" s="27"/>
      <c r="L726" s="27"/>
    </row>
    <row r="727">
      <c r="J727" s="27"/>
      <c r="K727" s="27"/>
      <c r="L727" s="27"/>
    </row>
    <row r="728">
      <c r="J728" s="27"/>
      <c r="K728" s="27"/>
      <c r="L728" s="27"/>
    </row>
    <row r="729">
      <c r="J729" s="27"/>
      <c r="K729" s="27"/>
      <c r="L729" s="27"/>
    </row>
    <row r="730">
      <c r="J730" s="27"/>
      <c r="K730" s="27"/>
      <c r="L730" s="27"/>
    </row>
    <row r="731">
      <c r="J731" s="27"/>
      <c r="K731" s="27"/>
      <c r="L731" s="27"/>
    </row>
    <row r="732">
      <c r="J732" s="27"/>
      <c r="K732" s="27"/>
      <c r="L732" s="27"/>
    </row>
    <row r="733">
      <c r="J733" s="27"/>
      <c r="K733" s="27"/>
      <c r="L733" s="27"/>
    </row>
    <row r="734">
      <c r="J734" s="27"/>
      <c r="K734" s="27"/>
      <c r="L734" s="27"/>
    </row>
    <row r="735">
      <c r="J735" s="27"/>
      <c r="K735" s="27"/>
      <c r="L735" s="27"/>
    </row>
    <row r="736">
      <c r="J736" s="27"/>
      <c r="K736" s="27"/>
      <c r="L736" s="27"/>
    </row>
    <row r="737">
      <c r="J737" s="27"/>
      <c r="K737" s="27"/>
      <c r="L737" s="27"/>
    </row>
    <row r="738">
      <c r="J738" s="27"/>
      <c r="K738" s="27"/>
      <c r="L738" s="27"/>
    </row>
    <row r="739">
      <c r="J739" s="27"/>
      <c r="K739" s="27"/>
      <c r="L739" s="27"/>
    </row>
    <row r="740">
      <c r="J740" s="27"/>
      <c r="K740" s="27"/>
      <c r="L740" s="27"/>
    </row>
    <row r="741">
      <c r="J741" s="27"/>
      <c r="K741" s="27"/>
      <c r="L741" s="27"/>
    </row>
    <row r="742">
      <c r="J742" s="27"/>
      <c r="K742" s="27"/>
      <c r="L742" s="27"/>
    </row>
    <row r="743">
      <c r="J743" s="27"/>
      <c r="K743" s="27"/>
      <c r="L743" s="27"/>
    </row>
    <row r="744">
      <c r="J744" s="27"/>
      <c r="K744" s="27"/>
      <c r="L744" s="27"/>
    </row>
    <row r="745">
      <c r="J745" s="27"/>
      <c r="K745" s="27"/>
      <c r="L745" s="27"/>
    </row>
    <row r="746">
      <c r="J746" s="27"/>
      <c r="K746" s="27"/>
      <c r="L746" s="27"/>
    </row>
    <row r="747">
      <c r="J747" s="27"/>
      <c r="K747" s="27"/>
      <c r="L747" s="27"/>
    </row>
    <row r="748">
      <c r="J748" s="27"/>
      <c r="K748" s="27"/>
      <c r="L748" s="27"/>
    </row>
    <row r="749">
      <c r="J749" s="27"/>
      <c r="K749" s="27"/>
      <c r="L749" s="27"/>
    </row>
    <row r="750">
      <c r="J750" s="27"/>
      <c r="K750" s="27"/>
      <c r="L750" s="27"/>
    </row>
    <row r="751">
      <c r="J751" s="27"/>
      <c r="K751" s="27"/>
      <c r="L751" s="27"/>
    </row>
    <row r="752">
      <c r="J752" s="27"/>
      <c r="K752" s="27"/>
      <c r="L752" s="27"/>
    </row>
    <row r="753">
      <c r="J753" s="27"/>
      <c r="K753" s="27"/>
      <c r="L753" s="27"/>
    </row>
    <row r="754">
      <c r="J754" s="27"/>
      <c r="K754" s="27"/>
      <c r="L754" s="27"/>
    </row>
    <row r="755">
      <c r="J755" s="27"/>
      <c r="K755" s="27"/>
      <c r="L755" s="27"/>
    </row>
    <row r="756">
      <c r="J756" s="27"/>
      <c r="K756" s="27"/>
      <c r="L756" s="27"/>
    </row>
    <row r="757">
      <c r="J757" s="27"/>
      <c r="K757" s="27"/>
      <c r="L757" s="27"/>
    </row>
    <row r="758">
      <c r="J758" s="27"/>
      <c r="K758" s="27"/>
      <c r="L758" s="27"/>
    </row>
    <row r="759">
      <c r="J759" s="27"/>
      <c r="K759" s="27"/>
      <c r="L759" s="27"/>
    </row>
    <row r="760">
      <c r="J760" s="27"/>
      <c r="K760" s="27"/>
      <c r="L760" s="27"/>
    </row>
    <row r="761">
      <c r="J761" s="27"/>
      <c r="K761" s="27"/>
      <c r="L761" s="27"/>
    </row>
    <row r="762">
      <c r="J762" s="27"/>
      <c r="K762" s="27"/>
      <c r="L762" s="27"/>
    </row>
    <row r="763">
      <c r="J763" s="27"/>
      <c r="K763" s="27"/>
      <c r="L763" s="27"/>
    </row>
    <row r="764">
      <c r="J764" s="27"/>
      <c r="K764" s="27"/>
      <c r="L764" s="27"/>
    </row>
    <row r="765">
      <c r="J765" s="27"/>
      <c r="K765" s="27"/>
      <c r="L765" s="27"/>
    </row>
    <row r="766">
      <c r="J766" s="27"/>
      <c r="K766" s="27"/>
      <c r="L766" s="27"/>
    </row>
    <row r="767">
      <c r="J767" s="27"/>
      <c r="K767" s="27"/>
      <c r="L767" s="27"/>
    </row>
    <row r="768">
      <c r="J768" s="27"/>
      <c r="K768" s="27"/>
      <c r="L768" s="27"/>
    </row>
    <row r="769">
      <c r="J769" s="27"/>
      <c r="K769" s="27"/>
      <c r="L769" s="27"/>
    </row>
    <row r="770">
      <c r="J770" s="27"/>
      <c r="K770" s="27"/>
      <c r="L770" s="27"/>
    </row>
    <row r="771">
      <c r="J771" s="27"/>
      <c r="K771" s="27"/>
      <c r="L771" s="27"/>
    </row>
    <row r="772">
      <c r="J772" s="27"/>
      <c r="K772" s="27"/>
      <c r="L772" s="27"/>
    </row>
    <row r="773">
      <c r="J773" s="27"/>
      <c r="K773" s="27"/>
      <c r="L773" s="27"/>
    </row>
    <row r="774">
      <c r="J774" s="27"/>
      <c r="K774" s="27"/>
      <c r="L774" s="27"/>
    </row>
    <row r="775">
      <c r="J775" s="27"/>
      <c r="K775" s="27"/>
      <c r="L775" s="27"/>
    </row>
    <row r="776">
      <c r="J776" s="27"/>
      <c r="K776" s="27"/>
      <c r="L776" s="27"/>
    </row>
    <row r="777">
      <c r="J777" s="27"/>
      <c r="K777" s="27"/>
      <c r="L777" s="27"/>
    </row>
    <row r="778">
      <c r="J778" s="27"/>
      <c r="K778" s="27"/>
      <c r="L778" s="27"/>
    </row>
    <row r="779">
      <c r="J779" s="27"/>
      <c r="K779" s="27"/>
      <c r="L779" s="27"/>
    </row>
    <row r="780">
      <c r="J780" s="27"/>
      <c r="K780" s="27"/>
      <c r="L780" s="27"/>
    </row>
    <row r="781">
      <c r="J781" s="27"/>
      <c r="K781" s="27"/>
      <c r="L781" s="27"/>
    </row>
    <row r="782">
      <c r="J782" s="27"/>
      <c r="K782" s="27"/>
      <c r="L782" s="27"/>
    </row>
    <row r="783">
      <c r="J783" s="27"/>
      <c r="K783" s="27"/>
      <c r="L783" s="27"/>
    </row>
    <row r="784">
      <c r="J784" s="27"/>
      <c r="K784" s="27"/>
      <c r="L784" s="27"/>
    </row>
    <row r="785">
      <c r="J785" s="27"/>
      <c r="K785" s="27"/>
      <c r="L785" s="27"/>
    </row>
    <row r="786">
      <c r="J786" s="27"/>
      <c r="K786" s="27"/>
      <c r="L786" s="27"/>
    </row>
    <row r="787">
      <c r="J787" s="27"/>
      <c r="K787" s="27"/>
      <c r="L787" s="27"/>
    </row>
    <row r="788">
      <c r="J788" s="27"/>
      <c r="K788" s="27"/>
      <c r="L788" s="27"/>
    </row>
    <row r="789">
      <c r="J789" s="27"/>
      <c r="K789" s="27"/>
      <c r="L789" s="27"/>
    </row>
    <row r="790">
      <c r="J790" s="27"/>
      <c r="K790" s="27"/>
      <c r="L790" s="27"/>
    </row>
    <row r="791">
      <c r="J791" s="27"/>
      <c r="K791" s="27"/>
      <c r="L791" s="27"/>
    </row>
    <row r="792">
      <c r="J792" s="27"/>
      <c r="K792" s="27"/>
      <c r="L792" s="27"/>
    </row>
    <row r="793">
      <c r="J793" s="27"/>
      <c r="K793" s="27"/>
      <c r="L793" s="27"/>
    </row>
    <row r="794">
      <c r="J794" s="27"/>
      <c r="K794" s="27"/>
      <c r="L794" s="27"/>
    </row>
    <row r="795">
      <c r="J795" s="27"/>
      <c r="K795" s="27"/>
      <c r="L795" s="27"/>
    </row>
    <row r="796">
      <c r="J796" s="27"/>
      <c r="K796" s="27"/>
      <c r="L796" s="27"/>
    </row>
    <row r="797">
      <c r="J797" s="27"/>
      <c r="K797" s="27"/>
      <c r="L797" s="27"/>
    </row>
    <row r="798">
      <c r="J798" s="27"/>
      <c r="K798" s="27"/>
      <c r="L798" s="27"/>
    </row>
    <row r="799">
      <c r="J799" s="27"/>
      <c r="K799" s="27"/>
      <c r="L799" s="27"/>
    </row>
    <row r="800">
      <c r="J800" s="27"/>
      <c r="K800" s="27"/>
      <c r="L800" s="27"/>
    </row>
    <row r="801">
      <c r="J801" s="27"/>
      <c r="K801" s="27"/>
      <c r="L801" s="27"/>
    </row>
    <row r="802">
      <c r="J802" s="27"/>
      <c r="K802" s="27"/>
      <c r="L802" s="27"/>
    </row>
    <row r="803">
      <c r="J803" s="27"/>
      <c r="K803" s="27"/>
      <c r="L803" s="27"/>
    </row>
    <row r="804">
      <c r="J804" s="27"/>
      <c r="K804" s="27"/>
      <c r="L804" s="27"/>
    </row>
    <row r="805">
      <c r="J805" s="27"/>
      <c r="K805" s="27"/>
      <c r="L805" s="27"/>
    </row>
    <row r="806">
      <c r="J806" s="27"/>
      <c r="K806" s="27"/>
      <c r="L806" s="27"/>
    </row>
    <row r="807">
      <c r="J807" s="27"/>
      <c r="K807" s="27"/>
      <c r="L807" s="27"/>
    </row>
    <row r="808">
      <c r="J808" s="27"/>
      <c r="K808" s="27"/>
      <c r="L808" s="27"/>
    </row>
    <row r="809">
      <c r="J809" s="27"/>
      <c r="K809" s="27"/>
      <c r="L809" s="27"/>
    </row>
    <row r="810">
      <c r="J810" s="27"/>
      <c r="K810" s="27"/>
      <c r="L810" s="27"/>
    </row>
    <row r="811">
      <c r="J811" s="27"/>
      <c r="K811" s="27"/>
      <c r="L811" s="27"/>
    </row>
    <row r="812">
      <c r="J812" s="27"/>
      <c r="K812" s="27"/>
      <c r="L812" s="27"/>
    </row>
    <row r="813">
      <c r="J813" s="27"/>
      <c r="K813" s="27"/>
      <c r="L813" s="27"/>
    </row>
    <row r="814">
      <c r="J814" s="27"/>
      <c r="K814" s="27"/>
      <c r="L814" s="27"/>
    </row>
    <row r="815">
      <c r="J815" s="27"/>
      <c r="K815" s="27"/>
      <c r="L815" s="27"/>
    </row>
    <row r="816">
      <c r="J816" s="27"/>
      <c r="K816" s="27"/>
      <c r="L816" s="27"/>
    </row>
    <row r="817">
      <c r="J817" s="27"/>
      <c r="K817" s="27"/>
      <c r="L817" s="27"/>
    </row>
    <row r="818">
      <c r="J818" s="27"/>
      <c r="K818" s="27"/>
      <c r="L818" s="27"/>
    </row>
    <row r="819">
      <c r="J819" s="27"/>
      <c r="K819" s="27"/>
      <c r="L819" s="27"/>
    </row>
    <row r="820">
      <c r="J820" s="27"/>
      <c r="K820" s="27"/>
      <c r="L820" s="27"/>
    </row>
    <row r="821">
      <c r="J821" s="27"/>
      <c r="K821" s="27"/>
      <c r="L821" s="27"/>
    </row>
    <row r="822">
      <c r="J822" s="27"/>
      <c r="K822" s="27"/>
      <c r="L822" s="27"/>
    </row>
    <row r="823">
      <c r="J823" s="27"/>
      <c r="K823" s="27"/>
      <c r="L823" s="27"/>
    </row>
    <row r="824">
      <c r="J824" s="27"/>
      <c r="K824" s="27"/>
      <c r="L824" s="27"/>
    </row>
    <row r="825">
      <c r="J825" s="27"/>
      <c r="K825" s="27"/>
      <c r="L825" s="27"/>
    </row>
    <row r="826">
      <c r="J826" s="27"/>
      <c r="K826" s="27"/>
      <c r="L826" s="27"/>
    </row>
    <row r="827">
      <c r="J827" s="27"/>
      <c r="K827" s="27"/>
      <c r="L827" s="27"/>
    </row>
    <row r="828">
      <c r="J828" s="27"/>
      <c r="K828" s="27"/>
      <c r="L828" s="27"/>
    </row>
    <row r="829">
      <c r="J829" s="27"/>
      <c r="K829" s="27"/>
      <c r="L829" s="27"/>
    </row>
    <row r="830">
      <c r="J830" s="27"/>
      <c r="K830" s="27"/>
      <c r="L830" s="27"/>
    </row>
    <row r="831">
      <c r="J831" s="27"/>
      <c r="K831" s="27"/>
      <c r="L831" s="27"/>
    </row>
    <row r="832">
      <c r="J832" s="27"/>
      <c r="K832" s="27"/>
      <c r="L832" s="27"/>
    </row>
    <row r="833">
      <c r="J833" s="27"/>
      <c r="K833" s="27"/>
      <c r="L833" s="27"/>
    </row>
    <row r="834">
      <c r="J834" s="27"/>
      <c r="K834" s="27"/>
      <c r="L834" s="27"/>
    </row>
    <row r="835">
      <c r="J835" s="27"/>
      <c r="K835" s="27"/>
      <c r="L835" s="27"/>
    </row>
    <row r="836">
      <c r="J836" s="27"/>
      <c r="K836" s="27"/>
      <c r="L836" s="27"/>
    </row>
    <row r="837">
      <c r="J837" s="27"/>
      <c r="K837" s="27"/>
      <c r="L837" s="27"/>
    </row>
    <row r="838">
      <c r="J838" s="27"/>
      <c r="K838" s="27"/>
      <c r="L838" s="27"/>
    </row>
    <row r="839">
      <c r="J839" s="27"/>
      <c r="K839" s="27"/>
      <c r="L839" s="27"/>
    </row>
    <row r="840">
      <c r="J840" s="27"/>
      <c r="K840" s="27"/>
      <c r="L840" s="27"/>
    </row>
    <row r="841">
      <c r="J841" s="27"/>
      <c r="K841" s="27"/>
      <c r="L841" s="27"/>
    </row>
    <row r="842">
      <c r="J842" s="27"/>
      <c r="K842" s="27"/>
      <c r="L842" s="27"/>
    </row>
    <row r="843">
      <c r="J843" s="27"/>
      <c r="K843" s="27"/>
      <c r="L843" s="27"/>
    </row>
    <row r="844">
      <c r="J844" s="27"/>
      <c r="K844" s="27"/>
      <c r="L844" s="27"/>
    </row>
    <row r="845">
      <c r="J845" s="27"/>
      <c r="K845" s="27"/>
      <c r="L845" s="27"/>
    </row>
    <row r="846">
      <c r="J846" s="27"/>
      <c r="K846" s="27"/>
      <c r="L846" s="27"/>
    </row>
    <row r="847">
      <c r="J847" s="27"/>
      <c r="K847" s="27"/>
      <c r="L847" s="27"/>
    </row>
    <row r="848">
      <c r="J848" s="27"/>
      <c r="K848" s="27"/>
      <c r="L848" s="27"/>
    </row>
    <row r="849">
      <c r="J849" s="27"/>
      <c r="K849" s="27"/>
      <c r="L849" s="27"/>
    </row>
    <row r="850">
      <c r="J850" s="27"/>
      <c r="K850" s="27"/>
      <c r="L850" s="27"/>
    </row>
    <row r="851">
      <c r="J851" s="27"/>
      <c r="K851" s="27"/>
      <c r="L851" s="27"/>
    </row>
    <row r="852">
      <c r="J852" s="27"/>
      <c r="K852" s="27"/>
      <c r="L852" s="27"/>
    </row>
    <row r="853">
      <c r="J853" s="27"/>
      <c r="K853" s="27"/>
      <c r="L853" s="27"/>
    </row>
    <row r="854">
      <c r="J854" s="27"/>
      <c r="K854" s="27"/>
      <c r="L854" s="27"/>
    </row>
    <row r="855">
      <c r="J855" s="27"/>
      <c r="K855" s="27"/>
      <c r="L855" s="27"/>
    </row>
    <row r="856">
      <c r="J856" s="27"/>
      <c r="K856" s="27"/>
      <c r="L856" s="27"/>
    </row>
    <row r="857">
      <c r="J857" s="27"/>
      <c r="K857" s="27"/>
      <c r="L857" s="27"/>
    </row>
    <row r="858">
      <c r="J858" s="27"/>
      <c r="K858" s="27"/>
      <c r="L858" s="27"/>
    </row>
    <row r="859">
      <c r="J859" s="27"/>
      <c r="K859" s="27"/>
      <c r="L859" s="27"/>
    </row>
    <row r="860">
      <c r="J860" s="27"/>
      <c r="K860" s="27"/>
      <c r="L860" s="27"/>
    </row>
    <row r="861">
      <c r="J861" s="27"/>
      <c r="K861" s="27"/>
      <c r="L861" s="27"/>
    </row>
    <row r="862">
      <c r="J862" s="27"/>
      <c r="K862" s="27"/>
      <c r="L862" s="27"/>
    </row>
    <row r="863">
      <c r="J863" s="27"/>
      <c r="K863" s="27"/>
      <c r="L863" s="27"/>
    </row>
    <row r="864">
      <c r="J864" s="27"/>
      <c r="K864" s="27"/>
      <c r="L864" s="27"/>
    </row>
    <row r="865">
      <c r="J865" s="27"/>
      <c r="K865" s="27"/>
      <c r="L865" s="27"/>
    </row>
    <row r="866">
      <c r="J866" s="27"/>
      <c r="K866" s="27"/>
      <c r="L866" s="27"/>
    </row>
    <row r="867">
      <c r="J867" s="27"/>
      <c r="K867" s="27"/>
      <c r="L867" s="27"/>
    </row>
    <row r="868">
      <c r="J868" s="27"/>
      <c r="K868" s="27"/>
      <c r="L868" s="27"/>
    </row>
    <row r="869">
      <c r="J869" s="27"/>
      <c r="K869" s="27"/>
      <c r="L869" s="27"/>
    </row>
    <row r="870">
      <c r="J870" s="27"/>
      <c r="K870" s="27"/>
      <c r="L870" s="27"/>
    </row>
    <row r="871">
      <c r="J871" s="27"/>
      <c r="K871" s="27"/>
      <c r="L871" s="27"/>
    </row>
    <row r="872">
      <c r="J872" s="27"/>
      <c r="K872" s="27"/>
      <c r="L872" s="27"/>
    </row>
    <row r="873">
      <c r="J873" s="27"/>
      <c r="K873" s="27"/>
      <c r="L873" s="27"/>
    </row>
    <row r="874">
      <c r="J874" s="27"/>
      <c r="K874" s="27"/>
      <c r="L874" s="27"/>
    </row>
    <row r="875">
      <c r="J875" s="27"/>
      <c r="K875" s="27"/>
      <c r="L875" s="27"/>
    </row>
    <row r="876">
      <c r="J876" s="27"/>
      <c r="K876" s="27"/>
      <c r="L876" s="27"/>
    </row>
    <row r="877">
      <c r="J877" s="27"/>
      <c r="K877" s="27"/>
      <c r="L877" s="27"/>
    </row>
    <row r="878">
      <c r="J878" s="27"/>
      <c r="K878" s="27"/>
      <c r="L878" s="27"/>
    </row>
    <row r="879">
      <c r="J879" s="27"/>
      <c r="K879" s="27"/>
      <c r="L879" s="27"/>
    </row>
    <row r="880">
      <c r="J880" s="27"/>
      <c r="K880" s="27"/>
      <c r="L880" s="27"/>
    </row>
    <row r="881">
      <c r="J881" s="27"/>
      <c r="K881" s="27"/>
      <c r="L881" s="27"/>
    </row>
    <row r="882">
      <c r="J882" s="27"/>
      <c r="K882" s="27"/>
      <c r="L882" s="27"/>
    </row>
    <row r="883">
      <c r="J883" s="27"/>
      <c r="K883" s="27"/>
      <c r="L883" s="27"/>
    </row>
    <row r="884">
      <c r="J884" s="27"/>
      <c r="K884" s="27"/>
      <c r="L884" s="27"/>
    </row>
    <row r="885">
      <c r="J885" s="27"/>
      <c r="K885" s="27"/>
      <c r="L885" s="27"/>
    </row>
    <row r="886">
      <c r="J886" s="27"/>
      <c r="K886" s="27"/>
      <c r="L886" s="27"/>
    </row>
    <row r="887">
      <c r="J887" s="27"/>
      <c r="K887" s="27"/>
      <c r="L887" s="27"/>
    </row>
    <row r="888">
      <c r="J888" s="27"/>
      <c r="K888" s="27"/>
      <c r="L888" s="27"/>
    </row>
    <row r="889">
      <c r="J889" s="27"/>
      <c r="K889" s="27"/>
      <c r="L889" s="27"/>
    </row>
    <row r="890">
      <c r="J890" s="27"/>
      <c r="K890" s="27"/>
      <c r="L890" s="27"/>
    </row>
    <row r="891">
      <c r="J891" s="27"/>
      <c r="K891" s="27"/>
      <c r="L891" s="27"/>
    </row>
    <row r="892">
      <c r="J892" s="27"/>
      <c r="K892" s="27"/>
      <c r="L892" s="27"/>
    </row>
    <row r="893">
      <c r="J893" s="27"/>
      <c r="K893" s="27"/>
      <c r="L893" s="27"/>
    </row>
    <row r="894">
      <c r="J894" s="27"/>
      <c r="K894" s="27"/>
      <c r="L894" s="27"/>
    </row>
    <row r="895">
      <c r="J895" s="27"/>
      <c r="K895" s="27"/>
      <c r="L895" s="27"/>
    </row>
    <row r="896">
      <c r="J896" s="27"/>
      <c r="K896" s="27"/>
      <c r="L896" s="27"/>
    </row>
    <row r="897">
      <c r="J897" s="27"/>
      <c r="K897" s="27"/>
      <c r="L897" s="27"/>
    </row>
    <row r="898">
      <c r="J898" s="27"/>
      <c r="K898" s="27"/>
      <c r="L898" s="27"/>
    </row>
    <row r="899">
      <c r="J899" s="27"/>
      <c r="K899" s="27"/>
      <c r="L899" s="27"/>
    </row>
    <row r="900">
      <c r="J900" s="27"/>
      <c r="K900" s="27"/>
      <c r="L900" s="27"/>
    </row>
    <row r="901">
      <c r="J901" s="27"/>
      <c r="K901" s="27"/>
      <c r="L901" s="27"/>
    </row>
    <row r="902">
      <c r="J902" s="27"/>
      <c r="K902" s="27"/>
      <c r="L902" s="27"/>
    </row>
    <row r="903">
      <c r="J903" s="27"/>
      <c r="K903" s="27"/>
      <c r="L903" s="27"/>
    </row>
    <row r="904">
      <c r="J904" s="27"/>
      <c r="K904" s="27"/>
      <c r="L904" s="27"/>
    </row>
    <row r="905">
      <c r="J905" s="27"/>
      <c r="K905" s="27"/>
      <c r="L905" s="27"/>
    </row>
    <row r="906">
      <c r="J906" s="27"/>
      <c r="K906" s="27"/>
      <c r="L906" s="27"/>
    </row>
    <row r="907">
      <c r="J907" s="27"/>
      <c r="K907" s="27"/>
      <c r="L907" s="27"/>
    </row>
    <row r="908">
      <c r="J908" s="27"/>
      <c r="K908" s="27"/>
      <c r="L908" s="27"/>
    </row>
    <row r="909">
      <c r="J909" s="27"/>
      <c r="K909" s="27"/>
      <c r="L909" s="27"/>
    </row>
    <row r="910">
      <c r="J910" s="27"/>
      <c r="K910" s="27"/>
      <c r="L910" s="27"/>
    </row>
    <row r="911">
      <c r="J911" s="27"/>
      <c r="K911" s="27"/>
      <c r="L911" s="27"/>
    </row>
    <row r="912">
      <c r="J912" s="27"/>
      <c r="K912" s="27"/>
      <c r="L912" s="27"/>
    </row>
    <row r="913">
      <c r="J913" s="27"/>
      <c r="K913" s="27"/>
      <c r="L913" s="27"/>
    </row>
    <row r="914">
      <c r="J914" s="27"/>
      <c r="K914" s="27"/>
      <c r="L914" s="27"/>
    </row>
    <row r="915">
      <c r="J915" s="27"/>
      <c r="K915" s="27"/>
      <c r="L915" s="27"/>
    </row>
    <row r="916">
      <c r="J916" s="27"/>
      <c r="K916" s="27"/>
      <c r="L916" s="27"/>
    </row>
    <row r="917">
      <c r="J917" s="27"/>
      <c r="K917" s="27"/>
      <c r="L917" s="27"/>
    </row>
    <row r="918">
      <c r="J918" s="27"/>
      <c r="K918" s="27"/>
      <c r="L918" s="27"/>
    </row>
    <row r="919">
      <c r="J919" s="27"/>
      <c r="K919" s="27"/>
      <c r="L919" s="27"/>
    </row>
    <row r="920">
      <c r="J920" s="27"/>
      <c r="K920" s="27"/>
      <c r="L920" s="27"/>
    </row>
    <row r="921">
      <c r="J921" s="27"/>
      <c r="K921" s="27"/>
      <c r="L921" s="27"/>
    </row>
    <row r="922">
      <c r="J922" s="27"/>
      <c r="K922" s="27"/>
      <c r="L922" s="27"/>
    </row>
    <row r="923">
      <c r="J923" s="27"/>
      <c r="K923" s="27"/>
      <c r="L923" s="27"/>
    </row>
    <row r="924">
      <c r="J924" s="27"/>
      <c r="K924" s="27"/>
      <c r="L924" s="27"/>
    </row>
    <row r="925">
      <c r="J925" s="27"/>
      <c r="K925" s="27"/>
      <c r="L925" s="27"/>
    </row>
    <row r="926">
      <c r="J926" s="27"/>
      <c r="K926" s="27"/>
      <c r="L926" s="27"/>
    </row>
    <row r="927">
      <c r="J927" s="27"/>
      <c r="K927" s="27"/>
      <c r="L927" s="27"/>
    </row>
    <row r="928">
      <c r="J928" s="27"/>
      <c r="K928" s="27"/>
      <c r="L928" s="27"/>
    </row>
    <row r="929">
      <c r="J929" s="27"/>
      <c r="K929" s="27"/>
      <c r="L929" s="27"/>
    </row>
    <row r="930">
      <c r="J930" s="27"/>
      <c r="K930" s="27"/>
      <c r="L930" s="27"/>
    </row>
    <row r="931">
      <c r="J931" s="27"/>
      <c r="K931" s="27"/>
      <c r="L931" s="27"/>
    </row>
    <row r="932">
      <c r="J932" s="27"/>
      <c r="K932" s="27"/>
      <c r="L932" s="27"/>
    </row>
    <row r="933">
      <c r="J933" s="27"/>
      <c r="K933" s="27"/>
      <c r="L933" s="27"/>
    </row>
    <row r="934">
      <c r="J934" s="27"/>
      <c r="K934" s="27"/>
      <c r="L934" s="27"/>
    </row>
    <row r="935">
      <c r="J935" s="27"/>
      <c r="K935" s="27"/>
      <c r="L935" s="27"/>
    </row>
    <row r="936">
      <c r="J936" s="27"/>
      <c r="K936" s="27"/>
      <c r="L936" s="27"/>
    </row>
    <row r="937">
      <c r="J937" s="27"/>
      <c r="K937" s="27"/>
      <c r="L937" s="27"/>
    </row>
    <row r="938">
      <c r="J938" s="27"/>
      <c r="K938" s="27"/>
      <c r="L938" s="27"/>
    </row>
    <row r="939">
      <c r="J939" s="27"/>
      <c r="K939" s="27"/>
      <c r="L939" s="27"/>
    </row>
    <row r="940">
      <c r="J940" s="27"/>
      <c r="K940" s="27"/>
      <c r="L940" s="27"/>
    </row>
    <row r="941">
      <c r="J941" s="27"/>
      <c r="K941" s="27"/>
      <c r="L941" s="27"/>
    </row>
    <row r="942">
      <c r="J942" s="27"/>
      <c r="K942" s="27"/>
      <c r="L942" s="27"/>
    </row>
    <row r="943">
      <c r="J943" s="27"/>
      <c r="K943" s="27"/>
      <c r="L943" s="27"/>
    </row>
    <row r="944">
      <c r="J944" s="27"/>
      <c r="K944" s="27"/>
      <c r="L944" s="27"/>
    </row>
    <row r="945">
      <c r="J945" s="27"/>
      <c r="K945" s="27"/>
      <c r="L945" s="27"/>
    </row>
    <row r="946">
      <c r="J946" s="27"/>
      <c r="K946" s="27"/>
      <c r="L946" s="27"/>
    </row>
    <row r="947">
      <c r="J947" s="27"/>
      <c r="K947" s="27"/>
      <c r="L947" s="27"/>
    </row>
    <row r="948">
      <c r="J948" s="27"/>
      <c r="K948" s="27"/>
      <c r="L948" s="27"/>
    </row>
    <row r="949">
      <c r="J949" s="27"/>
      <c r="K949" s="27"/>
      <c r="L949" s="27"/>
    </row>
    <row r="950">
      <c r="J950" s="27"/>
      <c r="K950" s="27"/>
      <c r="L950" s="27"/>
    </row>
    <row r="951">
      <c r="J951" s="27"/>
      <c r="K951" s="27"/>
      <c r="L951" s="27"/>
    </row>
    <row r="952">
      <c r="J952" s="27"/>
      <c r="K952" s="27"/>
      <c r="L952" s="27"/>
    </row>
    <row r="953">
      <c r="J953" s="27"/>
      <c r="K953" s="27"/>
      <c r="L953" s="27"/>
    </row>
    <row r="954">
      <c r="J954" s="27"/>
      <c r="K954" s="27"/>
      <c r="L954" s="27"/>
    </row>
    <row r="955">
      <c r="J955" s="27"/>
      <c r="K955" s="27"/>
      <c r="L955" s="27"/>
    </row>
    <row r="956">
      <c r="J956" s="27"/>
      <c r="K956" s="27"/>
      <c r="L956" s="27"/>
    </row>
    <row r="957">
      <c r="J957" s="27"/>
      <c r="K957" s="27"/>
      <c r="L957" s="27"/>
    </row>
    <row r="958">
      <c r="J958" s="27"/>
      <c r="K958" s="27"/>
      <c r="L958" s="27"/>
    </row>
    <row r="959">
      <c r="J959" s="27"/>
      <c r="K959" s="27"/>
      <c r="L959" s="27"/>
    </row>
    <row r="960">
      <c r="J960" s="27"/>
      <c r="K960" s="27"/>
      <c r="L960" s="27"/>
    </row>
    <row r="961">
      <c r="J961" s="27"/>
      <c r="K961" s="27"/>
      <c r="L961" s="27"/>
    </row>
    <row r="962">
      <c r="J962" s="27"/>
      <c r="K962" s="27"/>
      <c r="L962" s="27"/>
    </row>
    <row r="963">
      <c r="J963" s="27"/>
      <c r="K963" s="27"/>
      <c r="L963" s="27"/>
    </row>
    <row r="964">
      <c r="J964" s="27"/>
      <c r="K964" s="27"/>
      <c r="L964" s="27"/>
    </row>
    <row r="965">
      <c r="J965" s="27"/>
      <c r="K965" s="27"/>
      <c r="L965" s="27"/>
    </row>
    <row r="966">
      <c r="J966" s="27"/>
      <c r="K966" s="27"/>
      <c r="L966" s="27"/>
    </row>
    <row r="967">
      <c r="J967" s="27"/>
      <c r="K967" s="27"/>
      <c r="L967" s="27"/>
    </row>
    <row r="968">
      <c r="J968" s="27"/>
      <c r="K968" s="27"/>
      <c r="L968" s="27"/>
    </row>
    <row r="969">
      <c r="J969" s="27"/>
      <c r="K969" s="27"/>
      <c r="L969" s="27"/>
    </row>
    <row r="970">
      <c r="J970" s="27"/>
      <c r="K970" s="27"/>
      <c r="L970" s="27"/>
    </row>
    <row r="971">
      <c r="J971" s="27"/>
      <c r="K971" s="27"/>
      <c r="L971" s="27"/>
    </row>
    <row r="972">
      <c r="J972" s="27"/>
      <c r="K972" s="27"/>
      <c r="L972" s="27"/>
    </row>
    <row r="973">
      <c r="J973" s="27"/>
      <c r="K973" s="27"/>
      <c r="L973" s="27"/>
    </row>
    <row r="974">
      <c r="J974" s="27"/>
      <c r="K974" s="27"/>
      <c r="L974" s="27"/>
    </row>
    <row r="975">
      <c r="J975" s="27"/>
      <c r="K975" s="27"/>
      <c r="L975" s="27"/>
    </row>
    <row r="976">
      <c r="J976" s="27"/>
      <c r="K976" s="27"/>
      <c r="L976" s="27"/>
    </row>
    <row r="977">
      <c r="J977" s="27"/>
      <c r="K977" s="27"/>
      <c r="L977" s="27"/>
    </row>
    <row r="978">
      <c r="J978" s="27"/>
      <c r="K978" s="27"/>
      <c r="L978" s="27"/>
    </row>
    <row r="979">
      <c r="J979" s="27"/>
      <c r="K979" s="27"/>
      <c r="L979" s="27"/>
    </row>
    <row r="980">
      <c r="J980" s="27"/>
      <c r="K980" s="27"/>
      <c r="L980" s="27"/>
    </row>
    <row r="981">
      <c r="J981" s="27"/>
      <c r="K981" s="27"/>
      <c r="L981" s="27"/>
    </row>
    <row r="982">
      <c r="J982" s="27"/>
      <c r="K982" s="27"/>
      <c r="L982" s="27"/>
    </row>
    <row r="983">
      <c r="J983" s="27"/>
      <c r="K983" s="27"/>
      <c r="L983" s="27"/>
    </row>
    <row r="984">
      <c r="J984" s="27"/>
      <c r="K984" s="27"/>
      <c r="L984" s="27"/>
    </row>
    <row r="985">
      <c r="J985" s="27"/>
      <c r="K985" s="27"/>
      <c r="L985" s="27"/>
    </row>
    <row r="986">
      <c r="J986" s="27"/>
      <c r="K986" s="27"/>
      <c r="L986" s="27"/>
    </row>
    <row r="987">
      <c r="J987" s="27"/>
      <c r="K987" s="27"/>
      <c r="L987" s="27"/>
    </row>
    <row r="988">
      <c r="J988" s="27"/>
      <c r="K988" s="27"/>
      <c r="L988" s="27"/>
    </row>
    <row r="989">
      <c r="J989" s="27"/>
      <c r="K989" s="27"/>
      <c r="L989" s="27"/>
    </row>
    <row r="990">
      <c r="J990" s="27"/>
      <c r="K990" s="27"/>
      <c r="L990" s="27"/>
    </row>
    <row r="991">
      <c r="J991" s="27"/>
      <c r="K991" s="27"/>
      <c r="L991" s="27"/>
    </row>
    <row r="992">
      <c r="J992" s="27"/>
      <c r="K992" s="27"/>
      <c r="L992" s="27"/>
    </row>
    <row r="993">
      <c r="J993" s="27"/>
      <c r="K993" s="27"/>
      <c r="L993" s="27"/>
    </row>
    <row r="994">
      <c r="J994" s="27"/>
      <c r="K994" s="27"/>
      <c r="L994" s="27"/>
    </row>
    <row r="995">
      <c r="J995" s="27"/>
      <c r="K995" s="27"/>
      <c r="L995" s="27"/>
    </row>
    <row r="996">
      <c r="J996" s="27"/>
      <c r="K996" s="27"/>
      <c r="L996" s="27"/>
    </row>
    <row r="997">
      <c r="J997" s="27"/>
      <c r="K997" s="27"/>
      <c r="L997" s="27"/>
    </row>
    <row r="998">
      <c r="J998" s="27"/>
      <c r="K998" s="27"/>
      <c r="L998" s="27"/>
    </row>
    <row r="999">
      <c r="J999" s="27"/>
      <c r="K999" s="27"/>
      <c r="L999" s="27"/>
    </row>
    <row r="1000">
      <c r="J1000" s="27"/>
      <c r="K1000" s="27"/>
      <c r="L1000" s="27"/>
    </row>
    <row r="1001">
      <c r="J1001" s="27"/>
      <c r="K1001" s="27"/>
      <c r="L1001" s="27"/>
    </row>
    <row r="1002">
      <c r="J1002" s="27"/>
      <c r="K1002" s="27"/>
      <c r="L1002" s="27"/>
    </row>
    <row r="1003">
      <c r="J1003" s="27"/>
      <c r="K1003" s="27"/>
      <c r="L1003" s="27"/>
    </row>
    <row r="1004">
      <c r="J1004" s="27"/>
      <c r="K1004" s="27"/>
      <c r="L1004" s="27"/>
    </row>
    <row r="1005">
      <c r="J1005" s="27"/>
      <c r="K1005" s="27"/>
      <c r="L1005" s="27"/>
    </row>
    <row r="1006">
      <c r="J1006" s="27"/>
      <c r="K1006" s="27"/>
      <c r="L1006" s="27"/>
    </row>
    <row r="1007">
      <c r="J1007" s="27"/>
      <c r="K1007" s="27"/>
      <c r="L1007" s="27"/>
    </row>
    <row r="1008">
      <c r="J1008" s="27"/>
      <c r="K1008" s="27"/>
      <c r="L1008" s="27"/>
    </row>
    <row r="1009">
      <c r="J1009" s="27"/>
      <c r="K1009" s="27"/>
      <c r="L1009" s="27"/>
    </row>
    <row r="1010">
      <c r="J1010" s="27"/>
      <c r="K1010" s="27"/>
      <c r="L1010" s="27"/>
    </row>
    <row r="1011">
      <c r="J1011" s="27"/>
      <c r="K1011" s="27"/>
      <c r="L1011" s="27"/>
    </row>
    <row r="1012">
      <c r="J1012" s="27"/>
      <c r="K1012" s="27"/>
      <c r="L1012" s="27"/>
    </row>
    <row r="1013">
      <c r="J1013" s="27"/>
      <c r="K1013" s="27"/>
      <c r="L1013" s="27"/>
    </row>
    <row r="1014">
      <c r="J1014" s="27"/>
      <c r="K1014" s="27"/>
      <c r="L1014" s="27"/>
    </row>
    <row r="1015">
      <c r="J1015" s="27"/>
      <c r="K1015" s="27"/>
      <c r="L1015" s="27"/>
    </row>
    <row r="1016">
      <c r="J1016" s="27"/>
      <c r="K1016" s="27"/>
      <c r="L1016" s="27"/>
    </row>
    <row r="1017">
      <c r="J1017" s="27"/>
      <c r="K1017" s="27"/>
      <c r="L1017" s="27"/>
    </row>
    <row r="1018">
      <c r="J1018" s="27"/>
      <c r="K1018" s="27"/>
      <c r="L1018" s="27"/>
    </row>
    <row r="1019">
      <c r="J1019" s="27"/>
      <c r="K1019" s="27"/>
      <c r="L1019" s="27"/>
    </row>
    <row r="1020">
      <c r="J1020" s="27"/>
      <c r="K1020" s="27"/>
      <c r="L1020" s="27"/>
    </row>
    <row r="1021">
      <c r="J1021" s="27"/>
      <c r="K1021" s="27"/>
      <c r="L1021" s="27"/>
    </row>
    <row r="1022">
      <c r="J1022" s="27"/>
      <c r="K1022" s="27"/>
      <c r="L1022" s="27"/>
    </row>
    <row r="1023">
      <c r="J1023" s="27"/>
      <c r="K1023" s="27"/>
      <c r="L1023" s="27"/>
    </row>
    <row r="1024">
      <c r="J1024" s="27"/>
      <c r="K1024" s="27"/>
      <c r="L1024" s="27"/>
    </row>
    <row r="1025">
      <c r="J1025" s="27"/>
      <c r="K1025" s="27"/>
      <c r="L1025" s="27"/>
    </row>
    <row r="1026">
      <c r="J1026" s="27"/>
      <c r="K1026" s="27"/>
      <c r="L1026" s="27"/>
    </row>
    <row r="1027">
      <c r="J1027" s="27"/>
      <c r="K1027" s="27"/>
      <c r="L1027" s="27"/>
    </row>
    <row r="1028">
      <c r="J1028" s="27"/>
      <c r="K1028" s="27"/>
      <c r="L1028" s="27"/>
    </row>
    <row r="1029">
      <c r="J1029" s="27"/>
      <c r="K1029" s="27"/>
      <c r="L1029" s="27"/>
    </row>
    <row r="1030">
      <c r="J1030" s="27"/>
      <c r="K1030" s="27"/>
      <c r="L1030" s="27"/>
    </row>
    <row r="1031">
      <c r="J1031" s="27"/>
      <c r="K1031" s="27"/>
      <c r="L1031" s="27"/>
    </row>
    <row r="1032">
      <c r="J1032" s="27"/>
      <c r="K1032" s="27"/>
      <c r="L1032" s="27"/>
    </row>
    <row r="1033">
      <c r="J1033" s="27"/>
      <c r="K1033" s="27"/>
      <c r="L1033" s="27"/>
    </row>
    <row r="1034">
      <c r="J1034" s="27"/>
      <c r="K1034" s="27"/>
      <c r="L1034" s="27"/>
    </row>
    <row r="1035">
      <c r="J1035" s="27"/>
      <c r="K1035" s="27"/>
      <c r="L1035" s="27"/>
    </row>
    <row r="1036">
      <c r="J1036" s="27"/>
      <c r="K1036" s="27"/>
      <c r="L1036" s="27"/>
    </row>
    <row r="1037">
      <c r="J1037" s="27"/>
      <c r="K1037" s="27"/>
      <c r="L1037" s="27"/>
    </row>
    <row r="1038">
      <c r="J1038" s="27"/>
      <c r="K1038" s="27"/>
      <c r="L1038" s="27"/>
    </row>
    <row r="1039">
      <c r="J1039" s="27"/>
      <c r="K1039" s="27"/>
      <c r="L1039" s="27"/>
    </row>
    <row r="1040">
      <c r="J1040" s="27"/>
      <c r="K1040" s="27"/>
      <c r="L1040" s="27"/>
    </row>
    <row r="1041">
      <c r="J1041" s="27"/>
      <c r="K1041" s="27"/>
      <c r="L1041" s="27"/>
    </row>
    <row r="1042">
      <c r="J1042" s="27"/>
      <c r="K1042" s="27"/>
      <c r="L1042" s="27"/>
    </row>
    <row r="1043">
      <c r="J1043" s="27"/>
      <c r="K1043" s="27"/>
      <c r="L1043" s="27"/>
    </row>
    <row r="1044">
      <c r="J1044" s="27"/>
      <c r="K1044" s="27"/>
      <c r="L1044" s="27"/>
    </row>
    <row r="1045">
      <c r="J1045" s="27"/>
      <c r="K1045" s="27"/>
      <c r="L1045" s="27"/>
    </row>
    <row r="1046">
      <c r="J1046" s="27"/>
      <c r="K1046" s="27"/>
      <c r="L1046" s="27"/>
    </row>
    <row r="1047">
      <c r="J1047" s="27"/>
      <c r="K1047" s="27"/>
      <c r="L1047" s="27"/>
    </row>
    <row r="1048">
      <c r="J1048" s="27"/>
      <c r="K1048" s="27"/>
      <c r="L1048" s="27"/>
    </row>
    <row r="1049">
      <c r="J1049" s="27"/>
      <c r="K1049" s="27"/>
      <c r="L1049" s="27"/>
    </row>
    <row r="1050">
      <c r="J1050" s="27"/>
      <c r="K1050" s="27"/>
      <c r="L1050" s="27"/>
    </row>
    <row r="1051">
      <c r="J1051" s="27"/>
      <c r="K1051" s="27"/>
      <c r="L1051" s="27"/>
    </row>
    <row r="1052">
      <c r="J1052" s="27"/>
      <c r="K1052" s="27"/>
      <c r="L1052" s="27"/>
    </row>
    <row r="1053">
      <c r="J1053" s="27"/>
      <c r="K1053" s="27"/>
      <c r="L1053" s="27"/>
    </row>
    <row r="1054">
      <c r="J1054" s="27"/>
      <c r="K1054" s="27"/>
      <c r="L1054" s="27"/>
    </row>
    <row r="1055">
      <c r="J1055" s="27"/>
      <c r="K1055" s="27"/>
      <c r="L1055" s="27"/>
    </row>
    <row r="1056">
      <c r="J1056" s="27"/>
      <c r="K1056" s="27"/>
      <c r="L1056" s="27"/>
    </row>
    <row r="1057">
      <c r="J1057" s="27"/>
      <c r="K1057" s="27"/>
      <c r="L1057" s="27"/>
    </row>
    <row r="1058">
      <c r="J1058" s="27"/>
      <c r="K1058" s="27"/>
      <c r="L1058" s="27"/>
    </row>
    <row r="1059">
      <c r="J1059" s="27"/>
      <c r="K1059" s="27"/>
      <c r="L1059" s="27"/>
    </row>
    <row r="1060">
      <c r="J1060" s="27"/>
      <c r="K1060" s="27"/>
      <c r="L1060" s="27"/>
    </row>
    <row r="1061">
      <c r="J1061" s="27"/>
      <c r="K1061" s="27"/>
      <c r="L1061" s="27"/>
    </row>
    <row r="1062">
      <c r="J1062" s="27"/>
      <c r="K1062" s="27"/>
      <c r="L1062" s="27"/>
    </row>
    <row r="1063">
      <c r="J1063" s="27"/>
      <c r="K1063" s="27"/>
      <c r="L1063" s="27"/>
    </row>
    <row r="1064">
      <c r="J1064" s="27"/>
      <c r="K1064" s="27"/>
      <c r="L1064" s="27"/>
    </row>
    <row r="1065">
      <c r="J1065" s="27"/>
      <c r="K1065" s="27"/>
      <c r="L1065" s="27"/>
    </row>
    <row r="1066">
      <c r="J1066" s="27"/>
      <c r="K1066" s="27"/>
      <c r="L1066" s="27"/>
    </row>
    <row r="1067">
      <c r="J1067" s="27"/>
      <c r="K1067" s="27"/>
      <c r="L1067" s="27"/>
    </row>
    <row r="1068">
      <c r="J1068" s="27"/>
      <c r="K1068" s="27"/>
      <c r="L1068" s="27"/>
    </row>
    <row r="1069">
      <c r="J1069" s="27"/>
      <c r="K1069" s="27"/>
      <c r="L1069" s="27"/>
    </row>
    <row r="1070">
      <c r="J1070" s="27"/>
      <c r="K1070" s="27"/>
      <c r="L1070" s="27"/>
    </row>
    <row r="1071">
      <c r="J1071" s="27"/>
      <c r="K1071" s="27"/>
      <c r="L1071" s="27"/>
    </row>
    <row r="1072">
      <c r="J1072" s="27"/>
      <c r="K1072" s="27"/>
      <c r="L1072" s="27"/>
    </row>
    <row r="1073">
      <c r="J1073" s="27"/>
      <c r="K1073" s="27"/>
      <c r="L1073" s="27"/>
    </row>
    <row r="1074">
      <c r="J1074" s="27"/>
      <c r="K1074" s="27"/>
      <c r="L1074" s="27"/>
    </row>
    <row r="1075">
      <c r="J1075" s="27"/>
      <c r="K1075" s="27"/>
      <c r="L1075" s="27"/>
    </row>
    <row r="1076">
      <c r="J1076" s="27"/>
      <c r="K1076" s="27"/>
      <c r="L1076" s="27"/>
    </row>
    <row r="1077">
      <c r="J1077" s="27"/>
      <c r="K1077" s="27"/>
      <c r="L1077" s="27"/>
    </row>
    <row r="1078">
      <c r="J1078" s="27"/>
      <c r="K1078" s="27"/>
      <c r="L1078" s="27"/>
    </row>
    <row r="1079">
      <c r="J1079" s="27"/>
      <c r="K1079" s="27"/>
      <c r="L1079" s="27"/>
    </row>
    <row r="1080">
      <c r="J1080" s="27"/>
      <c r="K1080" s="27"/>
      <c r="L1080" s="27"/>
    </row>
    <row r="1081">
      <c r="J1081" s="27"/>
      <c r="K1081" s="27"/>
      <c r="L1081" s="27"/>
    </row>
    <row r="1082">
      <c r="J1082" s="27"/>
      <c r="K1082" s="27"/>
      <c r="L1082" s="27"/>
    </row>
    <row r="1083">
      <c r="J1083" s="27"/>
      <c r="K1083" s="27"/>
      <c r="L1083" s="27"/>
    </row>
    <row r="1084">
      <c r="J1084" s="27"/>
      <c r="K1084" s="27"/>
      <c r="L1084" s="27"/>
    </row>
    <row r="1085">
      <c r="J1085" s="27"/>
      <c r="K1085" s="27"/>
      <c r="L1085" s="27"/>
    </row>
    <row r="1086">
      <c r="J1086" s="27"/>
      <c r="K1086" s="27"/>
      <c r="L1086" s="27"/>
    </row>
    <row r="1087">
      <c r="J1087" s="27"/>
      <c r="K1087" s="27"/>
      <c r="L1087" s="27"/>
    </row>
    <row r="1088">
      <c r="J1088" s="27"/>
      <c r="K1088" s="27"/>
      <c r="L1088" s="27"/>
    </row>
    <row r="1089">
      <c r="J1089" s="27"/>
      <c r="K1089" s="27"/>
      <c r="L1089" s="27"/>
    </row>
    <row r="1090">
      <c r="J1090" s="27"/>
      <c r="K1090" s="27"/>
      <c r="L1090" s="27"/>
    </row>
    <row r="1091">
      <c r="J1091" s="27"/>
      <c r="K1091" s="27"/>
      <c r="L1091" s="27"/>
    </row>
    <row r="1092">
      <c r="J1092" s="27"/>
      <c r="K1092" s="27"/>
      <c r="L1092" s="27"/>
    </row>
    <row r="1093">
      <c r="J1093" s="27"/>
      <c r="K1093" s="27"/>
      <c r="L1093" s="27"/>
    </row>
    <row r="1094">
      <c r="J1094" s="27"/>
      <c r="K1094" s="27"/>
      <c r="L1094" s="27"/>
    </row>
    <row r="1095">
      <c r="J1095" s="27"/>
      <c r="K1095" s="27"/>
      <c r="L1095" s="27"/>
    </row>
    <row r="1096">
      <c r="J1096" s="27"/>
      <c r="K1096" s="27"/>
      <c r="L1096" s="27"/>
    </row>
    <row r="1097">
      <c r="J1097" s="27"/>
      <c r="K1097" s="27"/>
      <c r="L1097" s="27"/>
    </row>
    <row r="1098">
      <c r="J1098" s="27"/>
      <c r="K1098" s="27"/>
      <c r="L1098" s="27"/>
    </row>
    <row r="1099">
      <c r="J1099" s="27"/>
      <c r="K1099" s="27"/>
      <c r="L1099" s="27"/>
    </row>
    <row r="1100">
      <c r="J1100" s="27"/>
      <c r="K1100" s="27"/>
      <c r="L1100" s="27"/>
    </row>
    <row r="1101">
      <c r="J1101" s="27"/>
      <c r="K1101" s="27"/>
      <c r="L1101" s="27"/>
    </row>
    <row r="1102">
      <c r="J1102" s="27"/>
      <c r="K1102" s="27"/>
      <c r="L1102" s="27"/>
    </row>
    <row r="1103">
      <c r="J1103" s="27"/>
      <c r="K1103" s="27"/>
      <c r="L1103" s="27"/>
    </row>
    <row r="1104">
      <c r="J1104" s="27"/>
      <c r="K1104" s="27"/>
      <c r="L1104" s="27"/>
    </row>
    <row r="1105">
      <c r="J1105" s="27"/>
      <c r="K1105" s="27"/>
      <c r="L1105" s="27"/>
    </row>
    <row r="1106">
      <c r="J1106" s="27"/>
      <c r="K1106" s="27"/>
      <c r="L1106" s="27"/>
    </row>
    <row r="1107">
      <c r="J1107" s="27"/>
      <c r="K1107" s="27"/>
      <c r="L1107" s="27"/>
    </row>
    <row r="1108">
      <c r="J1108" s="27"/>
      <c r="K1108" s="27"/>
      <c r="L1108" s="27"/>
    </row>
    <row r="1109">
      <c r="J1109" s="27"/>
      <c r="K1109" s="27"/>
      <c r="L1109" s="27"/>
    </row>
    <row r="1110">
      <c r="J1110" s="27"/>
      <c r="K1110" s="27"/>
      <c r="L1110" s="27"/>
    </row>
    <row r="1111">
      <c r="J1111" s="27"/>
      <c r="K1111" s="27"/>
      <c r="L1111" s="27"/>
    </row>
    <row r="1112">
      <c r="J1112" s="27"/>
      <c r="K1112" s="27"/>
      <c r="L1112" s="27"/>
    </row>
    <row r="1113">
      <c r="J1113" s="27"/>
      <c r="K1113" s="27"/>
      <c r="L1113" s="27"/>
    </row>
    <row r="1114">
      <c r="J1114" s="27"/>
      <c r="K1114" s="27"/>
      <c r="L1114" s="27"/>
    </row>
    <row r="1115">
      <c r="J1115" s="27"/>
      <c r="K1115" s="27"/>
      <c r="L1115" s="27"/>
    </row>
    <row r="1116">
      <c r="J1116" s="27"/>
      <c r="K1116" s="27"/>
      <c r="L1116" s="27"/>
    </row>
    <row r="1117">
      <c r="J1117" s="27"/>
      <c r="K1117" s="27"/>
      <c r="L1117" s="27"/>
    </row>
    <row r="1118">
      <c r="J1118" s="27"/>
      <c r="K1118" s="27"/>
      <c r="L1118" s="27"/>
    </row>
    <row r="1119">
      <c r="J1119" s="27"/>
      <c r="K1119" s="27"/>
      <c r="L1119" s="27"/>
    </row>
    <row r="1120">
      <c r="J1120" s="27"/>
      <c r="K1120" s="27"/>
      <c r="L1120" s="27"/>
    </row>
    <row r="1121">
      <c r="J1121" s="27"/>
      <c r="K1121" s="27"/>
      <c r="L1121" s="27"/>
    </row>
    <row r="1122">
      <c r="J1122" s="27"/>
      <c r="K1122" s="27"/>
      <c r="L1122" s="27"/>
    </row>
    <row r="1123">
      <c r="J1123" s="27"/>
      <c r="K1123" s="27"/>
      <c r="L1123" s="27"/>
    </row>
    <row r="1124">
      <c r="J1124" s="27"/>
      <c r="K1124" s="27"/>
      <c r="L1124" s="27"/>
    </row>
    <row r="1125">
      <c r="J1125" s="27"/>
      <c r="K1125" s="27"/>
      <c r="L1125" s="27"/>
    </row>
    <row r="1126">
      <c r="J1126" s="27"/>
      <c r="K1126" s="27"/>
      <c r="L1126" s="27"/>
    </row>
    <row r="1127">
      <c r="J1127" s="27"/>
      <c r="K1127" s="27"/>
      <c r="L1127" s="27"/>
    </row>
    <row r="1128">
      <c r="J1128" s="27"/>
      <c r="K1128" s="27"/>
      <c r="L1128" s="27"/>
    </row>
    <row r="1129">
      <c r="J1129" s="27"/>
      <c r="K1129" s="27"/>
      <c r="L1129" s="27"/>
    </row>
    <row r="1130">
      <c r="J1130" s="27"/>
      <c r="K1130" s="27"/>
      <c r="L1130" s="27"/>
    </row>
    <row r="1131">
      <c r="J1131" s="27"/>
      <c r="K1131" s="27"/>
      <c r="L1131" s="27"/>
    </row>
    <row r="1132">
      <c r="J1132" s="27"/>
      <c r="K1132" s="27"/>
      <c r="L1132" s="27"/>
    </row>
    <row r="1133">
      <c r="J1133" s="27"/>
      <c r="K1133" s="27"/>
      <c r="L1133" s="27"/>
    </row>
    <row r="1134">
      <c r="J1134" s="27"/>
      <c r="K1134" s="27"/>
      <c r="L1134" s="27"/>
    </row>
    <row r="1135">
      <c r="J1135" s="27"/>
      <c r="K1135" s="27"/>
      <c r="L1135" s="27"/>
    </row>
    <row r="1136">
      <c r="J1136" s="27"/>
      <c r="K1136" s="27"/>
      <c r="L1136" s="27"/>
    </row>
    <row r="1137">
      <c r="J1137" s="27"/>
      <c r="K1137" s="27"/>
      <c r="L1137" s="27"/>
    </row>
    <row r="1138">
      <c r="J1138" s="27"/>
      <c r="K1138" s="27"/>
      <c r="L1138" s="27"/>
    </row>
    <row r="1139">
      <c r="J1139" s="27"/>
      <c r="K1139" s="27"/>
      <c r="L1139" s="27"/>
    </row>
    <row r="1140">
      <c r="J1140" s="27"/>
      <c r="K1140" s="27"/>
      <c r="L1140" s="27"/>
    </row>
    <row r="1141">
      <c r="J1141" s="27"/>
      <c r="K1141" s="27"/>
      <c r="L1141" s="27"/>
    </row>
    <row r="1142">
      <c r="J1142" s="27"/>
      <c r="K1142" s="27"/>
      <c r="L1142" s="27"/>
    </row>
    <row r="1143">
      <c r="J1143" s="27"/>
      <c r="K1143" s="27"/>
      <c r="L1143" s="27"/>
    </row>
    <row r="1144">
      <c r="J1144" s="27"/>
      <c r="K1144" s="27"/>
      <c r="L1144" s="27"/>
    </row>
    <row r="1145">
      <c r="J1145" s="27"/>
      <c r="K1145" s="27"/>
      <c r="L1145" s="27"/>
    </row>
    <row r="1146">
      <c r="J1146" s="27"/>
      <c r="K1146" s="27"/>
      <c r="L1146" s="27"/>
    </row>
    <row r="1147">
      <c r="J1147" s="27"/>
      <c r="K1147" s="27"/>
      <c r="L1147" s="27"/>
    </row>
    <row r="1148">
      <c r="J1148" s="27"/>
      <c r="K1148" s="27"/>
      <c r="L1148" s="27"/>
    </row>
    <row r="1149">
      <c r="J1149" s="27"/>
      <c r="K1149" s="27"/>
      <c r="L1149" s="27"/>
    </row>
    <row r="1150">
      <c r="J1150" s="27"/>
      <c r="K1150" s="27"/>
      <c r="L1150" s="27"/>
    </row>
    <row r="1151">
      <c r="J1151" s="27"/>
      <c r="K1151" s="27"/>
      <c r="L1151" s="27"/>
    </row>
    <row r="1152">
      <c r="J1152" s="27"/>
      <c r="K1152" s="27"/>
      <c r="L1152" s="27"/>
    </row>
    <row r="1153">
      <c r="J1153" s="27"/>
      <c r="K1153" s="27"/>
      <c r="L1153" s="27"/>
    </row>
    <row r="1154">
      <c r="J1154" s="27"/>
      <c r="K1154" s="27"/>
      <c r="L1154" s="27"/>
    </row>
    <row r="1155">
      <c r="J1155" s="27"/>
      <c r="K1155" s="27"/>
      <c r="L1155" s="27"/>
    </row>
    <row r="1156">
      <c r="J1156" s="27"/>
      <c r="K1156" s="27"/>
      <c r="L1156" s="27"/>
    </row>
    <row r="1157">
      <c r="J1157" s="27"/>
      <c r="K1157" s="27"/>
      <c r="L1157" s="27"/>
    </row>
    <row r="1158">
      <c r="J1158" s="27"/>
      <c r="K1158" s="27"/>
      <c r="L1158" s="27"/>
    </row>
    <row r="1159">
      <c r="J1159" s="27"/>
      <c r="K1159" s="27"/>
      <c r="L1159" s="27"/>
    </row>
    <row r="1160">
      <c r="J1160" s="27"/>
      <c r="K1160" s="27"/>
      <c r="L1160" s="27"/>
    </row>
    <row r="1161">
      <c r="J1161" s="27"/>
      <c r="K1161" s="27"/>
      <c r="L1161" s="27"/>
    </row>
    <row r="1162">
      <c r="J1162" s="27"/>
      <c r="K1162" s="27"/>
      <c r="L1162" s="27"/>
    </row>
    <row r="1163">
      <c r="J1163" s="27"/>
      <c r="K1163" s="27"/>
      <c r="L1163" s="27"/>
    </row>
    <row r="1164">
      <c r="J1164" s="27"/>
      <c r="K1164" s="27"/>
      <c r="L1164" s="27"/>
    </row>
    <row r="1165">
      <c r="J1165" s="27"/>
      <c r="K1165" s="27"/>
      <c r="L1165" s="27"/>
    </row>
    <row r="1166">
      <c r="J1166" s="27"/>
      <c r="K1166" s="27"/>
      <c r="L1166" s="27"/>
    </row>
    <row r="1167">
      <c r="J1167" s="27"/>
      <c r="K1167" s="27"/>
      <c r="L1167" s="27"/>
    </row>
    <row r="1168">
      <c r="J1168" s="27"/>
      <c r="K1168" s="27"/>
      <c r="L1168" s="27"/>
    </row>
    <row r="1169">
      <c r="J1169" s="27"/>
      <c r="K1169" s="27"/>
      <c r="L1169" s="27"/>
    </row>
    <row r="1170">
      <c r="J1170" s="27"/>
      <c r="K1170" s="27"/>
      <c r="L1170" s="27"/>
    </row>
    <row r="1171">
      <c r="J1171" s="27"/>
      <c r="K1171" s="27"/>
      <c r="L1171" s="27"/>
    </row>
    <row r="1172">
      <c r="J1172" s="27"/>
      <c r="K1172" s="27"/>
      <c r="L1172" s="27"/>
    </row>
    <row r="1173">
      <c r="J1173" s="27"/>
      <c r="K1173" s="27"/>
      <c r="L1173" s="27"/>
    </row>
    <row r="1174">
      <c r="J1174" s="27"/>
      <c r="K1174" s="27"/>
      <c r="L1174" s="27"/>
    </row>
    <row r="1175">
      <c r="J1175" s="27"/>
      <c r="K1175" s="27"/>
      <c r="L1175" s="27"/>
    </row>
    <row r="1176">
      <c r="J1176" s="27"/>
      <c r="K1176" s="27"/>
      <c r="L1176" s="27"/>
    </row>
    <row r="1177">
      <c r="J1177" s="27"/>
      <c r="K1177" s="27"/>
      <c r="L1177" s="27"/>
    </row>
    <row r="1178">
      <c r="J1178" s="27"/>
      <c r="K1178" s="27"/>
      <c r="L1178" s="27"/>
    </row>
    <row r="1179">
      <c r="J1179" s="27"/>
      <c r="K1179" s="27"/>
      <c r="L1179" s="27"/>
    </row>
    <row r="1180">
      <c r="J1180" s="27"/>
      <c r="K1180" s="27"/>
      <c r="L1180" s="27"/>
    </row>
    <row r="1181">
      <c r="J1181" s="27"/>
      <c r="K1181" s="27"/>
      <c r="L1181" s="27"/>
    </row>
    <row r="1182">
      <c r="J1182" s="27"/>
      <c r="K1182" s="27"/>
      <c r="L1182" s="27"/>
    </row>
    <row r="1183">
      <c r="J1183" s="27"/>
      <c r="K1183" s="27"/>
      <c r="L1183" s="27"/>
    </row>
    <row r="1184">
      <c r="J1184" s="27"/>
      <c r="K1184" s="27"/>
      <c r="L1184" s="27"/>
    </row>
    <row r="1185">
      <c r="J1185" s="27"/>
      <c r="K1185" s="27"/>
      <c r="L1185" s="27"/>
    </row>
    <row r="1186">
      <c r="J1186" s="27"/>
      <c r="K1186" s="27"/>
      <c r="L1186" s="27"/>
    </row>
    <row r="1187">
      <c r="J1187" s="27"/>
      <c r="K1187" s="27"/>
      <c r="L1187" s="27"/>
    </row>
    <row r="1188">
      <c r="J1188" s="27"/>
      <c r="K1188" s="27"/>
      <c r="L1188" s="27"/>
    </row>
    <row r="1189">
      <c r="J1189" s="27"/>
      <c r="K1189" s="27"/>
      <c r="L1189" s="27"/>
    </row>
    <row r="1190">
      <c r="J1190" s="27"/>
      <c r="K1190" s="27"/>
      <c r="L1190" s="27"/>
    </row>
    <row r="1191">
      <c r="J1191" s="27"/>
      <c r="K1191" s="27"/>
      <c r="L1191" s="27"/>
    </row>
    <row r="1192">
      <c r="J1192" s="27"/>
      <c r="K1192" s="27"/>
      <c r="L1192" s="27"/>
    </row>
    <row r="1193">
      <c r="J1193" s="27"/>
      <c r="K1193" s="27"/>
      <c r="L1193" s="27"/>
    </row>
    <row r="1194">
      <c r="J1194" s="27"/>
      <c r="K1194" s="27"/>
      <c r="L1194" s="27"/>
    </row>
    <row r="1195">
      <c r="J1195" s="27"/>
      <c r="K1195" s="27"/>
      <c r="L1195" s="27"/>
    </row>
    <row r="1196">
      <c r="J1196" s="27"/>
      <c r="K1196" s="27"/>
      <c r="L1196" s="27"/>
    </row>
    <row r="1197">
      <c r="J1197" s="27"/>
      <c r="K1197" s="27"/>
      <c r="L1197" s="27"/>
    </row>
    <row r="1198">
      <c r="J1198" s="27"/>
      <c r="K1198" s="27"/>
      <c r="L1198" s="27"/>
    </row>
    <row r="1199">
      <c r="J1199" s="27"/>
      <c r="K1199" s="27"/>
      <c r="L1199" s="27"/>
    </row>
    <row r="1200">
      <c r="J1200" s="27"/>
      <c r="K1200" s="27"/>
      <c r="L1200" s="27"/>
    </row>
    <row r="1201">
      <c r="J1201" s="27"/>
      <c r="K1201" s="27"/>
      <c r="L1201" s="27"/>
    </row>
    <row r="1202">
      <c r="J1202" s="27"/>
      <c r="K1202" s="27"/>
      <c r="L1202" s="27"/>
    </row>
    <row r="1203">
      <c r="J1203" s="27"/>
      <c r="K1203" s="27"/>
      <c r="L1203" s="27"/>
    </row>
    <row r="1204">
      <c r="J1204" s="27"/>
      <c r="K1204" s="27"/>
      <c r="L1204" s="27"/>
    </row>
    <row r="1205">
      <c r="J1205" s="27"/>
      <c r="K1205" s="27"/>
      <c r="L1205" s="27"/>
    </row>
    <row r="1206">
      <c r="J1206" s="27"/>
      <c r="K1206" s="27"/>
      <c r="L1206" s="27"/>
    </row>
    <row r="1207">
      <c r="J1207" s="27"/>
      <c r="K1207" s="27"/>
      <c r="L1207" s="27"/>
    </row>
    <row r="1208">
      <c r="J1208" s="27"/>
      <c r="K1208" s="27"/>
      <c r="L1208" s="27"/>
    </row>
    <row r="1209">
      <c r="J1209" s="27"/>
      <c r="K1209" s="27"/>
      <c r="L1209" s="27"/>
    </row>
    <row r="1210">
      <c r="J1210" s="27"/>
      <c r="K1210" s="27"/>
      <c r="L1210" s="27"/>
    </row>
    <row r="1211">
      <c r="J1211" s="27"/>
      <c r="K1211" s="27"/>
      <c r="L1211" s="27"/>
    </row>
    <row r="1212">
      <c r="J1212" s="27"/>
      <c r="K1212" s="27"/>
      <c r="L1212" s="27"/>
    </row>
    <row r="1213">
      <c r="J1213" s="27"/>
      <c r="K1213" s="27"/>
      <c r="L1213" s="27"/>
    </row>
    <row r="1214">
      <c r="J1214" s="27"/>
      <c r="K1214" s="27"/>
      <c r="L1214" s="27"/>
    </row>
    <row r="1215">
      <c r="J1215" s="27"/>
      <c r="K1215" s="27"/>
      <c r="L1215" s="27"/>
    </row>
    <row r="1216">
      <c r="J1216" s="27"/>
      <c r="K1216" s="27"/>
      <c r="L1216" s="27"/>
    </row>
    <row r="1217">
      <c r="J1217" s="27"/>
      <c r="K1217" s="27"/>
      <c r="L1217" s="27"/>
    </row>
    <row r="1218">
      <c r="J1218" s="27"/>
      <c r="K1218" s="27"/>
      <c r="L1218" s="27"/>
    </row>
    <row r="1219">
      <c r="J1219" s="27"/>
      <c r="K1219" s="27"/>
      <c r="L1219" s="27"/>
    </row>
    <row r="1220">
      <c r="J1220" s="27"/>
      <c r="K1220" s="27"/>
      <c r="L1220" s="27"/>
    </row>
    <row r="1221">
      <c r="J1221" s="27"/>
      <c r="K1221" s="27"/>
      <c r="L1221" s="27"/>
    </row>
    <row r="1222">
      <c r="J1222" s="27"/>
      <c r="K1222" s="27"/>
      <c r="L1222" s="27"/>
    </row>
    <row r="1223">
      <c r="J1223" s="27"/>
      <c r="K1223" s="27"/>
      <c r="L1223" s="27"/>
    </row>
    <row r="1224">
      <c r="J1224" s="27"/>
      <c r="K1224" s="27"/>
      <c r="L1224" s="27"/>
    </row>
    <row r="1225">
      <c r="J1225" s="27"/>
      <c r="K1225" s="27"/>
      <c r="L1225" s="27"/>
    </row>
    <row r="1226">
      <c r="J1226" s="27"/>
      <c r="K1226" s="27"/>
      <c r="L1226" s="27"/>
    </row>
    <row r="1227">
      <c r="J1227" s="27"/>
      <c r="K1227" s="27"/>
      <c r="L1227" s="27"/>
    </row>
    <row r="1228">
      <c r="J1228" s="27"/>
      <c r="K1228" s="27"/>
      <c r="L1228" s="27"/>
    </row>
    <row r="1229">
      <c r="J1229" s="27"/>
      <c r="K1229" s="27"/>
      <c r="L1229" s="27"/>
    </row>
    <row r="1230">
      <c r="J1230" s="27"/>
      <c r="K1230" s="27"/>
      <c r="L1230" s="27"/>
    </row>
    <row r="1231">
      <c r="J1231" s="27"/>
      <c r="K1231" s="27"/>
      <c r="L1231" s="27"/>
    </row>
    <row r="1232">
      <c r="J1232" s="27"/>
      <c r="K1232" s="27"/>
      <c r="L1232" s="27"/>
    </row>
    <row r="1233">
      <c r="J1233" s="27"/>
      <c r="K1233" s="27"/>
      <c r="L1233" s="27"/>
    </row>
    <row r="1234">
      <c r="J1234" s="27"/>
      <c r="K1234" s="27"/>
      <c r="L1234" s="27"/>
    </row>
    <row r="1235">
      <c r="J1235" s="27"/>
      <c r="K1235" s="27"/>
      <c r="L1235" s="27"/>
    </row>
    <row r="1236">
      <c r="J1236" s="27"/>
      <c r="K1236" s="27"/>
      <c r="L1236" s="27"/>
    </row>
    <row r="1237">
      <c r="J1237" s="27"/>
      <c r="K1237" s="27"/>
      <c r="L1237" s="27"/>
    </row>
    <row r="1238">
      <c r="J1238" s="27"/>
      <c r="K1238" s="27"/>
      <c r="L1238" s="27"/>
    </row>
    <row r="1239">
      <c r="J1239" s="27"/>
      <c r="K1239" s="27"/>
      <c r="L1239" s="27"/>
    </row>
    <row r="1240">
      <c r="J1240" s="27"/>
      <c r="K1240" s="27"/>
      <c r="L1240" s="27"/>
    </row>
    <row r="1241">
      <c r="J1241" s="27"/>
      <c r="K1241" s="27"/>
      <c r="L1241" s="27"/>
    </row>
    <row r="1242">
      <c r="J1242" s="27"/>
      <c r="K1242" s="27"/>
      <c r="L1242" s="27"/>
    </row>
    <row r="1243">
      <c r="J1243" s="27"/>
      <c r="K1243" s="27"/>
      <c r="L1243" s="27"/>
    </row>
    <row r="1244">
      <c r="J1244" s="27"/>
      <c r="K1244" s="27"/>
      <c r="L1244" s="27"/>
    </row>
    <row r="1245">
      <c r="J1245" s="27"/>
      <c r="K1245" s="27"/>
      <c r="L1245" s="27"/>
    </row>
    <row r="1246">
      <c r="J1246" s="27"/>
      <c r="K1246" s="27"/>
      <c r="L1246" s="27"/>
    </row>
    <row r="1247">
      <c r="J1247" s="27"/>
      <c r="K1247" s="27"/>
      <c r="L1247" s="27"/>
    </row>
    <row r="1248">
      <c r="J1248" s="27"/>
      <c r="K1248" s="27"/>
      <c r="L1248" s="27"/>
    </row>
    <row r="1249">
      <c r="J1249" s="27"/>
      <c r="K1249" s="27"/>
      <c r="L1249" s="27"/>
    </row>
    <row r="1250">
      <c r="J1250" s="27"/>
      <c r="K1250" s="27"/>
      <c r="L1250" s="27"/>
    </row>
    <row r="1251">
      <c r="J1251" s="27"/>
      <c r="K1251" s="27"/>
      <c r="L1251" s="27"/>
    </row>
    <row r="1252">
      <c r="J1252" s="27"/>
      <c r="K1252" s="27"/>
      <c r="L1252" s="27"/>
    </row>
    <row r="1253">
      <c r="J1253" s="27"/>
      <c r="K1253" s="27"/>
      <c r="L1253" s="27"/>
    </row>
    <row r="1254">
      <c r="J1254" s="27"/>
      <c r="K1254" s="27"/>
      <c r="L1254" s="27"/>
    </row>
    <row r="1255">
      <c r="J1255" s="27"/>
      <c r="K1255" s="27"/>
      <c r="L1255" s="27"/>
    </row>
    <row r="1256">
      <c r="J1256" s="27"/>
      <c r="K1256" s="27"/>
      <c r="L1256" s="27"/>
    </row>
    <row r="1257">
      <c r="J1257" s="27"/>
      <c r="K1257" s="27"/>
      <c r="L1257" s="27"/>
    </row>
    <row r="1258">
      <c r="J1258" s="27"/>
      <c r="K1258" s="27"/>
      <c r="L1258" s="27"/>
    </row>
    <row r="1259">
      <c r="J1259" s="27"/>
      <c r="K1259" s="27"/>
      <c r="L1259" s="27"/>
    </row>
    <row r="1260">
      <c r="J1260" s="27"/>
      <c r="K1260" s="27"/>
      <c r="L1260" s="27"/>
    </row>
    <row r="1261">
      <c r="J1261" s="27"/>
      <c r="K1261" s="27"/>
      <c r="L1261" s="27"/>
    </row>
    <row r="1262">
      <c r="J1262" s="27"/>
      <c r="K1262" s="27"/>
      <c r="L1262" s="27"/>
    </row>
    <row r="1263">
      <c r="J1263" s="27"/>
      <c r="K1263" s="27"/>
      <c r="L1263" s="27"/>
    </row>
    <row r="1264">
      <c r="J1264" s="27"/>
      <c r="K1264" s="27"/>
      <c r="L1264" s="27"/>
    </row>
    <row r="1265">
      <c r="J1265" s="27"/>
      <c r="K1265" s="27"/>
      <c r="L1265" s="27"/>
    </row>
    <row r="1266">
      <c r="J1266" s="27"/>
      <c r="K1266" s="27"/>
      <c r="L1266" s="27"/>
    </row>
    <row r="1267">
      <c r="J1267" s="27"/>
      <c r="K1267" s="27"/>
      <c r="L1267" s="27"/>
    </row>
    <row r="1268">
      <c r="J1268" s="27"/>
      <c r="K1268" s="27"/>
      <c r="L1268" s="27"/>
    </row>
    <row r="1269">
      <c r="J1269" s="27"/>
      <c r="K1269" s="27"/>
      <c r="L1269" s="27"/>
    </row>
    <row r="1270">
      <c r="J1270" s="27"/>
      <c r="K1270" s="27"/>
      <c r="L1270" s="27"/>
    </row>
    <row r="1271">
      <c r="J1271" s="27"/>
      <c r="K1271" s="27"/>
      <c r="L1271" s="27"/>
    </row>
    <row r="1272">
      <c r="J1272" s="27"/>
      <c r="K1272" s="27"/>
      <c r="L1272" s="27"/>
    </row>
    <row r="1273">
      <c r="J1273" s="27"/>
      <c r="K1273" s="27"/>
      <c r="L1273" s="27"/>
    </row>
    <row r="1274">
      <c r="J1274" s="27"/>
      <c r="K1274" s="27"/>
      <c r="L1274" s="27"/>
    </row>
    <row r="1275">
      <c r="J1275" s="27"/>
      <c r="K1275" s="27"/>
      <c r="L1275" s="27"/>
    </row>
    <row r="1276">
      <c r="J1276" s="27"/>
      <c r="K1276" s="27"/>
      <c r="L1276" s="27"/>
    </row>
    <row r="1277">
      <c r="J1277" s="27"/>
      <c r="K1277" s="27"/>
      <c r="L1277" s="27"/>
    </row>
    <row r="1278">
      <c r="J1278" s="27"/>
      <c r="K1278" s="27"/>
      <c r="L1278" s="27"/>
    </row>
    <row r="1279">
      <c r="J1279" s="27"/>
      <c r="K1279" s="27"/>
      <c r="L1279" s="27"/>
    </row>
    <row r="1280">
      <c r="J1280" s="27"/>
      <c r="K1280" s="27"/>
      <c r="L1280" s="27"/>
    </row>
    <row r="1281">
      <c r="J1281" s="27"/>
      <c r="K1281" s="27"/>
      <c r="L1281" s="27"/>
    </row>
    <row r="1282">
      <c r="J1282" s="27"/>
      <c r="K1282" s="27"/>
      <c r="L1282" s="27"/>
    </row>
    <row r="1283">
      <c r="J1283" s="27"/>
      <c r="K1283" s="27"/>
      <c r="L1283" s="27"/>
    </row>
    <row r="1284">
      <c r="J1284" s="27"/>
      <c r="K1284" s="27"/>
      <c r="L1284" s="27"/>
    </row>
    <row r="1285">
      <c r="J1285" s="27"/>
      <c r="K1285" s="27"/>
      <c r="L1285" s="27"/>
    </row>
    <row r="1286">
      <c r="J1286" s="27"/>
      <c r="K1286" s="27"/>
      <c r="L1286" s="27"/>
    </row>
    <row r="1287">
      <c r="J1287" s="27"/>
      <c r="K1287" s="27"/>
      <c r="L1287" s="27"/>
    </row>
    <row r="1288">
      <c r="J1288" s="27"/>
      <c r="K1288" s="27"/>
      <c r="L1288" s="27"/>
    </row>
    <row r="1289">
      <c r="J1289" s="27"/>
      <c r="K1289" s="27"/>
      <c r="L1289" s="27"/>
    </row>
    <row r="1290">
      <c r="J1290" s="27"/>
      <c r="K1290" s="27"/>
      <c r="L1290" s="27"/>
    </row>
    <row r="1291">
      <c r="J1291" s="27"/>
      <c r="K1291" s="27"/>
      <c r="L1291" s="27"/>
    </row>
    <row r="1292">
      <c r="J1292" s="27"/>
      <c r="K1292" s="27"/>
      <c r="L1292" s="27"/>
    </row>
    <row r="1293">
      <c r="J1293" s="27"/>
      <c r="K1293" s="27"/>
      <c r="L1293" s="27"/>
    </row>
    <row r="1294">
      <c r="J1294" s="27"/>
      <c r="K1294" s="27"/>
      <c r="L1294" s="27"/>
    </row>
    <row r="1295">
      <c r="J1295" s="27"/>
      <c r="K1295" s="27"/>
      <c r="L1295" s="27"/>
    </row>
    <row r="1296">
      <c r="J1296" s="27"/>
      <c r="K1296" s="27"/>
      <c r="L1296" s="27"/>
    </row>
    <row r="1297">
      <c r="J1297" s="27"/>
      <c r="K1297" s="27"/>
      <c r="L1297" s="27"/>
    </row>
    <row r="1298">
      <c r="J1298" s="27"/>
      <c r="K1298" s="27"/>
      <c r="L1298" s="27"/>
    </row>
    <row r="1299">
      <c r="J1299" s="27"/>
      <c r="K1299" s="27"/>
      <c r="L1299" s="27"/>
    </row>
    <row r="1300">
      <c r="J1300" s="27"/>
      <c r="K1300" s="27"/>
      <c r="L1300" s="27"/>
    </row>
    <row r="1301">
      <c r="J1301" s="27"/>
      <c r="K1301" s="27"/>
      <c r="L1301" s="27"/>
    </row>
    <row r="1302">
      <c r="J1302" s="27"/>
      <c r="K1302" s="27"/>
      <c r="L1302" s="27"/>
    </row>
    <row r="1303">
      <c r="J1303" s="27"/>
      <c r="K1303" s="27"/>
      <c r="L1303" s="27"/>
    </row>
    <row r="1304">
      <c r="J1304" s="27"/>
      <c r="K1304" s="27"/>
      <c r="L1304" s="27"/>
    </row>
    <row r="1305">
      <c r="J1305" s="27"/>
      <c r="K1305" s="27"/>
      <c r="L1305" s="27"/>
    </row>
    <row r="1306">
      <c r="J1306" s="27"/>
      <c r="K1306" s="27"/>
      <c r="L1306" s="27"/>
    </row>
    <row r="1307">
      <c r="J1307" s="27"/>
      <c r="K1307" s="27"/>
      <c r="L1307" s="27"/>
    </row>
    <row r="1308">
      <c r="J1308" s="27"/>
      <c r="K1308" s="27"/>
      <c r="L1308" s="27"/>
    </row>
    <row r="1309">
      <c r="J1309" s="27"/>
      <c r="K1309" s="27"/>
      <c r="L1309" s="27"/>
    </row>
    <row r="1310">
      <c r="J1310" s="27"/>
      <c r="K1310" s="27"/>
      <c r="L1310" s="27"/>
    </row>
    <row r="1311">
      <c r="J1311" s="27"/>
      <c r="K1311" s="27"/>
      <c r="L1311" s="27"/>
    </row>
    <row r="1312">
      <c r="J1312" s="27"/>
      <c r="K1312" s="27"/>
      <c r="L1312" s="27"/>
    </row>
    <row r="1313">
      <c r="J1313" s="27"/>
      <c r="K1313" s="27"/>
      <c r="L1313" s="27"/>
    </row>
    <row r="1314">
      <c r="J1314" s="27"/>
      <c r="K1314" s="27"/>
      <c r="L1314" s="27"/>
    </row>
    <row r="1315">
      <c r="J1315" s="27"/>
      <c r="K1315" s="27"/>
      <c r="L1315" s="27"/>
    </row>
    <row r="1316">
      <c r="J1316" s="27"/>
      <c r="K1316" s="27"/>
      <c r="L1316" s="27"/>
    </row>
    <row r="1317">
      <c r="J1317" s="27"/>
      <c r="K1317" s="27"/>
      <c r="L1317" s="27"/>
    </row>
    <row r="1318">
      <c r="J1318" s="27"/>
      <c r="K1318" s="27"/>
      <c r="L1318" s="27"/>
    </row>
    <row r="1319">
      <c r="J1319" s="27"/>
      <c r="K1319" s="27"/>
      <c r="L1319" s="27"/>
    </row>
    <row r="1320">
      <c r="J1320" s="27"/>
      <c r="K1320" s="27"/>
      <c r="L1320" s="27"/>
    </row>
    <row r="1321">
      <c r="J1321" s="27"/>
      <c r="K1321" s="27"/>
      <c r="L1321" s="27"/>
    </row>
    <row r="1322">
      <c r="J1322" s="27"/>
      <c r="K1322" s="27"/>
      <c r="L1322" s="27"/>
    </row>
    <row r="1323">
      <c r="J1323" s="27"/>
      <c r="K1323" s="27"/>
      <c r="L1323" s="27"/>
    </row>
    <row r="1324">
      <c r="J1324" s="27"/>
      <c r="K1324" s="27"/>
      <c r="L1324" s="27"/>
    </row>
    <row r="1325">
      <c r="J1325" s="27"/>
      <c r="K1325" s="27"/>
      <c r="L1325" s="27"/>
    </row>
    <row r="1326">
      <c r="J1326" s="27"/>
      <c r="K1326" s="27"/>
      <c r="L1326" s="27"/>
    </row>
    <row r="1327">
      <c r="J1327" s="27"/>
      <c r="K1327" s="27"/>
      <c r="L1327" s="27"/>
    </row>
    <row r="1328">
      <c r="J1328" s="27"/>
      <c r="K1328" s="27"/>
      <c r="L1328" s="27"/>
    </row>
    <row r="1329">
      <c r="J1329" s="27"/>
      <c r="K1329" s="27"/>
      <c r="L1329" s="27"/>
    </row>
    <row r="1330">
      <c r="J1330" s="27"/>
      <c r="K1330" s="27"/>
      <c r="L1330" s="27"/>
    </row>
    <row r="1331">
      <c r="J1331" s="27"/>
      <c r="K1331" s="27"/>
      <c r="L1331" s="27"/>
    </row>
    <row r="1332">
      <c r="J1332" s="27"/>
      <c r="K1332" s="27"/>
      <c r="L1332" s="27"/>
    </row>
    <row r="1333">
      <c r="J1333" s="27"/>
      <c r="K1333" s="27"/>
      <c r="L1333" s="27"/>
    </row>
    <row r="1334">
      <c r="J1334" s="27"/>
      <c r="K1334" s="27"/>
      <c r="L1334" s="27"/>
    </row>
    <row r="1335">
      <c r="J1335" s="27"/>
      <c r="K1335" s="27"/>
      <c r="L1335" s="27"/>
    </row>
    <row r="1336">
      <c r="J1336" s="27"/>
      <c r="K1336" s="27"/>
      <c r="L1336" s="27"/>
    </row>
    <row r="1337">
      <c r="J1337" s="27"/>
      <c r="K1337" s="27"/>
      <c r="L1337" s="27"/>
    </row>
    <row r="1338">
      <c r="J1338" s="27"/>
      <c r="K1338" s="27"/>
      <c r="L1338" s="27"/>
    </row>
    <row r="1339">
      <c r="J1339" s="27"/>
      <c r="K1339" s="27"/>
      <c r="L1339" s="27"/>
    </row>
    <row r="1340">
      <c r="J1340" s="27"/>
      <c r="K1340" s="27"/>
      <c r="L1340" s="27"/>
    </row>
    <row r="1341">
      <c r="J1341" s="27"/>
      <c r="K1341" s="27"/>
      <c r="L1341" s="27"/>
    </row>
    <row r="1342">
      <c r="J1342" s="27"/>
      <c r="K1342" s="27"/>
      <c r="L1342" s="27"/>
    </row>
    <row r="1343">
      <c r="J1343" s="27"/>
      <c r="K1343" s="27"/>
      <c r="L1343" s="27"/>
    </row>
    <row r="1344">
      <c r="J1344" s="27"/>
      <c r="K1344" s="27"/>
      <c r="L1344" s="27"/>
    </row>
    <row r="1345">
      <c r="J1345" s="27"/>
      <c r="K1345" s="27"/>
      <c r="L1345" s="27"/>
    </row>
    <row r="1346">
      <c r="J1346" s="27"/>
      <c r="K1346" s="27"/>
      <c r="L1346" s="27"/>
    </row>
    <row r="1347">
      <c r="J1347" s="27"/>
      <c r="K1347" s="27"/>
      <c r="L1347" s="27"/>
    </row>
    <row r="1348">
      <c r="J1348" s="27"/>
      <c r="K1348" s="27"/>
      <c r="L1348" s="27"/>
    </row>
    <row r="1349">
      <c r="J1349" s="27"/>
      <c r="K1349" s="27"/>
      <c r="L1349" s="27"/>
    </row>
    <row r="1350">
      <c r="J1350" s="27"/>
      <c r="K1350" s="27"/>
      <c r="L1350" s="27"/>
    </row>
    <row r="1351">
      <c r="J1351" s="27"/>
      <c r="K1351" s="27"/>
      <c r="L1351" s="27"/>
    </row>
    <row r="1352">
      <c r="J1352" s="27"/>
      <c r="K1352" s="27"/>
      <c r="L1352" s="27"/>
    </row>
    <row r="1353">
      <c r="J1353" s="27"/>
      <c r="K1353" s="27"/>
      <c r="L1353" s="27"/>
    </row>
    <row r="1354">
      <c r="J1354" s="27"/>
      <c r="K1354" s="27"/>
      <c r="L1354" s="27"/>
    </row>
    <row r="1355">
      <c r="J1355" s="27"/>
      <c r="K1355" s="27"/>
      <c r="L1355" s="27"/>
    </row>
    <row r="1356">
      <c r="J1356" s="27"/>
      <c r="K1356" s="27"/>
      <c r="L1356" s="27"/>
    </row>
    <row r="1357">
      <c r="J1357" s="27"/>
      <c r="K1357" s="27"/>
      <c r="L1357" s="27"/>
    </row>
    <row r="1358">
      <c r="J1358" s="27"/>
      <c r="K1358" s="27"/>
      <c r="L1358" s="27"/>
    </row>
    <row r="1359">
      <c r="J1359" s="27"/>
      <c r="K1359" s="27"/>
      <c r="L1359" s="27"/>
    </row>
    <row r="1360">
      <c r="J1360" s="27"/>
      <c r="K1360" s="27"/>
      <c r="L1360" s="27"/>
    </row>
    <row r="1361">
      <c r="J1361" s="27"/>
      <c r="K1361" s="27"/>
      <c r="L1361" s="27"/>
    </row>
    <row r="1362">
      <c r="J1362" s="27"/>
      <c r="K1362" s="27"/>
      <c r="L1362" s="27"/>
    </row>
    <row r="1363">
      <c r="J1363" s="27"/>
      <c r="K1363" s="27"/>
      <c r="L1363" s="27"/>
    </row>
    <row r="1364">
      <c r="J1364" s="27"/>
      <c r="K1364" s="27"/>
      <c r="L1364" s="27"/>
    </row>
    <row r="1365">
      <c r="J1365" s="27"/>
      <c r="K1365" s="27"/>
      <c r="L1365" s="27"/>
    </row>
    <row r="1366">
      <c r="J1366" s="27"/>
      <c r="K1366" s="27"/>
      <c r="L1366" s="27"/>
    </row>
    <row r="1367">
      <c r="J1367" s="27"/>
      <c r="K1367" s="27"/>
      <c r="L1367" s="27"/>
    </row>
    <row r="1368">
      <c r="J1368" s="27"/>
      <c r="K1368" s="27"/>
      <c r="L1368" s="27"/>
    </row>
    <row r="1369">
      <c r="J1369" s="27"/>
      <c r="K1369" s="27"/>
      <c r="L1369" s="27"/>
    </row>
    <row r="1370">
      <c r="J1370" s="27"/>
      <c r="K1370" s="27"/>
      <c r="L1370" s="27"/>
    </row>
    <row r="1371">
      <c r="J1371" s="27"/>
      <c r="K1371" s="27"/>
      <c r="L1371" s="27"/>
    </row>
    <row r="1372">
      <c r="J1372" s="27"/>
      <c r="K1372" s="27"/>
      <c r="L1372" s="27"/>
    </row>
    <row r="1373">
      <c r="J1373" s="27"/>
      <c r="K1373" s="27"/>
      <c r="L1373" s="27"/>
    </row>
    <row r="1374">
      <c r="J1374" s="27"/>
      <c r="K1374" s="27"/>
      <c r="L1374" s="27"/>
    </row>
    <row r="1375">
      <c r="J1375" s="27"/>
      <c r="K1375" s="27"/>
      <c r="L1375" s="27"/>
    </row>
    <row r="1376">
      <c r="J1376" s="27"/>
      <c r="K1376" s="27"/>
      <c r="L1376" s="27"/>
    </row>
    <row r="1377">
      <c r="J1377" s="27"/>
      <c r="K1377" s="27"/>
      <c r="L1377" s="27"/>
    </row>
    <row r="1378">
      <c r="J1378" s="27"/>
      <c r="K1378" s="27"/>
      <c r="L1378" s="27"/>
    </row>
    <row r="1379">
      <c r="J1379" s="27"/>
      <c r="K1379" s="27"/>
      <c r="L1379" s="27"/>
    </row>
    <row r="1380">
      <c r="J1380" s="27"/>
      <c r="K1380" s="27"/>
      <c r="L1380" s="27"/>
    </row>
    <row r="1381">
      <c r="J1381" s="27"/>
      <c r="K1381" s="27"/>
      <c r="L1381" s="27"/>
    </row>
    <row r="1382">
      <c r="J1382" s="27"/>
      <c r="K1382" s="27"/>
      <c r="L1382" s="27"/>
    </row>
    <row r="1383">
      <c r="J1383" s="27"/>
      <c r="K1383" s="27"/>
      <c r="L1383" s="27"/>
    </row>
  </sheetData>
  <mergeCells count="3">
    <mergeCell ref="D2:O2"/>
    <mergeCell ref="S2:U2"/>
    <mergeCell ref="R24:S24"/>
  </mergeCells>
  <dataValidations>
    <dataValidation type="list" allowBlank="1" showErrorMessage="1" sqref="B4:B70">
      <formula1>"Fin 2023,Enero,Febero,Marzo,Abril,Abril ,Mayo,Junio,Julio"</formula1>
    </dataValidation>
    <dataValidation type="list" allowBlank="1" showErrorMessage="1" sqref="B127">
      <formula1>"Fin 2023,Enero,Febero,Marzo,Abril,Abril ,Mayo,Junio,Julio,Agosto,Setiembre,Octubre,Noviembre,Diciembre"</formula1>
    </dataValidation>
    <dataValidation type="list" allowBlank="1" showErrorMessage="1" sqref="B71:B126 B128:B403">
      <formula1>"Fin 2023,Enero,Febero,Marzo,Abril,Abril ,Mayo,Junio,Julio,Agosto,Setiembre,Octubre,Noviembre,Diciembre"</formula1>
    </dataValidation>
  </dataValidations>
  <drawing r:id="rId2"/>
  <legacyDrawing r:id="rId3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25"/>
  </cols>
  <sheetData>
    <row r="2">
      <c r="F2" s="18" t="s">
        <v>705</v>
      </c>
      <c r="G2" s="18" t="s">
        <v>141</v>
      </c>
      <c r="H2" s="18" t="s">
        <v>26</v>
      </c>
      <c r="I2" s="18" t="s">
        <v>381</v>
      </c>
      <c r="L2" s="18" t="s">
        <v>705</v>
      </c>
      <c r="M2" s="18" t="s">
        <v>141</v>
      </c>
      <c r="N2" s="18" t="s">
        <v>26</v>
      </c>
      <c r="O2" s="18" t="s">
        <v>381</v>
      </c>
    </row>
    <row r="3">
      <c r="A3" s="18" t="s">
        <v>706</v>
      </c>
      <c r="B3" s="18">
        <v>1000.0</v>
      </c>
      <c r="E3" s="416" t="s">
        <v>707</v>
      </c>
      <c r="F3" s="18" t="s">
        <v>708</v>
      </c>
      <c r="G3" s="18">
        <v>280.0</v>
      </c>
      <c r="H3" s="12">
        <f>2260+280</f>
        <v>2540</v>
      </c>
      <c r="I3" s="305">
        <f>2800+300-H3</f>
        <v>560</v>
      </c>
      <c r="K3" s="416" t="s">
        <v>709</v>
      </c>
      <c r="L3" s="18">
        <v>2400.0</v>
      </c>
      <c r="M3" s="18">
        <v>320.0</v>
      </c>
      <c r="N3" s="12">
        <f>2400+320</f>
        <v>2720</v>
      </c>
      <c r="O3" s="305">
        <f>2800+300-N3</f>
        <v>380</v>
      </c>
    </row>
    <row r="4">
      <c r="A4" s="18" t="s">
        <v>73</v>
      </c>
      <c r="B4" s="18">
        <v>2100.0</v>
      </c>
      <c r="E4" s="17" t="s">
        <v>710</v>
      </c>
      <c r="F4" s="17" t="s">
        <v>711</v>
      </c>
      <c r="K4" s="17" t="s">
        <v>710</v>
      </c>
      <c r="L4" s="17" t="s">
        <v>711</v>
      </c>
    </row>
    <row r="5">
      <c r="A5" s="18" t="s">
        <v>81</v>
      </c>
      <c r="B5" s="18">
        <v>1000.0</v>
      </c>
      <c r="E5" s="18" t="s">
        <v>712</v>
      </c>
      <c r="F5" s="18" t="s">
        <v>713</v>
      </c>
      <c r="K5" s="18" t="s">
        <v>712</v>
      </c>
      <c r="L5" s="18" t="s">
        <v>714</v>
      </c>
    </row>
    <row r="6">
      <c r="A6" s="18" t="s">
        <v>715</v>
      </c>
      <c r="B6" s="18">
        <v>2500.0</v>
      </c>
      <c r="E6" s="18" t="s">
        <v>716</v>
      </c>
      <c r="F6" s="17" t="s">
        <v>717</v>
      </c>
      <c r="K6" s="18" t="s">
        <v>718</v>
      </c>
      <c r="L6" s="18" t="s">
        <v>719</v>
      </c>
    </row>
    <row r="7">
      <c r="A7" s="18" t="s">
        <v>720</v>
      </c>
      <c r="B7" s="18">
        <v>2300.0</v>
      </c>
      <c r="E7" s="18" t="s">
        <v>718</v>
      </c>
      <c r="F7" s="18" t="s">
        <v>721</v>
      </c>
      <c r="K7" s="18" t="s">
        <v>722</v>
      </c>
      <c r="L7" s="18" t="s">
        <v>723</v>
      </c>
    </row>
    <row r="8">
      <c r="A8" s="18" t="s">
        <v>724</v>
      </c>
      <c r="B8" s="18">
        <v>500.0</v>
      </c>
      <c r="E8" s="18" t="s">
        <v>722</v>
      </c>
      <c r="F8" s="18" t="s">
        <v>725</v>
      </c>
      <c r="K8" s="18" t="s">
        <v>115</v>
      </c>
      <c r="L8" s="18" t="s">
        <v>726</v>
      </c>
    </row>
    <row r="9">
      <c r="B9" s="12">
        <f>SUM(B3:B8)</f>
        <v>9400</v>
      </c>
      <c r="E9" s="18" t="s">
        <v>727</v>
      </c>
      <c r="F9" s="18" t="s">
        <v>728</v>
      </c>
      <c r="K9" s="18" t="s">
        <v>729</v>
      </c>
      <c r="L9" s="18" t="s">
        <v>730</v>
      </c>
    </row>
    <row r="10">
      <c r="E10" s="18" t="s">
        <v>731</v>
      </c>
      <c r="K10" s="18" t="s">
        <v>732</v>
      </c>
    </row>
    <row r="11">
      <c r="B11" s="12">
        <f>12*800</f>
        <v>9600</v>
      </c>
      <c r="E11" s="18" t="s">
        <v>115</v>
      </c>
      <c r="K11" s="18" t="s">
        <v>733</v>
      </c>
    </row>
    <row r="12">
      <c r="E12" s="18" t="s">
        <v>81</v>
      </c>
      <c r="K12" s="185" t="s">
        <v>734</v>
      </c>
    </row>
    <row r="13">
      <c r="E13" s="18" t="s">
        <v>735</v>
      </c>
      <c r="K13" s="18" t="s">
        <v>62</v>
      </c>
    </row>
    <row r="14">
      <c r="E14" s="18" t="s">
        <v>736</v>
      </c>
      <c r="K14" s="18" t="s">
        <v>737</v>
      </c>
    </row>
    <row r="15">
      <c r="E15" s="18" t="s">
        <v>738</v>
      </c>
      <c r="K15" s="18" t="s">
        <v>739</v>
      </c>
    </row>
    <row r="16">
      <c r="E16" s="18" t="s">
        <v>740</v>
      </c>
      <c r="K16" s="18" t="s">
        <v>741</v>
      </c>
    </row>
    <row r="17">
      <c r="E17" s="18" t="s">
        <v>742</v>
      </c>
      <c r="K17" s="18" t="s">
        <v>743</v>
      </c>
    </row>
    <row r="18">
      <c r="E18" s="18" t="s">
        <v>744</v>
      </c>
      <c r="K18" s="18" t="s">
        <v>745</v>
      </c>
    </row>
    <row r="19">
      <c r="K19" s="18" t="s">
        <v>746</v>
      </c>
    </row>
    <row r="20">
      <c r="E20" s="17" t="s">
        <v>747</v>
      </c>
      <c r="K20" s="18" t="s">
        <v>748</v>
      </c>
    </row>
    <row r="21">
      <c r="E21" s="18" t="s">
        <v>749</v>
      </c>
      <c r="K21" s="17" t="s">
        <v>747</v>
      </c>
    </row>
    <row r="22">
      <c r="E22" s="18" t="s">
        <v>750</v>
      </c>
      <c r="K22" s="18" t="s">
        <v>731</v>
      </c>
    </row>
    <row r="23">
      <c r="K23" s="18" t="s">
        <v>751</v>
      </c>
    </row>
    <row r="24">
      <c r="K24" s="18" t="s">
        <v>752</v>
      </c>
    </row>
    <row r="25">
      <c r="K25" s="18" t="s">
        <v>715</v>
      </c>
    </row>
    <row r="26">
      <c r="K26" s="18" t="s">
        <v>753</v>
      </c>
    </row>
  </sheetData>
  <drawing r:id="rId1"/>
</worksheet>
</file>